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1"/>
  </bookViews>
  <sheets>
    <sheet name="Instruções" sheetId="28" r:id="rId1"/>
    <sheet name="T 07.00" sheetId="27" r:id="rId2"/>
    <sheet name="Derivatives" sheetId="31" r:id="rId3"/>
    <sheet name="País" sheetId="29" r:id="rId4"/>
    <sheet name="Casuísticas" sheetId="32" r:id="rId5"/>
  </sheets>
  <definedNames>
    <definedName name="_xlnm._FilterDatabase" localSheetId="2" hidden="1">Derivatives!$A$1:$S$84</definedName>
    <definedName name="_xlnm._FilterDatabase" localSheetId="1" hidden="1">'T 07.00'!$A$7:$Z$64</definedName>
    <definedName name="_xlnm.Print_Area" localSheetId="1">'T 07.00'!$A$1:$V$8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" i="27" l="1"/>
  <c r="U9" i="27" s="1"/>
  <c r="S10" i="27"/>
  <c r="S11" i="27"/>
  <c r="S12" i="27"/>
  <c r="S13" i="27"/>
  <c r="U13" i="27" s="1"/>
  <c r="S14" i="27"/>
  <c r="S15" i="27"/>
  <c r="S16" i="27"/>
  <c r="U16" i="27" s="1"/>
  <c r="S17" i="27"/>
  <c r="U17" i="27" s="1"/>
  <c r="S18" i="27"/>
  <c r="S19" i="27"/>
  <c r="S20" i="27"/>
  <c r="S21" i="27"/>
  <c r="U21" i="27" s="1"/>
  <c r="S22" i="27"/>
  <c r="S23" i="27"/>
  <c r="S24" i="27"/>
  <c r="U24" i="27" s="1"/>
  <c r="S25" i="27"/>
  <c r="U25" i="27" s="1"/>
  <c r="S26" i="27"/>
  <c r="S27" i="27"/>
  <c r="S28" i="27"/>
  <c r="S29" i="27"/>
  <c r="U29" i="27" s="1"/>
  <c r="S30" i="27"/>
  <c r="S31" i="27"/>
  <c r="S32" i="27"/>
  <c r="U32" i="27" s="1"/>
  <c r="S33" i="27"/>
  <c r="U33" i="27" s="1"/>
  <c r="S34" i="27"/>
  <c r="S35" i="27"/>
  <c r="S36" i="27"/>
  <c r="S37" i="27"/>
  <c r="U37" i="27" s="1"/>
  <c r="S38" i="27"/>
  <c r="S39" i="27"/>
  <c r="S40" i="27"/>
  <c r="U40" i="27" s="1"/>
  <c r="S41" i="27"/>
  <c r="U41" i="27" s="1"/>
  <c r="S42" i="27"/>
  <c r="S43" i="27"/>
  <c r="S44" i="27"/>
  <c r="S45" i="27"/>
  <c r="U45" i="27" s="1"/>
  <c r="S46" i="27"/>
  <c r="S47" i="27"/>
  <c r="S48" i="27"/>
  <c r="U48" i="27" s="1"/>
  <c r="S49" i="27"/>
  <c r="U49" i="27" s="1"/>
  <c r="S50" i="27"/>
  <c r="S51" i="27"/>
  <c r="S52" i="27"/>
  <c r="S53" i="27"/>
  <c r="U53" i="27" s="1"/>
  <c r="S54" i="27"/>
  <c r="S55" i="27"/>
  <c r="S56" i="27"/>
  <c r="U56" i="27" s="1"/>
  <c r="S57" i="27"/>
  <c r="U57" i="27" s="1"/>
  <c r="S58" i="27"/>
  <c r="S59" i="27"/>
  <c r="S60" i="27"/>
  <c r="S61" i="27"/>
  <c r="U61" i="27" s="1"/>
  <c r="S62" i="27"/>
  <c r="S63" i="27"/>
  <c r="S64" i="27"/>
  <c r="U64" i="27" s="1"/>
  <c r="S65" i="27"/>
  <c r="U65" i="27" s="1"/>
  <c r="S66" i="27"/>
  <c r="S67" i="27"/>
  <c r="S68" i="27"/>
  <c r="S69" i="27"/>
  <c r="U69" i="27" s="1"/>
  <c r="S70" i="27"/>
  <c r="S71" i="27"/>
  <c r="S72" i="27"/>
  <c r="U72" i="27" s="1"/>
  <c r="S73" i="27"/>
  <c r="U73" i="27" s="1"/>
  <c r="S74" i="27"/>
  <c r="S75" i="27"/>
  <c r="S76" i="27"/>
  <c r="S77" i="27"/>
  <c r="U77" i="27" s="1"/>
  <c r="S78" i="27"/>
  <c r="S79" i="27"/>
  <c r="S80" i="27"/>
  <c r="U80" i="27" s="1"/>
  <c r="S81" i="27"/>
  <c r="U81" i="27" s="1"/>
  <c r="S82" i="27"/>
  <c r="S83" i="27"/>
  <c r="S84" i="27"/>
  <c r="S85" i="27"/>
  <c r="U85" i="27" s="1"/>
  <c r="S86" i="27"/>
  <c r="S87" i="27"/>
  <c r="S88" i="27"/>
  <c r="U88" i="27" s="1"/>
  <c r="S89" i="27"/>
  <c r="U89" i="27" s="1"/>
  <c r="S90" i="27"/>
  <c r="S8" i="27"/>
  <c r="U8" i="27" s="1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8" i="27"/>
  <c r="U10" i="27"/>
  <c r="U11" i="27"/>
  <c r="U12" i="27"/>
  <c r="U14" i="27"/>
  <c r="U15" i="27"/>
  <c r="U18" i="27"/>
  <c r="U19" i="27"/>
  <c r="U20" i="27"/>
  <c r="U22" i="27"/>
  <c r="U23" i="27"/>
  <c r="U26" i="27"/>
  <c r="U27" i="27"/>
  <c r="U28" i="27"/>
  <c r="U30" i="27"/>
  <c r="U31" i="27"/>
  <c r="U34" i="27"/>
  <c r="U35" i="27"/>
  <c r="U36" i="27"/>
  <c r="U38" i="27"/>
  <c r="U39" i="27"/>
  <c r="U42" i="27"/>
  <c r="U43" i="27"/>
  <c r="U44" i="27"/>
  <c r="U46" i="27"/>
  <c r="U47" i="27"/>
  <c r="U50" i="27"/>
  <c r="U51" i="27"/>
  <c r="U52" i="27"/>
  <c r="U54" i="27"/>
  <c r="U55" i="27"/>
  <c r="U58" i="27"/>
  <c r="U59" i="27"/>
  <c r="U60" i="27"/>
  <c r="U62" i="27"/>
  <c r="U63" i="27"/>
  <c r="U66" i="27"/>
  <c r="U67" i="27"/>
  <c r="U68" i="27"/>
  <c r="U70" i="27"/>
  <c r="U71" i="27"/>
  <c r="U74" i="27"/>
  <c r="U75" i="27"/>
  <c r="U76" i="27"/>
  <c r="U78" i="27"/>
  <c r="U79" i="27"/>
  <c r="U82" i="27"/>
  <c r="U83" i="27"/>
  <c r="U84" i="27"/>
  <c r="U86" i="27"/>
  <c r="U87" i="27"/>
  <c r="U90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8" i="27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2" i="31"/>
  <c r="K75" i="31"/>
  <c r="K16" i="31"/>
  <c r="K76" i="31"/>
  <c r="K83" i="31"/>
  <c r="K77" i="31"/>
  <c r="K17" i="31"/>
  <c r="K18" i="31"/>
  <c r="K19" i="31"/>
  <c r="K20" i="31"/>
  <c r="K21" i="31"/>
  <c r="K22" i="31"/>
  <c r="K23" i="31"/>
  <c r="K2" i="31"/>
  <c r="K24" i="31"/>
  <c r="K25" i="31"/>
  <c r="K26" i="31"/>
  <c r="K5" i="31"/>
  <c r="K27" i="31"/>
  <c r="K28" i="31"/>
  <c r="K6" i="31"/>
  <c r="K29" i="31"/>
  <c r="K30" i="31"/>
  <c r="K31" i="31"/>
  <c r="K84" i="31"/>
  <c r="K32" i="31"/>
  <c r="K33" i="31"/>
  <c r="K7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3" i="31"/>
  <c r="K46" i="31"/>
  <c r="K8" i="31"/>
  <c r="K47" i="31"/>
  <c r="K48" i="31"/>
  <c r="K49" i="31"/>
  <c r="K50" i="31"/>
  <c r="K9" i="31"/>
  <c r="K51" i="31"/>
  <c r="K10" i="31"/>
  <c r="K52" i="31"/>
  <c r="K53" i="31"/>
  <c r="K54" i="31"/>
  <c r="K11" i="31"/>
  <c r="K55" i="31"/>
  <c r="K56" i="31"/>
  <c r="K57" i="31"/>
  <c r="K12" i="31"/>
  <c r="K13" i="31"/>
  <c r="K58" i="31"/>
  <c r="K59" i="31"/>
  <c r="K60" i="31"/>
  <c r="K61" i="31"/>
  <c r="K14" i="31"/>
  <c r="K4" i="31"/>
  <c r="K62" i="31"/>
  <c r="K63" i="31"/>
  <c r="K64" i="31"/>
  <c r="K65" i="31"/>
  <c r="K66" i="31"/>
  <c r="K67" i="31"/>
  <c r="K68" i="31"/>
  <c r="K69" i="31"/>
  <c r="K70" i="31"/>
  <c r="K15" i="31"/>
  <c r="K71" i="31"/>
  <c r="K72" i="31"/>
  <c r="K73" i="31"/>
  <c r="K78" i="31"/>
  <c r="K79" i="31"/>
  <c r="K80" i="31"/>
  <c r="K74" i="31"/>
  <c r="K81" i="31"/>
  <c r="K82" i="31"/>
  <c r="I3" i="27" l="1"/>
  <c r="H3" i="27"/>
</calcChain>
</file>

<file path=xl/comments1.xml><?xml version="1.0" encoding="utf-8"?>
<comments xmlns="http://schemas.openxmlformats.org/spreadsheetml/2006/main">
  <authors>
    <author>Haizhen Li</author>
    <author>ojones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Main category of item that is the object of the transaction / contract  =  Derivatives_x000D_
Row ID (derivatives - netting sets)  =  &lt;Key value&gt;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Metric  =  Column reference (aggregate template) [ei:ZZ:ZZ32]_x000D_
Main category of item that is the object of the transaction / contract  =  Derivatives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>Metric  =  Ranking in insolvency [ei:ZZ:ZZ28]_x000D_
Base  =  Liabilities_x000D_
Main category  =  Derivatives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Metric  =  Contract identifier [si]_x000D_
Base  =  Liabilities_x000D_
Main category  =  Derivatives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Metric  =  Type of master agreement [ei:ZZ:ZZ35]_x000D_
Base  =  Liabilities_x000D_
Main category  =  Derivatives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Metric  =  Type of resolution stay agreement.Entity [ei:ZZ:ZZ40]_x000D_
Main category of item that is the object of the transaction / contract  =  Derivatives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Metric  =  Type of resolution stay agreement.Counterparty [ei:ZZ:ZZ41]_x000D_
Main category of item that is the object of the transaction / contract  =  Derivatives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Metric  =  Name of entity [si]_x000D_
Main category of item that is the object of the transaction / contract  =  Derivatives_x000D_
Role in the contract  =  Investor, creditor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Derivatives_x000D_
Role in the contract  =  Investor, creditor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Derivatives_x000D_
Role in the contract  =  Investor, creditor</t>
        </r>
      </text>
    </comment>
    <comment ref="N7" authorId="0" shapeId="0">
      <text>
        <r>
          <rPr>
            <sz val="9"/>
            <color indexed="81"/>
            <rFont val="Tahoma"/>
            <family val="2"/>
          </rPr>
          <t>Metric  =  Jurisdiction of incorporation [ei:GA:GA4_1]_x000D_
Main category of item that is the object of the transaction / contract  =  Derivatives_x000D_
Role in the contract  =  Investor, creditor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Metric  =  Is intragroup transaction [bi]_x000D_
Main category of item that is the object of the transaction / contract  =  Derivatives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Liabilities_x000D_
Main category  =  Derivatives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Metric  =  Number of transactions [ii]_x000D_
Base  =  Liabilities_x000D_
Main category  =  Derivatives</t>
        </r>
      </text>
    </comment>
    <comment ref="R7" authorId="0" shapeId="0">
      <text>
        <r>
          <rPr>
            <sz val="9"/>
            <color indexed="81"/>
            <rFont val="Tahoma"/>
            <family val="2"/>
          </rPr>
          <t>Metric  =  Outstanding amount [mi]_x000D_
Base  =  Liabilities_x000D_
Main category  =  Derivatives_x000D_
Exclusion from Bail-in  =  Not excluded from bail-in_x000D_
Factors considered in the valuation of derivatives  =  Contractual netting agreements, mark-to-market adjustments_x000D_
Eligibility for MREL  =  Non-eligible</t>
        </r>
      </text>
    </comment>
    <comment ref="S7" authorId="0" shapeId="0">
      <text>
        <r>
          <rPr>
            <sz val="9"/>
            <color indexed="81"/>
            <rFont val="Tahoma"/>
            <family val="2"/>
          </rPr>
          <t>Metric  =  Market value [mi]_x000D_
Main category  =  Collateral posted net of collateral received_x000D_
Main category of collateralised item  =  Derivatives</t>
        </r>
      </text>
    </comment>
    <comment ref="T7" authorId="0" shapeId="0">
      <text>
        <r>
          <rPr>
            <sz val="9"/>
            <color indexed="81"/>
            <rFont val="Tahoma"/>
            <family val="2"/>
          </rPr>
          <t>Metric  =  Estimated close-out amount [mi]_x000D_
Base  =  Liabilities_x000D_
Main category of item that is the object of the transaction / contract  =  Derivatives</t>
        </r>
      </text>
    </comment>
    <comment ref="U7" authorId="0" shapeId="0">
      <text>
        <r>
          <rPr>
            <sz val="9"/>
            <color indexed="81"/>
            <rFont val="Tahoma"/>
            <family val="2"/>
          </rPr>
          <t>Metric  =  Outstanding amount [mi]_x000D_
Base  =  Liabilities_x000D_
Main category  =  Derivatives_x000D_
Exclusion from Bail-in  =  Not excluded from bail-in_x000D_
Factors considered in the valuation of derivatives  =  Contractual netting agreements, mark-to-market adjustments, collateral offset, estimated close-out amounts_x000D_
Eligibility for MREL  =  Non-eligible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D8" authorId="1" shapeId="0">
      <text>
        <r>
          <rPr>
            <sz val="9"/>
            <color indexed="81"/>
            <rFont val="Tahoma"/>
            <family val="2"/>
          </rPr>
          <t>Main category of item that is the object of the transaction / contract  =  Derivatives_x000D_
Row ID (derivatives - netting sets)  =  &lt;Key value&gt;</t>
        </r>
      </text>
    </comment>
    <comment ref="E8" authorId="1" shapeId="0">
      <text>
        <r>
          <rPr>
            <sz val="9"/>
            <color indexed="81"/>
            <rFont val="Tahoma"/>
            <family val="2"/>
          </rPr>
          <t>Metric  =  Column reference (aggregate template) [ei:ZZ:ZZ32]_x000D_
Main category of item that is the object of the transaction / contract  =  Derivatives</t>
        </r>
      </text>
    </comment>
    <comment ref="F8" authorId="1" shapeId="0">
      <text>
        <r>
          <rPr>
            <sz val="9"/>
            <color indexed="81"/>
            <rFont val="Tahoma"/>
            <family val="2"/>
          </rPr>
          <t>Metric  =  Ranking in insolvency [ei:ZZ:ZZ28]_x000D_
Base  =  Liabilities_x000D_
Main category  =  Derivatives</t>
        </r>
      </text>
    </comment>
    <comment ref="G8" authorId="1" shapeId="0">
      <text>
        <r>
          <rPr>
            <sz val="9"/>
            <color indexed="81"/>
            <rFont val="Tahoma"/>
            <family val="2"/>
          </rPr>
          <t>Metric  =  Contract identifier [si]_x000D_
Base  =  Liabilities_x000D_
Main category  =  Derivatives</t>
        </r>
      </text>
    </comment>
    <comment ref="H8" authorId="1" shapeId="0">
      <text>
        <r>
          <rPr>
            <sz val="9"/>
            <color indexed="81"/>
            <rFont val="Tahoma"/>
            <family val="2"/>
          </rPr>
          <t>Metric  =  Type of master agreement [ei:ZZ:ZZ35]_x000D_
Base  =  Liabilities_x000D_
Main category  =  Derivatives</t>
        </r>
      </text>
    </comment>
    <comment ref="I8" authorId="1" shapeId="0">
      <text>
        <r>
          <rPr>
            <sz val="9"/>
            <color indexed="81"/>
            <rFont val="Tahoma"/>
            <family val="2"/>
          </rPr>
          <t>Metric  =  Type of resolution stay agreement.Entity [ei:ZZ:ZZ40]_x000D_
Main category of item that is the object of the transaction / contract  =  Derivatives</t>
        </r>
      </text>
    </comment>
    <comment ref="J8" authorId="1" shapeId="0">
      <text>
        <r>
          <rPr>
            <sz val="9"/>
            <color indexed="81"/>
            <rFont val="Tahoma"/>
            <family val="2"/>
          </rPr>
          <t>Metric  =  Type of resolution stay agreement.Counterparty [ei:ZZ:ZZ41]_x000D_
Main category of item that is the object of the transaction / contract  =  Derivatives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Metric  =  Name of entity [si]_x000D_
Main category of item that is the object of the transaction / contract  =  Derivatives_x000D_
Role in the contract  =  Investor, creditor</t>
        </r>
      </text>
    </comment>
    <comment ref="L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Derivatives_x000D_
Role in the contract  =  Investor, creditor</t>
        </r>
      </text>
    </comment>
    <comment ref="M8" authorId="1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Derivatives_x000D_
Role in the contract  =  Investor, creditor</t>
        </r>
      </text>
    </comment>
    <comment ref="N8" authorId="1" shapeId="0">
      <text>
        <r>
          <rPr>
            <sz val="9"/>
            <color indexed="81"/>
            <rFont val="Tahoma"/>
            <family val="2"/>
          </rPr>
          <t>Metric  =  Jurisdiction of incorporation [ei:GA:GA4_1]_x000D_
Main category of item that is the object of the transaction / contract  =  Derivatives_x000D_
Role in the contract  =  Investor, creditor</t>
        </r>
      </text>
    </comment>
    <comment ref="O8" authorId="1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Liabilities_x000D_
Main category  =  Derivatives</t>
        </r>
      </text>
    </comment>
    <comment ref="P8" authorId="1" shapeId="0">
      <text>
        <r>
          <rPr>
            <sz val="9"/>
            <color indexed="81"/>
            <rFont val="Tahoma"/>
            <family val="2"/>
          </rPr>
          <t>Metric  =  Number of transactions [ii]_x000D_
Base  =  Liabilities_x000D_
Main category  =  Derivatives</t>
        </r>
      </text>
    </comment>
    <comment ref="Q8" authorId="1" shapeId="0">
      <text>
        <r>
          <rPr>
            <sz val="9"/>
            <color indexed="81"/>
            <rFont val="Tahoma"/>
            <family val="2"/>
          </rPr>
          <t>Metric  =  Outstanding amount [mi]_x000D_
Base  =  Liabilities_x000D_
Main category  =  Derivatives_x000D_
Exclusion from Bail-in  =  Not excluded from bail-in_x000D_
Factors considered in the valuation of derivatives  =  Contractual netting agreements, mark-to-market adjustments_x000D_
Eligibility for MREL  =  Non-eligible</t>
        </r>
      </text>
    </comment>
    <comment ref="R8" authorId="1" shapeId="0">
      <text>
        <r>
          <rPr>
            <sz val="9"/>
            <color indexed="81"/>
            <rFont val="Tahoma"/>
            <family val="2"/>
          </rPr>
          <t>Metric  =  Market value [mi]_x000D_
Main category  =  Collateral posted net of collateral received_x000D_
Main category of collateralised item  =  Derivatives</t>
        </r>
      </text>
    </comment>
    <comment ref="S8" authorId="1" shapeId="0">
      <text>
        <r>
          <rPr>
            <sz val="9"/>
            <color indexed="81"/>
            <rFont val="Tahoma"/>
            <family val="2"/>
          </rPr>
          <t>Metric  =  Estimated close-out amount [mi]_x000D_
Base  =  Liabilities</t>
        </r>
      </text>
    </comment>
    <comment ref="T8" authorId="1" shapeId="0">
      <text>
        <r>
          <rPr>
            <sz val="9"/>
            <color indexed="81"/>
            <rFont val="Tahoma"/>
            <family val="2"/>
          </rPr>
          <t>Metric  =  Outstanding amount [mi]_x000D_
Base  =  Liabilities_x000D_
Main category  =  Derivatives_x000D_
Exclusion from Bail-in  =  Not excluded from bail-in_x000D_
Factors considered in the valuation of derivatives  =  Contractual netting agreements, mark-to-market adjustments, collateral offset, estimated close-out amounts_x000D_
Eligibility for MREL  =  Non-eligible</t>
        </r>
      </text>
    </comment>
    <comment ref="U8" authorId="0" shapeId="0">
      <text>
        <r>
          <rPr>
            <sz val="9"/>
            <color indexed="81"/>
            <rFont val="Tahoma"/>
            <family val="2"/>
          </rPr>
          <t>DataPointVID 417733_x000D_
DataPointID 417733_x000D_
Metric  =  Outstanding amount [mi]_x000D_
Base  =  Liabilities_x000D_
Row ID (derivatives - netting sets)  =  &lt;Key value&gt;_x000D_
Exclusion from Bail-in  =  Not excluded from bail-in_x000D_
Main category  =  Derivatives_x000D_
Eligibility for MREL  =  Non-eligible_x000D_
Factors considered in the valuation of derivatives  =  Contractual netting agreements, mark-to-market adjustments, collateral offset, estimated close-out amounts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5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5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6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7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69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70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71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72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73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  <comment ref="C74" authorId="0" shapeId="0">
      <text>
        <r>
          <rPr>
            <sz val="9"/>
            <color indexed="81"/>
            <rFont val="Tahoma"/>
            <family val="2"/>
          </rPr>
          <t>Row ID (derivatives - netting sets)  =  &lt;Key value&gt;</t>
        </r>
      </text>
    </comment>
  </commentList>
</comments>
</file>

<file path=xl/sharedStrings.xml><?xml version="1.0" encoding="utf-8"?>
<sst xmlns="http://schemas.openxmlformats.org/spreadsheetml/2006/main" count="1979" uniqueCount="1303">
  <si>
    <t>gcliente</t>
  </si>
  <si>
    <t>clei</t>
  </si>
  <si>
    <t>cod_ref_cq</t>
  </si>
  <si>
    <t>cod_tip_contrato</t>
  </si>
  <si>
    <t>empresa_intragrupo</t>
  </si>
  <si>
    <t>contraparte_i_desc</t>
  </si>
  <si>
    <t>flag_pme</t>
  </si>
  <si>
    <t>zcliente1</t>
  </si>
  <si>
    <t>dt_fim</t>
  </si>
  <si>
    <t>Calculation</t>
  </si>
  <si>
    <t/>
  </si>
  <si>
    <t>instituicoes de credito</t>
  </si>
  <si>
    <t>0000000000</t>
  </si>
  <si>
    <t>outras empresas nao financeiras</t>
  </si>
  <si>
    <t>outras instituicoes financeiras</t>
  </si>
  <si>
    <t>8 AVENIDA- CENTRO COMERCIAL, S.A.</t>
  </si>
  <si>
    <t>#</t>
  </si>
  <si>
    <t>620</t>
  </si>
  <si>
    <t>1</t>
  </si>
  <si>
    <t>7400291653</t>
  </si>
  <si>
    <t>826</t>
  </si>
  <si>
    <t>0</t>
  </si>
  <si>
    <t>AMORIM CORK S.A.</t>
  </si>
  <si>
    <t>213800RQXBBZ6KSP1I72</t>
  </si>
  <si>
    <t>8000791429</t>
  </si>
  <si>
    <t>BANCO BILBAO VIZCAYA ARGENTARIA EX.B.B.V.</t>
  </si>
  <si>
    <t>724</t>
  </si>
  <si>
    <t>8000176012</t>
  </si>
  <si>
    <t>5493006QMFDDMYWIAM13</t>
  </si>
  <si>
    <t>SANTANDER CENTRAL HISPANO MADRID</t>
  </si>
  <si>
    <t>7400416333</t>
  </si>
  <si>
    <t>BANCO SANTANDER SA</t>
  </si>
  <si>
    <t>BSCH-Banco Santander Central Hispano</t>
  </si>
  <si>
    <t>0000003686</t>
  </si>
  <si>
    <t>BANQUE INDOSVEZ</t>
  </si>
  <si>
    <t>8021880518</t>
  </si>
  <si>
    <t>250</t>
  </si>
  <si>
    <t>549300S5QJO6B1JT2R36</t>
  </si>
  <si>
    <t>1700059671</t>
  </si>
  <si>
    <t>CORK SUPPLY PORTUGAL, S.A.</t>
  </si>
  <si>
    <t>54930039BIEV13N2UT70</t>
  </si>
  <si>
    <t>8030996066</t>
  </si>
  <si>
    <t>D PEDRO V INVESTIMENTOS IMOBILIARIOS DPII S.A.</t>
  </si>
  <si>
    <t>2549001UG2UURXWCHD19</t>
  </si>
  <si>
    <t>0000008390</t>
  </si>
  <si>
    <t>EXPO PACIFICO EPII INVESTIMENTOS IMOBILIARIOS SA</t>
  </si>
  <si>
    <t>2549006IWGF4UVKRSJ88</t>
  </si>
  <si>
    <t>7401549030</t>
  </si>
  <si>
    <t>FLEXIDOOR-PORTOES SECCIONADOS AUTOMATISMOS SA</t>
  </si>
  <si>
    <t>984500ABZ74A0U6F6E37</t>
  </si>
  <si>
    <t>7400036539</t>
  </si>
  <si>
    <t>124</t>
  </si>
  <si>
    <t>GALLO WORLDWIDE LDA.</t>
  </si>
  <si>
    <t>894500QEBOQ7ZV3UZ375</t>
  </si>
  <si>
    <t>7400629401</t>
  </si>
  <si>
    <t>GALP GAS NATURAL S.A.</t>
  </si>
  <si>
    <t>8028196868</t>
  </si>
  <si>
    <t>GRAVITYTIGER, LDA</t>
  </si>
  <si>
    <t>2549007AQNRT5AXM7X93</t>
  </si>
  <si>
    <t>7401537237</t>
  </si>
  <si>
    <t>549300Y51ILA604XG386</t>
  </si>
  <si>
    <t>5100488804</t>
  </si>
  <si>
    <t>L. M. PERFIS - INDUSTRIA DE PERFIS E PORTAS S.A.</t>
  </si>
  <si>
    <t>984500EE93D0556F0T29</t>
  </si>
  <si>
    <t>5100500313</t>
  </si>
  <si>
    <t>LCH.CLEARNET SA.</t>
  </si>
  <si>
    <t>7401586148</t>
  </si>
  <si>
    <t>LOURESHOPPING CENTRO COMERCIAL S.A.</t>
  </si>
  <si>
    <t>7400930438</t>
  </si>
  <si>
    <t>MADEIRA WINE COMPANY S.A.</t>
  </si>
  <si>
    <t>549300Q571IOUBKZYR69</t>
  </si>
  <si>
    <t>8001088829</t>
  </si>
  <si>
    <t>NORTE SHOPPING RETAIL &amp; LEISURE CENTRE B V</t>
  </si>
  <si>
    <t>528</t>
  </si>
  <si>
    <t>7401870046</t>
  </si>
  <si>
    <t>NORTESHOPPING CENTRO COMERCIAL S.A.</t>
  </si>
  <si>
    <t>8029537126</t>
  </si>
  <si>
    <t>RIO SUL - CENTRO COMERCIAL, S.A.</t>
  </si>
  <si>
    <t>8007537441</t>
  </si>
  <si>
    <t>54930006K2IUPA083C07</t>
  </si>
  <si>
    <t>Totta Seguros - Comp. Seg. Vida, SA.</t>
  </si>
  <si>
    <t>8046077493</t>
  </si>
  <si>
    <t>SHOPPING CENTRE COLOMBO HOLDING B.V.</t>
  </si>
  <si>
    <t>549300VHO3DME0N4ZW85</t>
  </si>
  <si>
    <t>7401217822</t>
  </si>
  <si>
    <t>STRONG CHARON, SOLUCOES DE SEGURANCA, S.A.</t>
  </si>
  <si>
    <t>549300QG7DM4U75QUF09</t>
  </si>
  <si>
    <t>8008582659</t>
  </si>
  <si>
    <t>TECNO-PAN, S.A.</t>
  </si>
  <si>
    <t>984500BD13D56542FB51</t>
  </si>
  <si>
    <t>7400460285</t>
  </si>
  <si>
    <t>549300UNIB7M2AXUXS35</t>
  </si>
  <si>
    <t>8009012449</t>
  </si>
  <si>
    <t>TRIVALOR-SOCIEDADE GESTORA DE PARTICIPACOES SOCIAIS S.A.</t>
  </si>
  <si>
    <t>54930042E6E66VONUC18</t>
  </si>
  <si>
    <t>8024332321</t>
  </si>
  <si>
    <t>7400324759</t>
  </si>
  <si>
    <t>VISION BOX - SOLUCOES DE VISAO POR COMPUTADOR S.A.</t>
  </si>
  <si>
    <t>21380038XS7H6C5GFB64</t>
  </si>
  <si>
    <t>7400410663</t>
  </si>
  <si>
    <t>T 07.00 - Derivatives</t>
  </si>
  <si>
    <t>Columns</t>
  </si>
  <si>
    <t>Number</t>
  </si>
  <si>
    <t>Reconciliation with aggregated data</t>
  </si>
  <si>
    <t>Derivatives</t>
  </si>
  <si>
    <t>Column</t>
  </si>
  <si>
    <t>Insolvency ranking</t>
  </si>
  <si>
    <t>Master agreement ID</t>
  </si>
  <si>
    <t>Type of MA (e.g. ISDA 1992)</t>
  </si>
  <si>
    <t>ISDA Protocol Adherent - Entity</t>
  </si>
  <si>
    <t>Resolution Stay Recognition - Counterparty</t>
  </si>
  <si>
    <t>Entity name of counterparty</t>
  </si>
  <si>
    <t>Counterparty identifier (preferably LEI)</t>
  </si>
  <si>
    <t>Type of identifier</t>
  </si>
  <si>
    <t>Country of  counterparty</t>
  </si>
  <si>
    <t>Intragroup transaction (yes/no)</t>
  </si>
  <si>
    <t>Governing law of MA/single deal</t>
  </si>
  <si>
    <t>Number of transactions covered</t>
  </si>
  <si>
    <t>Net Mark-to-Market Value</t>
  </si>
  <si>
    <t>Value of net collateral posted</t>
  </si>
  <si>
    <t>Estimated Close-Out amount</t>
  </si>
  <si>
    <t>Estimated early termination amount</t>
  </si>
  <si>
    <t>0010</t>
  </si>
  <si>
    <t>0020</t>
  </si>
  <si>
    <t>0030</t>
  </si>
  <si>
    <t>0040</t>
  </si>
  <si>
    <t>0050</t>
  </si>
  <si>
    <t>0061</t>
  </si>
  <si>
    <t>0071</t>
  </si>
  <si>
    <t>0075</t>
  </si>
  <si>
    <t>0080</t>
  </si>
  <si>
    <t>0085</t>
  </si>
  <si>
    <t>0090</t>
  </si>
  <si>
    <t>0095</t>
  </si>
  <si>
    <t>0100</t>
  </si>
  <si>
    <t>0110</t>
  </si>
  <si>
    <t>0120</t>
  </si>
  <si>
    <t>0130</t>
  </si>
  <si>
    <t>0140</t>
  </si>
  <si>
    <t>0150</t>
  </si>
  <si>
    <t>Rows</t>
  </si>
  <si>
    <t>Derivatives contract</t>
  </si>
  <si>
    <t>999</t>
  </si>
  <si>
    <t>3- Carregar no button</t>
  </si>
  <si>
    <t>Codigo_Num</t>
  </si>
  <si>
    <t>Codigo_Alpha2</t>
  </si>
  <si>
    <t>Codigo_Alpha3</t>
  </si>
  <si>
    <t>País</t>
  </si>
  <si>
    <t>004</t>
  </si>
  <si>
    <t>AF</t>
  </si>
  <si>
    <t>AFG</t>
  </si>
  <si>
    <t>Afghanistan</t>
  </si>
  <si>
    <t>248</t>
  </si>
  <si>
    <t>AX</t>
  </si>
  <si>
    <t>ALA</t>
  </si>
  <si>
    <t>Aland Islands !Åland Islands</t>
  </si>
  <si>
    <t>008</t>
  </si>
  <si>
    <t>AL</t>
  </si>
  <si>
    <t>ALB</t>
  </si>
  <si>
    <t>Albania</t>
  </si>
  <si>
    <t>012</t>
  </si>
  <si>
    <t>DZ</t>
  </si>
  <si>
    <t>DZA</t>
  </si>
  <si>
    <t>Algeria</t>
  </si>
  <si>
    <t>016</t>
  </si>
  <si>
    <t>AS</t>
  </si>
  <si>
    <t>ASM</t>
  </si>
  <si>
    <t>American Samoa</t>
  </si>
  <si>
    <t>020</t>
  </si>
  <si>
    <t>AD</t>
  </si>
  <si>
    <t>AND</t>
  </si>
  <si>
    <t>Andorra</t>
  </si>
  <si>
    <t>024</t>
  </si>
  <si>
    <t>AO</t>
  </si>
  <si>
    <t>AGO</t>
  </si>
  <si>
    <t>Angola</t>
  </si>
  <si>
    <t>660</t>
  </si>
  <si>
    <t>AI</t>
  </si>
  <si>
    <t>AIA</t>
  </si>
  <si>
    <t>Anguilla</t>
  </si>
  <si>
    <t>010</t>
  </si>
  <si>
    <t>AQ</t>
  </si>
  <si>
    <t>ATA</t>
  </si>
  <si>
    <t>Antarctica</t>
  </si>
  <si>
    <t>028</t>
  </si>
  <si>
    <t>AG</t>
  </si>
  <si>
    <t>ATG</t>
  </si>
  <si>
    <t>Antigua and Barbuda</t>
  </si>
  <si>
    <t>032</t>
  </si>
  <si>
    <t>AR</t>
  </si>
  <si>
    <t>ARG</t>
  </si>
  <si>
    <t>Argentina</t>
  </si>
  <si>
    <t>051</t>
  </si>
  <si>
    <t>AM</t>
  </si>
  <si>
    <t>ARM</t>
  </si>
  <si>
    <t>Armenia</t>
  </si>
  <si>
    <t>533</t>
  </si>
  <si>
    <t>AW</t>
  </si>
  <si>
    <t>ABW</t>
  </si>
  <si>
    <t>Aruba</t>
  </si>
  <si>
    <t>036</t>
  </si>
  <si>
    <t>AU</t>
  </si>
  <si>
    <t>AUS</t>
  </si>
  <si>
    <t>Australia</t>
  </si>
  <si>
    <t>040</t>
  </si>
  <si>
    <t>AT</t>
  </si>
  <si>
    <t>AUT</t>
  </si>
  <si>
    <t>Austria</t>
  </si>
  <si>
    <t>031</t>
  </si>
  <si>
    <t>AZ</t>
  </si>
  <si>
    <t>AZE</t>
  </si>
  <si>
    <t>Azerbaijan</t>
  </si>
  <si>
    <t>044</t>
  </si>
  <si>
    <t>BS</t>
  </si>
  <si>
    <t>BHS</t>
  </si>
  <si>
    <t>Bahamas</t>
  </si>
  <si>
    <t>048</t>
  </si>
  <si>
    <t>BH</t>
  </si>
  <si>
    <t>BHR</t>
  </si>
  <si>
    <t>Bahrain</t>
  </si>
  <si>
    <t>050</t>
  </si>
  <si>
    <t>BD</t>
  </si>
  <si>
    <t>BGD</t>
  </si>
  <si>
    <t>Bangladesh</t>
  </si>
  <si>
    <t>052</t>
  </si>
  <si>
    <t>BB</t>
  </si>
  <si>
    <t>BRB</t>
  </si>
  <si>
    <t>Barbados</t>
  </si>
  <si>
    <t>112</t>
  </si>
  <si>
    <t>BY</t>
  </si>
  <si>
    <t>BLR</t>
  </si>
  <si>
    <t>Belarus</t>
  </si>
  <si>
    <t>056</t>
  </si>
  <si>
    <t>BE</t>
  </si>
  <si>
    <t>BEL</t>
  </si>
  <si>
    <t>Belgium</t>
  </si>
  <si>
    <t>084</t>
  </si>
  <si>
    <t>BZ</t>
  </si>
  <si>
    <t>BLZ</t>
  </si>
  <si>
    <t>Belize</t>
  </si>
  <si>
    <t>204</t>
  </si>
  <si>
    <t>BJ</t>
  </si>
  <si>
    <t>BEN</t>
  </si>
  <si>
    <t>Benin</t>
  </si>
  <si>
    <t>060</t>
  </si>
  <si>
    <t>BM</t>
  </si>
  <si>
    <t>BMU</t>
  </si>
  <si>
    <t>Bermuda</t>
  </si>
  <si>
    <t>064</t>
  </si>
  <si>
    <t>BT</t>
  </si>
  <si>
    <t>BTN</t>
  </si>
  <si>
    <t>Bhutan</t>
  </si>
  <si>
    <t>068</t>
  </si>
  <si>
    <t>BO</t>
  </si>
  <si>
    <t>BOL</t>
  </si>
  <si>
    <t>Bolivia (Plurinational State of)</t>
  </si>
  <si>
    <t>535</t>
  </si>
  <si>
    <t>BQ</t>
  </si>
  <si>
    <t>BES</t>
  </si>
  <si>
    <t>Bonaire, Sint Eustatius and Saba</t>
  </si>
  <si>
    <t>070</t>
  </si>
  <si>
    <t>BA</t>
  </si>
  <si>
    <t>BIH</t>
  </si>
  <si>
    <t>Bosnia and Herzegovina</t>
  </si>
  <si>
    <t>072</t>
  </si>
  <si>
    <t>BW</t>
  </si>
  <si>
    <t>BWA</t>
  </si>
  <si>
    <t>Botswana</t>
  </si>
  <si>
    <t>074</t>
  </si>
  <si>
    <t>BV</t>
  </si>
  <si>
    <t>BVT</t>
  </si>
  <si>
    <t>Bouvet Island</t>
  </si>
  <si>
    <t>076</t>
  </si>
  <si>
    <t>BR</t>
  </si>
  <si>
    <t>BRA</t>
  </si>
  <si>
    <t>Brazil</t>
  </si>
  <si>
    <t>086</t>
  </si>
  <si>
    <t>IO</t>
  </si>
  <si>
    <t>IOT</t>
  </si>
  <si>
    <t>British Indian Ocean Territory</t>
  </si>
  <si>
    <t>096</t>
  </si>
  <si>
    <t>BN</t>
  </si>
  <si>
    <t>BRN</t>
  </si>
  <si>
    <t>Brunei Darussalam</t>
  </si>
  <si>
    <t>100</t>
  </si>
  <si>
    <t>BG</t>
  </si>
  <si>
    <t>BGR</t>
  </si>
  <si>
    <t>Bulgaria</t>
  </si>
  <si>
    <t>854</t>
  </si>
  <si>
    <t>BF</t>
  </si>
  <si>
    <t>BFA</t>
  </si>
  <si>
    <t>Burkina Faso</t>
  </si>
  <si>
    <t>108</t>
  </si>
  <si>
    <t>BI</t>
  </si>
  <si>
    <t>BDI</t>
  </si>
  <si>
    <t>Burundi</t>
  </si>
  <si>
    <t>132</t>
  </si>
  <si>
    <t>CV</t>
  </si>
  <si>
    <t>CPV</t>
  </si>
  <si>
    <t>Cabo Verde</t>
  </si>
  <si>
    <t>116</t>
  </si>
  <si>
    <t>KH</t>
  </si>
  <si>
    <t>KHM</t>
  </si>
  <si>
    <t>Cambodia</t>
  </si>
  <si>
    <t>120</t>
  </si>
  <si>
    <t>CM</t>
  </si>
  <si>
    <t>CMR</t>
  </si>
  <si>
    <t>Cameroon</t>
  </si>
  <si>
    <t>CA</t>
  </si>
  <si>
    <t>CAN</t>
  </si>
  <si>
    <t>Canada</t>
  </si>
  <si>
    <t>136</t>
  </si>
  <si>
    <t>KY</t>
  </si>
  <si>
    <t>CYM</t>
  </si>
  <si>
    <t>Cayman Islands</t>
  </si>
  <si>
    <t>140</t>
  </si>
  <si>
    <t>CF</t>
  </si>
  <si>
    <t>CAF</t>
  </si>
  <si>
    <t>Central African Republic</t>
  </si>
  <si>
    <t>148</t>
  </si>
  <si>
    <t>TD</t>
  </si>
  <si>
    <t>TCD</t>
  </si>
  <si>
    <t>Chad</t>
  </si>
  <si>
    <t>152</t>
  </si>
  <si>
    <t>CL</t>
  </si>
  <si>
    <t>CHL</t>
  </si>
  <si>
    <t>Chile</t>
  </si>
  <si>
    <t>156</t>
  </si>
  <si>
    <t>CN</t>
  </si>
  <si>
    <t>CHN</t>
  </si>
  <si>
    <t>China</t>
  </si>
  <si>
    <t>162</t>
  </si>
  <si>
    <t>CX</t>
  </si>
  <si>
    <t>CXR</t>
  </si>
  <si>
    <t>Christmas Island</t>
  </si>
  <si>
    <t>166</t>
  </si>
  <si>
    <t>CC</t>
  </si>
  <si>
    <t>CCK</t>
  </si>
  <si>
    <t>Cocos (Keeling) Islands</t>
  </si>
  <si>
    <t>170</t>
  </si>
  <si>
    <t>CO</t>
  </si>
  <si>
    <t>COL</t>
  </si>
  <si>
    <t>Colombia</t>
  </si>
  <si>
    <t>174</t>
  </si>
  <si>
    <t>KM</t>
  </si>
  <si>
    <t>COM</t>
  </si>
  <si>
    <t>Comoros</t>
  </si>
  <si>
    <t>178</t>
  </si>
  <si>
    <t>CG</t>
  </si>
  <si>
    <t>COG</t>
  </si>
  <si>
    <t>Congo</t>
  </si>
  <si>
    <t>180</t>
  </si>
  <si>
    <t>CD</t>
  </si>
  <si>
    <t>COD</t>
  </si>
  <si>
    <t>Congo (Democratic Republic of the)</t>
  </si>
  <si>
    <t>184</t>
  </si>
  <si>
    <t>CK</t>
  </si>
  <si>
    <t>COK</t>
  </si>
  <si>
    <t>Cook Islands</t>
  </si>
  <si>
    <t>188</t>
  </si>
  <si>
    <t>CR</t>
  </si>
  <si>
    <t>CRI</t>
  </si>
  <si>
    <t>Costa Rica</t>
  </si>
  <si>
    <t>384</t>
  </si>
  <si>
    <t>CI</t>
  </si>
  <si>
    <t>CIV</t>
  </si>
  <si>
    <t>Cote d'Ivoire !Côte d'Ivoire</t>
  </si>
  <si>
    <t>191</t>
  </si>
  <si>
    <t>HR</t>
  </si>
  <si>
    <t>HRV</t>
  </si>
  <si>
    <t>Croatia</t>
  </si>
  <si>
    <t>192</t>
  </si>
  <si>
    <t>CU</t>
  </si>
  <si>
    <t>CUB</t>
  </si>
  <si>
    <t>Cuba</t>
  </si>
  <si>
    <t>531</t>
  </si>
  <si>
    <t>CW</t>
  </si>
  <si>
    <t>CUW</t>
  </si>
  <si>
    <t>Curacao !Curaçao</t>
  </si>
  <si>
    <t>196</t>
  </si>
  <si>
    <t>CY</t>
  </si>
  <si>
    <t>CYP</t>
  </si>
  <si>
    <t>Cyprus</t>
  </si>
  <si>
    <t>203</t>
  </si>
  <si>
    <t>CZ</t>
  </si>
  <si>
    <t>CZE</t>
  </si>
  <si>
    <t>Czech Republic</t>
  </si>
  <si>
    <t>208</t>
  </si>
  <si>
    <t>DK</t>
  </si>
  <si>
    <t>DNK</t>
  </si>
  <si>
    <t>Denmark</t>
  </si>
  <si>
    <t>262</t>
  </si>
  <si>
    <t>DJ</t>
  </si>
  <si>
    <t>DJI</t>
  </si>
  <si>
    <t>Djibouti</t>
  </si>
  <si>
    <t>212</t>
  </si>
  <si>
    <t>DM</t>
  </si>
  <si>
    <t>DMA</t>
  </si>
  <si>
    <t>Dominica</t>
  </si>
  <si>
    <t>214</t>
  </si>
  <si>
    <t>DO</t>
  </si>
  <si>
    <t>DOM</t>
  </si>
  <si>
    <t>Dominican Republic</t>
  </si>
  <si>
    <t>218</t>
  </si>
  <si>
    <t>EC</t>
  </si>
  <si>
    <t>ECU</t>
  </si>
  <si>
    <t>Ecuador</t>
  </si>
  <si>
    <t>818</t>
  </si>
  <si>
    <t>EG</t>
  </si>
  <si>
    <t>EGY</t>
  </si>
  <si>
    <t>Egypt</t>
  </si>
  <si>
    <t>222</t>
  </si>
  <si>
    <t>SV</t>
  </si>
  <si>
    <t>SLV</t>
  </si>
  <si>
    <t>El Salvador</t>
  </si>
  <si>
    <t>226</t>
  </si>
  <si>
    <t>GQ</t>
  </si>
  <si>
    <t>GNQ</t>
  </si>
  <si>
    <t>Equatorial Guinea</t>
  </si>
  <si>
    <t>232</t>
  </si>
  <si>
    <t>ER</t>
  </si>
  <si>
    <t>ERI</t>
  </si>
  <si>
    <t>Eritrea</t>
  </si>
  <si>
    <t>233</t>
  </si>
  <si>
    <t>EE</t>
  </si>
  <si>
    <t>EST</t>
  </si>
  <si>
    <t>Estonia</t>
  </si>
  <si>
    <t>231</t>
  </si>
  <si>
    <t>ET</t>
  </si>
  <si>
    <t>ETH</t>
  </si>
  <si>
    <t>Ethiopia</t>
  </si>
  <si>
    <t>238</t>
  </si>
  <si>
    <t>FK</t>
  </si>
  <si>
    <t>FLK</t>
  </si>
  <si>
    <t>Falkland Islands (Malvinas)</t>
  </si>
  <si>
    <t>234</t>
  </si>
  <si>
    <t>FO</t>
  </si>
  <si>
    <t>FRO</t>
  </si>
  <si>
    <t>Faroe Islands</t>
  </si>
  <si>
    <t>242</t>
  </si>
  <si>
    <t>FJ</t>
  </si>
  <si>
    <t>FJI</t>
  </si>
  <si>
    <t>Fiji</t>
  </si>
  <si>
    <t>246</t>
  </si>
  <si>
    <t>FI</t>
  </si>
  <si>
    <t>FIN</t>
  </si>
  <si>
    <t>Finland</t>
  </si>
  <si>
    <t>FR</t>
  </si>
  <si>
    <t>FRA</t>
  </si>
  <si>
    <t>France</t>
  </si>
  <si>
    <t>254</t>
  </si>
  <si>
    <t>GF</t>
  </si>
  <si>
    <t>GUF</t>
  </si>
  <si>
    <t>French Guiana</t>
  </si>
  <si>
    <t>258</t>
  </si>
  <si>
    <t>PF</t>
  </si>
  <si>
    <t>PYF</t>
  </si>
  <si>
    <t>French Polynesia</t>
  </si>
  <si>
    <t>260</t>
  </si>
  <si>
    <t>TF</t>
  </si>
  <si>
    <t>ATF</t>
  </si>
  <si>
    <t>French Southern Territories</t>
  </si>
  <si>
    <t>266</t>
  </si>
  <si>
    <t>GA</t>
  </si>
  <si>
    <t>GAB</t>
  </si>
  <si>
    <t>Gabon</t>
  </si>
  <si>
    <t>270</t>
  </si>
  <si>
    <t>GM</t>
  </si>
  <si>
    <t>GMB</t>
  </si>
  <si>
    <t>Gambia</t>
  </si>
  <si>
    <t>268</t>
  </si>
  <si>
    <t>GE</t>
  </si>
  <si>
    <t>GEO</t>
  </si>
  <si>
    <t>Georgia</t>
  </si>
  <si>
    <t>276</t>
  </si>
  <si>
    <t>DE</t>
  </si>
  <si>
    <t>DEU</t>
  </si>
  <si>
    <t>Germany</t>
  </si>
  <si>
    <t>288</t>
  </si>
  <si>
    <t>GH</t>
  </si>
  <si>
    <t>GHA</t>
  </si>
  <si>
    <t>Ghana</t>
  </si>
  <si>
    <t>292</t>
  </si>
  <si>
    <t>GI</t>
  </si>
  <si>
    <t>GIB</t>
  </si>
  <si>
    <t>Gibraltar</t>
  </si>
  <si>
    <t>300</t>
  </si>
  <si>
    <t>GR</t>
  </si>
  <si>
    <t>GRC</t>
  </si>
  <si>
    <t>Greece</t>
  </si>
  <si>
    <t>304</t>
  </si>
  <si>
    <t>GL</t>
  </si>
  <si>
    <t>GRL</t>
  </si>
  <si>
    <t>Greenland</t>
  </si>
  <si>
    <t>308</t>
  </si>
  <si>
    <t>GD</t>
  </si>
  <si>
    <t>GRD</t>
  </si>
  <si>
    <t>Grenada</t>
  </si>
  <si>
    <t>312</t>
  </si>
  <si>
    <t>GP</t>
  </si>
  <si>
    <t>GLP</t>
  </si>
  <si>
    <t>Guadeloupe</t>
  </si>
  <si>
    <t>316</t>
  </si>
  <si>
    <t>GU</t>
  </si>
  <si>
    <t>GUM</t>
  </si>
  <si>
    <t>Guam</t>
  </si>
  <si>
    <t>320</t>
  </si>
  <si>
    <t>GT</t>
  </si>
  <si>
    <t>GTM</t>
  </si>
  <si>
    <t>Guatemala</t>
  </si>
  <si>
    <t>831</t>
  </si>
  <si>
    <t>GG</t>
  </si>
  <si>
    <t>GGY</t>
  </si>
  <si>
    <t>Guernsey</t>
  </si>
  <si>
    <t>324</t>
  </si>
  <si>
    <t>GN</t>
  </si>
  <si>
    <t>GIN</t>
  </si>
  <si>
    <t>Guinea</t>
  </si>
  <si>
    <t>624</t>
  </si>
  <si>
    <t>GW</t>
  </si>
  <si>
    <t>GNB</t>
  </si>
  <si>
    <t>Guinea-Bissau</t>
  </si>
  <si>
    <t>328</t>
  </si>
  <si>
    <t>GY</t>
  </si>
  <si>
    <t>GUY</t>
  </si>
  <si>
    <t>Guyana</t>
  </si>
  <si>
    <t>332</t>
  </si>
  <si>
    <t>HT</t>
  </si>
  <si>
    <t>HTI</t>
  </si>
  <si>
    <t>Haiti</t>
  </si>
  <si>
    <t>334</t>
  </si>
  <si>
    <t>HM</t>
  </si>
  <si>
    <t>HMD</t>
  </si>
  <si>
    <t>Heard Island and McDonald Islands</t>
  </si>
  <si>
    <t>336</t>
  </si>
  <si>
    <t>VA</t>
  </si>
  <si>
    <t>VAT</t>
  </si>
  <si>
    <t>Holy See</t>
  </si>
  <si>
    <t>340</t>
  </si>
  <si>
    <t>HN</t>
  </si>
  <si>
    <t>HND</t>
  </si>
  <si>
    <t>Honduras</t>
  </si>
  <si>
    <t>344</t>
  </si>
  <si>
    <t>HK</t>
  </si>
  <si>
    <t>HKG</t>
  </si>
  <si>
    <t>Hong Kong</t>
  </si>
  <si>
    <t>348</t>
  </si>
  <si>
    <t>HU</t>
  </si>
  <si>
    <t>HUN</t>
  </si>
  <si>
    <t>Hungary</t>
  </si>
  <si>
    <t>352</t>
  </si>
  <si>
    <t>IS</t>
  </si>
  <si>
    <t>ISL</t>
  </si>
  <si>
    <t>Iceland</t>
  </si>
  <si>
    <t>356</t>
  </si>
  <si>
    <t>IN</t>
  </si>
  <si>
    <t>IND</t>
  </si>
  <si>
    <t>India</t>
  </si>
  <si>
    <t>360</t>
  </si>
  <si>
    <t>ID</t>
  </si>
  <si>
    <t>IDN</t>
  </si>
  <si>
    <t>Indonesia</t>
  </si>
  <si>
    <t>364</t>
  </si>
  <si>
    <t>IR</t>
  </si>
  <si>
    <t>IRN</t>
  </si>
  <si>
    <t>Iran (Islamic Republic of)</t>
  </si>
  <si>
    <t>368</t>
  </si>
  <si>
    <t>IQ</t>
  </si>
  <si>
    <t>IRQ</t>
  </si>
  <si>
    <t>Iraq</t>
  </si>
  <si>
    <t>372</t>
  </si>
  <si>
    <t>IE</t>
  </si>
  <si>
    <t>IRL</t>
  </si>
  <si>
    <t>Ireland</t>
  </si>
  <si>
    <t>833</t>
  </si>
  <si>
    <t>IM</t>
  </si>
  <si>
    <t>IMN</t>
  </si>
  <si>
    <t>Isle of Man</t>
  </si>
  <si>
    <t>376</t>
  </si>
  <si>
    <t>IL</t>
  </si>
  <si>
    <t>ISR</t>
  </si>
  <si>
    <t>Israel</t>
  </si>
  <si>
    <t>380</t>
  </si>
  <si>
    <t>IT</t>
  </si>
  <si>
    <t>ITA</t>
  </si>
  <si>
    <t>Italy</t>
  </si>
  <si>
    <t>388</t>
  </si>
  <si>
    <t>JM</t>
  </si>
  <si>
    <t>JAM</t>
  </si>
  <si>
    <t>Jamaica</t>
  </si>
  <si>
    <t>392</t>
  </si>
  <si>
    <t>JP</t>
  </si>
  <si>
    <t>JPN</t>
  </si>
  <si>
    <t>Japan</t>
  </si>
  <si>
    <t>832</t>
  </si>
  <si>
    <t>JE</t>
  </si>
  <si>
    <t>JEY</t>
  </si>
  <si>
    <t>Jersey</t>
  </si>
  <si>
    <t>400</t>
  </si>
  <si>
    <t>JO</t>
  </si>
  <si>
    <t>JOR</t>
  </si>
  <si>
    <t>Jordan</t>
  </si>
  <si>
    <t>398</t>
  </si>
  <si>
    <t>KZ</t>
  </si>
  <si>
    <t>KAZ</t>
  </si>
  <si>
    <t>Kazakhstan</t>
  </si>
  <si>
    <t>404</t>
  </si>
  <si>
    <t>KE</t>
  </si>
  <si>
    <t>KEN</t>
  </si>
  <si>
    <t>Kenya</t>
  </si>
  <si>
    <t>296</t>
  </si>
  <si>
    <t>KI</t>
  </si>
  <si>
    <t>KIR</t>
  </si>
  <si>
    <t>Kiribati</t>
  </si>
  <si>
    <t>408</t>
  </si>
  <si>
    <t>KP</t>
  </si>
  <si>
    <t>PRK</t>
  </si>
  <si>
    <t>Korea (Democratic People's Republic of)</t>
  </si>
  <si>
    <t>410</t>
  </si>
  <si>
    <t>KR</t>
  </si>
  <si>
    <t>KOR</t>
  </si>
  <si>
    <t>Korea (Republic of)</t>
  </si>
  <si>
    <t>414</t>
  </si>
  <si>
    <t>KW</t>
  </si>
  <si>
    <t>KWT</t>
  </si>
  <si>
    <t>Kuwait</t>
  </si>
  <si>
    <t>417</t>
  </si>
  <si>
    <t>KG</t>
  </si>
  <si>
    <t>KGZ</t>
  </si>
  <si>
    <t>Kyrgyzstan</t>
  </si>
  <si>
    <t>418</t>
  </si>
  <si>
    <t>LA</t>
  </si>
  <si>
    <t>LAO</t>
  </si>
  <si>
    <t>Lao People's Democratic Republic</t>
  </si>
  <si>
    <t>428</t>
  </si>
  <si>
    <t>LV</t>
  </si>
  <si>
    <t>LVA</t>
  </si>
  <si>
    <t>Latvia</t>
  </si>
  <si>
    <t>422</t>
  </si>
  <si>
    <t>LB</t>
  </si>
  <si>
    <t>LBN</t>
  </si>
  <si>
    <t>Lebanon</t>
  </si>
  <si>
    <t>426</t>
  </si>
  <si>
    <t>LS</t>
  </si>
  <si>
    <t>LSO</t>
  </si>
  <si>
    <t>Lesotho</t>
  </si>
  <si>
    <t>430</t>
  </si>
  <si>
    <t>LR</t>
  </si>
  <si>
    <t>LBR</t>
  </si>
  <si>
    <t>Liberia</t>
  </si>
  <si>
    <t>434</t>
  </si>
  <si>
    <t>LY</t>
  </si>
  <si>
    <t>LBY</t>
  </si>
  <si>
    <t>Libya</t>
  </si>
  <si>
    <t>438</t>
  </si>
  <si>
    <t>LI</t>
  </si>
  <si>
    <t>LIE</t>
  </si>
  <si>
    <t>Liechtenstein</t>
  </si>
  <si>
    <t>440</t>
  </si>
  <si>
    <t>LT</t>
  </si>
  <si>
    <t>LTU</t>
  </si>
  <si>
    <t>Lithuania</t>
  </si>
  <si>
    <t>442</t>
  </si>
  <si>
    <t>LU</t>
  </si>
  <si>
    <t>LUX</t>
  </si>
  <si>
    <t>Luxembourg</t>
  </si>
  <si>
    <t>446</t>
  </si>
  <si>
    <t>MO</t>
  </si>
  <si>
    <t>MAC</t>
  </si>
  <si>
    <t>Macao</t>
  </si>
  <si>
    <t>807</t>
  </si>
  <si>
    <t>MK</t>
  </si>
  <si>
    <t>MKD</t>
  </si>
  <si>
    <t>Macedonia (the former Yugoslav Republic of)</t>
  </si>
  <si>
    <t>450</t>
  </si>
  <si>
    <t>MG</t>
  </si>
  <si>
    <t>MDG</t>
  </si>
  <si>
    <t>Madagascar</t>
  </si>
  <si>
    <t>454</t>
  </si>
  <si>
    <t>MW</t>
  </si>
  <si>
    <t>MWI</t>
  </si>
  <si>
    <t>Malawi</t>
  </si>
  <si>
    <t>458</t>
  </si>
  <si>
    <t>MY</t>
  </si>
  <si>
    <t>MYS</t>
  </si>
  <si>
    <t>Malaysia</t>
  </si>
  <si>
    <t>462</t>
  </si>
  <si>
    <t>MV</t>
  </si>
  <si>
    <t>MDV</t>
  </si>
  <si>
    <t>Maldives</t>
  </si>
  <si>
    <t>466</t>
  </si>
  <si>
    <t>ML</t>
  </si>
  <si>
    <t>MLI</t>
  </si>
  <si>
    <t>Mali</t>
  </si>
  <si>
    <t>470</t>
  </si>
  <si>
    <t>MT</t>
  </si>
  <si>
    <t>MLT</t>
  </si>
  <si>
    <t>Malta</t>
  </si>
  <si>
    <t>584</t>
  </si>
  <si>
    <t>MH</t>
  </si>
  <si>
    <t>MHL</t>
  </si>
  <si>
    <t>Marshall Islands</t>
  </si>
  <si>
    <t>474</t>
  </si>
  <si>
    <t>MQ</t>
  </si>
  <si>
    <t>MTQ</t>
  </si>
  <si>
    <t>Martinique</t>
  </si>
  <si>
    <t>478</t>
  </si>
  <si>
    <t>MR</t>
  </si>
  <si>
    <t>MRT</t>
  </si>
  <si>
    <t>Mauritania</t>
  </si>
  <si>
    <t>480</t>
  </si>
  <si>
    <t>MU</t>
  </si>
  <si>
    <t>MUS</t>
  </si>
  <si>
    <t>Mauritius</t>
  </si>
  <si>
    <t>175</t>
  </si>
  <si>
    <t>YT</t>
  </si>
  <si>
    <t>MYT</t>
  </si>
  <si>
    <t>Mayotte</t>
  </si>
  <si>
    <t>484</t>
  </si>
  <si>
    <t>MX</t>
  </si>
  <si>
    <t>MEX</t>
  </si>
  <si>
    <t>Mexico</t>
  </si>
  <si>
    <t>583</t>
  </si>
  <si>
    <t>FM</t>
  </si>
  <si>
    <t>FSM</t>
  </si>
  <si>
    <t>Micronesia (Federated States of)</t>
  </si>
  <si>
    <t>498</t>
  </si>
  <si>
    <t>MD</t>
  </si>
  <si>
    <t>MDA</t>
  </si>
  <si>
    <t>Moldova (Republic of)</t>
  </si>
  <si>
    <t>492</t>
  </si>
  <si>
    <t>MC</t>
  </si>
  <si>
    <t>MCO</t>
  </si>
  <si>
    <t>Monaco</t>
  </si>
  <si>
    <t>496</t>
  </si>
  <si>
    <t>MN</t>
  </si>
  <si>
    <t>MNG</t>
  </si>
  <si>
    <t>Mongolia</t>
  </si>
  <si>
    <t>499</t>
  </si>
  <si>
    <t>ME</t>
  </si>
  <si>
    <t>MNE</t>
  </si>
  <si>
    <t>Montenegro</t>
  </si>
  <si>
    <t>500</t>
  </si>
  <si>
    <t>MS</t>
  </si>
  <si>
    <t>MSR</t>
  </si>
  <si>
    <t>Montserrat</t>
  </si>
  <si>
    <t>504</t>
  </si>
  <si>
    <t>MA</t>
  </si>
  <si>
    <t>MAR</t>
  </si>
  <si>
    <t>Morocco</t>
  </si>
  <si>
    <t>508</t>
  </si>
  <si>
    <t>MZ</t>
  </si>
  <si>
    <t>MOZ</t>
  </si>
  <si>
    <t>Mozambique</t>
  </si>
  <si>
    <t>104</t>
  </si>
  <si>
    <t>MM</t>
  </si>
  <si>
    <t>MMR</t>
  </si>
  <si>
    <t>Myanmar</t>
  </si>
  <si>
    <t>516</t>
  </si>
  <si>
    <t>NA</t>
  </si>
  <si>
    <t>NAM</t>
  </si>
  <si>
    <t>Namibia</t>
  </si>
  <si>
    <t>520</t>
  </si>
  <si>
    <t>NR</t>
  </si>
  <si>
    <t>NRU</t>
  </si>
  <si>
    <t>Nauru</t>
  </si>
  <si>
    <t>524</t>
  </si>
  <si>
    <t>NP</t>
  </si>
  <si>
    <t>NPL</t>
  </si>
  <si>
    <t>Nepal</t>
  </si>
  <si>
    <t>NL</t>
  </si>
  <si>
    <t>NLD</t>
  </si>
  <si>
    <t>Netherlands</t>
  </si>
  <si>
    <t>540</t>
  </si>
  <si>
    <t>NC</t>
  </si>
  <si>
    <t>NCL</t>
  </si>
  <si>
    <t>New Caledonia</t>
  </si>
  <si>
    <t>554</t>
  </si>
  <si>
    <t>NZ</t>
  </si>
  <si>
    <t>NZL</t>
  </si>
  <si>
    <t>New Zealand</t>
  </si>
  <si>
    <t>558</t>
  </si>
  <si>
    <t>NI</t>
  </si>
  <si>
    <t>NIC</t>
  </si>
  <si>
    <t>Nicaragua</t>
  </si>
  <si>
    <t>562</t>
  </si>
  <si>
    <t>NE</t>
  </si>
  <si>
    <t>NER</t>
  </si>
  <si>
    <t>Niger</t>
  </si>
  <si>
    <t>566</t>
  </si>
  <si>
    <t>NG</t>
  </si>
  <si>
    <t>NGA</t>
  </si>
  <si>
    <t>Nigeria</t>
  </si>
  <si>
    <t>570</t>
  </si>
  <si>
    <t>NU</t>
  </si>
  <si>
    <t>NIU</t>
  </si>
  <si>
    <t>Niue</t>
  </si>
  <si>
    <t>574</t>
  </si>
  <si>
    <t>NF</t>
  </si>
  <si>
    <t>NFK</t>
  </si>
  <si>
    <t>Norfolk Island</t>
  </si>
  <si>
    <t>580</t>
  </si>
  <si>
    <t>MP</t>
  </si>
  <si>
    <t>MNP</t>
  </si>
  <si>
    <t>Northern Mariana Islands</t>
  </si>
  <si>
    <t>578</t>
  </si>
  <si>
    <t>NO</t>
  </si>
  <si>
    <t>NOR</t>
  </si>
  <si>
    <t>Norway</t>
  </si>
  <si>
    <t>512</t>
  </si>
  <si>
    <t>OM</t>
  </si>
  <si>
    <t>OMN</t>
  </si>
  <si>
    <t>Oman</t>
  </si>
  <si>
    <t>586</t>
  </si>
  <si>
    <t>PK</t>
  </si>
  <si>
    <t>PAK</t>
  </si>
  <si>
    <t>Pakistan</t>
  </si>
  <si>
    <t>585</t>
  </si>
  <si>
    <t>PW</t>
  </si>
  <si>
    <t>PLW</t>
  </si>
  <si>
    <t>Palau</t>
  </si>
  <si>
    <t>275</t>
  </si>
  <si>
    <t>PS</t>
  </si>
  <si>
    <t>PSE</t>
  </si>
  <si>
    <t>Palestine, State of</t>
  </si>
  <si>
    <t>591</t>
  </si>
  <si>
    <t>PA</t>
  </si>
  <si>
    <t>PAN</t>
  </si>
  <si>
    <t>Panama</t>
  </si>
  <si>
    <t>598</t>
  </si>
  <si>
    <t>PG</t>
  </si>
  <si>
    <t>PNG</t>
  </si>
  <si>
    <t>Papua New Guinea</t>
  </si>
  <si>
    <t>600</t>
  </si>
  <si>
    <t>PY</t>
  </si>
  <si>
    <t>PRY</t>
  </si>
  <si>
    <t>Paraguay</t>
  </si>
  <si>
    <t>604</t>
  </si>
  <si>
    <t>PE</t>
  </si>
  <si>
    <t>PER</t>
  </si>
  <si>
    <t>Peru</t>
  </si>
  <si>
    <t>608</t>
  </si>
  <si>
    <t>PH</t>
  </si>
  <si>
    <t>PHL</t>
  </si>
  <si>
    <t>Philippines</t>
  </si>
  <si>
    <t>612</t>
  </si>
  <si>
    <t>PN</t>
  </si>
  <si>
    <t>PCN</t>
  </si>
  <si>
    <t>Pitcairn</t>
  </si>
  <si>
    <t>616</t>
  </si>
  <si>
    <t>PL</t>
  </si>
  <si>
    <t>POL</t>
  </si>
  <si>
    <t>Poland</t>
  </si>
  <si>
    <t>PT</t>
  </si>
  <si>
    <t>PRT</t>
  </si>
  <si>
    <t>Portugal</t>
  </si>
  <si>
    <t>630</t>
  </si>
  <si>
    <t>PR</t>
  </si>
  <si>
    <t>PRI</t>
  </si>
  <si>
    <t>Puerto Rico</t>
  </si>
  <si>
    <t>634</t>
  </si>
  <si>
    <t>QA</t>
  </si>
  <si>
    <t>QAT</t>
  </si>
  <si>
    <t>Qatar</t>
  </si>
  <si>
    <t>638</t>
  </si>
  <si>
    <t>RE</t>
  </si>
  <si>
    <t>REU</t>
  </si>
  <si>
    <t>Reunion !Réunion</t>
  </si>
  <si>
    <t>642</t>
  </si>
  <si>
    <t>RO</t>
  </si>
  <si>
    <t>ROU</t>
  </si>
  <si>
    <t>Romania</t>
  </si>
  <si>
    <t>643</t>
  </si>
  <si>
    <t>RU</t>
  </si>
  <si>
    <t>RUS</t>
  </si>
  <si>
    <t>Russian Federation</t>
  </si>
  <si>
    <t>646</t>
  </si>
  <si>
    <t>RW</t>
  </si>
  <si>
    <t>RWA</t>
  </si>
  <si>
    <t>Rwanda</t>
  </si>
  <si>
    <t>652</t>
  </si>
  <si>
    <t>BL</t>
  </si>
  <si>
    <t>BLM</t>
  </si>
  <si>
    <t>Saint Barthelemy !Saint Barthélemy</t>
  </si>
  <si>
    <t>654</t>
  </si>
  <si>
    <t>SH</t>
  </si>
  <si>
    <t>SHN</t>
  </si>
  <si>
    <t>Saint Helena, Ascension and Tristan da Cunha</t>
  </si>
  <si>
    <t>659</t>
  </si>
  <si>
    <t>KN</t>
  </si>
  <si>
    <t>KNA</t>
  </si>
  <si>
    <t>Saint Kitts and Nevis</t>
  </si>
  <si>
    <t>662</t>
  </si>
  <si>
    <t>LC</t>
  </si>
  <si>
    <t>LCA</t>
  </si>
  <si>
    <t>Saint Lucia</t>
  </si>
  <si>
    <t>663</t>
  </si>
  <si>
    <t>MF</t>
  </si>
  <si>
    <t>MAF</t>
  </si>
  <si>
    <t>Saint Martin (French part)</t>
  </si>
  <si>
    <t>666</t>
  </si>
  <si>
    <t>PM</t>
  </si>
  <si>
    <t>SPM</t>
  </si>
  <si>
    <t>Saint Pierre and Miquelon</t>
  </si>
  <si>
    <t>670</t>
  </si>
  <si>
    <t>VC</t>
  </si>
  <si>
    <t>VCT</t>
  </si>
  <si>
    <t>Saint Vincent and the Grenadines</t>
  </si>
  <si>
    <t>882</t>
  </si>
  <si>
    <t>WS</t>
  </si>
  <si>
    <t>WSM</t>
  </si>
  <si>
    <t>Samoa</t>
  </si>
  <si>
    <t>674</t>
  </si>
  <si>
    <t>SM</t>
  </si>
  <si>
    <t>SMR</t>
  </si>
  <si>
    <t>San Marino</t>
  </si>
  <si>
    <t>678</t>
  </si>
  <si>
    <t>ST</t>
  </si>
  <si>
    <t>STP</t>
  </si>
  <si>
    <t>Sao Tome and Principe</t>
  </si>
  <si>
    <t>682</t>
  </si>
  <si>
    <t>SA</t>
  </si>
  <si>
    <t>SAU</t>
  </si>
  <si>
    <t>Saudi Arabia</t>
  </si>
  <si>
    <t>686</t>
  </si>
  <si>
    <t>SN</t>
  </si>
  <si>
    <t>SEN</t>
  </si>
  <si>
    <t>Senegal</t>
  </si>
  <si>
    <t>688</t>
  </si>
  <si>
    <t>RS</t>
  </si>
  <si>
    <t>SRB</t>
  </si>
  <si>
    <t>Serbia</t>
  </si>
  <si>
    <t>690</t>
  </si>
  <si>
    <t>SC</t>
  </si>
  <si>
    <t>SYC</t>
  </si>
  <si>
    <t>Seychelles</t>
  </si>
  <si>
    <t>694</t>
  </si>
  <si>
    <t>SL</t>
  </si>
  <si>
    <t>SLE</t>
  </si>
  <si>
    <t>Sierra Leone</t>
  </si>
  <si>
    <t>702</t>
  </si>
  <si>
    <t>SG</t>
  </si>
  <si>
    <t>SGP</t>
  </si>
  <si>
    <t>Singapore</t>
  </si>
  <si>
    <t>534</t>
  </si>
  <si>
    <t>SX</t>
  </si>
  <si>
    <t>SXM</t>
  </si>
  <si>
    <t>Sint Maarten (Dutch part)</t>
  </si>
  <si>
    <t>703</t>
  </si>
  <si>
    <t>SK</t>
  </si>
  <si>
    <t>SVK</t>
  </si>
  <si>
    <t>Slovakia</t>
  </si>
  <si>
    <t>705</t>
  </si>
  <si>
    <t>SI</t>
  </si>
  <si>
    <t>SVN</t>
  </si>
  <si>
    <t>Slovenia</t>
  </si>
  <si>
    <t>090</t>
  </si>
  <si>
    <t>SB</t>
  </si>
  <si>
    <t>SLB</t>
  </si>
  <si>
    <t>Solomon Islands</t>
  </si>
  <si>
    <t>706</t>
  </si>
  <si>
    <t>SO</t>
  </si>
  <si>
    <t>SOM</t>
  </si>
  <si>
    <t>Somalia</t>
  </si>
  <si>
    <t>710</t>
  </si>
  <si>
    <t>ZA</t>
  </si>
  <si>
    <t>ZAF</t>
  </si>
  <si>
    <t>South Africa</t>
  </si>
  <si>
    <t>239</t>
  </si>
  <si>
    <t>GS</t>
  </si>
  <si>
    <t>SGS</t>
  </si>
  <si>
    <t>South Georgia and the South Sandwich Islands</t>
  </si>
  <si>
    <t>728</t>
  </si>
  <si>
    <t>SS</t>
  </si>
  <si>
    <t>SSD</t>
  </si>
  <si>
    <t>South Sudan</t>
  </si>
  <si>
    <t>ES</t>
  </si>
  <si>
    <t>ESP</t>
  </si>
  <si>
    <t>Spain</t>
  </si>
  <si>
    <t>144</t>
  </si>
  <si>
    <t>LK</t>
  </si>
  <si>
    <t>LKA</t>
  </si>
  <si>
    <t>Sri Lanka</t>
  </si>
  <si>
    <t>729</t>
  </si>
  <si>
    <t>SD</t>
  </si>
  <si>
    <t>SDN</t>
  </si>
  <si>
    <t>Sudan</t>
  </si>
  <si>
    <t>740</t>
  </si>
  <si>
    <t>SR</t>
  </si>
  <si>
    <t>SUR</t>
  </si>
  <si>
    <t>Suriname</t>
  </si>
  <si>
    <t>744</t>
  </si>
  <si>
    <t>SJ</t>
  </si>
  <si>
    <t>SJM</t>
  </si>
  <si>
    <t>Svalbard and Jan Mayen</t>
  </si>
  <si>
    <t>748</t>
  </si>
  <si>
    <t>SZ</t>
  </si>
  <si>
    <t>SWZ</t>
  </si>
  <si>
    <t>Swaziland</t>
  </si>
  <si>
    <t>752</t>
  </si>
  <si>
    <t>SE</t>
  </si>
  <si>
    <t>SWE</t>
  </si>
  <si>
    <t>Sweden</t>
  </si>
  <si>
    <t>756</t>
  </si>
  <si>
    <t>CH</t>
  </si>
  <si>
    <t>CHE</t>
  </si>
  <si>
    <t>Switzerland</t>
  </si>
  <si>
    <t>760</t>
  </si>
  <si>
    <t>SY</t>
  </si>
  <si>
    <t>SYR</t>
  </si>
  <si>
    <t>Syrian Arab Republic</t>
  </si>
  <si>
    <t>158</t>
  </si>
  <si>
    <t>TW</t>
  </si>
  <si>
    <t>TWN</t>
  </si>
  <si>
    <t>Taiwan, Province of China[a]</t>
  </si>
  <si>
    <t>762</t>
  </si>
  <si>
    <t>TJ</t>
  </si>
  <si>
    <t>TJK</t>
  </si>
  <si>
    <t>Tajikistan</t>
  </si>
  <si>
    <t>834</t>
  </si>
  <si>
    <t>TZ</t>
  </si>
  <si>
    <t>TZA</t>
  </si>
  <si>
    <t>Tanzania, United Republic of</t>
  </si>
  <si>
    <t>764</t>
  </si>
  <si>
    <t>TH</t>
  </si>
  <si>
    <t>THA</t>
  </si>
  <si>
    <t>Thailand</t>
  </si>
  <si>
    <t>626</t>
  </si>
  <si>
    <t>TL</t>
  </si>
  <si>
    <t>TLS</t>
  </si>
  <si>
    <t>Timor-Leste</t>
  </si>
  <si>
    <t>768</t>
  </si>
  <si>
    <t>TG</t>
  </si>
  <si>
    <t>TGO</t>
  </si>
  <si>
    <t>Togo</t>
  </si>
  <si>
    <t>772</t>
  </si>
  <si>
    <t>TK</t>
  </si>
  <si>
    <t>TKL</t>
  </si>
  <si>
    <t>Tokelau</t>
  </si>
  <si>
    <t>776</t>
  </si>
  <si>
    <t>TO</t>
  </si>
  <si>
    <t>TON</t>
  </si>
  <si>
    <t>Tonga</t>
  </si>
  <si>
    <t>780</t>
  </si>
  <si>
    <t>TT</t>
  </si>
  <si>
    <t>TTO</t>
  </si>
  <si>
    <t>Trinidad and Tobago</t>
  </si>
  <si>
    <t>788</t>
  </si>
  <si>
    <t>TN</t>
  </si>
  <si>
    <t>TUN</t>
  </si>
  <si>
    <t>Tunisia</t>
  </si>
  <si>
    <t>792</t>
  </si>
  <si>
    <t>TR</t>
  </si>
  <si>
    <t>TUR</t>
  </si>
  <si>
    <t>Turkey</t>
  </si>
  <si>
    <t>795</t>
  </si>
  <si>
    <t>TM</t>
  </si>
  <si>
    <t>TKM</t>
  </si>
  <si>
    <t>Turkmenistan</t>
  </si>
  <si>
    <t>796</t>
  </si>
  <si>
    <t>TC</t>
  </si>
  <si>
    <t>TCA</t>
  </si>
  <si>
    <t>Turks and Caicos Islands</t>
  </si>
  <si>
    <t>798</t>
  </si>
  <si>
    <t>TV</t>
  </si>
  <si>
    <t>TUV</t>
  </si>
  <si>
    <t>Tuvalu</t>
  </si>
  <si>
    <t>800</t>
  </si>
  <si>
    <t>UG</t>
  </si>
  <si>
    <t>UGA</t>
  </si>
  <si>
    <t>Uganda</t>
  </si>
  <si>
    <t>804</t>
  </si>
  <si>
    <t>UA</t>
  </si>
  <si>
    <t>UKR</t>
  </si>
  <si>
    <t>Ukraine</t>
  </si>
  <si>
    <t>784</t>
  </si>
  <si>
    <t>AE</t>
  </si>
  <si>
    <t>ARE</t>
  </si>
  <si>
    <t>United Arab Emirates</t>
  </si>
  <si>
    <t>GB</t>
  </si>
  <si>
    <t>GBR</t>
  </si>
  <si>
    <t>United Kingdom of Great Britain and Northern Ireland</t>
  </si>
  <si>
    <t>840</t>
  </si>
  <si>
    <t>US</t>
  </si>
  <si>
    <t>USA</t>
  </si>
  <si>
    <t>United States of America</t>
  </si>
  <si>
    <t>581</t>
  </si>
  <si>
    <t>UM</t>
  </si>
  <si>
    <t>UMI</t>
  </si>
  <si>
    <t>United States Minor Outlying Islands</t>
  </si>
  <si>
    <t>858</t>
  </si>
  <si>
    <t>UY</t>
  </si>
  <si>
    <t>URY</t>
  </si>
  <si>
    <t>Uruguay</t>
  </si>
  <si>
    <t>860</t>
  </si>
  <si>
    <t>UZ</t>
  </si>
  <si>
    <t>UZB</t>
  </si>
  <si>
    <t>Uzbekistan</t>
  </si>
  <si>
    <t>548</t>
  </si>
  <si>
    <t>VU</t>
  </si>
  <si>
    <t>VUT</t>
  </si>
  <si>
    <t>Vanuatu</t>
  </si>
  <si>
    <t>862</t>
  </si>
  <si>
    <t>VE</t>
  </si>
  <si>
    <t>VEN</t>
  </si>
  <si>
    <t>Venezuela (Bolivarian Republic of)</t>
  </si>
  <si>
    <t>704</t>
  </si>
  <si>
    <t>VN</t>
  </si>
  <si>
    <t>VNM</t>
  </si>
  <si>
    <t>Viet Nam</t>
  </si>
  <si>
    <t>092</t>
  </si>
  <si>
    <t>VG</t>
  </si>
  <si>
    <t>VGB</t>
  </si>
  <si>
    <t>Virgin Islands (British)</t>
  </si>
  <si>
    <t>850</t>
  </si>
  <si>
    <t>VI</t>
  </si>
  <si>
    <t>VIR</t>
  </si>
  <si>
    <t>Virgin Islands (U.S.)</t>
  </si>
  <si>
    <t>876</t>
  </si>
  <si>
    <t>WF</t>
  </si>
  <si>
    <t>WLF</t>
  </si>
  <si>
    <t>Wallis and Futuna</t>
  </si>
  <si>
    <t>732</t>
  </si>
  <si>
    <t>EH</t>
  </si>
  <si>
    <t>ESH</t>
  </si>
  <si>
    <t>Western Sahara</t>
  </si>
  <si>
    <t>887</t>
  </si>
  <si>
    <t>YE</t>
  </si>
  <si>
    <t>YEM</t>
  </si>
  <si>
    <t>Yemen</t>
  </si>
  <si>
    <t>894</t>
  </si>
  <si>
    <t>ZM</t>
  </si>
  <si>
    <t>ZMB</t>
  </si>
  <si>
    <t>Zambia</t>
  </si>
  <si>
    <t>716</t>
  </si>
  <si>
    <t>ZW</t>
  </si>
  <si>
    <t>ZWE</t>
  </si>
  <si>
    <t>Zimbabwe</t>
  </si>
  <si>
    <t>Calculation1</t>
  </si>
  <si>
    <t>Calculation2</t>
  </si>
  <si>
    <t>Template</t>
  </si>
  <si>
    <t>Datalake</t>
  </si>
  <si>
    <t xml:space="preserve">Faltam as colunas: </t>
  </si>
  <si>
    <t xml:space="preserve">Type of ma </t>
  </si>
  <si>
    <t>como distinguir entre os diferentes ISDA?</t>
  </si>
  <si>
    <t>Depende do type of ma</t>
  </si>
  <si>
    <t>Onde ir buscar esta informação?</t>
  </si>
  <si>
    <t>Existem linhas que vêm sem gcliente preenchido, maiorparte têm saldo aproximadamente 0 (estas podem se eliminar?), mas existem algumas qe têm saldo elevado. Ex: linha 33 da sheet Derivatives</t>
  </si>
  <si>
    <t>Existem linhas que são claramente do mesmo gcliente e que deveriam estar juntas mas existe um erro no campo gcliente. Ex: linhas 62 e 63 da sheet derivatives</t>
  </si>
  <si>
    <t>Na coluna do master agreement, às linhas que no datalake não tinham informação colocamos apenas o zcliente, será que isto é aceite?</t>
  </si>
  <si>
    <t>Existem algumas linha duplicadas porque no datalake existem 2 master agreement diferentes para o mesmo g cliente. Em muitos deles o problema tem haver com o prefixo adicional "ISDA_". Ex: linhas 31 e 32 da sheet derivatives</t>
  </si>
  <si>
    <t xml:space="preserve">Confirmar se a distinção entre corporate e micro faz sentido. Foi usada a flag pme. Resultou em mais linhas corporate do que no reporte anterior do LDR </t>
  </si>
  <si>
    <t>Existem linhas com saldo=0, o que fazer (pode se eliminar no Datalake)?. Ex: linha 2,3 e 4 da sheet derivatives</t>
  </si>
  <si>
    <t>Valores do colateral deram um pouco diferentes, confirmar se fazem sentido! Foi utilizado o campo mon_equiv_util_ae da tabela AL015_ACT_FIN do Datalake</t>
  </si>
  <si>
    <t>c002x   - Micro &amp; SME</t>
  </si>
  <si>
    <t>c003x   - Corporates</t>
  </si>
  <si>
    <t>c004x   - Institutions</t>
  </si>
  <si>
    <t>c005x   - Other financial corporations</t>
  </si>
  <si>
    <t>Rank 9 - Ranking in insolvency (master scale)</t>
  </si>
  <si>
    <t>FRANCE</t>
  </si>
  <si>
    <t>NETHERLANDS</t>
  </si>
  <si>
    <t>PORTUGAL</t>
  </si>
  <si>
    <t>SPAIN</t>
  </si>
  <si>
    <t>UNITED KINGDOM</t>
  </si>
  <si>
    <t>Instruções</t>
  </si>
  <si>
    <t>tayd91c0_gelem30</t>
  </si>
  <si>
    <t>CENTRO COLOMBO - CENTRO COMERCIAL S.A.</t>
  </si>
  <si>
    <t>BIAL - PORTELA &amp; CA. S.A.</t>
  </si>
  <si>
    <t>4571000052</t>
  </si>
  <si>
    <t>LICONFE-LINHAS INDUSTRIAIS S.A.</t>
  </si>
  <si>
    <t>549300PFXVNW3UBKWU82</t>
  </si>
  <si>
    <t>8046434534</t>
  </si>
  <si>
    <t>GENERGREEN S.G.P.S. S.A.</t>
  </si>
  <si>
    <t>213800GAQM5YF7OFT829</t>
  </si>
  <si>
    <t>7401471742</t>
  </si>
  <si>
    <t>IMPORCELOS, S.A.</t>
  </si>
  <si>
    <t>529900YGSXGLNXRNQA84</t>
  </si>
  <si>
    <t>5100276161</t>
  </si>
  <si>
    <t>DECISAO CRUCIAL UNIPESSOAL LDA</t>
  </si>
  <si>
    <t>213800S63VIWR5BC1M95</t>
  </si>
  <si>
    <t>7401675857</t>
  </si>
  <si>
    <t>IBERLIM - HIGIENE E SUSTENTABILIDADE AMBIENTAL, S.A.</t>
  </si>
  <si>
    <t>PORTUGAL RENEWABLE ENERGY - PTRW UNIPESSOAL LDA</t>
  </si>
  <si>
    <t>7401366107</t>
  </si>
  <si>
    <t>VILAMOURA WORLD S.A.</t>
  </si>
  <si>
    <t>THE NAVIGATOR COMPANY S.A.</t>
  </si>
  <si>
    <t>1- Apagar a informação que consta na folha "Derivatives"</t>
  </si>
  <si>
    <t>4- Se a macro der erro, verificar que a sheet "Derivatives" não tem filtros e recomeçar do inicio</t>
  </si>
  <si>
    <t>2- Copiar a informação da tabela T07.00 extraída do projeto SAS e copiar para a folha "Derivatives"</t>
  </si>
  <si>
    <t>CREDIT AGRICOLE INDOSUEZ-PARIS</t>
  </si>
  <si>
    <t>8008765651</t>
  </si>
  <si>
    <t>WAM6YERMS7OXFZUOY219</t>
  </si>
  <si>
    <t>CITIBANK NA FILIALE FRANKFURT</t>
  </si>
  <si>
    <t>6TJCK1B7E7UTXP528Y04</t>
  </si>
  <si>
    <t>GERMANY</t>
  </si>
  <si>
    <t>8038167865</t>
  </si>
  <si>
    <t>PESTANA INTERNATIONAL HOLDINGS S.A.</t>
  </si>
  <si>
    <t>213800141HC4V3X8R172</t>
  </si>
  <si>
    <t>LUXEMBOURG</t>
  </si>
  <si>
    <t>7401287415</t>
  </si>
  <si>
    <t>VDG HOLDING B.V.</t>
  </si>
  <si>
    <t>7401880665</t>
  </si>
  <si>
    <t>METRO DO PORTO, S.A.</t>
  </si>
  <si>
    <t>2138007ANXLUJXSRU124</t>
  </si>
  <si>
    <t>setor publico</t>
  </si>
  <si>
    <t>8046326172</t>
  </si>
  <si>
    <t>SUGAL - ALIMENTOS, S.A.</t>
  </si>
  <si>
    <t>95980020140005948411</t>
  </si>
  <si>
    <t>8002049418</t>
  </si>
  <si>
    <t>PARQUE EOLICO DA SERRA DO RALO SA</t>
  </si>
  <si>
    <t>7401061786</t>
  </si>
  <si>
    <t>UNIQUE RUG, UNIPESSOAL LDA</t>
  </si>
  <si>
    <t>8945003VT68VLU3AML47</t>
  </si>
  <si>
    <t>7401909303</t>
  </si>
  <si>
    <t>S - ZERO, CERAMICAS DE PORTUGAL, S.A.</t>
  </si>
  <si>
    <t>7402245918</t>
  </si>
  <si>
    <t>NEW DOOR - IMOBILIARIA E CONSTRUCAO, S.A.</t>
  </si>
  <si>
    <t>7400115380</t>
  </si>
  <si>
    <t>REN - REDES ENERGETICAS NACIONAIS SGPS S.A.</t>
  </si>
  <si>
    <t>549300FR1FN48IGHR915</t>
  </si>
  <si>
    <t>8029540733</t>
  </si>
  <si>
    <t>MUNDIFIOS, S.A.</t>
  </si>
  <si>
    <t>549300Y1ZDRRUH3CVI50</t>
  </si>
  <si>
    <t>8024667597</t>
  </si>
  <si>
    <t>SANTANDER TOTTA SEGUROS - COMPANHIA DE SEGUROS DE VIDA S.A</t>
  </si>
  <si>
    <t>NTT DATA PORTUGAL S.A.</t>
  </si>
  <si>
    <t>7400477614</t>
  </si>
  <si>
    <t>MOVHERA HIDROELETRICAS DO NORTE SA</t>
  </si>
  <si>
    <t>7401940249</t>
  </si>
  <si>
    <t>PARQUE EOLICO DE MOURISCA SA</t>
  </si>
  <si>
    <t>7401061771</t>
  </si>
  <si>
    <t>PARQUE EOLICO TERRAS ALTAS DE FAFE, S.A.</t>
  </si>
  <si>
    <t>7400044509</t>
  </si>
  <si>
    <t>LCP - LISBON CRUISE PORT, LDA</t>
  </si>
  <si>
    <t>7401184798</t>
  </si>
  <si>
    <t>LESTENERGIA EXPLORACAO DE PARQUES EOLICOS S.A</t>
  </si>
  <si>
    <t>7400558176</t>
  </si>
  <si>
    <t>MOVITER - EQUIPAMENTOS S.A.</t>
  </si>
  <si>
    <t>549300YVGPV6DE1Z3161</t>
  </si>
  <si>
    <t>8021762339</t>
  </si>
  <si>
    <t>PARQUE EOLICO DE NAVE SA</t>
  </si>
  <si>
    <t>7401061772</t>
  </si>
  <si>
    <t>DULE HOTEL SA</t>
  </si>
  <si>
    <t>5100674067</t>
  </si>
  <si>
    <t>DANIEL PROENCA CARVALHO</t>
  </si>
  <si>
    <t>particulares</t>
  </si>
  <si>
    <t>8000538608</t>
  </si>
  <si>
    <t>INTRAPLAS - INDUSTRIA TRANSFORMADORA DE PLASTICOS S.A.</t>
  </si>
  <si>
    <t>8001128191</t>
  </si>
  <si>
    <t>AMORIM CORK COMPOSITES S.A.</t>
  </si>
  <si>
    <t>213800SITUIW4HZ68L56</t>
  </si>
  <si>
    <t>8002781981</t>
  </si>
  <si>
    <t>DE PRADO FAMILY, LDA</t>
  </si>
  <si>
    <t>7401993464</t>
  </si>
  <si>
    <t>EOLICA DA CORREDOURA SA</t>
  </si>
  <si>
    <t>7401527694</t>
  </si>
  <si>
    <t>GREENVOLT - ENERGIAS RENOVAVEIS, S.A.</t>
  </si>
  <si>
    <t>7400427931</t>
  </si>
  <si>
    <t>CORKSRIBAS - INDUSTRIA GRANULADORA DE CORTICA S.A.</t>
  </si>
  <si>
    <t>213800ABT6SUOBJN6U47</t>
  </si>
  <si>
    <t>7401005946</t>
  </si>
  <si>
    <t>GENERG PORTFOLIO SGPS S.A.</t>
  </si>
  <si>
    <t>213800PP2M75XPDQ3782</t>
  </si>
  <si>
    <t>7400575886</t>
  </si>
  <si>
    <t>AFTERHOUSE, S.A.</t>
  </si>
  <si>
    <t>549300XT5YUNBPDHKJ71</t>
  </si>
  <si>
    <t>7400332226</t>
  </si>
  <si>
    <t>HC - HOSPITAIS CONCESSIONADOS SGPS S.A.</t>
  </si>
  <si>
    <t>7402111535</t>
  </si>
  <si>
    <t>DAV - ACESSORIOS PARA A INDUSTRIA DE TORNEIRAS LDA</t>
  </si>
  <si>
    <t>8046440512</t>
  </si>
  <si>
    <t>ECOGRES - CERAMICA ECOLOGICA, LDA</t>
  </si>
  <si>
    <t>9845000DD4F75BA81459</t>
  </si>
  <si>
    <t>7402193927</t>
  </si>
  <si>
    <t>CENTRO VASCO DA GAMA - CENTRO COMERCIAL S.A.</t>
  </si>
  <si>
    <t>549300IGE6OVXZ96W351</t>
  </si>
  <si>
    <t>5100706413</t>
  </si>
  <si>
    <t>EOLICA DA LOMBA SA</t>
  </si>
  <si>
    <t>7401527695</t>
  </si>
  <si>
    <t>CONESA PORTUGAL, S.A.</t>
  </si>
  <si>
    <t>5100581507</t>
  </si>
  <si>
    <t>FUNDACAO ALFREDO DE SOUSA</t>
  </si>
  <si>
    <t>7401375790</t>
  </si>
  <si>
    <t>GENERG SOL DO ALENTEJO 2 - ENERGIAS RENOVAVEIS, SOCIEDADE UNIPESSOAL L</t>
  </si>
  <si>
    <t>2101694081</t>
  </si>
  <si>
    <t>CORNER AND BORDER - S.A.</t>
  </si>
  <si>
    <t>7402216729</t>
  </si>
  <si>
    <t>FIPORAG - TEXTEIS S.A.</t>
  </si>
  <si>
    <t>549300ICDIME73V1MP25</t>
  </si>
  <si>
    <t>8045084593</t>
  </si>
  <si>
    <t>FERNETO - MAQUINAS E ARTIGOS PARA INDUSTRIA ALIMENTAR S.A.</t>
  </si>
  <si>
    <t>213800CU68OLAP8XAG90</t>
  </si>
  <si>
    <t>6221024217</t>
  </si>
  <si>
    <t>AQUINOS INDUSTRY - BUSINESS AND MANAGEMENT S.A</t>
  </si>
  <si>
    <t>89450056X12T4HIB9P52</t>
  </si>
  <si>
    <t>7402175994</t>
  </si>
  <si>
    <t>EOLICA DO PENEDO SA</t>
  </si>
  <si>
    <t>7401527696</t>
  </si>
  <si>
    <t>BANCO SANTANDER S A</t>
  </si>
  <si>
    <t>K8MS7FD7N5Z2WQ51AZ71</t>
  </si>
  <si>
    <t>CIN GOVESAN SL</t>
  </si>
  <si>
    <t>7401635387</t>
  </si>
  <si>
    <t>c001x   - Households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</si>
</sst>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"/>
    <numFmt numFmtId="165" formatCode="#,##0.00000"/>
    <numFmt numFmtId="166" formatCode="0.000"/>
  </numFmts>
  <fonts count="1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17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17"/>
      <name val="Calibri"/>
      <family val="2"/>
      <scheme val="minor"/>
    </font>
    <font>
      <sz val="8"/>
      <color theme="1"/>
      <name val="Segoe UI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8"/>
      <name val="Calibri"/>
    </font>
  </fonts>
  <fills count="5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2" fillId="0" borderId="0"/>
    <xf numFmtId="0" fontId="9" fillId="0" borderId="0"/>
    <xf numFmtId="0" fontId="11" fillId="0" borderId="0"/>
  </cellStyleXfs>
  <cellXfs count="46">
    <xf numFmtId="0" fontId="0" fillId="0" borderId="0" xfId="0"/>
    <xf numFmtId="0" fontId="2" fillId="0" borderId="0" xfId="1" applyAlignment="1">
      <alignment wrapText="1"/>
    </xf>
    <xf numFmtId="0" fontId="2" fillId="0" borderId="0" xfId="1"/>
    <xf numFmtId="0" fontId="2" fillId="2" borderId="2" xfId="1" applyFill="1" applyBorder="1" applyAlignment="1">
      <alignment horizontal="left" vertical="top" wrapText="1"/>
    </xf>
    <xf numFmtId="0" fontId="2" fillId="2" borderId="3" xfId="1" applyFill="1" applyBorder="1" applyAlignment="1">
      <alignment horizontal="left" vertical="top" wrapText="1"/>
    </xf>
    <xf numFmtId="0" fontId="2" fillId="2" borderId="7" xfId="1" applyFill="1" applyBorder="1" applyAlignment="1">
      <alignment horizontal="left" vertical="top" wrapText="1"/>
    </xf>
    <xf numFmtId="0" fontId="2" fillId="2" borderId="3" xfId="1" quotePrefix="1" applyFill="1" applyBorder="1" applyAlignment="1">
      <alignment horizontal="left" vertical="top" wrapText="1"/>
    </xf>
    <xf numFmtId="0" fontId="3" fillId="2" borderId="4" xfId="1" applyFont="1" applyFill="1" applyBorder="1" applyAlignment="1">
      <alignment horizontal="center" vertical="center" textRotation="90"/>
    </xf>
    <xf numFmtId="0" fontId="2" fillId="2" borderId="6" xfId="1" applyFill="1" applyBorder="1" applyAlignment="1">
      <alignment horizontal="left" vertical="center" wrapText="1"/>
    </xf>
    <xf numFmtId="0" fontId="5" fillId="0" borderId="8" xfId="1" applyFont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4" fontId="5" fillId="0" borderId="9" xfId="1" applyNumberFormat="1" applyFont="1" applyBorder="1" applyAlignment="1">
      <alignment horizontal="center" vertical="center" wrapText="1"/>
    </xf>
    <xf numFmtId="0" fontId="2" fillId="0" borderId="10" xfId="1" applyBorder="1"/>
    <xf numFmtId="0" fontId="5" fillId="0" borderId="11" xfId="1" applyFont="1" applyBorder="1" applyAlignment="1">
      <alignment horizontal="center" vertical="center" wrapText="1"/>
    </xf>
    <xf numFmtId="0" fontId="5" fillId="0" borderId="12" xfId="1" applyFont="1" applyBorder="1" applyAlignment="1">
      <alignment horizontal="center" vertical="center" wrapText="1"/>
    </xf>
    <xf numFmtId="4" fontId="6" fillId="0" borderId="0" xfId="1" applyNumberFormat="1" applyFont="1" applyFill="1" applyAlignment="1">
      <alignment horizontal="left" vertical="top" wrapText="1"/>
    </xf>
    <xf numFmtId="4" fontId="5" fillId="0" borderId="8" xfId="1" applyNumberFormat="1" applyFont="1" applyBorder="1" applyAlignment="1">
      <alignment horizontal="center" vertical="center" wrapText="1"/>
    </xf>
    <xf numFmtId="4" fontId="2" fillId="0" borderId="0" xfId="1" applyNumberFormat="1" applyFill="1"/>
    <xf numFmtId="0" fontId="7" fillId="0" borderId="10" xfId="1" applyFont="1" applyBorder="1" applyAlignment="1">
      <alignment vertical="center" wrapText="1"/>
    </xf>
    <xf numFmtId="166" fontId="2" fillId="0" borderId="0" xfId="1" applyNumberFormat="1"/>
    <xf numFmtId="2" fontId="0" fillId="2" borderId="3" xfId="0" quotePrefix="1" applyNumberFormat="1" applyFill="1" applyBorder="1" applyAlignment="1">
      <alignment horizontal="left" vertical="center"/>
    </xf>
    <xf numFmtId="0" fontId="10" fillId="3" borderId="13" xfId="2" applyFont="1" applyFill="1" applyBorder="1" applyAlignment="1">
      <alignment horizontal="center"/>
    </xf>
    <xf numFmtId="0" fontId="10" fillId="0" borderId="14" xfId="2" applyFont="1" applyFill="1" applyBorder="1" applyAlignment="1">
      <alignment wrapText="1"/>
    </xf>
    <xf numFmtId="0" fontId="11" fillId="0" borderId="0" xfId="3"/>
    <xf numFmtId="164" fontId="11" fillId="0" borderId="0" xfId="3" applyNumberFormat="1"/>
    <xf numFmtId="0" fontId="11" fillId="0" borderId="0" xfId="0" applyFont="1"/>
    <xf numFmtId="4" fontId="6" fillId="0" borderId="10" xfId="1" applyNumberFormat="1" applyFont="1" applyFill="1" applyBorder="1" applyAlignment="1">
      <alignment horizontal="left" vertical="top" wrapText="1"/>
    </xf>
    <xf numFmtId="49" fontId="6" fillId="0" borderId="0" xfId="1" applyNumberFormat="1" applyFont="1" applyFill="1" applyAlignment="1">
      <alignment horizontal="left" vertical="top" wrapText="1"/>
    </xf>
    <xf numFmtId="0" fontId="2" fillId="0" borderId="0" xfId="1" applyFill="1" applyAlignment="1">
      <alignment wrapText="1"/>
    </xf>
    <xf numFmtId="165" fontId="2" fillId="0" borderId="0" xfId="1" applyNumberFormat="1" applyFill="1"/>
    <xf numFmtId="165" fontId="2" fillId="0" borderId="10" xfId="1" applyNumberFormat="1" applyFill="1" applyBorder="1"/>
    <xf numFmtId="4" fontId="2" fillId="0" borderId="10" xfId="1" applyNumberFormat="1" applyFill="1" applyBorder="1"/>
    <xf numFmtId="0" fontId="2" fillId="0" borderId="0" xfId="1" applyFill="1"/>
    <xf numFmtId="0" fontId="12" fillId="0" borderId="0" xfId="0" applyFont="1"/>
    <xf numFmtId="0" fontId="1" fillId="2" borderId="3" xfId="1" applyFont="1" applyFill="1" applyBorder="1" applyAlignment="1">
      <alignment horizontal="left" vertical="top" wrapText="1"/>
    </xf>
    <xf numFmtId="0" fontId="5" fillId="4" borderId="8" xfId="1" applyFont="1" applyFill="1" applyBorder="1" applyAlignment="1">
      <alignment horizontal="center" vertical="center" wrapText="1"/>
    </xf>
    <xf numFmtId="0" fontId="5" fillId="0" borderId="8" xfId="1" applyFont="1" applyFill="1" applyBorder="1" applyAlignment="1">
      <alignment horizontal="center" vertical="center" wrapText="1"/>
    </xf>
    <xf numFmtId="4" fontId="2" fillId="0" borderId="0" xfId="1" applyNumberFormat="1"/>
    <xf numFmtId="164" fontId="0" fillId="0" borderId="0" xfId="0" applyNumberFormat="1"/>
    <xf numFmtId="0" fontId="3" fillId="2" borderId="1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center" vertical="center"/>
    </xf>
    <xf numFmtId="0" fontId="2" fillId="2" borderId="4" xfId="1" applyFill="1" applyBorder="1" applyAlignment="1">
      <alignment horizontal="left" vertical="top" wrapText="1"/>
    </xf>
    <xf numFmtId="0" fontId="2" fillId="2" borderId="5" xfId="1" applyFill="1" applyBorder="1" applyAlignment="1">
      <alignment horizontal="left" vertical="top" wrapText="1"/>
    </xf>
    <xf numFmtId="0" fontId="2" fillId="2" borderId="6" xfId="1" applyFill="1" applyBorder="1" applyAlignment="1">
      <alignment horizontal="left" vertical="top" wrapText="1"/>
    </xf>
    <xf numFmtId="0" fontId="4" fillId="0" borderId="1" xfId="1" applyFont="1" applyBorder="1" applyAlignment="1">
      <alignment horizontal="left" wrapText="1"/>
    </xf>
  </cellXfs>
  <cellStyles count="4">
    <cellStyle name="Normal" xfId="0" builtinId="0"/>
    <cellStyle name="Normal 2" xfId="1"/>
    <cellStyle name="Normal 3" xfId="3"/>
    <cellStyle name="Normal_Sheet1" xfId="2"/>
  </cellStyles>
  <dxfs count="7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19050</xdr:rowOff>
    </xdr:from>
    <xdr:to>
      <xdr:col>1</xdr:col>
      <xdr:colOff>1571625</xdr:colOff>
      <xdr:row>9</xdr:row>
      <xdr:rowOff>85725</xdr:rowOff>
    </xdr:to>
    <xdr:sp macro="[0]!DerivativesT0700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57225" y="1352550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07.00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5"/>
  <sheetViews>
    <sheetView showGridLines="0" workbookViewId="0">
      <selection activeCell="B22" sqref="B22"/>
    </sheetView>
  </sheetViews>
  <sheetFormatPr defaultRowHeight="14.25"/>
  <cols>
    <col min="1" max="1" width="9.1328125" customWidth="1"/>
    <col min="2" max="2" width="86.59765625" bestFit="1" customWidth="1"/>
  </cols>
  <sheetData>
    <row r="2" spans="2:2">
      <c r="B2" s="33" t="s">
        <v>1164</v>
      </c>
    </row>
    <row r="3" spans="2:2">
      <c r="B3" t="s">
        <v>1186</v>
      </c>
    </row>
    <row r="4" spans="2:2">
      <c r="B4" t="s">
        <v>1188</v>
      </c>
    </row>
    <row r="5" spans="2:2">
      <c r="B5" t="s">
        <v>143</v>
      </c>
    </row>
    <row r="6" spans="2:2">
      <c r="B6" s="25" t="s">
        <v>1187</v>
      </c>
    </row>
    <row r="15" spans="2:2">
      <c r="B15" s="2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outlinePr summaryBelow="0" summaryRight="0"/>
    <pageSetUpPr fitToPage="1"/>
  </sheetPr>
  <dimension ref="A1:AC90"/>
  <sheetViews>
    <sheetView showGridLines="0" tabSelected="1" workbookViewId="0">
      <pane xSplit="3" ySplit="7" topLeftCell="D8" activePane="bottomRight" state="frozen"/>
      <selection activeCell="G5" sqref="G5:AK6"/>
      <selection pane="topRight" activeCell="G5" sqref="G5:AK6"/>
      <selection pane="bottomLeft" activeCell="G5" sqref="G5:AK6"/>
      <selection pane="bottomRight" activeCell="E13" sqref="E13"/>
    </sheetView>
  </sheetViews>
  <sheetFormatPr defaultColWidth="9.1328125" defaultRowHeight="14.25"/>
  <cols>
    <col min="1" max="1" width="5.59765625" style="2" customWidth="1"/>
    <col min="2" max="2" width="25.265625" style="2" bestFit="1" customWidth="1"/>
    <col min="3" max="3" width="3.86328125" style="2" bestFit="1" customWidth="1"/>
    <col min="4" max="21" width="20.59765625" style="2" customWidth="1"/>
    <col min="22" max="22" width="25.59765625" style="28" customWidth="1"/>
    <col min="23" max="23" width="9.1328125" style="32"/>
    <col min="24" max="24" width="13.1328125" style="32" bestFit="1" customWidth="1"/>
    <col min="25" max="25" width="11.73046875" style="32" bestFit="1" customWidth="1"/>
    <col min="26" max="26" width="9.1328125" style="32"/>
    <col min="27" max="28" width="9.1328125" style="2"/>
    <col min="29" max="29" width="52.59765625" style="2" customWidth="1"/>
    <col min="30" max="16384" width="9.1328125" style="2"/>
  </cols>
  <sheetData>
    <row r="1" spans="1:26">
      <c r="A1" s="39" t="s">
        <v>100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1"/>
      <c r="W1" s="2"/>
      <c r="X1" s="2"/>
      <c r="Y1" s="2"/>
      <c r="Z1" s="2"/>
    </row>
    <row r="2" spans="1:26">
      <c r="V2" s="1"/>
      <c r="W2" s="2"/>
      <c r="X2" s="2"/>
      <c r="Y2" s="2"/>
      <c r="Z2" s="2"/>
    </row>
    <row r="3" spans="1:26">
      <c r="H3" s="2" t="str">
        <f>IF(Derivatives!H5="ISDA","Yes - ISDA Universal Protocol","No resolution stay recognition")</f>
        <v>No resolution stay recognition</v>
      </c>
      <c r="I3" s="2" t="str">
        <f>IF(Derivatives!H2="ISDA","Yes - ISDA Universal Protocol","Yes - Other Agreement for resolution stay recognition")</f>
        <v>Yes - Other Agreement for resolution stay recognition</v>
      </c>
      <c r="N3" s="37"/>
      <c r="V3" s="1"/>
      <c r="W3" s="2"/>
      <c r="X3" s="2"/>
      <c r="Y3" s="2"/>
      <c r="Z3" s="2"/>
    </row>
    <row r="4" spans="1:26">
      <c r="D4" s="41" t="s">
        <v>101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1"/>
      <c r="W4" s="2"/>
      <c r="X4" s="2"/>
      <c r="Y4" s="2"/>
      <c r="Z4" s="2"/>
    </row>
    <row r="5" spans="1:26" ht="28.5">
      <c r="D5" s="3" t="s">
        <v>102</v>
      </c>
      <c r="E5" s="4" t="s">
        <v>103</v>
      </c>
      <c r="F5" s="42" t="s">
        <v>104</v>
      </c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4"/>
      <c r="V5" s="45"/>
      <c r="W5" s="2"/>
      <c r="X5" s="2"/>
      <c r="Y5" s="2"/>
      <c r="Z5" s="2"/>
    </row>
    <row r="6" spans="1:26" ht="42.75">
      <c r="D6" s="5"/>
      <c r="E6" s="4" t="s">
        <v>105</v>
      </c>
      <c r="F6" s="4" t="s">
        <v>106</v>
      </c>
      <c r="G6" s="4" t="s">
        <v>107</v>
      </c>
      <c r="H6" s="4" t="s">
        <v>108</v>
      </c>
      <c r="I6" s="34" t="s">
        <v>109</v>
      </c>
      <c r="J6" s="34" t="s">
        <v>110</v>
      </c>
      <c r="K6" s="4" t="s">
        <v>111</v>
      </c>
      <c r="L6" s="4" t="s">
        <v>112</v>
      </c>
      <c r="M6" s="4" t="s">
        <v>113</v>
      </c>
      <c r="N6" s="4" t="s">
        <v>114</v>
      </c>
      <c r="O6" s="4" t="s">
        <v>115</v>
      </c>
      <c r="P6" s="34" t="s">
        <v>116</v>
      </c>
      <c r="Q6" s="4" t="s">
        <v>117</v>
      </c>
      <c r="R6" s="4" t="s">
        <v>118</v>
      </c>
      <c r="S6" s="4" t="s">
        <v>119</v>
      </c>
      <c r="T6" s="4" t="s">
        <v>120</v>
      </c>
      <c r="U6" s="4" t="s">
        <v>121</v>
      </c>
      <c r="V6" s="45"/>
      <c r="W6" s="2"/>
      <c r="X6" s="2"/>
      <c r="Y6" s="2"/>
      <c r="Z6" s="2"/>
    </row>
    <row r="7" spans="1:26" ht="14.65" thickBot="1">
      <c r="D7" s="6" t="s">
        <v>122</v>
      </c>
      <c r="E7" s="6" t="s">
        <v>123</v>
      </c>
      <c r="F7" s="6" t="s">
        <v>124</v>
      </c>
      <c r="G7" s="6" t="s">
        <v>125</v>
      </c>
      <c r="H7" s="6" t="s">
        <v>126</v>
      </c>
      <c r="I7" s="6" t="s">
        <v>127</v>
      </c>
      <c r="J7" s="6" t="s">
        <v>128</v>
      </c>
      <c r="K7" s="6" t="s">
        <v>129</v>
      </c>
      <c r="L7" s="6" t="s">
        <v>130</v>
      </c>
      <c r="M7" s="6" t="s">
        <v>131</v>
      </c>
      <c r="N7" s="6" t="s">
        <v>132</v>
      </c>
      <c r="O7" s="6" t="s">
        <v>133</v>
      </c>
      <c r="P7" s="6" t="s">
        <v>134</v>
      </c>
      <c r="Q7" s="6" t="s">
        <v>135</v>
      </c>
      <c r="R7" s="6" t="s">
        <v>136</v>
      </c>
      <c r="S7" s="6" t="s">
        <v>137</v>
      </c>
      <c r="T7" s="6" t="s">
        <v>138</v>
      </c>
      <c r="U7" s="6" t="s">
        <v>139</v>
      </c>
      <c r="V7" s="1"/>
      <c r="W7" s="2"/>
      <c r="X7" s="2"/>
      <c r="Y7" s="2"/>
      <c r="Z7" s="2"/>
    </row>
    <row r="8" spans="1:26" ht="29.25" thickBot="1">
      <c r="A8" s="7" t="s">
        <v>140</v>
      </c>
      <c r="B8" s="8" t="s">
        <v>141</v>
      </c>
      <c r="C8" s="20" t="s">
        <v>142</v>
      </c>
      <c r="D8" s="9">
        <v>1</v>
      </c>
      <c r="E8" s="9" t="s">
        <v>10</v>
      </c>
      <c r="F8" s="9" t="s">
        <v>1158</v>
      </c>
      <c r="G8" s="9" t="s">
        <v>1205</v>
      </c>
      <c r="H8" s="35"/>
      <c r="I8" s="36" t="str">
        <f>IF(Derivatives!F5="ISDA","Yes - ISDA Universal Protocol","No resolution stay recognition")</f>
        <v>No resolution stay recognition</v>
      </c>
      <c r="J8" s="36" t="str">
        <f>IF(Derivatives!F2="ISDA","Yes - ISDA Universal Protocol","Yes - Other Agreement for resolution stay recognition")</f>
        <v>Yes - Other Agreement for resolution stay recognition</v>
      </c>
      <c r="K8" s="9" t="s">
        <v>1202</v>
      </c>
      <c r="L8" s="9" t="str">
        <f>IF(OR(Derivatives!B2="#",Derivatives!B2=""),Derivatives!L2,Derivatives!B2)</f>
        <v>2138007ANXLUJXSRU124</v>
      </c>
      <c r="M8" s="9" t="str">
        <f>IF(L8=Derivatives!B2,"LEI code","Type of identifier, other than LEI or MFI code")</f>
        <v>LEI code</v>
      </c>
      <c r="N8" s="10" t="str">
        <f>Derivatives!C2</f>
        <v>PORTUGAL</v>
      </c>
      <c r="O8" s="10" t="b">
        <f>IF(Derivatives!H2="",FALSE,TRUE)</f>
        <v>0</v>
      </c>
      <c r="P8" s="36" t="str">
        <f>IF(Derivatives!F2="ISDA","UNITED KINGDOM","PORTUGAL")</f>
        <v>PORTUGAL</v>
      </c>
      <c r="Q8" s="9">
        <v>2</v>
      </c>
      <c r="R8" s="9">
        <v>1232992.0900000001</v>
      </c>
      <c r="S8" s="9">
        <f>IF(Derivatives!O2="",0,-Derivatives!O2)</f>
        <v>0</v>
      </c>
      <c r="T8" s="9">
        <v>0</v>
      </c>
      <c r="U8" s="11">
        <f>IF(R8-S8+T8&gt;0,R8-S8+T8,0)</f>
        <v>1232992.0900000001</v>
      </c>
      <c r="V8" s="15"/>
      <c r="W8" s="29"/>
      <c r="X8" s="17"/>
      <c r="Y8" s="17"/>
      <c r="Z8" s="17"/>
    </row>
    <row r="9" spans="1:26" ht="23.65" thickBot="1">
      <c r="C9" s="20" t="s">
        <v>142</v>
      </c>
      <c r="D9" s="9">
        <v>2</v>
      </c>
      <c r="E9" s="9" t="s">
        <v>1302</v>
      </c>
      <c r="F9" s="9" t="s">
        <v>1158</v>
      </c>
      <c r="G9" s="9" t="s">
        <v>1246</v>
      </c>
      <c r="H9" s="35"/>
      <c r="I9" s="36" t="str">
        <f>IF(Derivatives!F6="ISDA","Yes - ISDA Universal Protocol","No resolution stay recognition")</f>
        <v>No resolution stay recognition</v>
      </c>
      <c r="J9" s="36" t="str">
        <f>IF(Derivatives!F3="ISDA","Yes - ISDA Universal Protocol","Yes - Other Agreement for resolution stay recognition")</f>
        <v>Yes - Other Agreement for resolution stay recognition</v>
      </c>
      <c r="K9" s="9" t="s">
        <v>1244</v>
      </c>
      <c r="L9" s="9" t="str">
        <f>IF(OR(Derivatives!B3="#",Derivatives!B3=""),Derivatives!L3,Derivatives!B3)</f>
        <v>8000538608</v>
      </c>
      <c r="M9" s="9" t="str">
        <f>IF(L9=Derivatives!B3,"LEI code","Type of identifier, other than LEI or MFI code")</f>
        <v>Type of identifier, other than LEI or MFI code</v>
      </c>
      <c r="N9" s="10" t="str">
        <f>Derivatives!C3</f>
        <v>PORTUGAL</v>
      </c>
      <c r="O9" s="10" t="b">
        <f>IF(Derivatives!H3="",FALSE,TRUE)</f>
        <v>0</v>
      </c>
      <c r="P9" s="36" t="str">
        <f>IF(Derivatives!F3="ISDA","UNITED KINGDOM","PORTUGAL")</f>
        <v>PORTUGAL</v>
      </c>
      <c r="Q9" s="9">
        <v>2</v>
      </c>
      <c r="R9" s="9">
        <v>3407.32</v>
      </c>
      <c r="S9" s="9">
        <f>IF(Derivatives!O3="",0,-Derivatives!O3)</f>
        <v>0</v>
      </c>
      <c r="T9" s="9">
        <v>0</v>
      </c>
      <c r="U9" s="11">
        <f t="shared" ref="U9:U72" si="0">IF(R9-S9+T9&gt;0,R9-S9+T9,0)</f>
        <v>3407.32</v>
      </c>
      <c r="V9" s="15"/>
      <c r="W9" s="29"/>
      <c r="X9" s="17"/>
      <c r="Y9" s="17"/>
      <c r="Z9" s="17"/>
    </row>
    <row r="10" spans="1:26" ht="23.65" thickBot="1">
      <c r="C10" s="20" t="s">
        <v>142</v>
      </c>
      <c r="D10" s="9">
        <v>3</v>
      </c>
      <c r="E10" s="9" t="s">
        <v>1302</v>
      </c>
      <c r="F10" s="9" t="s">
        <v>1158</v>
      </c>
      <c r="G10" s="9" t="s">
        <v>1282</v>
      </c>
      <c r="H10" s="35"/>
      <c r="I10" s="36" t="str">
        <f>IF(Derivatives!F7="ISDA","Yes - ISDA Universal Protocol","No resolution stay recognition")</f>
        <v>No resolution stay recognition</v>
      </c>
      <c r="J10" s="36" t="str">
        <f>IF(Derivatives!F4="ISDA","Yes - ISDA Universal Protocol","Yes - Other Agreement for resolution stay recognition")</f>
        <v>Yes - Other Agreement for resolution stay recognition</v>
      </c>
      <c r="K10" s="9" t="s">
        <v>1281</v>
      </c>
      <c r="L10" s="9" t="str">
        <f>IF(OR(Derivatives!B4="#",Derivatives!B4=""),Derivatives!L4,Derivatives!B4)</f>
        <v>7401375790</v>
      </c>
      <c r="M10" s="9" t="str">
        <f>IF(L10=Derivatives!B4,"LEI code","Type of identifier, other than LEI or MFI code")</f>
        <v>Type of identifier, other than LEI or MFI code</v>
      </c>
      <c r="N10" s="10" t="str">
        <f>Derivatives!C4</f>
        <v>PORTUGAL</v>
      </c>
      <c r="O10" s="10" t="b">
        <f>IF(Derivatives!H4="",FALSE,TRUE)</f>
        <v>0</v>
      </c>
      <c r="P10" s="36" t="str">
        <f>IF(Derivatives!F4="ISDA","UNITED KINGDOM","PORTUGAL")</f>
        <v>PORTUGAL</v>
      </c>
      <c r="Q10" s="9">
        <v>4</v>
      </c>
      <c r="R10" s="9">
        <v>631938.24</v>
      </c>
      <c r="S10" s="9">
        <f>IF(Derivatives!O4="",0,-Derivatives!O4)</f>
        <v>0</v>
      </c>
      <c r="T10" s="9">
        <v>0</v>
      </c>
      <c r="U10" s="11">
        <f t="shared" si="0"/>
        <v>631938.24</v>
      </c>
      <c r="V10" s="15"/>
      <c r="W10" s="29"/>
      <c r="X10" s="17"/>
      <c r="Y10" s="17"/>
      <c r="Z10" s="17"/>
    </row>
    <row r="11" spans="1:26" ht="23.65" thickBot="1">
      <c r="C11" s="20" t="s">
        <v>142</v>
      </c>
      <c r="D11" s="9">
        <v>4</v>
      </c>
      <c r="E11" s="9" t="s">
        <v>1154</v>
      </c>
      <c r="F11" s="9" t="s">
        <v>1158</v>
      </c>
      <c r="G11" s="9" t="s">
        <v>1215</v>
      </c>
      <c r="H11" s="35"/>
      <c r="I11" s="36" t="str">
        <f>IF(Derivatives!F8="ISDA","Yes - ISDA Universal Protocol","No resolution stay recognition")</f>
        <v>No resolution stay recognition</v>
      </c>
      <c r="J11" s="36" t="str">
        <f>IF(Derivatives!F5="ISDA","Yes - ISDA Universal Protocol","Yes - Other Agreement for resolution stay recognition")</f>
        <v>Yes - Other Agreement for resolution stay recognition</v>
      </c>
      <c r="K11" s="9" t="s">
        <v>1214</v>
      </c>
      <c r="L11" s="9" t="str">
        <f>IF(OR(Derivatives!B5="#",Derivatives!B5=""),Derivatives!L5,Derivatives!B5)</f>
        <v>7402245918</v>
      </c>
      <c r="M11" s="9" t="str">
        <f>IF(L11=Derivatives!B5,"LEI code","Type of identifier, other than LEI or MFI code")</f>
        <v>Type of identifier, other than LEI or MFI code</v>
      </c>
      <c r="N11" s="10" t="str">
        <f>Derivatives!C5</f>
        <v>PORTUGAL</v>
      </c>
      <c r="O11" s="10" t="b">
        <f>IF(Derivatives!H5="",FALSE,TRUE)</f>
        <v>0</v>
      </c>
      <c r="P11" s="36" t="str">
        <f>IF(Derivatives!F5="ISDA","UNITED KINGDOM","PORTUGAL")</f>
        <v>PORTUGAL</v>
      </c>
      <c r="Q11" s="9">
        <v>4</v>
      </c>
      <c r="R11" s="9">
        <v>715383.24</v>
      </c>
      <c r="S11" s="9">
        <f>IF(Derivatives!O5="",0,-Derivatives!O5)</f>
        <v>0</v>
      </c>
      <c r="T11" s="9">
        <v>0</v>
      </c>
      <c r="U11" s="11">
        <f t="shared" si="0"/>
        <v>715383.24</v>
      </c>
      <c r="V11" s="15"/>
      <c r="W11" s="29"/>
      <c r="X11" s="17"/>
      <c r="Y11" s="17"/>
      <c r="Z11" s="17"/>
    </row>
    <row r="12" spans="1:26" s="12" customFormat="1" ht="23.65" thickBot="1">
      <c r="C12" s="20" t="s">
        <v>142</v>
      </c>
      <c r="D12" s="9">
        <v>5</v>
      </c>
      <c r="E12" s="13" t="s">
        <v>1154</v>
      </c>
      <c r="F12" s="9" t="s">
        <v>1158</v>
      </c>
      <c r="G12" s="13" t="s">
        <v>71</v>
      </c>
      <c r="H12" s="35"/>
      <c r="I12" s="36" t="str">
        <f>IF(Derivatives!F9="ISDA","Yes - ISDA Universal Protocol","No resolution stay recognition")</f>
        <v>No resolution stay recognition</v>
      </c>
      <c r="J12" s="36" t="str">
        <f>IF(Derivatives!F6="ISDA","Yes - ISDA Universal Protocol","Yes - Other Agreement for resolution stay recognition")</f>
        <v>Yes - Other Agreement for resolution stay recognition</v>
      </c>
      <c r="K12" s="13" t="s">
        <v>69</v>
      </c>
      <c r="L12" s="9" t="str">
        <f>IF(OR(Derivatives!B6="#",Derivatives!B6=""),Derivatives!L6,Derivatives!B6)</f>
        <v>549300Q571IOUBKZYR69</v>
      </c>
      <c r="M12" s="9" t="str">
        <f>IF(L12=Derivatives!B6,"LEI code","Type of identifier, other than LEI or MFI code")</f>
        <v>LEI code</v>
      </c>
      <c r="N12" s="10" t="str">
        <f>Derivatives!C6</f>
        <v>PORTUGAL</v>
      </c>
      <c r="O12" s="10" t="b">
        <f>IF(Derivatives!H6="",FALSE,TRUE)</f>
        <v>0</v>
      </c>
      <c r="P12" s="36" t="str">
        <f>IF(Derivatives!F6="ISDA","UNITED KINGDOM","PORTUGAL")</f>
        <v>PORTUGAL</v>
      </c>
      <c r="Q12" s="13">
        <v>4</v>
      </c>
      <c r="R12" s="13">
        <v>16974.53</v>
      </c>
      <c r="S12" s="9">
        <f>IF(Derivatives!O6="",0,-Derivatives!O6)</f>
        <v>0</v>
      </c>
      <c r="T12" s="9">
        <v>0</v>
      </c>
      <c r="U12" s="11">
        <f t="shared" si="0"/>
        <v>16974.53</v>
      </c>
      <c r="V12" s="26"/>
      <c r="W12" s="30"/>
      <c r="X12" s="31"/>
      <c r="Y12" s="31"/>
      <c r="Z12" s="31"/>
    </row>
    <row r="13" spans="1:26" ht="23.65" thickBot="1">
      <c r="C13" s="20" t="s">
        <v>142</v>
      </c>
      <c r="D13" s="9">
        <v>6</v>
      </c>
      <c r="E13" s="14" t="s">
        <v>1154</v>
      </c>
      <c r="F13" s="9" t="s">
        <v>1158</v>
      </c>
      <c r="G13" s="14" t="s">
        <v>90</v>
      </c>
      <c r="H13" s="35"/>
      <c r="I13" s="36" t="str">
        <f>IF(Derivatives!F10="ISDA","Yes - ISDA Universal Protocol","No resolution stay recognition")</f>
        <v>No resolution stay recognition</v>
      </c>
      <c r="J13" s="36" t="str">
        <f>IF(Derivatives!F7="ISDA","Yes - ISDA Universal Protocol","Yes - Other Agreement for resolution stay recognition")</f>
        <v>Yes - Other Agreement for resolution stay recognition</v>
      </c>
      <c r="K13" s="14" t="s">
        <v>88</v>
      </c>
      <c r="L13" s="9" t="str">
        <f>IF(OR(Derivatives!B7="#",Derivatives!B7=""),Derivatives!L7,Derivatives!B7)</f>
        <v>984500BD13D56542FB51</v>
      </c>
      <c r="M13" s="9" t="str">
        <f>IF(L13=Derivatives!B7,"LEI code","Type of identifier, other than LEI or MFI code")</f>
        <v>LEI code</v>
      </c>
      <c r="N13" s="10" t="str">
        <f>Derivatives!C7</f>
        <v>PORTUGAL</v>
      </c>
      <c r="O13" s="10" t="b">
        <f>IF(Derivatives!H7="",FALSE,TRUE)</f>
        <v>0</v>
      </c>
      <c r="P13" s="36" t="str">
        <f>IF(Derivatives!F7="ISDA","UNITED KINGDOM","PORTUGAL")</f>
        <v>PORTUGAL</v>
      </c>
      <c r="Q13" s="14">
        <v>4</v>
      </c>
      <c r="R13" s="14">
        <v>77939.75</v>
      </c>
      <c r="S13" s="9">
        <f>IF(Derivatives!O7="",0,-Derivatives!O7)</f>
        <v>0</v>
      </c>
      <c r="T13" s="9">
        <v>0</v>
      </c>
      <c r="U13" s="11">
        <f t="shared" si="0"/>
        <v>77939.75</v>
      </c>
      <c r="V13" s="15"/>
      <c r="W13" s="29"/>
      <c r="X13" s="17"/>
      <c r="Y13" s="17"/>
      <c r="Z13" s="17"/>
    </row>
    <row r="14" spans="1:26" ht="23.65" thickBot="1">
      <c r="C14" s="20" t="s">
        <v>142</v>
      </c>
      <c r="D14" s="9">
        <v>7</v>
      </c>
      <c r="E14" s="9" t="s">
        <v>1154</v>
      </c>
      <c r="F14" s="9" t="s">
        <v>1158</v>
      </c>
      <c r="G14" s="9" t="s">
        <v>1251</v>
      </c>
      <c r="H14" s="35"/>
      <c r="I14" s="36" t="str">
        <f>IF(Derivatives!F11="ISDA","Yes - ISDA Universal Protocol","No resolution stay recognition")</f>
        <v>No resolution stay recognition</v>
      </c>
      <c r="J14" s="36" t="str">
        <f>IF(Derivatives!F8="ISDA","Yes - ISDA Universal Protocol","Yes - Other Agreement for resolution stay recognition")</f>
        <v>Yes - Other Agreement for resolution stay recognition</v>
      </c>
      <c r="K14" s="9" t="s">
        <v>1249</v>
      </c>
      <c r="L14" s="9" t="str">
        <f>IF(OR(Derivatives!B8="#",Derivatives!B8=""),Derivatives!L8,Derivatives!B8)</f>
        <v>213800SITUIW4HZ68L56</v>
      </c>
      <c r="M14" s="9" t="str">
        <f>IF(L14=Derivatives!B8,"LEI code","Type of identifier, other than LEI or MFI code")</f>
        <v>LEI code</v>
      </c>
      <c r="N14" s="10" t="str">
        <f>Derivatives!C8</f>
        <v>PORTUGAL</v>
      </c>
      <c r="O14" s="10" t="b">
        <f>IF(Derivatives!H8="",FALSE,TRUE)</f>
        <v>0</v>
      </c>
      <c r="P14" s="36" t="str">
        <f>IF(Derivatives!F8="ISDA","UNITED KINGDOM","PORTUGAL")</f>
        <v>PORTUGAL</v>
      </c>
      <c r="Q14" s="9">
        <v>12</v>
      </c>
      <c r="R14" s="9">
        <v>105579.83</v>
      </c>
      <c r="S14" s="9">
        <f>IF(Derivatives!O8="",0,-Derivatives!O8)</f>
        <v>0</v>
      </c>
      <c r="T14" s="9">
        <v>0</v>
      </c>
      <c r="U14" s="11">
        <f t="shared" si="0"/>
        <v>105579.83</v>
      </c>
      <c r="V14" s="15"/>
      <c r="W14" s="29"/>
      <c r="X14" s="17"/>
      <c r="Y14" s="17"/>
      <c r="Z14" s="17"/>
    </row>
    <row r="15" spans="1:26" ht="35.25" thickBot="1">
      <c r="C15" s="20" t="s">
        <v>142</v>
      </c>
      <c r="D15" s="9">
        <v>8</v>
      </c>
      <c r="E15" s="9" t="s">
        <v>1154</v>
      </c>
      <c r="F15" s="9" t="s">
        <v>1158</v>
      </c>
      <c r="G15" s="9" t="s">
        <v>1260</v>
      </c>
      <c r="H15" s="35"/>
      <c r="I15" s="36" t="str">
        <f>IF(Derivatives!F12="ISDA","Yes - ISDA Universal Protocol","No resolution stay recognition")</f>
        <v>No resolution stay recognition</v>
      </c>
      <c r="J15" s="36" t="str">
        <f>IF(Derivatives!F9="ISDA","Yes - ISDA Universal Protocol","Yes - Other Agreement for resolution stay recognition")</f>
        <v>Yes - Other Agreement for resolution stay recognition</v>
      </c>
      <c r="K15" s="9" t="s">
        <v>1258</v>
      </c>
      <c r="L15" s="9" t="str">
        <f>IF(OR(Derivatives!B9="#",Derivatives!B9=""),Derivatives!L9,Derivatives!B9)</f>
        <v>213800ABT6SUOBJN6U47</v>
      </c>
      <c r="M15" s="9" t="str">
        <f>IF(L15=Derivatives!B9,"LEI code","Type of identifier, other than LEI or MFI code")</f>
        <v>LEI code</v>
      </c>
      <c r="N15" s="10" t="str">
        <f>Derivatives!C9</f>
        <v>PORTUGAL</v>
      </c>
      <c r="O15" s="10" t="b">
        <f>IF(Derivatives!H9="",FALSE,TRUE)</f>
        <v>0</v>
      </c>
      <c r="P15" s="36" t="str">
        <f>IF(Derivatives!F9="ISDA","UNITED KINGDOM","PORTUGAL")</f>
        <v>PORTUGAL</v>
      </c>
      <c r="Q15" s="9">
        <v>4</v>
      </c>
      <c r="R15" s="9">
        <v>28067.610000000004</v>
      </c>
      <c r="S15" s="9">
        <f>IF(Derivatives!O9="",0,-Derivatives!O9)</f>
        <v>0</v>
      </c>
      <c r="T15" s="9">
        <v>0</v>
      </c>
      <c r="U15" s="11">
        <f t="shared" si="0"/>
        <v>28067.610000000004</v>
      </c>
      <c r="V15" s="15"/>
      <c r="W15" s="29"/>
      <c r="X15" s="17"/>
      <c r="Y15" s="17"/>
      <c r="Z15" s="17"/>
    </row>
    <row r="16" spans="1:26" ht="23.65" thickBot="1">
      <c r="C16" s="20" t="s">
        <v>142</v>
      </c>
      <c r="D16" s="9">
        <v>9</v>
      </c>
      <c r="E16" s="9" t="s">
        <v>1154</v>
      </c>
      <c r="F16" s="9" t="s">
        <v>1158</v>
      </c>
      <c r="G16" s="9" t="s">
        <v>1266</v>
      </c>
      <c r="H16" s="35"/>
      <c r="I16" s="36" t="str">
        <f>IF(Derivatives!F13="ISDA","Yes - ISDA Universal Protocol","No resolution stay recognition")</f>
        <v>No resolution stay recognition</v>
      </c>
      <c r="J16" s="36" t="str">
        <f>IF(Derivatives!F10="ISDA","Yes - ISDA Universal Protocol","Yes - Other Agreement for resolution stay recognition")</f>
        <v>Yes - Other Agreement for resolution stay recognition</v>
      </c>
      <c r="K16" s="9" t="s">
        <v>1264</v>
      </c>
      <c r="L16" s="9" t="str">
        <f>IF(OR(Derivatives!B10="#",Derivatives!B10=""),Derivatives!L10,Derivatives!B10)</f>
        <v>549300XT5YUNBPDHKJ71</v>
      </c>
      <c r="M16" s="9" t="str">
        <f>IF(L16=Derivatives!B10,"LEI code","Type of identifier, other than LEI or MFI code")</f>
        <v>LEI code</v>
      </c>
      <c r="N16" s="10" t="str">
        <f>Derivatives!C10</f>
        <v>PORTUGAL</v>
      </c>
      <c r="O16" s="10" t="b">
        <f>IF(Derivatives!H10="",FALSE,TRUE)</f>
        <v>0</v>
      </c>
      <c r="P16" s="36" t="str">
        <f>IF(Derivatives!F10="ISDA","UNITED KINGDOM","PORTUGAL")</f>
        <v>PORTUGAL</v>
      </c>
      <c r="Q16" s="9">
        <v>2</v>
      </c>
      <c r="R16" s="9">
        <v>9901.02</v>
      </c>
      <c r="S16" s="9">
        <f>IF(Derivatives!O10="",0,-Derivatives!O10)</f>
        <v>0</v>
      </c>
      <c r="T16" s="9">
        <v>0</v>
      </c>
      <c r="U16" s="11">
        <f t="shared" si="0"/>
        <v>9901.02</v>
      </c>
      <c r="V16" s="15"/>
      <c r="W16" s="29"/>
      <c r="X16" s="17"/>
      <c r="Y16" s="17"/>
      <c r="Z16" s="17"/>
    </row>
    <row r="17" spans="3:26" ht="23.65" thickBot="1">
      <c r="C17" s="20" t="s">
        <v>142</v>
      </c>
      <c r="D17" s="9">
        <v>10</v>
      </c>
      <c r="E17" s="9" t="s">
        <v>1154</v>
      </c>
      <c r="F17" s="9" t="s">
        <v>1158</v>
      </c>
      <c r="G17" s="9" t="s">
        <v>64</v>
      </c>
      <c r="H17" s="35"/>
      <c r="I17" s="36" t="str">
        <f>IF(Derivatives!F14="ISDA","Yes - ISDA Universal Protocol","No resolution stay recognition")</f>
        <v>No resolution stay recognition</v>
      </c>
      <c r="J17" s="36" t="str">
        <f>IF(Derivatives!F11="ISDA","Yes - ISDA Universal Protocol","Yes - Other Agreement for resolution stay recognition")</f>
        <v>Yes - Other Agreement for resolution stay recognition</v>
      </c>
      <c r="K17" s="9" t="s">
        <v>62</v>
      </c>
      <c r="L17" s="9" t="str">
        <f>IF(OR(Derivatives!B11="#",Derivatives!B11=""),Derivatives!L11,Derivatives!B11)</f>
        <v>984500EE93D0556F0T29</v>
      </c>
      <c r="M17" s="9" t="str">
        <f>IF(L17=Derivatives!B11,"LEI code","Type of identifier, other than LEI or MFI code")</f>
        <v>LEI code</v>
      </c>
      <c r="N17" s="10" t="str">
        <f>Derivatives!C11</f>
        <v>PORTUGAL</v>
      </c>
      <c r="O17" s="10" t="b">
        <f>IF(Derivatives!H11="",FALSE,TRUE)</f>
        <v>0</v>
      </c>
      <c r="P17" s="36" t="str">
        <f>IF(Derivatives!F11="ISDA","UNITED KINGDOM","PORTUGAL")</f>
        <v>PORTUGAL</v>
      </c>
      <c r="Q17" s="9">
        <v>4</v>
      </c>
      <c r="R17" s="9">
        <v>89120.540000000008</v>
      </c>
      <c r="S17" s="9">
        <f>IF(Derivatives!O11="",0,-Derivatives!O11)</f>
        <v>0</v>
      </c>
      <c r="T17" s="9">
        <v>0</v>
      </c>
      <c r="U17" s="11">
        <f t="shared" si="0"/>
        <v>89120.540000000008</v>
      </c>
      <c r="V17" s="15"/>
      <c r="W17" s="29"/>
      <c r="X17" s="17"/>
      <c r="Y17" s="17"/>
      <c r="Z17" s="17"/>
    </row>
    <row r="18" spans="3:26" ht="23.65" thickBot="1">
      <c r="C18" s="20" t="s">
        <v>142</v>
      </c>
      <c r="D18" s="9">
        <v>11</v>
      </c>
      <c r="E18" s="9" t="s">
        <v>1154</v>
      </c>
      <c r="F18" s="9" t="s">
        <v>1158</v>
      </c>
      <c r="G18" s="9" t="s">
        <v>24</v>
      </c>
      <c r="H18" s="35"/>
      <c r="I18" s="36" t="str">
        <f>IF(Derivatives!F15="ISDA","Yes - ISDA Universal Protocol","No resolution stay recognition")</f>
        <v>No resolution stay recognition</v>
      </c>
      <c r="J18" s="36" t="str">
        <f>IF(Derivatives!F12="ISDA","Yes - ISDA Universal Protocol","Yes - Other Agreement for resolution stay recognition")</f>
        <v>Yes - Other Agreement for resolution stay recognition</v>
      </c>
      <c r="K18" s="9" t="s">
        <v>22</v>
      </c>
      <c r="L18" s="9" t="str">
        <f>IF(OR(Derivatives!B12="#",Derivatives!B12=""),Derivatives!L12,Derivatives!B12)</f>
        <v>213800RQXBBZ6KSP1I72</v>
      </c>
      <c r="M18" s="9" t="str">
        <f>IF(L18=Derivatives!B12,"LEI code","Type of identifier, other than LEI or MFI code")</f>
        <v>LEI code</v>
      </c>
      <c r="N18" s="10" t="str">
        <f>Derivatives!C12</f>
        <v>PORTUGAL</v>
      </c>
      <c r="O18" s="10" t="b">
        <f>IF(Derivatives!H12="",FALSE,TRUE)</f>
        <v>0</v>
      </c>
      <c r="P18" s="36" t="str">
        <f>IF(Derivatives!F12="ISDA","UNITED KINGDOM","PORTUGAL")</f>
        <v>PORTUGAL</v>
      </c>
      <c r="Q18" s="9">
        <v>14</v>
      </c>
      <c r="R18" s="9">
        <v>337108.22000000003</v>
      </c>
      <c r="S18" s="9">
        <f>IF(Derivatives!O12="",0,-Derivatives!O12)</f>
        <v>0</v>
      </c>
      <c r="T18" s="9">
        <v>0</v>
      </c>
      <c r="U18" s="11">
        <f t="shared" si="0"/>
        <v>337108.22000000003</v>
      </c>
      <c r="V18" s="27"/>
      <c r="W18" s="29"/>
      <c r="X18" s="17"/>
      <c r="Y18" s="17"/>
      <c r="Z18" s="17"/>
    </row>
    <row r="19" spans="3:26" ht="23.65" thickBot="1">
      <c r="C19" s="20" t="s">
        <v>142</v>
      </c>
      <c r="D19" s="9">
        <v>12</v>
      </c>
      <c r="E19" s="9" t="s">
        <v>1154</v>
      </c>
      <c r="F19" s="9" t="s">
        <v>1158</v>
      </c>
      <c r="G19" s="9" t="s">
        <v>1273</v>
      </c>
      <c r="H19" s="35"/>
      <c r="I19" s="36" t="str">
        <f>IF(Derivatives!F16="ISDA","Yes - ISDA Universal Protocol","No resolution stay recognition")</f>
        <v>No resolution stay recognition</v>
      </c>
      <c r="J19" s="36" t="str">
        <f>IF(Derivatives!F13="ISDA","Yes - ISDA Universal Protocol","Yes - Other Agreement for resolution stay recognition")</f>
        <v>Yes - Other Agreement for resolution stay recognition</v>
      </c>
      <c r="K19" s="9" t="s">
        <v>1271</v>
      </c>
      <c r="L19" s="9" t="str">
        <f>IF(OR(Derivatives!B13="#",Derivatives!B13=""),Derivatives!L13,Derivatives!B13)</f>
        <v>9845000DD4F75BA81459</v>
      </c>
      <c r="M19" s="9" t="str">
        <f>IF(L19=Derivatives!B13,"LEI code","Type of identifier, other than LEI or MFI code")</f>
        <v>LEI code</v>
      </c>
      <c r="N19" s="10" t="str">
        <f>Derivatives!C13</f>
        <v>PORTUGAL</v>
      </c>
      <c r="O19" s="10" t="b">
        <f>IF(Derivatives!H13="",FALSE,TRUE)</f>
        <v>0</v>
      </c>
      <c r="P19" s="36" t="str">
        <f>IF(Derivatives!F13="ISDA","UNITED KINGDOM","PORTUGAL")</f>
        <v>PORTUGAL</v>
      </c>
      <c r="Q19" s="9">
        <v>2</v>
      </c>
      <c r="R19" s="9">
        <v>37218.239999999998</v>
      </c>
      <c r="S19" s="9">
        <f>IF(Derivatives!O13="",0,-Derivatives!O13)</f>
        <v>0</v>
      </c>
      <c r="T19" s="9">
        <v>0</v>
      </c>
      <c r="U19" s="11">
        <f t="shared" si="0"/>
        <v>37218.239999999998</v>
      </c>
      <c r="V19" s="15"/>
      <c r="W19" s="29"/>
      <c r="X19" s="17"/>
      <c r="Y19" s="17"/>
      <c r="Z19" s="17"/>
    </row>
    <row r="20" spans="3:26" ht="35.25" thickBot="1">
      <c r="C20" s="20" t="s">
        <v>142</v>
      </c>
      <c r="D20" s="9">
        <v>13</v>
      </c>
      <c r="E20" s="9" t="s">
        <v>1154</v>
      </c>
      <c r="F20" s="9" t="s">
        <v>1158</v>
      </c>
      <c r="G20" s="9" t="s">
        <v>50</v>
      </c>
      <c r="H20" s="35"/>
      <c r="I20" s="36" t="str">
        <f>IF(Derivatives!F17="ISDA","Yes - ISDA Universal Protocol","No resolution stay recognition")</f>
        <v>No resolution stay recognition</v>
      </c>
      <c r="J20" s="36" t="str">
        <f>IF(Derivatives!F14="ISDA","Yes - ISDA Universal Protocol","Yes - Other Agreement for resolution stay recognition")</f>
        <v>Yes - Other Agreement for resolution stay recognition</v>
      </c>
      <c r="K20" s="9" t="s">
        <v>48</v>
      </c>
      <c r="L20" s="9" t="str">
        <f>IF(OR(Derivatives!B14="#",Derivatives!B14=""),Derivatives!L14,Derivatives!B14)</f>
        <v>984500ABZ74A0U6F6E37</v>
      </c>
      <c r="M20" s="9" t="str">
        <f>IF(L20=Derivatives!B14,"LEI code","Type of identifier, other than LEI or MFI code")</f>
        <v>LEI code</v>
      </c>
      <c r="N20" s="10" t="str">
        <f>Derivatives!C14</f>
        <v>PORTUGAL</v>
      </c>
      <c r="O20" s="10" t="b">
        <f>IF(Derivatives!H14="",FALSE,TRUE)</f>
        <v>0</v>
      </c>
      <c r="P20" s="36" t="str">
        <f>IF(Derivatives!F14="ISDA","UNITED KINGDOM","PORTUGAL")</f>
        <v>PORTUGAL</v>
      </c>
      <c r="Q20" s="9">
        <v>4</v>
      </c>
      <c r="R20" s="9">
        <v>86698.65</v>
      </c>
      <c r="S20" s="9">
        <f>IF(Derivatives!O14="",0,-Derivatives!O14)</f>
        <v>0</v>
      </c>
      <c r="T20" s="9">
        <v>0</v>
      </c>
      <c r="U20" s="11">
        <f t="shared" si="0"/>
        <v>86698.65</v>
      </c>
      <c r="V20" s="15"/>
      <c r="W20" s="29"/>
      <c r="X20" s="17"/>
      <c r="Y20" s="17"/>
      <c r="Z20" s="17"/>
    </row>
    <row r="21" spans="3:26" ht="35.25" thickBot="1">
      <c r="C21" s="20" t="s">
        <v>142</v>
      </c>
      <c r="D21" s="9">
        <v>14</v>
      </c>
      <c r="E21" s="9" t="s">
        <v>1154</v>
      </c>
      <c r="F21" s="9" t="s">
        <v>1158</v>
      </c>
      <c r="G21" s="9" t="s">
        <v>47</v>
      </c>
      <c r="H21" s="35"/>
      <c r="I21" s="36" t="str">
        <f>IF(Derivatives!F18="ISDA","Yes - ISDA Universal Protocol","No resolution stay recognition")</f>
        <v>No resolution stay recognition</v>
      </c>
      <c r="J21" s="36" t="str">
        <f>IF(Derivatives!F15="ISDA","Yes - ISDA Universal Protocol","Yes - Other Agreement for resolution stay recognition")</f>
        <v>Yes - Other Agreement for resolution stay recognition</v>
      </c>
      <c r="K21" s="9" t="s">
        <v>45</v>
      </c>
      <c r="L21" s="9" t="str">
        <f>IF(OR(Derivatives!B15="#",Derivatives!B15=""),Derivatives!L15,Derivatives!B15)</f>
        <v>2549006IWGF4UVKRSJ88</v>
      </c>
      <c r="M21" s="9" t="str">
        <f>IF(L21=Derivatives!B15,"LEI code","Type of identifier, other than LEI or MFI code")</f>
        <v>LEI code</v>
      </c>
      <c r="N21" s="10" t="str">
        <f>Derivatives!C15</f>
        <v>PORTUGAL</v>
      </c>
      <c r="O21" s="10" t="b">
        <f>IF(Derivatives!H15="",FALSE,TRUE)</f>
        <v>0</v>
      </c>
      <c r="P21" s="36" t="str">
        <f>IF(Derivatives!F15="ISDA","UNITED KINGDOM","PORTUGAL")</f>
        <v>PORTUGAL</v>
      </c>
      <c r="Q21" s="9">
        <v>2</v>
      </c>
      <c r="R21" s="9">
        <v>1376113.19</v>
      </c>
      <c r="S21" s="9">
        <f>IF(Derivatives!O15="",0,-Derivatives!O15)</f>
        <v>0</v>
      </c>
      <c r="T21" s="9">
        <v>0</v>
      </c>
      <c r="U21" s="11">
        <f t="shared" si="0"/>
        <v>1376113.19</v>
      </c>
      <c r="V21" s="15"/>
      <c r="W21" s="29"/>
      <c r="X21" s="17"/>
      <c r="Y21" s="17"/>
      <c r="Z21" s="17"/>
    </row>
    <row r="22" spans="3:26" ht="23.65" thickBot="1">
      <c r="C22" s="20" t="s">
        <v>142</v>
      </c>
      <c r="D22" s="9">
        <v>15</v>
      </c>
      <c r="E22" s="9" t="s">
        <v>1155</v>
      </c>
      <c r="F22" s="9" t="s">
        <v>1158</v>
      </c>
      <c r="G22" s="9" t="s">
        <v>12</v>
      </c>
      <c r="H22" s="35"/>
      <c r="I22" s="36" t="str">
        <f>IF(Derivatives!F19="ISDA","Yes - ISDA Universal Protocol","No resolution stay recognition")</f>
        <v>No resolution stay recognition</v>
      </c>
      <c r="J22" s="36" t="str">
        <f>IF(Derivatives!F16="ISDA","Yes - ISDA Universal Protocol","Yes - Other Agreement for resolution stay recognition")</f>
        <v>Yes - Other Agreement for resolution stay recognition</v>
      </c>
      <c r="K22" s="9"/>
      <c r="L22" s="9" t="str">
        <f>IF(OR(Derivatives!B16="#",Derivatives!B16=""),Derivatives!L16,Derivatives!B16)</f>
        <v>0000000000</v>
      </c>
      <c r="M22" s="9" t="str">
        <f>IF(L22=Derivatives!B16,"LEI code","Type of identifier, other than LEI or MFI code")</f>
        <v>Type of identifier, other than LEI or MFI code</v>
      </c>
      <c r="N22" s="10">
        <f>Derivatives!C16</f>
        <v>0</v>
      </c>
      <c r="O22" s="10" t="b">
        <f>IF(Derivatives!H16="",FALSE,TRUE)</f>
        <v>0</v>
      </c>
      <c r="P22" s="36" t="str">
        <f>IF(Derivatives!F16="ISDA","UNITED KINGDOM","PORTUGAL")</f>
        <v>PORTUGAL</v>
      </c>
      <c r="Q22" s="9">
        <v>2</v>
      </c>
      <c r="R22" s="9">
        <v>-0.06</v>
      </c>
      <c r="S22" s="9">
        <f>IF(Derivatives!O16="",0,-Derivatives!O16)</f>
        <v>0</v>
      </c>
      <c r="T22" s="9">
        <v>0</v>
      </c>
      <c r="U22" s="11">
        <f t="shared" si="0"/>
        <v>0</v>
      </c>
      <c r="V22" s="15"/>
      <c r="W22" s="29"/>
      <c r="X22" s="17"/>
      <c r="Y22" s="17"/>
      <c r="Z22" s="17"/>
    </row>
    <row r="23" spans="3:26" ht="23.65" thickBot="1">
      <c r="C23" s="20" t="s">
        <v>142</v>
      </c>
      <c r="D23" s="9">
        <v>16</v>
      </c>
      <c r="E23" s="9" t="s">
        <v>1155</v>
      </c>
      <c r="F23" s="9" t="s">
        <v>1158</v>
      </c>
      <c r="G23" s="9" t="s">
        <v>1199</v>
      </c>
      <c r="H23" s="35"/>
      <c r="I23" s="36" t="str">
        <f>IF(Derivatives!F20="ISDA","Yes - ISDA Universal Protocol","No resolution stay recognition")</f>
        <v>No resolution stay recognition</v>
      </c>
      <c r="J23" s="36" t="str">
        <f>IF(Derivatives!F17="ISDA","Yes - ISDA Universal Protocol","Yes - Other Agreement for resolution stay recognition")</f>
        <v>Yes - Other Agreement for resolution stay recognition</v>
      </c>
      <c r="K23" s="9" t="s">
        <v>1196</v>
      </c>
      <c r="L23" s="9" t="str">
        <f>IF(OR(Derivatives!B17="#",Derivatives!B17=""),Derivatives!L17,Derivatives!B17)</f>
        <v>213800141HC4V3X8R172</v>
      </c>
      <c r="M23" s="9" t="str">
        <f>IF(L23=Derivatives!B17,"LEI code","Type of identifier, other than LEI or MFI code")</f>
        <v>LEI code</v>
      </c>
      <c r="N23" s="10" t="str">
        <f>Derivatives!C17</f>
        <v>LUXEMBOURG</v>
      </c>
      <c r="O23" s="10" t="b">
        <f>IF(Derivatives!H17="",FALSE,TRUE)</f>
        <v>0</v>
      </c>
      <c r="P23" s="36" t="str">
        <f>IF(Derivatives!F17="ISDA","UNITED KINGDOM","PORTUGAL")</f>
        <v>PORTUGAL</v>
      </c>
      <c r="Q23" s="9">
        <v>2</v>
      </c>
      <c r="R23" s="9">
        <v>1388197.21</v>
      </c>
      <c r="S23" s="9">
        <f>IF(Derivatives!O17="",0,-Derivatives!O17)</f>
        <v>0</v>
      </c>
      <c r="T23" s="9">
        <v>0</v>
      </c>
      <c r="U23" s="11">
        <f t="shared" si="0"/>
        <v>1388197.21</v>
      </c>
      <c r="V23" s="15"/>
      <c r="W23" s="29"/>
      <c r="X23" s="17"/>
      <c r="Y23" s="17"/>
      <c r="Z23" s="17"/>
    </row>
    <row r="24" spans="3:26" ht="23.65" thickBot="1">
      <c r="C24" s="20" t="s">
        <v>142</v>
      </c>
      <c r="D24" s="9">
        <v>17</v>
      </c>
      <c r="E24" s="9" t="s">
        <v>1155</v>
      </c>
      <c r="F24" s="9" t="s">
        <v>1158</v>
      </c>
      <c r="G24" s="9" t="s">
        <v>84</v>
      </c>
      <c r="H24" s="35"/>
      <c r="I24" s="36" t="str">
        <f>IF(Derivatives!F21="ISDA","Yes - ISDA Universal Protocol","No resolution stay recognition")</f>
        <v>No resolution stay recognition</v>
      </c>
      <c r="J24" s="36" t="str">
        <f>IF(Derivatives!F18="ISDA","Yes - ISDA Universal Protocol","Yes - Other Agreement for resolution stay recognition")</f>
        <v>Yes - Other Agreement for resolution stay recognition</v>
      </c>
      <c r="K24" s="9" t="s">
        <v>82</v>
      </c>
      <c r="L24" s="9" t="str">
        <f>IF(OR(Derivatives!B18="#",Derivatives!B18=""),Derivatives!L18,Derivatives!B18)</f>
        <v>549300VHO3DME0N4ZW85</v>
      </c>
      <c r="M24" s="9" t="str">
        <f>IF(L24=Derivatives!B18,"LEI code","Type of identifier, other than LEI or MFI code")</f>
        <v>LEI code</v>
      </c>
      <c r="N24" s="10" t="str">
        <f>Derivatives!C18</f>
        <v>NETHERLANDS</v>
      </c>
      <c r="O24" s="10" t="b">
        <f>IF(Derivatives!H18="",FALSE,TRUE)</f>
        <v>0</v>
      </c>
      <c r="P24" s="36" t="str">
        <f>IF(Derivatives!F18="ISDA","UNITED KINGDOM","PORTUGAL")</f>
        <v>PORTUGAL</v>
      </c>
      <c r="Q24" s="9">
        <v>4</v>
      </c>
      <c r="R24" s="9">
        <v>3009959.0700000003</v>
      </c>
      <c r="S24" s="9">
        <f>IF(Derivatives!O18="",0,-Derivatives!O18)</f>
        <v>0</v>
      </c>
      <c r="T24" s="9">
        <v>0</v>
      </c>
      <c r="U24" s="11">
        <f t="shared" si="0"/>
        <v>3009959.0700000003</v>
      </c>
      <c r="V24" s="15"/>
      <c r="W24" s="29"/>
      <c r="X24" s="17"/>
      <c r="Y24" s="17"/>
      <c r="Z24" s="17"/>
    </row>
    <row r="25" spans="3:26" ht="23.65" thickBot="1">
      <c r="C25" s="20" t="s">
        <v>142</v>
      </c>
      <c r="D25" s="9">
        <v>18</v>
      </c>
      <c r="E25" s="9" t="s">
        <v>1155</v>
      </c>
      <c r="F25" s="9" t="s">
        <v>1158</v>
      </c>
      <c r="G25" s="9" t="s">
        <v>74</v>
      </c>
      <c r="H25" s="35"/>
      <c r="I25" s="36" t="str">
        <f>IF(Derivatives!F22="ISDA","Yes - ISDA Universal Protocol","No resolution stay recognition")</f>
        <v>No resolution stay recognition</v>
      </c>
      <c r="J25" s="36" t="str">
        <f>IF(Derivatives!F19="ISDA","Yes - ISDA Universal Protocol","Yes - Other Agreement for resolution stay recognition")</f>
        <v>Yes - Other Agreement for resolution stay recognition</v>
      </c>
      <c r="K25" s="9" t="s">
        <v>72</v>
      </c>
      <c r="L25" s="9" t="str">
        <f>IF(OR(Derivatives!B19="#",Derivatives!B19=""),Derivatives!L19,Derivatives!B19)</f>
        <v>7401870046</v>
      </c>
      <c r="M25" s="9" t="str">
        <f>IF(L25=Derivatives!B19,"LEI code","Type of identifier, other than LEI or MFI code")</f>
        <v>Type of identifier, other than LEI or MFI code</v>
      </c>
      <c r="N25" s="10" t="str">
        <f>Derivatives!C19</f>
        <v>NETHERLANDS</v>
      </c>
      <c r="O25" s="10" t="b">
        <f>IF(Derivatives!H19="",FALSE,TRUE)</f>
        <v>0</v>
      </c>
      <c r="P25" s="36" t="str">
        <f>IF(Derivatives!F19="ISDA","UNITED KINGDOM","PORTUGAL")</f>
        <v>PORTUGAL</v>
      </c>
      <c r="Q25" s="9">
        <v>2</v>
      </c>
      <c r="R25" s="9">
        <v>551656.37</v>
      </c>
      <c r="S25" s="9">
        <f>IF(Derivatives!O19="",0,-Derivatives!O19)</f>
        <v>0</v>
      </c>
      <c r="T25" s="9">
        <v>0</v>
      </c>
      <c r="U25" s="11">
        <f t="shared" si="0"/>
        <v>551656.37</v>
      </c>
      <c r="V25" s="15"/>
      <c r="W25" s="29"/>
      <c r="X25" s="17"/>
      <c r="Y25" s="17"/>
      <c r="Z25" s="17"/>
    </row>
    <row r="26" spans="3:26" ht="23.65" thickBot="1">
      <c r="C26" s="20" t="s">
        <v>142</v>
      </c>
      <c r="D26" s="9">
        <v>19</v>
      </c>
      <c r="E26" s="9" t="s">
        <v>1155</v>
      </c>
      <c r="F26" s="9" t="s">
        <v>1158</v>
      </c>
      <c r="G26" s="9" t="s">
        <v>1201</v>
      </c>
      <c r="H26" s="35"/>
      <c r="I26" s="36" t="str">
        <f>IF(Derivatives!F23="ISDA","Yes - ISDA Universal Protocol","No resolution stay recognition")</f>
        <v>No resolution stay recognition</v>
      </c>
      <c r="J26" s="36" t="str">
        <f>IF(Derivatives!F20="ISDA","Yes - ISDA Universal Protocol","Yes - Other Agreement for resolution stay recognition")</f>
        <v>Yes - Other Agreement for resolution stay recognition</v>
      </c>
      <c r="K26" s="9" t="s">
        <v>1200</v>
      </c>
      <c r="L26" s="9" t="str">
        <f>IF(OR(Derivatives!B20="#",Derivatives!B20=""),Derivatives!L20,Derivatives!B20)</f>
        <v>7401880665</v>
      </c>
      <c r="M26" s="9" t="str">
        <f>IF(L26=Derivatives!B20,"LEI code","Type of identifier, other than LEI or MFI code")</f>
        <v>Type of identifier, other than LEI or MFI code</v>
      </c>
      <c r="N26" s="10" t="str">
        <f>Derivatives!C20</f>
        <v>NETHERLANDS</v>
      </c>
      <c r="O26" s="10" t="b">
        <f>IF(Derivatives!H20="",FALSE,TRUE)</f>
        <v>0</v>
      </c>
      <c r="P26" s="36" t="str">
        <f>IF(Derivatives!F20="ISDA","UNITED KINGDOM","PORTUGAL")</f>
        <v>PORTUGAL</v>
      </c>
      <c r="Q26" s="9">
        <v>2</v>
      </c>
      <c r="R26" s="9">
        <v>1267792.1199999999</v>
      </c>
      <c r="S26" s="9">
        <f>IF(Derivatives!O20="",0,-Derivatives!O20)</f>
        <v>0</v>
      </c>
      <c r="T26" s="9">
        <v>0</v>
      </c>
      <c r="U26" s="11">
        <f t="shared" si="0"/>
        <v>1267792.1199999999</v>
      </c>
      <c r="V26" s="27"/>
      <c r="W26" s="29"/>
      <c r="X26" s="17"/>
      <c r="Y26" s="17"/>
      <c r="Z26" s="17"/>
    </row>
    <row r="27" spans="3:26" ht="23.65" thickBot="1">
      <c r="C27" s="20" t="s">
        <v>142</v>
      </c>
      <c r="D27" s="9">
        <v>20</v>
      </c>
      <c r="E27" s="9" t="s">
        <v>1155</v>
      </c>
      <c r="F27" s="9" t="s">
        <v>1158</v>
      </c>
      <c r="G27" s="9" t="s">
        <v>92</v>
      </c>
      <c r="H27" s="35"/>
      <c r="I27" s="36" t="str">
        <f>IF(Derivatives!F24="ISDA","Yes - ISDA Universal Protocol","No resolution stay recognition")</f>
        <v>No resolution stay recognition</v>
      </c>
      <c r="J27" s="36" t="str">
        <f>IF(Derivatives!F21="ISDA","Yes - ISDA Universal Protocol","Yes - Other Agreement for resolution stay recognition")</f>
        <v>Yes - Other Agreement for resolution stay recognition</v>
      </c>
      <c r="K27" s="9" t="s">
        <v>1185</v>
      </c>
      <c r="L27" s="9" t="str">
        <f>IF(OR(Derivatives!B21="#",Derivatives!B21=""),Derivatives!L21,Derivatives!B21)</f>
        <v>549300UNIB7M2AXUXS35</v>
      </c>
      <c r="M27" s="9" t="str">
        <f>IF(L27=Derivatives!B21,"LEI code","Type of identifier, other than LEI or MFI code")</f>
        <v>LEI code</v>
      </c>
      <c r="N27" s="10" t="str">
        <f>Derivatives!C21</f>
        <v>PORTUGAL</v>
      </c>
      <c r="O27" s="10" t="b">
        <f>IF(Derivatives!H21="",FALSE,TRUE)</f>
        <v>0</v>
      </c>
      <c r="P27" s="36" t="str">
        <f>IF(Derivatives!F21="ISDA","UNITED KINGDOM","PORTUGAL")</f>
        <v>PORTUGAL</v>
      </c>
      <c r="Q27" s="9">
        <v>24</v>
      </c>
      <c r="R27" s="9">
        <v>1420670.1000000003</v>
      </c>
      <c r="S27" s="9">
        <f>IF(Derivatives!O21="",0,-Derivatives!O21)</f>
        <v>0</v>
      </c>
      <c r="T27" s="9">
        <v>0</v>
      </c>
      <c r="U27" s="11">
        <f t="shared" si="0"/>
        <v>1420670.1000000003</v>
      </c>
      <c r="V27" s="15"/>
      <c r="W27" s="29"/>
      <c r="X27" s="17"/>
      <c r="Y27" s="17"/>
      <c r="Z27" s="17"/>
    </row>
    <row r="28" spans="3:26" ht="23.65" thickBot="1">
      <c r="C28" s="20" t="s">
        <v>142</v>
      </c>
      <c r="D28" s="9">
        <v>21</v>
      </c>
      <c r="E28" s="9" t="s">
        <v>1155</v>
      </c>
      <c r="F28" s="9" t="s">
        <v>1158</v>
      </c>
      <c r="G28" s="9" t="s">
        <v>76</v>
      </c>
      <c r="H28" s="35"/>
      <c r="I28" s="36" t="str">
        <f>IF(Derivatives!F25="ISDA","Yes - ISDA Universal Protocol","No resolution stay recognition")</f>
        <v>No resolution stay recognition</v>
      </c>
      <c r="J28" s="36" t="str">
        <f>IF(Derivatives!F22="ISDA","Yes - ISDA Universal Protocol","Yes - Other Agreement for resolution stay recognition")</f>
        <v>Yes - Other Agreement for resolution stay recognition</v>
      </c>
      <c r="K28" s="9" t="s">
        <v>75</v>
      </c>
      <c r="L28" s="9" t="str">
        <f>IF(OR(Derivatives!B22="#",Derivatives!B22=""),Derivatives!L22,Derivatives!B22)</f>
        <v>8029537126</v>
      </c>
      <c r="M28" s="9" t="str">
        <f>IF(L28=Derivatives!B22,"LEI code","Type of identifier, other than LEI or MFI code")</f>
        <v>Type of identifier, other than LEI or MFI code</v>
      </c>
      <c r="N28" s="10" t="str">
        <f>Derivatives!C22</f>
        <v>PORTUGAL</v>
      </c>
      <c r="O28" s="10" t="b">
        <f>IF(Derivatives!H22="",FALSE,TRUE)</f>
        <v>0</v>
      </c>
      <c r="P28" s="36" t="str">
        <f>IF(Derivatives!F22="ISDA","UNITED KINGDOM","PORTUGAL")</f>
        <v>PORTUGAL</v>
      </c>
      <c r="Q28" s="9">
        <v>2</v>
      </c>
      <c r="R28" s="9">
        <v>297045.74</v>
      </c>
      <c r="S28" s="9">
        <f>IF(Derivatives!O22="",0,-Derivatives!O22)</f>
        <v>0</v>
      </c>
      <c r="T28" s="9">
        <v>0</v>
      </c>
      <c r="U28" s="11">
        <f t="shared" si="0"/>
        <v>297045.74</v>
      </c>
      <c r="V28" s="15"/>
      <c r="W28" s="29"/>
      <c r="X28" s="17"/>
      <c r="Y28" s="17"/>
      <c r="Z28" s="17"/>
    </row>
    <row r="29" spans="3:26" ht="23.65" thickBot="1">
      <c r="C29" s="20" t="s">
        <v>142</v>
      </c>
      <c r="D29" s="9">
        <v>22</v>
      </c>
      <c r="E29" s="9" t="s">
        <v>1155</v>
      </c>
      <c r="F29" s="9" t="s">
        <v>1158</v>
      </c>
      <c r="G29" s="9" t="s">
        <v>87</v>
      </c>
      <c r="H29" s="35"/>
      <c r="I29" s="36" t="str">
        <f>IF(Derivatives!F26="ISDA","Yes - ISDA Universal Protocol","No resolution stay recognition")</f>
        <v>No resolution stay recognition</v>
      </c>
      <c r="J29" s="36" t="str">
        <f>IF(Derivatives!F23="ISDA","Yes - ISDA Universal Protocol","Yes - Other Agreement for resolution stay recognition")</f>
        <v>Yes - Other Agreement for resolution stay recognition</v>
      </c>
      <c r="K29" s="9" t="s">
        <v>85</v>
      </c>
      <c r="L29" s="9" t="str">
        <f>IF(OR(Derivatives!B23="#",Derivatives!B23=""),Derivatives!L23,Derivatives!B23)</f>
        <v>549300QG7DM4U75QUF09</v>
      </c>
      <c r="M29" s="9" t="str">
        <f>IF(L29=Derivatives!B23,"LEI code","Type of identifier, other than LEI or MFI code")</f>
        <v>LEI code</v>
      </c>
      <c r="N29" s="10" t="str">
        <f>Derivatives!C23</f>
        <v>PORTUGAL</v>
      </c>
      <c r="O29" s="10" t="b">
        <f>IF(Derivatives!H23="",FALSE,TRUE)</f>
        <v>0</v>
      </c>
      <c r="P29" s="36" t="str">
        <f>IF(Derivatives!F23="ISDA","UNITED KINGDOM","PORTUGAL")</f>
        <v>PORTUGAL</v>
      </c>
      <c r="Q29" s="9">
        <v>2</v>
      </c>
      <c r="R29" s="9">
        <v>7556.8</v>
      </c>
      <c r="S29" s="9">
        <f>IF(Derivatives!O23="",0,-Derivatives!O23)</f>
        <v>0</v>
      </c>
      <c r="T29" s="9">
        <v>0</v>
      </c>
      <c r="U29" s="11">
        <f t="shared" si="0"/>
        <v>7556.8</v>
      </c>
      <c r="V29" s="15"/>
      <c r="W29" s="29"/>
      <c r="X29" s="17"/>
      <c r="Y29" s="17"/>
      <c r="Z29" s="17"/>
    </row>
    <row r="30" spans="3:26" ht="23.65" thickBot="1">
      <c r="C30" s="20" t="s">
        <v>142</v>
      </c>
      <c r="D30" s="9">
        <v>23</v>
      </c>
      <c r="E30" s="9" t="s">
        <v>1155</v>
      </c>
      <c r="F30" s="9" t="s">
        <v>1158</v>
      </c>
      <c r="G30" s="9" t="s">
        <v>1208</v>
      </c>
      <c r="H30" s="35"/>
      <c r="I30" s="36" t="str">
        <f>IF(Derivatives!F27="ISDA","Yes - ISDA Universal Protocol","No resolution stay recognition")</f>
        <v>No resolution stay recognition</v>
      </c>
      <c r="J30" s="36" t="str">
        <f>IF(Derivatives!F24="ISDA","Yes - ISDA Universal Protocol","Yes - Other Agreement for resolution stay recognition")</f>
        <v>Yes - Other Agreement for resolution stay recognition</v>
      </c>
      <c r="K30" s="9" t="s">
        <v>1206</v>
      </c>
      <c r="L30" s="9" t="str">
        <f>IF(OR(Derivatives!B24="#",Derivatives!B24=""),Derivatives!L24,Derivatives!B24)</f>
        <v>95980020140005948411</v>
      </c>
      <c r="M30" s="9" t="str">
        <f>IF(L30=Derivatives!B24,"LEI code","Type of identifier, other than LEI or MFI code")</f>
        <v>LEI code</v>
      </c>
      <c r="N30" s="10" t="str">
        <f>Derivatives!C24</f>
        <v>PORTUGAL</v>
      </c>
      <c r="O30" s="10" t="b">
        <f>IF(Derivatives!H24="",FALSE,TRUE)</f>
        <v>0</v>
      </c>
      <c r="P30" s="36" t="str">
        <f>IF(Derivatives!F24="ISDA","UNITED KINGDOM","PORTUGAL")</f>
        <v>PORTUGAL</v>
      </c>
      <c r="Q30" s="9">
        <v>2</v>
      </c>
      <c r="R30" s="9">
        <v>125687.25</v>
      </c>
      <c r="S30" s="9">
        <f>IF(Derivatives!O24="",0,-Derivatives!O24)</f>
        <v>0</v>
      </c>
      <c r="T30" s="9">
        <v>0</v>
      </c>
      <c r="U30" s="11">
        <f t="shared" si="0"/>
        <v>125687.25</v>
      </c>
      <c r="V30" s="15"/>
      <c r="W30" s="29"/>
      <c r="X30" s="17"/>
      <c r="Y30" s="17"/>
      <c r="Z30" s="17"/>
    </row>
    <row r="31" spans="3:26" ht="23.65" thickBot="1">
      <c r="C31" s="20" t="s">
        <v>142</v>
      </c>
      <c r="D31" s="9">
        <v>24</v>
      </c>
      <c r="E31" s="9" t="s">
        <v>1155</v>
      </c>
      <c r="F31" s="9" t="s">
        <v>1158</v>
      </c>
      <c r="G31" s="9" t="s">
        <v>1210</v>
      </c>
      <c r="H31" s="35"/>
      <c r="I31" s="36" t="str">
        <f>IF(Derivatives!F28="ISDA","Yes - ISDA Universal Protocol","No resolution stay recognition")</f>
        <v>No resolution stay recognition</v>
      </c>
      <c r="J31" s="36" t="str">
        <f>IF(Derivatives!F25="ISDA","Yes - ISDA Universal Protocol","Yes - Other Agreement for resolution stay recognition")</f>
        <v>Yes - Other Agreement for resolution stay recognition</v>
      </c>
      <c r="K31" s="9" t="s">
        <v>1209</v>
      </c>
      <c r="L31" s="9" t="str">
        <f>IF(OR(Derivatives!B25="#",Derivatives!B25=""),Derivatives!L25,Derivatives!B25)</f>
        <v>7401061786</v>
      </c>
      <c r="M31" s="9" t="str">
        <f>IF(L31=Derivatives!B25,"LEI code","Type of identifier, other than LEI or MFI code")</f>
        <v>Type of identifier, other than LEI or MFI code</v>
      </c>
      <c r="N31" s="10" t="str">
        <f>Derivatives!C25</f>
        <v>PORTUGAL</v>
      </c>
      <c r="O31" s="10" t="b">
        <f>IF(Derivatives!H25="",FALSE,TRUE)</f>
        <v>0</v>
      </c>
      <c r="P31" s="36" t="str">
        <f>IF(Derivatives!F25="ISDA","UNITED KINGDOM","PORTUGAL")</f>
        <v>PORTUGAL</v>
      </c>
      <c r="Q31" s="9">
        <v>4</v>
      </c>
      <c r="R31" s="9">
        <v>142296.56</v>
      </c>
      <c r="S31" s="9">
        <f>IF(Derivatives!O25="",0,-Derivatives!O25)</f>
        <v>0</v>
      </c>
      <c r="T31" s="9">
        <v>0</v>
      </c>
      <c r="U31" s="11">
        <f t="shared" si="0"/>
        <v>142296.56</v>
      </c>
      <c r="V31" s="15"/>
      <c r="W31" s="29"/>
      <c r="X31" s="17"/>
      <c r="Y31" s="17"/>
      <c r="Z31" s="17"/>
    </row>
    <row r="32" spans="3:26" ht="23.65" thickBot="1">
      <c r="C32" s="20" t="s">
        <v>142</v>
      </c>
      <c r="D32" s="9">
        <v>25</v>
      </c>
      <c r="E32" s="9" t="s">
        <v>1155</v>
      </c>
      <c r="F32" s="9" t="s">
        <v>1158</v>
      </c>
      <c r="G32" s="9" t="s">
        <v>1213</v>
      </c>
      <c r="H32" s="35"/>
      <c r="I32" s="36" t="str">
        <f>IF(Derivatives!F29="ISDA","Yes - ISDA Universal Protocol","No resolution stay recognition")</f>
        <v>No resolution stay recognition</v>
      </c>
      <c r="J32" s="36" t="str">
        <f>IF(Derivatives!F26="ISDA","Yes - ISDA Universal Protocol","Yes - Other Agreement for resolution stay recognition")</f>
        <v>Yes - Other Agreement for resolution stay recognition</v>
      </c>
      <c r="K32" s="9" t="s">
        <v>1211</v>
      </c>
      <c r="L32" s="9" t="str">
        <f>IF(OR(Derivatives!B26="#",Derivatives!B26=""),Derivatives!L26,Derivatives!B26)</f>
        <v>8945003VT68VLU3AML47</v>
      </c>
      <c r="M32" s="9" t="str">
        <f>IF(L32=Derivatives!B26,"LEI code","Type of identifier, other than LEI or MFI code")</f>
        <v>LEI code</v>
      </c>
      <c r="N32" s="10" t="str">
        <f>Derivatives!C26</f>
        <v>PORTUGAL</v>
      </c>
      <c r="O32" s="10" t="b">
        <f>IF(Derivatives!H26="",FALSE,TRUE)</f>
        <v>0</v>
      </c>
      <c r="P32" s="36" t="str">
        <f>IF(Derivatives!F26="ISDA","UNITED KINGDOM","PORTUGAL")</f>
        <v>PORTUGAL</v>
      </c>
      <c r="Q32" s="9">
        <v>2</v>
      </c>
      <c r="R32" s="9">
        <v>106427.65000000001</v>
      </c>
      <c r="S32" s="9">
        <f>IF(Derivatives!O26="",0,-Derivatives!O26)</f>
        <v>0</v>
      </c>
      <c r="T32" s="9">
        <v>0</v>
      </c>
      <c r="U32" s="11">
        <f t="shared" si="0"/>
        <v>106427.65000000001</v>
      </c>
      <c r="V32" s="27"/>
      <c r="W32" s="29"/>
      <c r="X32" s="17"/>
      <c r="Y32" s="17"/>
      <c r="Z32" s="17"/>
    </row>
    <row r="33" spans="3:26" s="12" customFormat="1" ht="23.65" thickBot="1">
      <c r="C33" s="20" t="s">
        <v>142</v>
      </c>
      <c r="D33" s="9">
        <v>26</v>
      </c>
      <c r="E33" s="13" t="s">
        <v>1155</v>
      </c>
      <c r="F33" s="9" t="s">
        <v>1158</v>
      </c>
      <c r="G33" s="13" t="s">
        <v>1217</v>
      </c>
      <c r="H33" s="35"/>
      <c r="I33" s="36" t="str">
        <f>IF(Derivatives!F30="ISDA","Yes - ISDA Universal Protocol","No resolution stay recognition")</f>
        <v>No resolution stay recognition</v>
      </c>
      <c r="J33" s="36" t="str">
        <f>IF(Derivatives!F27="ISDA","Yes - ISDA Universal Protocol","Yes - Other Agreement for resolution stay recognition")</f>
        <v>Yes - Other Agreement for resolution stay recognition</v>
      </c>
      <c r="K33" s="13" t="s">
        <v>1216</v>
      </c>
      <c r="L33" s="9" t="str">
        <f>IF(OR(Derivatives!B27="#",Derivatives!B27=""),Derivatives!L27,Derivatives!B27)</f>
        <v>7400115380</v>
      </c>
      <c r="M33" s="9" t="str">
        <f>IF(L33=Derivatives!B27,"LEI code","Type of identifier, other than LEI or MFI code")</f>
        <v>Type of identifier, other than LEI or MFI code</v>
      </c>
      <c r="N33" s="10" t="str">
        <f>Derivatives!C27</f>
        <v>PORTUGAL</v>
      </c>
      <c r="O33" s="10" t="b">
        <f>IF(Derivatives!H27="",FALSE,TRUE)</f>
        <v>0</v>
      </c>
      <c r="P33" s="36" t="str">
        <f>IF(Derivatives!F27="ISDA","UNITED KINGDOM","PORTUGAL")</f>
        <v>PORTUGAL</v>
      </c>
      <c r="Q33" s="13">
        <v>2</v>
      </c>
      <c r="R33" s="13">
        <v>18608.55</v>
      </c>
      <c r="S33" s="9">
        <f>IF(Derivatives!O27="",0,-Derivatives!O27)</f>
        <v>0</v>
      </c>
      <c r="T33" s="9">
        <v>0</v>
      </c>
      <c r="U33" s="11">
        <f t="shared" si="0"/>
        <v>18608.55</v>
      </c>
      <c r="V33" s="26"/>
      <c r="W33" s="30"/>
      <c r="X33" s="31"/>
      <c r="Y33" s="31"/>
      <c r="Z33" s="31"/>
    </row>
    <row r="34" spans="3:26" ht="23.65" thickBot="1">
      <c r="C34" s="20" t="s">
        <v>142</v>
      </c>
      <c r="D34" s="9">
        <v>27</v>
      </c>
      <c r="E34" s="14" t="s">
        <v>1155</v>
      </c>
      <c r="F34" s="9" t="s">
        <v>1158</v>
      </c>
      <c r="G34" s="14" t="s">
        <v>1220</v>
      </c>
      <c r="H34" s="35"/>
      <c r="I34" s="36" t="str">
        <f>IF(Derivatives!F31="ISDA","Yes - ISDA Universal Protocol","No resolution stay recognition")</f>
        <v>No resolution stay recognition</v>
      </c>
      <c r="J34" s="36" t="str">
        <f>IF(Derivatives!F28="ISDA","Yes - ISDA Universal Protocol","Yes - Other Agreement for resolution stay recognition")</f>
        <v>Yes - Other Agreement for resolution stay recognition</v>
      </c>
      <c r="K34" s="14" t="s">
        <v>1218</v>
      </c>
      <c r="L34" s="9" t="str">
        <f>IF(OR(Derivatives!B28="#",Derivatives!B28=""),Derivatives!L28,Derivatives!B28)</f>
        <v>549300FR1FN48IGHR915</v>
      </c>
      <c r="M34" s="9" t="str">
        <f>IF(L34=Derivatives!B28,"LEI code","Type of identifier, other than LEI or MFI code")</f>
        <v>LEI code</v>
      </c>
      <c r="N34" s="10" t="str">
        <f>Derivatives!C28</f>
        <v>PORTUGAL</v>
      </c>
      <c r="O34" s="10" t="b">
        <f>IF(Derivatives!H28="",FALSE,TRUE)</f>
        <v>0</v>
      </c>
      <c r="P34" s="36" t="str">
        <f>IF(Derivatives!F28="ISDA","UNITED KINGDOM","PORTUGAL")</f>
        <v>PORTUGAL</v>
      </c>
      <c r="Q34" s="14">
        <v>2</v>
      </c>
      <c r="R34" s="14">
        <v>7223108.9899999993</v>
      </c>
      <c r="S34" s="9">
        <f>IF(Derivatives!O28="",0,-Derivatives!O28)</f>
        <v>0</v>
      </c>
      <c r="T34" s="9">
        <v>0</v>
      </c>
      <c r="U34" s="11">
        <f t="shared" si="0"/>
        <v>7223108.9899999993</v>
      </c>
      <c r="V34" s="15"/>
      <c r="W34" s="29"/>
      <c r="X34" s="17"/>
      <c r="Y34" s="17"/>
      <c r="Z34" s="17"/>
    </row>
    <row r="35" spans="3:26" ht="23.65" thickBot="1">
      <c r="C35" s="20" t="s">
        <v>142</v>
      </c>
      <c r="D35" s="9">
        <v>28</v>
      </c>
      <c r="E35" s="9" t="s">
        <v>1155</v>
      </c>
      <c r="F35" s="9" t="s">
        <v>1158</v>
      </c>
      <c r="G35" s="9" t="s">
        <v>78</v>
      </c>
      <c r="H35" s="35"/>
      <c r="I35" s="36" t="str">
        <f>IF(Derivatives!F32="ISDA","Yes - ISDA Universal Protocol","No resolution stay recognition")</f>
        <v>No resolution stay recognition</v>
      </c>
      <c r="J35" s="36" t="str">
        <f>IF(Derivatives!F29="ISDA","Yes - ISDA Universal Protocol","Yes - Other Agreement for resolution stay recognition")</f>
        <v>Yes - Other Agreement for resolution stay recognition</v>
      </c>
      <c r="K35" s="9" t="s">
        <v>77</v>
      </c>
      <c r="L35" s="9" t="str">
        <f>IF(OR(Derivatives!B29="#",Derivatives!B29=""),Derivatives!L29,Derivatives!B29)</f>
        <v>8007537441</v>
      </c>
      <c r="M35" s="9" t="str">
        <f>IF(L35=Derivatives!B29,"LEI code","Type of identifier, other than LEI or MFI code")</f>
        <v>Type of identifier, other than LEI or MFI code</v>
      </c>
      <c r="N35" s="10" t="str">
        <f>Derivatives!C29</f>
        <v>PORTUGAL</v>
      </c>
      <c r="O35" s="10" t="b">
        <f>IF(Derivatives!H29="",FALSE,TRUE)</f>
        <v>0</v>
      </c>
      <c r="P35" s="36" t="str">
        <f>IF(Derivatives!F29="ISDA","UNITED KINGDOM","PORTUGAL")</f>
        <v>PORTUGAL</v>
      </c>
      <c r="Q35" s="9">
        <v>2</v>
      </c>
      <c r="R35" s="9">
        <v>256167.37999999998</v>
      </c>
      <c r="S35" s="9">
        <f>IF(Derivatives!O29="",0,-Derivatives!O29)</f>
        <v>0</v>
      </c>
      <c r="T35" s="9">
        <v>0</v>
      </c>
      <c r="U35" s="11">
        <f t="shared" si="0"/>
        <v>256167.37999999998</v>
      </c>
      <c r="V35" s="15"/>
      <c r="W35" s="29"/>
      <c r="X35" s="17"/>
      <c r="Y35" s="17"/>
      <c r="Z35" s="17"/>
    </row>
    <row r="36" spans="3:26" ht="23.65" thickBot="1">
      <c r="C36" s="20" t="s">
        <v>142</v>
      </c>
      <c r="D36" s="9">
        <v>29</v>
      </c>
      <c r="E36" s="9" t="s">
        <v>1155</v>
      </c>
      <c r="F36" s="9" t="s">
        <v>1158</v>
      </c>
      <c r="G36" s="9" t="s">
        <v>1223</v>
      </c>
      <c r="H36" s="35"/>
      <c r="I36" s="36" t="str">
        <f>IF(Derivatives!F33="ISDA","Yes - ISDA Universal Protocol","No resolution stay recognition")</f>
        <v>No resolution stay recognition</v>
      </c>
      <c r="J36" s="36" t="str">
        <f>IF(Derivatives!F30="ISDA","Yes - ISDA Universal Protocol","Yes - Other Agreement for resolution stay recognition")</f>
        <v>Yes - Other Agreement for resolution stay recognition</v>
      </c>
      <c r="K36" s="9" t="s">
        <v>1221</v>
      </c>
      <c r="L36" s="9" t="str">
        <f>IF(OR(Derivatives!B30="#",Derivatives!B30=""),Derivatives!L30,Derivatives!B30)</f>
        <v>549300Y1ZDRRUH3CVI50</v>
      </c>
      <c r="M36" s="9" t="str">
        <f>IF(L36=Derivatives!B30,"LEI code","Type of identifier, other than LEI or MFI code")</f>
        <v>LEI code</v>
      </c>
      <c r="N36" s="10" t="str">
        <f>Derivatives!C30</f>
        <v>PORTUGAL</v>
      </c>
      <c r="O36" s="10" t="b">
        <f>IF(Derivatives!H30="",FALSE,TRUE)</f>
        <v>0</v>
      </c>
      <c r="P36" s="36" t="str">
        <f>IF(Derivatives!F30="ISDA","UNITED KINGDOM","PORTUGAL")</f>
        <v>PORTUGAL</v>
      </c>
      <c r="Q36" s="9">
        <v>12</v>
      </c>
      <c r="R36" s="9">
        <v>42911.950000000004</v>
      </c>
      <c r="S36" s="9">
        <f>IF(Derivatives!O30="",0,-Derivatives!O30)</f>
        <v>0</v>
      </c>
      <c r="T36" s="9">
        <v>0</v>
      </c>
      <c r="U36" s="11">
        <f t="shared" si="0"/>
        <v>42911.950000000004</v>
      </c>
      <c r="V36" s="15"/>
      <c r="W36" s="29"/>
      <c r="X36" s="17"/>
      <c r="Y36" s="17"/>
      <c r="Z36" s="17"/>
    </row>
    <row r="37" spans="3:26" ht="35.25" thickBot="1">
      <c r="C37" s="20" t="s">
        <v>142</v>
      </c>
      <c r="D37" s="9">
        <v>30</v>
      </c>
      <c r="E37" s="9" t="s">
        <v>1155</v>
      </c>
      <c r="F37" s="9" t="s">
        <v>1158</v>
      </c>
      <c r="G37" s="9" t="s">
        <v>1183</v>
      </c>
      <c r="H37" s="35"/>
      <c r="I37" s="36" t="str">
        <f>IF(Derivatives!F34="ISDA","Yes - ISDA Universal Protocol","No resolution stay recognition")</f>
        <v>No resolution stay recognition</v>
      </c>
      <c r="J37" s="36" t="str">
        <f>IF(Derivatives!F31="ISDA","Yes - ISDA Universal Protocol","Yes - Other Agreement for resolution stay recognition")</f>
        <v>Yes - Other Agreement for resolution stay recognition</v>
      </c>
      <c r="K37" s="9" t="s">
        <v>1182</v>
      </c>
      <c r="L37" s="9" t="str">
        <f>IF(OR(Derivatives!B31="#",Derivatives!B31=""),Derivatives!L31,Derivatives!B31)</f>
        <v>7401366107</v>
      </c>
      <c r="M37" s="9" t="str">
        <f>IF(L37=Derivatives!B31,"LEI code","Type of identifier, other than LEI or MFI code")</f>
        <v>Type of identifier, other than LEI or MFI code</v>
      </c>
      <c r="N37" s="10" t="str">
        <f>Derivatives!C31</f>
        <v>PORTUGAL</v>
      </c>
      <c r="O37" s="10" t="b">
        <f>IF(Derivatives!H31="",FALSE,TRUE)</f>
        <v>0</v>
      </c>
      <c r="P37" s="36" t="str">
        <f>IF(Derivatives!F31="ISDA","UNITED KINGDOM","PORTUGAL")</f>
        <v>PORTUGAL</v>
      </c>
      <c r="Q37" s="9">
        <v>2</v>
      </c>
      <c r="R37" s="9">
        <v>7725769.3200000003</v>
      </c>
      <c r="S37" s="9">
        <f>IF(Derivatives!O31="",0,-Derivatives!O31)</f>
        <v>0</v>
      </c>
      <c r="T37" s="9">
        <v>0</v>
      </c>
      <c r="U37" s="11">
        <f t="shared" si="0"/>
        <v>7725769.3200000003</v>
      </c>
      <c r="V37" s="15"/>
      <c r="W37" s="29"/>
      <c r="X37" s="17"/>
      <c r="Y37" s="17"/>
      <c r="Z37" s="17"/>
    </row>
    <row r="38" spans="3:26" ht="23.65" thickBot="1">
      <c r="C38" s="20" t="s">
        <v>142</v>
      </c>
      <c r="D38" s="9">
        <v>31</v>
      </c>
      <c r="E38" s="9" t="s">
        <v>1155</v>
      </c>
      <c r="F38" s="9" t="s">
        <v>1158</v>
      </c>
      <c r="G38" s="9" t="s">
        <v>1171</v>
      </c>
      <c r="H38" s="35"/>
      <c r="I38" s="36" t="str">
        <f>IF(Derivatives!F35="ISDA","Yes - ISDA Universal Protocol","No resolution stay recognition")</f>
        <v>No resolution stay recognition</v>
      </c>
      <c r="J38" s="36" t="str">
        <f>IF(Derivatives!F32="ISDA","Yes - ISDA Universal Protocol","Yes - Other Agreement for resolution stay recognition")</f>
        <v>Yes - Other Agreement for resolution stay recognition</v>
      </c>
      <c r="K38" s="9" t="s">
        <v>1169</v>
      </c>
      <c r="L38" s="9" t="str">
        <f>IF(OR(Derivatives!B32="#",Derivatives!B32=""),Derivatives!L32,Derivatives!B32)</f>
        <v>549300PFXVNW3UBKWU82</v>
      </c>
      <c r="M38" s="9" t="str">
        <f>IF(L38=Derivatives!B32,"LEI code","Type of identifier, other than LEI or MFI code")</f>
        <v>LEI code</v>
      </c>
      <c r="N38" s="10" t="str">
        <f>Derivatives!C32</f>
        <v>PORTUGAL</v>
      </c>
      <c r="O38" s="10" t="b">
        <f>IF(Derivatives!H32="",FALSE,TRUE)</f>
        <v>0</v>
      </c>
      <c r="P38" s="36" t="str">
        <f>IF(Derivatives!F32="ISDA","UNITED KINGDOM","PORTUGAL")</f>
        <v>PORTUGAL</v>
      </c>
      <c r="Q38" s="9">
        <v>4</v>
      </c>
      <c r="R38" s="9">
        <v>1662.2600000000002</v>
      </c>
      <c r="S38" s="9">
        <f>IF(Derivatives!O32="",0,-Derivatives!O32)</f>
        <v>0</v>
      </c>
      <c r="T38" s="9">
        <v>0</v>
      </c>
      <c r="U38" s="11">
        <f t="shared" si="0"/>
        <v>1662.2600000000002</v>
      </c>
      <c r="V38" s="15"/>
      <c r="W38" s="29"/>
      <c r="X38" s="17"/>
      <c r="Y38" s="17"/>
      <c r="Z38" s="17"/>
    </row>
    <row r="39" spans="3:26" ht="23.65" thickBot="1">
      <c r="C39" s="20" t="s">
        <v>142</v>
      </c>
      <c r="D39" s="9">
        <v>32</v>
      </c>
      <c r="E39" s="9" t="s">
        <v>1155</v>
      </c>
      <c r="F39" s="9" t="s">
        <v>1158</v>
      </c>
      <c r="G39" s="9" t="s">
        <v>1226</v>
      </c>
      <c r="H39" s="35"/>
      <c r="I39" s="36" t="str">
        <f>IF(Derivatives!F36="ISDA","Yes - ISDA Universal Protocol","No resolution stay recognition")</f>
        <v>No resolution stay recognition</v>
      </c>
      <c r="J39" s="36" t="str">
        <f>IF(Derivatives!F33="ISDA","Yes - ISDA Universal Protocol","Yes - Other Agreement for resolution stay recognition")</f>
        <v>Yes - Other Agreement for resolution stay recognition</v>
      </c>
      <c r="K39" s="9" t="s">
        <v>1225</v>
      </c>
      <c r="L39" s="9" t="str">
        <f>IF(OR(Derivatives!B33="#",Derivatives!B33=""),Derivatives!L33,Derivatives!B33)</f>
        <v>7400477614</v>
      </c>
      <c r="M39" s="9" t="str">
        <f>IF(L39=Derivatives!B33,"LEI code","Type of identifier, other than LEI or MFI code")</f>
        <v>Type of identifier, other than LEI or MFI code</v>
      </c>
      <c r="N39" s="10" t="str">
        <f>Derivatives!C33</f>
        <v>PORTUGAL</v>
      </c>
      <c r="O39" s="10" t="b">
        <f>IF(Derivatives!H33="",FALSE,TRUE)</f>
        <v>0</v>
      </c>
      <c r="P39" s="36" t="str">
        <f>IF(Derivatives!F33="ISDA","UNITED KINGDOM","PORTUGAL")</f>
        <v>PORTUGAL</v>
      </c>
      <c r="Q39" s="9">
        <v>2</v>
      </c>
      <c r="R39" s="9">
        <v>2027.1000000000001</v>
      </c>
      <c r="S39" s="9">
        <f>IF(Derivatives!O33="",0,-Derivatives!O33)</f>
        <v>0</v>
      </c>
      <c r="T39" s="9">
        <v>0</v>
      </c>
      <c r="U39" s="11">
        <f t="shared" si="0"/>
        <v>2027.1000000000001</v>
      </c>
      <c r="V39" s="15"/>
      <c r="W39" s="29"/>
      <c r="X39" s="17"/>
      <c r="Y39" s="17"/>
      <c r="Z39" s="17"/>
    </row>
    <row r="40" spans="3:26" ht="23.65" thickBot="1">
      <c r="C40" s="20" t="s">
        <v>142</v>
      </c>
      <c r="D40" s="9">
        <v>33</v>
      </c>
      <c r="E40" s="9" t="s">
        <v>1155</v>
      </c>
      <c r="F40" s="9" t="s">
        <v>1158</v>
      </c>
      <c r="G40" s="9" t="s">
        <v>1228</v>
      </c>
      <c r="H40" s="35"/>
      <c r="I40" s="36" t="str">
        <f>IF(Derivatives!F37="ISDA","Yes - ISDA Universal Protocol","No resolution stay recognition")</f>
        <v>No resolution stay recognition</v>
      </c>
      <c r="J40" s="36" t="str">
        <f>IF(Derivatives!F34="ISDA","Yes - ISDA Universal Protocol","Yes - Other Agreement for resolution stay recognition")</f>
        <v>Yes - Other Agreement for resolution stay recognition</v>
      </c>
      <c r="K40" s="9" t="s">
        <v>1227</v>
      </c>
      <c r="L40" s="9" t="str">
        <f>IF(OR(Derivatives!B34="#",Derivatives!B34=""),Derivatives!L34,Derivatives!B34)</f>
        <v>7401940249</v>
      </c>
      <c r="M40" s="9" t="str">
        <f>IF(L40=Derivatives!B34,"LEI code","Type of identifier, other than LEI or MFI code")</f>
        <v>Type of identifier, other than LEI or MFI code</v>
      </c>
      <c r="N40" s="10" t="str">
        <f>Derivatives!C34</f>
        <v>PORTUGAL</v>
      </c>
      <c r="O40" s="10" t="b">
        <f>IF(Derivatives!H34="",FALSE,TRUE)</f>
        <v>0</v>
      </c>
      <c r="P40" s="36" t="str">
        <f>IF(Derivatives!F34="ISDA","UNITED KINGDOM","PORTUGAL")</f>
        <v>PORTUGAL</v>
      </c>
      <c r="Q40" s="9">
        <v>4</v>
      </c>
      <c r="R40" s="9">
        <v>16484392.050000001</v>
      </c>
      <c r="S40" s="9">
        <f>IF(Derivatives!O34="",0,-Derivatives!O34)</f>
        <v>0</v>
      </c>
      <c r="T40" s="9">
        <v>0</v>
      </c>
      <c r="U40" s="11">
        <f t="shared" si="0"/>
        <v>16484392.050000001</v>
      </c>
      <c r="V40" s="15"/>
      <c r="W40" s="29"/>
      <c r="X40" s="17"/>
      <c r="Y40" s="17"/>
      <c r="Z40" s="17"/>
    </row>
    <row r="41" spans="3:26" ht="35.25" thickBot="1">
      <c r="C41" s="20" t="s">
        <v>142</v>
      </c>
      <c r="D41" s="9">
        <v>34</v>
      </c>
      <c r="E41" s="9" t="s">
        <v>1155</v>
      </c>
      <c r="F41" s="9" t="s">
        <v>1158</v>
      </c>
      <c r="G41" s="9" t="s">
        <v>95</v>
      </c>
      <c r="H41" s="35"/>
      <c r="I41" s="36" t="str">
        <f>IF(Derivatives!F38="ISDA","Yes - ISDA Universal Protocol","No resolution stay recognition")</f>
        <v>No resolution stay recognition</v>
      </c>
      <c r="J41" s="36" t="str">
        <f>IF(Derivatives!F35="ISDA","Yes - ISDA Universal Protocol","Yes - Other Agreement for resolution stay recognition")</f>
        <v>Yes - Other Agreement for resolution stay recognition</v>
      </c>
      <c r="K41" s="9" t="s">
        <v>93</v>
      </c>
      <c r="L41" s="9" t="str">
        <f>IF(OR(Derivatives!B35="#",Derivatives!B35=""),Derivatives!L35,Derivatives!B35)</f>
        <v>54930042E6E66VONUC18</v>
      </c>
      <c r="M41" s="9" t="str">
        <f>IF(L41=Derivatives!B35,"LEI code","Type of identifier, other than LEI or MFI code")</f>
        <v>LEI code</v>
      </c>
      <c r="N41" s="10" t="str">
        <f>Derivatives!C35</f>
        <v>PORTUGAL</v>
      </c>
      <c r="O41" s="10" t="b">
        <f>IF(Derivatives!H35="",FALSE,TRUE)</f>
        <v>0</v>
      </c>
      <c r="P41" s="36" t="str">
        <f>IF(Derivatives!F35="ISDA","UNITED KINGDOM","PORTUGAL")</f>
        <v>PORTUGAL</v>
      </c>
      <c r="Q41" s="9">
        <v>6</v>
      </c>
      <c r="R41" s="9">
        <v>13596.219999999998</v>
      </c>
      <c r="S41" s="9">
        <f>IF(Derivatives!O35="",0,-Derivatives!O35)</f>
        <v>0</v>
      </c>
      <c r="T41" s="9">
        <v>0</v>
      </c>
      <c r="U41" s="11">
        <f t="shared" si="0"/>
        <v>13596.219999999998</v>
      </c>
      <c r="V41" s="15"/>
      <c r="W41" s="29"/>
      <c r="X41" s="17"/>
      <c r="Y41" s="17"/>
      <c r="Z41" s="17"/>
    </row>
    <row r="42" spans="3:26" ht="23.65" thickBot="1">
      <c r="C42" s="20" t="s">
        <v>142</v>
      </c>
      <c r="D42" s="9">
        <v>35</v>
      </c>
      <c r="E42" s="9" t="s">
        <v>1155</v>
      </c>
      <c r="F42" s="9" t="s">
        <v>1158</v>
      </c>
      <c r="G42" s="9" t="s">
        <v>1230</v>
      </c>
      <c r="H42" s="35"/>
      <c r="I42" s="36" t="str">
        <f>IF(Derivatives!F39="ISDA","Yes - ISDA Universal Protocol","No resolution stay recognition")</f>
        <v>No resolution stay recognition</v>
      </c>
      <c r="J42" s="36" t="str">
        <f>IF(Derivatives!F36="ISDA","Yes - ISDA Universal Protocol","Yes - Other Agreement for resolution stay recognition")</f>
        <v>Yes - Other Agreement for resolution stay recognition</v>
      </c>
      <c r="K42" s="9" t="s">
        <v>1229</v>
      </c>
      <c r="L42" s="9" t="str">
        <f>IF(OR(Derivatives!B36="#",Derivatives!B36=""),Derivatives!L36,Derivatives!B36)</f>
        <v>7401061771</v>
      </c>
      <c r="M42" s="9" t="str">
        <f>IF(L42=Derivatives!B36,"LEI code","Type of identifier, other than LEI or MFI code")</f>
        <v>Type of identifier, other than LEI or MFI code</v>
      </c>
      <c r="N42" s="10" t="str">
        <f>Derivatives!C36</f>
        <v>PORTUGAL</v>
      </c>
      <c r="O42" s="10" t="b">
        <f>IF(Derivatives!H36="",FALSE,TRUE)</f>
        <v>0</v>
      </c>
      <c r="P42" s="36" t="str">
        <f>IF(Derivatives!F36="ISDA","UNITED KINGDOM","PORTUGAL")</f>
        <v>PORTUGAL</v>
      </c>
      <c r="Q42" s="9">
        <v>4</v>
      </c>
      <c r="R42" s="9">
        <v>133551.16</v>
      </c>
      <c r="S42" s="9">
        <f>IF(Derivatives!O36="",0,-Derivatives!O36)</f>
        <v>0</v>
      </c>
      <c r="T42" s="9">
        <v>0</v>
      </c>
      <c r="U42" s="11">
        <f t="shared" si="0"/>
        <v>133551.16</v>
      </c>
      <c r="V42" s="15"/>
      <c r="W42" s="29"/>
      <c r="X42" s="17"/>
      <c r="Y42" s="17"/>
      <c r="Z42" s="17"/>
    </row>
    <row r="43" spans="3:26" ht="23.65" thickBot="1">
      <c r="C43" s="20" t="s">
        <v>142</v>
      </c>
      <c r="D43" s="9">
        <v>36</v>
      </c>
      <c r="E43" s="9" t="s">
        <v>1155</v>
      </c>
      <c r="F43" s="9" t="s">
        <v>1158</v>
      </c>
      <c r="G43" s="9" t="s">
        <v>1232</v>
      </c>
      <c r="H43" s="35"/>
      <c r="I43" s="36" t="str">
        <f>IF(Derivatives!F40="ISDA","Yes - ISDA Universal Protocol","No resolution stay recognition")</f>
        <v>No resolution stay recognition</v>
      </c>
      <c r="J43" s="36" t="str">
        <f>IF(Derivatives!F37="ISDA","Yes - ISDA Universal Protocol","Yes - Other Agreement for resolution stay recognition")</f>
        <v>Yes - Other Agreement for resolution stay recognition</v>
      </c>
      <c r="K43" s="9" t="s">
        <v>1231</v>
      </c>
      <c r="L43" s="9" t="str">
        <f>IF(OR(Derivatives!B37="#",Derivatives!B37=""),Derivatives!L37,Derivatives!B37)</f>
        <v>7400044509</v>
      </c>
      <c r="M43" s="9" t="str">
        <f>IF(L43=Derivatives!B37,"LEI code","Type of identifier, other than LEI or MFI code")</f>
        <v>Type of identifier, other than LEI or MFI code</v>
      </c>
      <c r="N43" s="10" t="str">
        <f>Derivatives!C37</f>
        <v>PORTUGAL</v>
      </c>
      <c r="O43" s="10" t="b">
        <f>IF(Derivatives!H37="",FALSE,TRUE)</f>
        <v>0</v>
      </c>
      <c r="P43" s="36" t="str">
        <f>IF(Derivatives!F37="ISDA","UNITED KINGDOM","PORTUGAL")</f>
        <v>PORTUGAL</v>
      </c>
      <c r="Q43" s="9">
        <v>4</v>
      </c>
      <c r="R43" s="9">
        <v>138182.24</v>
      </c>
      <c r="S43" s="9">
        <f>IF(Derivatives!O37="",0,-Derivatives!O37)</f>
        <v>0</v>
      </c>
      <c r="T43" s="9">
        <v>0</v>
      </c>
      <c r="U43" s="11">
        <f t="shared" si="0"/>
        <v>138182.24</v>
      </c>
      <c r="V43" s="15"/>
      <c r="W43" s="29"/>
      <c r="X43" s="17"/>
      <c r="Y43" s="17"/>
      <c r="Z43" s="17"/>
    </row>
    <row r="44" spans="3:26" ht="35.25" thickBot="1">
      <c r="C44" s="20" t="s">
        <v>142</v>
      </c>
      <c r="D44" s="9">
        <v>37</v>
      </c>
      <c r="E44" s="9" t="s">
        <v>1155</v>
      </c>
      <c r="F44" s="9" t="s">
        <v>1158</v>
      </c>
      <c r="G44" s="9" t="s">
        <v>99</v>
      </c>
      <c r="H44" s="35"/>
      <c r="I44" s="36" t="str">
        <f>IF(Derivatives!F41="ISDA","Yes - ISDA Universal Protocol","No resolution stay recognition")</f>
        <v>No resolution stay recognition</v>
      </c>
      <c r="J44" s="36" t="str">
        <f>IF(Derivatives!F38="ISDA","Yes - ISDA Universal Protocol","Yes - Other Agreement for resolution stay recognition")</f>
        <v>Yes - Other Agreement for resolution stay recognition</v>
      </c>
      <c r="K44" s="9" t="s">
        <v>97</v>
      </c>
      <c r="L44" s="9" t="str">
        <f>IF(OR(Derivatives!B38="#",Derivatives!B38=""),Derivatives!L38,Derivatives!B38)</f>
        <v>21380038XS7H6C5GFB64</v>
      </c>
      <c r="M44" s="9" t="str">
        <f>IF(L44=Derivatives!B38,"LEI code","Type of identifier, other than LEI or MFI code")</f>
        <v>LEI code</v>
      </c>
      <c r="N44" s="10" t="str">
        <f>Derivatives!C38</f>
        <v>PORTUGAL</v>
      </c>
      <c r="O44" s="10" t="b">
        <f>IF(Derivatives!H38="",FALSE,TRUE)</f>
        <v>0</v>
      </c>
      <c r="P44" s="36" t="str">
        <f>IF(Derivatives!F38="ISDA","UNITED KINGDOM","PORTUGAL")</f>
        <v>PORTUGAL</v>
      </c>
      <c r="Q44" s="9">
        <v>4</v>
      </c>
      <c r="R44" s="9">
        <v>349647.67</v>
      </c>
      <c r="S44" s="9">
        <f>IF(Derivatives!O38="",0,-Derivatives!O38)</f>
        <v>0</v>
      </c>
      <c r="T44" s="9">
        <v>0</v>
      </c>
      <c r="U44" s="11">
        <f t="shared" si="0"/>
        <v>349647.67</v>
      </c>
      <c r="V44" s="15"/>
      <c r="W44" s="29"/>
      <c r="X44" s="17"/>
      <c r="Y44" s="17"/>
      <c r="Z44" s="17"/>
    </row>
    <row r="45" spans="3:26" ht="23.65" thickBot="1">
      <c r="C45" s="20" t="s">
        <v>142</v>
      </c>
      <c r="D45" s="9">
        <v>38</v>
      </c>
      <c r="E45" s="9" t="s">
        <v>1155</v>
      </c>
      <c r="F45" s="9" t="s">
        <v>1158</v>
      </c>
      <c r="G45" s="9" t="s">
        <v>1234</v>
      </c>
      <c r="H45" s="35"/>
      <c r="I45" s="36" t="str">
        <f>IF(Derivatives!F42="ISDA","Yes - ISDA Universal Protocol","No resolution stay recognition")</f>
        <v>No resolution stay recognition</v>
      </c>
      <c r="J45" s="36" t="str">
        <f>IF(Derivatives!F39="ISDA","Yes - ISDA Universal Protocol","Yes - Other Agreement for resolution stay recognition")</f>
        <v>Yes - Other Agreement for resolution stay recognition</v>
      </c>
      <c r="K45" s="9" t="s">
        <v>1233</v>
      </c>
      <c r="L45" s="9" t="str">
        <f>IF(OR(Derivatives!B39="#",Derivatives!B39=""),Derivatives!L39,Derivatives!B39)</f>
        <v>7401184798</v>
      </c>
      <c r="M45" s="9" t="str">
        <f>IF(L45=Derivatives!B39,"LEI code","Type of identifier, other than LEI or MFI code")</f>
        <v>Type of identifier, other than LEI or MFI code</v>
      </c>
      <c r="N45" s="10" t="str">
        <f>Derivatives!C39</f>
        <v>PORTUGAL</v>
      </c>
      <c r="O45" s="10" t="b">
        <f>IF(Derivatives!H39="",FALSE,TRUE)</f>
        <v>0</v>
      </c>
      <c r="P45" s="36" t="str">
        <f>IF(Derivatives!F39="ISDA","UNITED KINGDOM","PORTUGAL")</f>
        <v>PORTUGAL</v>
      </c>
      <c r="Q45" s="9">
        <v>2</v>
      </c>
      <c r="R45" s="9">
        <v>189596.58000000002</v>
      </c>
      <c r="S45" s="9">
        <f>IF(Derivatives!O39="",0,-Derivatives!O39)</f>
        <v>0</v>
      </c>
      <c r="T45" s="9">
        <v>0</v>
      </c>
      <c r="U45" s="11">
        <f t="shared" si="0"/>
        <v>189596.58000000002</v>
      </c>
      <c r="V45" s="15"/>
      <c r="W45" s="29"/>
      <c r="X45" s="17"/>
      <c r="Y45" s="17"/>
      <c r="Z45" s="17"/>
    </row>
    <row r="46" spans="3:26" ht="23.65" thickBot="1">
      <c r="C46" s="20" t="s">
        <v>142</v>
      </c>
      <c r="D46" s="9">
        <v>39</v>
      </c>
      <c r="E46" s="9" t="s">
        <v>1155</v>
      </c>
      <c r="F46" s="9" t="s">
        <v>1158</v>
      </c>
      <c r="G46" s="9" t="s">
        <v>1236</v>
      </c>
      <c r="H46" s="35"/>
      <c r="I46" s="36" t="str">
        <f>IF(Derivatives!F43="ISDA","Yes - ISDA Universal Protocol","No resolution stay recognition")</f>
        <v>No resolution stay recognition</v>
      </c>
      <c r="J46" s="36" t="str">
        <f>IF(Derivatives!F40="ISDA","Yes - ISDA Universal Protocol","Yes - Other Agreement for resolution stay recognition")</f>
        <v>Yes - Other Agreement for resolution stay recognition</v>
      </c>
      <c r="K46" s="9" t="s">
        <v>1235</v>
      </c>
      <c r="L46" s="9" t="str">
        <f>IF(OR(Derivatives!B40="#",Derivatives!B40=""),Derivatives!L40,Derivatives!B40)</f>
        <v>7400558176</v>
      </c>
      <c r="M46" s="9" t="str">
        <f>IF(L46=Derivatives!B40,"LEI code","Type of identifier, other than LEI or MFI code")</f>
        <v>Type of identifier, other than LEI or MFI code</v>
      </c>
      <c r="N46" s="10" t="str">
        <f>Derivatives!C40</f>
        <v>PORTUGAL</v>
      </c>
      <c r="O46" s="10" t="b">
        <f>IF(Derivatives!H40="",FALSE,TRUE)</f>
        <v>0</v>
      </c>
      <c r="P46" s="36" t="str">
        <f>IF(Derivatives!F40="ISDA","UNITED KINGDOM","PORTUGAL")</f>
        <v>PORTUGAL</v>
      </c>
      <c r="Q46" s="9">
        <v>2</v>
      </c>
      <c r="R46" s="9">
        <v>1023112.2699999999</v>
      </c>
      <c r="S46" s="9">
        <f>IF(Derivatives!O40="",0,-Derivatives!O40)</f>
        <v>0</v>
      </c>
      <c r="T46" s="9">
        <v>0</v>
      </c>
      <c r="U46" s="11">
        <f t="shared" si="0"/>
        <v>1023112.2699999999</v>
      </c>
      <c r="V46" s="15"/>
      <c r="W46" s="29"/>
      <c r="X46" s="17"/>
      <c r="Y46" s="17"/>
      <c r="Z46" s="17"/>
    </row>
    <row r="47" spans="3:26" ht="23.65" thickBot="1">
      <c r="C47" s="20" t="s">
        <v>142</v>
      </c>
      <c r="D47" s="9">
        <v>40</v>
      </c>
      <c r="E47" s="9" t="s">
        <v>1155</v>
      </c>
      <c r="F47" s="9" t="s">
        <v>1158</v>
      </c>
      <c r="G47" s="9" t="s">
        <v>68</v>
      </c>
      <c r="H47" s="35"/>
      <c r="I47" s="36" t="str">
        <f>IF(Derivatives!F44="ISDA","Yes - ISDA Universal Protocol","No resolution stay recognition")</f>
        <v>No resolution stay recognition</v>
      </c>
      <c r="J47" s="36" t="str">
        <f>IF(Derivatives!F41="ISDA","Yes - ISDA Universal Protocol","Yes - Other Agreement for resolution stay recognition")</f>
        <v>Yes - Other Agreement for resolution stay recognition</v>
      </c>
      <c r="K47" s="9" t="s">
        <v>67</v>
      </c>
      <c r="L47" s="9" t="str">
        <f>IF(OR(Derivatives!B41="#",Derivatives!B41=""),Derivatives!L41,Derivatives!B41)</f>
        <v>7400930438</v>
      </c>
      <c r="M47" s="9" t="str">
        <f>IF(L47=Derivatives!B41,"LEI code","Type of identifier, other than LEI or MFI code")</f>
        <v>Type of identifier, other than LEI or MFI code</v>
      </c>
      <c r="N47" s="10" t="str">
        <f>Derivatives!C41</f>
        <v>PORTUGAL</v>
      </c>
      <c r="O47" s="10" t="b">
        <f>IF(Derivatives!H41="",FALSE,TRUE)</f>
        <v>0</v>
      </c>
      <c r="P47" s="36" t="str">
        <f>IF(Derivatives!F41="ISDA","UNITED KINGDOM","PORTUGAL")</f>
        <v>PORTUGAL</v>
      </c>
      <c r="Q47" s="9">
        <v>2</v>
      </c>
      <c r="R47" s="9">
        <v>226560.1</v>
      </c>
      <c r="S47" s="9">
        <f>IF(Derivatives!O41="",0,-Derivatives!O41)</f>
        <v>0</v>
      </c>
      <c r="T47" s="9">
        <v>0</v>
      </c>
      <c r="U47" s="11">
        <f t="shared" si="0"/>
        <v>226560.1</v>
      </c>
      <c r="V47" s="15"/>
      <c r="W47" s="29"/>
      <c r="X47" s="17"/>
      <c r="Y47" s="17"/>
      <c r="Z47" s="17"/>
    </row>
    <row r="48" spans="3:26" ht="23.65" thickBot="1">
      <c r="C48" s="20" t="s">
        <v>142</v>
      </c>
      <c r="D48" s="9">
        <v>41</v>
      </c>
      <c r="E48" s="9" t="s">
        <v>1155</v>
      </c>
      <c r="F48" s="9" t="s">
        <v>1158</v>
      </c>
      <c r="G48" s="9" t="s">
        <v>1239</v>
      </c>
      <c r="H48" s="35"/>
      <c r="I48" s="36" t="str">
        <f>IF(Derivatives!F45="ISDA","Yes - ISDA Universal Protocol","No resolution stay recognition")</f>
        <v>No resolution stay recognition</v>
      </c>
      <c r="J48" s="36" t="str">
        <f>IF(Derivatives!F42="ISDA","Yes - ISDA Universal Protocol","Yes - Other Agreement for resolution stay recognition")</f>
        <v>Yes - Other Agreement for resolution stay recognition</v>
      </c>
      <c r="K48" s="9" t="s">
        <v>1237</v>
      </c>
      <c r="L48" s="9" t="str">
        <f>IF(OR(Derivatives!B42="#",Derivatives!B42=""),Derivatives!L42,Derivatives!B42)</f>
        <v>549300YVGPV6DE1Z3161</v>
      </c>
      <c r="M48" s="9" t="str">
        <f>IF(L48=Derivatives!B42,"LEI code","Type of identifier, other than LEI or MFI code")</f>
        <v>LEI code</v>
      </c>
      <c r="N48" s="10" t="str">
        <f>Derivatives!C42</f>
        <v>PORTUGAL</v>
      </c>
      <c r="O48" s="10" t="b">
        <f>IF(Derivatives!H42="",FALSE,TRUE)</f>
        <v>0</v>
      </c>
      <c r="P48" s="36" t="str">
        <f>IF(Derivatives!F42="ISDA","UNITED KINGDOM","PORTUGAL")</f>
        <v>PORTUGAL</v>
      </c>
      <c r="Q48" s="9">
        <v>2</v>
      </c>
      <c r="R48" s="9">
        <v>794.29000000000008</v>
      </c>
      <c r="S48" s="9">
        <f>IF(Derivatives!O42="",0,-Derivatives!O42)</f>
        <v>0</v>
      </c>
      <c r="T48" s="9">
        <v>0</v>
      </c>
      <c r="U48" s="11">
        <f t="shared" si="0"/>
        <v>794.29000000000008</v>
      </c>
      <c r="V48" s="15"/>
      <c r="W48" s="29"/>
      <c r="X48" s="17"/>
      <c r="Y48" s="17"/>
      <c r="Z48" s="17"/>
    </row>
    <row r="49" spans="3:26" ht="23.65" thickBot="1">
      <c r="C49" s="20" t="s">
        <v>142</v>
      </c>
      <c r="D49" s="9">
        <v>42</v>
      </c>
      <c r="E49" s="9" t="s">
        <v>1155</v>
      </c>
      <c r="F49" s="9" t="s">
        <v>1158</v>
      </c>
      <c r="G49" s="9" t="s">
        <v>1241</v>
      </c>
      <c r="H49" s="35"/>
      <c r="I49" s="36" t="str">
        <f>IF(Derivatives!F46="ISDA","Yes - ISDA Universal Protocol","No resolution stay recognition")</f>
        <v>No resolution stay recognition</v>
      </c>
      <c r="J49" s="36" t="str">
        <f>IF(Derivatives!F43="ISDA","Yes - ISDA Universal Protocol","Yes - Other Agreement for resolution stay recognition")</f>
        <v>Yes - Other Agreement for resolution stay recognition</v>
      </c>
      <c r="K49" s="9" t="s">
        <v>1240</v>
      </c>
      <c r="L49" s="9" t="str">
        <f>IF(OR(Derivatives!B43="#",Derivatives!B43=""),Derivatives!L43,Derivatives!B43)</f>
        <v>7401061772</v>
      </c>
      <c r="M49" s="9" t="str">
        <f>IF(L49=Derivatives!B43,"LEI code","Type of identifier, other than LEI or MFI code")</f>
        <v>Type of identifier, other than LEI or MFI code</v>
      </c>
      <c r="N49" s="10" t="str">
        <f>Derivatives!C43</f>
        <v>PORTUGAL</v>
      </c>
      <c r="O49" s="10" t="b">
        <f>IF(Derivatives!H43="",FALSE,TRUE)</f>
        <v>0</v>
      </c>
      <c r="P49" s="36" t="str">
        <f>IF(Derivatives!F43="ISDA","UNITED KINGDOM","PORTUGAL")</f>
        <v>PORTUGAL</v>
      </c>
      <c r="Q49" s="9">
        <v>4</v>
      </c>
      <c r="R49" s="9">
        <v>116313.22</v>
      </c>
      <c r="S49" s="9">
        <f>IF(Derivatives!O43="",0,-Derivatives!O43)</f>
        <v>0</v>
      </c>
      <c r="T49" s="9">
        <v>0</v>
      </c>
      <c r="U49" s="11">
        <f t="shared" si="0"/>
        <v>116313.22</v>
      </c>
      <c r="V49" s="15"/>
      <c r="W49" s="29"/>
      <c r="X49" s="17"/>
      <c r="Y49" s="17"/>
      <c r="Z49" s="17"/>
    </row>
    <row r="50" spans="3:26" ht="23.65" thickBot="1">
      <c r="C50" s="20" t="s">
        <v>142</v>
      </c>
      <c r="D50" s="9">
        <v>43</v>
      </c>
      <c r="E50" s="9" t="s">
        <v>1155</v>
      </c>
      <c r="F50" s="9" t="s">
        <v>1158</v>
      </c>
      <c r="G50" s="9" t="s">
        <v>96</v>
      </c>
      <c r="H50" s="35"/>
      <c r="I50" s="36" t="str">
        <f>IF(Derivatives!F47="ISDA","Yes - ISDA Universal Protocol","No resolution stay recognition")</f>
        <v>No resolution stay recognition</v>
      </c>
      <c r="J50" s="36" t="str">
        <f>IF(Derivatives!F44="ISDA","Yes - ISDA Universal Protocol","Yes - Other Agreement for resolution stay recognition")</f>
        <v>Yes - Other Agreement for resolution stay recognition</v>
      </c>
      <c r="K50" s="9" t="s">
        <v>1184</v>
      </c>
      <c r="L50" s="9" t="str">
        <f>IF(OR(Derivatives!B44="#",Derivatives!B44=""),Derivatives!L44,Derivatives!B44)</f>
        <v>7400324759</v>
      </c>
      <c r="M50" s="9" t="str">
        <f>IF(L50=Derivatives!B44,"LEI code","Type of identifier, other than LEI or MFI code")</f>
        <v>Type of identifier, other than LEI or MFI code</v>
      </c>
      <c r="N50" s="10" t="str">
        <f>Derivatives!C44</f>
        <v>PORTUGAL</v>
      </c>
      <c r="O50" s="10" t="b">
        <f>IF(Derivatives!H44="",FALSE,TRUE)</f>
        <v>0</v>
      </c>
      <c r="P50" s="36" t="str">
        <f>IF(Derivatives!F44="ISDA","UNITED KINGDOM","PORTUGAL")</f>
        <v>PORTUGAL</v>
      </c>
      <c r="Q50" s="9">
        <v>2</v>
      </c>
      <c r="R50" s="9">
        <v>126291.86</v>
      </c>
      <c r="S50" s="9">
        <f>IF(Derivatives!O44="",0,-Derivatives!O44)</f>
        <v>0</v>
      </c>
      <c r="T50" s="9">
        <v>0</v>
      </c>
      <c r="U50" s="11">
        <f t="shared" si="0"/>
        <v>126291.86</v>
      </c>
      <c r="V50" s="15"/>
      <c r="W50" s="29"/>
      <c r="X50" s="17"/>
      <c r="Y50" s="17"/>
      <c r="Z50" s="17"/>
    </row>
    <row r="51" spans="3:26" ht="23.65" thickBot="1">
      <c r="C51" s="20" t="s">
        <v>142</v>
      </c>
      <c r="D51" s="9">
        <v>44</v>
      </c>
      <c r="E51" s="9" t="s">
        <v>1155</v>
      </c>
      <c r="F51" s="9" t="s">
        <v>1158</v>
      </c>
      <c r="G51" s="9" t="s">
        <v>1243</v>
      </c>
      <c r="H51" s="35"/>
      <c r="I51" s="36" t="str">
        <f>IF(Derivatives!F48="ISDA","Yes - ISDA Universal Protocol","No resolution stay recognition")</f>
        <v>No resolution stay recognition</v>
      </c>
      <c r="J51" s="36" t="str">
        <f>IF(Derivatives!F45="ISDA","Yes - ISDA Universal Protocol","Yes - Other Agreement for resolution stay recognition")</f>
        <v>Yes - Other Agreement for resolution stay recognition</v>
      </c>
      <c r="K51" s="9" t="s">
        <v>1242</v>
      </c>
      <c r="L51" s="9" t="str">
        <f>IF(OR(Derivatives!B45="#",Derivatives!B45=""),Derivatives!L45,Derivatives!B45)</f>
        <v>5100674067</v>
      </c>
      <c r="M51" s="9" t="str">
        <f>IF(L51=Derivatives!B45,"LEI code","Type of identifier, other than LEI or MFI code")</f>
        <v>Type of identifier, other than LEI or MFI code</v>
      </c>
      <c r="N51" s="10" t="str">
        <f>Derivatives!C45</f>
        <v>PORTUGAL</v>
      </c>
      <c r="O51" s="10" t="b">
        <f>IF(Derivatives!H45="",FALSE,TRUE)</f>
        <v>0</v>
      </c>
      <c r="P51" s="36" t="str">
        <f>IF(Derivatives!F45="ISDA","UNITED KINGDOM","PORTUGAL")</f>
        <v>PORTUGAL</v>
      </c>
      <c r="Q51" s="9">
        <v>2</v>
      </c>
      <c r="R51" s="9">
        <v>146342.25999999998</v>
      </c>
      <c r="S51" s="9">
        <f>IF(Derivatives!O45="",0,-Derivatives!O45)</f>
        <v>0</v>
      </c>
      <c r="T51" s="9">
        <v>0</v>
      </c>
      <c r="U51" s="11">
        <f t="shared" si="0"/>
        <v>146342.25999999998</v>
      </c>
      <c r="V51" s="15"/>
      <c r="W51" s="29"/>
      <c r="X51" s="17"/>
      <c r="Y51" s="17"/>
      <c r="Z51" s="17"/>
    </row>
    <row r="52" spans="3:26" ht="35.25" thickBot="1">
      <c r="C52" s="20" t="s">
        <v>142</v>
      </c>
      <c r="D52" s="9">
        <v>45</v>
      </c>
      <c r="E52" s="9" t="s">
        <v>1155</v>
      </c>
      <c r="F52" s="9" t="s">
        <v>1158</v>
      </c>
      <c r="G52" s="9" t="s">
        <v>1248</v>
      </c>
      <c r="H52" s="35"/>
      <c r="I52" s="36" t="str">
        <f>IF(Derivatives!F49="ISDA","Yes - ISDA Universal Protocol","No resolution stay recognition")</f>
        <v>No resolution stay recognition</v>
      </c>
      <c r="J52" s="36" t="str">
        <f>IF(Derivatives!F46="ISDA","Yes - ISDA Universal Protocol","Yes - Other Agreement for resolution stay recognition")</f>
        <v>Yes - Other Agreement for resolution stay recognition</v>
      </c>
      <c r="K52" s="9" t="s">
        <v>1247</v>
      </c>
      <c r="L52" s="9" t="str">
        <f>IF(OR(Derivatives!B46="#",Derivatives!B46=""),Derivatives!L46,Derivatives!B46)</f>
        <v>8001128191</v>
      </c>
      <c r="M52" s="9" t="str">
        <f>IF(L52=Derivatives!B46,"LEI code","Type of identifier, other than LEI or MFI code")</f>
        <v>Type of identifier, other than LEI or MFI code</v>
      </c>
      <c r="N52" s="10" t="str">
        <f>Derivatives!C46</f>
        <v>PORTUGAL</v>
      </c>
      <c r="O52" s="10" t="b">
        <f>IF(Derivatives!H46="",FALSE,TRUE)</f>
        <v>0</v>
      </c>
      <c r="P52" s="36" t="str">
        <f>IF(Derivatives!F46="ISDA","UNITED KINGDOM","PORTUGAL")</f>
        <v>PORTUGAL</v>
      </c>
      <c r="Q52" s="9">
        <v>2</v>
      </c>
      <c r="R52" s="9">
        <v>109816.06999999999</v>
      </c>
      <c r="S52" s="9">
        <f>IF(Derivatives!O46="",0,-Derivatives!O46)</f>
        <v>0</v>
      </c>
      <c r="T52" s="9">
        <v>0</v>
      </c>
      <c r="U52" s="11">
        <f t="shared" si="0"/>
        <v>109816.06999999999</v>
      </c>
      <c r="V52" s="15"/>
      <c r="W52" s="29"/>
      <c r="X52" s="17"/>
      <c r="Y52" s="17"/>
      <c r="Z52" s="17"/>
    </row>
    <row r="53" spans="3:26" ht="23.65" thickBot="1">
      <c r="C53" s="20" t="s">
        <v>142</v>
      </c>
      <c r="D53" s="9">
        <v>46</v>
      </c>
      <c r="E53" s="9" t="s">
        <v>1155</v>
      </c>
      <c r="F53" s="9" t="s">
        <v>1158</v>
      </c>
      <c r="G53" s="9" t="s">
        <v>1253</v>
      </c>
      <c r="H53" s="35"/>
      <c r="I53" s="36" t="str">
        <f>IF(Derivatives!F50="ISDA","Yes - ISDA Universal Protocol","No resolution stay recognition")</f>
        <v>No resolution stay recognition</v>
      </c>
      <c r="J53" s="36" t="str">
        <f>IF(Derivatives!F47="ISDA","Yes - ISDA Universal Protocol","Yes - Other Agreement for resolution stay recognition")</f>
        <v>Yes - Other Agreement for resolution stay recognition</v>
      </c>
      <c r="K53" s="9" t="s">
        <v>1252</v>
      </c>
      <c r="L53" s="9" t="str">
        <f>IF(OR(Derivatives!B47="#",Derivatives!B47=""),Derivatives!L47,Derivatives!B47)</f>
        <v>7401993464</v>
      </c>
      <c r="M53" s="9" t="str">
        <f>IF(L53=Derivatives!B47,"LEI code","Type of identifier, other than LEI or MFI code")</f>
        <v>Type of identifier, other than LEI or MFI code</v>
      </c>
      <c r="N53" s="10" t="str">
        <f>Derivatives!C47</f>
        <v>PORTUGAL</v>
      </c>
      <c r="O53" s="10" t="b">
        <f>IF(Derivatives!H47="",FALSE,TRUE)</f>
        <v>0</v>
      </c>
      <c r="P53" s="36" t="str">
        <f>IF(Derivatives!F47="ISDA","UNITED KINGDOM","PORTUGAL")</f>
        <v>PORTUGAL</v>
      </c>
      <c r="Q53" s="9">
        <v>2</v>
      </c>
      <c r="R53" s="9">
        <v>1162502.57</v>
      </c>
      <c r="S53" s="9">
        <f>IF(Derivatives!O47="",0,-Derivatives!O47)</f>
        <v>0</v>
      </c>
      <c r="T53" s="9">
        <v>0</v>
      </c>
      <c r="U53" s="11">
        <f t="shared" si="0"/>
        <v>1162502.57</v>
      </c>
      <c r="V53" s="15"/>
      <c r="W53" s="29"/>
      <c r="X53" s="17"/>
      <c r="Y53" s="17"/>
      <c r="Z53" s="17"/>
    </row>
    <row r="54" spans="3:26" ht="23.65" thickBot="1">
      <c r="C54" s="20" t="s">
        <v>142</v>
      </c>
      <c r="D54" s="9">
        <v>47</v>
      </c>
      <c r="E54" s="9" t="s">
        <v>1155</v>
      </c>
      <c r="F54" s="9" t="s">
        <v>1158</v>
      </c>
      <c r="G54" s="9" t="s">
        <v>38</v>
      </c>
      <c r="H54" s="35"/>
      <c r="I54" s="36" t="str">
        <f>IF(Derivatives!F51="ISDA","Yes - ISDA Universal Protocol","No resolution stay recognition")</f>
        <v>No resolution stay recognition</v>
      </c>
      <c r="J54" s="36" t="str">
        <f>IF(Derivatives!F48="ISDA","Yes - ISDA Universal Protocol","Yes - Other Agreement for resolution stay recognition")</f>
        <v>Yes - Other Agreement for resolution stay recognition</v>
      </c>
      <c r="K54" s="9" t="s">
        <v>1166</v>
      </c>
      <c r="L54" s="9" t="str">
        <f>IF(OR(Derivatives!B48="#",Derivatives!B48=""),Derivatives!L48,Derivatives!B48)</f>
        <v>549300S5QJO6B1JT2R36</v>
      </c>
      <c r="M54" s="9" t="str">
        <f>IF(L54=Derivatives!B48,"LEI code","Type of identifier, other than LEI or MFI code")</f>
        <v>LEI code</v>
      </c>
      <c r="N54" s="10" t="str">
        <f>Derivatives!C48</f>
        <v>PORTUGAL</v>
      </c>
      <c r="O54" s="10" t="b">
        <f>IF(Derivatives!H48="",FALSE,TRUE)</f>
        <v>0</v>
      </c>
      <c r="P54" s="36" t="str">
        <f>IF(Derivatives!F48="ISDA","UNITED KINGDOM","PORTUGAL")</f>
        <v>PORTUGAL</v>
      </c>
      <c r="Q54" s="9">
        <v>2</v>
      </c>
      <c r="R54" s="9">
        <v>2419771.29</v>
      </c>
      <c r="S54" s="9">
        <f>IF(Derivatives!O48="",0,-Derivatives!O48)</f>
        <v>0</v>
      </c>
      <c r="T54" s="9">
        <v>0</v>
      </c>
      <c r="U54" s="11">
        <f t="shared" si="0"/>
        <v>2419771.29</v>
      </c>
      <c r="V54" s="15"/>
      <c r="W54" s="29"/>
      <c r="X54" s="17"/>
      <c r="Y54" s="17"/>
      <c r="Z54" s="17"/>
    </row>
    <row r="55" spans="3:26" ht="23.65" thickBot="1">
      <c r="C55" s="20" t="s">
        <v>142</v>
      </c>
      <c r="D55" s="9">
        <v>48</v>
      </c>
      <c r="E55" s="9" t="s">
        <v>1155</v>
      </c>
      <c r="F55" s="9" t="s">
        <v>1158</v>
      </c>
      <c r="G55" s="9" t="s">
        <v>1255</v>
      </c>
      <c r="H55" s="35"/>
      <c r="I55" s="36" t="str">
        <f>IF(Derivatives!F52="ISDA","Yes - ISDA Universal Protocol","No resolution stay recognition")</f>
        <v>No resolution stay recognition</v>
      </c>
      <c r="J55" s="36" t="str">
        <f>IF(Derivatives!F49="ISDA","Yes - ISDA Universal Protocol","Yes - Other Agreement for resolution stay recognition")</f>
        <v>Yes - Other Agreement for resolution stay recognition</v>
      </c>
      <c r="K55" s="9" t="s">
        <v>1254</v>
      </c>
      <c r="L55" s="9" t="str">
        <f>IF(OR(Derivatives!B49="#",Derivatives!B49=""),Derivatives!L49,Derivatives!B49)</f>
        <v>7401527694</v>
      </c>
      <c r="M55" s="9" t="str">
        <f>IF(L55=Derivatives!B49,"LEI code","Type of identifier, other than LEI or MFI code")</f>
        <v>Type of identifier, other than LEI or MFI code</v>
      </c>
      <c r="N55" s="10" t="str">
        <f>Derivatives!C49</f>
        <v>PORTUGAL</v>
      </c>
      <c r="O55" s="10" t="b">
        <f>IF(Derivatives!H49="",FALSE,TRUE)</f>
        <v>0</v>
      </c>
      <c r="P55" s="36" t="str">
        <f>IF(Derivatives!F49="ISDA","UNITED KINGDOM","PORTUGAL")</f>
        <v>PORTUGAL</v>
      </c>
      <c r="Q55" s="9">
        <v>2</v>
      </c>
      <c r="R55" s="16">
        <v>372779.98</v>
      </c>
      <c r="S55" s="9">
        <f>IF(Derivatives!O49="",0,-Derivatives!O49)</f>
        <v>0</v>
      </c>
      <c r="T55" s="9">
        <v>0</v>
      </c>
      <c r="U55" s="11">
        <f t="shared" si="0"/>
        <v>372779.98</v>
      </c>
      <c r="V55" s="15"/>
      <c r="W55" s="29"/>
      <c r="X55" s="17"/>
      <c r="Y55" s="17"/>
      <c r="Z55" s="17"/>
    </row>
    <row r="56" spans="3:26" ht="23.65" thickBot="1">
      <c r="C56" s="20" t="s">
        <v>142</v>
      </c>
      <c r="D56" s="9">
        <v>49</v>
      </c>
      <c r="E56" s="9" t="s">
        <v>1155</v>
      </c>
      <c r="F56" s="9" t="s">
        <v>1158</v>
      </c>
      <c r="G56" s="9" t="s">
        <v>1257</v>
      </c>
      <c r="H56" s="35"/>
      <c r="I56" s="36" t="str">
        <f>IF(Derivatives!F53="ISDA","Yes - ISDA Universal Protocol","No resolution stay recognition")</f>
        <v>No resolution stay recognition</v>
      </c>
      <c r="J56" s="36" t="str">
        <f>IF(Derivatives!F50="ISDA","Yes - ISDA Universal Protocol","Yes - Other Agreement for resolution stay recognition")</f>
        <v>Yes - Other Agreement for resolution stay recognition</v>
      </c>
      <c r="K56" s="9" t="s">
        <v>1256</v>
      </c>
      <c r="L56" s="9" t="str">
        <f>IF(OR(Derivatives!B50="#",Derivatives!B50=""),Derivatives!L50,Derivatives!B50)</f>
        <v>7400427931</v>
      </c>
      <c r="M56" s="9" t="str">
        <f>IF(L56=Derivatives!B50,"LEI code","Type of identifier, other than LEI or MFI code")</f>
        <v>Type of identifier, other than LEI or MFI code</v>
      </c>
      <c r="N56" s="10" t="str">
        <f>Derivatives!C50</f>
        <v>PORTUGAL</v>
      </c>
      <c r="O56" s="10" t="b">
        <f>IF(Derivatives!H50="",FALSE,TRUE)</f>
        <v>0</v>
      </c>
      <c r="P56" s="36" t="str">
        <f>IF(Derivatives!F50="ISDA","UNITED KINGDOM","PORTUGAL")</f>
        <v>PORTUGAL</v>
      </c>
      <c r="Q56" s="9">
        <v>6</v>
      </c>
      <c r="R56" s="9">
        <v>720996.4800000001</v>
      </c>
      <c r="S56" s="9">
        <f>IF(Derivatives!O50="",0,-Derivatives!O50)</f>
        <v>0</v>
      </c>
      <c r="T56" s="9">
        <v>0</v>
      </c>
      <c r="U56" s="11">
        <f t="shared" si="0"/>
        <v>720996.4800000001</v>
      </c>
      <c r="V56" s="15"/>
      <c r="W56" s="29"/>
      <c r="X56" s="17"/>
      <c r="Y56" s="17"/>
      <c r="Z56" s="17"/>
    </row>
    <row r="57" spans="3:26" ht="23.65" thickBot="1">
      <c r="C57" s="20" t="s">
        <v>142</v>
      </c>
      <c r="D57" s="9">
        <v>50</v>
      </c>
      <c r="E57" s="9" t="s">
        <v>1155</v>
      </c>
      <c r="F57" s="9" t="s">
        <v>1158</v>
      </c>
      <c r="G57" s="9" t="s">
        <v>1263</v>
      </c>
      <c r="H57" s="35"/>
      <c r="I57" s="36" t="str">
        <f>IF(Derivatives!F54="ISDA","Yes - ISDA Universal Protocol","No resolution stay recognition")</f>
        <v>No resolution stay recognition</v>
      </c>
      <c r="J57" s="36" t="str">
        <f>IF(Derivatives!F51="ISDA","Yes - ISDA Universal Protocol","Yes - Other Agreement for resolution stay recognition")</f>
        <v>Yes - Other Agreement for resolution stay recognition</v>
      </c>
      <c r="K57" s="9" t="s">
        <v>1261</v>
      </c>
      <c r="L57" s="9" t="str">
        <f>IF(OR(Derivatives!B51="#",Derivatives!B51=""),Derivatives!L51,Derivatives!B51)</f>
        <v>213800PP2M75XPDQ3782</v>
      </c>
      <c r="M57" s="9" t="str">
        <f>IF(L57=Derivatives!B51,"LEI code","Type of identifier, other than LEI or MFI code")</f>
        <v>LEI code</v>
      </c>
      <c r="N57" s="10" t="str">
        <f>Derivatives!C51</f>
        <v>PORTUGAL</v>
      </c>
      <c r="O57" s="10" t="b">
        <f>IF(Derivatives!H51="",FALSE,TRUE)</f>
        <v>0</v>
      </c>
      <c r="P57" s="36" t="str">
        <f>IF(Derivatives!F51="ISDA","UNITED KINGDOM","PORTUGAL")</f>
        <v>PORTUGAL</v>
      </c>
      <c r="Q57" s="9">
        <v>2</v>
      </c>
      <c r="R57" s="9">
        <v>1413774.46</v>
      </c>
      <c r="S57" s="9">
        <f>IF(Derivatives!O51="",0,-Derivatives!O51)</f>
        <v>0</v>
      </c>
      <c r="T57" s="9">
        <v>0</v>
      </c>
      <c r="U57" s="11">
        <f t="shared" si="0"/>
        <v>1413774.46</v>
      </c>
      <c r="V57" s="15"/>
      <c r="W57" s="29"/>
      <c r="X57" s="17"/>
      <c r="Y57" s="17"/>
      <c r="Z57" s="17"/>
    </row>
    <row r="58" spans="3:26" ht="23.65" thickBot="1">
      <c r="C58" s="20" t="s">
        <v>142</v>
      </c>
      <c r="D58" s="9">
        <v>51</v>
      </c>
      <c r="E58" s="9" t="s">
        <v>1155</v>
      </c>
      <c r="F58" s="9" t="s">
        <v>1158</v>
      </c>
      <c r="G58" s="9" t="s">
        <v>1174</v>
      </c>
      <c r="H58" s="35"/>
      <c r="I58" s="36" t="str">
        <f>IF(Derivatives!F55="ISDA","Yes - ISDA Universal Protocol","No resolution stay recognition")</f>
        <v>No resolution stay recognition</v>
      </c>
      <c r="J58" s="36" t="str">
        <f>IF(Derivatives!F52="ISDA","Yes - ISDA Universal Protocol","Yes - Other Agreement for resolution stay recognition")</f>
        <v>Yes - Other Agreement for resolution stay recognition</v>
      </c>
      <c r="K58" s="9" t="s">
        <v>1172</v>
      </c>
      <c r="L58" s="9" t="str">
        <f>IF(OR(Derivatives!B52="#",Derivatives!B52=""),Derivatives!L52,Derivatives!B52)</f>
        <v>213800GAQM5YF7OFT829</v>
      </c>
      <c r="M58" s="9" t="str">
        <f>IF(L58=Derivatives!B52,"LEI code","Type of identifier, other than LEI or MFI code")</f>
        <v>LEI code</v>
      </c>
      <c r="N58" s="10" t="str">
        <f>Derivatives!C52</f>
        <v>PORTUGAL</v>
      </c>
      <c r="O58" s="10" t="b">
        <f>IF(Derivatives!H52="",FALSE,TRUE)</f>
        <v>0</v>
      </c>
      <c r="P58" s="36" t="str">
        <f>IF(Derivatives!F52="ISDA","UNITED KINGDOM","PORTUGAL")</f>
        <v>PORTUGAL</v>
      </c>
      <c r="Q58" s="9">
        <v>4</v>
      </c>
      <c r="R58" s="9">
        <v>3325994.0700000003</v>
      </c>
      <c r="S58" s="9">
        <f>IF(Derivatives!O52="",0,-Derivatives!O52)</f>
        <v>0</v>
      </c>
      <c r="T58" s="9">
        <v>0</v>
      </c>
      <c r="U58" s="11">
        <f t="shared" si="0"/>
        <v>3325994.0700000003</v>
      </c>
      <c r="V58" s="15"/>
      <c r="W58" s="29"/>
      <c r="X58" s="17"/>
      <c r="Y58" s="17"/>
      <c r="Z58" s="17"/>
    </row>
    <row r="59" spans="3:26" ht="23.65" thickBot="1">
      <c r="C59" s="20" t="s">
        <v>142</v>
      </c>
      <c r="D59" s="9">
        <v>52</v>
      </c>
      <c r="E59" s="9" t="s">
        <v>1155</v>
      </c>
      <c r="F59" s="9" t="s">
        <v>1158</v>
      </c>
      <c r="G59" s="9" t="s">
        <v>1268</v>
      </c>
      <c r="H59" s="35"/>
      <c r="I59" s="36" t="str">
        <f>IF(Derivatives!F56="ISDA","Yes - ISDA Universal Protocol","No resolution stay recognition")</f>
        <v>No resolution stay recognition</v>
      </c>
      <c r="J59" s="36" t="str">
        <f>IF(Derivatives!F53="ISDA","Yes - ISDA Universal Protocol","Yes - Other Agreement for resolution stay recognition")</f>
        <v>Yes - Other Agreement for resolution stay recognition</v>
      </c>
      <c r="K59" s="9" t="s">
        <v>1267</v>
      </c>
      <c r="L59" s="9" t="str">
        <f>IF(OR(Derivatives!B53="#",Derivatives!B53=""),Derivatives!L53,Derivatives!B53)</f>
        <v>7402111535</v>
      </c>
      <c r="M59" s="9" t="str">
        <f>IF(L59=Derivatives!B53,"LEI code","Type of identifier, other than LEI or MFI code")</f>
        <v>Type of identifier, other than LEI or MFI code</v>
      </c>
      <c r="N59" s="10" t="str">
        <f>Derivatives!C53</f>
        <v>PORTUGAL</v>
      </c>
      <c r="O59" s="10" t="b">
        <f>IF(Derivatives!H53="",FALSE,TRUE)</f>
        <v>0</v>
      </c>
      <c r="P59" s="36" t="str">
        <f>IF(Derivatives!F53="ISDA","UNITED KINGDOM","PORTUGAL")</f>
        <v>PORTUGAL</v>
      </c>
      <c r="Q59" s="9">
        <v>2</v>
      </c>
      <c r="R59" s="9">
        <v>6242274.9400000004</v>
      </c>
      <c r="S59" s="9">
        <f>IF(Derivatives!O53="",0,-Derivatives!O53)</f>
        <v>0</v>
      </c>
      <c r="T59" s="9">
        <v>0</v>
      </c>
      <c r="U59" s="11">
        <f t="shared" si="0"/>
        <v>6242274.9400000004</v>
      </c>
      <c r="V59" s="15"/>
      <c r="W59" s="29"/>
      <c r="X59" s="17"/>
      <c r="Y59" s="17"/>
      <c r="Z59" s="17"/>
    </row>
    <row r="60" spans="3:26" ht="35.25" thickBot="1">
      <c r="C60" s="20" t="s">
        <v>142</v>
      </c>
      <c r="D60" s="9">
        <v>53</v>
      </c>
      <c r="E60" s="9" t="s">
        <v>1155</v>
      </c>
      <c r="F60" s="9" t="s">
        <v>1158</v>
      </c>
      <c r="G60" s="9" t="s">
        <v>61</v>
      </c>
      <c r="H60" s="35"/>
      <c r="I60" s="36" t="str">
        <f>IF(Derivatives!F57="ISDA","Yes - ISDA Universal Protocol","No resolution stay recognition")</f>
        <v>No resolution stay recognition</v>
      </c>
      <c r="J60" s="36" t="str">
        <f>IF(Derivatives!F54="ISDA","Yes - ISDA Universal Protocol","Yes - Other Agreement for resolution stay recognition")</f>
        <v>Yes - Other Agreement for resolution stay recognition</v>
      </c>
      <c r="K60" s="9" t="s">
        <v>1181</v>
      </c>
      <c r="L60" s="9" t="str">
        <f>IF(OR(Derivatives!B54="#",Derivatives!B54=""),Derivatives!L54,Derivatives!B54)</f>
        <v>549300Y51ILA604XG386</v>
      </c>
      <c r="M60" s="9" t="str">
        <f>IF(L60=Derivatives!B54,"LEI code","Type of identifier, other than LEI or MFI code")</f>
        <v>LEI code</v>
      </c>
      <c r="N60" s="10" t="str">
        <f>Derivatives!C54</f>
        <v>PORTUGAL</v>
      </c>
      <c r="O60" s="10" t="b">
        <f>IF(Derivatives!H54="",FALSE,TRUE)</f>
        <v>0</v>
      </c>
      <c r="P60" s="36" t="str">
        <f>IF(Derivatives!F54="ISDA","UNITED KINGDOM","PORTUGAL")</f>
        <v>PORTUGAL</v>
      </c>
      <c r="Q60" s="9">
        <v>2</v>
      </c>
      <c r="R60" s="9">
        <v>7535.58</v>
      </c>
      <c r="S60" s="9">
        <f>IF(Derivatives!O54="",0,-Derivatives!O54)</f>
        <v>0</v>
      </c>
      <c r="T60" s="9">
        <v>0</v>
      </c>
      <c r="U60" s="11">
        <f t="shared" si="0"/>
        <v>7535.58</v>
      </c>
      <c r="V60" s="15"/>
      <c r="W60" s="29"/>
      <c r="X60" s="17"/>
      <c r="Y60" s="17"/>
      <c r="Z60" s="17"/>
    </row>
    <row r="61" spans="3:26" ht="35.25" thickBot="1">
      <c r="C61" s="20" t="s">
        <v>142</v>
      </c>
      <c r="D61" s="9">
        <v>54</v>
      </c>
      <c r="E61" s="9" t="s">
        <v>1155</v>
      </c>
      <c r="F61" s="9" t="s">
        <v>1158</v>
      </c>
      <c r="G61" s="9" t="s">
        <v>1270</v>
      </c>
      <c r="H61" s="35"/>
      <c r="I61" s="36" t="str">
        <f>IF(Derivatives!F58="ISDA","Yes - ISDA Universal Protocol","No resolution stay recognition")</f>
        <v>No resolution stay recognition</v>
      </c>
      <c r="J61" s="36" t="str">
        <f>IF(Derivatives!F55="ISDA","Yes - ISDA Universal Protocol","Yes - Other Agreement for resolution stay recognition")</f>
        <v>Yes - Other Agreement for resolution stay recognition</v>
      </c>
      <c r="K61" s="9" t="s">
        <v>1269</v>
      </c>
      <c r="L61" s="9" t="str">
        <f>IF(OR(Derivatives!B55="#",Derivatives!B55=""),Derivatives!L55,Derivatives!B55)</f>
        <v>8046440512</v>
      </c>
      <c r="M61" s="9" t="str">
        <f>IF(L61=Derivatives!B55,"LEI code","Type of identifier, other than LEI or MFI code")</f>
        <v>Type of identifier, other than LEI or MFI code</v>
      </c>
      <c r="N61" s="10" t="str">
        <f>Derivatives!C55</f>
        <v>PORTUGAL</v>
      </c>
      <c r="O61" s="10" t="b">
        <f>IF(Derivatives!H55="",FALSE,TRUE)</f>
        <v>0</v>
      </c>
      <c r="P61" s="36" t="str">
        <f>IF(Derivatives!F55="ISDA","UNITED KINGDOM","PORTUGAL")</f>
        <v>PORTUGAL</v>
      </c>
      <c r="Q61" s="9">
        <v>2</v>
      </c>
      <c r="R61" s="9">
        <v>45385.9</v>
      </c>
      <c r="S61" s="9">
        <f>IF(Derivatives!O55="",0,-Derivatives!O55)</f>
        <v>0</v>
      </c>
      <c r="T61" s="9">
        <v>0</v>
      </c>
      <c r="U61" s="11">
        <f t="shared" si="0"/>
        <v>45385.9</v>
      </c>
      <c r="V61" s="15"/>
      <c r="W61" s="29"/>
      <c r="X61" s="17"/>
      <c r="Y61" s="17"/>
      <c r="Z61" s="17"/>
    </row>
    <row r="62" spans="3:26" ht="23.65" thickBot="1">
      <c r="C62" s="20" t="s">
        <v>142</v>
      </c>
      <c r="D62" s="9">
        <v>55</v>
      </c>
      <c r="E62" s="9" t="s">
        <v>1155</v>
      </c>
      <c r="F62" s="9" t="s">
        <v>1158</v>
      </c>
      <c r="G62" s="9" t="s">
        <v>1168</v>
      </c>
      <c r="H62" s="35"/>
      <c r="I62" s="36" t="str">
        <f>IF(Derivatives!F59="ISDA","Yes - ISDA Universal Protocol","No resolution stay recognition")</f>
        <v>No resolution stay recognition</v>
      </c>
      <c r="J62" s="36" t="str">
        <f>IF(Derivatives!F56="ISDA","Yes - ISDA Universal Protocol","Yes - Other Agreement for resolution stay recognition")</f>
        <v>Yes - Other Agreement for resolution stay recognition</v>
      </c>
      <c r="K62" s="9" t="s">
        <v>1167</v>
      </c>
      <c r="L62" s="9" t="str">
        <f>IF(OR(Derivatives!B56="#",Derivatives!B56=""),Derivatives!L56,Derivatives!B56)</f>
        <v>4571000052</v>
      </c>
      <c r="M62" s="9" t="str">
        <f>IF(L62=Derivatives!B56,"LEI code","Type of identifier, other than LEI or MFI code")</f>
        <v>Type of identifier, other than LEI or MFI code</v>
      </c>
      <c r="N62" s="10" t="str">
        <f>Derivatives!C56</f>
        <v>PORTUGAL</v>
      </c>
      <c r="O62" s="10" t="b">
        <f>IF(Derivatives!H56="",FALSE,TRUE)</f>
        <v>0</v>
      </c>
      <c r="P62" s="36" t="str">
        <f>IF(Derivatives!F56="ISDA","UNITED KINGDOM","PORTUGAL")</f>
        <v>PORTUGAL</v>
      </c>
      <c r="Q62" s="9">
        <v>2</v>
      </c>
      <c r="R62" s="9">
        <v>468701.63</v>
      </c>
      <c r="S62" s="9">
        <f>IF(Derivatives!O56="",0,-Derivatives!O56)</f>
        <v>0</v>
      </c>
      <c r="T62" s="9">
        <v>0</v>
      </c>
      <c r="U62" s="11">
        <f t="shared" si="0"/>
        <v>468701.63</v>
      </c>
      <c r="V62" s="15"/>
      <c r="W62" s="29"/>
      <c r="X62" s="17"/>
      <c r="Y62" s="17"/>
      <c r="Z62" s="17"/>
    </row>
    <row r="63" spans="3:26" ht="23.65" thickBot="1">
      <c r="C63" s="20" t="s">
        <v>142</v>
      </c>
      <c r="D63" s="9">
        <v>56</v>
      </c>
      <c r="E63" s="9" t="s">
        <v>1155</v>
      </c>
      <c r="F63" s="9" t="s">
        <v>1158</v>
      </c>
      <c r="G63" s="9" t="s">
        <v>1180</v>
      </c>
      <c r="H63" s="35"/>
      <c r="I63" s="36" t="str">
        <f>IF(Derivatives!F60="ISDA","Yes - ISDA Universal Protocol","No resolution stay recognition")</f>
        <v>No resolution stay recognition</v>
      </c>
      <c r="J63" s="36" t="str">
        <f>IF(Derivatives!F57="ISDA","Yes - ISDA Universal Protocol","Yes - Other Agreement for resolution stay recognition")</f>
        <v>Yes - Other Agreement for resolution stay recognition</v>
      </c>
      <c r="K63" s="9" t="s">
        <v>1178</v>
      </c>
      <c r="L63" s="9" t="str">
        <f>IF(OR(Derivatives!B57="#",Derivatives!B57=""),Derivatives!L57,Derivatives!B57)</f>
        <v>213800S63VIWR5BC1M95</v>
      </c>
      <c r="M63" s="9" t="str">
        <f>IF(L63=Derivatives!B57,"LEI code","Type of identifier, other than LEI or MFI code")</f>
        <v>LEI code</v>
      </c>
      <c r="N63" s="10" t="str">
        <f>Derivatives!C57</f>
        <v>PORTUGAL</v>
      </c>
      <c r="O63" s="10" t="b">
        <f>IF(Derivatives!H57="",FALSE,TRUE)</f>
        <v>0</v>
      </c>
      <c r="P63" s="36" t="str">
        <f>IF(Derivatives!F57="ISDA","UNITED KINGDOM","PORTUGAL")</f>
        <v>PORTUGAL</v>
      </c>
      <c r="Q63" s="9">
        <v>4</v>
      </c>
      <c r="R63" s="9">
        <v>399413.52999999997</v>
      </c>
      <c r="S63" s="9">
        <f>IF(Derivatives!O57="",0,-Derivatives!O57)</f>
        <v>0</v>
      </c>
      <c r="T63" s="9">
        <v>0</v>
      </c>
      <c r="U63" s="11">
        <f t="shared" si="0"/>
        <v>399413.52999999997</v>
      </c>
      <c r="V63" s="15"/>
      <c r="W63" s="29"/>
      <c r="X63" s="17"/>
      <c r="Y63" s="17"/>
      <c r="Z63" s="17"/>
    </row>
    <row r="64" spans="3:26" ht="23.65" thickBot="1">
      <c r="C64" s="20" t="s">
        <v>142</v>
      </c>
      <c r="D64" s="9">
        <v>57</v>
      </c>
      <c r="E64" s="9" t="s">
        <v>1155</v>
      </c>
      <c r="F64" s="9" t="s">
        <v>1158</v>
      </c>
      <c r="G64" s="9" t="s">
        <v>1276</v>
      </c>
      <c r="H64" s="35"/>
      <c r="I64" s="36" t="str">
        <f>IF(Derivatives!F61="ISDA","Yes - ISDA Universal Protocol","No resolution stay recognition")</f>
        <v>No resolution stay recognition</v>
      </c>
      <c r="J64" s="36" t="str">
        <f>IF(Derivatives!F58="ISDA","Yes - ISDA Universal Protocol","Yes - Other Agreement for resolution stay recognition")</f>
        <v>Yes - Other Agreement for resolution stay recognition</v>
      </c>
      <c r="K64" s="9" t="s">
        <v>1274</v>
      </c>
      <c r="L64" s="9" t="str">
        <f>IF(OR(Derivatives!B58="#",Derivatives!B58=""),Derivatives!L58,Derivatives!B58)</f>
        <v>549300IGE6OVXZ96W351</v>
      </c>
      <c r="M64" s="9" t="str">
        <f>IF(L64=Derivatives!B58,"LEI code","Type of identifier, other than LEI or MFI code")</f>
        <v>LEI code</v>
      </c>
      <c r="N64" s="10" t="str">
        <f>Derivatives!C58</f>
        <v>PORTUGAL</v>
      </c>
      <c r="O64" s="10" t="b">
        <f>IF(Derivatives!H58="",FALSE,TRUE)</f>
        <v>0</v>
      </c>
      <c r="P64" s="36" t="str">
        <f>IF(Derivatives!F58="ISDA","UNITED KINGDOM","PORTUGAL")</f>
        <v>PORTUGAL</v>
      </c>
      <c r="Q64" s="9">
        <v>2</v>
      </c>
      <c r="R64" s="9">
        <v>1267792.0799999998</v>
      </c>
      <c r="S64" s="9">
        <f>IF(Derivatives!O58="",0,-Derivatives!O58)</f>
        <v>0</v>
      </c>
      <c r="T64" s="9">
        <v>0</v>
      </c>
      <c r="U64" s="11">
        <f t="shared" si="0"/>
        <v>1267792.0799999998</v>
      </c>
      <c r="V64" s="15"/>
      <c r="W64" s="29"/>
      <c r="X64" s="17"/>
      <c r="Y64" s="17"/>
      <c r="Z64" s="17"/>
    </row>
    <row r="65" spans="3:29" s="12" customFormat="1" ht="23.65" thickBot="1">
      <c r="C65" s="20" t="s">
        <v>142</v>
      </c>
      <c r="D65" s="9">
        <v>58</v>
      </c>
      <c r="E65" s="13" t="s">
        <v>1155</v>
      </c>
      <c r="F65" s="9" t="s">
        <v>1158</v>
      </c>
      <c r="G65" s="13" t="s">
        <v>1278</v>
      </c>
      <c r="H65" s="35"/>
      <c r="I65" s="36" t="str">
        <f>IF(Derivatives!F62="ISDA","Yes - ISDA Universal Protocol","No resolution stay recognition")</f>
        <v>No resolution stay recognition</v>
      </c>
      <c r="J65" s="36" t="str">
        <f>IF(Derivatives!F59="ISDA","Yes - ISDA Universal Protocol","Yes - Other Agreement for resolution stay recognition")</f>
        <v>Yes - Other Agreement for resolution stay recognition</v>
      </c>
      <c r="K65" s="13" t="s">
        <v>1277</v>
      </c>
      <c r="L65" s="9" t="str">
        <f>IF(OR(Derivatives!B59="#",Derivatives!B59=""),Derivatives!L59,Derivatives!B59)</f>
        <v>7401527695</v>
      </c>
      <c r="M65" s="9" t="str">
        <f>IF(L65=Derivatives!B59,"LEI code","Type of identifier, other than LEI or MFI code")</f>
        <v>Type of identifier, other than LEI or MFI code</v>
      </c>
      <c r="N65" s="10" t="str">
        <f>Derivatives!C59</f>
        <v>PORTUGAL</v>
      </c>
      <c r="O65" s="10" t="b">
        <f>IF(Derivatives!H59="",FALSE,TRUE)</f>
        <v>0</v>
      </c>
      <c r="P65" s="36" t="str">
        <f>IF(Derivatives!F59="ISDA","UNITED KINGDOM","PORTUGAL")</f>
        <v>PORTUGAL</v>
      </c>
      <c r="Q65" s="13">
        <v>2</v>
      </c>
      <c r="R65" s="13">
        <v>345290.69</v>
      </c>
      <c r="S65" s="9">
        <f>IF(Derivatives!O59="",0,-Derivatives!O59)</f>
        <v>0</v>
      </c>
      <c r="T65" s="9">
        <v>0</v>
      </c>
      <c r="U65" s="11">
        <f t="shared" si="0"/>
        <v>345290.69</v>
      </c>
      <c r="V65" s="26"/>
      <c r="W65" s="30"/>
      <c r="X65" s="31"/>
      <c r="Y65" s="31"/>
      <c r="Z65" s="31"/>
    </row>
    <row r="66" spans="3:29" ht="23.65" thickBot="1">
      <c r="C66" s="20" t="s">
        <v>142</v>
      </c>
      <c r="D66" s="9">
        <v>59</v>
      </c>
      <c r="E66" s="14" t="s">
        <v>1155</v>
      </c>
      <c r="F66" s="9" t="s">
        <v>1158</v>
      </c>
      <c r="G66" s="14" t="s">
        <v>54</v>
      </c>
      <c r="H66" s="35"/>
      <c r="I66" s="36" t="str">
        <f>IF(Derivatives!F63="ISDA","Yes - ISDA Universal Protocol","No resolution stay recognition")</f>
        <v>No resolution stay recognition</v>
      </c>
      <c r="J66" s="36" t="str">
        <f>IF(Derivatives!F60="ISDA","Yes - ISDA Universal Protocol","Yes - Other Agreement for resolution stay recognition")</f>
        <v>Yes - Other Agreement for resolution stay recognition</v>
      </c>
      <c r="K66" s="14" t="s">
        <v>52</v>
      </c>
      <c r="L66" s="9" t="str">
        <f>IF(OR(Derivatives!B60="#",Derivatives!B60=""),Derivatives!L60,Derivatives!B60)</f>
        <v>894500QEBOQ7ZV3UZ375</v>
      </c>
      <c r="M66" s="9" t="str">
        <f>IF(L66=Derivatives!B60,"LEI code","Type of identifier, other than LEI or MFI code")</f>
        <v>LEI code</v>
      </c>
      <c r="N66" s="10" t="str">
        <f>Derivatives!C60</f>
        <v>PORTUGAL</v>
      </c>
      <c r="O66" s="10" t="b">
        <f>IF(Derivatives!H60="",FALSE,TRUE)</f>
        <v>0</v>
      </c>
      <c r="P66" s="36" t="str">
        <f>IF(Derivatives!F60="ISDA","UNITED KINGDOM","PORTUGAL")</f>
        <v>PORTUGAL</v>
      </c>
      <c r="Q66" s="14">
        <v>10</v>
      </c>
      <c r="R66" s="14">
        <v>405572.02</v>
      </c>
      <c r="S66" s="9">
        <f>IF(Derivatives!O60="",0,-Derivatives!O60)</f>
        <v>0</v>
      </c>
      <c r="T66" s="9">
        <v>0</v>
      </c>
      <c r="U66" s="11">
        <f t="shared" si="0"/>
        <v>405572.02</v>
      </c>
      <c r="V66" s="15"/>
      <c r="W66" s="29"/>
      <c r="X66" s="17"/>
      <c r="Y66" s="17"/>
      <c r="Z66" s="17"/>
    </row>
    <row r="67" spans="3:29" ht="23.65" thickBot="1">
      <c r="C67" s="20" t="s">
        <v>142</v>
      </c>
      <c r="D67" s="9">
        <v>60</v>
      </c>
      <c r="E67" s="9" t="s">
        <v>1155</v>
      </c>
      <c r="F67" s="9" t="s">
        <v>1158</v>
      </c>
      <c r="G67" s="9" t="s">
        <v>1280</v>
      </c>
      <c r="H67" s="35"/>
      <c r="I67" s="36" t="str">
        <f>IF(Derivatives!F64="ISDA","Yes - ISDA Universal Protocol","No resolution stay recognition")</f>
        <v>No resolution stay recognition</v>
      </c>
      <c r="J67" s="36" t="str">
        <f>IF(Derivatives!F61="ISDA","Yes - ISDA Universal Protocol","Yes - Other Agreement for resolution stay recognition")</f>
        <v>Yes - Other Agreement for resolution stay recognition</v>
      </c>
      <c r="K67" s="9" t="s">
        <v>1279</v>
      </c>
      <c r="L67" s="9" t="str">
        <f>IF(OR(Derivatives!B61="#",Derivatives!B61=""),Derivatives!L61,Derivatives!B61)</f>
        <v>5100581507</v>
      </c>
      <c r="M67" s="9" t="str">
        <f>IF(L67=Derivatives!B61,"LEI code","Type of identifier, other than LEI or MFI code")</f>
        <v>Type of identifier, other than LEI or MFI code</v>
      </c>
      <c r="N67" s="10" t="str">
        <f>Derivatives!C61</f>
        <v>PORTUGAL</v>
      </c>
      <c r="O67" s="10" t="b">
        <f>IF(Derivatives!H61="",FALSE,TRUE)</f>
        <v>0</v>
      </c>
      <c r="P67" s="36" t="str">
        <f>IF(Derivatives!F61="ISDA","UNITED KINGDOM","PORTUGAL")</f>
        <v>PORTUGAL</v>
      </c>
      <c r="Q67" s="9">
        <v>2</v>
      </c>
      <c r="R67" s="9">
        <v>13575.550000000001</v>
      </c>
      <c r="S67" s="9">
        <f>IF(Derivatives!O61="",0,-Derivatives!O61)</f>
        <v>0</v>
      </c>
      <c r="T67" s="9">
        <v>0</v>
      </c>
      <c r="U67" s="11">
        <f t="shared" si="0"/>
        <v>13575.550000000001</v>
      </c>
      <c r="V67" s="15"/>
      <c r="W67" s="29"/>
      <c r="X67" s="17"/>
      <c r="Y67" s="17"/>
      <c r="Z67" s="17"/>
    </row>
    <row r="68" spans="3:29" ht="23.65" thickBot="1">
      <c r="C68" s="20" t="s">
        <v>142</v>
      </c>
      <c r="D68" s="9">
        <v>61</v>
      </c>
      <c r="E68" s="9" t="s">
        <v>1155</v>
      </c>
      <c r="F68" s="9" t="s">
        <v>1158</v>
      </c>
      <c r="G68" s="9" t="s">
        <v>41</v>
      </c>
      <c r="H68" s="35"/>
      <c r="I68" s="36" t="str">
        <f>IF(Derivatives!F65="ISDA","Yes - ISDA Universal Protocol","No resolution stay recognition")</f>
        <v>No resolution stay recognition</v>
      </c>
      <c r="J68" s="36" t="str">
        <f>IF(Derivatives!F62="ISDA","Yes - ISDA Universal Protocol","Yes - Other Agreement for resolution stay recognition")</f>
        <v>Yes - Other Agreement for resolution stay recognition</v>
      </c>
      <c r="K68" s="9" t="s">
        <v>39</v>
      </c>
      <c r="L68" s="9" t="str">
        <f>IF(OR(Derivatives!B62="#",Derivatives!B62=""),Derivatives!L62,Derivatives!B62)</f>
        <v>54930039BIEV13N2UT70</v>
      </c>
      <c r="M68" s="9" t="str">
        <f>IF(L68=Derivatives!B62,"LEI code","Type of identifier, other than LEI or MFI code")</f>
        <v>LEI code</v>
      </c>
      <c r="N68" s="10" t="str">
        <f>Derivatives!C62</f>
        <v>PORTUGAL</v>
      </c>
      <c r="O68" s="10" t="b">
        <f>IF(Derivatives!H62="",FALSE,TRUE)</f>
        <v>0</v>
      </c>
      <c r="P68" s="36" t="str">
        <f>IF(Derivatives!F62="ISDA","UNITED KINGDOM","PORTUGAL")</f>
        <v>PORTUGAL</v>
      </c>
      <c r="Q68" s="9">
        <v>2</v>
      </c>
      <c r="R68" s="9">
        <v>584821.47</v>
      </c>
      <c r="S68" s="9">
        <f>IF(Derivatives!O62="",0,-Derivatives!O62)</f>
        <v>0</v>
      </c>
      <c r="T68" s="9">
        <v>0</v>
      </c>
      <c r="U68" s="11">
        <f t="shared" si="0"/>
        <v>584821.47</v>
      </c>
      <c r="V68" s="15"/>
      <c r="W68" s="29"/>
      <c r="X68" s="15"/>
      <c r="Z68" s="17"/>
    </row>
    <row r="69" spans="3:29" ht="23.65" thickBot="1">
      <c r="C69" s="20" t="s">
        <v>142</v>
      </c>
      <c r="D69" s="9">
        <v>62</v>
      </c>
      <c r="E69" s="9" t="s">
        <v>1155</v>
      </c>
      <c r="F69" s="9" t="s">
        <v>1158</v>
      </c>
      <c r="G69" s="9" t="s">
        <v>56</v>
      </c>
      <c r="H69" s="35"/>
      <c r="I69" s="36" t="str">
        <f>IF(Derivatives!F66="ISDA","Yes - ISDA Universal Protocol","No resolution stay recognition")</f>
        <v>No resolution stay recognition</v>
      </c>
      <c r="J69" s="36" t="str">
        <f>IF(Derivatives!F63="ISDA","Yes - ISDA Universal Protocol","Yes - Other Agreement for resolution stay recognition")</f>
        <v>Yes - Other Agreement for resolution stay recognition</v>
      </c>
      <c r="K69" s="9" t="s">
        <v>55</v>
      </c>
      <c r="L69" s="9" t="str">
        <f>IF(OR(Derivatives!B63="#",Derivatives!B63=""),Derivatives!L63,Derivatives!B63)</f>
        <v>8028196868</v>
      </c>
      <c r="M69" s="9" t="str">
        <f>IF(L69=Derivatives!B63,"LEI code","Type of identifier, other than LEI or MFI code")</f>
        <v>Type of identifier, other than LEI or MFI code</v>
      </c>
      <c r="N69" s="10" t="str">
        <f>Derivatives!C63</f>
        <v>PORTUGAL</v>
      </c>
      <c r="O69" s="10" t="b">
        <f>IF(Derivatives!H63="",FALSE,TRUE)</f>
        <v>0</v>
      </c>
      <c r="P69" s="36" t="str">
        <f>IF(Derivatives!F63="ISDA","UNITED KINGDOM","PORTUGAL")</f>
        <v>PORTUGAL</v>
      </c>
      <c r="Q69" s="9">
        <v>26</v>
      </c>
      <c r="R69" s="9">
        <v>166361.62000000002</v>
      </c>
      <c r="S69" s="9">
        <f>IF(Derivatives!O63="",0,-Derivatives!O63)</f>
        <v>0</v>
      </c>
      <c r="T69" s="9">
        <v>0</v>
      </c>
      <c r="U69" s="11">
        <f t="shared" si="0"/>
        <v>166361.62000000002</v>
      </c>
      <c r="V69" s="15"/>
      <c r="W69" s="29"/>
      <c r="X69" s="17"/>
      <c r="Y69" s="17"/>
      <c r="Z69" s="17"/>
    </row>
    <row r="70" spans="3:29" ht="35.25" thickBot="1">
      <c r="C70" s="20" t="s">
        <v>142</v>
      </c>
      <c r="D70" s="9">
        <v>63</v>
      </c>
      <c r="E70" s="9" t="s">
        <v>1155</v>
      </c>
      <c r="F70" s="9" t="s">
        <v>1158</v>
      </c>
      <c r="G70" s="9" t="s">
        <v>1284</v>
      </c>
      <c r="H70" s="35"/>
      <c r="I70" s="36" t="str">
        <f>IF(Derivatives!F67="ISDA","Yes - ISDA Universal Protocol","No resolution stay recognition")</f>
        <v>No resolution stay recognition</v>
      </c>
      <c r="J70" s="36" t="str">
        <f>IF(Derivatives!F64="ISDA","Yes - ISDA Universal Protocol","Yes - Other Agreement for resolution stay recognition")</f>
        <v>Yes - Other Agreement for resolution stay recognition</v>
      </c>
      <c r="K70" s="9" t="s">
        <v>1283</v>
      </c>
      <c r="L70" s="9" t="str">
        <f>IF(OR(Derivatives!B64="#",Derivatives!B64=""),Derivatives!L64,Derivatives!B64)</f>
        <v>2101694081</v>
      </c>
      <c r="M70" s="9" t="str">
        <f>IF(L70=Derivatives!B64,"LEI code","Type of identifier, other than LEI or MFI code")</f>
        <v>Type of identifier, other than LEI or MFI code</v>
      </c>
      <c r="N70" s="10" t="str">
        <f>Derivatives!C64</f>
        <v>PORTUGAL</v>
      </c>
      <c r="O70" s="10" t="b">
        <f>IF(Derivatives!H64="",FALSE,TRUE)</f>
        <v>0</v>
      </c>
      <c r="P70" s="36" t="str">
        <f>IF(Derivatives!F64="ISDA","UNITED KINGDOM","PORTUGAL")</f>
        <v>PORTUGAL</v>
      </c>
      <c r="Q70" s="9">
        <v>2</v>
      </c>
      <c r="R70" s="9">
        <v>1509.25</v>
      </c>
      <c r="S70" s="9">
        <f>IF(Derivatives!O64="",0,-Derivatives!O64)</f>
        <v>0</v>
      </c>
      <c r="T70" s="9">
        <v>0</v>
      </c>
      <c r="U70" s="11">
        <f t="shared" si="0"/>
        <v>1509.25</v>
      </c>
      <c r="V70" s="15"/>
      <c r="W70" s="29"/>
      <c r="X70" s="17"/>
      <c r="Y70" s="17"/>
      <c r="Z70" s="17"/>
    </row>
    <row r="71" spans="3:29" ht="23.65" thickBot="1">
      <c r="C71" s="20" t="s">
        <v>142</v>
      </c>
      <c r="D71" s="9">
        <v>64</v>
      </c>
      <c r="E71" s="9" t="s">
        <v>1155</v>
      </c>
      <c r="F71" s="9" t="s">
        <v>1158</v>
      </c>
      <c r="G71" s="9" t="s">
        <v>1286</v>
      </c>
      <c r="H71" s="35"/>
      <c r="I71" s="36" t="str">
        <f>IF(Derivatives!F68="ISDA","Yes - ISDA Universal Protocol","No resolution stay recognition")</f>
        <v>No resolution stay recognition</v>
      </c>
      <c r="J71" s="36" t="str">
        <f>IF(Derivatives!F65="ISDA","Yes - ISDA Universal Protocol","Yes - Other Agreement for resolution stay recognition")</f>
        <v>Yes - Other Agreement for resolution stay recognition</v>
      </c>
      <c r="K71" s="9" t="s">
        <v>1285</v>
      </c>
      <c r="L71" s="9" t="str">
        <f>IF(OR(Derivatives!B65="#",Derivatives!B65=""),Derivatives!L65,Derivatives!B65)</f>
        <v>7402216729</v>
      </c>
      <c r="M71" s="9" t="str">
        <f>IF(L71=Derivatives!B65,"LEI code","Type of identifier, other than LEI or MFI code")</f>
        <v>Type of identifier, other than LEI or MFI code</v>
      </c>
      <c r="N71" s="10" t="str">
        <f>Derivatives!C65</f>
        <v>PORTUGAL</v>
      </c>
      <c r="O71" s="10" t="b">
        <f>IF(Derivatives!H65="",FALSE,TRUE)</f>
        <v>0</v>
      </c>
      <c r="P71" s="36" t="str">
        <f>IF(Derivatives!F65="ISDA","UNITED KINGDOM","PORTUGAL")</f>
        <v>PORTUGAL</v>
      </c>
      <c r="Q71" s="9">
        <v>4</v>
      </c>
      <c r="R71" s="9">
        <v>33308407.030000001</v>
      </c>
      <c r="S71" s="9">
        <f>IF(Derivatives!O65="",0,-Derivatives!O65)</f>
        <v>0</v>
      </c>
      <c r="T71" s="9">
        <v>0</v>
      </c>
      <c r="U71" s="11">
        <f t="shared" si="0"/>
        <v>33308407.030000001</v>
      </c>
      <c r="V71" s="15"/>
      <c r="W71" s="29"/>
      <c r="X71" s="17"/>
      <c r="Y71" s="17"/>
      <c r="Z71" s="17"/>
    </row>
    <row r="72" spans="3:29" s="12" customFormat="1" ht="23.65" thickBot="1">
      <c r="C72" s="20" t="s">
        <v>142</v>
      </c>
      <c r="D72" s="9">
        <v>65</v>
      </c>
      <c r="E72" s="13" t="s">
        <v>1155</v>
      </c>
      <c r="F72" s="9" t="s">
        <v>1158</v>
      </c>
      <c r="G72" s="13" t="s">
        <v>59</v>
      </c>
      <c r="H72" s="35"/>
      <c r="I72" s="36" t="str">
        <f>IF(Derivatives!F69="ISDA","Yes - ISDA Universal Protocol","No resolution stay recognition")</f>
        <v>No resolution stay recognition</v>
      </c>
      <c r="J72" s="36" t="str">
        <f>IF(Derivatives!F66="ISDA","Yes - ISDA Universal Protocol","Yes - Other Agreement for resolution stay recognition")</f>
        <v>Yes - Other Agreement for resolution stay recognition</v>
      </c>
      <c r="K72" s="13" t="s">
        <v>57</v>
      </c>
      <c r="L72" s="9" t="str">
        <f>IF(OR(Derivatives!B66="#",Derivatives!B66=""),Derivatives!L66,Derivatives!B66)</f>
        <v>2549007AQNRT5AXM7X93</v>
      </c>
      <c r="M72" s="9" t="str">
        <f>IF(L72=Derivatives!B66,"LEI code","Type of identifier, other than LEI or MFI code")</f>
        <v>LEI code</v>
      </c>
      <c r="N72" s="10" t="str">
        <f>Derivatives!C66</f>
        <v>PORTUGAL</v>
      </c>
      <c r="O72" s="10" t="b">
        <f>IF(Derivatives!H66="",FALSE,TRUE)</f>
        <v>0</v>
      </c>
      <c r="P72" s="36" t="str">
        <f>IF(Derivatives!F66="ISDA","UNITED KINGDOM","PORTUGAL")</f>
        <v>PORTUGAL</v>
      </c>
      <c r="Q72" s="13">
        <v>2</v>
      </c>
      <c r="R72" s="13">
        <v>27923.439999999999</v>
      </c>
      <c r="S72" s="9">
        <f>IF(Derivatives!O66="",0,-Derivatives!O66)</f>
        <v>0</v>
      </c>
      <c r="T72" s="9">
        <v>0</v>
      </c>
      <c r="U72" s="11">
        <f t="shared" si="0"/>
        <v>27923.439999999999</v>
      </c>
      <c r="V72" s="26"/>
      <c r="W72" s="30"/>
      <c r="X72" s="31"/>
      <c r="Y72" s="31"/>
      <c r="Z72" s="31"/>
      <c r="AB72" s="2"/>
    </row>
    <row r="73" spans="3:29" ht="23.65" thickBot="1">
      <c r="C73" s="20" t="s">
        <v>142</v>
      </c>
      <c r="D73" s="9">
        <v>66</v>
      </c>
      <c r="E73" s="14" t="s">
        <v>1155</v>
      </c>
      <c r="F73" s="9" t="s">
        <v>1158</v>
      </c>
      <c r="G73" s="14" t="s">
        <v>1289</v>
      </c>
      <c r="H73" s="35"/>
      <c r="I73" s="36" t="str">
        <f>IF(Derivatives!F70="ISDA","Yes - ISDA Universal Protocol","No resolution stay recognition")</f>
        <v>No resolution stay recognition</v>
      </c>
      <c r="J73" s="36" t="str">
        <f>IF(Derivatives!F67="ISDA","Yes - ISDA Universal Protocol","Yes - Other Agreement for resolution stay recognition")</f>
        <v>Yes - Other Agreement for resolution stay recognition</v>
      </c>
      <c r="K73" s="14" t="s">
        <v>1287</v>
      </c>
      <c r="L73" s="9" t="str">
        <f>IF(OR(Derivatives!B67="#",Derivatives!B67=""),Derivatives!L67,Derivatives!B67)</f>
        <v>549300ICDIME73V1MP25</v>
      </c>
      <c r="M73" s="9" t="str">
        <f>IF(L73=Derivatives!B67,"LEI code","Type of identifier, other than LEI or MFI code")</f>
        <v>LEI code</v>
      </c>
      <c r="N73" s="10" t="str">
        <f>Derivatives!C67</f>
        <v>PORTUGAL</v>
      </c>
      <c r="O73" s="10" t="b">
        <f>IF(Derivatives!H67="",FALSE,TRUE)</f>
        <v>0</v>
      </c>
      <c r="P73" s="36" t="str">
        <f>IF(Derivatives!F67="ISDA","UNITED KINGDOM","PORTUGAL")</f>
        <v>PORTUGAL</v>
      </c>
      <c r="Q73" s="14">
        <v>2</v>
      </c>
      <c r="R73" s="14">
        <v>3846.01</v>
      </c>
      <c r="S73" s="9">
        <f>IF(Derivatives!O67="",0,-Derivatives!O67)</f>
        <v>0</v>
      </c>
      <c r="T73" s="9">
        <v>0</v>
      </c>
      <c r="U73" s="11">
        <f t="shared" ref="U73:U90" si="1">IF(R73-S73+T73&gt;0,R73-S73+T73,0)</f>
        <v>3846.01</v>
      </c>
      <c r="X73" s="15"/>
    </row>
    <row r="74" spans="3:29" s="12" customFormat="1" ht="35.25" thickBot="1">
      <c r="C74" s="20" t="s">
        <v>142</v>
      </c>
      <c r="D74" s="9">
        <v>67</v>
      </c>
      <c r="E74" s="13" t="s">
        <v>1155</v>
      </c>
      <c r="F74" s="9" t="s">
        <v>1158</v>
      </c>
      <c r="G74" s="13" t="s">
        <v>1292</v>
      </c>
      <c r="H74" s="35"/>
      <c r="I74" s="36" t="str">
        <f>IF(Derivatives!F71="ISDA","Yes - ISDA Universal Protocol","No resolution stay recognition")</f>
        <v>No resolution stay recognition</v>
      </c>
      <c r="J74" s="36" t="str">
        <f>IF(Derivatives!F68="ISDA","Yes - ISDA Universal Protocol","Yes - Other Agreement for resolution stay recognition")</f>
        <v>Yes - Other Agreement for resolution stay recognition</v>
      </c>
      <c r="K74" s="13" t="s">
        <v>1290</v>
      </c>
      <c r="L74" s="9" t="str">
        <f>IF(OR(Derivatives!B68="#",Derivatives!B68=""),Derivatives!L68,Derivatives!B68)</f>
        <v>213800CU68OLAP8XAG90</v>
      </c>
      <c r="M74" s="9" t="str">
        <f>IF(L74=Derivatives!B68,"LEI code","Type of identifier, other than LEI or MFI code")</f>
        <v>LEI code</v>
      </c>
      <c r="N74" s="10" t="str">
        <f>Derivatives!C68</f>
        <v>PORTUGAL</v>
      </c>
      <c r="O74" s="10" t="b">
        <f>IF(Derivatives!H68="",FALSE,TRUE)</f>
        <v>0</v>
      </c>
      <c r="P74" s="36" t="str">
        <f>IF(Derivatives!F68="ISDA","UNITED KINGDOM","PORTUGAL")</f>
        <v>PORTUGAL</v>
      </c>
      <c r="Q74" s="13">
        <v>2</v>
      </c>
      <c r="R74" s="13">
        <v>7649.16</v>
      </c>
      <c r="S74" s="9">
        <f>IF(Derivatives!O68="",0,-Derivatives!O68)</f>
        <v>0</v>
      </c>
      <c r="T74" s="9">
        <v>0</v>
      </c>
      <c r="U74" s="11">
        <f t="shared" si="1"/>
        <v>7649.16</v>
      </c>
      <c r="V74" s="26"/>
      <c r="W74" s="30"/>
      <c r="X74" s="31"/>
      <c r="Y74" s="31"/>
      <c r="Z74" s="31"/>
      <c r="AB74" s="2"/>
      <c r="AC74" s="18"/>
    </row>
    <row r="75" spans="3:29" ht="23.65" thickBot="1">
      <c r="C75" s="20" t="s">
        <v>142</v>
      </c>
      <c r="D75" s="9">
        <v>68</v>
      </c>
      <c r="E75" s="2" t="s">
        <v>1155</v>
      </c>
      <c r="F75" s="9" t="s">
        <v>1158</v>
      </c>
      <c r="G75" s="2" t="s">
        <v>44</v>
      </c>
      <c r="I75" s="36" t="str">
        <f>IF(Derivatives!F72="ISDA","Yes - ISDA Universal Protocol","No resolution stay recognition")</f>
        <v>No resolution stay recognition</v>
      </c>
      <c r="J75" s="36" t="str">
        <f>IF(Derivatives!F69="ISDA","Yes - ISDA Universal Protocol","Yes - Other Agreement for resolution stay recognition")</f>
        <v>Yes - Other Agreement for resolution stay recognition</v>
      </c>
      <c r="K75" s="2" t="s">
        <v>42</v>
      </c>
      <c r="L75" s="9" t="str">
        <f>IF(OR(Derivatives!B69="#",Derivatives!B69=""),Derivatives!L69,Derivatives!B69)</f>
        <v>2549001UG2UURXWCHD19</v>
      </c>
      <c r="M75" s="9" t="str">
        <f>IF(L75=Derivatives!B69,"LEI code","Type of identifier, other than LEI or MFI code")</f>
        <v>LEI code</v>
      </c>
      <c r="N75" s="10" t="str">
        <f>Derivatives!C69</f>
        <v>PORTUGAL</v>
      </c>
      <c r="O75" s="10" t="b">
        <f>IF(Derivatives!H69="",FALSE,TRUE)</f>
        <v>0</v>
      </c>
      <c r="P75" s="36" t="str">
        <f>IF(Derivatives!F69="ISDA","UNITED KINGDOM","PORTUGAL")</f>
        <v>PORTUGAL</v>
      </c>
      <c r="Q75" s="2">
        <v>2</v>
      </c>
      <c r="R75" s="19">
        <v>317842.83</v>
      </c>
      <c r="S75" s="9">
        <f>IF(Derivatives!O69="",0,-Derivatives!O69)</f>
        <v>0</v>
      </c>
      <c r="T75" s="9">
        <v>0</v>
      </c>
      <c r="U75" s="11">
        <f t="shared" si="1"/>
        <v>317842.83</v>
      </c>
    </row>
    <row r="76" spans="3:29" ht="23.65" thickBot="1">
      <c r="C76" s="20" t="s">
        <v>142</v>
      </c>
      <c r="D76" s="9">
        <v>69</v>
      </c>
      <c r="E76" s="2" t="s">
        <v>1155</v>
      </c>
      <c r="F76" s="9" t="s">
        <v>1158</v>
      </c>
      <c r="G76" s="2" t="s">
        <v>1177</v>
      </c>
      <c r="I76" s="36" t="str">
        <f>IF(Derivatives!F73="ISDA","Yes - ISDA Universal Protocol","No resolution stay recognition")</f>
        <v>No resolution stay recognition</v>
      </c>
      <c r="J76" s="36" t="str">
        <f>IF(Derivatives!F70="ISDA","Yes - ISDA Universal Protocol","Yes - Other Agreement for resolution stay recognition")</f>
        <v>Yes - Other Agreement for resolution stay recognition</v>
      </c>
      <c r="K76" s="2" t="s">
        <v>1175</v>
      </c>
      <c r="L76" s="9" t="str">
        <f>IF(OR(Derivatives!B70="#",Derivatives!B70=""),Derivatives!L70,Derivatives!B70)</f>
        <v>529900YGSXGLNXRNQA84</v>
      </c>
      <c r="M76" s="9" t="str">
        <f>IF(L76=Derivatives!B70,"LEI code","Type of identifier, other than LEI or MFI code")</f>
        <v>LEI code</v>
      </c>
      <c r="N76" s="10" t="str">
        <f>Derivatives!C70</f>
        <v>PORTUGAL</v>
      </c>
      <c r="O76" s="10" t="b">
        <f>IF(Derivatives!H70="",FALSE,TRUE)</f>
        <v>0</v>
      </c>
      <c r="P76" s="36" t="str">
        <f>IF(Derivatives!F70="ISDA","UNITED KINGDOM","PORTUGAL")</f>
        <v>PORTUGAL</v>
      </c>
      <c r="Q76" s="2">
        <v>2</v>
      </c>
      <c r="R76" s="2">
        <v>771.93999999999994</v>
      </c>
      <c r="S76" s="9">
        <f>IF(Derivatives!O70="",0,-Derivatives!O70)</f>
        <v>0</v>
      </c>
      <c r="T76" s="9">
        <v>0</v>
      </c>
      <c r="U76" s="11">
        <f t="shared" si="1"/>
        <v>771.93999999999994</v>
      </c>
    </row>
    <row r="77" spans="3:29" ht="23.65" thickBot="1">
      <c r="C77" s="20" t="s">
        <v>142</v>
      </c>
      <c r="D77" s="9">
        <v>70</v>
      </c>
      <c r="E77" s="2" t="s">
        <v>1155</v>
      </c>
      <c r="F77" s="9" t="s">
        <v>1158</v>
      </c>
      <c r="G77" s="2" t="s">
        <v>19</v>
      </c>
      <c r="I77" s="36" t="str">
        <f>IF(Derivatives!F74="ISDA","Yes - ISDA Universal Protocol","No resolution stay recognition")</f>
        <v>No resolution stay recognition</v>
      </c>
      <c r="J77" s="36" t="str">
        <f>IF(Derivatives!F71="ISDA","Yes - ISDA Universal Protocol","Yes - Other Agreement for resolution stay recognition")</f>
        <v>Yes - Other Agreement for resolution stay recognition</v>
      </c>
      <c r="K77" s="2" t="s">
        <v>15</v>
      </c>
      <c r="L77" s="9" t="str">
        <f>IF(OR(Derivatives!B71="#",Derivatives!B71=""),Derivatives!L71,Derivatives!B71)</f>
        <v>7400291653</v>
      </c>
      <c r="M77" s="9" t="str">
        <f>IF(L77=Derivatives!B71,"LEI code","Type of identifier, other than LEI or MFI code")</f>
        <v>Type of identifier, other than LEI or MFI code</v>
      </c>
      <c r="N77" s="10" t="str">
        <f>Derivatives!C71</f>
        <v>PORTUGAL</v>
      </c>
      <c r="O77" s="10" t="b">
        <f>IF(Derivatives!H71="",FALSE,TRUE)</f>
        <v>0</v>
      </c>
      <c r="P77" s="36" t="str">
        <f>IF(Derivatives!F71="ISDA","UNITED KINGDOM","PORTUGAL")</f>
        <v>PORTUGAL</v>
      </c>
      <c r="Q77" s="2">
        <v>2</v>
      </c>
      <c r="R77" s="2">
        <v>154472.79</v>
      </c>
      <c r="S77" s="9">
        <f>IF(Derivatives!O71="",0,-Derivatives!O71)</f>
        <v>0</v>
      </c>
      <c r="T77" s="9">
        <v>0</v>
      </c>
      <c r="U77" s="11">
        <f t="shared" si="1"/>
        <v>154472.79</v>
      </c>
    </row>
    <row r="78" spans="3:29" ht="23.65" thickBot="1">
      <c r="C78" s="20" t="s">
        <v>142</v>
      </c>
      <c r="D78" s="9">
        <v>71</v>
      </c>
      <c r="E78" s="2" t="s">
        <v>1155</v>
      </c>
      <c r="F78" s="9" t="s">
        <v>1158</v>
      </c>
      <c r="G78" s="2" t="s">
        <v>1295</v>
      </c>
      <c r="I78" s="36" t="str">
        <f>IF(Derivatives!F75="ISDA","Yes - ISDA Universal Protocol","No resolution stay recognition")</f>
        <v>No resolution stay recognition</v>
      </c>
      <c r="J78" s="36" t="str">
        <f>IF(Derivatives!F72="ISDA","Yes - ISDA Universal Protocol","Yes - Other Agreement for resolution stay recognition")</f>
        <v>Yes - Other Agreement for resolution stay recognition</v>
      </c>
      <c r="K78" s="2" t="s">
        <v>1293</v>
      </c>
      <c r="L78" s="9" t="str">
        <f>IF(OR(Derivatives!B72="#",Derivatives!B72=""),Derivatives!L72,Derivatives!B72)</f>
        <v>89450056X12T4HIB9P52</v>
      </c>
      <c r="M78" s="9" t="str">
        <f>IF(L78=Derivatives!B72,"LEI code","Type of identifier, other than LEI or MFI code")</f>
        <v>LEI code</v>
      </c>
      <c r="N78" s="10" t="str">
        <f>Derivatives!C72</f>
        <v>PORTUGAL</v>
      </c>
      <c r="O78" s="10" t="b">
        <f>IF(Derivatives!H72="",FALSE,TRUE)</f>
        <v>0</v>
      </c>
      <c r="P78" s="36" t="str">
        <f>IF(Derivatives!F72="ISDA","UNITED KINGDOM","PORTUGAL")</f>
        <v>PORTUGAL</v>
      </c>
      <c r="Q78" s="2">
        <v>2</v>
      </c>
      <c r="R78" s="2">
        <v>438085.36</v>
      </c>
      <c r="S78" s="9">
        <f>IF(Derivatives!O72="",0,-Derivatives!O72)</f>
        <v>0</v>
      </c>
      <c r="T78" s="9">
        <v>0</v>
      </c>
      <c r="U78" s="11">
        <f t="shared" si="1"/>
        <v>438085.36</v>
      </c>
    </row>
    <row r="79" spans="3:29" ht="23.65" thickBot="1">
      <c r="C79" s="20" t="s">
        <v>142</v>
      </c>
      <c r="D79" s="9">
        <v>72</v>
      </c>
      <c r="E79" s="2" t="s">
        <v>1155</v>
      </c>
      <c r="F79" s="9" t="s">
        <v>1158</v>
      </c>
      <c r="G79" s="2" t="s">
        <v>1297</v>
      </c>
      <c r="I79" s="36" t="str">
        <f>IF(Derivatives!F76="ISDA","Yes - ISDA Universal Protocol","No resolution stay recognition")</f>
        <v>No resolution stay recognition</v>
      </c>
      <c r="J79" s="36" t="str">
        <f>IF(Derivatives!F73="ISDA","Yes - ISDA Universal Protocol","Yes - Other Agreement for resolution stay recognition")</f>
        <v>Yes - Other Agreement for resolution stay recognition</v>
      </c>
      <c r="K79" s="2" t="s">
        <v>1296</v>
      </c>
      <c r="L79" s="9" t="str">
        <f>IF(OR(Derivatives!B73="#",Derivatives!B73=""),Derivatives!L73,Derivatives!B73)</f>
        <v>7401527696</v>
      </c>
      <c r="M79" s="9" t="str">
        <f>IF(L79=Derivatives!B73,"LEI code","Type of identifier, other than LEI or MFI code")</f>
        <v>Type of identifier, other than LEI or MFI code</v>
      </c>
      <c r="N79" s="10" t="str">
        <f>Derivatives!C73</f>
        <v>PORTUGAL</v>
      </c>
      <c r="O79" s="10" t="b">
        <f>IF(Derivatives!H73="",FALSE,TRUE)</f>
        <v>0</v>
      </c>
      <c r="P79" s="36" t="str">
        <f>IF(Derivatives!F73="ISDA","UNITED KINGDOM","PORTUGAL")</f>
        <v>PORTUGAL</v>
      </c>
      <c r="Q79" s="2">
        <v>2</v>
      </c>
      <c r="R79" s="2">
        <v>259894.24999999997</v>
      </c>
      <c r="S79" s="9">
        <f>IF(Derivatives!O73="",0,-Derivatives!O73)</f>
        <v>0</v>
      </c>
      <c r="T79" s="9">
        <v>0</v>
      </c>
      <c r="U79" s="11">
        <f t="shared" si="1"/>
        <v>259894.24999999997</v>
      </c>
    </row>
    <row r="80" spans="3:29" ht="23.65" thickBot="1">
      <c r="C80" s="20" t="s">
        <v>142</v>
      </c>
      <c r="D80" s="9">
        <v>73</v>
      </c>
      <c r="E80" s="2" t="s">
        <v>1155</v>
      </c>
      <c r="F80" s="9" t="s">
        <v>1158</v>
      </c>
      <c r="G80" s="2" t="s">
        <v>1301</v>
      </c>
      <c r="I80" s="36" t="str">
        <f>IF(Derivatives!F77="ISDA","Yes - ISDA Universal Protocol","No resolution stay recognition")</f>
        <v>No resolution stay recognition</v>
      </c>
      <c r="J80" s="36" t="str">
        <f>IF(Derivatives!F74="ISDA","Yes - ISDA Universal Protocol","Yes - Other Agreement for resolution stay recognition")</f>
        <v>Yes - Other Agreement for resolution stay recognition</v>
      </c>
      <c r="K80" s="2" t="s">
        <v>1300</v>
      </c>
      <c r="L80" s="9" t="str">
        <f>IF(OR(Derivatives!B74="#",Derivatives!B74=""),Derivatives!L74,Derivatives!B74)</f>
        <v>7401635387</v>
      </c>
      <c r="M80" s="9" t="str">
        <f>IF(L80=Derivatives!B74,"LEI code","Type of identifier, other than LEI or MFI code")</f>
        <v>Type of identifier, other than LEI or MFI code</v>
      </c>
      <c r="N80" s="10" t="str">
        <f>Derivatives!C74</f>
        <v>SPAIN</v>
      </c>
      <c r="O80" s="10" t="b">
        <f>IF(Derivatives!H74="",FALSE,TRUE)</f>
        <v>0</v>
      </c>
      <c r="P80" s="36" t="str">
        <f>IF(Derivatives!F74="ISDA","UNITED KINGDOM","PORTUGAL")</f>
        <v>PORTUGAL</v>
      </c>
      <c r="Q80" s="2">
        <v>2</v>
      </c>
      <c r="R80" s="2">
        <v>2913.46</v>
      </c>
      <c r="S80" s="9">
        <f>IF(Derivatives!O74="",0,-Derivatives!O74)</f>
        <v>0</v>
      </c>
      <c r="T80" s="9">
        <v>0</v>
      </c>
      <c r="U80" s="11">
        <f t="shared" si="1"/>
        <v>2913.46</v>
      </c>
    </row>
    <row r="81" spans="3:21" ht="23.65" thickBot="1">
      <c r="C81" s="20" t="s">
        <v>142</v>
      </c>
      <c r="D81" s="9">
        <v>74</v>
      </c>
      <c r="E81" s="2" t="s">
        <v>1156</v>
      </c>
      <c r="F81" s="9" t="s">
        <v>1158</v>
      </c>
      <c r="G81" s="2" t="s">
        <v>12</v>
      </c>
      <c r="I81" s="36" t="str">
        <f>IF(Derivatives!F78="ISDA","Yes - ISDA Universal Protocol","No resolution stay recognition")</f>
        <v>No resolution stay recognition</v>
      </c>
      <c r="J81" s="36" t="str">
        <f>IF(Derivatives!F75="ISDA","Yes - ISDA Universal Protocol","Yes - Other Agreement for resolution stay recognition")</f>
        <v>Yes - Other Agreement for resolution stay recognition</v>
      </c>
      <c r="L81" s="9" t="str">
        <f>IF(OR(Derivatives!B75="#",Derivatives!B75=""),Derivatives!L75,Derivatives!B75)</f>
        <v>0000000000</v>
      </c>
      <c r="M81" s="9" t="str">
        <f>IF(L81=Derivatives!B75,"LEI code","Type of identifier, other than LEI or MFI code")</f>
        <v>Type of identifier, other than LEI or MFI code</v>
      </c>
      <c r="N81" s="10">
        <f>Derivatives!C75</f>
        <v>0</v>
      </c>
      <c r="O81" s="10" t="b">
        <f>IF(Derivatives!H75="",FALSE,TRUE)</f>
        <v>0</v>
      </c>
      <c r="P81" s="36" t="str">
        <f>IF(Derivatives!F75="ISDA","UNITED KINGDOM","PORTUGAL")</f>
        <v>PORTUGAL</v>
      </c>
      <c r="Q81" s="2">
        <v>10</v>
      </c>
      <c r="R81" s="2">
        <v>-9.9999962747097017E-3</v>
      </c>
      <c r="S81" s="9">
        <f>IF(Derivatives!O75="",0,-Derivatives!O75)</f>
        <v>0</v>
      </c>
      <c r="T81" s="9">
        <v>0</v>
      </c>
      <c r="U81" s="11">
        <f t="shared" si="1"/>
        <v>0</v>
      </c>
    </row>
    <row r="82" spans="3:21" ht="23.65" thickBot="1">
      <c r="C82" s="20" t="s">
        <v>142</v>
      </c>
      <c r="D82" s="9">
        <v>75</v>
      </c>
      <c r="E82" s="2" t="s">
        <v>1156</v>
      </c>
      <c r="F82" s="9" t="s">
        <v>1158</v>
      </c>
      <c r="G82" s="2" t="s">
        <v>1190</v>
      </c>
      <c r="I82" s="36" t="str">
        <f>IF(Derivatives!F79="ISDA","Yes - ISDA Universal Protocol","No resolution stay recognition")</f>
        <v>No resolution stay recognition</v>
      </c>
      <c r="J82" s="36" t="str">
        <f>IF(Derivatives!F76="ISDA","Yes - ISDA Universal Protocol","Yes - Other Agreement for resolution stay recognition")</f>
        <v>Yes - Other Agreement for resolution stay recognition</v>
      </c>
      <c r="K82" s="2" t="s">
        <v>1189</v>
      </c>
      <c r="L82" s="9" t="str">
        <f>IF(OR(Derivatives!B76="#",Derivatives!B76=""),Derivatives!L76,Derivatives!B76)</f>
        <v>8008765651</v>
      </c>
      <c r="M82" s="9" t="str">
        <f>IF(L82=Derivatives!B76,"LEI code","Type of identifier, other than LEI or MFI code")</f>
        <v>Type of identifier, other than LEI or MFI code</v>
      </c>
      <c r="N82" s="10" t="str">
        <f>Derivatives!C76</f>
        <v>FRANCE</v>
      </c>
      <c r="O82" s="10" t="b">
        <f>IF(Derivatives!H76="",FALSE,TRUE)</f>
        <v>0</v>
      </c>
      <c r="P82" s="36" t="str">
        <f>IF(Derivatives!F76="ISDA","UNITED KINGDOM","PORTUGAL")</f>
        <v>PORTUGAL</v>
      </c>
      <c r="Q82" s="2">
        <v>16</v>
      </c>
      <c r="R82" s="2">
        <v>3145246.4600000004</v>
      </c>
      <c r="S82" s="9">
        <f>IF(Derivatives!O76="",0,-Derivatives!O76)</f>
        <v>7120710.4939039983</v>
      </c>
      <c r="T82" s="9">
        <v>0</v>
      </c>
      <c r="U82" s="11">
        <f t="shared" si="1"/>
        <v>0</v>
      </c>
    </row>
    <row r="83" spans="3:21" ht="23.65" thickBot="1">
      <c r="C83" s="20" t="s">
        <v>142</v>
      </c>
      <c r="D83" s="9">
        <v>76</v>
      </c>
      <c r="E83" s="2" t="s">
        <v>1156</v>
      </c>
      <c r="F83" s="9" t="s">
        <v>1158</v>
      </c>
      <c r="G83" s="2" t="s">
        <v>1195</v>
      </c>
      <c r="I83" s="36" t="str">
        <f>IF(Derivatives!F80="ISDA","Yes - ISDA Universal Protocol","No resolution stay recognition")</f>
        <v>No resolution stay recognition</v>
      </c>
      <c r="J83" s="36" t="str">
        <f>IF(Derivatives!F77="ISDA","Yes - ISDA Universal Protocol","Yes - Other Agreement for resolution stay recognition")</f>
        <v>Yes - Other Agreement for resolution stay recognition</v>
      </c>
      <c r="K83" s="2" t="s">
        <v>1192</v>
      </c>
      <c r="L83" s="9" t="str">
        <f>IF(OR(Derivatives!B77="#",Derivatives!B77=""),Derivatives!L77,Derivatives!B77)</f>
        <v>6TJCK1B7E7UTXP528Y04</v>
      </c>
      <c r="M83" s="9" t="str">
        <f>IF(L83=Derivatives!B77,"LEI code","Type of identifier, other than LEI or MFI code")</f>
        <v>LEI code</v>
      </c>
      <c r="N83" s="10" t="str">
        <f>Derivatives!C77</f>
        <v>GERMANY</v>
      </c>
      <c r="O83" s="10" t="b">
        <f>IF(Derivatives!H77="",FALSE,TRUE)</f>
        <v>0</v>
      </c>
      <c r="P83" s="36" t="str">
        <f>IF(Derivatives!F77="ISDA","UNITED KINGDOM","PORTUGAL")</f>
        <v>PORTUGAL</v>
      </c>
      <c r="Q83" s="2">
        <v>12</v>
      </c>
      <c r="R83" s="2">
        <v>4718909.419999999</v>
      </c>
      <c r="S83" s="9">
        <f>IF(Derivatives!O77="",0,-Derivatives!O77)</f>
        <v>9216680.0463779997</v>
      </c>
      <c r="T83" s="9">
        <v>0</v>
      </c>
      <c r="U83" s="11">
        <f t="shared" si="1"/>
        <v>0</v>
      </c>
    </row>
    <row r="84" spans="3:21" ht="23.65" thickBot="1">
      <c r="C84" s="20" t="s">
        <v>142</v>
      </c>
      <c r="D84" s="9">
        <v>77</v>
      </c>
      <c r="E84" s="2" t="s">
        <v>1156</v>
      </c>
      <c r="F84" s="9" t="s">
        <v>1158</v>
      </c>
      <c r="G84" s="2" t="s">
        <v>33</v>
      </c>
      <c r="I84" s="36" t="str">
        <f>IF(Derivatives!F81="ISDA","Yes - ISDA Universal Protocol","No resolution stay recognition")</f>
        <v>No resolution stay recognition</v>
      </c>
      <c r="J84" s="36" t="str">
        <f>IF(Derivatives!F78="ISDA","Yes - ISDA Universal Protocol","Yes - Other Agreement for resolution stay recognition")</f>
        <v>Yes - Other Agreement for resolution stay recognition</v>
      </c>
      <c r="K84" s="2" t="s">
        <v>31</v>
      </c>
      <c r="L84" s="9" t="str">
        <f>IF(OR(Derivatives!B78="#",Derivatives!B78=""),Derivatives!L78,Derivatives!B78)</f>
        <v>0000003686</v>
      </c>
      <c r="M84" s="9" t="str">
        <f>IF(L84=Derivatives!B78,"LEI code","Type of identifier, other than LEI or MFI code")</f>
        <v>Type of identifier, other than LEI or MFI code</v>
      </c>
      <c r="N84" s="10" t="str">
        <f>Derivatives!C78</f>
        <v>SPAIN</v>
      </c>
      <c r="O84" s="10" t="b">
        <f>IF(Derivatives!H78="",FALSE,TRUE)</f>
        <v>1</v>
      </c>
      <c r="P84" s="36" t="str">
        <f>IF(Derivatives!F78="ISDA","UNITED KINGDOM","PORTUGAL")</f>
        <v>PORTUGAL</v>
      </c>
      <c r="Q84" s="2">
        <v>77</v>
      </c>
      <c r="R84" s="2">
        <v>358805716.88000005</v>
      </c>
      <c r="S84" s="9">
        <f>IF(Derivatives!O78="",0,-Derivatives!O78)</f>
        <v>78328967.940225005</v>
      </c>
      <c r="T84" s="9">
        <v>0</v>
      </c>
      <c r="U84" s="11">
        <f t="shared" si="1"/>
        <v>280476748.93977505</v>
      </c>
    </row>
    <row r="85" spans="3:21" ht="23.65" thickBot="1">
      <c r="C85" s="20" t="s">
        <v>142</v>
      </c>
      <c r="D85" s="9">
        <v>78</v>
      </c>
      <c r="E85" s="2" t="s">
        <v>1156</v>
      </c>
      <c r="F85" s="9" t="s">
        <v>1158</v>
      </c>
      <c r="G85" s="2" t="s">
        <v>30</v>
      </c>
      <c r="I85" s="36" t="str">
        <f>IF(Derivatives!F82="ISDA","Yes - ISDA Universal Protocol","No resolution stay recognition")</f>
        <v>No resolution stay recognition</v>
      </c>
      <c r="J85" s="36" t="str">
        <f>IF(Derivatives!F79="ISDA","Yes - ISDA Universal Protocol","Yes - Other Agreement for resolution stay recognition")</f>
        <v>Yes - Other Agreement for resolution stay recognition</v>
      </c>
      <c r="K85" s="2" t="s">
        <v>1298</v>
      </c>
      <c r="L85" s="9" t="str">
        <f>IF(OR(Derivatives!B79="#",Derivatives!B79=""),Derivatives!L79,Derivatives!B79)</f>
        <v>5493006QMFDDMYWIAM13</v>
      </c>
      <c r="M85" s="9" t="str">
        <f>IF(L85=Derivatives!B79,"LEI code","Type of identifier, other than LEI or MFI code")</f>
        <v>LEI code</v>
      </c>
      <c r="N85" s="10" t="str">
        <f>Derivatives!C79</f>
        <v>SPAIN</v>
      </c>
      <c r="O85" s="10" t="b">
        <f>IF(Derivatives!H79="",FALSE,TRUE)</f>
        <v>1</v>
      </c>
      <c r="P85" s="36" t="str">
        <f>IF(Derivatives!F79="ISDA","UNITED KINGDOM","PORTUGAL")</f>
        <v>PORTUGAL</v>
      </c>
      <c r="Q85" s="2">
        <v>119</v>
      </c>
      <c r="R85" s="2">
        <v>4860910.0999999987</v>
      </c>
      <c r="S85" s="9">
        <f>IF(Derivatives!O79="",0,-Derivatives!O79)</f>
        <v>-1920660.9468959998</v>
      </c>
      <c r="T85" s="9">
        <v>0</v>
      </c>
      <c r="U85" s="11">
        <f t="shared" si="1"/>
        <v>6781571.0468959985</v>
      </c>
    </row>
    <row r="86" spans="3:21" ht="23.65" thickBot="1">
      <c r="C86" s="20" t="s">
        <v>142</v>
      </c>
      <c r="D86" s="9">
        <v>79</v>
      </c>
      <c r="E86" s="2" t="s">
        <v>1156</v>
      </c>
      <c r="F86" s="9" t="s">
        <v>1158</v>
      </c>
      <c r="G86" s="2" t="s">
        <v>27</v>
      </c>
      <c r="I86" s="36" t="str">
        <f>IF(Derivatives!F83="ISDA","Yes - ISDA Universal Protocol","No resolution stay recognition")</f>
        <v>No resolution stay recognition</v>
      </c>
      <c r="J86" s="36" t="str">
        <f>IF(Derivatives!F80="ISDA","Yes - ISDA Universal Protocol","Yes - Other Agreement for resolution stay recognition")</f>
        <v>Yes - Other Agreement for resolution stay recognition</v>
      </c>
      <c r="K86" s="2" t="s">
        <v>25</v>
      </c>
      <c r="L86" s="9" t="str">
        <f>IF(OR(Derivatives!B80="#",Derivatives!B80=""),Derivatives!L80,Derivatives!B80)</f>
        <v>K8MS7FD7N5Z2WQ51AZ71</v>
      </c>
      <c r="M86" s="9" t="str">
        <f>IF(L86=Derivatives!B80,"LEI code","Type of identifier, other than LEI or MFI code")</f>
        <v>LEI code</v>
      </c>
      <c r="N86" s="10" t="str">
        <f>Derivatives!C80</f>
        <v>SPAIN</v>
      </c>
      <c r="O86" s="10" t="b">
        <f>IF(Derivatives!H80="",FALSE,TRUE)</f>
        <v>0</v>
      </c>
      <c r="P86" s="36" t="str">
        <f>IF(Derivatives!F80="ISDA","UNITED KINGDOM","PORTUGAL")</f>
        <v>PORTUGAL</v>
      </c>
      <c r="Q86" s="2">
        <v>4</v>
      </c>
      <c r="R86" s="2">
        <v>669300.24</v>
      </c>
      <c r="S86" s="9">
        <f>IF(Derivatives!O80="",0,-Derivatives!O80)</f>
        <v>-199999.99999799998</v>
      </c>
      <c r="T86" s="9">
        <v>0</v>
      </c>
      <c r="U86" s="11">
        <f t="shared" si="1"/>
        <v>869300.23999799998</v>
      </c>
    </row>
    <row r="87" spans="3:21" ht="23.65" thickBot="1">
      <c r="C87" s="20" t="s">
        <v>142</v>
      </c>
      <c r="D87" s="9">
        <v>80</v>
      </c>
      <c r="E87" s="2" t="s">
        <v>1156</v>
      </c>
      <c r="F87" s="9" t="s">
        <v>1158</v>
      </c>
      <c r="G87" s="2" t="s">
        <v>35</v>
      </c>
      <c r="I87" s="36" t="str">
        <f>IF(Derivatives!F84="ISDA","Yes - ISDA Universal Protocol","No resolution stay recognition")</f>
        <v>No resolution stay recognition</v>
      </c>
      <c r="J87" s="36" t="str">
        <f>IF(Derivatives!F81="ISDA","Yes - ISDA Universal Protocol","Yes - Other Agreement for resolution stay recognition")</f>
        <v>Yes - Other Agreement for resolution stay recognition</v>
      </c>
      <c r="K87" s="2" t="s">
        <v>34</v>
      </c>
      <c r="L87" s="9" t="str">
        <f>IF(OR(Derivatives!B81="#",Derivatives!B81=""),Derivatives!L81,Derivatives!B81)</f>
        <v>8021880518</v>
      </c>
      <c r="M87" s="9" t="str">
        <f>IF(L87=Derivatives!B81,"LEI code","Type of identifier, other than LEI or MFI code")</f>
        <v>Type of identifier, other than LEI or MFI code</v>
      </c>
      <c r="N87" s="10" t="str">
        <f>Derivatives!C81</f>
        <v>UNITED KINGDOM</v>
      </c>
      <c r="O87" s="10" t="b">
        <f>IF(Derivatives!H81="",FALSE,TRUE)</f>
        <v>0</v>
      </c>
      <c r="P87" s="36" t="str">
        <f>IF(Derivatives!F81="ISDA","UNITED KINGDOM","PORTUGAL")</f>
        <v>PORTUGAL</v>
      </c>
      <c r="Q87" s="2">
        <v>2</v>
      </c>
      <c r="R87" s="2">
        <v>407271.41</v>
      </c>
      <c r="S87" s="9">
        <f>IF(Derivatives!O81="",0,-Derivatives!O81)</f>
        <v>909469.48076800001</v>
      </c>
      <c r="T87" s="9">
        <v>0</v>
      </c>
      <c r="U87" s="11">
        <f t="shared" si="1"/>
        <v>0</v>
      </c>
    </row>
    <row r="88" spans="3:21" ht="23.65" thickBot="1">
      <c r="C88" s="20" t="s">
        <v>142</v>
      </c>
      <c r="D88" s="9">
        <v>81</v>
      </c>
      <c r="E88" s="2" t="s">
        <v>1157</v>
      </c>
      <c r="F88" s="9" t="s">
        <v>1158</v>
      </c>
      <c r="G88" s="2" t="s">
        <v>12</v>
      </c>
      <c r="I88" s="36" t="str">
        <f>IF(Derivatives!F85="ISDA","Yes - ISDA Universal Protocol","No resolution stay recognition")</f>
        <v>No resolution stay recognition</v>
      </c>
      <c r="J88" s="36" t="str">
        <f>IF(Derivatives!F82="ISDA","Yes - ISDA Universal Protocol","Yes - Other Agreement for resolution stay recognition")</f>
        <v>Yes - Other Agreement for resolution stay recognition</v>
      </c>
      <c r="L88" s="9" t="str">
        <f>IF(OR(Derivatives!B82="#",Derivatives!B82=""),Derivatives!L82,Derivatives!B82)</f>
        <v>0000000000</v>
      </c>
      <c r="M88" s="9" t="str">
        <f>IF(L88=Derivatives!B82,"LEI code","Type of identifier, other than LEI or MFI code")</f>
        <v>Type of identifier, other than LEI or MFI code</v>
      </c>
      <c r="N88" s="10">
        <f>Derivatives!C82</f>
        <v>0</v>
      </c>
      <c r="O88" s="10" t="b">
        <f>IF(Derivatives!H82="",FALSE,TRUE)</f>
        <v>0</v>
      </c>
      <c r="P88" s="36" t="str">
        <f>IF(Derivatives!F82="ISDA","UNITED KINGDOM","PORTUGAL")</f>
        <v>PORTUGAL</v>
      </c>
      <c r="Q88" s="2">
        <v>1</v>
      </c>
      <c r="R88" s="2">
        <v>-0.01</v>
      </c>
      <c r="S88" s="9">
        <f>IF(Derivatives!O82="",0,-Derivatives!O82)</f>
        <v>0</v>
      </c>
      <c r="T88" s="9">
        <v>0</v>
      </c>
      <c r="U88" s="11">
        <f t="shared" si="1"/>
        <v>0</v>
      </c>
    </row>
    <row r="89" spans="3:21" ht="23.65" thickBot="1">
      <c r="C89" s="20" t="s">
        <v>142</v>
      </c>
      <c r="D89" s="9">
        <v>82</v>
      </c>
      <c r="E89" s="2" t="s">
        <v>1157</v>
      </c>
      <c r="F89" s="9" t="s">
        <v>1158</v>
      </c>
      <c r="G89" s="2" t="s">
        <v>66</v>
      </c>
      <c r="I89" s="36" t="str">
        <f>IF(Derivatives!F86="ISDA","Yes - ISDA Universal Protocol","No resolution stay recognition")</f>
        <v>No resolution stay recognition</v>
      </c>
      <c r="J89" s="36" t="str">
        <f>IF(Derivatives!F83="ISDA","Yes - ISDA Universal Protocol","Yes - Other Agreement for resolution stay recognition")</f>
        <v>Yes - Other Agreement for resolution stay recognition</v>
      </c>
      <c r="K89" s="2" t="s">
        <v>65</v>
      </c>
      <c r="L89" s="9" t="str">
        <f>IF(OR(Derivatives!B83="#",Derivatives!B83=""),Derivatives!L83,Derivatives!B83)</f>
        <v>WAM6YERMS7OXFZUOY219</v>
      </c>
      <c r="M89" s="9" t="str">
        <f>IF(L89=Derivatives!B83,"LEI code","Type of identifier, other than LEI or MFI code")</f>
        <v>LEI code</v>
      </c>
      <c r="N89" s="10" t="str">
        <f>Derivatives!C83</f>
        <v>FRANCE</v>
      </c>
      <c r="O89" s="10" t="b">
        <f>IF(Derivatives!H83="",FALSE,TRUE)</f>
        <v>0</v>
      </c>
      <c r="P89" s="36" t="str">
        <f>IF(Derivatives!F83="ISDA","UNITED KINGDOM","PORTUGAL")</f>
        <v>PORTUGAL</v>
      </c>
      <c r="Q89" s="2">
        <v>28</v>
      </c>
      <c r="R89" s="2">
        <v>174146707.86000007</v>
      </c>
      <c r="S89" s="9">
        <f>IF(Derivatives!O83="",0,-Derivatives!O83)</f>
        <v>-65148576.827514</v>
      </c>
      <c r="T89" s="9">
        <v>0</v>
      </c>
      <c r="U89" s="11">
        <f t="shared" si="1"/>
        <v>239295284.68751407</v>
      </c>
    </row>
    <row r="90" spans="3:21" ht="23.65" thickBot="1">
      <c r="C90" s="20" t="s">
        <v>142</v>
      </c>
      <c r="D90" s="9">
        <v>83</v>
      </c>
      <c r="E90" s="2" t="s">
        <v>1157</v>
      </c>
      <c r="F90" s="9" t="s">
        <v>1158</v>
      </c>
      <c r="G90" s="2" t="s">
        <v>81</v>
      </c>
      <c r="I90" s="36" t="str">
        <f>IF(Derivatives!F87="ISDA","Yes - ISDA Universal Protocol","No resolution stay recognition")</f>
        <v>No resolution stay recognition</v>
      </c>
      <c r="J90" s="36" t="str">
        <f>IF(Derivatives!F84="ISDA","Yes - ISDA Universal Protocol","Yes - Other Agreement for resolution stay recognition")</f>
        <v>Yes - Other Agreement for resolution stay recognition</v>
      </c>
      <c r="K90" s="2" t="s">
        <v>1224</v>
      </c>
      <c r="L90" s="9" t="str">
        <f>IF(OR(Derivatives!B84="#",Derivatives!B84=""),Derivatives!L84,Derivatives!B84)</f>
        <v>54930006K2IUPA083C07</v>
      </c>
      <c r="M90" s="9" t="str">
        <f>IF(L90=Derivatives!B84,"LEI code","Type of identifier, other than LEI or MFI code")</f>
        <v>LEI code</v>
      </c>
      <c r="N90" s="10" t="str">
        <f>Derivatives!C84</f>
        <v>PORTUGAL</v>
      </c>
      <c r="O90" s="10" t="b">
        <f>IF(Derivatives!H84="",FALSE,TRUE)</f>
        <v>1</v>
      </c>
      <c r="P90" s="36" t="str">
        <f>IF(Derivatives!F84="ISDA","UNITED KINGDOM","PORTUGAL")</f>
        <v>PORTUGAL</v>
      </c>
      <c r="Q90" s="2">
        <v>26</v>
      </c>
      <c r="R90" s="2">
        <v>43794031.880000003</v>
      </c>
      <c r="S90" s="9">
        <f>IF(Derivatives!O84="",0,-Derivatives!O84)</f>
        <v>86010927.660008013</v>
      </c>
      <c r="T90" s="9">
        <v>0</v>
      </c>
      <c r="U90" s="11">
        <f t="shared" si="1"/>
        <v>0</v>
      </c>
    </row>
  </sheetData>
  <mergeCells count="4">
    <mergeCell ref="A1:U1"/>
    <mergeCell ref="D4:U4"/>
    <mergeCell ref="F5:U5"/>
    <mergeCell ref="V5:V6"/>
  </mergeCells>
  <phoneticPr fontId="13" type="noConversion"/>
  <conditionalFormatting sqref="D8:S8 E10:E74 D10:D90 D9:E9 G9:H74 F9:F90 K9:K74 I9:J90 Q9:R74 L9:P90 S9:S90">
    <cfRule type="expression" dxfId="6" priority="7">
      <formula>LEN(TRIM(D8))=0</formula>
    </cfRule>
  </conditionalFormatting>
  <conditionalFormatting sqref="D8:U8 E10:E74 D10:D90 D9:E9 G9:H74 F9:F90 K9:K74 I9:J90 Q9:R74 L9:P90 S9:U90">
    <cfRule type="expression" dxfId="5" priority="6">
      <formula>LEN(TRIM(D8))=0</formula>
    </cfRule>
  </conditionalFormatting>
  <conditionalFormatting sqref="D8:U8 E10:E74 D10:D90 D9:E9 G9:H74 F9:F90 K9:K74 I9:J90 Q9:R74 L9:P90 S9:U90">
    <cfRule type="expression" dxfId="4" priority="4">
      <formula>LEN(TRIM(D8))=0</formula>
    </cfRule>
    <cfRule type="expression" dxfId="3" priority="5">
      <formula>LEN(TRIM(D8))=0</formula>
    </cfRule>
  </conditionalFormatting>
  <conditionalFormatting sqref="D8:U8 E10:E74 D10:D90 D9:E9 G9:H74 F9:F90 K9:K74 I9:J90 Q9:R74 L9:P90 S9:U90">
    <cfRule type="expression" dxfId="2" priority="3">
      <formula>LEN(TRIM(D8))=0</formula>
    </cfRule>
  </conditionalFormatting>
  <conditionalFormatting sqref="D8:U8 E10:E74 D10:D90 D9:E9 G9:H74 F9:F90 K9:K74 I9:J90 Q9:R74 L9:P90 S9:U90">
    <cfRule type="expression" dxfId="1" priority="2">
      <formula>LEN(TRIM(D8))=0</formula>
    </cfRule>
  </conditionalFormatting>
  <conditionalFormatting sqref="D8:U90">
    <cfRule type="expression" dxfId="0" priority="1">
      <formula>LEN(TRIM(D8))=0</formula>
    </cfRule>
  </conditionalFormatting>
  <pageMargins left="0.7" right="0.7" top="0.75" bottom="0.75" header="0.3" footer="0.3"/>
  <pageSetup scale="28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84"/>
  <sheetViews>
    <sheetView topLeftCell="B1" workbookViewId="0">
      <selection activeCell="G2" sqref="G2:G84"/>
    </sheetView>
  </sheetViews>
  <sheetFormatPr defaultColWidth="9.1328125" defaultRowHeight="14.25"/>
  <cols>
    <col min="1" max="1" width="65.86328125" style="23" bestFit="1" customWidth="1"/>
    <col min="2" max="2" width="23.796875" style="23" bestFit="1" customWidth="1"/>
    <col min="3" max="3" width="15.796875" style="23" bestFit="1" customWidth="1"/>
    <col min="4" max="4" width="9.3984375" style="23" bestFit="1" customWidth="1"/>
    <col min="5" max="5" width="9.3984375" style="23" customWidth="1"/>
    <col min="6" max="6" width="14.33203125" style="23" bestFit="1" customWidth="1"/>
    <col min="7" max="7" width="12.33203125" style="23" bestFit="1" customWidth="1"/>
    <col min="8" max="8" width="33.3984375" style="23" bestFit="1" customWidth="1"/>
    <col min="9" max="9" width="26.33203125" style="23" bestFit="1" customWidth="1"/>
    <col min="10" max="10" width="8.06640625" style="23" bestFit="1" customWidth="1"/>
    <col min="11" max="11" width="30.265625" style="23" bestFit="1" customWidth="1"/>
    <col min="12" max="12" width="10.73046875" style="23" bestFit="1" customWidth="1"/>
    <col min="13" max="13" width="5.9296875" style="23" bestFit="1" customWidth="1"/>
    <col min="14" max="14" width="10.46484375" style="23" bestFit="1" customWidth="1"/>
    <col min="15" max="15" width="12.33203125" style="23" bestFit="1" customWidth="1"/>
    <col min="16" max="16" width="11.86328125" style="23" bestFit="1" customWidth="1"/>
    <col min="17" max="17" width="17.59765625" style="23" bestFit="1" customWidth="1"/>
    <col min="18" max="18" width="11.86328125" style="23" bestFit="1" customWidth="1"/>
    <col min="19" max="19" width="18.59765625" style="23" bestFit="1" customWidth="1"/>
    <col min="20" max="16384" width="9.1328125" style="23"/>
  </cols>
  <sheetData>
    <row r="1" spans="1:19">
      <c r="A1" t="s">
        <v>0</v>
      </c>
      <c r="B1" t="s">
        <v>1</v>
      </c>
      <c r="C1" t="s">
        <v>1165</v>
      </c>
      <c r="D1" t="s">
        <v>2</v>
      </c>
      <c r="E1"/>
      <c r="F1" t="s">
        <v>3</v>
      </c>
      <c r="G1" t="s">
        <v>9</v>
      </c>
      <c r="H1" t="s">
        <v>4</v>
      </c>
      <c r="I1" t="s">
        <v>5</v>
      </c>
      <c r="J1" t="s">
        <v>6</v>
      </c>
      <c r="K1"/>
      <c r="L1" t="s">
        <v>7</v>
      </c>
      <c r="M1" t="s">
        <v>8</v>
      </c>
      <c r="N1" t="s">
        <v>1138</v>
      </c>
      <c r="O1" t="s">
        <v>1139</v>
      </c>
      <c r="P1"/>
      <c r="Q1"/>
    </row>
    <row r="2" spans="1:19">
      <c r="A2" t="s">
        <v>1202</v>
      </c>
      <c r="B2" t="s">
        <v>1203</v>
      </c>
      <c r="C2" t="s">
        <v>1161</v>
      </c>
      <c r="D2"/>
      <c r="E2" t="str">
        <f>IF(D2="",L2,D2)</f>
        <v>8046326172</v>
      </c>
      <c r="F2"/>
      <c r="G2">
        <v>1232992.0900000001</v>
      </c>
      <c r="H2" s="38"/>
      <c r="I2" t="s">
        <v>1204</v>
      </c>
      <c r="J2" t="s">
        <v>18</v>
      </c>
      <c r="K2" t="str">
        <f>IF(AND(J2="1",I2="outras empresas nao financeiras"),"c002x   - Micro &amp; SME",IF(I2="instituicoes de credito","c004x   - Institutions",IF(I2="outras empresas nao financeiras","c003x   - Corporates",IF(I2="outras instituicoes financeiras","c005x   - Other financial corporations",IF(I2="particulares","c001x   - Households","")))))</f>
        <v/>
      </c>
      <c r="L2" t="s">
        <v>1205</v>
      </c>
      <c r="M2"/>
      <c r="N2">
        <v>2</v>
      </c>
      <c r="O2"/>
      <c r="P2" s="38"/>
      <c r="Q2"/>
      <c r="R2" s="24"/>
    </row>
    <row r="3" spans="1:19">
      <c r="A3" t="s">
        <v>1244</v>
      </c>
      <c r="B3" t="s">
        <v>16</v>
      </c>
      <c r="C3" t="s">
        <v>1161</v>
      </c>
      <c r="D3"/>
      <c r="E3" t="str">
        <f t="shared" ref="E3:E66" si="0">IF(D3="",L3,D3)</f>
        <v>8000538608</v>
      </c>
      <c r="F3"/>
      <c r="G3">
        <v>3407.32</v>
      </c>
      <c r="H3" s="38"/>
      <c r="I3" t="s">
        <v>1245</v>
      </c>
      <c r="J3" t="s">
        <v>18</v>
      </c>
      <c r="K3" t="str">
        <f>IF(AND(J3="1",I3="outras empresas nao financeiras"),"c002x   - Micro &amp; SME",IF(I3="instituicoes de credito","c004x   - Institutions",IF(I3="outras empresas nao financeiras","c003x   - Corporates",IF(I3="outras instituicoes financeiras","c005x   - Other financial corporations",IF(I3="particulares","c001x   - Households","")))))</f>
        <v>c001x   - Households</v>
      </c>
      <c r="L3" t="s">
        <v>1246</v>
      </c>
      <c r="M3"/>
      <c r="N3">
        <v>2</v>
      </c>
      <c r="O3"/>
      <c r="P3" s="38"/>
      <c r="Q3"/>
      <c r="R3" s="24"/>
    </row>
    <row r="4" spans="1:19">
      <c r="A4" t="s">
        <v>1281</v>
      </c>
      <c r="B4" t="s">
        <v>16</v>
      </c>
      <c r="C4" t="s">
        <v>1161</v>
      </c>
      <c r="D4"/>
      <c r="E4" t="str">
        <f t="shared" si="0"/>
        <v>7401375790</v>
      </c>
      <c r="F4"/>
      <c r="G4">
        <v>631938.24</v>
      </c>
      <c r="H4" s="38"/>
      <c r="I4" t="s">
        <v>1245</v>
      </c>
      <c r="J4" t="s">
        <v>21</v>
      </c>
      <c r="K4" t="str">
        <f>IF(AND(J4="1",I4="outras empresas nao financeiras"),"c002x   - Micro &amp; SME",IF(I4="instituicoes de credito","c004x   - Institutions",IF(I4="outras empresas nao financeiras","c003x   - Corporates",IF(I4="outras instituicoes financeiras","c005x   - Other financial corporations",IF(I4="particulares","c001x   - Households","")))))</f>
        <v>c001x   - Households</v>
      </c>
      <c r="L4" t="s">
        <v>1282</v>
      </c>
      <c r="M4"/>
      <c r="N4">
        <v>4</v>
      </c>
      <c r="O4"/>
      <c r="P4" s="38"/>
      <c r="Q4"/>
      <c r="R4" s="24"/>
      <c r="S4" s="24"/>
    </row>
    <row r="5" spans="1:19">
      <c r="A5" t="s">
        <v>1214</v>
      </c>
      <c r="B5" t="s">
        <v>16</v>
      </c>
      <c r="C5" t="s">
        <v>1161</v>
      </c>
      <c r="D5"/>
      <c r="E5" t="str">
        <f t="shared" si="0"/>
        <v>7402245918</v>
      </c>
      <c r="F5"/>
      <c r="G5">
        <v>715383.24</v>
      </c>
      <c r="H5" s="38"/>
      <c r="I5" t="s">
        <v>13</v>
      </c>
      <c r="J5" t="s">
        <v>18</v>
      </c>
      <c r="K5" t="str">
        <f>IF(AND(J5="1",I5="outras empresas nao financeiras"),"c002x   - Micro &amp; SME",IF(I5="instituicoes de credito","c004x   - Institutions",IF(I5="outras empresas nao financeiras","c003x   - Corporates",IF(I5="outras instituicoes financeiras","c005x   - Other financial corporations",IF(I5="particulares","c001x   - Households","")))))</f>
        <v>c002x   - Micro &amp; SME</v>
      </c>
      <c r="L5" t="s">
        <v>1215</v>
      </c>
      <c r="M5"/>
      <c r="N5">
        <v>4</v>
      </c>
      <c r="O5"/>
      <c r="P5" s="38"/>
      <c r="Q5"/>
      <c r="R5" s="24"/>
    </row>
    <row r="6" spans="1:19">
      <c r="A6" t="s">
        <v>69</v>
      </c>
      <c r="B6" t="s">
        <v>70</v>
      </c>
      <c r="C6" t="s">
        <v>1161</v>
      </c>
      <c r="D6"/>
      <c r="E6" t="str">
        <f t="shared" si="0"/>
        <v>8001088829</v>
      </c>
      <c r="F6"/>
      <c r="G6">
        <v>16974.53</v>
      </c>
      <c r="H6" s="38"/>
      <c r="I6" t="s">
        <v>13</v>
      </c>
      <c r="J6" t="s">
        <v>18</v>
      </c>
      <c r="K6" t="str">
        <f>IF(AND(J6="1",I6="outras empresas nao financeiras"),"c002x   - Micro &amp; SME",IF(I6="instituicoes de credito","c004x   - Institutions",IF(I6="outras empresas nao financeiras","c003x   - Corporates",IF(I6="outras instituicoes financeiras","c005x   - Other financial corporations",IF(I6="particulares","c001x   - Households","")))))</f>
        <v>c002x   - Micro &amp; SME</v>
      </c>
      <c r="L6" t="s">
        <v>71</v>
      </c>
      <c r="M6"/>
      <c r="N6">
        <v>4</v>
      </c>
      <c r="O6"/>
      <c r="P6" s="38"/>
      <c r="Q6"/>
      <c r="R6" s="24"/>
    </row>
    <row r="7" spans="1:19">
      <c r="A7" t="s">
        <v>88</v>
      </c>
      <c r="B7" t="s">
        <v>89</v>
      </c>
      <c r="C7" t="s">
        <v>1161</v>
      </c>
      <c r="D7"/>
      <c r="E7" t="str">
        <f t="shared" si="0"/>
        <v>7400460285</v>
      </c>
      <c r="F7"/>
      <c r="G7">
        <v>77939.75</v>
      </c>
      <c r="H7" s="38"/>
      <c r="I7" t="s">
        <v>13</v>
      </c>
      <c r="J7" t="s">
        <v>18</v>
      </c>
      <c r="K7" t="str">
        <f>IF(AND(J7="1",I7="outras empresas nao financeiras"),"c002x   - Micro &amp; SME",IF(I7="instituicoes de credito","c004x   - Institutions",IF(I7="outras empresas nao financeiras","c003x   - Corporates",IF(I7="outras instituicoes financeiras","c005x   - Other financial corporations",IF(I7="particulares","c001x   - Households","")))))</f>
        <v>c002x   - Micro &amp; SME</v>
      </c>
      <c r="L7" t="s">
        <v>90</v>
      </c>
      <c r="M7"/>
      <c r="N7">
        <v>4</v>
      </c>
      <c r="O7"/>
      <c r="P7" s="38"/>
      <c r="Q7"/>
      <c r="R7" s="24"/>
    </row>
    <row r="8" spans="1:19">
      <c r="A8" t="s">
        <v>1249</v>
      </c>
      <c r="B8" t="s">
        <v>1250</v>
      </c>
      <c r="C8" t="s">
        <v>1161</v>
      </c>
      <c r="D8"/>
      <c r="E8" t="str">
        <f t="shared" si="0"/>
        <v>8002781981</v>
      </c>
      <c r="F8"/>
      <c r="G8">
        <v>105579.83</v>
      </c>
      <c r="H8" s="38"/>
      <c r="I8" t="s">
        <v>13</v>
      </c>
      <c r="J8" t="s">
        <v>18</v>
      </c>
      <c r="K8" t="str">
        <f>IF(AND(J8="1",I8="outras empresas nao financeiras"),"c002x   - Micro &amp; SME",IF(I8="instituicoes de credito","c004x   - Institutions",IF(I8="outras empresas nao financeiras","c003x   - Corporates",IF(I8="outras instituicoes financeiras","c005x   - Other financial corporations",IF(I8="particulares","c001x   - Households","")))))</f>
        <v>c002x   - Micro &amp; SME</v>
      </c>
      <c r="L8" t="s">
        <v>1251</v>
      </c>
      <c r="M8"/>
      <c r="N8">
        <v>12</v>
      </c>
      <c r="O8"/>
      <c r="P8" s="38"/>
      <c r="Q8"/>
      <c r="R8" s="24"/>
    </row>
    <row r="9" spans="1:19">
      <c r="A9" t="s">
        <v>1258</v>
      </c>
      <c r="B9" t="s">
        <v>1259</v>
      </c>
      <c r="C9" t="s">
        <v>1161</v>
      </c>
      <c r="D9"/>
      <c r="E9" t="str">
        <f t="shared" si="0"/>
        <v>7401005946</v>
      </c>
      <c r="F9"/>
      <c r="G9">
        <v>28067.610000000004</v>
      </c>
      <c r="H9" s="38"/>
      <c r="I9" t="s">
        <v>13</v>
      </c>
      <c r="J9" t="s">
        <v>18</v>
      </c>
      <c r="K9" t="str">
        <f>IF(AND(J9="1",I9="outras empresas nao financeiras"),"c002x   - Micro &amp; SME",IF(I9="instituicoes de credito","c004x   - Institutions",IF(I9="outras empresas nao financeiras","c003x   - Corporates",IF(I9="outras instituicoes financeiras","c005x   - Other financial corporations",IF(I9="particulares","c001x   - Households","")))))</f>
        <v>c002x   - Micro &amp; SME</v>
      </c>
      <c r="L9" t="s">
        <v>1260</v>
      </c>
      <c r="M9"/>
      <c r="N9">
        <v>4</v>
      </c>
      <c r="O9"/>
      <c r="P9" s="38"/>
      <c r="Q9"/>
      <c r="R9" s="24"/>
    </row>
    <row r="10" spans="1:19">
      <c r="A10" t="s">
        <v>1264</v>
      </c>
      <c r="B10" t="s">
        <v>1265</v>
      </c>
      <c r="C10" t="s">
        <v>1161</v>
      </c>
      <c r="D10"/>
      <c r="E10" t="str">
        <f t="shared" si="0"/>
        <v>7400332226</v>
      </c>
      <c r="F10"/>
      <c r="G10">
        <v>9901.02</v>
      </c>
      <c r="H10" s="38"/>
      <c r="I10" t="s">
        <v>13</v>
      </c>
      <c r="J10" t="s">
        <v>18</v>
      </c>
      <c r="K10" t="str">
        <f>IF(AND(J10="1",I10="outras empresas nao financeiras"),"c002x   - Micro &amp; SME",IF(I10="instituicoes de credito","c004x   - Institutions",IF(I10="outras empresas nao financeiras","c003x   - Corporates",IF(I10="outras instituicoes financeiras","c005x   - Other financial corporations",IF(I10="particulares","c001x   - Households","")))))</f>
        <v>c002x   - Micro &amp; SME</v>
      </c>
      <c r="L10" t="s">
        <v>1266</v>
      </c>
      <c r="M10"/>
      <c r="N10">
        <v>2</v>
      </c>
      <c r="O10"/>
      <c r="P10" s="38"/>
      <c r="Q10"/>
      <c r="R10" s="24"/>
    </row>
    <row r="11" spans="1:19">
      <c r="A11" t="s">
        <v>62</v>
      </c>
      <c r="B11" t="s">
        <v>63</v>
      </c>
      <c r="C11" t="s">
        <v>1161</v>
      </c>
      <c r="D11"/>
      <c r="E11" t="str">
        <f t="shared" si="0"/>
        <v>5100500313</v>
      </c>
      <c r="F11"/>
      <c r="G11">
        <v>89120.540000000008</v>
      </c>
      <c r="H11" s="38"/>
      <c r="I11" t="s">
        <v>13</v>
      </c>
      <c r="J11" t="s">
        <v>18</v>
      </c>
      <c r="K11" t="str">
        <f>IF(AND(J11="1",I11="outras empresas nao financeiras"),"c002x   - Micro &amp; SME",IF(I11="instituicoes de credito","c004x   - Institutions",IF(I11="outras empresas nao financeiras","c003x   - Corporates",IF(I11="outras instituicoes financeiras","c005x   - Other financial corporations",IF(I11="particulares","c001x   - Households","")))))</f>
        <v>c002x   - Micro &amp; SME</v>
      </c>
      <c r="L11" t="s">
        <v>64</v>
      </c>
      <c r="M11"/>
      <c r="N11">
        <v>4</v>
      </c>
      <c r="O11"/>
      <c r="P11" s="38"/>
      <c r="Q11"/>
      <c r="R11" s="24"/>
      <c r="S11" s="24"/>
    </row>
    <row r="12" spans="1:19">
      <c r="A12" t="s">
        <v>22</v>
      </c>
      <c r="B12" t="s">
        <v>23</v>
      </c>
      <c r="C12" t="s">
        <v>1161</v>
      </c>
      <c r="D12"/>
      <c r="E12" t="str">
        <f t="shared" si="0"/>
        <v>8000791429</v>
      </c>
      <c r="F12"/>
      <c r="G12">
        <v>337108.22000000003</v>
      </c>
      <c r="H12" s="38"/>
      <c r="I12" t="s">
        <v>13</v>
      </c>
      <c r="J12" t="s">
        <v>18</v>
      </c>
      <c r="K12" t="str">
        <f>IF(AND(J12="1",I12="outras empresas nao financeiras"),"c002x   - Micro &amp; SME",IF(I12="instituicoes de credito","c004x   - Institutions",IF(I12="outras empresas nao financeiras","c003x   - Corporates",IF(I12="outras instituicoes financeiras","c005x   - Other financial corporations",IF(I12="particulares","c001x   - Households","")))))</f>
        <v>c002x   - Micro &amp; SME</v>
      </c>
      <c r="L12" t="s">
        <v>24</v>
      </c>
      <c r="M12"/>
      <c r="N12">
        <v>14</v>
      </c>
      <c r="O12"/>
      <c r="P12" s="38"/>
      <c r="Q12" s="38"/>
      <c r="R12" s="24"/>
    </row>
    <row r="13" spans="1:19">
      <c r="A13" t="s">
        <v>1271</v>
      </c>
      <c r="B13" t="s">
        <v>1272</v>
      </c>
      <c r="C13" t="s">
        <v>1161</v>
      </c>
      <c r="D13"/>
      <c r="E13" t="str">
        <f t="shared" si="0"/>
        <v>7402193927</v>
      </c>
      <c r="F13"/>
      <c r="G13">
        <v>37218.239999999998</v>
      </c>
      <c r="H13" s="38"/>
      <c r="I13" t="s">
        <v>13</v>
      </c>
      <c r="J13" t="s">
        <v>18</v>
      </c>
      <c r="K13" t="str">
        <f>IF(AND(J13="1",I13="outras empresas nao financeiras"),"c002x   - Micro &amp; SME",IF(I13="instituicoes de credito","c004x   - Institutions",IF(I13="outras empresas nao financeiras","c003x   - Corporates",IF(I13="outras instituicoes financeiras","c005x   - Other financial corporations",IF(I13="particulares","c001x   - Households","")))))</f>
        <v>c002x   - Micro &amp; SME</v>
      </c>
      <c r="L13" t="s">
        <v>1273</v>
      </c>
      <c r="M13"/>
      <c r="N13">
        <v>2</v>
      </c>
      <c r="O13"/>
      <c r="P13" s="38"/>
      <c r="Q13"/>
      <c r="R13" s="24"/>
    </row>
    <row r="14" spans="1:19">
      <c r="A14" t="s">
        <v>48</v>
      </c>
      <c r="B14" t="s">
        <v>49</v>
      </c>
      <c r="C14" t="s">
        <v>1161</v>
      </c>
      <c r="D14"/>
      <c r="E14" t="str">
        <f t="shared" si="0"/>
        <v>7400036539</v>
      </c>
      <c r="F14"/>
      <c r="G14">
        <v>86698.65</v>
      </c>
      <c r="H14" s="38"/>
      <c r="I14" t="s">
        <v>13</v>
      </c>
      <c r="J14" t="s">
        <v>18</v>
      </c>
      <c r="K14" t="str">
        <f>IF(AND(J14="1",I14="outras empresas nao financeiras"),"c002x   - Micro &amp; SME",IF(I14="instituicoes de credito","c004x   - Institutions",IF(I14="outras empresas nao financeiras","c003x   - Corporates",IF(I14="outras instituicoes financeiras","c005x   - Other financial corporations",IF(I14="particulares","c001x   - Households","")))))</f>
        <v>c002x   - Micro &amp; SME</v>
      </c>
      <c r="L14" t="s">
        <v>50</v>
      </c>
      <c r="M14"/>
      <c r="N14">
        <v>4</v>
      </c>
      <c r="O14"/>
      <c r="P14" s="38"/>
      <c r="Q14" s="38"/>
    </row>
    <row r="15" spans="1:19">
      <c r="A15" s="23" t="s">
        <v>45</v>
      </c>
      <c r="B15" s="23" t="s">
        <v>46</v>
      </c>
      <c r="C15" s="23" t="s">
        <v>1161</v>
      </c>
      <c r="E15" t="str">
        <f t="shared" si="0"/>
        <v>7401549030</v>
      </c>
      <c r="G15" s="23">
        <v>1376113.19</v>
      </c>
      <c r="I15" s="23" t="s">
        <v>13</v>
      </c>
      <c r="J15" s="23" t="s">
        <v>18</v>
      </c>
      <c r="K15" t="str">
        <f>IF(AND(J15="1",I15="outras empresas nao financeiras"),"c002x   - Micro &amp; SME",IF(I15="instituicoes de credito","c004x   - Institutions",IF(I15="outras empresas nao financeiras","c003x   - Corporates",IF(I15="outras instituicoes financeiras","c005x   - Other financial corporations",IF(I15="particulares","c001x   - Households","")))))</f>
        <v>c002x   - Micro &amp; SME</v>
      </c>
      <c r="L15" s="23" t="s">
        <v>47</v>
      </c>
      <c r="N15" s="23">
        <v>2</v>
      </c>
    </row>
    <row r="16" spans="1:19">
      <c r="A16"/>
      <c r="B16"/>
      <c r="C16"/>
      <c r="D16"/>
      <c r="E16" t="str">
        <f t="shared" si="0"/>
        <v>0000000000</v>
      </c>
      <c r="F16"/>
      <c r="G16">
        <v>-0.06</v>
      </c>
      <c r="H16" s="38"/>
      <c r="I16" t="s">
        <v>13</v>
      </c>
      <c r="J16"/>
      <c r="K16" t="str">
        <f>IF(AND(J16="1",I16="outras empresas nao financeiras"),"c002x   - Micro &amp; SME",IF(I16="instituicoes de credito","c004x   - Institutions",IF(I16="outras empresas nao financeiras","c003x   - Corporates",IF(I16="outras instituicoes financeiras","c005x   - Other financial corporations",IF(I16="particulares","c001x   - Households","")))))</f>
        <v>c003x   - Corporates</v>
      </c>
      <c r="L16" t="s">
        <v>12</v>
      </c>
      <c r="M16"/>
      <c r="N16">
        <v>2</v>
      </c>
      <c r="O16"/>
      <c r="P16" s="38"/>
      <c r="Q16"/>
      <c r="R16" s="24"/>
    </row>
    <row r="17" spans="1:18">
      <c r="A17" t="s">
        <v>1196</v>
      </c>
      <c r="B17" t="s">
        <v>1197</v>
      </c>
      <c r="C17" t="s">
        <v>1198</v>
      </c>
      <c r="D17"/>
      <c r="E17" t="str">
        <f t="shared" si="0"/>
        <v>7401287415</v>
      </c>
      <c r="F17"/>
      <c r="G17">
        <v>1388197.21</v>
      </c>
      <c r="H17" s="38"/>
      <c r="I17" t="s">
        <v>13</v>
      </c>
      <c r="J17" t="s">
        <v>21</v>
      </c>
      <c r="K17" t="str">
        <f>IF(AND(J17="1",I17="outras empresas nao financeiras"),"c002x   - Micro &amp; SME",IF(I17="instituicoes de credito","c004x   - Institutions",IF(I17="outras empresas nao financeiras","c003x   - Corporates",IF(I17="outras instituicoes financeiras","c005x   - Other financial corporations",IF(I17="particulares","c001x   - Households","")))))</f>
        <v>c003x   - Corporates</v>
      </c>
      <c r="L17" t="s">
        <v>1199</v>
      </c>
      <c r="M17"/>
      <c r="N17">
        <v>2</v>
      </c>
      <c r="O17"/>
      <c r="P17" s="38"/>
      <c r="Q17"/>
      <c r="R17" s="24"/>
    </row>
    <row r="18" spans="1:18">
      <c r="A18" t="s">
        <v>82</v>
      </c>
      <c r="B18" t="s">
        <v>83</v>
      </c>
      <c r="C18" t="s">
        <v>1160</v>
      </c>
      <c r="D18"/>
      <c r="E18" t="str">
        <f t="shared" si="0"/>
        <v>7401217822</v>
      </c>
      <c r="F18"/>
      <c r="G18">
        <v>3009959.0700000003</v>
      </c>
      <c r="H18" s="38"/>
      <c r="I18" t="s">
        <v>13</v>
      </c>
      <c r="J18" t="s">
        <v>21</v>
      </c>
      <c r="K18" t="str">
        <f>IF(AND(J18="1",I18="outras empresas nao financeiras"),"c002x   - Micro &amp; SME",IF(I18="instituicoes de credito","c004x   - Institutions",IF(I18="outras empresas nao financeiras","c003x   - Corporates",IF(I18="outras instituicoes financeiras","c005x   - Other financial corporations",IF(I18="particulares","c001x   - Households","")))))</f>
        <v>c003x   - Corporates</v>
      </c>
      <c r="L18" t="s">
        <v>84</v>
      </c>
      <c r="M18"/>
      <c r="N18">
        <v>4</v>
      </c>
      <c r="O18"/>
      <c r="P18" s="38"/>
      <c r="Q18"/>
      <c r="R18" s="24"/>
    </row>
    <row r="19" spans="1:18">
      <c r="A19" t="s">
        <v>72</v>
      </c>
      <c r="B19" t="s">
        <v>16</v>
      </c>
      <c r="C19" t="s">
        <v>1160</v>
      </c>
      <c r="D19"/>
      <c r="E19" t="str">
        <f t="shared" si="0"/>
        <v>7401870046</v>
      </c>
      <c r="F19"/>
      <c r="G19">
        <v>551656.37</v>
      </c>
      <c r="H19" s="38"/>
      <c r="I19" t="s">
        <v>13</v>
      </c>
      <c r="J19" t="s">
        <v>21</v>
      </c>
      <c r="K19" t="str">
        <f>IF(AND(J19="1",I19="outras empresas nao financeiras"),"c002x   - Micro &amp; SME",IF(I19="instituicoes de credito","c004x   - Institutions",IF(I19="outras empresas nao financeiras","c003x   - Corporates",IF(I19="outras instituicoes financeiras","c005x   - Other financial corporations",IF(I19="particulares","c001x   - Households","")))))</f>
        <v>c003x   - Corporates</v>
      </c>
      <c r="L19" t="s">
        <v>74</v>
      </c>
      <c r="M19"/>
      <c r="N19">
        <v>2</v>
      </c>
      <c r="O19"/>
      <c r="P19" s="38"/>
      <c r="Q19"/>
      <c r="R19" s="24"/>
    </row>
    <row r="20" spans="1:18">
      <c r="A20" t="s">
        <v>1200</v>
      </c>
      <c r="B20" t="s">
        <v>16</v>
      </c>
      <c r="C20" t="s">
        <v>1160</v>
      </c>
      <c r="D20"/>
      <c r="E20" t="str">
        <f t="shared" si="0"/>
        <v>7401880665</v>
      </c>
      <c r="F20"/>
      <c r="G20">
        <v>1267792.1199999999</v>
      </c>
      <c r="H20" s="38"/>
      <c r="I20" t="s">
        <v>13</v>
      </c>
      <c r="J20" t="s">
        <v>21</v>
      </c>
      <c r="K20" t="str">
        <f>IF(AND(J20="1",I20="outras empresas nao financeiras"),"c002x   - Micro &amp; SME",IF(I20="instituicoes de credito","c004x   - Institutions",IF(I20="outras empresas nao financeiras","c003x   - Corporates",IF(I20="outras instituicoes financeiras","c005x   - Other financial corporations",IF(I20="particulares","c001x   - Households","")))))</f>
        <v>c003x   - Corporates</v>
      </c>
      <c r="L20" t="s">
        <v>1201</v>
      </c>
      <c r="M20"/>
      <c r="N20">
        <v>2</v>
      </c>
      <c r="O20"/>
      <c r="P20" s="38"/>
      <c r="Q20"/>
      <c r="R20" s="24"/>
    </row>
    <row r="21" spans="1:18">
      <c r="A21" t="s">
        <v>1185</v>
      </c>
      <c r="B21" t="s">
        <v>91</v>
      </c>
      <c r="C21" t="s">
        <v>1161</v>
      </c>
      <c r="D21"/>
      <c r="E21" t="str">
        <f t="shared" si="0"/>
        <v>8009012449</v>
      </c>
      <c r="F21"/>
      <c r="G21">
        <v>1420670.1000000003</v>
      </c>
      <c r="H21" s="38"/>
      <c r="I21" t="s">
        <v>13</v>
      </c>
      <c r="J21" t="s">
        <v>21</v>
      </c>
      <c r="K21" t="str">
        <f>IF(AND(J21="1",I21="outras empresas nao financeiras"),"c002x   - Micro &amp; SME",IF(I21="instituicoes de credito","c004x   - Institutions",IF(I21="outras empresas nao financeiras","c003x   - Corporates",IF(I21="outras instituicoes financeiras","c005x   - Other financial corporations",IF(I21="particulares","c001x   - Households","")))))</f>
        <v>c003x   - Corporates</v>
      </c>
      <c r="L21" t="s">
        <v>92</v>
      </c>
      <c r="M21"/>
      <c r="N21">
        <v>24</v>
      </c>
      <c r="O21"/>
      <c r="P21" s="38"/>
      <c r="Q21"/>
      <c r="R21" s="24"/>
    </row>
    <row r="22" spans="1:18">
      <c r="A22" t="s">
        <v>75</v>
      </c>
      <c r="B22" t="s">
        <v>16</v>
      </c>
      <c r="C22" t="s">
        <v>1161</v>
      </c>
      <c r="D22"/>
      <c r="E22" t="str">
        <f t="shared" si="0"/>
        <v>8029537126</v>
      </c>
      <c r="F22"/>
      <c r="G22">
        <v>297045.74</v>
      </c>
      <c r="H22" s="38"/>
      <c r="I22" t="s">
        <v>13</v>
      </c>
      <c r="J22" t="s">
        <v>21</v>
      </c>
      <c r="K22" t="str">
        <f>IF(AND(J22="1",I22="outras empresas nao financeiras"),"c002x   - Micro &amp; SME",IF(I22="instituicoes de credito","c004x   - Institutions",IF(I22="outras empresas nao financeiras","c003x   - Corporates",IF(I22="outras instituicoes financeiras","c005x   - Other financial corporations",IF(I22="particulares","c001x   - Households","")))))</f>
        <v>c003x   - Corporates</v>
      </c>
      <c r="L22" t="s">
        <v>76</v>
      </c>
      <c r="M22"/>
      <c r="N22">
        <v>2</v>
      </c>
      <c r="O22"/>
      <c r="P22" s="38"/>
      <c r="Q22"/>
      <c r="R22" s="24"/>
    </row>
    <row r="23" spans="1:18">
      <c r="A23" t="s">
        <v>85</v>
      </c>
      <c r="B23" t="s">
        <v>86</v>
      </c>
      <c r="C23" t="s">
        <v>1161</v>
      </c>
      <c r="D23"/>
      <c r="E23" t="str">
        <f t="shared" si="0"/>
        <v>8008582659</v>
      </c>
      <c r="F23"/>
      <c r="G23">
        <v>7556.8</v>
      </c>
      <c r="H23" s="38"/>
      <c r="I23" t="s">
        <v>13</v>
      </c>
      <c r="J23" t="s">
        <v>21</v>
      </c>
      <c r="K23" t="str">
        <f>IF(AND(J23="1",I23="outras empresas nao financeiras"),"c002x   - Micro &amp; SME",IF(I23="instituicoes de credito","c004x   - Institutions",IF(I23="outras empresas nao financeiras","c003x   - Corporates",IF(I23="outras instituicoes financeiras","c005x   - Other financial corporations",IF(I23="particulares","c001x   - Households","")))))</f>
        <v>c003x   - Corporates</v>
      </c>
      <c r="L23" t="s">
        <v>87</v>
      </c>
      <c r="M23"/>
      <c r="N23">
        <v>2</v>
      </c>
      <c r="O23"/>
      <c r="P23" s="38"/>
      <c r="Q23"/>
      <c r="R23" s="24"/>
    </row>
    <row r="24" spans="1:18">
      <c r="A24" t="s">
        <v>1206</v>
      </c>
      <c r="B24" t="s">
        <v>1207</v>
      </c>
      <c r="C24" t="s">
        <v>1161</v>
      </c>
      <c r="D24"/>
      <c r="E24" t="str">
        <f t="shared" si="0"/>
        <v>8002049418</v>
      </c>
      <c r="F24"/>
      <c r="G24">
        <v>125687.25</v>
      </c>
      <c r="H24" s="38"/>
      <c r="I24" t="s">
        <v>13</v>
      </c>
      <c r="J24" t="s">
        <v>21</v>
      </c>
      <c r="K24" t="str">
        <f>IF(AND(J24="1",I24="outras empresas nao financeiras"),"c002x   - Micro &amp; SME",IF(I24="instituicoes de credito","c004x   - Institutions",IF(I24="outras empresas nao financeiras","c003x   - Corporates",IF(I24="outras instituicoes financeiras","c005x   - Other financial corporations",IF(I24="particulares","c001x   - Households","")))))</f>
        <v>c003x   - Corporates</v>
      </c>
      <c r="L24" t="s">
        <v>1208</v>
      </c>
      <c r="M24"/>
      <c r="N24">
        <v>2</v>
      </c>
      <c r="O24"/>
      <c r="P24" s="38"/>
      <c r="Q24"/>
      <c r="R24" s="24"/>
    </row>
    <row r="25" spans="1:18">
      <c r="A25" t="s">
        <v>1209</v>
      </c>
      <c r="B25" t="s">
        <v>16</v>
      </c>
      <c r="C25" t="s">
        <v>1161</v>
      </c>
      <c r="D25"/>
      <c r="E25" t="str">
        <f t="shared" si="0"/>
        <v>7401061786</v>
      </c>
      <c r="F25"/>
      <c r="G25">
        <v>142296.56</v>
      </c>
      <c r="H25" s="38"/>
      <c r="I25" t="s">
        <v>13</v>
      </c>
      <c r="J25" t="s">
        <v>21</v>
      </c>
      <c r="K25" t="str">
        <f>IF(AND(J25="1",I25="outras empresas nao financeiras"),"c002x   - Micro &amp; SME",IF(I25="instituicoes de credito","c004x   - Institutions",IF(I25="outras empresas nao financeiras","c003x   - Corporates",IF(I25="outras instituicoes financeiras","c005x   - Other financial corporations",IF(I25="particulares","c001x   - Households","")))))</f>
        <v>c003x   - Corporates</v>
      </c>
      <c r="L25" t="s">
        <v>1210</v>
      </c>
      <c r="M25"/>
      <c r="N25">
        <v>4</v>
      </c>
      <c r="O25"/>
      <c r="P25" s="38"/>
      <c r="Q25"/>
      <c r="R25" s="24"/>
    </row>
    <row r="26" spans="1:18">
      <c r="A26" t="s">
        <v>1211</v>
      </c>
      <c r="B26" t="s">
        <v>1212</v>
      </c>
      <c r="C26" t="s">
        <v>1161</v>
      </c>
      <c r="D26"/>
      <c r="E26" t="str">
        <f t="shared" si="0"/>
        <v>7401909303</v>
      </c>
      <c r="F26"/>
      <c r="G26">
        <v>106427.65000000001</v>
      </c>
      <c r="H26" s="38"/>
      <c r="I26" t="s">
        <v>13</v>
      </c>
      <c r="J26" t="s">
        <v>21</v>
      </c>
      <c r="K26" t="str">
        <f>IF(AND(J26="1",I26="outras empresas nao financeiras"),"c002x   - Micro &amp; SME",IF(I26="instituicoes de credito","c004x   - Institutions",IF(I26="outras empresas nao financeiras","c003x   - Corporates",IF(I26="outras instituicoes financeiras","c005x   - Other financial corporations",IF(I26="particulares","c001x   - Households","")))))</f>
        <v>c003x   - Corporates</v>
      </c>
      <c r="L26" t="s">
        <v>1213</v>
      </c>
      <c r="M26"/>
      <c r="N26">
        <v>2</v>
      </c>
      <c r="O26"/>
      <c r="P26" s="38"/>
      <c r="Q26"/>
      <c r="R26" s="24"/>
    </row>
    <row r="27" spans="1:18">
      <c r="A27" t="s">
        <v>1216</v>
      </c>
      <c r="B27" t="s">
        <v>16</v>
      </c>
      <c r="C27" t="s">
        <v>1161</v>
      </c>
      <c r="D27"/>
      <c r="E27" t="str">
        <f t="shared" si="0"/>
        <v>7400115380</v>
      </c>
      <c r="F27"/>
      <c r="G27">
        <v>18608.55</v>
      </c>
      <c r="H27" s="38"/>
      <c r="I27" t="s">
        <v>13</v>
      </c>
      <c r="J27" t="s">
        <v>21</v>
      </c>
      <c r="K27" t="str">
        <f>IF(AND(J27="1",I27="outras empresas nao financeiras"),"c002x   - Micro &amp; SME",IF(I27="instituicoes de credito","c004x   - Institutions",IF(I27="outras empresas nao financeiras","c003x   - Corporates",IF(I27="outras instituicoes financeiras","c005x   - Other financial corporations",IF(I27="particulares","c001x   - Households","")))))</f>
        <v>c003x   - Corporates</v>
      </c>
      <c r="L27" t="s">
        <v>1217</v>
      </c>
      <c r="M27"/>
      <c r="N27">
        <v>2</v>
      </c>
      <c r="O27"/>
      <c r="P27" s="38"/>
      <c r="Q27"/>
      <c r="R27" s="24"/>
    </row>
    <row r="28" spans="1:18">
      <c r="A28" t="s">
        <v>1218</v>
      </c>
      <c r="B28" t="s">
        <v>1219</v>
      </c>
      <c r="C28" t="s">
        <v>1161</v>
      </c>
      <c r="D28"/>
      <c r="E28" t="str">
        <f t="shared" si="0"/>
        <v>8029540733</v>
      </c>
      <c r="F28"/>
      <c r="G28">
        <v>7223108.9899999993</v>
      </c>
      <c r="H28" s="38"/>
      <c r="I28" t="s">
        <v>13</v>
      </c>
      <c r="J28" t="s">
        <v>21</v>
      </c>
      <c r="K28" t="str">
        <f>IF(AND(J28="1",I28="outras empresas nao financeiras"),"c002x   - Micro &amp; SME",IF(I28="instituicoes de credito","c004x   - Institutions",IF(I28="outras empresas nao financeiras","c003x   - Corporates",IF(I28="outras instituicoes financeiras","c005x   - Other financial corporations",IF(I28="particulares","c001x   - Households","")))))</f>
        <v>c003x   - Corporates</v>
      </c>
      <c r="L28" t="s">
        <v>1220</v>
      </c>
      <c r="M28"/>
      <c r="N28">
        <v>2</v>
      </c>
      <c r="O28"/>
      <c r="P28" s="38"/>
      <c r="Q28"/>
      <c r="R28" s="24"/>
    </row>
    <row r="29" spans="1:18">
      <c r="A29" t="s">
        <v>77</v>
      </c>
      <c r="B29" t="s">
        <v>16</v>
      </c>
      <c r="C29" t="s">
        <v>1161</v>
      </c>
      <c r="D29"/>
      <c r="E29" t="str">
        <f t="shared" si="0"/>
        <v>8007537441</v>
      </c>
      <c r="F29"/>
      <c r="G29">
        <v>256167.37999999998</v>
      </c>
      <c r="H29" s="38"/>
      <c r="I29" t="s">
        <v>13</v>
      </c>
      <c r="J29" t="s">
        <v>21</v>
      </c>
      <c r="K29" t="str">
        <f>IF(AND(J29="1",I29="outras empresas nao financeiras"),"c002x   - Micro &amp; SME",IF(I29="instituicoes de credito","c004x   - Institutions",IF(I29="outras empresas nao financeiras","c003x   - Corporates",IF(I29="outras instituicoes financeiras","c005x   - Other financial corporations",IF(I29="particulares","c001x   - Households","")))))</f>
        <v>c003x   - Corporates</v>
      </c>
      <c r="L29" t="s">
        <v>78</v>
      </c>
      <c r="M29"/>
      <c r="N29">
        <v>2</v>
      </c>
      <c r="O29"/>
      <c r="P29" s="38"/>
      <c r="Q29"/>
      <c r="R29" s="24"/>
    </row>
    <row r="30" spans="1:18">
      <c r="A30" t="s">
        <v>1221</v>
      </c>
      <c r="B30" t="s">
        <v>1222</v>
      </c>
      <c r="C30" t="s">
        <v>1161</v>
      </c>
      <c r="D30"/>
      <c r="E30" t="str">
        <f t="shared" si="0"/>
        <v>8024667597</v>
      </c>
      <c r="F30"/>
      <c r="G30">
        <v>42911.950000000004</v>
      </c>
      <c r="H30" s="38"/>
      <c r="I30" t="s">
        <v>13</v>
      </c>
      <c r="J30" t="s">
        <v>21</v>
      </c>
      <c r="K30" t="str">
        <f>IF(AND(J30="1",I30="outras empresas nao financeiras"),"c002x   - Micro &amp; SME",IF(I30="instituicoes de credito","c004x   - Institutions",IF(I30="outras empresas nao financeiras","c003x   - Corporates",IF(I30="outras instituicoes financeiras","c005x   - Other financial corporations",IF(I30="particulares","c001x   - Households","")))))</f>
        <v>c003x   - Corporates</v>
      </c>
      <c r="L30" t="s">
        <v>1223</v>
      </c>
      <c r="M30"/>
      <c r="N30">
        <v>12</v>
      </c>
      <c r="O30"/>
      <c r="P30" s="38"/>
      <c r="Q30"/>
      <c r="R30" s="24"/>
    </row>
    <row r="31" spans="1:18">
      <c r="A31" t="s">
        <v>1182</v>
      </c>
      <c r="B31" t="s">
        <v>16</v>
      </c>
      <c r="C31" t="s">
        <v>1161</v>
      </c>
      <c r="D31"/>
      <c r="E31" t="str">
        <f t="shared" si="0"/>
        <v>7401366107</v>
      </c>
      <c r="F31"/>
      <c r="G31">
        <v>7725769.3200000003</v>
      </c>
      <c r="H31" s="38"/>
      <c r="I31" t="s">
        <v>13</v>
      </c>
      <c r="J31" t="s">
        <v>21</v>
      </c>
      <c r="K31" t="str">
        <f>IF(AND(J31="1",I31="outras empresas nao financeiras"),"c002x   - Micro &amp; SME",IF(I31="instituicoes de credito","c004x   - Institutions",IF(I31="outras empresas nao financeiras","c003x   - Corporates",IF(I31="outras instituicoes financeiras","c005x   - Other financial corporations",IF(I31="particulares","c001x   - Households","")))))</f>
        <v>c003x   - Corporates</v>
      </c>
      <c r="L31" t="s">
        <v>1183</v>
      </c>
      <c r="M31"/>
      <c r="N31">
        <v>2</v>
      </c>
      <c r="O31"/>
      <c r="P31" s="38"/>
      <c r="Q31"/>
      <c r="R31" s="24"/>
    </row>
    <row r="32" spans="1:18">
      <c r="A32" t="s">
        <v>1169</v>
      </c>
      <c r="B32" t="s">
        <v>1170</v>
      </c>
      <c r="C32" t="s">
        <v>1161</v>
      </c>
      <c r="D32"/>
      <c r="E32" t="str">
        <f t="shared" si="0"/>
        <v>8046434534</v>
      </c>
      <c r="F32"/>
      <c r="G32">
        <v>1662.2600000000002</v>
      </c>
      <c r="H32" s="38"/>
      <c r="I32" t="s">
        <v>13</v>
      </c>
      <c r="J32" t="s">
        <v>21</v>
      </c>
      <c r="K32" t="str">
        <f>IF(AND(J32="1",I32="outras empresas nao financeiras"),"c002x   - Micro &amp; SME",IF(I32="instituicoes de credito","c004x   - Institutions",IF(I32="outras empresas nao financeiras","c003x   - Corporates",IF(I32="outras instituicoes financeiras","c005x   - Other financial corporations",IF(I32="particulares","c001x   - Households","")))))</f>
        <v>c003x   - Corporates</v>
      </c>
      <c r="L32" t="s">
        <v>1171</v>
      </c>
      <c r="M32"/>
      <c r="N32">
        <v>4</v>
      </c>
      <c r="O32"/>
      <c r="P32" s="38"/>
      <c r="Q32"/>
      <c r="R32" s="24"/>
    </row>
    <row r="33" spans="1:18">
      <c r="A33" t="s">
        <v>1225</v>
      </c>
      <c r="B33" t="s">
        <v>16</v>
      </c>
      <c r="C33" t="s">
        <v>1161</v>
      </c>
      <c r="D33"/>
      <c r="E33" t="str">
        <f t="shared" si="0"/>
        <v>7400477614</v>
      </c>
      <c r="F33"/>
      <c r="G33">
        <v>2027.1000000000001</v>
      </c>
      <c r="H33" s="38"/>
      <c r="I33" t="s">
        <v>13</v>
      </c>
      <c r="J33" t="s">
        <v>21</v>
      </c>
      <c r="K33" t="str">
        <f>IF(AND(J33="1",I33="outras empresas nao financeiras"),"c002x   - Micro &amp; SME",IF(I33="instituicoes de credito","c004x   - Institutions",IF(I33="outras empresas nao financeiras","c003x   - Corporates",IF(I33="outras instituicoes financeiras","c005x   - Other financial corporations",IF(I33="particulares","c001x   - Households","")))))</f>
        <v>c003x   - Corporates</v>
      </c>
      <c r="L33" t="s">
        <v>1226</v>
      </c>
      <c r="M33"/>
      <c r="N33">
        <v>2</v>
      </c>
      <c r="O33"/>
      <c r="P33" s="38"/>
      <c r="Q33"/>
      <c r="R33" s="24"/>
    </row>
    <row r="34" spans="1:18">
      <c r="A34" t="s">
        <v>1227</v>
      </c>
      <c r="B34" t="s">
        <v>16</v>
      </c>
      <c r="C34" t="s">
        <v>1161</v>
      </c>
      <c r="D34"/>
      <c r="E34" t="str">
        <f t="shared" si="0"/>
        <v>7401940249</v>
      </c>
      <c r="F34"/>
      <c r="G34">
        <v>16484392.050000001</v>
      </c>
      <c r="H34" s="38"/>
      <c r="I34" t="s">
        <v>13</v>
      </c>
      <c r="J34" t="s">
        <v>21</v>
      </c>
      <c r="K34" t="str">
        <f>IF(AND(J34="1",I34="outras empresas nao financeiras"),"c002x   - Micro &amp; SME",IF(I34="instituicoes de credito","c004x   - Institutions",IF(I34="outras empresas nao financeiras","c003x   - Corporates",IF(I34="outras instituicoes financeiras","c005x   - Other financial corporations",IF(I34="particulares","c001x   - Households","")))))</f>
        <v>c003x   - Corporates</v>
      </c>
      <c r="L34" t="s">
        <v>1228</v>
      </c>
      <c r="M34"/>
      <c r="N34">
        <v>4</v>
      </c>
      <c r="O34"/>
      <c r="P34" s="38"/>
      <c r="Q34"/>
      <c r="R34" s="24"/>
    </row>
    <row r="35" spans="1:18">
      <c r="A35" t="s">
        <v>93</v>
      </c>
      <c r="B35" t="s">
        <v>94</v>
      </c>
      <c r="C35" t="s">
        <v>1161</v>
      </c>
      <c r="D35"/>
      <c r="E35" t="str">
        <f t="shared" si="0"/>
        <v>8024332321</v>
      </c>
      <c r="F35"/>
      <c r="G35">
        <v>13596.219999999998</v>
      </c>
      <c r="H35" s="38"/>
      <c r="I35" t="s">
        <v>13</v>
      </c>
      <c r="J35" t="s">
        <v>21</v>
      </c>
      <c r="K35" t="str">
        <f>IF(AND(J35="1",I35="outras empresas nao financeiras"),"c002x   - Micro &amp; SME",IF(I35="instituicoes de credito","c004x   - Institutions",IF(I35="outras empresas nao financeiras","c003x   - Corporates",IF(I35="outras instituicoes financeiras","c005x   - Other financial corporations",IF(I35="particulares","c001x   - Households","")))))</f>
        <v>c003x   - Corporates</v>
      </c>
      <c r="L35" t="s">
        <v>95</v>
      </c>
      <c r="M35"/>
      <c r="N35">
        <v>6</v>
      </c>
      <c r="O35"/>
      <c r="P35" s="38"/>
      <c r="Q35"/>
      <c r="R35" s="24"/>
    </row>
    <row r="36" spans="1:18">
      <c r="A36" t="s">
        <v>1229</v>
      </c>
      <c r="B36" t="s">
        <v>16</v>
      </c>
      <c r="C36" t="s">
        <v>1161</v>
      </c>
      <c r="D36"/>
      <c r="E36" t="str">
        <f t="shared" si="0"/>
        <v>7401061771</v>
      </c>
      <c r="F36"/>
      <c r="G36">
        <v>133551.16</v>
      </c>
      <c r="H36" s="38"/>
      <c r="I36" t="s">
        <v>13</v>
      </c>
      <c r="J36" t="s">
        <v>21</v>
      </c>
      <c r="K36" t="str">
        <f>IF(AND(J36="1",I36="outras empresas nao financeiras"),"c002x   - Micro &amp; SME",IF(I36="instituicoes de credito","c004x   - Institutions",IF(I36="outras empresas nao financeiras","c003x   - Corporates",IF(I36="outras instituicoes financeiras","c005x   - Other financial corporations",IF(I36="particulares","c001x   - Households","")))))</f>
        <v>c003x   - Corporates</v>
      </c>
      <c r="L36" t="s">
        <v>1230</v>
      </c>
      <c r="M36"/>
      <c r="N36">
        <v>4</v>
      </c>
      <c r="O36"/>
      <c r="P36" s="38"/>
      <c r="Q36"/>
      <c r="R36" s="24"/>
    </row>
    <row r="37" spans="1:18">
      <c r="A37" t="s">
        <v>1231</v>
      </c>
      <c r="B37" t="s">
        <v>16</v>
      </c>
      <c r="C37" t="s">
        <v>1161</v>
      </c>
      <c r="D37"/>
      <c r="E37" t="str">
        <f t="shared" si="0"/>
        <v>7400044509</v>
      </c>
      <c r="F37"/>
      <c r="G37">
        <v>138182.24</v>
      </c>
      <c r="H37" s="38"/>
      <c r="I37" t="s">
        <v>13</v>
      </c>
      <c r="J37" t="s">
        <v>21</v>
      </c>
      <c r="K37" t="str">
        <f>IF(AND(J37="1",I37="outras empresas nao financeiras"),"c002x   - Micro &amp; SME",IF(I37="instituicoes de credito","c004x   - Institutions",IF(I37="outras empresas nao financeiras","c003x   - Corporates",IF(I37="outras instituicoes financeiras","c005x   - Other financial corporations",IF(I37="particulares","c001x   - Households","")))))</f>
        <v>c003x   - Corporates</v>
      </c>
      <c r="L37" t="s">
        <v>1232</v>
      </c>
      <c r="M37"/>
      <c r="N37">
        <v>4</v>
      </c>
      <c r="O37"/>
      <c r="P37" s="38"/>
      <c r="Q37"/>
      <c r="R37" s="24"/>
    </row>
    <row r="38" spans="1:18">
      <c r="A38" t="s">
        <v>97</v>
      </c>
      <c r="B38" t="s">
        <v>98</v>
      </c>
      <c r="C38" t="s">
        <v>1161</v>
      </c>
      <c r="D38"/>
      <c r="E38" t="str">
        <f t="shared" si="0"/>
        <v>7400410663</v>
      </c>
      <c r="F38"/>
      <c r="G38">
        <v>349647.67</v>
      </c>
      <c r="H38" s="38"/>
      <c r="I38" t="s">
        <v>13</v>
      </c>
      <c r="J38" t="s">
        <v>21</v>
      </c>
      <c r="K38" t="str">
        <f>IF(AND(J38="1",I38="outras empresas nao financeiras"),"c002x   - Micro &amp; SME",IF(I38="instituicoes de credito","c004x   - Institutions",IF(I38="outras empresas nao financeiras","c003x   - Corporates",IF(I38="outras instituicoes financeiras","c005x   - Other financial corporations",IF(I38="particulares","c001x   - Households","")))))</f>
        <v>c003x   - Corporates</v>
      </c>
      <c r="L38" t="s">
        <v>99</v>
      </c>
      <c r="M38"/>
      <c r="N38">
        <v>4</v>
      </c>
      <c r="O38"/>
      <c r="P38" s="38"/>
      <c r="Q38"/>
      <c r="R38" s="24"/>
    </row>
    <row r="39" spans="1:18">
      <c r="A39" t="s">
        <v>1233</v>
      </c>
      <c r="B39" t="s">
        <v>16</v>
      </c>
      <c r="C39" t="s">
        <v>1161</v>
      </c>
      <c r="D39"/>
      <c r="E39" t="str">
        <f t="shared" si="0"/>
        <v>7401184798</v>
      </c>
      <c r="F39"/>
      <c r="G39">
        <v>189596.58000000002</v>
      </c>
      <c r="H39" s="38"/>
      <c r="I39" t="s">
        <v>13</v>
      </c>
      <c r="J39" t="s">
        <v>21</v>
      </c>
      <c r="K39" t="str">
        <f>IF(AND(J39="1",I39="outras empresas nao financeiras"),"c002x   - Micro &amp; SME",IF(I39="instituicoes de credito","c004x   - Institutions",IF(I39="outras empresas nao financeiras","c003x   - Corporates",IF(I39="outras instituicoes financeiras","c005x   - Other financial corporations",IF(I39="particulares","c001x   - Households","")))))</f>
        <v>c003x   - Corporates</v>
      </c>
      <c r="L39" t="s">
        <v>1234</v>
      </c>
      <c r="M39"/>
      <c r="N39">
        <v>2</v>
      </c>
      <c r="O39"/>
      <c r="P39" s="38"/>
      <c r="Q39"/>
      <c r="R39" s="24"/>
    </row>
    <row r="40" spans="1:18">
      <c r="A40" t="s">
        <v>1235</v>
      </c>
      <c r="B40" t="s">
        <v>16</v>
      </c>
      <c r="C40" t="s">
        <v>1161</v>
      </c>
      <c r="D40"/>
      <c r="E40" t="str">
        <f t="shared" si="0"/>
        <v>7400558176</v>
      </c>
      <c r="F40"/>
      <c r="G40">
        <v>1023112.2699999999</v>
      </c>
      <c r="H40" s="38"/>
      <c r="I40" t="s">
        <v>13</v>
      </c>
      <c r="J40" t="s">
        <v>21</v>
      </c>
      <c r="K40" t="str">
        <f>IF(AND(J40="1",I40="outras empresas nao financeiras"),"c002x   - Micro &amp; SME",IF(I40="instituicoes de credito","c004x   - Institutions",IF(I40="outras empresas nao financeiras","c003x   - Corporates",IF(I40="outras instituicoes financeiras","c005x   - Other financial corporations",IF(I40="particulares","c001x   - Households","")))))</f>
        <v>c003x   - Corporates</v>
      </c>
      <c r="L40" t="s">
        <v>1236</v>
      </c>
      <c r="M40"/>
      <c r="N40">
        <v>2</v>
      </c>
      <c r="O40"/>
      <c r="P40" s="38"/>
      <c r="Q40"/>
      <c r="R40" s="24"/>
    </row>
    <row r="41" spans="1:18">
      <c r="A41" t="s">
        <v>67</v>
      </c>
      <c r="B41" t="s">
        <v>16</v>
      </c>
      <c r="C41" t="s">
        <v>1161</v>
      </c>
      <c r="D41"/>
      <c r="E41" t="str">
        <f t="shared" si="0"/>
        <v>7400930438</v>
      </c>
      <c r="F41"/>
      <c r="G41">
        <v>226560.1</v>
      </c>
      <c r="H41" s="38"/>
      <c r="I41" t="s">
        <v>13</v>
      </c>
      <c r="J41" t="s">
        <v>21</v>
      </c>
      <c r="K41" t="str">
        <f>IF(AND(J41="1",I41="outras empresas nao financeiras"),"c002x   - Micro &amp; SME",IF(I41="instituicoes de credito","c004x   - Institutions",IF(I41="outras empresas nao financeiras","c003x   - Corporates",IF(I41="outras instituicoes financeiras","c005x   - Other financial corporations",IF(I41="particulares","c001x   - Households","")))))</f>
        <v>c003x   - Corporates</v>
      </c>
      <c r="L41" t="s">
        <v>68</v>
      </c>
      <c r="M41"/>
      <c r="N41">
        <v>2</v>
      </c>
      <c r="O41"/>
      <c r="P41" s="38"/>
      <c r="Q41"/>
      <c r="R41" s="24"/>
    </row>
    <row r="42" spans="1:18">
      <c r="A42" t="s">
        <v>1237</v>
      </c>
      <c r="B42" t="s">
        <v>1238</v>
      </c>
      <c r="C42" t="s">
        <v>1161</v>
      </c>
      <c r="D42"/>
      <c r="E42" t="str">
        <f t="shared" si="0"/>
        <v>8021762339</v>
      </c>
      <c r="F42"/>
      <c r="G42">
        <v>794.29000000000008</v>
      </c>
      <c r="H42" s="38"/>
      <c r="I42" t="s">
        <v>13</v>
      </c>
      <c r="J42" t="s">
        <v>21</v>
      </c>
      <c r="K42" t="str">
        <f>IF(AND(J42="1",I42="outras empresas nao financeiras"),"c002x   - Micro &amp; SME",IF(I42="instituicoes de credito","c004x   - Institutions",IF(I42="outras empresas nao financeiras","c003x   - Corporates",IF(I42="outras instituicoes financeiras","c005x   - Other financial corporations",IF(I42="particulares","c001x   - Households","")))))</f>
        <v>c003x   - Corporates</v>
      </c>
      <c r="L42" t="s">
        <v>1239</v>
      </c>
      <c r="M42"/>
      <c r="N42">
        <v>2</v>
      </c>
      <c r="O42"/>
      <c r="P42" s="38"/>
      <c r="Q42"/>
      <c r="R42" s="24"/>
    </row>
    <row r="43" spans="1:18">
      <c r="A43" t="s">
        <v>1240</v>
      </c>
      <c r="B43" t="s">
        <v>16</v>
      </c>
      <c r="C43" t="s">
        <v>1161</v>
      </c>
      <c r="D43"/>
      <c r="E43" t="str">
        <f t="shared" si="0"/>
        <v>7401061772</v>
      </c>
      <c r="F43"/>
      <c r="G43">
        <v>116313.22</v>
      </c>
      <c r="H43" s="38"/>
      <c r="I43" t="s">
        <v>13</v>
      </c>
      <c r="J43" t="s">
        <v>21</v>
      </c>
      <c r="K43" t="str">
        <f>IF(AND(J43="1",I43="outras empresas nao financeiras"),"c002x   - Micro &amp; SME",IF(I43="instituicoes de credito","c004x   - Institutions",IF(I43="outras empresas nao financeiras","c003x   - Corporates",IF(I43="outras instituicoes financeiras","c005x   - Other financial corporations",IF(I43="particulares","c001x   - Households","")))))</f>
        <v>c003x   - Corporates</v>
      </c>
      <c r="L43" t="s">
        <v>1241</v>
      </c>
      <c r="M43"/>
      <c r="N43">
        <v>4</v>
      </c>
      <c r="O43"/>
      <c r="P43" s="38"/>
      <c r="Q43"/>
      <c r="R43" s="24"/>
    </row>
    <row r="44" spans="1:18">
      <c r="A44" t="s">
        <v>1184</v>
      </c>
      <c r="B44" t="s">
        <v>16</v>
      </c>
      <c r="C44" t="s">
        <v>1161</v>
      </c>
      <c r="D44"/>
      <c r="E44" t="str">
        <f t="shared" si="0"/>
        <v>7400324759</v>
      </c>
      <c r="F44"/>
      <c r="G44">
        <v>126291.86</v>
      </c>
      <c r="H44" s="38"/>
      <c r="I44" t="s">
        <v>13</v>
      </c>
      <c r="J44" t="s">
        <v>21</v>
      </c>
      <c r="K44" t="str">
        <f>IF(AND(J44="1",I44="outras empresas nao financeiras"),"c002x   - Micro &amp; SME",IF(I44="instituicoes de credito","c004x   - Institutions",IF(I44="outras empresas nao financeiras","c003x   - Corporates",IF(I44="outras instituicoes financeiras","c005x   - Other financial corporations",IF(I44="particulares","c001x   - Households","")))))</f>
        <v>c003x   - Corporates</v>
      </c>
      <c r="L44" t="s">
        <v>96</v>
      </c>
      <c r="M44"/>
      <c r="N44">
        <v>2</v>
      </c>
      <c r="O44"/>
      <c r="P44" s="38"/>
      <c r="Q44"/>
      <c r="R44" s="24"/>
    </row>
    <row r="45" spans="1:18">
      <c r="A45" t="s">
        <v>1242</v>
      </c>
      <c r="B45" t="s">
        <v>16</v>
      </c>
      <c r="C45" t="s">
        <v>1161</v>
      </c>
      <c r="D45"/>
      <c r="E45" t="str">
        <f t="shared" si="0"/>
        <v>5100674067</v>
      </c>
      <c r="F45"/>
      <c r="G45">
        <v>146342.25999999998</v>
      </c>
      <c r="H45" s="38"/>
      <c r="I45" t="s">
        <v>13</v>
      </c>
      <c r="J45" t="s">
        <v>21</v>
      </c>
      <c r="K45" t="str">
        <f>IF(AND(J45="1",I45="outras empresas nao financeiras"),"c002x   - Micro &amp; SME",IF(I45="instituicoes de credito","c004x   - Institutions",IF(I45="outras empresas nao financeiras","c003x   - Corporates",IF(I45="outras instituicoes financeiras","c005x   - Other financial corporations",IF(I45="particulares","c001x   - Households","")))))</f>
        <v>c003x   - Corporates</v>
      </c>
      <c r="L45" t="s">
        <v>1243</v>
      </c>
      <c r="M45"/>
      <c r="N45">
        <v>2</v>
      </c>
      <c r="O45"/>
      <c r="P45" s="38"/>
      <c r="Q45"/>
      <c r="R45" s="24"/>
    </row>
    <row r="46" spans="1:18">
      <c r="A46" t="s">
        <v>1247</v>
      </c>
      <c r="B46" t="s">
        <v>16</v>
      </c>
      <c r="C46" t="s">
        <v>1161</v>
      </c>
      <c r="D46"/>
      <c r="E46" t="str">
        <f t="shared" si="0"/>
        <v>8001128191</v>
      </c>
      <c r="F46"/>
      <c r="G46">
        <v>109816.06999999999</v>
      </c>
      <c r="H46" s="38"/>
      <c r="I46" t="s">
        <v>13</v>
      </c>
      <c r="J46" t="s">
        <v>21</v>
      </c>
      <c r="K46" t="str">
        <f>IF(AND(J46="1",I46="outras empresas nao financeiras"),"c002x   - Micro &amp; SME",IF(I46="instituicoes de credito","c004x   - Institutions",IF(I46="outras empresas nao financeiras","c003x   - Corporates",IF(I46="outras instituicoes financeiras","c005x   - Other financial corporations",IF(I46="particulares","c001x   - Households","")))))</f>
        <v>c003x   - Corporates</v>
      </c>
      <c r="L46" t="s">
        <v>1248</v>
      </c>
      <c r="M46"/>
      <c r="N46">
        <v>2</v>
      </c>
      <c r="O46"/>
      <c r="P46" s="38"/>
      <c r="Q46"/>
      <c r="R46" s="24"/>
    </row>
    <row r="47" spans="1:18">
      <c r="A47" t="s">
        <v>1252</v>
      </c>
      <c r="B47" t="s">
        <v>16</v>
      </c>
      <c r="C47" t="s">
        <v>1161</v>
      </c>
      <c r="D47"/>
      <c r="E47" t="str">
        <f t="shared" si="0"/>
        <v>7401993464</v>
      </c>
      <c r="F47"/>
      <c r="G47">
        <v>1162502.57</v>
      </c>
      <c r="H47" s="38"/>
      <c r="I47" t="s">
        <v>13</v>
      </c>
      <c r="J47" t="s">
        <v>21</v>
      </c>
      <c r="K47" t="str">
        <f>IF(AND(J47="1",I47="outras empresas nao financeiras"),"c002x   - Micro &amp; SME",IF(I47="instituicoes de credito","c004x   - Institutions",IF(I47="outras empresas nao financeiras","c003x   - Corporates",IF(I47="outras instituicoes financeiras","c005x   - Other financial corporations",IF(I47="particulares","c001x   - Households","")))))</f>
        <v>c003x   - Corporates</v>
      </c>
      <c r="L47" t="s">
        <v>1253</v>
      </c>
      <c r="M47"/>
      <c r="N47">
        <v>2</v>
      </c>
      <c r="O47"/>
      <c r="P47" s="38"/>
      <c r="Q47"/>
      <c r="R47" s="24"/>
    </row>
    <row r="48" spans="1:18">
      <c r="A48" t="s">
        <v>1166</v>
      </c>
      <c r="B48" t="s">
        <v>37</v>
      </c>
      <c r="C48" t="s">
        <v>1161</v>
      </c>
      <c r="D48"/>
      <c r="E48" t="str">
        <f t="shared" si="0"/>
        <v>1700059671</v>
      </c>
      <c r="F48"/>
      <c r="G48">
        <v>2419771.29</v>
      </c>
      <c r="H48" s="38"/>
      <c r="I48" t="s">
        <v>13</v>
      </c>
      <c r="J48" t="s">
        <v>21</v>
      </c>
      <c r="K48" t="str">
        <f>IF(AND(J48="1",I48="outras empresas nao financeiras"),"c002x   - Micro &amp; SME",IF(I48="instituicoes de credito","c004x   - Institutions",IF(I48="outras empresas nao financeiras","c003x   - Corporates",IF(I48="outras instituicoes financeiras","c005x   - Other financial corporations",IF(I48="particulares","c001x   - Households","")))))</f>
        <v>c003x   - Corporates</v>
      </c>
      <c r="L48" t="s">
        <v>38</v>
      </c>
      <c r="M48"/>
      <c r="N48">
        <v>2</v>
      </c>
      <c r="O48"/>
      <c r="P48" s="38"/>
      <c r="Q48"/>
      <c r="R48" s="24"/>
    </row>
    <row r="49" spans="1:19">
      <c r="A49" t="s">
        <v>1254</v>
      </c>
      <c r="B49" t="s">
        <v>16</v>
      </c>
      <c r="C49" t="s">
        <v>1161</v>
      </c>
      <c r="D49"/>
      <c r="E49" t="str">
        <f t="shared" si="0"/>
        <v>7401527694</v>
      </c>
      <c r="F49"/>
      <c r="G49">
        <v>372779.98</v>
      </c>
      <c r="H49" s="38"/>
      <c r="I49" t="s">
        <v>13</v>
      </c>
      <c r="J49" t="s">
        <v>21</v>
      </c>
      <c r="K49" t="str">
        <f>IF(AND(J49="1",I49="outras empresas nao financeiras"),"c002x   - Micro &amp; SME",IF(I49="instituicoes de credito","c004x   - Institutions",IF(I49="outras empresas nao financeiras","c003x   - Corporates",IF(I49="outras instituicoes financeiras","c005x   - Other financial corporations",IF(I49="particulares","c001x   - Households","")))))</f>
        <v>c003x   - Corporates</v>
      </c>
      <c r="L49" t="s">
        <v>1255</v>
      </c>
      <c r="M49"/>
      <c r="N49">
        <v>2</v>
      </c>
      <c r="O49"/>
      <c r="P49" s="38"/>
      <c r="Q49"/>
      <c r="R49" s="24"/>
    </row>
    <row r="50" spans="1:19">
      <c r="A50" t="s">
        <v>1256</v>
      </c>
      <c r="B50" t="s">
        <v>16</v>
      </c>
      <c r="C50" t="s">
        <v>1161</v>
      </c>
      <c r="D50"/>
      <c r="E50" t="str">
        <f t="shared" si="0"/>
        <v>7400427931</v>
      </c>
      <c r="F50"/>
      <c r="G50">
        <v>720996.4800000001</v>
      </c>
      <c r="H50" s="38"/>
      <c r="I50" t="s">
        <v>13</v>
      </c>
      <c r="J50" t="s">
        <v>21</v>
      </c>
      <c r="K50" t="str">
        <f>IF(AND(J50="1",I50="outras empresas nao financeiras"),"c002x   - Micro &amp; SME",IF(I50="instituicoes de credito","c004x   - Institutions",IF(I50="outras empresas nao financeiras","c003x   - Corporates",IF(I50="outras instituicoes financeiras","c005x   - Other financial corporations",IF(I50="particulares","c001x   - Households","")))))</f>
        <v>c003x   - Corporates</v>
      </c>
      <c r="L50" t="s">
        <v>1257</v>
      </c>
      <c r="M50"/>
      <c r="N50">
        <v>6</v>
      </c>
      <c r="O50"/>
      <c r="P50" s="38"/>
      <c r="Q50"/>
      <c r="R50" s="24"/>
    </row>
    <row r="51" spans="1:19">
      <c r="A51" t="s">
        <v>1261</v>
      </c>
      <c r="B51" t="s">
        <v>1262</v>
      </c>
      <c r="C51" t="s">
        <v>1161</v>
      </c>
      <c r="D51"/>
      <c r="E51" t="str">
        <f t="shared" si="0"/>
        <v>7400575886</v>
      </c>
      <c r="F51"/>
      <c r="G51">
        <v>1413774.46</v>
      </c>
      <c r="H51" s="38"/>
      <c r="I51" t="s">
        <v>13</v>
      </c>
      <c r="J51" t="s">
        <v>21</v>
      </c>
      <c r="K51" t="str">
        <f>IF(AND(J51="1",I51="outras empresas nao financeiras"),"c002x   - Micro &amp; SME",IF(I51="instituicoes de credito","c004x   - Institutions",IF(I51="outras empresas nao financeiras","c003x   - Corporates",IF(I51="outras instituicoes financeiras","c005x   - Other financial corporations",IF(I51="particulares","c001x   - Households","")))))</f>
        <v>c003x   - Corporates</v>
      </c>
      <c r="L51" t="s">
        <v>1263</v>
      </c>
      <c r="M51"/>
      <c r="N51">
        <v>2</v>
      </c>
      <c r="O51"/>
      <c r="P51" s="38"/>
      <c r="Q51"/>
      <c r="R51" s="24"/>
    </row>
    <row r="52" spans="1:19">
      <c r="A52" t="s">
        <v>1172</v>
      </c>
      <c r="B52" t="s">
        <v>1173</v>
      </c>
      <c r="C52" t="s">
        <v>1161</v>
      </c>
      <c r="D52"/>
      <c r="E52" t="str">
        <f t="shared" si="0"/>
        <v>7401471742</v>
      </c>
      <c r="F52"/>
      <c r="G52">
        <v>3325994.0700000003</v>
      </c>
      <c r="H52" s="38"/>
      <c r="I52" t="s">
        <v>13</v>
      </c>
      <c r="J52" t="s">
        <v>21</v>
      </c>
      <c r="K52" t="str">
        <f>IF(AND(J52="1",I52="outras empresas nao financeiras"),"c002x   - Micro &amp; SME",IF(I52="instituicoes de credito","c004x   - Institutions",IF(I52="outras empresas nao financeiras","c003x   - Corporates",IF(I52="outras instituicoes financeiras","c005x   - Other financial corporations",IF(I52="particulares","c001x   - Households","")))))</f>
        <v>c003x   - Corporates</v>
      </c>
      <c r="L52" t="s">
        <v>1174</v>
      </c>
      <c r="M52"/>
      <c r="N52">
        <v>4</v>
      </c>
      <c r="O52"/>
      <c r="P52" s="38"/>
      <c r="Q52"/>
      <c r="R52" s="24"/>
    </row>
    <row r="53" spans="1:19">
      <c r="A53" t="s">
        <v>1267</v>
      </c>
      <c r="B53" t="s">
        <v>16</v>
      </c>
      <c r="C53" t="s">
        <v>1161</v>
      </c>
      <c r="D53"/>
      <c r="E53" t="str">
        <f t="shared" si="0"/>
        <v>7402111535</v>
      </c>
      <c r="F53"/>
      <c r="G53">
        <v>6242274.9400000004</v>
      </c>
      <c r="H53" s="38"/>
      <c r="I53" t="s">
        <v>13</v>
      </c>
      <c r="J53" t="s">
        <v>21</v>
      </c>
      <c r="K53" t="str">
        <f>IF(AND(J53="1",I53="outras empresas nao financeiras"),"c002x   - Micro &amp; SME",IF(I53="instituicoes de credito","c004x   - Institutions",IF(I53="outras empresas nao financeiras","c003x   - Corporates",IF(I53="outras instituicoes financeiras","c005x   - Other financial corporations",IF(I53="particulares","c001x   - Households","")))))</f>
        <v>c003x   - Corporates</v>
      </c>
      <c r="L53" t="s">
        <v>1268</v>
      </c>
      <c r="M53"/>
      <c r="N53">
        <v>2</v>
      </c>
      <c r="O53"/>
      <c r="P53" s="38"/>
      <c r="Q53"/>
      <c r="R53" s="24"/>
    </row>
    <row r="54" spans="1:19">
      <c r="A54" t="s">
        <v>1181</v>
      </c>
      <c r="B54" t="s">
        <v>60</v>
      </c>
      <c r="C54" t="s">
        <v>1161</v>
      </c>
      <c r="D54"/>
      <c r="E54" t="str">
        <f t="shared" si="0"/>
        <v>5100488804</v>
      </c>
      <c r="F54"/>
      <c r="G54">
        <v>7535.58</v>
      </c>
      <c r="H54" s="38"/>
      <c r="I54" t="s">
        <v>13</v>
      </c>
      <c r="J54" t="s">
        <v>21</v>
      </c>
      <c r="K54" t="str">
        <f>IF(AND(J54="1",I54="outras empresas nao financeiras"),"c002x   - Micro &amp; SME",IF(I54="instituicoes de credito","c004x   - Institutions",IF(I54="outras empresas nao financeiras","c003x   - Corporates",IF(I54="outras instituicoes financeiras","c005x   - Other financial corporations",IF(I54="particulares","c001x   - Households","")))))</f>
        <v>c003x   - Corporates</v>
      </c>
      <c r="L54" t="s">
        <v>61</v>
      </c>
      <c r="M54"/>
      <c r="N54">
        <v>2</v>
      </c>
      <c r="O54"/>
      <c r="P54" s="38"/>
      <c r="Q54"/>
      <c r="R54" s="24"/>
      <c r="S54" s="24"/>
    </row>
    <row r="55" spans="1:19">
      <c r="A55" t="s">
        <v>1269</v>
      </c>
      <c r="B55" t="s">
        <v>16</v>
      </c>
      <c r="C55" t="s">
        <v>1161</v>
      </c>
      <c r="D55"/>
      <c r="E55" t="str">
        <f t="shared" si="0"/>
        <v>8046440512</v>
      </c>
      <c r="F55"/>
      <c r="G55">
        <v>45385.9</v>
      </c>
      <c r="H55" s="38"/>
      <c r="I55" t="s">
        <v>13</v>
      </c>
      <c r="J55" t="s">
        <v>21</v>
      </c>
      <c r="K55" t="str">
        <f>IF(AND(J55="1",I55="outras empresas nao financeiras"),"c002x   - Micro &amp; SME",IF(I55="instituicoes de credito","c004x   - Institutions",IF(I55="outras empresas nao financeiras","c003x   - Corporates",IF(I55="outras instituicoes financeiras","c005x   - Other financial corporations",IF(I55="particulares","c001x   - Households","")))))</f>
        <v>c003x   - Corporates</v>
      </c>
      <c r="L55" t="s">
        <v>1270</v>
      </c>
      <c r="M55"/>
      <c r="N55">
        <v>2</v>
      </c>
      <c r="O55"/>
      <c r="P55" s="38"/>
      <c r="Q55"/>
      <c r="R55" s="24"/>
      <c r="S55" s="24"/>
    </row>
    <row r="56" spans="1:19">
      <c r="A56" t="s">
        <v>1167</v>
      </c>
      <c r="B56" t="s">
        <v>16</v>
      </c>
      <c r="C56" t="s">
        <v>1161</v>
      </c>
      <c r="D56"/>
      <c r="E56" t="str">
        <f t="shared" si="0"/>
        <v>4571000052</v>
      </c>
      <c r="F56"/>
      <c r="G56">
        <v>468701.63</v>
      </c>
      <c r="H56" s="38"/>
      <c r="I56" t="s">
        <v>13</v>
      </c>
      <c r="J56" t="s">
        <v>21</v>
      </c>
      <c r="K56" t="str">
        <f>IF(AND(J56="1",I56="outras empresas nao financeiras"),"c002x   - Micro &amp; SME",IF(I56="instituicoes de credito","c004x   - Institutions",IF(I56="outras empresas nao financeiras","c003x   - Corporates",IF(I56="outras instituicoes financeiras","c005x   - Other financial corporations",IF(I56="particulares","c001x   - Households","")))))</f>
        <v>c003x   - Corporates</v>
      </c>
      <c r="L56" t="s">
        <v>1168</v>
      </c>
      <c r="M56"/>
      <c r="N56">
        <v>2</v>
      </c>
      <c r="O56"/>
      <c r="P56" s="38"/>
      <c r="Q56"/>
      <c r="R56" s="24"/>
      <c r="S56" s="24"/>
    </row>
    <row r="57" spans="1:19">
      <c r="A57" t="s">
        <v>1178</v>
      </c>
      <c r="B57" t="s">
        <v>1179</v>
      </c>
      <c r="C57" t="s">
        <v>1161</v>
      </c>
      <c r="D57"/>
      <c r="E57" t="str">
        <f t="shared" si="0"/>
        <v>7401675857</v>
      </c>
      <c r="F57"/>
      <c r="G57">
        <v>399413.52999999997</v>
      </c>
      <c r="H57" s="38"/>
      <c r="I57" t="s">
        <v>13</v>
      </c>
      <c r="J57" t="s">
        <v>21</v>
      </c>
      <c r="K57" t="str">
        <f>IF(AND(J57="1",I57="outras empresas nao financeiras"),"c002x   - Micro &amp; SME",IF(I57="instituicoes de credito","c004x   - Institutions",IF(I57="outras empresas nao financeiras","c003x   - Corporates",IF(I57="outras instituicoes financeiras","c005x   - Other financial corporations",IF(I57="particulares","c001x   - Households","")))))</f>
        <v>c003x   - Corporates</v>
      </c>
      <c r="L57" t="s">
        <v>1180</v>
      </c>
      <c r="M57"/>
      <c r="N57">
        <v>4</v>
      </c>
      <c r="O57"/>
      <c r="P57" s="38"/>
      <c r="Q57"/>
      <c r="R57" s="24"/>
    </row>
    <row r="58" spans="1:19">
      <c r="A58" t="s">
        <v>1274</v>
      </c>
      <c r="B58" t="s">
        <v>1275</v>
      </c>
      <c r="C58" t="s">
        <v>1161</v>
      </c>
      <c r="D58"/>
      <c r="E58" t="str">
        <f t="shared" si="0"/>
        <v>5100706413</v>
      </c>
      <c r="F58"/>
      <c r="G58">
        <v>1267792.0799999998</v>
      </c>
      <c r="H58" s="38"/>
      <c r="I58" t="s">
        <v>13</v>
      </c>
      <c r="J58" t="s">
        <v>21</v>
      </c>
      <c r="K58" t="str">
        <f>IF(AND(J58="1",I58="outras empresas nao financeiras"),"c002x   - Micro &amp; SME",IF(I58="instituicoes de credito","c004x   - Institutions",IF(I58="outras empresas nao financeiras","c003x   - Corporates",IF(I58="outras instituicoes financeiras","c005x   - Other financial corporations",IF(I58="particulares","c001x   - Households","")))))</f>
        <v>c003x   - Corporates</v>
      </c>
      <c r="L58" t="s">
        <v>1276</v>
      </c>
      <c r="M58"/>
      <c r="N58">
        <v>2</v>
      </c>
      <c r="O58"/>
      <c r="P58" s="38"/>
      <c r="Q58" s="38"/>
      <c r="R58" s="24"/>
    </row>
    <row r="59" spans="1:19">
      <c r="A59" t="s">
        <v>1277</v>
      </c>
      <c r="B59" t="s">
        <v>16</v>
      </c>
      <c r="C59" t="s">
        <v>1161</v>
      </c>
      <c r="D59"/>
      <c r="E59" t="str">
        <f t="shared" si="0"/>
        <v>7401527695</v>
      </c>
      <c r="F59"/>
      <c r="G59">
        <v>345290.69</v>
      </c>
      <c r="H59" s="38"/>
      <c r="I59" t="s">
        <v>13</v>
      </c>
      <c r="J59" t="s">
        <v>21</v>
      </c>
      <c r="K59" t="str">
        <f>IF(AND(J59="1",I59="outras empresas nao financeiras"),"c002x   - Micro &amp; SME",IF(I59="instituicoes de credito","c004x   - Institutions",IF(I59="outras empresas nao financeiras","c003x   - Corporates",IF(I59="outras instituicoes financeiras","c005x   - Other financial corporations",IF(I59="particulares","c001x   - Households","")))))</f>
        <v>c003x   - Corporates</v>
      </c>
      <c r="L59" t="s">
        <v>1278</v>
      </c>
      <c r="M59"/>
      <c r="N59">
        <v>2</v>
      </c>
      <c r="O59"/>
      <c r="P59" s="38"/>
      <c r="Q59" s="38"/>
      <c r="R59" s="24"/>
    </row>
    <row r="60" spans="1:19">
      <c r="A60" t="s">
        <v>52</v>
      </c>
      <c r="B60" t="s">
        <v>53</v>
      </c>
      <c r="C60" t="s">
        <v>1161</v>
      </c>
      <c r="D60"/>
      <c r="E60" t="str">
        <f t="shared" si="0"/>
        <v>7400629401</v>
      </c>
      <c r="F60"/>
      <c r="G60">
        <v>405572.02</v>
      </c>
      <c r="H60" s="38"/>
      <c r="I60" t="s">
        <v>13</v>
      </c>
      <c r="J60" t="s">
        <v>21</v>
      </c>
      <c r="K60" t="str">
        <f>IF(AND(J60="1",I60="outras empresas nao financeiras"),"c002x   - Micro &amp; SME",IF(I60="instituicoes de credito","c004x   - Institutions",IF(I60="outras empresas nao financeiras","c003x   - Corporates",IF(I60="outras instituicoes financeiras","c005x   - Other financial corporations",IF(I60="particulares","c001x   - Households","")))))</f>
        <v>c003x   - Corporates</v>
      </c>
      <c r="L60" t="s">
        <v>54</v>
      </c>
      <c r="M60"/>
      <c r="N60">
        <v>10</v>
      </c>
      <c r="O60"/>
      <c r="P60" s="38"/>
      <c r="Q60" s="38"/>
      <c r="R60" s="24"/>
      <c r="S60" s="24"/>
    </row>
    <row r="61" spans="1:19">
      <c r="A61" t="s">
        <v>1279</v>
      </c>
      <c r="B61" t="s">
        <v>16</v>
      </c>
      <c r="C61" t="s">
        <v>1161</v>
      </c>
      <c r="D61"/>
      <c r="E61" t="str">
        <f t="shared" si="0"/>
        <v>5100581507</v>
      </c>
      <c r="F61"/>
      <c r="G61">
        <v>13575.550000000001</v>
      </c>
      <c r="H61" s="38"/>
      <c r="I61" t="s">
        <v>13</v>
      </c>
      <c r="J61" t="s">
        <v>21</v>
      </c>
      <c r="K61" t="str">
        <f>IF(AND(J61="1",I61="outras empresas nao financeiras"),"c002x   - Micro &amp; SME",IF(I61="instituicoes de credito","c004x   - Institutions",IF(I61="outras empresas nao financeiras","c003x   - Corporates",IF(I61="outras instituicoes financeiras","c005x   - Other financial corporations",IF(I61="particulares","c001x   - Households","")))))</f>
        <v>c003x   - Corporates</v>
      </c>
      <c r="L61" t="s">
        <v>1280</v>
      </c>
      <c r="M61"/>
      <c r="N61">
        <v>2</v>
      </c>
      <c r="O61"/>
      <c r="P61" s="38"/>
      <c r="Q61"/>
      <c r="R61" s="24"/>
    </row>
    <row r="62" spans="1:19">
      <c r="A62" t="s">
        <v>39</v>
      </c>
      <c r="B62" t="s">
        <v>40</v>
      </c>
      <c r="C62" t="s">
        <v>1161</v>
      </c>
      <c r="D62"/>
      <c r="E62" t="str">
        <f t="shared" si="0"/>
        <v>8030996066</v>
      </c>
      <c r="F62"/>
      <c r="G62">
        <v>584821.47</v>
      </c>
      <c r="H62" s="38"/>
      <c r="I62" t="s">
        <v>13</v>
      </c>
      <c r="J62" t="s">
        <v>21</v>
      </c>
      <c r="K62" t="str">
        <f>IF(AND(J62="1",I62="outras empresas nao financeiras"),"c002x   - Micro &amp; SME",IF(I62="instituicoes de credito","c004x   - Institutions",IF(I62="outras empresas nao financeiras","c003x   - Corporates",IF(I62="outras instituicoes financeiras","c005x   - Other financial corporations",IF(I62="particulares","c001x   - Households","")))))</f>
        <v>c003x   - Corporates</v>
      </c>
      <c r="L62" t="s">
        <v>41</v>
      </c>
      <c r="M62"/>
      <c r="N62">
        <v>2</v>
      </c>
      <c r="O62"/>
      <c r="P62" s="38"/>
      <c r="Q62" s="38"/>
      <c r="R62" s="24"/>
    </row>
    <row r="63" spans="1:19">
      <c r="A63" t="s">
        <v>55</v>
      </c>
      <c r="B63" t="s">
        <v>16</v>
      </c>
      <c r="C63" t="s">
        <v>1161</v>
      </c>
      <c r="D63"/>
      <c r="E63" t="str">
        <f t="shared" si="0"/>
        <v>8028196868</v>
      </c>
      <c r="F63"/>
      <c r="G63">
        <v>166361.62000000002</v>
      </c>
      <c r="H63" s="38"/>
      <c r="I63" t="s">
        <v>13</v>
      </c>
      <c r="J63" t="s">
        <v>21</v>
      </c>
      <c r="K63" t="str">
        <f>IF(AND(J63="1",I63="outras empresas nao financeiras"),"c002x   - Micro &amp; SME",IF(I63="instituicoes de credito","c004x   - Institutions",IF(I63="outras empresas nao financeiras","c003x   - Corporates",IF(I63="outras instituicoes financeiras","c005x   - Other financial corporations",IF(I63="particulares","c001x   - Households","")))))</f>
        <v>c003x   - Corporates</v>
      </c>
      <c r="L63" t="s">
        <v>56</v>
      </c>
      <c r="M63"/>
      <c r="N63">
        <v>26</v>
      </c>
      <c r="O63"/>
      <c r="P63" s="38"/>
      <c r="Q63"/>
      <c r="R63" s="24"/>
    </row>
    <row r="64" spans="1:19">
      <c r="A64" s="23" t="s">
        <v>1283</v>
      </c>
      <c r="B64" s="23" t="s">
        <v>16</v>
      </c>
      <c r="C64" s="23" t="s">
        <v>1161</v>
      </c>
      <c r="E64" t="str">
        <f t="shared" si="0"/>
        <v>2101694081</v>
      </c>
      <c r="G64" s="23">
        <v>1509.25</v>
      </c>
      <c r="I64" s="23" t="s">
        <v>13</v>
      </c>
      <c r="J64" s="23" t="s">
        <v>21</v>
      </c>
      <c r="K64" t="str">
        <f>IF(AND(J64="1",I64="outras empresas nao financeiras"),"c002x   - Micro &amp; SME",IF(I64="instituicoes de credito","c004x   - Institutions",IF(I64="outras empresas nao financeiras","c003x   - Corporates",IF(I64="outras instituicoes financeiras","c005x   - Other financial corporations",IF(I64="particulares","c001x   - Households","")))))</f>
        <v>c003x   - Corporates</v>
      </c>
      <c r="L64" s="23" t="s">
        <v>1284</v>
      </c>
      <c r="N64" s="23">
        <v>2</v>
      </c>
    </row>
    <row r="65" spans="1:19">
      <c r="A65" s="23" t="s">
        <v>1285</v>
      </c>
      <c r="B65" s="23" t="s">
        <v>16</v>
      </c>
      <c r="C65" s="23" t="s">
        <v>1161</v>
      </c>
      <c r="E65" t="str">
        <f t="shared" si="0"/>
        <v>7402216729</v>
      </c>
      <c r="G65" s="23">
        <v>33308407.030000001</v>
      </c>
      <c r="I65" s="23" t="s">
        <v>13</v>
      </c>
      <c r="J65" s="23" t="s">
        <v>21</v>
      </c>
      <c r="K65" t="str">
        <f>IF(AND(J65="1",I65="outras empresas nao financeiras"),"c002x   - Micro &amp; SME",IF(I65="instituicoes de credito","c004x   - Institutions",IF(I65="outras empresas nao financeiras","c003x   - Corporates",IF(I65="outras instituicoes financeiras","c005x   - Other financial corporations",IF(I65="particulares","c001x   - Households","")))))</f>
        <v>c003x   - Corporates</v>
      </c>
      <c r="L65" s="23" t="s">
        <v>1286</v>
      </c>
      <c r="N65" s="23">
        <v>4</v>
      </c>
    </row>
    <row r="66" spans="1:19">
      <c r="A66" s="23" t="s">
        <v>57</v>
      </c>
      <c r="B66" s="23" t="s">
        <v>58</v>
      </c>
      <c r="C66" s="23" t="s">
        <v>1161</v>
      </c>
      <c r="E66" t="str">
        <f t="shared" si="0"/>
        <v>7401537237</v>
      </c>
      <c r="G66" s="23">
        <v>27923.439999999999</v>
      </c>
      <c r="I66" s="23" t="s">
        <v>13</v>
      </c>
      <c r="J66" s="23" t="s">
        <v>21</v>
      </c>
      <c r="K66" t="str">
        <f>IF(AND(J66="1",I66="outras empresas nao financeiras"),"c002x   - Micro &amp; SME",IF(I66="instituicoes de credito","c004x   - Institutions",IF(I66="outras empresas nao financeiras","c003x   - Corporates",IF(I66="outras instituicoes financeiras","c005x   - Other financial corporations",IF(I66="particulares","c001x   - Households","")))))</f>
        <v>c003x   - Corporates</v>
      </c>
      <c r="L66" s="23" t="s">
        <v>59</v>
      </c>
      <c r="N66" s="23">
        <v>2</v>
      </c>
    </row>
    <row r="67" spans="1:19">
      <c r="A67" s="23" t="s">
        <v>1287</v>
      </c>
      <c r="B67" s="23" t="s">
        <v>1288</v>
      </c>
      <c r="C67" s="23" t="s">
        <v>1161</v>
      </c>
      <c r="E67" t="str">
        <f t="shared" ref="E67:E84" si="1">IF(D67="",L67,D67)</f>
        <v>8045084593</v>
      </c>
      <c r="G67" s="23">
        <v>3846.01</v>
      </c>
      <c r="I67" s="23" t="s">
        <v>13</v>
      </c>
      <c r="J67" s="23" t="s">
        <v>21</v>
      </c>
      <c r="K67" t="str">
        <f>IF(AND(J67="1",I67="outras empresas nao financeiras"),"c002x   - Micro &amp; SME",IF(I67="instituicoes de credito","c004x   - Institutions",IF(I67="outras empresas nao financeiras","c003x   - Corporates",IF(I67="outras instituicoes financeiras","c005x   - Other financial corporations",IF(I67="particulares","c001x   - Households","")))))</f>
        <v>c003x   - Corporates</v>
      </c>
      <c r="L67" s="23" t="s">
        <v>1289</v>
      </c>
      <c r="N67" s="23">
        <v>2</v>
      </c>
    </row>
    <row r="68" spans="1:19">
      <c r="A68" s="23" t="s">
        <v>1290</v>
      </c>
      <c r="B68" s="23" t="s">
        <v>1291</v>
      </c>
      <c r="C68" s="23" t="s">
        <v>1161</v>
      </c>
      <c r="E68" t="str">
        <f t="shared" si="1"/>
        <v>6221024217</v>
      </c>
      <c r="G68" s="23">
        <v>7649.16</v>
      </c>
      <c r="I68" s="23" t="s">
        <v>13</v>
      </c>
      <c r="J68" s="23" t="s">
        <v>21</v>
      </c>
      <c r="K68" t="str">
        <f>IF(AND(J68="1",I68="outras empresas nao financeiras"),"c002x   - Micro &amp; SME",IF(I68="instituicoes de credito","c004x   - Institutions",IF(I68="outras empresas nao financeiras","c003x   - Corporates",IF(I68="outras instituicoes financeiras","c005x   - Other financial corporations",IF(I68="particulares","c001x   - Households","")))))</f>
        <v>c003x   - Corporates</v>
      </c>
      <c r="L68" s="23" t="s">
        <v>1292</v>
      </c>
      <c r="N68" s="23">
        <v>2</v>
      </c>
    </row>
    <row r="69" spans="1:19">
      <c r="A69" s="23" t="s">
        <v>42</v>
      </c>
      <c r="B69" s="23" t="s">
        <v>43</v>
      </c>
      <c r="C69" s="23" t="s">
        <v>1161</v>
      </c>
      <c r="E69" t="str">
        <f t="shared" si="1"/>
        <v>0000008390</v>
      </c>
      <c r="G69" s="23">
        <v>317842.83</v>
      </c>
      <c r="I69" s="23" t="s">
        <v>13</v>
      </c>
      <c r="J69" s="23" t="s">
        <v>21</v>
      </c>
      <c r="K69" t="str">
        <f>IF(AND(J69="1",I69="outras empresas nao financeiras"),"c002x   - Micro &amp; SME",IF(I69="instituicoes de credito","c004x   - Institutions",IF(I69="outras empresas nao financeiras","c003x   - Corporates",IF(I69="outras instituicoes financeiras","c005x   - Other financial corporations",IF(I69="particulares","c001x   - Households","")))))</f>
        <v>c003x   - Corporates</v>
      </c>
      <c r="L69" s="23" t="s">
        <v>44</v>
      </c>
      <c r="N69" s="23">
        <v>2</v>
      </c>
    </row>
    <row r="70" spans="1:19">
      <c r="A70" s="23" t="s">
        <v>1175</v>
      </c>
      <c r="B70" s="23" t="s">
        <v>1176</v>
      </c>
      <c r="C70" s="23" t="s">
        <v>1161</v>
      </c>
      <c r="E70" t="str">
        <f t="shared" si="1"/>
        <v>5100276161</v>
      </c>
      <c r="G70" s="23">
        <v>771.93999999999994</v>
      </c>
      <c r="I70" s="23" t="s">
        <v>13</v>
      </c>
      <c r="J70" s="23" t="s">
        <v>21</v>
      </c>
      <c r="K70" t="str">
        <f>IF(AND(J70="1",I70="outras empresas nao financeiras"),"c002x   - Micro &amp; SME",IF(I70="instituicoes de credito","c004x   - Institutions",IF(I70="outras empresas nao financeiras","c003x   - Corporates",IF(I70="outras instituicoes financeiras","c005x   - Other financial corporations",IF(I70="particulares","c001x   - Households","")))))</f>
        <v>c003x   - Corporates</v>
      </c>
      <c r="L70" s="23" t="s">
        <v>1177</v>
      </c>
      <c r="N70" s="23">
        <v>2</v>
      </c>
    </row>
    <row r="71" spans="1:19">
      <c r="A71" s="23" t="s">
        <v>15</v>
      </c>
      <c r="B71" s="23" t="s">
        <v>16</v>
      </c>
      <c r="C71" s="23" t="s">
        <v>1161</v>
      </c>
      <c r="E71" t="str">
        <f t="shared" si="1"/>
        <v>7400291653</v>
      </c>
      <c r="G71" s="23">
        <v>154472.79</v>
      </c>
      <c r="I71" s="23" t="s">
        <v>13</v>
      </c>
      <c r="J71" s="23" t="s">
        <v>21</v>
      </c>
      <c r="K71" t="str">
        <f>IF(AND(J71="1",I71="outras empresas nao financeiras"),"c002x   - Micro &amp; SME",IF(I71="instituicoes de credito","c004x   - Institutions",IF(I71="outras empresas nao financeiras","c003x   - Corporates",IF(I71="outras instituicoes financeiras","c005x   - Other financial corporations",IF(I71="particulares","c001x   - Households","")))))</f>
        <v>c003x   - Corporates</v>
      </c>
      <c r="L71" s="23" t="s">
        <v>19</v>
      </c>
      <c r="N71" s="23">
        <v>2</v>
      </c>
    </row>
    <row r="72" spans="1:19">
      <c r="A72" s="23" t="s">
        <v>1293</v>
      </c>
      <c r="B72" s="23" t="s">
        <v>1294</v>
      </c>
      <c r="C72" s="23" t="s">
        <v>1161</v>
      </c>
      <c r="E72" t="str">
        <f t="shared" si="1"/>
        <v>7402175994</v>
      </c>
      <c r="G72" s="23">
        <v>438085.36</v>
      </c>
      <c r="I72" s="23" t="s">
        <v>13</v>
      </c>
      <c r="J72" s="23" t="s">
        <v>21</v>
      </c>
      <c r="K72" t="str">
        <f>IF(AND(J72="1",I72="outras empresas nao financeiras"),"c002x   - Micro &amp; SME",IF(I72="instituicoes de credito","c004x   - Institutions",IF(I72="outras empresas nao financeiras","c003x   - Corporates",IF(I72="outras instituicoes financeiras","c005x   - Other financial corporations",IF(I72="particulares","c001x   - Households","")))))</f>
        <v>c003x   - Corporates</v>
      </c>
      <c r="L72" s="23" t="s">
        <v>1295</v>
      </c>
      <c r="N72" s="23">
        <v>2</v>
      </c>
    </row>
    <row r="73" spans="1:19">
      <c r="A73" s="23" t="s">
        <v>1296</v>
      </c>
      <c r="B73" s="23" t="s">
        <v>16</v>
      </c>
      <c r="C73" s="23" t="s">
        <v>1161</v>
      </c>
      <c r="E73" t="str">
        <f t="shared" si="1"/>
        <v>7401527696</v>
      </c>
      <c r="G73" s="23">
        <v>259894.24999999997</v>
      </c>
      <c r="I73" s="23" t="s">
        <v>13</v>
      </c>
      <c r="J73" s="23" t="s">
        <v>21</v>
      </c>
      <c r="K73" t="str">
        <f>IF(AND(J73="1",I73="outras empresas nao financeiras"),"c002x   - Micro &amp; SME",IF(I73="instituicoes de credito","c004x   - Institutions",IF(I73="outras empresas nao financeiras","c003x   - Corporates",IF(I73="outras instituicoes financeiras","c005x   - Other financial corporations",IF(I73="particulares","c001x   - Households","")))))</f>
        <v>c003x   - Corporates</v>
      </c>
      <c r="L73" s="23" t="s">
        <v>1297</v>
      </c>
      <c r="N73" s="23">
        <v>2</v>
      </c>
    </row>
    <row r="74" spans="1:19">
      <c r="A74" s="23" t="s">
        <v>1300</v>
      </c>
      <c r="B74" s="23" t="s">
        <v>16</v>
      </c>
      <c r="C74" s="23" t="s">
        <v>1162</v>
      </c>
      <c r="E74" t="str">
        <f t="shared" si="1"/>
        <v>7401635387</v>
      </c>
      <c r="G74" s="23">
        <v>2913.46</v>
      </c>
      <c r="I74" s="23" t="s">
        <v>13</v>
      </c>
      <c r="J74" s="23" t="s">
        <v>21</v>
      </c>
      <c r="K74" t="str">
        <f>IF(AND(J74="1",I74="outras empresas nao financeiras"),"c002x   - Micro &amp; SME",IF(I74="instituicoes de credito","c004x   - Institutions",IF(I74="outras empresas nao financeiras","c003x   - Corporates",IF(I74="outras instituicoes financeiras","c005x   - Other financial corporations",IF(I74="particulares","c001x   - Households","")))))</f>
        <v>c003x   - Corporates</v>
      </c>
      <c r="L74" s="23" t="s">
        <v>1301</v>
      </c>
      <c r="N74" s="23">
        <v>2</v>
      </c>
    </row>
    <row r="75" spans="1:19">
      <c r="A75"/>
      <c r="B75"/>
      <c r="C75"/>
      <c r="D75"/>
      <c r="E75" t="str">
        <f t="shared" si="1"/>
        <v>0000000000</v>
      </c>
      <c r="F75"/>
      <c r="G75">
        <v>-9.9999962747097017E-3</v>
      </c>
      <c r="H75" s="38"/>
      <c r="I75" t="s">
        <v>11</v>
      </c>
      <c r="J75"/>
      <c r="K75" t="str">
        <f>IF(AND(J75="1",I75="outras empresas nao financeiras"),"c002x   - Micro &amp; SME",IF(I75="instituicoes de credito","c004x   - Institutions",IF(I75="outras empresas nao financeiras","c003x   - Corporates",IF(I75="outras instituicoes financeiras","c005x   - Other financial corporations",IF(I75="particulares","c001x   - Households","")))))</f>
        <v>c004x   - Institutions</v>
      </c>
      <c r="L75" t="s">
        <v>12</v>
      </c>
      <c r="M75"/>
      <c r="N75">
        <v>10</v>
      </c>
      <c r="O75"/>
      <c r="P75" s="38"/>
      <c r="Q75"/>
      <c r="R75" s="24"/>
      <c r="S75" s="24"/>
    </row>
    <row r="76" spans="1:19">
      <c r="A76" t="s">
        <v>1189</v>
      </c>
      <c r="B76" t="s">
        <v>16</v>
      </c>
      <c r="C76" t="s">
        <v>1159</v>
      </c>
      <c r="D76"/>
      <c r="E76" t="str">
        <f t="shared" si="1"/>
        <v>8008765651</v>
      </c>
      <c r="F76"/>
      <c r="G76">
        <v>3145246.4600000004</v>
      </c>
      <c r="H76" s="38"/>
      <c r="I76" t="s">
        <v>11</v>
      </c>
      <c r="J76" t="s">
        <v>21</v>
      </c>
      <c r="K76" t="str">
        <f>IF(AND(J76="1",I76="outras empresas nao financeiras"),"c002x   - Micro &amp; SME",IF(I76="instituicoes de credito","c004x   - Institutions",IF(I76="outras empresas nao financeiras","c003x   - Corporates",IF(I76="outras instituicoes financeiras","c005x   - Other financial corporations",IF(I76="particulares","c001x   - Households","")))))</f>
        <v>c004x   - Institutions</v>
      </c>
      <c r="L76" t="s">
        <v>1190</v>
      </c>
      <c r="M76"/>
      <c r="N76">
        <v>16</v>
      </c>
      <c r="O76">
        <v>-7120710.4939039983</v>
      </c>
      <c r="P76" s="38"/>
      <c r="Q76"/>
      <c r="R76" s="24"/>
    </row>
    <row r="77" spans="1:19">
      <c r="A77" t="s">
        <v>1192</v>
      </c>
      <c r="B77" t="s">
        <v>1193</v>
      </c>
      <c r="C77" t="s">
        <v>1194</v>
      </c>
      <c r="D77"/>
      <c r="E77" t="str">
        <f t="shared" si="1"/>
        <v>8038167865</v>
      </c>
      <c r="F77"/>
      <c r="G77">
        <v>4718909.419999999</v>
      </c>
      <c r="H77" s="38"/>
      <c r="I77" t="s">
        <v>11</v>
      </c>
      <c r="J77" t="s">
        <v>18</v>
      </c>
      <c r="K77" t="str">
        <f>IF(AND(J77="1",I77="outras empresas nao financeiras"),"c002x   - Micro &amp; SME",IF(I77="instituicoes de credito","c004x   - Institutions",IF(I77="outras empresas nao financeiras","c003x   - Corporates",IF(I77="outras instituicoes financeiras","c005x   - Other financial corporations",IF(I77="particulares","c001x   - Households","")))))</f>
        <v>c004x   - Institutions</v>
      </c>
      <c r="L77" t="s">
        <v>1195</v>
      </c>
      <c r="M77"/>
      <c r="N77">
        <v>12</v>
      </c>
      <c r="O77">
        <v>-9216680.0463779997</v>
      </c>
      <c r="P77" s="38"/>
      <c r="Q77"/>
      <c r="R77" s="24"/>
    </row>
    <row r="78" spans="1:19">
      <c r="A78" s="23" t="s">
        <v>31</v>
      </c>
      <c r="B78" s="23" t="s">
        <v>16</v>
      </c>
      <c r="C78" s="23" t="s">
        <v>1162</v>
      </c>
      <c r="E78" t="str">
        <f t="shared" si="1"/>
        <v>0000003686</v>
      </c>
      <c r="G78" s="23">
        <v>358805716.88000005</v>
      </c>
      <c r="H78" s="23" t="s">
        <v>32</v>
      </c>
      <c r="I78" s="23" t="s">
        <v>11</v>
      </c>
      <c r="J78" s="23" t="s">
        <v>21</v>
      </c>
      <c r="K78" t="str">
        <f>IF(AND(J78="1",I78="outras empresas nao financeiras"),"c002x   - Micro &amp; SME",IF(I78="instituicoes de credito","c004x   - Institutions",IF(I78="outras empresas nao financeiras","c003x   - Corporates",IF(I78="outras instituicoes financeiras","c005x   - Other financial corporations",IF(I78="particulares","c001x   - Households","")))))</f>
        <v>c004x   - Institutions</v>
      </c>
      <c r="L78" s="23" t="s">
        <v>33</v>
      </c>
      <c r="N78" s="23">
        <v>77</v>
      </c>
      <c r="O78" s="23">
        <v>-78328967.940225005</v>
      </c>
    </row>
    <row r="79" spans="1:19">
      <c r="A79" s="23" t="s">
        <v>1298</v>
      </c>
      <c r="B79" s="23" t="s">
        <v>28</v>
      </c>
      <c r="C79" s="23" t="s">
        <v>1162</v>
      </c>
      <c r="E79" t="str">
        <f t="shared" si="1"/>
        <v>7400416333</v>
      </c>
      <c r="G79" s="23">
        <v>4860910.0999999987</v>
      </c>
      <c r="H79" s="23" t="s">
        <v>29</v>
      </c>
      <c r="I79" s="23" t="s">
        <v>11</v>
      </c>
      <c r="J79" s="23" t="s">
        <v>21</v>
      </c>
      <c r="K79" t="str">
        <f>IF(AND(J79="1",I79="outras empresas nao financeiras"),"c002x   - Micro &amp; SME",IF(I79="instituicoes de credito","c004x   - Institutions",IF(I79="outras empresas nao financeiras","c003x   - Corporates",IF(I79="outras instituicoes financeiras","c005x   - Other financial corporations",IF(I79="particulares","c001x   - Households","")))))</f>
        <v>c004x   - Institutions</v>
      </c>
      <c r="L79" s="23" t="s">
        <v>30</v>
      </c>
      <c r="N79" s="23">
        <v>119</v>
      </c>
      <c r="O79" s="23">
        <v>1920660.9468959998</v>
      </c>
    </row>
    <row r="80" spans="1:19">
      <c r="A80" s="23" t="s">
        <v>25</v>
      </c>
      <c r="B80" s="23" t="s">
        <v>1299</v>
      </c>
      <c r="C80" s="23" t="s">
        <v>1162</v>
      </c>
      <c r="E80" t="str">
        <f t="shared" si="1"/>
        <v>8000176012</v>
      </c>
      <c r="G80" s="23">
        <v>669300.24</v>
      </c>
      <c r="I80" s="23" t="s">
        <v>11</v>
      </c>
      <c r="J80" s="23" t="s">
        <v>21</v>
      </c>
      <c r="K80" t="str">
        <f>IF(AND(J80="1",I80="outras empresas nao financeiras"),"c002x   - Micro &amp; SME",IF(I80="instituicoes de credito","c004x   - Institutions",IF(I80="outras empresas nao financeiras","c003x   - Corporates",IF(I80="outras instituicoes financeiras","c005x   - Other financial corporations",IF(I80="particulares","c001x   - Households","")))))</f>
        <v>c004x   - Institutions</v>
      </c>
      <c r="L80" s="23" t="s">
        <v>27</v>
      </c>
      <c r="N80" s="23">
        <v>4</v>
      </c>
      <c r="O80" s="23">
        <v>199999.99999799998</v>
      </c>
    </row>
    <row r="81" spans="1:18">
      <c r="A81" s="23" t="s">
        <v>34</v>
      </c>
      <c r="B81" s="23" t="s">
        <v>16</v>
      </c>
      <c r="C81" s="23" t="s">
        <v>1163</v>
      </c>
      <c r="E81" t="str">
        <f t="shared" si="1"/>
        <v>8021880518</v>
      </c>
      <c r="G81" s="23">
        <v>407271.41</v>
      </c>
      <c r="I81" s="23" t="s">
        <v>11</v>
      </c>
      <c r="J81" s="23" t="s">
        <v>21</v>
      </c>
      <c r="K81" t="str">
        <f>IF(AND(J81="1",I81="outras empresas nao financeiras"),"c002x   - Micro &amp; SME",IF(I81="instituicoes de credito","c004x   - Institutions",IF(I81="outras empresas nao financeiras","c003x   - Corporates",IF(I81="outras instituicoes financeiras","c005x   - Other financial corporations",IF(I81="particulares","c001x   - Households","")))))</f>
        <v>c004x   - Institutions</v>
      </c>
      <c r="L81" s="23" t="s">
        <v>35</v>
      </c>
      <c r="N81" s="23">
        <v>2</v>
      </c>
      <c r="O81" s="23">
        <v>-909469.48076800001</v>
      </c>
    </row>
    <row r="82" spans="1:18">
      <c r="A82"/>
      <c r="B82"/>
      <c r="C82"/>
      <c r="D82"/>
      <c r="E82" t="str">
        <f t="shared" si="1"/>
        <v>0000000000</v>
      </c>
      <c r="F82"/>
      <c r="G82">
        <v>-0.01</v>
      </c>
      <c r="H82" s="38"/>
      <c r="I82" t="s">
        <v>14</v>
      </c>
      <c r="J82"/>
      <c r="K82" t="str">
        <f>IF(AND(J82="1",I82="outras empresas nao financeiras"),"c002x   - Micro &amp; SME",IF(I82="instituicoes de credito","c004x   - Institutions",IF(I82="outras empresas nao financeiras","c003x   - Corporates",IF(I82="outras instituicoes financeiras","c005x   - Other financial corporations",IF(I82="particulares","c001x   - Households","")))))</f>
        <v>c005x   - Other financial corporations</v>
      </c>
      <c r="L82" t="s">
        <v>12</v>
      </c>
      <c r="M82"/>
      <c r="N82">
        <v>1</v>
      </c>
      <c r="O82"/>
      <c r="P82" s="38"/>
      <c r="Q82"/>
      <c r="R82" s="24"/>
    </row>
    <row r="83" spans="1:18">
      <c r="A83" t="s">
        <v>65</v>
      </c>
      <c r="B83" t="s">
        <v>1191</v>
      </c>
      <c r="C83" t="s">
        <v>1159</v>
      </c>
      <c r="D83"/>
      <c r="E83" t="str">
        <f t="shared" si="1"/>
        <v>7401586148</v>
      </c>
      <c r="F83"/>
      <c r="G83">
        <v>174146707.86000007</v>
      </c>
      <c r="H83" s="38"/>
      <c r="I83" t="s">
        <v>14</v>
      </c>
      <c r="J83" t="s">
        <v>21</v>
      </c>
      <c r="K83" t="str">
        <f>IF(AND(J83="1",I83="outras empresas nao financeiras"),"c002x   - Micro &amp; SME",IF(I83="instituicoes de credito","c004x   - Institutions",IF(I83="outras empresas nao financeiras","c003x   - Corporates",IF(I83="outras instituicoes financeiras","c005x   - Other financial corporations",IF(I83="particulares","c001x   - Households","")))))</f>
        <v>c005x   - Other financial corporations</v>
      </c>
      <c r="L83" t="s">
        <v>66</v>
      </c>
      <c r="M83"/>
      <c r="N83">
        <v>28</v>
      </c>
      <c r="O83">
        <v>65148576.827514</v>
      </c>
      <c r="P83" s="38"/>
      <c r="Q83"/>
      <c r="R83" s="24"/>
    </row>
    <row r="84" spans="1:18">
      <c r="A84" t="s">
        <v>1224</v>
      </c>
      <c r="B84" t="s">
        <v>79</v>
      </c>
      <c r="C84" t="s">
        <v>1161</v>
      </c>
      <c r="D84"/>
      <c r="E84" t="str">
        <f t="shared" si="1"/>
        <v>8046077493</v>
      </c>
      <c r="F84"/>
      <c r="G84">
        <v>43794031.880000003</v>
      </c>
      <c r="H84" s="38" t="s">
        <v>80</v>
      </c>
      <c r="I84" t="s">
        <v>14</v>
      </c>
      <c r="J84" t="s">
        <v>21</v>
      </c>
      <c r="K84" t="str">
        <f>IF(AND(J84="1",I84="outras empresas nao financeiras"),"c002x   - Micro &amp; SME",IF(I84="instituicoes de credito","c004x   - Institutions",IF(I84="outras empresas nao financeiras","c003x   - Corporates",IF(I84="outras instituicoes financeiras","c005x   - Other financial corporations",IF(I84="particulares","c001x   - Households","")))))</f>
        <v>c005x   - Other financial corporations</v>
      </c>
      <c r="L84" t="s">
        <v>81</v>
      </c>
      <c r="M84"/>
      <c r="N84">
        <v>26</v>
      </c>
      <c r="O84">
        <v>-86010927.660008013</v>
      </c>
      <c r="P84" s="38"/>
      <c r="Q84"/>
      <c r="R84" s="24"/>
    </row>
  </sheetData>
  <autoFilter ref="A1:S84">
    <sortState ref="A2:S84">
      <sortCondition ref="K2:K84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50"/>
  <sheetViews>
    <sheetView workbookViewId="0">
      <selection activeCell="D11" sqref="D11"/>
    </sheetView>
  </sheetViews>
  <sheetFormatPr defaultColWidth="9.1328125" defaultRowHeight="14.25"/>
  <cols>
    <col min="1" max="1" width="12.3984375" style="2" bestFit="1" customWidth="1"/>
    <col min="2" max="3" width="14.3984375" style="2" bestFit="1" customWidth="1"/>
    <col min="4" max="4" width="38.86328125" style="2" customWidth="1"/>
    <col min="5" max="16384" width="9.1328125" style="2"/>
  </cols>
  <sheetData>
    <row r="1" spans="1:4" ht="15" customHeight="1">
      <c r="A1" s="21" t="s">
        <v>144</v>
      </c>
      <c r="B1" s="21" t="s">
        <v>145</v>
      </c>
      <c r="C1" s="21" t="s">
        <v>146</v>
      </c>
      <c r="D1" s="21" t="s">
        <v>147</v>
      </c>
    </row>
    <row r="2" spans="1:4" ht="15" customHeight="1">
      <c r="A2" s="22" t="s">
        <v>148</v>
      </c>
      <c r="B2" s="22" t="s">
        <v>149</v>
      </c>
      <c r="C2" s="22" t="s">
        <v>150</v>
      </c>
      <c r="D2" s="22" t="s">
        <v>151</v>
      </c>
    </row>
    <row r="3" spans="1:4" ht="15" customHeight="1">
      <c r="A3" s="22" t="s">
        <v>152</v>
      </c>
      <c r="B3" s="22" t="s">
        <v>153</v>
      </c>
      <c r="C3" s="22" t="s">
        <v>154</v>
      </c>
      <c r="D3" s="22" t="s">
        <v>155</v>
      </c>
    </row>
    <row r="4" spans="1:4" ht="15" customHeight="1">
      <c r="A4" s="22" t="s">
        <v>156</v>
      </c>
      <c r="B4" s="22" t="s">
        <v>157</v>
      </c>
      <c r="C4" s="22" t="s">
        <v>158</v>
      </c>
      <c r="D4" s="22" t="s">
        <v>159</v>
      </c>
    </row>
    <row r="5" spans="1:4" ht="15" customHeight="1">
      <c r="A5" s="22" t="s">
        <v>160</v>
      </c>
      <c r="B5" s="22" t="s">
        <v>161</v>
      </c>
      <c r="C5" s="22" t="s">
        <v>162</v>
      </c>
      <c r="D5" s="22" t="s">
        <v>163</v>
      </c>
    </row>
    <row r="6" spans="1:4" ht="15" customHeight="1">
      <c r="A6" s="22" t="s">
        <v>164</v>
      </c>
      <c r="B6" s="22" t="s">
        <v>165</v>
      </c>
      <c r="C6" s="22" t="s">
        <v>166</v>
      </c>
      <c r="D6" s="22" t="s">
        <v>167</v>
      </c>
    </row>
    <row r="7" spans="1:4" ht="15" customHeight="1">
      <c r="A7" s="22" t="s">
        <v>168</v>
      </c>
      <c r="B7" s="22" t="s">
        <v>169</v>
      </c>
      <c r="C7" s="22" t="s">
        <v>170</v>
      </c>
      <c r="D7" s="22" t="s">
        <v>171</v>
      </c>
    </row>
    <row r="8" spans="1:4" ht="15" customHeight="1">
      <c r="A8" s="22" t="s">
        <v>172</v>
      </c>
      <c r="B8" s="22" t="s">
        <v>173</v>
      </c>
      <c r="C8" s="22" t="s">
        <v>174</v>
      </c>
      <c r="D8" s="22" t="s">
        <v>175</v>
      </c>
    </row>
    <row r="9" spans="1:4" ht="15" customHeight="1">
      <c r="A9" s="22" t="s">
        <v>176</v>
      </c>
      <c r="B9" s="22" t="s">
        <v>177</v>
      </c>
      <c r="C9" s="22" t="s">
        <v>178</v>
      </c>
      <c r="D9" s="22" t="s">
        <v>179</v>
      </c>
    </row>
    <row r="10" spans="1:4" ht="15" customHeight="1">
      <c r="A10" s="22" t="s">
        <v>180</v>
      </c>
      <c r="B10" s="22" t="s">
        <v>181</v>
      </c>
      <c r="C10" s="22" t="s">
        <v>182</v>
      </c>
      <c r="D10" s="22" t="s">
        <v>183</v>
      </c>
    </row>
    <row r="11" spans="1:4" ht="15" customHeight="1">
      <c r="A11" s="22" t="s">
        <v>184</v>
      </c>
      <c r="B11" s="22" t="s">
        <v>185</v>
      </c>
      <c r="C11" s="22" t="s">
        <v>186</v>
      </c>
      <c r="D11" s="22" t="s">
        <v>187</v>
      </c>
    </row>
    <row r="12" spans="1:4" ht="15" customHeight="1">
      <c r="A12" s="22" t="s">
        <v>188</v>
      </c>
      <c r="B12" s="22" t="s">
        <v>189</v>
      </c>
      <c r="C12" s="22" t="s">
        <v>190</v>
      </c>
      <c r="D12" s="22" t="s">
        <v>191</v>
      </c>
    </row>
    <row r="13" spans="1:4" ht="15" customHeight="1">
      <c r="A13" s="22" t="s">
        <v>192</v>
      </c>
      <c r="B13" s="22" t="s">
        <v>193</v>
      </c>
      <c r="C13" s="22" t="s">
        <v>194</v>
      </c>
      <c r="D13" s="22" t="s">
        <v>195</v>
      </c>
    </row>
    <row r="14" spans="1:4" ht="15" customHeight="1">
      <c r="A14" s="22" t="s">
        <v>196</v>
      </c>
      <c r="B14" s="22" t="s">
        <v>197</v>
      </c>
      <c r="C14" s="22" t="s">
        <v>198</v>
      </c>
      <c r="D14" s="22" t="s">
        <v>199</v>
      </c>
    </row>
    <row r="15" spans="1:4" ht="15" customHeight="1">
      <c r="A15" s="22" t="s">
        <v>200</v>
      </c>
      <c r="B15" s="22" t="s">
        <v>201</v>
      </c>
      <c r="C15" s="22" t="s">
        <v>202</v>
      </c>
      <c r="D15" s="22" t="s">
        <v>203</v>
      </c>
    </row>
    <row r="16" spans="1:4" ht="15" customHeight="1">
      <c r="A16" s="22" t="s">
        <v>204</v>
      </c>
      <c r="B16" s="22" t="s">
        <v>205</v>
      </c>
      <c r="C16" s="22" t="s">
        <v>206</v>
      </c>
      <c r="D16" s="22" t="s">
        <v>207</v>
      </c>
    </row>
    <row r="17" spans="1:4" ht="15" customHeight="1">
      <c r="A17" s="22" t="s">
        <v>208</v>
      </c>
      <c r="B17" s="22" t="s">
        <v>209</v>
      </c>
      <c r="C17" s="22" t="s">
        <v>210</v>
      </c>
      <c r="D17" s="22" t="s">
        <v>211</v>
      </c>
    </row>
    <row r="18" spans="1:4" ht="15" customHeight="1">
      <c r="A18" s="22" t="s">
        <v>212</v>
      </c>
      <c r="B18" s="22" t="s">
        <v>213</v>
      </c>
      <c r="C18" s="22" t="s">
        <v>214</v>
      </c>
      <c r="D18" s="22" t="s">
        <v>215</v>
      </c>
    </row>
    <row r="19" spans="1:4" ht="15" customHeight="1">
      <c r="A19" s="22" t="s">
        <v>216</v>
      </c>
      <c r="B19" s="22" t="s">
        <v>217</v>
      </c>
      <c r="C19" s="22" t="s">
        <v>218</v>
      </c>
      <c r="D19" s="22" t="s">
        <v>219</v>
      </c>
    </row>
    <row r="20" spans="1:4" ht="15" customHeight="1">
      <c r="A20" s="22" t="s">
        <v>220</v>
      </c>
      <c r="B20" s="22" t="s">
        <v>221</v>
      </c>
      <c r="C20" s="22" t="s">
        <v>222</v>
      </c>
      <c r="D20" s="22" t="s">
        <v>223</v>
      </c>
    </row>
    <row r="21" spans="1:4" ht="15" customHeight="1">
      <c r="A21" s="22" t="s">
        <v>224</v>
      </c>
      <c r="B21" s="22" t="s">
        <v>225</v>
      </c>
      <c r="C21" s="22" t="s">
        <v>226</v>
      </c>
      <c r="D21" s="22" t="s">
        <v>227</v>
      </c>
    </row>
    <row r="22" spans="1:4" ht="15" customHeight="1">
      <c r="A22" s="22" t="s">
        <v>228</v>
      </c>
      <c r="B22" s="22" t="s">
        <v>229</v>
      </c>
      <c r="C22" s="22" t="s">
        <v>230</v>
      </c>
      <c r="D22" s="22" t="s">
        <v>231</v>
      </c>
    </row>
    <row r="23" spans="1:4" ht="15" customHeight="1">
      <c r="A23" s="22" t="s">
        <v>232</v>
      </c>
      <c r="B23" s="22" t="s">
        <v>233</v>
      </c>
      <c r="C23" s="22" t="s">
        <v>234</v>
      </c>
      <c r="D23" s="22" t="s">
        <v>235</v>
      </c>
    </row>
    <row r="24" spans="1:4" ht="15" customHeight="1">
      <c r="A24" s="22" t="s">
        <v>236</v>
      </c>
      <c r="B24" s="22" t="s">
        <v>237</v>
      </c>
      <c r="C24" s="22" t="s">
        <v>238</v>
      </c>
      <c r="D24" s="22" t="s">
        <v>239</v>
      </c>
    </row>
    <row r="25" spans="1:4" ht="15" customHeight="1">
      <c r="A25" s="22" t="s">
        <v>240</v>
      </c>
      <c r="B25" s="22" t="s">
        <v>241</v>
      </c>
      <c r="C25" s="22" t="s">
        <v>242</v>
      </c>
      <c r="D25" s="22" t="s">
        <v>243</v>
      </c>
    </row>
    <row r="26" spans="1:4" ht="15" customHeight="1">
      <c r="A26" s="22" t="s">
        <v>244</v>
      </c>
      <c r="B26" s="22" t="s">
        <v>245</v>
      </c>
      <c r="C26" s="22" t="s">
        <v>246</v>
      </c>
      <c r="D26" s="22" t="s">
        <v>247</v>
      </c>
    </row>
    <row r="27" spans="1:4" ht="15" customHeight="1">
      <c r="A27" s="22" t="s">
        <v>248</v>
      </c>
      <c r="B27" s="22" t="s">
        <v>249</v>
      </c>
      <c r="C27" s="22" t="s">
        <v>250</v>
      </c>
      <c r="D27" s="22" t="s">
        <v>251</v>
      </c>
    </row>
    <row r="28" spans="1:4" ht="15" customHeight="1">
      <c r="A28" s="22" t="s">
        <v>252</v>
      </c>
      <c r="B28" s="22" t="s">
        <v>253</v>
      </c>
      <c r="C28" s="22" t="s">
        <v>254</v>
      </c>
      <c r="D28" s="22" t="s">
        <v>255</v>
      </c>
    </row>
    <row r="29" spans="1:4" ht="15" customHeight="1">
      <c r="A29" s="22" t="s">
        <v>256</v>
      </c>
      <c r="B29" s="22" t="s">
        <v>257</v>
      </c>
      <c r="C29" s="22" t="s">
        <v>258</v>
      </c>
      <c r="D29" s="22" t="s">
        <v>259</v>
      </c>
    </row>
    <row r="30" spans="1:4" ht="15" customHeight="1">
      <c r="A30" s="22" t="s">
        <v>260</v>
      </c>
      <c r="B30" s="22" t="s">
        <v>261</v>
      </c>
      <c r="C30" s="22" t="s">
        <v>262</v>
      </c>
      <c r="D30" s="22" t="s">
        <v>263</v>
      </c>
    </row>
    <row r="31" spans="1:4" ht="15" customHeight="1">
      <c r="A31" s="22" t="s">
        <v>264</v>
      </c>
      <c r="B31" s="22" t="s">
        <v>265</v>
      </c>
      <c r="C31" s="22" t="s">
        <v>266</v>
      </c>
      <c r="D31" s="22" t="s">
        <v>267</v>
      </c>
    </row>
    <row r="32" spans="1:4" ht="15" customHeight="1">
      <c r="A32" s="22" t="s">
        <v>268</v>
      </c>
      <c r="B32" s="22" t="s">
        <v>269</v>
      </c>
      <c r="C32" s="22" t="s">
        <v>270</v>
      </c>
      <c r="D32" s="22" t="s">
        <v>271</v>
      </c>
    </row>
    <row r="33" spans="1:4" ht="15" customHeight="1">
      <c r="A33" s="22" t="s">
        <v>272</v>
      </c>
      <c r="B33" s="22" t="s">
        <v>273</v>
      </c>
      <c r="C33" s="22" t="s">
        <v>274</v>
      </c>
      <c r="D33" s="22" t="s">
        <v>275</v>
      </c>
    </row>
    <row r="34" spans="1:4" ht="15" customHeight="1">
      <c r="A34" s="22" t="s">
        <v>276</v>
      </c>
      <c r="B34" s="22" t="s">
        <v>277</v>
      </c>
      <c r="C34" s="22" t="s">
        <v>278</v>
      </c>
      <c r="D34" s="22" t="s">
        <v>279</v>
      </c>
    </row>
    <row r="35" spans="1:4" ht="15" customHeight="1">
      <c r="A35" s="22" t="s">
        <v>280</v>
      </c>
      <c r="B35" s="22" t="s">
        <v>281</v>
      </c>
      <c r="C35" s="22" t="s">
        <v>282</v>
      </c>
      <c r="D35" s="22" t="s">
        <v>283</v>
      </c>
    </row>
    <row r="36" spans="1:4" ht="15" customHeight="1">
      <c r="A36" s="22" t="s">
        <v>284</v>
      </c>
      <c r="B36" s="22" t="s">
        <v>285</v>
      </c>
      <c r="C36" s="22" t="s">
        <v>286</v>
      </c>
      <c r="D36" s="22" t="s">
        <v>287</v>
      </c>
    </row>
    <row r="37" spans="1:4" ht="15" customHeight="1">
      <c r="A37" s="22" t="s">
        <v>288</v>
      </c>
      <c r="B37" s="22" t="s">
        <v>289</v>
      </c>
      <c r="C37" s="22" t="s">
        <v>290</v>
      </c>
      <c r="D37" s="22" t="s">
        <v>291</v>
      </c>
    </row>
    <row r="38" spans="1:4" ht="15" customHeight="1">
      <c r="A38" s="22" t="s">
        <v>292</v>
      </c>
      <c r="B38" s="22" t="s">
        <v>293</v>
      </c>
      <c r="C38" s="22" t="s">
        <v>294</v>
      </c>
      <c r="D38" s="22" t="s">
        <v>295</v>
      </c>
    </row>
    <row r="39" spans="1:4" ht="15" customHeight="1">
      <c r="A39" s="22" t="s">
        <v>296</v>
      </c>
      <c r="B39" s="22" t="s">
        <v>297</v>
      </c>
      <c r="C39" s="22" t="s">
        <v>298</v>
      </c>
      <c r="D39" s="22" t="s">
        <v>299</v>
      </c>
    </row>
    <row r="40" spans="1:4" ht="15" customHeight="1">
      <c r="A40" s="22" t="s">
        <v>300</v>
      </c>
      <c r="B40" s="22" t="s">
        <v>301</v>
      </c>
      <c r="C40" s="22" t="s">
        <v>302</v>
      </c>
      <c r="D40" s="22" t="s">
        <v>303</v>
      </c>
    </row>
    <row r="41" spans="1:4" ht="15" customHeight="1">
      <c r="A41" s="22" t="s">
        <v>304</v>
      </c>
      <c r="B41" s="22" t="s">
        <v>305</v>
      </c>
      <c r="C41" s="22" t="s">
        <v>306</v>
      </c>
      <c r="D41" s="22" t="s">
        <v>307</v>
      </c>
    </row>
    <row r="42" spans="1:4" ht="15" customHeight="1">
      <c r="A42" s="22" t="s">
        <v>51</v>
      </c>
      <c r="B42" s="22" t="s">
        <v>308</v>
      </c>
      <c r="C42" s="22" t="s">
        <v>309</v>
      </c>
      <c r="D42" s="22" t="s">
        <v>310</v>
      </c>
    </row>
    <row r="43" spans="1:4" ht="15" customHeight="1">
      <c r="A43" s="22" t="s">
        <v>311</v>
      </c>
      <c r="B43" s="22" t="s">
        <v>312</v>
      </c>
      <c r="C43" s="22" t="s">
        <v>313</v>
      </c>
      <c r="D43" s="22" t="s">
        <v>314</v>
      </c>
    </row>
    <row r="44" spans="1:4" ht="15" customHeight="1">
      <c r="A44" s="22" t="s">
        <v>315</v>
      </c>
      <c r="B44" s="22" t="s">
        <v>316</v>
      </c>
      <c r="C44" s="22" t="s">
        <v>317</v>
      </c>
      <c r="D44" s="22" t="s">
        <v>318</v>
      </c>
    </row>
    <row r="45" spans="1:4" ht="15" customHeight="1">
      <c r="A45" s="22" t="s">
        <v>319</v>
      </c>
      <c r="B45" s="22" t="s">
        <v>320</v>
      </c>
      <c r="C45" s="22" t="s">
        <v>321</v>
      </c>
      <c r="D45" s="22" t="s">
        <v>322</v>
      </c>
    </row>
    <row r="46" spans="1:4" ht="15" customHeight="1">
      <c r="A46" s="22" t="s">
        <v>323</v>
      </c>
      <c r="B46" s="22" t="s">
        <v>324</v>
      </c>
      <c r="C46" s="22" t="s">
        <v>325</v>
      </c>
      <c r="D46" s="22" t="s">
        <v>326</v>
      </c>
    </row>
    <row r="47" spans="1:4" ht="15" customHeight="1">
      <c r="A47" s="22" t="s">
        <v>327</v>
      </c>
      <c r="B47" s="22" t="s">
        <v>328</v>
      </c>
      <c r="C47" s="22" t="s">
        <v>329</v>
      </c>
      <c r="D47" s="22" t="s">
        <v>330</v>
      </c>
    </row>
    <row r="48" spans="1:4" ht="15" customHeight="1">
      <c r="A48" s="22" t="s">
        <v>331</v>
      </c>
      <c r="B48" s="22" t="s">
        <v>332</v>
      </c>
      <c r="C48" s="22" t="s">
        <v>333</v>
      </c>
      <c r="D48" s="22" t="s">
        <v>334</v>
      </c>
    </row>
    <row r="49" spans="1:4" ht="15" customHeight="1">
      <c r="A49" s="22" t="s">
        <v>335</v>
      </c>
      <c r="B49" s="22" t="s">
        <v>336</v>
      </c>
      <c r="C49" s="22" t="s">
        <v>337</v>
      </c>
      <c r="D49" s="22" t="s">
        <v>338</v>
      </c>
    </row>
    <row r="50" spans="1:4" ht="15" customHeight="1">
      <c r="A50" s="22" t="s">
        <v>339</v>
      </c>
      <c r="B50" s="22" t="s">
        <v>340</v>
      </c>
      <c r="C50" s="22" t="s">
        <v>341</v>
      </c>
      <c r="D50" s="22" t="s">
        <v>342</v>
      </c>
    </row>
    <row r="51" spans="1:4" ht="15" customHeight="1">
      <c r="A51" s="22" t="s">
        <v>343</v>
      </c>
      <c r="B51" s="22" t="s">
        <v>344</v>
      </c>
      <c r="C51" s="22" t="s">
        <v>345</v>
      </c>
      <c r="D51" s="22" t="s">
        <v>346</v>
      </c>
    </row>
    <row r="52" spans="1:4" ht="15" customHeight="1">
      <c r="A52" s="22" t="s">
        <v>347</v>
      </c>
      <c r="B52" s="22" t="s">
        <v>348</v>
      </c>
      <c r="C52" s="22" t="s">
        <v>349</v>
      </c>
      <c r="D52" s="22" t="s">
        <v>350</v>
      </c>
    </row>
    <row r="53" spans="1:4" ht="15" customHeight="1">
      <c r="A53" s="22" t="s">
        <v>351</v>
      </c>
      <c r="B53" s="22" t="s">
        <v>352</v>
      </c>
      <c r="C53" s="22" t="s">
        <v>353</v>
      </c>
      <c r="D53" s="22" t="s">
        <v>354</v>
      </c>
    </row>
    <row r="54" spans="1:4" ht="15" customHeight="1">
      <c r="A54" s="22" t="s">
        <v>355</v>
      </c>
      <c r="B54" s="22" t="s">
        <v>356</v>
      </c>
      <c r="C54" s="22" t="s">
        <v>357</v>
      </c>
      <c r="D54" s="22" t="s">
        <v>358</v>
      </c>
    </row>
    <row r="55" spans="1:4" ht="15" customHeight="1">
      <c r="A55" s="22" t="s">
        <v>359</v>
      </c>
      <c r="B55" s="22" t="s">
        <v>360</v>
      </c>
      <c r="C55" s="22" t="s">
        <v>361</v>
      </c>
      <c r="D55" s="22" t="s">
        <v>362</v>
      </c>
    </row>
    <row r="56" spans="1:4" ht="15" customHeight="1">
      <c r="A56" s="22" t="s">
        <v>363</v>
      </c>
      <c r="B56" s="22" t="s">
        <v>364</v>
      </c>
      <c r="C56" s="22" t="s">
        <v>365</v>
      </c>
      <c r="D56" s="22" t="s">
        <v>366</v>
      </c>
    </row>
    <row r="57" spans="1:4" ht="15" customHeight="1">
      <c r="A57" s="22" t="s">
        <v>367</v>
      </c>
      <c r="B57" s="22" t="s">
        <v>368</v>
      </c>
      <c r="C57" s="22" t="s">
        <v>369</v>
      </c>
      <c r="D57" s="22" t="s">
        <v>370</v>
      </c>
    </row>
    <row r="58" spans="1:4" ht="15" customHeight="1">
      <c r="A58" s="22" t="s">
        <v>371</v>
      </c>
      <c r="B58" s="22" t="s">
        <v>372</v>
      </c>
      <c r="C58" s="22" t="s">
        <v>373</v>
      </c>
      <c r="D58" s="22" t="s">
        <v>374</v>
      </c>
    </row>
    <row r="59" spans="1:4" ht="15" customHeight="1">
      <c r="A59" s="22" t="s">
        <v>375</v>
      </c>
      <c r="B59" s="22" t="s">
        <v>376</v>
      </c>
      <c r="C59" s="22" t="s">
        <v>377</v>
      </c>
      <c r="D59" s="22" t="s">
        <v>378</v>
      </c>
    </row>
    <row r="60" spans="1:4" ht="15" customHeight="1">
      <c r="A60" s="22" t="s">
        <v>379</v>
      </c>
      <c r="B60" s="22" t="s">
        <v>380</v>
      </c>
      <c r="C60" s="22" t="s">
        <v>381</v>
      </c>
      <c r="D60" s="22" t="s">
        <v>382</v>
      </c>
    </row>
    <row r="61" spans="1:4" ht="15" customHeight="1">
      <c r="A61" s="22" t="s">
        <v>383</v>
      </c>
      <c r="B61" s="22" t="s">
        <v>384</v>
      </c>
      <c r="C61" s="22" t="s">
        <v>385</v>
      </c>
      <c r="D61" s="22" t="s">
        <v>386</v>
      </c>
    </row>
    <row r="62" spans="1:4" ht="15" customHeight="1">
      <c r="A62" s="22" t="s">
        <v>387</v>
      </c>
      <c r="B62" s="22" t="s">
        <v>388</v>
      </c>
      <c r="C62" s="22" t="s">
        <v>389</v>
      </c>
      <c r="D62" s="22" t="s">
        <v>390</v>
      </c>
    </row>
    <row r="63" spans="1:4" ht="15" customHeight="1">
      <c r="A63" s="22" t="s">
        <v>391</v>
      </c>
      <c r="B63" s="22" t="s">
        <v>392</v>
      </c>
      <c r="C63" s="22" t="s">
        <v>393</v>
      </c>
      <c r="D63" s="22" t="s">
        <v>394</v>
      </c>
    </row>
    <row r="64" spans="1:4" ht="15" customHeight="1">
      <c r="A64" s="22" t="s">
        <v>395</v>
      </c>
      <c r="B64" s="22" t="s">
        <v>396</v>
      </c>
      <c r="C64" s="22" t="s">
        <v>397</v>
      </c>
      <c r="D64" s="22" t="s">
        <v>398</v>
      </c>
    </row>
    <row r="65" spans="1:4" ht="15" customHeight="1">
      <c r="A65" s="22" t="s">
        <v>399</v>
      </c>
      <c r="B65" s="22" t="s">
        <v>400</v>
      </c>
      <c r="C65" s="22" t="s">
        <v>401</v>
      </c>
      <c r="D65" s="22" t="s">
        <v>402</v>
      </c>
    </row>
    <row r="66" spans="1:4" ht="15" customHeight="1">
      <c r="A66" s="22" t="s">
        <v>403</v>
      </c>
      <c r="B66" s="22" t="s">
        <v>404</v>
      </c>
      <c r="C66" s="22" t="s">
        <v>405</v>
      </c>
      <c r="D66" s="22" t="s">
        <v>406</v>
      </c>
    </row>
    <row r="67" spans="1:4" ht="15" customHeight="1">
      <c r="A67" s="22" t="s">
        <v>407</v>
      </c>
      <c r="B67" s="22" t="s">
        <v>408</v>
      </c>
      <c r="C67" s="22" t="s">
        <v>409</v>
      </c>
      <c r="D67" s="22" t="s">
        <v>410</v>
      </c>
    </row>
    <row r="68" spans="1:4" ht="15" customHeight="1">
      <c r="A68" s="22" t="s">
        <v>411</v>
      </c>
      <c r="B68" s="22" t="s">
        <v>412</v>
      </c>
      <c r="C68" s="22" t="s">
        <v>413</v>
      </c>
      <c r="D68" s="22" t="s">
        <v>414</v>
      </c>
    </row>
    <row r="69" spans="1:4" ht="15" customHeight="1">
      <c r="A69" s="22" t="s">
        <v>415</v>
      </c>
      <c r="B69" s="22" t="s">
        <v>416</v>
      </c>
      <c r="C69" s="22" t="s">
        <v>417</v>
      </c>
      <c r="D69" s="22" t="s">
        <v>418</v>
      </c>
    </row>
    <row r="70" spans="1:4" ht="15" customHeight="1">
      <c r="A70" s="22" t="s">
        <v>419</v>
      </c>
      <c r="B70" s="22" t="s">
        <v>420</v>
      </c>
      <c r="C70" s="22" t="s">
        <v>421</v>
      </c>
      <c r="D70" s="22" t="s">
        <v>422</v>
      </c>
    </row>
    <row r="71" spans="1:4" ht="15" customHeight="1">
      <c r="A71" s="22" t="s">
        <v>423</v>
      </c>
      <c r="B71" s="22" t="s">
        <v>424</v>
      </c>
      <c r="C71" s="22" t="s">
        <v>425</v>
      </c>
      <c r="D71" s="22" t="s">
        <v>426</v>
      </c>
    </row>
    <row r="72" spans="1:4" ht="15" customHeight="1">
      <c r="A72" s="22" t="s">
        <v>427</v>
      </c>
      <c r="B72" s="22" t="s">
        <v>428</v>
      </c>
      <c r="C72" s="22" t="s">
        <v>429</v>
      </c>
      <c r="D72" s="22" t="s">
        <v>430</v>
      </c>
    </row>
    <row r="73" spans="1:4" ht="15" customHeight="1">
      <c r="A73" s="22" t="s">
        <v>431</v>
      </c>
      <c r="B73" s="22" t="s">
        <v>432</v>
      </c>
      <c r="C73" s="22" t="s">
        <v>433</v>
      </c>
      <c r="D73" s="22" t="s">
        <v>434</v>
      </c>
    </row>
    <row r="74" spans="1:4" ht="15" customHeight="1">
      <c r="A74" s="22" t="s">
        <v>435</v>
      </c>
      <c r="B74" s="22" t="s">
        <v>436</v>
      </c>
      <c r="C74" s="22" t="s">
        <v>437</v>
      </c>
      <c r="D74" s="22" t="s">
        <v>438</v>
      </c>
    </row>
    <row r="75" spans="1:4" ht="15" customHeight="1">
      <c r="A75" s="22" t="s">
        <v>439</v>
      </c>
      <c r="B75" s="22" t="s">
        <v>440</v>
      </c>
      <c r="C75" s="22" t="s">
        <v>441</v>
      </c>
      <c r="D75" s="22" t="s">
        <v>442</v>
      </c>
    </row>
    <row r="76" spans="1:4" ht="15" customHeight="1">
      <c r="A76" s="22" t="s">
        <v>443</v>
      </c>
      <c r="B76" s="22" t="s">
        <v>444</v>
      </c>
      <c r="C76" s="22" t="s">
        <v>445</v>
      </c>
      <c r="D76" s="22" t="s">
        <v>446</v>
      </c>
    </row>
    <row r="77" spans="1:4" ht="15" customHeight="1">
      <c r="A77" s="22" t="s">
        <v>36</v>
      </c>
      <c r="B77" s="22" t="s">
        <v>447</v>
      </c>
      <c r="C77" s="22" t="s">
        <v>448</v>
      </c>
      <c r="D77" s="22" t="s">
        <v>449</v>
      </c>
    </row>
    <row r="78" spans="1:4" ht="15" customHeight="1">
      <c r="A78" s="22" t="s">
        <v>450</v>
      </c>
      <c r="B78" s="22" t="s">
        <v>451</v>
      </c>
      <c r="C78" s="22" t="s">
        <v>452</v>
      </c>
      <c r="D78" s="22" t="s">
        <v>453</v>
      </c>
    </row>
    <row r="79" spans="1:4" ht="15" customHeight="1">
      <c r="A79" s="22" t="s">
        <v>454</v>
      </c>
      <c r="B79" s="22" t="s">
        <v>455</v>
      </c>
      <c r="C79" s="22" t="s">
        <v>456</v>
      </c>
      <c r="D79" s="22" t="s">
        <v>457</v>
      </c>
    </row>
    <row r="80" spans="1:4" ht="15" customHeight="1">
      <c r="A80" s="22" t="s">
        <v>458</v>
      </c>
      <c r="B80" s="22" t="s">
        <v>459</v>
      </c>
      <c r="C80" s="22" t="s">
        <v>460</v>
      </c>
      <c r="D80" s="22" t="s">
        <v>461</v>
      </c>
    </row>
    <row r="81" spans="1:4" ht="15" customHeight="1">
      <c r="A81" s="22" t="s">
        <v>462</v>
      </c>
      <c r="B81" s="22" t="s">
        <v>463</v>
      </c>
      <c r="C81" s="22" t="s">
        <v>464</v>
      </c>
      <c r="D81" s="22" t="s">
        <v>465</v>
      </c>
    </row>
    <row r="82" spans="1:4" ht="15" customHeight="1">
      <c r="A82" s="22" t="s">
        <v>466</v>
      </c>
      <c r="B82" s="22" t="s">
        <v>467</v>
      </c>
      <c r="C82" s="22" t="s">
        <v>468</v>
      </c>
      <c r="D82" s="22" t="s">
        <v>469</v>
      </c>
    </row>
    <row r="83" spans="1:4" ht="15" customHeight="1">
      <c r="A83" s="22" t="s">
        <v>470</v>
      </c>
      <c r="B83" s="22" t="s">
        <v>471</v>
      </c>
      <c r="C83" s="22" t="s">
        <v>472</v>
      </c>
      <c r="D83" s="22" t="s">
        <v>473</v>
      </c>
    </row>
    <row r="84" spans="1:4" ht="15" customHeight="1">
      <c r="A84" s="22" t="s">
        <v>474</v>
      </c>
      <c r="B84" s="22" t="s">
        <v>475</v>
      </c>
      <c r="C84" s="22" t="s">
        <v>476</v>
      </c>
      <c r="D84" s="22" t="s">
        <v>477</v>
      </c>
    </row>
    <row r="85" spans="1:4" ht="15" customHeight="1">
      <c r="A85" s="22" t="s">
        <v>478</v>
      </c>
      <c r="B85" s="22" t="s">
        <v>479</v>
      </c>
      <c r="C85" s="22" t="s">
        <v>480</v>
      </c>
      <c r="D85" s="22" t="s">
        <v>481</v>
      </c>
    </row>
    <row r="86" spans="1:4" ht="15" customHeight="1">
      <c r="A86" s="22" t="s">
        <v>482</v>
      </c>
      <c r="B86" s="22" t="s">
        <v>483</v>
      </c>
      <c r="C86" s="22" t="s">
        <v>484</v>
      </c>
      <c r="D86" s="22" t="s">
        <v>485</v>
      </c>
    </row>
    <row r="87" spans="1:4" ht="15" customHeight="1">
      <c r="A87" s="22" t="s">
        <v>486</v>
      </c>
      <c r="B87" s="22" t="s">
        <v>487</v>
      </c>
      <c r="C87" s="22" t="s">
        <v>488</v>
      </c>
      <c r="D87" s="22" t="s">
        <v>489</v>
      </c>
    </row>
    <row r="88" spans="1:4" ht="15" customHeight="1">
      <c r="A88" s="22" t="s">
        <v>490</v>
      </c>
      <c r="B88" s="22" t="s">
        <v>491</v>
      </c>
      <c r="C88" s="22" t="s">
        <v>492</v>
      </c>
      <c r="D88" s="22" t="s">
        <v>493</v>
      </c>
    </row>
    <row r="89" spans="1:4" ht="15" customHeight="1">
      <c r="A89" s="22" t="s">
        <v>494</v>
      </c>
      <c r="B89" s="22" t="s">
        <v>495</v>
      </c>
      <c r="C89" s="22" t="s">
        <v>496</v>
      </c>
      <c r="D89" s="22" t="s">
        <v>497</v>
      </c>
    </row>
    <row r="90" spans="1:4" ht="15" customHeight="1">
      <c r="A90" s="22" t="s">
        <v>498</v>
      </c>
      <c r="B90" s="22" t="s">
        <v>499</v>
      </c>
      <c r="C90" s="22" t="s">
        <v>500</v>
      </c>
      <c r="D90" s="22" t="s">
        <v>501</v>
      </c>
    </row>
    <row r="91" spans="1:4" ht="15" customHeight="1">
      <c r="A91" s="22" t="s">
        <v>502</v>
      </c>
      <c r="B91" s="22" t="s">
        <v>503</v>
      </c>
      <c r="C91" s="22" t="s">
        <v>504</v>
      </c>
      <c r="D91" s="22" t="s">
        <v>505</v>
      </c>
    </row>
    <row r="92" spans="1:4" ht="15" customHeight="1">
      <c r="A92" s="22" t="s">
        <v>506</v>
      </c>
      <c r="B92" s="22" t="s">
        <v>507</v>
      </c>
      <c r="C92" s="22" t="s">
        <v>508</v>
      </c>
      <c r="D92" s="22" t="s">
        <v>509</v>
      </c>
    </row>
    <row r="93" spans="1:4" ht="15" customHeight="1">
      <c r="A93" s="22" t="s">
        <v>510</v>
      </c>
      <c r="B93" s="22" t="s">
        <v>511</v>
      </c>
      <c r="C93" s="22" t="s">
        <v>512</v>
      </c>
      <c r="D93" s="22" t="s">
        <v>513</v>
      </c>
    </row>
    <row r="94" spans="1:4" ht="15" customHeight="1">
      <c r="A94" s="22" t="s">
        <v>514</v>
      </c>
      <c r="B94" s="22" t="s">
        <v>515</v>
      </c>
      <c r="C94" s="22" t="s">
        <v>516</v>
      </c>
      <c r="D94" s="22" t="s">
        <v>517</v>
      </c>
    </row>
    <row r="95" spans="1:4" ht="15" customHeight="1">
      <c r="A95" s="22" t="s">
        <v>518</v>
      </c>
      <c r="B95" s="22" t="s">
        <v>519</v>
      </c>
      <c r="C95" s="22" t="s">
        <v>520</v>
      </c>
      <c r="D95" s="22" t="s">
        <v>521</v>
      </c>
    </row>
    <row r="96" spans="1:4" ht="15" customHeight="1">
      <c r="A96" s="22" t="s">
        <v>522</v>
      </c>
      <c r="B96" s="22" t="s">
        <v>523</v>
      </c>
      <c r="C96" s="22" t="s">
        <v>524</v>
      </c>
      <c r="D96" s="22" t="s">
        <v>525</v>
      </c>
    </row>
    <row r="97" spans="1:4" ht="15" customHeight="1">
      <c r="A97" s="22" t="s">
        <v>526</v>
      </c>
      <c r="B97" s="22" t="s">
        <v>527</v>
      </c>
      <c r="C97" s="22" t="s">
        <v>528</v>
      </c>
      <c r="D97" s="22" t="s">
        <v>529</v>
      </c>
    </row>
    <row r="98" spans="1:4" ht="15" customHeight="1">
      <c r="A98" s="22" t="s">
        <v>530</v>
      </c>
      <c r="B98" s="22" t="s">
        <v>531</v>
      </c>
      <c r="C98" s="22" t="s">
        <v>532</v>
      </c>
      <c r="D98" s="22" t="s">
        <v>533</v>
      </c>
    </row>
    <row r="99" spans="1:4" ht="15" customHeight="1">
      <c r="A99" s="22" t="s">
        <v>534</v>
      </c>
      <c r="B99" s="22" t="s">
        <v>535</v>
      </c>
      <c r="C99" s="22" t="s">
        <v>536</v>
      </c>
      <c r="D99" s="22" t="s">
        <v>537</v>
      </c>
    </row>
    <row r="100" spans="1:4" ht="15" customHeight="1">
      <c r="A100" s="22" t="s">
        <v>538</v>
      </c>
      <c r="B100" s="22" t="s">
        <v>539</v>
      </c>
      <c r="C100" s="22" t="s">
        <v>540</v>
      </c>
      <c r="D100" s="22" t="s">
        <v>541</v>
      </c>
    </row>
    <row r="101" spans="1:4" ht="15" customHeight="1">
      <c r="A101" s="22" t="s">
        <v>542</v>
      </c>
      <c r="B101" s="22" t="s">
        <v>543</v>
      </c>
      <c r="C101" s="22" t="s">
        <v>544</v>
      </c>
      <c r="D101" s="22" t="s">
        <v>545</v>
      </c>
    </row>
    <row r="102" spans="1:4" ht="15" customHeight="1">
      <c r="A102" s="22" t="s">
        <v>546</v>
      </c>
      <c r="B102" s="22" t="s">
        <v>547</v>
      </c>
      <c r="C102" s="22" t="s">
        <v>548</v>
      </c>
      <c r="D102" s="22" t="s">
        <v>549</v>
      </c>
    </row>
    <row r="103" spans="1:4" ht="15" customHeight="1">
      <c r="A103" s="22" t="s">
        <v>550</v>
      </c>
      <c r="B103" s="22" t="s">
        <v>551</v>
      </c>
      <c r="C103" s="22" t="s">
        <v>552</v>
      </c>
      <c r="D103" s="22" t="s">
        <v>553</v>
      </c>
    </row>
    <row r="104" spans="1:4" ht="15" customHeight="1">
      <c r="A104" s="22" t="s">
        <v>554</v>
      </c>
      <c r="B104" s="22" t="s">
        <v>555</v>
      </c>
      <c r="C104" s="22" t="s">
        <v>556</v>
      </c>
      <c r="D104" s="22" t="s">
        <v>557</v>
      </c>
    </row>
    <row r="105" spans="1:4" ht="15" customHeight="1">
      <c r="A105" s="22" t="s">
        <v>558</v>
      </c>
      <c r="B105" s="22" t="s">
        <v>559</v>
      </c>
      <c r="C105" s="22" t="s">
        <v>560</v>
      </c>
      <c r="D105" s="22" t="s">
        <v>561</v>
      </c>
    </row>
    <row r="106" spans="1:4" ht="15" customHeight="1">
      <c r="A106" s="22" t="s">
        <v>562</v>
      </c>
      <c r="B106" s="22" t="s">
        <v>563</v>
      </c>
      <c r="C106" s="22" t="s">
        <v>564</v>
      </c>
      <c r="D106" s="22" t="s">
        <v>565</v>
      </c>
    </row>
    <row r="107" spans="1:4" ht="15" customHeight="1">
      <c r="A107" s="22" t="s">
        <v>566</v>
      </c>
      <c r="B107" s="22" t="s">
        <v>567</v>
      </c>
      <c r="C107" s="22" t="s">
        <v>568</v>
      </c>
      <c r="D107" s="22" t="s">
        <v>569</v>
      </c>
    </row>
    <row r="108" spans="1:4" ht="15" customHeight="1">
      <c r="A108" s="22" t="s">
        <v>570</v>
      </c>
      <c r="B108" s="22" t="s">
        <v>571</v>
      </c>
      <c r="C108" s="22" t="s">
        <v>572</v>
      </c>
      <c r="D108" s="22" t="s">
        <v>573</v>
      </c>
    </row>
    <row r="109" spans="1:4" ht="15" customHeight="1">
      <c r="A109" s="22" t="s">
        <v>574</v>
      </c>
      <c r="B109" s="22" t="s">
        <v>575</v>
      </c>
      <c r="C109" s="22" t="s">
        <v>576</v>
      </c>
      <c r="D109" s="22" t="s">
        <v>577</v>
      </c>
    </row>
    <row r="110" spans="1:4" ht="15" customHeight="1">
      <c r="A110" s="22" t="s">
        <v>578</v>
      </c>
      <c r="B110" s="22" t="s">
        <v>579</v>
      </c>
      <c r="C110" s="22" t="s">
        <v>580</v>
      </c>
      <c r="D110" s="22" t="s">
        <v>581</v>
      </c>
    </row>
    <row r="111" spans="1:4" ht="15" customHeight="1">
      <c r="A111" s="22" t="s">
        <v>582</v>
      </c>
      <c r="B111" s="22" t="s">
        <v>583</v>
      </c>
      <c r="C111" s="22" t="s">
        <v>584</v>
      </c>
      <c r="D111" s="22" t="s">
        <v>585</v>
      </c>
    </row>
    <row r="112" spans="1:4" ht="15" customHeight="1">
      <c r="A112" s="22" t="s">
        <v>586</v>
      </c>
      <c r="B112" s="22" t="s">
        <v>587</v>
      </c>
      <c r="C112" s="22" t="s">
        <v>588</v>
      </c>
      <c r="D112" s="22" t="s">
        <v>589</v>
      </c>
    </row>
    <row r="113" spans="1:4" ht="15" customHeight="1">
      <c r="A113" s="22" t="s">
        <v>590</v>
      </c>
      <c r="B113" s="22" t="s">
        <v>591</v>
      </c>
      <c r="C113" s="22" t="s">
        <v>592</v>
      </c>
      <c r="D113" s="22" t="s">
        <v>593</v>
      </c>
    </row>
    <row r="114" spans="1:4" ht="15" customHeight="1">
      <c r="A114" s="22" t="s">
        <v>594</v>
      </c>
      <c r="B114" s="22" t="s">
        <v>595</v>
      </c>
      <c r="C114" s="22" t="s">
        <v>596</v>
      </c>
      <c r="D114" s="22" t="s">
        <v>597</v>
      </c>
    </row>
    <row r="115" spans="1:4" ht="15" customHeight="1">
      <c r="A115" s="22" t="s">
        <v>598</v>
      </c>
      <c r="B115" s="22" t="s">
        <v>599</v>
      </c>
      <c r="C115" s="22" t="s">
        <v>600</v>
      </c>
      <c r="D115" s="22" t="s">
        <v>601</v>
      </c>
    </row>
    <row r="116" spans="1:4" ht="15" customHeight="1">
      <c r="A116" s="22" t="s">
        <v>602</v>
      </c>
      <c r="B116" s="22" t="s">
        <v>603</v>
      </c>
      <c r="C116" s="22" t="s">
        <v>604</v>
      </c>
      <c r="D116" s="22" t="s">
        <v>605</v>
      </c>
    </row>
    <row r="117" spans="1:4" ht="15" customHeight="1">
      <c r="A117" s="22" t="s">
        <v>606</v>
      </c>
      <c r="B117" s="22" t="s">
        <v>607</v>
      </c>
      <c r="C117" s="22" t="s">
        <v>608</v>
      </c>
      <c r="D117" s="22" t="s">
        <v>609</v>
      </c>
    </row>
    <row r="118" spans="1:4" ht="15" customHeight="1">
      <c r="A118" s="22" t="s">
        <v>610</v>
      </c>
      <c r="B118" s="22" t="s">
        <v>611</v>
      </c>
      <c r="C118" s="22" t="s">
        <v>612</v>
      </c>
      <c r="D118" s="22" t="s">
        <v>613</v>
      </c>
    </row>
    <row r="119" spans="1:4" ht="15" customHeight="1">
      <c r="A119" s="22" t="s">
        <v>614</v>
      </c>
      <c r="B119" s="22" t="s">
        <v>615</v>
      </c>
      <c r="C119" s="22" t="s">
        <v>616</v>
      </c>
      <c r="D119" s="22" t="s">
        <v>617</v>
      </c>
    </row>
    <row r="120" spans="1:4" ht="15" customHeight="1">
      <c r="A120" s="22" t="s">
        <v>618</v>
      </c>
      <c r="B120" s="22" t="s">
        <v>619</v>
      </c>
      <c r="C120" s="22" t="s">
        <v>620</v>
      </c>
      <c r="D120" s="22" t="s">
        <v>621</v>
      </c>
    </row>
    <row r="121" spans="1:4" ht="15" customHeight="1">
      <c r="A121" s="22" t="s">
        <v>622</v>
      </c>
      <c r="B121" s="22" t="s">
        <v>623</v>
      </c>
      <c r="C121" s="22" t="s">
        <v>624</v>
      </c>
      <c r="D121" s="22" t="s">
        <v>625</v>
      </c>
    </row>
    <row r="122" spans="1:4" ht="15" customHeight="1">
      <c r="A122" s="22" t="s">
        <v>626</v>
      </c>
      <c r="B122" s="22" t="s">
        <v>627</v>
      </c>
      <c r="C122" s="22" t="s">
        <v>628</v>
      </c>
      <c r="D122" s="22" t="s">
        <v>629</v>
      </c>
    </row>
    <row r="123" spans="1:4" ht="15" customHeight="1">
      <c r="A123" s="22" t="s">
        <v>630</v>
      </c>
      <c r="B123" s="22" t="s">
        <v>631</v>
      </c>
      <c r="C123" s="22" t="s">
        <v>632</v>
      </c>
      <c r="D123" s="22" t="s">
        <v>633</v>
      </c>
    </row>
    <row r="124" spans="1:4" ht="15" customHeight="1">
      <c r="A124" s="22" t="s">
        <v>634</v>
      </c>
      <c r="B124" s="22" t="s">
        <v>635</v>
      </c>
      <c r="C124" s="22" t="s">
        <v>636</v>
      </c>
      <c r="D124" s="22" t="s">
        <v>637</v>
      </c>
    </row>
    <row r="125" spans="1:4" ht="15" customHeight="1">
      <c r="A125" s="22" t="s">
        <v>638</v>
      </c>
      <c r="B125" s="22" t="s">
        <v>639</v>
      </c>
      <c r="C125" s="22" t="s">
        <v>640</v>
      </c>
      <c r="D125" s="22" t="s">
        <v>641</v>
      </c>
    </row>
    <row r="126" spans="1:4" ht="15" customHeight="1">
      <c r="A126" s="22" t="s">
        <v>642</v>
      </c>
      <c r="B126" s="22" t="s">
        <v>643</v>
      </c>
      <c r="C126" s="22" t="s">
        <v>644</v>
      </c>
      <c r="D126" s="22" t="s">
        <v>645</v>
      </c>
    </row>
    <row r="127" spans="1:4" ht="15" customHeight="1">
      <c r="A127" s="22" t="s">
        <v>646</v>
      </c>
      <c r="B127" s="22" t="s">
        <v>647</v>
      </c>
      <c r="C127" s="22" t="s">
        <v>648</v>
      </c>
      <c r="D127" s="22" t="s">
        <v>649</v>
      </c>
    </row>
    <row r="128" spans="1:4" ht="15" customHeight="1">
      <c r="A128" s="22" t="s">
        <v>650</v>
      </c>
      <c r="B128" s="22" t="s">
        <v>651</v>
      </c>
      <c r="C128" s="22" t="s">
        <v>652</v>
      </c>
      <c r="D128" s="22" t="s">
        <v>653</v>
      </c>
    </row>
    <row r="129" spans="1:4" ht="15" customHeight="1">
      <c r="A129" s="22" t="s">
        <v>654</v>
      </c>
      <c r="B129" s="22" t="s">
        <v>655</v>
      </c>
      <c r="C129" s="22" t="s">
        <v>656</v>
      </c>
      <c r="D129" s="22" t="s">
        <v>657</v>
      </c>
    </row>
    <row r="130" spans="1:4" ht="15" customHeight="1">
      <c r="A130" s="22" t="s">
        <v>658</v>
      </c>
      <c r="B130" s="22" t="s">
        <v>659</v>
      </c>
      <c r="C130" s="22" t="s">
        <v>660</v>
      </c>
      <c r="D130" s="22" t="s">
        <v>661</v>
      </c>
    </row>
    <row r="131" spans="1:4" ht="15" customHeight="1">
      <c r="A131" s="22" t="s">
        <v>662</v>
      </c>
      <c r="B131" s="22" t="s">
        <v>663</v>
      </c>
      <c r="C131" s="22" t="s">
        <v>664</v>
      </c>
      <c r="D131" s="22" t="s">
        <v>665</v>
      </c>
    </row>
    <row r="132" spans="1:4" ht="15" customHeight="1">
      <c r="A132" s="22" t="s">
        <v>666</v>
      </c>
      <c r="B132" s="22" t="s">
        <v>667</v>
      </c>
      <c r="C132" s="22" t="s">
        <v>668</v>
      </c>
      <c r="D132" s="22" t="s">
        <v>669</v>
      </c>
    </row>
    <row r="133" spans="1:4" ht="15" customHeight="1">
      <c r="A133" s="22" t="s">
        <v>670</v>
      </c>
      <c r="B133" s="22" t="s">
        <v>671</v>
      </c>
      <c r="C133" s="22" t="s">
        <v>672</v>
      </c>
      <c r="D133" s="22" t="s">
        <v>673</v>
      </c>
    </row>
    <row r="134" spans="1:4" ht="15" customHeight="1">
      <c r="A134" s="22" t="s">
        <v>674</v>
      </c>
      <c r="B134" s="22" t="s">
        <v>675</v>
      </c>
      <c r="C134" s="22" t="s">
        <v>676</v>
      </c>
      <c r="D134" s="22" t="s">
        <v>677</v>
      </c>
    </row>
    <row r="135" spans="1:4" ht="15" customHeight="1">
      <c r="A135" s="22" t="s">
        <v>678</v>
      </c>
      <c r="B135" s="22" t="s">
        <v>679</v>
      </c>
      <c r="C135" s="22" t="s">
        <v>680</v>
      </c>
      <c r="D135" s="22" t="s">
        <v>681</v>
      </c>
    </row>
    <row r="136" spans="1:4" ht="15" customHeight="1">
      <c r="A136" s="22" t="s">
        <v>682</v>
      </c>
      <c r="B136" s="22" t="s">
        <v>683</v>
      </c>
      <c r="C136" s="22" t="s">
        <v>684</v>
      </c>
      <c r="D136" s="22" t="s">
        <v>685</v>
      </c>
    </row>
    <row r="137" spans="1:4" ht="15" customHeight="1">
      <c r="A137" s="22" t="s">
        <v>686</v>
      </c>
      <c r="B137" s="22" t="s">
        <v>687</v>
      </c>
      <c r="C137" s="22" t="s">
        <v>688</v>
      </c>
      <c r="D137" s="22" t="s">
        <v>689</v>
      </c>
    </row>
    <row r="138" spans="1:4" ht="15" customHeight="1">
      <c r="A138" s="22" t="s">
        <v>690</v>
      </c>
      <c r="B138" s="22" t="s">
        <v>691</v>
      </c>
      <c r="C138" s="22" t="s">
        <v>692</v>
      </c>
      <c r="D138" s="22" t="s">
        <v>693</v>
      </c>
    </row>
    <row r="139" spans="1:4" ht="15" customHeight="1">
      <c r="A139" s="22" t="s">
        <v>694</v>
      </c>
      <c r="B139" s="22" t="s">
        <v>695</v>
      </c>
      <c r="C139" s="22" t="s">
        <v>696</v>
      </c>
      <c r="D139" s="22" t="s">
        <v>697</v>
      </c>
    </row>
    <row r="140" spans="1:4" ht="15" customHeight="1">
      <c r="A140" s="22" t="s">
        <v>698</v>
      </c>
      <c r="B140" s="22" t="s">
        <v>699</v>
      </c>
      <c r="C140" s="22" t="s">
        <v>700</v>
      </c>
      <c r="D140" s="22" t="s">
        <v>701</v>
      </c>
    </row>
    <row r="141" spans="1:4" ht="15" customHeight="1">
      <c r="A141" s="22" t="s">
        <v>702</v>
      </c>
      <c r="B141" s="22" t="s">
        <v>703</v>
      </c>
      <c r="C141" s="22" t="s">
        <v>704</v>
      </c>
      <c r="D141" s="22" t="s">
        <v>705</v>
      </c>
    </row>
    <row r="142" spans="1:4" ht="15" customHeight="1">
      <c r="A142" s="22" t="s">
        <v>706</v>
      </c>
      <c r="B142" s="22" t="s">
        <v>707</v>
      </c>
      <c r="C142" s="22" t="s">
        <v>708</v>
      </c>
      <c r="D142" s="22" t="s">
        <v>709</v>
      </c>
    </row>
    <row r="143" spans="1:4" ht="15" customHeight="1">
      <c r="A143" s="22" t="s">
        <v>710</v>
      </c>
      <c r="B143" s="22" t="s">
        <v>711</v>
      </c>
      <c r="C143" s="22" t="s">
        <v>712</v>
      </c>
      <c r="D143" s="22" t="s">
        <v>713</v>
      </c>
    </row>
    <row r="144" spans="1:4" ht="15" customHeight="1">
      <c r="A144" s="22" t="s">
        <v>714</v>
      </c>
      <c r="B144" s="22" t="s">
        <v>715</v>
      </c>
      <c r="C144" s="22" t="s">
        <v>716</v>
      </c>
      <c r="D144" s="22" t="s">
        <v>717</v>
      </c>
    </row>
    <row r="145" spans="1:4" ht="15" customHeight="1">
      <c r="A145" s="22" t="s">
        <v>718</v>
      </c>
      <c r="B145" s="22" t="s">
        <v>719</v>
      </c>
      <c r="C145" s="22" t="s">
        <v>720</v>
      </c>
      <c r="D145" s="22" t="s">
        <v>721</v>
      </c>
    </row>
    <row r="146" spans="1:4" ht="15" customHeight="1">
      <c r="A146" s="22" t="s">
        <v>722</v>
      </c>
      <c r="B146" s="22" t="s">
        <v>723</v>
      </c>
      <c r="C146" s="22" t="s">
        <v>724</v>
      </c>
      <c r="D146" s="22" t="s">
        <v>725</v>
      </c>
    </row>
    <row r="147" spans="1:4" ht="15" customHeight="1">
      <c r="A147" s="22" t="s">
        <v>726</v>
      </c>
      <c r="B147" s="22" t="s">
        <v>727</v>
      </c>
      <c r="C147" s="22" t="s">
        <v>728</v>
      </c>
      <c r="D147" s="22" t="s">
        <v>729</v>
      </c>
    </row>
    <row r="148" spans="1:4" ht="15" customHeight="1">
      <c r="A148" s="22" t="s">
        <v>730</v>
      </c>
      <c r="B148" s="22" t="s">
        <v>731</v>
      </c>
      <c r="C148" s="22" t="s">
        <v>732</v>
      </c>
      <c r="D148" s="22" t="s">
        <v>733</v>
      </c>
    </row>
    <row r="149" spans="1:4" ht="15" customHeight="1">
      <c r="A149" s="22" t="s">
        <v>734</v>
      </c>
      <c r="B149" s="22" t="s">
        <v>735</v>
      </c>
      <c r="C149" s="22" t="s">
        <v>736</v>
      </c>
      <c r="D149" s="22" t="s">
        <v>737</v>
      </c>
    </row>
    <row r="150" spans="1:4" ht="15" customHeight="1">
      <c r="A150" s="22" t="s">
        <v>738</v>
      </c>
      <c r="B150" s="22" t="s">
        <v>739</v>
      </c>
      <c r="C150" s="22" t="s">
        <v>740</v>
      </c>
      <c r="D150" s="22" t="s">
        <v>741</v>
      </c>
    </row>
    <row r="151" spans="1:4" ht="15" customHeight="1">
      <c r="A151" s="22" t="s">
        <v>742</v>
      </c>
      <c r="B151" s="22" t="s">
        <v>743</v>
      </c>
      <c r="C151" s="22" t="s">
        <v>744</v>
      </c>
      <c r="D151" s="22" t="s">
        <v>745</v>
      </c>
    </row>
    <row r="152" spans="1:4" ht="15" customHeight="1">
      <c r="A152" s="22" t="s">
        <v>746</v>
      </c>
      <c r="B152" s="22" t="s">
        <v>747</v>
      </c>
      <c r="C152" s="22" t="s">
        <v>748</v>
      </c>
      <c r="D152" s="22" t="s">
        <v>749</v>
      </c>
    </row>
    <row r="153" spans="1:4" ht="15" customHeight="1">
      <c r="A153" s="22" t="s">
        <v>750</v>
      </c>
      <c r="B153" s="22" t="s">
        <v>751</v>
      </c>
      <c r="C153" s="22" t="s">
        <v>752</v>
      </c>
      <c r="D153" s="22" t="s">
        <v>753</v>
      </c>
    </row>
    <row r="154" spans="1:4" ht="15" customHeight="1">
      <c r="A154" s="22" t="s">
        <v>754</v>
      </c>
      <c r="B154" s="22" t="s">
        <v>755</v>
      </c>
      <c r="C154" s="22" t="s">
        <v>756</v>
      </c>
      <c r="D154" s="22" t="s">
        <v>757</v>
      </c>
    </row>
    <row r="155" spans="1:4" ht="15" customHeight="1">
      <c r="A155" s="22" t="s">
        <v>758</v>
      </c>
      <c r="B155" s="22" t="s">
        <v>759</v>
      </c>
      <c r="C155" s="22" t="s">
        <v>760</v>
      </c>
      <c r="D155" s="22" t="s">
        <v>761</v>
      </c>
    </row>
    <row r="156" spans="1:4" ht="15" customHeight="1">
      <c r="A156" s="22" t="s">
        <v>762</v>
      </c>
      <c r="B156" s="22" t="s">
        <v>763</v>
      </c>
      <c r="C156" s="22" t="s">
        <v>764</v>
      </c>
      <c r="D156" s="22" t="s">
        <v>765</v>
      </c>
    </row>
    <row r="157" spans="1:4" ht="15" customHeight="1">
      <c r="A157" s="22" t="s">
        <v>766</v>
      </c>
      <c r="B157" s="22" t="s">
        <v>767</v>
      </c>
      <c r="C157" s="22" t="s">
        <v>768</v>
      </c>
      <c r="D157" s="22" t="s">
        <v>769</v>
      </c>
    </row>
    <row r="158" spans="1:4" ht="15" customHeight="1">
      <c r="A158" s="22" t="s">
        <v>73</v>
      </c>
      <c r="B158" s="22" t="s">
        <v>770</v>
      </c>
      <c r="C158" s="22" t="s">
        <v>771</v>
      </c>
      <c r="D158" s="22" t="s">
        <v>772</v>
      </c>
    </row>
    <row r="159" spans="1:4" ht="15" customHeight="1">
      <c r="A159" s="22" t="s">
        <v>773</v>
      </c>
      <c r="B159" s="22" t="s">
        <v>774</v>
      </c>
      <c r="C159" s="22" t="s">
        <v>775</v>
      </c>
      <c r="D159" s="22" t="s">
        <v>776</v>
      </c>
    </row>
    <row r="160" spans="1:4" ht="15" customHeight="1">
      <c r="A160" s="22" t="s">
        <v>777</v>
      </c>
      <c r="B160" s="22" t="s">
        <v>778</v>
      </c>
      <c r="C160" s="22" t="s">
        <v>779</v>
      </c>
      <c r="D160" s="22" t="s">
        <v>780</v>
      </c>
    </row>
    <row r="161" spans="1:4" ht="15" customHeight="1">
      <c r="A161" s="22" t="s">
        <v>781</v>
      </c>
      <c r="B161" s="22" t="s">
        <v>782</v>
      </c>
      <c r="C161" s="22" t="s">
        <v>783</v>
      </c>
      <c r="D161" s="22" t="s">
        <v>784</v>
      </c>
    </row>
    <row r="162" spans="1:4" ht="15" customHeight="1">
      <c r="A162" s="22" t="s">
        <v>785</v>
      </c>
      <c r="B162" s="22" t="s">
        <v>786</v>
      </c>
      <c r="C162" s="22" t="s">
        <v>787</v>
      </c>
      <c r="D162" s="22" t="s">
        <v>788</v>
      </c>
    </row>
    <row r="163" spans="1:4" ht="15" customHeight="1">
      <c r="A163" s="22" t="s">
        <v>789</v>
      </c>
      <c r="B163" s="22" t="s">
        <v>790</v>
      </c>
      <c r="C163" s="22" t="s">
        <v>791</v>
      </c>
      <c r="D163" s="22" t="s">
        <v>792</v>
      </c>
    </row>
    <row r="164" spans="1:4" ht="15" customHeight="1">
      <c r="A164" s="22" t="s">
        <v>793</v>
      </c>
      <c r="B164" s="22" t="s">
        <v>794</v>
      </c>
      <c r="C164" s="22" t="s">
        <v>795</v>
      </c>
      <c r="D164" s="22" t="s">
        <v>796</v>
      </c>
    </row>
    <row r="165" spans="1:4" ht="15" customHeight="1">
      <c r="A165" s="22" t="s">
        <v>797</v>
      </c>
      <c r="B165" s="22" t="s">
        <v>798</v>
      </c>
      <c r="C165" s="22" t="s">
        <v>799</v>
      </c>
      <c r="D165" s="22" t="s">
        <v>800</v>
      </c>
    </row>
    <row r="166" spans="1:4" ht="15" customHeight="1">
      <c r="A166" s="22" t="s">
        <v>801</v>
      </c>
      <c r="B166" s="22" t="s">
        <v>802</v>
      </c>
      <c r="C166" s="22" t="s">
        <v>803</v>
      </c>
      <c r="D166" s="22" t="s">
        <v>804</v>
      </c>
    </row>
    <row r="167" spans="1:4" ht="15" customHeight="1">
      <c r="A167" s="22" t="s">
        <v>805</v>
      </c>
      <c r="B167" s="22" t="s">
        <v>806</v>
      </c>
      <c r="C167" s="22" t="s">
        <v>807</v>
      </c>
      <c r="D167" s="22" t="s">
        <v>808</v>
      </c>
    </row>
    <row r="168" spans="1:4" ht="15" customHeight="1">
      <c r="A168" s="22" t="s">
        <v>809</v>
      </c>
      <c r="B168" s="22" t="s">
        <v>810</v>
      </c>
      <c r="C168" s="22" t="s">
        <v>811</v>
      </c>
      <c r="D168" s="22" t="s">
        <v>812</v>
      </c>
    </row>
    <row r="169" spans="1:4" ht="15" customHeight="1">
      <c r="A169" s="22" t="s">
        <v>813</v>
      </c>
      <c r="B169" s="22" t="s">
        <v>814</v>
      </c>
      <c r="C169" s="22" t="s">
        <v>815</v>
      </c>
      <c r="D169" s="22" t="s">
        <v>816</v>
      </c>
    </row>
    <row r="170" spans="1:4" ht="15" customHeight="1">
      <c r="A170" s="22" t="s">
        <v>817</v>
      </c>
      <c r="B170" s="22" t="s">
        <v>818</v>
      </c>
      <c r="C170" s="22" t="s">
        <v>819</v>
      </c>
      <c r="D170" s="22" t="s">
        <v>820</v>
      </c>
    </row>
    <row r="171" spans="1:4" ht="15" customHeight="1">
      <c r="A171" s="22" t="s">
        <v>821</v>
      </c>
      <c r="B171" s="22" t="s">
        <v>822</v>
      </c>
      <c r="C171" s="22" t="s">
        <v>823</v>
      </c>
      <c r="D171" s="22" t="s">
        <v>824</v>
      </c>
    </row>
    <row r="172" spans="1:4" ht="15" customHeight="1">
      <c r="A172" s="22" t="s">
        <v>825</v>
      </c>
      <c r="B172" s="22" t="s">
        <v>826</v>
      </c>
      <c r="C172" s="22" t="s">
        <v>827</v>
      </c>
      <c r="D172" s="22" t="s">
        <v>828</v>
      </c>
    </row>
    <row r="173" spans="1:4" ht="15" customHeight="1">
      <c r="A173" s="22" t="s">
        <v>829</v>
      </c>
      <c r="B173" s="22" t="s">
        <v>830</v>
      </c>
      <c r="C173" s="22" t="s">
        <v>831</v>
      </c>
      <c r="D173" s="22" t="s">
        <v>832</v>
      </c>
    </row>
    <row r="174" spans="1:4" ht="15" customHeight="1">
      <c r="A174" s="22" t="s">
        <v>833</v>
      </c>
      <c r="B174" s="22" t="s">
        <v>834</v>
      </c>
      <c r="C174" s="22" t="s">
        <v>835</v>
      </c>
      <c r="D174" s="22" t="s">
        <v>836</v>
      </c>
    </row>
    <row r="175" spans="1:4" ht="15" customHeight="1">
      <c r="A175" s="22" t="s">
        <v>837</v>
      </c>
      <c r="B175" s="22" t="s">
        <v>838</v>
      </c>
      <c r="C175" s="22" t="s">
        <v>839</v>
      </c>
      <c r="D175" s="22" t="s">
        <v>840</v>
      </c>
    </row>
    <row r="176" spans="1:4" ht="15" customHeight="1">
      <c r="A176" s="22" t="s">
        <v>841</v>
      </c>
      <c r="B176" s="22" t="s">
        <v>842</v>
      </c>
      <c r="C176" s="22" t="s">
        <v>843</v>
      </c>
      <c r="D176" s="22" t="s">
        <v>844</v>
      </c>
    </row>
    <row r="177" spans="1:4" ht="15" customHeight="1">
      <c r="A177" s="22" t="s">
        <v>845</v>
      </c>
      <c r="B177" s="22" t="s">
        <v>846</v>
      </c>
      <c r="C177" s="22" t="s">
        <v>847</v>
      </c>
      <c r="D177" s="22" t="s">
        <v>848</v>
      </c>
    </row>
    <row r="178" spans="1:4" ht="15" customHeight="1">
      <c r="A178" s="22" t="s">
        <v>849</v>
      </c>
      <c r="B178" s="22" t="s">
        <v>850</v>
      </c>
      <c r="C178" s="22" t="s">
        <v>851</v>
      </c>
      <c r="D178" s="22" t="s">
        <v>852</v>
      </c>
    </row>
    <row r="179" spans="1:4" ht="15" customHeight="1">
      <c r="A179" s="22" t="s">
        <v>17</v>
      </c>
      <c r="B179" s="22" t="s">
        <v>853</v>
      </c>
      <c r="C179" s="22" t="s">
        <v>854</v>
      </c>
      <c r="D179" s="22" t="s">
        <v>855</v>
      </c>
    </row>
    <row r="180" spans="1:4" ht="15" customHeight="1">
      <c r="A180" s="22" t="s">
        <v>856</v>
      </c>
      <c r="B180" s="22" t="s">
        <v>857</v>
      </c>
      <c r="C180" s="22" t="s">
        <v>858</v>
      </c>
      <c r="D180" s="22" t="s">
        <v>859</v>
      </c>
    </row>
    <row r="181" spans="1:4" ht="15" customHeight="1">
      <c r="A181" s="22" t="s">
        <v>860</v>
      </c>
      <c r="B181" s="22" t="s">
        <v>861</v>
      </c>
      <c r="C181" s="22" t="s">
        <v>862</v>
      </c>
      <c r="D181" s="22" t="s">
        <v>863</v>
      </c>
    </row>
    <row r="182" spans="1:4" ht="15" customHeight="1">
      <c r="A182" s="22" t="s">
        <v>864</v>
      </c>
      <c r="B182" s="22" t="s">
        <v>865</v>
      </c>
      <c r="C182" s="22" t="s">
        <v>866</v>
      </c>
      <c r="D182" s="22" t="s">
        <v>867</v>
      </c>
    </row>
    <row r="183" spans="1:4" ht="15" customHeight="1">
      <c r="A183" s="22" t="s">
        <v>868</v>
      </c>
      <c r="B183" s="22" t="s">
        <v>869</v>
      </c>
      <c r="C183" s="22" t="s">
        <v>870</v>
      </c>
      <c r="D183" s="22" t="s">
        <v>871</v>
      </c>
    </row>
    <row r="184" spans="1:4" ht="15" customHeight="1">
      <c r="A184" s="22" t="s">
        <v>872</v>
      </c>
      <c r="B184" s="22" t="s">
        <v>873</v>
      </c>
      <c r="C184" s="22" t="s">
        <v>874</v>
      </c>
      <c r="D184" s="22" t="s">
        <v>875</v>
      </c>
    </row>
    <row r="185" spans="1:4" ht="15" customHeight="1">
      <c r="A185" s="22" t="s">
        <v>876</v>
      </c>
      <c r="B185" s="22" t="s">
        <v>877</v>
      </c>
      <c r="C185" s="22" t="s">
        <v>878</v>
      </c>
      <c r="D185" s="22" t="s">
        <v>879</v>
      </c>
    </row>
    <row r="186" spans="1:4" ht="15" customHeight="1">
      <c r="A186" s="22" t="s">
        <v>880</v>
      </c>
      <c r="B186" s="22" t="s">
        <v>881</v>
      </c>
      <c r="C186" s="22" t="s">
        <v>882</v>
      </c>
      <c r="D186" s="22" t="s">
        <v>883</v>
      </c>
    </row>
    <row r="187" spans="1:4" ht="15" customHeight="1">
      <c r="A187" s="22" t="s">
        <v>884</v>
      </c>
      <c r="B187" s="22" t="s">
        <v>885</v>
      </c>
      <c r="C187" s="22" t="s">
        <v>886</v>
      </c>
      <c r="D187" s="22" t="s">
        <v>887</v>
      </c>
    </row>
    <row r="188" spans="1:4" ht="15" customHeight="1">
      <c r="A188" s="22" t="s">
        <v>888</v>
      </c>
      <c r="B188" s="22" t="s">
        <v>889</v>
      </c>
      <c r="C188" s="22" t="s">
        <v>890</v>
      </c>
      <c r="D188" s="22" t="s">
        <v>891</v>
      </c>
    </row>
    <row r="189" spans="1:4" ht="15" customHeight="1">
      <c r="A189" s="22" t="s">
        <v>892</v>
      </c>
      <c r="B189" s="22" t="s">
        <v>893</v>
      </c>
      <c r="C189" s="22" t="s">
        <v>894</v>
      </c>
      <c r="D189" s="22" t="s">
        <v>895</v>
      </c>
    </row>
    <row r="190" spans="1:4" ht="15" customHeight="1">
      <c r="A190" s="22" t="s">
        <v>896</v>
      </c>
      <c r="B190" s="22" t="s">
        <v>897</v>
      </c>
      <c r="C190" s="22" t="s">
        <v>898</v>
      </c>
      <c r="D190" s="22" t="s">
        <v>899</v>
      </c>
    </row>
    <row r="191" spans="1:4" ht="15" customHeight="1">
      <c r="A191" s="22" t="s">
        <v>900</v>
      </c>
      <c r="B191" s="22" t="s">
        <v>901</v>
      </c>
      <c r="C191" s="22" t="s">
        <v>902</v>
      </c>
      <c r="D191" s="22" t="s">
        <v>903</v>
      </c>
    </row>
    <row r="192" spans="1:4" ht="15" customHeight="1">
      <c r="A192" s="22" t="s">
        <v>904</v>
      </c>
      <c r="B192" s="22" t="s">
        <v>905</v>
      </c>
      <c r="C192" s="22" t="s">
        <v>906</v>
      </c>
      <c r="D192" s="22" t="s">
        <v>907</v>
      </c>
    </row>
    <row r="193" spans="1:4" ht="15" customHeight="1">
      <c r="A193" s="22" t="s">
        <v>908</v>
      </c>
      <c r="B193" s="22" t="s">
        <v>909</v>
      </c>
      <c r="C193" s="22" t="s">
        <v>910</v>
      </c>
      <c r="D193" s="22" t="s">
        <v>911</v>
      </c>
    </row>
    <row r="194" spans="1:4" ht="15" customHeight="1">
      <c r="A194" s="22" t="s">
        <v>912</v>
      </c>
      <c r="B194" s="22" t="s">
        <v>913</v>
      </c>
      <c r="C194" s="22" t="s">
        <v>914</v>
      </c>
      <c r="D194" s="22" t="s">
        <v>915</v>
      </c>
    </row>
    <row r="195" spans="1:4" ht="15" customHeight="1">
      <c r="A195" s="22" t="s">
        <v>916</v>
      </c>
      <c r="B195" s="22" t="s">
        <v>917</v>
      </c>
      <c r="C195" s="22" t="s">
        <v>918</v>
      </c>
      <c r="D195" s="22" t="s">
        <v>919</v>
      </c>
    </row>
    <row r="196" spans="1:4" ht="15" customHeight="1">
      <c r="A196" s="22" t="s">
        <v>920</v>
      </c>
      <c r="B196" s="22" t="s">
        <v>921</v>
      </c>
      <c r="C196" s="22" t="s">
        <v>922</v>
      </c>
      <c r="D196" s="22" t="s">
        <v>923</v>
      </c>
    </row>
    <row r="197" spans="1:4" ht="15" customHeight="1">
      <c r="A197" s="22" t="s">
        <v>924</v>
      </c>
      <c r="B197" s="22" t="s">
        <v>925</v>
      </c>
      <c r="C197" s="22" t="s">
        <v>926</v>
      </c>
      <c r="D197" s="22" t="s">
        <v>927</v>
      </c>
    </row>
    <row r="198" spans="1:4" ht="15" customHeight="1">
      <c r="A198" s="22" t="s">
        <v>928</v>
      </c>
      <c r="B198" s="22" t="s">
        <v>929</v>
      </c>
      <c r="C198" s="22" t="s">
        <v>930</v>
      </c>
      <c r="D198" s="22" t="s">
        <v>931</v>
      </c>
    </row>
    <row r="199" spans="1:4" ht="15" customHeight="1">
      <c r="A199" s="22" t="s">
        <v>932</v>
      </c>
      <c r="B199" s="22" t="s">
        <v>933</v>
      </c>
      <c r="C199" s="22" t="s">
        <v>934</v>
      </c>
      <c r="D199" s="22" t="s">
        <v>935</v>
      </c>
    </row>
    <row r="200" spans="1:4" ht="15" customHeight="1">
      <c r="A200" s="22" t="s">
        <v>936</v>
      </c>
      <c r="B200" s="22" t="s">
        <v>937</v>
      </c>
      <c r="C200" s="22" t="s">
        <v>938</v>
      </c>
      <c r="D200" s="22" t="s">
        <v>939</v>
      </c>
    </row>
    <row r="201" spans="1:4" ht="15" customHeight="1">
      <c r="A201" s="22" t="s">
        <v>940</v>
      </c>
      <c r="B201" s="22" t="s">
        <v>941</v>
      </c>
      <c r="C201" s="22" t="s">
        <v>942</v>
      </c>
      <c r="D201" s="22" t="s">
        <v>943</v>
      </c>
    </row>
    <row r="202" spans="1:4" ht="15" customHeight="1">
      <c r="A202" s="22" t="s">
        <v>944</v>
      </c>
      <c r="B202" s="22" t="s">
        <v>945</v>
      </c>
      <c r="C202" s="22" t="s">
        <v>946</v>
      </c>
      <c r="D202" s="22" t="s">
        <v>947</v>
      </c>
    </row>
    <row r="203" spans="1:4" ht="15" customHeight="1">
      <c r="A203" s="22" t="s">
        <v>948</v>
      </c>
      <c r="B203" s="22" t="s">
        <v>949</v>
      </c>
      <c r="C203" s="22" t="s">
        <v>950</v>
      </c>
      <c r="D203" s="22" t="s">
        <v>951</v>
      </c>
    </row>
    <row r="204" spans="1:4" ht="15" customHeight="1">
      <c r="A204" s="22" t="s">
        <v>952</v>
      </c>
      <c r="B204" s="22" t="s">
        <v>953</v>
      </c>
      <c r="C204" s="22" t="s">
        <v>954</v>
      </c>
      <c r="D204" s="22" t="s">
        <v>955</v>
      </c>
    </row>
    <row r="205" spans="1:4" ht="15" customHeight="1">
      <c r="A205" s="22" t="s">
        <v>956</v>
      </c>
      <c r="B205" s="22" t="s">
        <v>957</v>
      </c>
      <c r="C205" s="22" t="s">
        <v>958</v>
      </c>
      <c r="D205" s="22" t="s">
        <v>959</v>
      </c>
    </row>
    <row r="206" spans="1:4" ht="15" customHeight="1">
      <c r="A206" s="22" t="s">
        <v>960</v>
      </c>
      <c r="B206" s="22" t="s">
        <v>961</v>
      </c>
      <c r="C206" s="22" t="s">
        <v>962</v>
      </c>
      <c r="D206" s="22" t="s">
        <v>963</v>
      </c>
    </row>
    <row r="207" spans="1:4" ht="15" customHeight="1">
      <c r="A207" s="22" t="s">
        <v>964</v>
      </c>
      <c r="B207" s="22" t="s">
        <v>965</v>
      </c>
      <c r="C207" s="22" t="s">
        <v>966</v>
      </c>
      <c r="D207" s="22" t="s">
        <v>967</v>
      </c>
    </row>
    <row r="208" spans="1:4" ht="15" customHeight="1">
      <c r="A208" s="22" t="s">
        <v>968</v>
      </c>
      <c r="B208" s="22" t="s">
        <v>969</v>
      </c>
      <c r="C208" s="22" t="s">
        <v>970</v>
      </c>
      <c r="D208" s="22" t="s">
        <v>971</v>
      </c>
    </row>
    <row r="209" spans="1:4" ht="15" customHeight="1">
      <c r="A209" s="22" t="s">
        <v>972</v>
      </c>
      <c r="B209" s="22" t="s">
        <v>973</v>
      </c>
      <c r="C209" s="22" t="s">
        <v>974</v>
      </c>
      <c r="D209" s="22" t="s">
        <v>975</v>
      </c>
    </row>
    <row r="210" spans="1:4" ht="15" customHeight="1">
      <c r="A210" s="22" t="s">
        <v>26</v>
      </c>
      <c r="B210" s="22" t="s">
        <v>976</v>
      </c>
      <c r="C210" s="22" t="s">
        <v>977</v>
      </c>
      <c r="D210" s="22" t="s">
        <v>978</v>
      </c>
    </row>
    <row r="211" spans="1:4" ht="15" customHeight="1">
      <c r="A211" s="22" t="s">
        <v>979</v>
      </c>
      <c r="B211" s="22" t="s">
        <v>980</v>
      </c>
      <c r="C211" s="22" t="s">
        <v>981</v>
      </c>
      <c r="D211" s="22" t="s">
        <v>982</v>
      </c>
    </row>
    <row r="212" spans="1:4" ht="15" customHeight="1">
      <c r="A212" s="22" t="s">
        <v>983</v>
      </c>
      <c r="B212" s="22" t="s">
        <v>984</v>
      </c>
      <c r="C212" s="22" t="s">
        <v>985</v>
      </c>
      <c r="D212" s="22" t="s">
        <v>986</v>
      </c>
    </row>
    <row r="213" spans="1:4" ht="15" customHeight="1">
      <c r="A213" s="22" t="s">
        <v>987</v>
      </c>
      <c r="B213" s="22" t="s">
        <v>988</v>
      </c>
      <c r="C213" s="22" t="s">
        <v>989</v>
      </c>
      <c r="D213" s="22" t="s">
        <v>990</v>
      </c>
    </row>
    <row r="214" spans="1:4" ht="15" customHeight="1">
      <c r="A214" s="22" t="s">
        <v>991</v>
      </c>
      <c r="B214" s="22" t="s">
        <v>992</v>
      </c>
      <c r="C214" s="22" t="s">
        <v>993</v>
      </c>
      <c r="D214" s="22" t="s">
        <v>994</v>
      </c>
    </row>
    <row r="215" spans="1:4" ht="15" customHeight="1">
      <c r="A215" s="22" t="s">
        <v>995</v>
      </c>
      <c r="B215" s="22" t="s">
        <v>996</v>
      </c>
      <c r="C215" s="22" t="s">
        <v>997</v>
      </c>
      <c r="D215" s="22" t="s">
        <v>998</v>
      </c>
    </row>
    <row r="216" spans="1:4" ht="15" customHeight="1">
      <c r="A216" s="22" t="s">
        <v>999</v>
      </c>
      <c r="B216" s="22" t="s">
        <v>1000</v>
      </c>
      <c r="C216" s="22" t="s">
        <v>1001</v>
      </c>
      <c r="D216" s="22" t="s">
        <v>1002</v>
      </c>
    </row>
    <row r="217" spans="1:4" ht="15" customHeight="1">
      <c r="A217" s="22" t="s">
        <v>1003</v>
      </c>
      <c r="B217" s="22" t="s">
        <v>1004</v>
      </c>
      <c r="C217" s="22" t="s">
        <v>1005</v>
      </c>
      <c r="D217" s="22" t="s">
        <v>1006</v>
      </c>
    </row>
    <row r="218" spans="1:4" ht="15" customHeight="1">
      <c r="A218" s="22" t="s">
        <v>1007</v>
      </c>
      <c r="B218" s="22" t="s">
        <v>1008</v>
      </c>
      <c r="C218" s="22" t="s">
        <v>1009</v>
      </c>
      <c r="D218" s="22" t="s">
        <v>1010</v>
      </c>
    </row>
    <row r="219" spans="1:4" ht="15" customHeight="1">
      <c r="A219" s="22" t="s">
        <v>1011</v>
      </c>
      <c r="B219" s="22" t="s">
        <v>1012</v>
      </c>
      <c r="C219" s="22" t="s">
        <v>1013</v>
      </c>
      <c r="D219" s="22" t="s">
        <v>1014</v>
      </c>
    </row>
    <row r="220" spans="1:4" ht="15" customHeight="1">
      <c r="A220" s="22" t="s">
        <v>1015</v>
      </c>
      <c r="B220" s="22" t="s">
        <v>1016</v>
      </c>
      <c r="C220" s="22" t="s">
        <v>1017</v>
      </c>
      <c r="D220" s="22" t="s">
        <v>1018</v>
      </c>
    </row>
    <row r="221" spans="1:4" ht="15" customHeight="1">
      <c r="A221" s="22" t="s">
        <v>1019</v>
      </c>
      <c r="B221" s="22" t="s">
        <v>1020</v>
      </c>
      <c r="C221" s="22" t="s">
        <v>1021</v>
      </c>
      <c r="D221" s="22" t="s">
        <v>1022</v>
      </c>
    </row>
    <row r="222" spans="1:4" ht="15" customHeight="1">
      <c r="A222" s="22" t="s">
        <v>1023</v>
      </c>
      <c r="B222" s="22" t="s">
        <v>1024</v>
      </c>
      <c r="C222" s="22" t="s">
        <v>1025</v>
      </c>
      <c r="D222" s="22" t="s">
        <v>1026</v>
      </c>
    </row>
    <row r="223" spans="1:4" ht="15" customHeight="1">
      <c r="A223" s="22" t="s">
        <v>1027</v>
      </c>
      <c r="B223" s="22" t="s">
        <v>1028</v>
      </c>
      <c r="C223" s="22" t="s">
        <v>1029</v>
      </c>
      <c r="D223" s="22" t="s">
        <v>1030</v>
      </c>
    </row>
    <row r="224" spans="1:4" ht="15" customHeight="1">
      <c r="A224" s="22" t="s">
        <v>1031</v>
      </c>
      <c r="B224" s="22" t="s">
        <v>1032</v>
      </c>
      <c r="C224" s="22" t="s">
        <v>1033</v>
      </c>
      <c r="D224" s="22" t="s">
        <v>1034</v>
      </c>
    </row>
    <row r="225" spans="1:4" ht="15" customHeight="1">
      <c r="A225" s="22" t="s">
        <v>1035</v>
      </c>
      <c r="B225" s="22" t="s">
        <v>1036</v>
      </c>
      <c r="C225" s="22" t="s">
        <v>1037</v>
      </c>
      <c r="D225" s="22" t="s">
        <v>1038</v>
      </c>
    </row>
    <row r="226" spans="1:4" ht="15" customHeight="1">
      <c r="A226" s="22" t="s">
        <v>1039</v>
      </c>
      <c r="B226" s="22" t="s">
        <v>1040</v>
      </c>
      <c r="C226" s="22" t="s">
        <v>1041</v>
      </c>
      <c r="D226" s="22" t="s">
        <v>1042</v>
      </c>
    </row>
    <row r="227" spans="1:4" ht="15" customHeight="1">
      <c r="A227" s="22" t="s">
        <v>1043</v>
      </c>
      <c r="B227" s="22" t="s">
        <v>1044</v>
      </c>
      <c r="C227" s="22" t="s">
        <v>1045</v>
      </c>
      <c r="D227" s="22" t="s">
        <v>1046</v>
      </c>
    </row>
    <row r="228" spans="1:4" ht="15" customHeight="1">
      <c r="A228" s="22" t="s">
        <v>1047</v>
      </c>
      <c r="B228" s="22" t="s">
        <v>1048</v>
      </c>
      <c r="C228" s="22" t="s">
        <v>1049</v>
      </c>
      <c r="D228" s="22" t="s">
        <v>1050</v>
      </c>
    </row>
    <row r="229" spans="1:4" ht="15" customHeight="1">
      <c r="A229" s="22" t="s">
        <v>1051</v>
      </c>
      <c r="B229" s="22" t="s">
        <v>1052</v>
      </c>
      <c r="C229" s="22" t="s">
        <v>1053</v>
      </c>
      <c r="D229" s="22" t="s">
        <v>1054</v>
      </c>
    </row>
    <row r="230" spans="1:4" ht="15" customHeight="1">
      <c r="A230" s="22" t="s">
        <v>1055</v>
      </c>
      <c r="B230" s="22" t="s">
        <v>1056</v>
      </c>
      <c r="C230" s="22" t="s">
        <v>1057</v>
      </c>
      <c r="D230" s="22" t="s">
        <v>1058</v>
      </c>
    </row>
    <row r="231" spans="1:4" ht="15" customHeight="1">
      <c r="A231" s="22" t="s">
        <v>1059</v>
      </c>
      <c r="B231" s="22" t="s">
        <v>1060</v>
      </c>
      <c r="C231" s="22" t="s">
        <v>1061</v>
      </c>
      <c r="D231" s="22" t="s">
        <v>1062</v>
      </c>
    </row>
    <row r="232" spans="1:4" ht="15" customHeight="1">
      <c r="A232" s="22" t="s">
        <v>1063</v>
      </c>
      <c r="B232" s="22" t="s">
        <v>1064</v>
      </c>
      <c r="C232" s="22" t="s">
        <v>1065</v>
      </c>
      <c r="D232" s="22" t="s">
        <v>1066</v>
      </c>
    </row>
    <row r="233" spans="1:4" ht="15" customHeight="1">
      <c r="A233" s="22" t="s">
        <v>1067</v>
      </c>
      <c r="B233" s="22" t="s">
        <v>1068</v>
      </c>
      <c r="C233" s="22" t="s">
        <v>1069</v>
      </c>
      <c r="D233" s="22" t="s">
        <v>1070</v>
      </c>
    </row>
    <row r="234" spans="1:4" ht="15" customHeight="1">
      <c r="A234" s="22" t="s">
        <v>1071</v>
      </c>
      <c r="B234" s="22" t="s">
        <v>1072</v>
      </c>
      <c r="C234" s="22" t="s">
        <v>1073</v>
      </c>
      <c r="D234" s="22" t="s">
        <v>1074</v>
      </c>
    </row>
    <row r="235" spans="1:4" ht="15" customHeight="1">
      <c r="A235" s="22" t="s">
        <v>1075</v>
      </c>
      <c r="B235" s="22" t="s">
        <v>1076</v>
      </c>
      <c r="C235" s="22" t="s">
        <v>1077</v>
      </c>
      <c r="D235" s="22" t="s">
        <v>1078</v>
      </c>
    </row>
    <row r="236" spans="1:4" ht="15" customHeight="1">
      <c r="A236" s="22" t="s">
        <v>20</v>
      </c>
      <c r="B236" s="22" t="s">
        <v>1079</v>
      </c>
      <c r="C236" s="22" t="s">
        <v>1080</v>
      </c>
      <c r="D236" s="22" t="s">
        <v>1081</v>
      </c>
    </row>
    <row r="237" spans="1:4" ht="15" customHeight="1">
      <c r="A237" s="22" t="s">
        <v>1082</v>
      </c>
      <c r="B237" s="22" t="s">
        <v>1083</v>
      </c>
      <c r="C237" s="22" t="s">
        <v>1084</v>
      </c>
      <c r="D237" s="22" t="s">
        <v>1085</v>
      </c>
    </row>
    <row r="238" spans="1:4" ht="15" customHeight="1">
      <c r="A238" s="22" t="s">
        <v>1086</v>
      </c>
      <c r="B238" s="22" t="s">
        <v>1087</v>
      </c>
      <c r="C238" s="22" t="s">
        <v>1088</v>
      </c>
      <c r="D238" s="22" t="s">
        <v>1089</v>
      </c>
    </row>
    <row r="239" spans="1:4" ht="15" customHeight="1">
      <c r="A239" s="22" t="s">
        <v>1090</v>
      </c>
      <c r="B239" s="22" t="s">
        <v>1091</v>
      </c>
      <c r="C239" s="22" t="s">
        <v>1092</v>
      </c>
      <c r="D239" s="22" t="s">
        <v>1093</v>
      </c>
    </row>
    <row r="240" spans="1:4" ht="15" customHeight="1">
      <c r="A240" s="22" t="s">
        <v>1094</v>
      </c>
      <c r="B240" s="22" t="s">
        <v>1095</v>
      </c>
      <c r="C240" s="22" t="s">
        <v>1096</v>
      </c>
      <c r="D240" s="22" t="s">
        <v>1097</v>
      </c>
    </row>
    <row r="241" spans="1:4" ht="15" customHeight="1">
      <c r="A241" s="22" t="s">
        <v>1098</v>
      </c>
      <c r="B241" s="22" t="s">
        <v>1099</v>
      </c>
      <c r="C241" s="22" t="s">
        <v>1100</v>
      </c>
      <c r="D241" s="22" t="s">
        <v>1101</v>
      </c>
    </row>
    <row r="242" spans="1:4" ht="15" customHeight="1">
      <c r="A242" s="22" t="s">
        <v>1102</v>
      </c>
      <c r="B242" s="22" t="s">
        <v>1103</v>
      </c>
      <c r="C242" s="22" t="s">
        <v>1104</v>
      </c>
      <c r="D242" s="22" t="s">
        <v>1105</v>
      </c>
    </row>
    <row r="243" spans="1:4" ht="15" customHeight="1">
      <c r="A243" s="22" t="s">
        <v>1106</v>
      </c>
      <c r="B243" s="22" t="s">
        <v>1107</v>
      </c>
      <c r="C243" s="22" t="s">
        <v>1108</v>
      </c>
      <c r="D243" s="22" t="s">
        <v>1109</v>
      </c>
    </row>
    <row r="244" spans="1:4" ht="15" customHeight="1">
      <c r="A244" s="22" t="s">
        <v>1110</v>
      </c>
      <c r="B244" s="22" t="s">
        <v>1111</v>
      </c>
      <c r="C244" s="22" t="s">
        <v>1112</v>
      </c>
      <c r="D244" s="22" t="s">
        <v>1113</v>
      </c>
    </row>
    <row r="245" spans="1:4" ht="15" customHeight="1">
      <c r="A245" s="22" t="s">
        <v>1114</v>
      </c>
      <c r="B245" s="22" t="s">
        <v>1115</v>
      </c>
      <c r="C245" s="22" t="s">
        <v>1116</v>
      </c>
      <c r="D245" s="22" t="s">
        <v>1117</v>
      </c>
    </row>
    <row r="246" spans="1:4" ht="15" customHeight="1">
      <c r="A246" s="22" t="s">
        <v>1118</v>
      </c>
      <c r="B246" s="22" t="s">
        <v>1119</v>
      </c>
      <c r="C246" s="22" t="s">
        <v>1120</v>
      </c>
      <c r="D246" s="22" t="s">
        <v>1121</v>
      </c>
    </row>
    <row r="247" spans="1:4" ht="15" customHeight="1">
      <c r="A247" s="22" t="s">
        <v>1122</v>
      </c>
      <c r="B247" s="22" t="s">
        <v>1123</v>
      </c>
      <c r="C247" s="22" t="s">
        <v>1124</v>
      </c>
      <c r="D247" s="22" t="s">
        <v>1125</v>
      </c>
    </row>
    <row r="248" spans="1:4" ht="15" customHeight="1">
      <c r="A248" s="22" t="s">
        <v>1126</v>
      </c>
      <c r="B248" s="22" t="s">
        <v>1127</v>
      </c>
      <c r="C248" s="22" t="s">
        <v>1128</v>
      </c>
      <c r="D248" s="22" t="s">
        <v>1129</v>
      </c>
    </row>
    <row r="249" spans="1:4" ht="15" customHeight="1">
      <c r="A249" s="22" t="s">
        <v>1130</v>
      </c>
      <c r="B249" s="22" t="s">
        <v>1131</v>
      </c>
      <c r="C249" s="22" t="s">
        <v>1132</v>
      </c>
      <c r="D249" s="22" t="s">
        <v>1133</v>
      </c>
    </row>
    <row r="250" spans="1:4" ht="15" customHeight="1">
      <c r="A250" s="22" t="s">
        <v>1134</v>
      </c>
      <c r="B250" s="22" t="s">
        <v>1135</v>
      </c>
      <c r="C250" s="22" t="s">
        <v>1136</v>
      </c>
      <c r="D250" s="22" t="s">
        <v>1137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16"/>
  <sheetViews>
    <sheetView workbookViewId="0">
      <selection activeCell="B16" sqref="B16"/>
    </sheetView>
  </sheetViews>
  <sheetFormatPr defaultRowHeight="14.25"/>
  <cols>
    <col min="2" max="2" width="40" bestFit="1" customWidth="1"/>
  </cols>
  <sheetData>
    <row r="2" spans="2:3">
      <c r="B2" s="33" t="s">
        <v>1140</v>
      </c>
    </row>
    <row r="3" spans="2:3">
      <c r="B3" s="25" t="s">
        <v>1142</v>
      </c>
    </row>
    <row r="4" spans="2:3">
      <c r="B4" s="25" t="s">
        <v>1143</v>
      </c>
      <c r="C4" s="25" t="s">
        <v>1144</v>
      </c>
    </row>
    <row r="5" spans="2:3">
      <c r="B5" t="s">
        <v>109</v>
      </c>
      <c r="C5" s="25" t="s">
        <v>1145</v>
      </c>
    </row>
    <row r="6" spans="2:3">
      <c r="B6" t="s">
        <v>110</v>
      </c>
      <c r="C6" s="25" t="s">
        <v>1145</v>
      </c>
    </row>
    <row r="7" spans="2:3">
      <c r="B7" t="s">
        <v>116</v>
      </c>
      <c r="C7" s="25" t="s">
        <v>1146</v>
      </c>
    </row>
    <row r="8" spans="2:3">
      <c r="B8" s="25" t="s">
        <v>1149</v>
      </c>
      <c r="C8" s="25"/>
    </row>
    <row r="10" spans="2:3">
      <c r="B10" s="33" t="s">
        <v>1141</v>
      </c>
    </row>
    <row r="11" spans="2:3">
      <c r="B11" s="25" t="s">
        <v>1147</v>
      </c>
    </row>
    <row r="12" spans="2:3">
      <c r="B12" s="25" t="s">
        <v>1152</v>
      </c>
    </row>
    <row r="13" spans="2:3">
      <c r="B13" s="25" t="s">
        <v>1148</v>
      </c>
    </row>
    <row r="14" spans="2:3">
      <c r="B14" s="25" t="s">
        <v>1150</v>
      </c>
    </row>
    <row r="15" spans="2:3">
      <c r="B15" s="25" t="s">
        <v>1153</v>
      </c>
    </row>
    <row r="16" spans="2:3">
      <c r="B16" s="25" t="s">
        <v>1151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2" ma:contentTypeDescription="Criar um novo documento." ma:contentTypeScope="" ma:versionID="a7a7c7330211281f7243a22470ce2e53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0c28e91176c9b4921ea9a3bbad06dd6c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825DD75-7025-4B8A-A2C1-6A31986F7EB8}"/>
</file>

<file path=customXml/itemProps2.xml><?xml version="1.0" encoding="utf-8"?>
<ds:datastoreItem xmlns:ds="http://schemas.openxmlformats.org/officeDocument/2006/customXml" ds:itemID="{809D2A85-19B3-4229-BE43-85C0B21C4C15}"/>
</file>

<file path=customXml/itemProps3.xml><?xml version="1.0" encoding="utf-8"?>
<ds:datastoreItem xmlns:ds="http://schemas.openxmlformats.org/officeDocument/2006/customXml" ds:itemID="{7B6BFCB9-D151-4885-8107-121517BE655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Instruções</vt:lpstr>
      <vt:lpstr>T 07.00</vt:lpstr>
      <vt:lpstr>Derivatives</vt:lpstr>
      <vt:lpstr>País</vt:lpstr>
      <vt:lpstr>Casuísticas</vt:lpstr>
      <vt:lpstr>'T 07.00'!Print_Area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Filipe Hetzel de Oliveira Ferreira</dc:creator>
  <cp:lastModifiedBy>Flávia Daniela Costa Pinho</cp:lastModifiedBy>
  <dcterms:created xsi:type="dcterms:W3CDTF">2021-08-18T18:15:46Z</dcterms:created>
  <dcterms:modified xsi:type="dcterms:W3CDTF">2023-03-13T16:27:50Z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2022-04-28T09:41:28Z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49f346c4-9a03-4843-aae2-3d29b797a3a0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