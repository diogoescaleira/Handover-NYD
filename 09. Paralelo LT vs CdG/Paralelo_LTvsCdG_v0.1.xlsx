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11"/>
  <workbookPr hidePivotFieldList="1"/>
  <mc:AlternateContent xmlns:mc="http://schemas.openxmlformats.org/markup-compatibility/2006">
    <mc:Choice Requires="x15">
      <x15ac:absPath xmlns:x15ac="http://schemas.microsoft.com/office/spreadsheetml/2010/11/ac" url="https://santandernet.sharepoint.com/sites/LoanTapeGD-Testes/Shared Documents/Geral/09. Paralelo LT vs CdG/"/>
    </mc:Choice>
  </mc:AlternateContent>
  <xr:revisionPtr revIDLastSave="4" documentId="8_{574BEFCB-AFA9-4D5E-9FC8-801F7885D937}" xr6:coauthVersionLast="47" xr6:coauthVersionMax="47" xr10:uidLastSave="{E18AEB60-363A-404B-8252-FC63F585DFFC}"/>
  <bookViews>
    <workbookView xWindow="-108" yWindow="-108" windowWidth="23256" windowHeight="12456" firstSheet="2" activeTab="2" xr2:uid="{49B30900-6048-4A23-BD3C-E9FD75735EF4}"/>
  </bookViews>
  <sheets>
    <sheet name="GD- LT atual" sheetId="1" r:id="rId1"/>
    <sheet name="SFICS e LT" sheetId="2" r:id="rId2"/>
    <sheet name="Mapeamento FC" sheetId="3" r:id="rId3"/>
    <sheet name="Resultados LT" sheetId="4" r:id="rId4"/>
  </sheets>
  <definedNames>
    <definedName name="_xlnm._FilterDatabase" localSheetId="2" hidden="1">'Mapeamento FC'!$B$2:$C$146</definedName>
  </definedNames>
  <calcPr calcId="191028"/>
  <pivotCaches>
    <pivotCache cacheId="5591" r:id="rId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13" i="3" l="1"/>
  <c r="K12" i="3"/>
  <c r="K11" i="3"/>
  <c r="K10" i="3"/>
  <c r="K9" i="3"/>
  <c r="K8" i="3"/>
  <c r="K7" i="3"/>
  <c r="K6" i="3"/>
  <c r="K5" i="3"/>
  <c r="K4" i="3"/>
  <c r="K3" i="3"/>
  <c r="F37" i="3"/>
  <c r="F36" i="3"/>
  <c r="F35" i="3"/>
  <c r="F34" i="3"/>
  <c r="F33" i="3"/>
  <c r="F32" i="3"/>
  <c r="F13" i="3"/>
  <c r="F31" i="3"/>
  <c r="F30" i="3"/>
  <c r="F29" i="3"/>
  <c r="F28" i="3"/>
  <c r="F27" i="3"/>
  <c r="F26" i="3"/>
  <c r="F25" i="3"/>
  <c r="F24" i="3"/>
  <c r="F23" i="3"/>
  <c r="F22" i="3"/>
  <c r="F21" i="3"/>
  <c r="F20" i="3"/>
  <c r="F19" i="3"/>
  <c r="F18" i="3"/>
  <c r="F17" i="3"/>
  <c r="F16" i="3"/>
  <c r="F15" i="3"/>
  <c r="F14" i="3"/>
  <c r="F12" i="3"/>
  <c r="F11" i="3"/>
  <c r="F10" i="3"/>
  <c r="F9" i="3"/>
  <c r="F8" i="3"/>
  <c r="F7" i="3"/>
  <c r="F6" i="3"/>
  <c r="F5" i="3"/>
  <c r="F4" i="3"/>
  <c r="H209" i="2" l="1"/>
  <c r="H208" i="2"/>
  <c r="H207" i="2"/>
  <c r="H206" i="2"/>
  <c r="H205" i="2"/>
  <c r="H204" i="2"/>
  <c r="H203" i="2"/>
  <c r="H202" i="2"/>
  <c r="H201" i="2"/>
  <c r="H200" i="2"/>
  <c r="H199" i="2"/>
  <c r="H198" i="2"/>
  <c r="H197" i="2"/>
  <c r="H196" i="2"/>
  <c r="H195" i="2"/>
  <c r="H194" i="2"/>
  <c r="H193" i="2"/>
  <c r="H192" i="2"/>
  <c r="H191" i="2"/>
  <c r="H190" i="2"/>
  <c r="H189" i="2"/>
  <c r="H188" i="2"/>
  <c r="H187" i="2"/>
  <c r="H186" i="2"/>
  <c r="H185" i="2"/>
  <c r="H184" i="2"/>
  <c r="H183" i="2"/>
  <c r="H182" i="2"/>
  <c r="H181" i="2"/>
  <c r="H180" i="2"/>
  <c r="H179" i="2"/>
  <c r="H178" i="2"/>
  <c r="H177" i="2"/>
  <c r="H176" i="2"/>
  <c r="H175" i="2"/>
  <c r="H174" i="2"/>
  <c r="H173" i="2"/>
  <c r="H172" i="2"/>
  <c r="H171" i="2"/>
  <c r="H170" i="2"/>
  <c r="H169" i="2"/>
  <c r="H168" i="2"/>
  <c r="H167" i="2"/>
  <c r="H166" i="2"/>
  <c r="H165" i="2"/>
  <c r="H164" i="2"/>
  <c r="H163" i="2"/>
  <c r="H162" i="2"/>
  <c r="H161" i="2"/>
  <c r="H160" i="2"/>
  <c r="H159" i="2"/>
  <c r="H158" i="2"/>
  <c r="H157" i="2"/>
  <c r="H156" i="2"/>
  <c r="H155" i="2"/>
  <c r="H154" i="2"/>
  <c r="H153" i="2"/>
  <c r="H152" i="2"/>
  <c r="H151" i="2"/>
  <c r="H150" i="2"/>
  <c r="H149" i="2"/>
  <c r="H148" i="2"/>
  <c r="H147" i="2"/>
  <c r="H146" i="2"/>
  <c r="H145" i="2"/>
  <c r="H144" i="2"/>
  <c r="H143" i="2"/>
  <c r="H142" i="2"/>
  <c r="H141" i="2"/>
  <c r="H140" i="2"/>
  <c r="H139" i="2"/>
  <c r="H138" i="2"/>
  <c r="H137" i="2"/>
  <c r="H136" i="2"/>
  <c r="H135" i="2"/>
  <c r="H134" i="2"/>
  <c r="H133" i="2"/>
  <c r="H132" i="2"/>
  <c r="H131" i="2"/>
  <c r="H130" i="2"/>
  <c r="H129" i="2"/>
  <c r="H128" i="2"/>
  <c r="H127" i="2"/>
  <c r="H126" i="2"/>
  <c r="H125" i="2"/>
  <c r="H124" i="2"/>
  <c r="H123" i="2"/>
  <c r="H122" i="2"/>
  <c r="H121" i="2"/>
  <c r="H120" i="2"/>
  <c r="H119" i="2"/>
  <c r="H118" i="2"/>
  <c r="H117" i="2"/>
  <c r="H116" i="2"/>
  <c r="H115" i="2"/>
  <c r="H114" i="2"/>
  <c r="H113" i="2"/>
  <c r="H112" i="2"/>
  <c r="H111" i="2"/>
  <c r="H110" i="2"/>
  <c r="H109" i="2"/>
  <c r="H108" i="2"/>
  <c r="H107" i="2"/>
  <c r="H106" i="2"/>
  <c r="H105" i="2"/>
  <c r="H104" i="2"/>
  <c r="H103" i="2"/>
  <c r="H102" i="2"/>
  <c r="H101" i="2"/>
  <c r="H100" i="2"/>
  <c r="H99" i="2"/>
  <c r="H98" i="2"/>
  <c r="H97" i="2"/>
  <c r="H96" i="2"/>
  <c r="H95" i="2"/>
  <c r="H94" i="2"/>
  <c r="H93" i="2"/>
  <c r="H92" i="2"/>
  <c r="H91" i="2"/>
  <c r="H90" i="2"/>
  <c r="H89" i="2"/>
  <c r="H88" i="2"/>
  <c r="H87" i="2"/>
  <c r="H86" i="2"/>
  <c r="H85" i="2"/>
  <c r="H84" i="2"/>
  <c r="H83" i="2"/>
  <c r="H82" i="2"/>
  <c r="H81" i="2"/>
  <c r="H80" i="2"/>
  <c r="H79" i="2"/>
  <c r="H78" i="2"/>
  <c r="H77" i="2"/>
  <c r="H76" i="2"/>
  <c r="H75" i="2"/>
  <c r="H74" i="2"/>
  <c r="H73" i="2"/>
  <c r="H72" i="2"/>
  <c r="H71" i="2"/>
  <c r="H70" i="2"/>
  <c r="H69" i="2"/>
  <c r="H68" i="2"/>
  <c r="H67" i="2"/>
  <c r="H66" i="2"/>
  <c r="H65" i="2"/>
  <c r="H64" i="2"/>
  <c r="H63" i="2"/>
  <c r="H62" i="2"/>
  <c r="H61" i="2"/>
  <c r="H60" i="2"/>
  <c r="H59" i="2"/>
  <c r="H58" i="2"/>
  <c r="H57" i="2"/>
  <c r="H56" i="2"/>
  <c r="H55" i="2"/>
  <c r="H54" i="2"/>
  <c r="H53" i="2"/>
  <c r="H52" i="2"/>
  <c r="H51" i="2"/>
  <c r="H50" i="2"/>
  <c r="H49" i="2"/>
  <c r="H48" i="2"/>
  <c r="H47" i="2"/>
  <c r="H46" i="2"/>
  <c r="H45" i="2"/>
  <c r="H44" i="2"/>
  <c r="H43" i="2"/>
  <c r="H42" i="2"/>
  <c r="H41" i="2"/>
  <c r="H40" i="2"/>
  <c r="H39" i="2"/>
  <c r="H38" i="2"/>
  <c r="H37" i="2"/>
  <c r="H36" i="2"/>
  <c r="H35" i="2"/>
  <c r="H34" i="2"/>
  <c r="H33" i="2"/>
  <c r="H32" i="2"/>
  <c r="H31" i="2"/>
  <c r="H30" i="2"/>
  <c r="H29" i="2"/>
  <c r="H28" i="2"/>
  <c r="H27" i="2"/>
  <c r="H26" i="2"/>
  <c r="H25" i="2"/>
  <c r="H24" i="2"/>
  <c r="H23" i="2"/>
  <c r="H22" i="2"/>
  <c r="H21" i="2"/>
  <c r="H20" i="2"/>
  <c r="H19" i="2"/>
  <c r="H18" i="2"/>
  <c r="H17" i="2"/>
  <c r="H16" i="2"/>
  <c r="H15" i="2"/>
  <c r="H14" i="2"/>
  <c r="H13" i="2"/>
  <c r="H12" i="2"/>
  <c r="H11" i="2"/>
  <c r="H10" i="2"/>
  <c r="H9" i="2"/>
  <c r="H8" i="2"/>
  <c r="H7" i="2"/>
  <c r="H6" i="2"/>
  <c r="H5" i="2"/>
</calcChain>
</file>

<file path=xl/sharedStrings.xml><?xml version="1.0" encoding="utf-8"?>
<sst xmlns="http://schemas.openxmlformats.org/spreadsheetml/2006/main" count="1539" uniqueCount="696">
  <si>
    <t>Categoria GD</t>
  </si>
  <si>
    <t>Code</t>
  </si>
  <si>
    <t>Descritivo</t>
  </si>
  <si>
    <t>AGFGR001</t>
  </si>
  <si>
    <t>SCA01010101</t>
  </si>
  <si>
    <t>Renewable energy production</t>
  </si>
  <si>
    <t>SCA01010102</t>
  </si>
  <si>
    <t>Hydrogen and Bioenergy production</t>
  </si>
  <si>
    <t>SCA01010103</t>
  </si>
  <si>
    <t>Transmission and distribution of electricity</t>
  </si>
  <si>
    <t>SCA01010104</t>
  </si>
  <si>
    <t>Energy Storage</t>
  </si>
  <si>
    <t>AGFGR002</t>
  </si>
  <si>
    <t>SCA0101020101</t>
  </si>
  <si>
    <t>Land Transport - Purchase</t>
  </si>
  <si>
    <t>SCA0101020102</t>
  </si>
  <si>
    <t>Land Transport - Renovation</t>
  </si>
  <si>
    <t>SCA0101020103</t>
  </si>
  <si>
    <t>Land Transport - Purchase and renovation</t>
  </si>
  <si>
    <t>SCA0101020201</t>
  </si>
  <si>
    <t>Water Transport - Purchase</t>
  </si>
  <si>
    <t>SCA0101020202</t>
  </si>
  <si>
    <t>Water Transport - Renovation</t>
  </si>
  <si>
    <t>SCA0101020203</t>
  </si>
  <si>
    <t>Water Transport - Purchase and renovation</t>
  </si>
  <si>
    <t>AGFGR003</t>
  </si>
  <si>
    <t>SCA01010203</t>
  </si>
  <si>
    <t>Transport Infrastructure</t>
  </si>
  <si>
    <t>AGFGR004</t>
  </si>
  <si>
    <t>SCA01010301</t>
  </si>
  <si>
    <t>Reporting and communications technology (Satellite, wired and wireless telecommunications)</t>
  </si>
  <si>
    <t>AGFGR005</t>
  </si>
  <si>
    <t>SCA01010401</t>
  </si>
  <si>
    <t>Growing of crops</t>
  </si>
  <si>
    <t>SCA01010402</t>
  </si>
  <si>
    <t>Sustainable agriculture</t>
  </si>
  <si>
    <t>SCA01010403</t>
  </si>
  <si>
    <t>Protected agriculture</t>
  </si>
  <si>
    <t>SCA01010404</t>
  </si>
  <si>
    <t>Afforestation / Reforestation</t>
  </si>
  <si>
    <t>SCA01010405</t>
  </si>
  <si>
    <t>Land conservation and restoration &amp; Soil Remediation</t>
  </si>
  <si>
    <t>SCA01010406</t>
  </si>
  <si>
    <t>Animal husbandry</t>
  </si>
  <si>
    <t>SCA01010407</t>
  </si>
  <si>
    <t>Sustainable aquaculture</t>
  </si>
  <si>
    <t>AGFGR006</t>
  </si>
  <si>
    <t>SCA0101050101</t>
  </si>
  <si>
    <t>Construction, refurbishment and purchase of “green” buildings - Purchase</t>
  </si>
  <si>
    <t>AGFGR007</t>
  </si>
  <si>
    <t>SCA0101050102</t>
  </si>
  <si>
    <t>Construction, refurbishment and purchase of “green” buildings - Renovation</t>
  </si>
  <si>
    <t>SCA0101050103</t>
  </si>
  <si>
    <t>Construction, refurbishment and purchase of “green” buildings - Purchase and renovation</t>
  </si>
  <si>
    <t>SCA01010502</t>
  </si>
  <si>
    <t>Energy efficiency equipment in buildings</t>
  </si>
  <si>
    <t>AGFGR008</t>
  </si>
  <si>
    <t>SCA01010503</t>
  </si>
  <si>
    <t>Renewable energy infrastructure in buildings</t>
  </si>
  <si>
    <t>SCA01010504</t>
  </si>
  <si>
    <t>Instruments and devices to enhance buildings’ energy use</t>
  </si>
  <si>
    <t>AGFGR009</t>
  </si>
  <si>
    <t>SCA01010601</t>
  </si>
  <si>
    <t>Waste management and remediation activities</t>
  </si>
  <si>
    <t>SCA01010602</t>
  </si>
  <si>
    <t>Water supply and sewage</t>
  </si>
  <si>
    <t>SCA01010603</t>
  </si>
  <si>
    <t>Reparation activities</t>
  </si>
  <si>
    <t>AGFGR010</t>
  </si>
  <si>
    <t>SCA01010701</t>
  </si>
  <si>
    <t>Industrials</t>
  </si>
  <si>
    <t>AGFGR011</t>
  </si>
  <si>
    <t>SCA01010801</t>
  </si>
  <si>
    <t>GHG and air emissions reduction</t>
  </si>
  <si>
    <t>SCA01010802</t>
  </si>
  <si>
    <t>Biodiversity and conservation projects</t>
  </si>
  <si>
    <t>SCA01010803</t>
  </si>
  <si>
    <t xml:space="preserve"> R&amp;D projects to reduce, avoid or eliminate GHG emissions</t>
  </si>
  <si>
    <t>SCA01010804</t>
  </si>
  <si>
    <t>Climate change adaptation projects</t>
  </si>
  <si>
    <t>SCA01010805</t>
  </si>
  <si>
    <t>Carbon markets</t>
  </si>
  <si>
    <t>AGFGR999</t>
  </si>
  <si>
    <t>SCA010109</t>
  </si>
  <si>
    <t>Green - Default</t>
  </si>
  <si>
    <t>AGFSO001</t>
  </si>
  <si>
    <t>SCA010201</t>
  </si>
  <si>
    <t>Social - Education</t>
  </si>
  <si>
    <t>SCA010202</t>
  </si>
  <si>
    <t>Social - Healthcare</t>
  </si>
  <si>
    <t>SCA010203</t>
  </si>
  <si>
    <t>Social - Transport</t>
  </si>
  <si>
    <t>SCA010204</t>
  </si>
  <si>
    <t>Social - Energy</t>
  </si>
  <si>
    <t>SCA010205</t>
  </si>
  <si>
    <t>Social - Water and Waste Management</t>
  </si>
  <si>
    <t>SCA010206</t>
  </si>
  <si>
    <t>Social - Real Estate</t>
  </si>
  <si>
    <t>SCA010207</t>
  </si>
  <si>
    <t>Social - Finance and insurance</t>
  </si>
  <si>
    <t>SCA010208</t>
  </si>
  <si>
    <t>Social - IT and communications</t>
  </si>
  <si>
    <t>SCA010209</t>
  </si>
  <si>
    <t>Social - Non-profit organizations</t>
  </si>
  <si>
    <t>SCA010210</t>
  </si>
  <si>
    <t>Social - Default</t>
  </si>
  <si>
    <t>SCA010301</t>
  </si>
  <si>
    <t>Mortgages</t>
  </si>
  <si>
    <t>SCA010302</t>
  </si>
  <si>
    <t>Building renovation loan</t>
  </si>
  <si>
    <t>SCA010303</t>
  </si>
  <si>
    <t>Motor vehicle loans</t>
  </si>
  <si>
    <t>SCA010304</t>
  </si>
  <si>
    <t>Others</t>
  </si>
  <si>
    <t>AGFSL001</t>
  </si>
  <si>
    <t>SCA020101</t>
  </si>
  <si>
    <t>ESG Rating Linked</t>
  </si>
  <si>
    <t>SCA02010201</t>
  </si>
  <si>
    <t>KPI Linked - Green</t>
  </si>
  <si>
    <t>SCA02010202</t>
  </si>
  <si>
    <t>KPI Linked - Green &amp; Social</t>
  </si>
  <si>
    <t>SCA02010203</t>
  </si>
  <si>
    <t>KPI Linked - Social</t>
  </si>
  <si>
    <t>SCA02010301</t>
  </si>
  <si>
    <t>KPI &amp; ESG Rating Linked - Green</t>
  </si>
  <si>
    <t>SCA02010302</t>
  </si>
  <si>
    <t>KPI &amp; ESG Rating Linked - Green &amp; Social</t>
  </si>
  <si>
    <t>SCA02010303</t>
  </si>
  <si>
    <t>KPI &amp; ESG Rating Linked - Social</t>
  </si>
  <si>
    <t>SCA020104</t>
  </si>
  <si>
    <t>Sustainability Linked Finance - Default</t>
  </si>
  <si>
    <t>SCA020201</t>
  </si>
  <si>
    <t>Pure Green counterparty - Default</t>
  </si>
  <si>
    <t>AGFSR001</t>
  </si>
  <si>
    <t>SCA020301</t>
  </si>
  <si>
    <t>Sustainable Responsible - Default</t>
  </si>
  <si>
    <t>AGFSD001</t>
  </si>
  <si>
    <t>SCA0204</t>
  </si>
  <si>
    <t>General Purpose - Default</t>
  </si>
  <si>
    <t>Categorias SFICS</t>
  </si>
  <si>
    <t>Ficheiro Corporativo Loan Tape Dezembro</t>
  </si>
  <si>
    <t>Ficheiro Corporativo Loan Tape Atual</t>
  </si>
  <si>
    <t>A.1.</t>
  </si>
  <si>
    <t xml:space="preserve"> Energy</t>
  </si>
  <si>
    <t>A.1.1.</t>
  </si>
  <si>
    <t xml:space="preserve"> Electricity generation using solar photovoltaic technology</t>
  </si>
  <si>
    <t>A.1.2.</t>
  </si>
  <si>
    <t xml:space="preserve"> Electricity generation using concentrated solar power (CSP) technology</t>
  </si>
  <si>
    <t>210102</t>
  </si>
  <si>
    <t>A.1.3.</t>
  </si>
  <si>
    <t xml:space="preserve"> Electricity generation from wind power</t>
  </si>
  <si>
    <t>210103</t>
  </si>
  <si>
    <t>A.1.4.</t>
  </si>
  <si>
    <t xml:space="preserve"> Electricity generation from ocean energy technologies</t>
  </si>
  <si>
    <t>210104</t>
  </si>
  <si>
    <t>A.1.5.</t>
  </si>
  <si>
    <t xml:space="preserve"> Electricity generation from hydropower</t>
  </si>
  <si>
    <t>210105</t>
  </si>
  <si>
    <t>A.1.6.</t>
  </si>
  <si>
    <t xml:space="preserve"> Electricity generation from geothermal energy</t>
  </si>
  <si>
    <t>210106</t>
  </si>
  <si>
    <t>A.1.7.</t>
  </si>
  <si>
    <t xml:space="preserve"> Electricity generation from renewable non-fossil gaseous and liquid fuels</t>
  </si>
  <si>
    <t>210201</t>
  </si>
  <si>
    <t>A.1.8.</t>
  </si>
  <si>
    <t xml:space="preserve"> Electricity generation from bioenergy</t>
  </si>
  <si>
    <t>210202</t>
  </si>
  <si>
    <t>A.1.9.</t>
  </si>
  <si>
    <t xml:space="preserve"> Transmission and distribution of electricity</t>
  </si>
  <si>
    <t>210419</t>
  </si>
  <si>
    <t>A.1.10.</t>
  </si>
  <si>
    <t xml:space="preserve"> Storage of electricity</t>
  </si>
  <si>
    <t>210601</t>
  </si>
  <si>
    <t>A.1.11.</t>
  </si>
  <si>
    <t xml:space="preserve"> Storage of thermal energy</t>
  </si>
  <si>
    <t>210602</t>
  </si>
  <si>
    <t>A.1.12.</t>
  </si>
  <si>
    <t xml:space="preserve"> Storage of hydrogen</t>
  </si>
  <si>
    <t>210603</t>
  </si>
  <si>
    <t>A.1.13.</t>
  </si>
  <si>
    <t xml:space="preserve"> Manufacture of biogas and biofuels for use in transport and of bioliquids</t>
  </si>
  <si>
    <t>210203</t>
  </si>
  <si>
    <t>A.1.14.</t>
  </si>
  <si>
    <t xml:space="preserve"> Transmission and distribution networks for renewable and low-carbon gases</t>
  </si>
  <si>
    <t>210420</t>
  </si>
  <si>
    <t>A.1.15.</t>
  </si>
  <si>
    <t xml:space="preserve"> District heating/cooling distribution</t>
  </si>
  <si>
    <t>210421</t>
  </si>
  <si>
    <t>A.1.16.</t>
  </si>
  <si>
    <t xml:space="preserve"> Installation and operation of electric heat pumps</t>
  </si>
  <si>
    <t>210501</t>
  </si>
  <si>
    <t>A.1.17.</t>
  </si>
  <si>
    <t xml:space="preserve"> Cogeneration of heat/cool and power from solar energy</t>
  </si>
  <si>
    <t>210107</t>
  </si>
  <si>
    <t>A.1.18.</t>
  </si>
  <si>
    <t xml:space="preserve"> Cogeneration of heat/cool and power from geothermal energy</t>
  </si>
  <si>
    <t>210108</t>
  </si>
  <si>
    <t>A.1.19.</t>
  </si>
  <si>
    <t xml:space="preserve"> Cogeneration of heat/cool and power from renewable non-fossil gaseous and liquid fuels</t>
  </si>
  <si>
    <t>210204</t>
  </si>
  <si>
    <t>A.1.20.</t>
  </si>
  <si>
    <t xml:space="preserve"> Cogeneration of heat/cool and power from bioenergy</t>
  </si>
  <si>
    <t>210205</t>
  </si>
  <si>
    <t>A.1.21.</t>
  </si>
  <si>
    <t xml:space="preserve"> Production of heat/cool from solar thermal heating</t>
  </si>
  <si>
    <t>210109</t>
  </si>
  <si>
    <t>A.1.22.</t>
  </si>
  <si>
    <t xml:space="preserve"> Production of heat/cool from geothermal energy</t>
  </si>
  <si>
    <t>210110</t>
  </si>
  <si>
    <t>A.1.23.</t>
  </si>
  <si>
    <t xml:space="preserve"> Production of heat/cool from renewable non-fossil gaseous and liquid fuels</t>
  </si>
  <si>
    <t>210206</t>
  </si>
  <si>
    <t>A.1.24.</t>
  </si>
  <si>
    <t xml:space="preserve"> Production of heat/cool from bioenergy</t>
  </si>
  <si>
    <t>210207</t>
  </si>
  <si>
    <t>A.1.25.</t>
  </si>
  <si>
    <t xml:space="preserve"> Production of heat/cool using waste heat</t>
  </si>
  <si>
    <t>210208</t>
  </si>
  <si>
    <t>A.1.26.</t>
  </si>
  <si>
    <t xml:space="preserve"> Pre-commercial stages of advanced technologies to produce energy from nuclear processes with minimal waste from the fuel cycle</t>
  </si>
  <si>
    <t>210301</t>
  </si>
  <si>
    <t>-</t>
  </si>
  <si>
    <t>A.1.27.</t>
  </si>
  <si>
    <t xml:space="preserve"> Construction and safe operation of new nuclear power plants, for the generation of electricity and/or heat, including for hydrogen production, using best-available technologies</t>
  </si>
  <si>
    <t>210302</t>
  </si>
  <si>
    <t>A.1.28.</t>
  </si>
  <si>
    <t xml:space="preserve"> Electricity generation from nuclear energy in existing installations</t>
  </si>
  <si>
    <t>210303</t>
  </si>
  <si>
    <t>A.1.29.</t>
  </si>
  <si>
    <t xml:space="preserve"> Electricity generation from fossil gaseous fuels</t>
  </si>
  <si>
    <t>210304</t>
  </si>
  <si>
    <t>A.1.30.</t>
  </si>
  <si>
    <t xml:space="preserve"> Production of heat/cool from fossil gaseous fuels in an efficient district heating and cooling system</t>
  </si>
  <si>
    <t>210305</t>
  </si>
  <si>
    <t>A.1.31.</t>
  </si>
  <si>
    <t xml:space="preserve"> High-efficiency co-generation of heat/cool and power from fossil gaseous fuels</t>
  </si>
  <si>
    <t>210306</t>
  </si>
  <si>
    <t>A.1.32.</t>
  </si>
  <si>
    <t xml:space="preserve">   Renewable Energy Procurement</t>
  </si>
  <si>
    <t xml:space="preserve">  Renewable Energy Procurement</t>
  </si>
  <si>
    <t>A.1.33.</t>
  </si>
  <si>
    <t xml:space="preserve">   Terminology definitions</t>
  </si>
  <si>
    <t>A.2.</t>
  </si>
  <si>
    <t xml:space="preserve">   Transport</t>
  </si>
  <si>
    <t>A.2.1.</t>
  </si>
  <si>
    <t xml:space="preserve">   Passenger interurban rail transport</t>
  </si>
  <si>
    <t>220101</t>
  </si>
  <si>
    <t>A.2.2.</t>
  </si>
  <si>
    <t xml:space="preserve">   Freight rail transport</t>
  </si>
  <si>
    <t>220102</t>
  </si>
  <si>
    <t>A.2.3.</t>
  </si>
  <si>
    <t xml:space="preserve">   Urban and suburban transport, road passenger transport</t>
  </si>
  <si>
    <t>220103</t>
  </si>
  <si>
    <t>A.2.4.</t>
  </si>
  <si>
    <t xml:space="preserve">   Operation of personal mobility devices, cycle logistics</t>
  </si>
  <si>
    <t>220104</t>
  </si>
  <si>
    <t>A.2.5.</t>
  </si>
  <si>
    <t xml:space="preserve">   Transport by motorbikes, passenger cars and light commercial vehicles</t>
  </si>
  <si>
    <t>220105</t>
  </si>
  <si>
    <t>A.2.6.</t>
  </si>
  <si>
    <t xml:space="preserve">   Freight transport services by road</t>
  </si>
  <si>
    <t>220106</t>
  </si>
  <si>
    <t>A.2.7.</t>
  </si>
  <si>
    <t xml:space="preserve">   Inland passenger water transport</t>
  </si>
  <si>
    <t>220201</t>
  </si>
  <si>
    <t>A.2.8.</t>
  </si>
  <si>
    <t xml:space="preserve">   Inland freight water transport</t>
  </si>
  <si>
    <t>220202</t>
  </si>
  <si>
    <t>A.2.9.</t>
  </si>
  <si>
    <t xml:space="preserve">   Retrofitting of inland water passenger and freight transport</t>
  </si>
  <si>
    <t>220203</t>
  </si>
  <si>
    <t>A.2.10.</t>
  </si>
  <si>
    <t xml:space="preserve">   Sea and coastal freight water transport, vessels for port operations and auxiliary activities</t>
  </si>
  <si>
    <t>220204</t>
  </si>
  <si>
    <t>A.2.11.</t>
  </si>
  <si>
    <t xml:space="preserve">   Sea and coastal passenger water transport</t>
  </si>
  <si>
    <t>220205</t>
  </si>
  <si>
    <t>A.2.12.</t>
  </si>
  <si>
    <t xml:space="preserve">   Retrofitting of sea and coastal freight and passenger water transport</t>
  </si>
  <si>
    <t>220206</t>
  </si>
  <si>
    <t>A.2.13.</t>
  </si>
  <si>
    <t xml:space="preserve">   Infrastructure for personal mobility, cycle logistics</t>
  </si>
  <si>
    <t>220401</t>
  </si>
  <si>
    <t>A.2.14.</t>
  </si>
  <si>
    <t xml:space="preserve">   Infrastructure for rail transport</t>
  </si>
  <si>
    <t>220405</t>
  </si>
  <si>
    <t>A.2.15.</t>
  </si>
  <si>
    <t xml:space="preserve">   Infrastructure enabling low-carbon road transport and public transport</t>
  </si>
  <si>
    <t>220402</t>
  </si>
  <si>
    <t>A.2.16.</t>
  </si>
  <si>
    <t xml:space="preserve">   Infrastructure enabling low carbon water transport</t>
  </si>
  <si>
    <t>220403</t>
  </si>
  <si>
    <t>A.2.17.</t>
  </si>
  <si>
    <t xml:space="preserve">   Low carbon airport infrastructure</t>
  </si>
  <si>
    <t>A.2.18.</t>
  </si>
  <si>
    <t xml:space="preserve">   Leasing of aircraft</t>
  </si>
  <si>
    <t>220301</t>
  </si>
  <si>
    <t>A.2.19.</t>
  </si>
  <si>
    <t xml:space="preserve">   Passenger and freight air transport</t>
  </si>
  <si>
    <t>220302</t>
  </si>
  <si>
    <t>A.2.20.</t>
  </si>
  <si>
    <t xml:space="preserve">   Air transport ground handling operations</t>
  </si>
  <si>
    <t>220303</t>
  </si>
  <si>
    <t>A.2.21.</t>
  </si>
  <si>
    <t xml:space="preserve">   Hydrogen powered-vehicles</t>
  </si>
  <si>
    <t>A.2.22.</t>
  </si>
  <si>
    <t>A.3.</t>
  </si>
  <si>
    <t xml:space="preserve">   Construction and Real Estate</t>
  </si>
  <si>
    <t>A.3.1.</t>
  </si>
  <si>
    <t xml:space="preserve">   Construction of new buildings</t>
  </si>
  <si>
    <t>2301</t>
  </si>
  <si>
    <t>A.3.2.</t>
  </si>
  <si>
    <t xml:space="preserve">   Renovation of existing buildings</t>
  </si>
  <si>
    <t>2302  </t>
  </si>
  <si>
    <t>A.3.3.</t>
  </si>
  <si>
    <t xml:space="preserve">   Installation, maintenance and repair of energy efficiency equipment</t>
  </si>
  <si>
    <t>230301</t>
  </si>
  <si>
    <t>A.3.4.</t>
  </si>
  <si>
    <t xml:space="preserve">   Installation, maintenance and repair of charging stations for electric vehicles in buildings (and parking spaces attached to buildings)</t>
  </si>
  <si>
    <t>230302</t>
  </si>
  <si>
    <t>A.3.5.</t>
  </si>
  <si>
    <t xml:space="preserve">   Installation, maintenance and repair of instruments and devices for measuring, regulation and controlling energy performance of buildings</t>
  </si>
  <si>
    <t>230303</t>
  </si>
  <si>
    <t>A.3.6.</t>
  </si>
  <si>
    <t xml:space="preserve">   Installation, maintenance and repair of renewable energy technologies</t>
  </si>
  <si>
    <t>230304</t>
  </si>
  <si>
    <t>A.3.7.</t>
  </si>
  <si>
    <t xml:space="preserve">   Acquisition and ownership</t>
  </si>
  <si>
    <t>2304</t>
  </si>
  <si>
    <t>A.3.8.</t>
  </si>
  <si>
    <t xml:space="preserve">   Demolition and wrecking of buildings and other structures</t>
  </si>
  <si>
    <t>2305  </t>
  </si>
  <si>
    <t>A.3.9.</t>
  </si>
  <si>
    <t xml:space="preserve">   Maintenance of roads and motorways</t>
  </si>
  <si>
    <t>230601</t>
  </si>
  <si>
    <t>A.3.10.</t>
  </si>
  <si>
    <t xml:space="preserve">   Use of concrete in civil engineering</t>
  </si>
  <si>
    <t>230602</t>
  </si>
  <si>
    <t>A.3.11.</t>
  </si>
  <si>
    <t>A.4.</t>
  </si>
  <si>
    <t xml:space="preserve">   Professional, Scientific and Technical Activities</t>
  </si>
  <si>
    <t>A.4.1.</t>
  </si>
  <si>
    <t xml:space="preserve">   Professional services related to energy performance of buildings</t>
  </si>
  <si>
    <t>A.5.</t>
  </si>
  <si>
    <t xml:space="preserve">   Disaster Risk Management</t>
  </si>
  <si>
    <t>A.5.1.</t>
  </si>
  <si>
    <t xml:space="preserve">   Nature-based solutions for flood and drought risk prevention and protection</t>
  </si>
  <si>
    <t>2501  </t>
  </si>
  <si>
    <t>A.5.2.</t>
  </si>
  <si>
    <t xml:space="preserve">   Emergency services</t>
  </si>
  <si>
    <t>A.5.3.</t>
  </si>
  <si>
    <t xml:space="preserve">   Flood risk prevention and protection infrastructure</t>
  </si>
  <si>
    <t>A.6.</t>
  </si>
  <si>
    <t xml:space="preserve">   Water and Waste</t>
  </si>
  <si>
    <t>A.6.1.</t>
  </si>
  <si>
    <t xml:space="preserve">   Water collection, treatment and supply systems</t>
  </si>
  <si>
    <t>260101</t>
  </si>
  <si>
    <t>A.6.2.</t>
  </si>
  <si>
    <t xml:space="preserve">   Sustainable Water Management</t>
  </si>
  <si>
    <t>A.6.3.</t>
  </si>
  <si>
    <t xml:space="preserve">   Waste water collection and treatment</t>
  </si>
  <si>
    <t>260201</t>
  </si>
  <si>
    <t>A.6.4.</t>
  </si>
  <si>
    <t xml:space="preserve">   Collection and transport of non-hazardous waste in source segregated fractions</t>
  </si>
  <si>
    <t>260401</t>
  </si>
  <si>
    <t>A.6.5.</t>
  </si>
  <si>
    <t xml:space="preserve">   Anaerobic digestion of sewage sludge</t>
  </si>
  <si>
    <t>260301</t>
  </si>
  <si>
    <t>A.6.6.</t>
  </si>
  <si>
    <t xml:space="preserve">   Anaerobic digestion of bio-waste</t>
  </si>
  <si>
    <t>260302</t>
  </si>
  <si>
    <t>A.6.7.</t>
  </si>
  <si>
    <t xml:space="preserve">   Composting of bio-waste</t>
  </si>
  <si>
    <t>260303</t>
  </si>
  <si>
    <t>A.6.8.</t>
  </si>
  <si>
    <t xml:space="preserve">   Material recovery from non-hazardous waste</t>
  </si>
  <si>
    <t>260402</t>
  </si>
  <si>
    <t>A.6.9.</t>
  </si>
  <si>
    <t xml:space="preserve">   Landfill gas capture and utilisation</t>
  </si>
  <si>
    <t>260304</t>
  </si>
  <si>
    <t>A.6.10.</t>
  </si>
  <si>
    <t xml:space="preserve">   Transport of CO2</t>
  </si>
  <si>
    <t>260601</t>
  </si>
  <si>
    <t>A.6.11.</t>
  </si>
  <si>
    <t xml:space="preserve">   Underground permanent geological storage of CO2</t>
  </si>
  <si>
    <t>260602</t>
  </si>
  <si>
    <t>A.6.12.</t>
  </si>
  <si>
    <t xml:space="preserve">   Desalination</t>
  </si>
  <si>
    <t>260102</t>
  </si>
  <si>
    <t>A.6.13.</t>
  </si>
  <si>
    <t xml:space="preserve">   Water Supply</t>
  </si>
  <si>
    <t>260103</t>
  </si>
  <si>
    <t>A.6.14.</t>
  </si>
  <si>
    <t xml:space="preserve">   Urban Waste Water Treatment</t>
  </si>
  <si>
    <t>260202</t>
  </si>
  <si>
    <t>A.6.15.</t>
  </si>
  <si>
    <t xml:space="preserve">   Sustainable urban drainage systems (SUDS)</t>
  </si>
  <si>
    <t>260203</t>
  </si>
  <si>
    <t>A.6.16.</t>
  </si>
  <si>
    <t xml:space="preserve">   Phosphorus recovery from waste water</t>
  </si>
  <si>
    <t>260204</t>
  </si>
  <si>
    <t>A.6.17.</t>
  </si>
  <si>
    <t xml:space="preserve">   Production of alternative water resources for purposes other than human consumption</t>
  </si>
  <si>
    <t>260205</t>
  </si>
  <si>
    <t>A.6.18.</t>
  </si>
  <si>
    <t xml:space="preserve">   Collection and transport of non-hazardous and hazardous waste</t>
  </si>
  <si>
    <t>A.6.19.</t>
  </si>
  <si>
    <t xml:space="preserve">   Treatment of hazardous waste</t>
  </si>
  <si>
    <t>260404</t>
  </si>
  <si>
    <t>A.6.20.</t>
  </si>
  <si>
    <t xml:space="preserve">   Recovery of bio-waste by anaerobic digestion or composting</t>
  </si>
  <si>
    <t>260305</t>
  </si>
  <si>
    <t>A.6.21.</t>
  </si>
  <si>
    <t xml:space="preserve">   Sorting of non-hazardous waste</t>
  </si>
  <si>
    <t>260406</t>
  </si>
  <si>
    <t>A.6.22.</t>
  </si>
  <si>
    <t xml:space="preserve">   Depollution and dismantling of end-of-life products</t>
  </si>
  <si>
    <t>260405</t>
  </si>
  <si>
    <t>A.6.23.</t>
  </si>
  <si>
    <t xml:space="preserve">   Collection and transport of hazardous waste</t>
  </si>
  <si>
    <t>260407</t>
  </si>
  <si>
    <t>A.6.24.</t>
  </si>
  <si>
    <t xml:space="preserve">   Remediation of legally non-conforming landfills and abandoned or illegal waste dumps</t>
  </si>
  <si>
    <t>260501</t>
  </si>
  <si>
    <t>A.6.25.</t>
  </si>
  <si>
    <t xml:space="preserve">   Remediation of contaminated sites and areas</t>
  </si>
  <si>
    <t>260502</t>
  </si>
  <si>
    <t>A.6.26.</t>
  </si>
  <si>
    <t>A.7.</t>
  </si>
  <si>
    <t xml:space="preserve">   Agriculture</t>
  </si>
  <si>
    <t>A.7.1.</t>
  </si>
  <si>
    <t xml:space="preserve">   Afforestation</t>
  </si>
  <si>
    <t>270101</t>
  </si>
  <si>
    <t>A.7.2.</t>
  </si>
  <si>
    <t xml:space="preserve">   Rehabilitation and restoration of forests, including reforestation and natural forest regeneration after an extreme event</t>
  </si>
  <si>
    <t>A.7.3.</t>
  </si>
  <si>
    <t xml:space="preserve">   Forest management</t>
  </si>
  <si>
    <t>270102</t>
  </si>
  <si>
    <t>A.7.4.</t>
  </si>
  <si>
    <t xml:space="preserve">   Conservation forestry</t>
  </si>
  <si>
    <t>270202</t>
  </si>
  <si>
    <t>A.7.5.</t>
  </si>
  <si>
    <t xml:space="preserve">   Restoration of wetlands</t>
  </si>
  <si>
    <t>A.7.6.</t>
  </si>
  <si>
    <t xml:space="preserve">   Conservation, including restoration, of habitats, ecosystems and species</t>
  </si>
  <si>
    <t>A.7.7.</t>
  </si>
  <si>
    <t xml:space="preserve">   Sustainable growing of crops</t>
  </si>
  <si>
    <t>A.7.8.</t>
  </si>
  <si>
    <t xml:space="preserve">   Soil Remediation</t>
  </si>
  <si>
    <t>A.7.9.</t>
  </si>
  <si>
    <t xml:space="preserve">   Low-carbon agricultural technologies to improve efficiency (e.g. techniques used in precision farming, hydroponics farming, aeroponics farming)</t>
  </si>
  <si>
    <t>A.7.10.</t>
  </si>
  <si>
    <t xml:space="preserve">   Efficient electric machinery, excluding tech for livestock production</t>
  </si>
  <si>
    <t>A.7.11.</t>
  </si>
  <si>
    <t xml:space="preserve">   Regenerative Farming</t>
  </si>
  <si>
    <t>A.7.12.</t>
  </si>
  <si>
    <t xml:space="preserve">   Agricultural Structures</t>
  </si>
  <si>
    <t>A.7.13.</t>
  </si>
  <si>
    <t xml:space="preserve">   Integrated Crop-Livestock-Forestry Systems (ICLFS)</t>
  </si>
  <si>
    <t>A.7.14.</t>
  </si>
  <si>
    <t xml:space="preserve">   Sustainable Feed Production</t>
  </si>
  <si>
    <t>A.7.15.</t>
  </si>
  <si>
    <t xml:space="preserve">   Livestock Management</t>
  </si>
  <si>
    <t>A.7.16.</t>
  </si>
  <si>
    <t xml:space="preserve">   Sustainable Aquaculture and Fishing</t>
  </si>
  <si>
    <t>A.7.17.</t>
  </si>
  <si>
    <t xml:space="preserve">   Carbon Sequestration Activities</t>
  </si>
  <si>
    <t>A.7.18.</t>
  </si>
  <si>
    <t xml:space="preserve">   Sustainable Agricultural Production</t>
  </si>
  <si>
    <t>A.7.19.</t>
  </si>
  <si>
    <t xml:space="preserve">   Organic Farming</t>
  </si>
  <si>
    <t>A.7.20.</t>
  </si>
  <si>
    <t xml:space="preserve">   Sustainable Land Purchase and Transformation</t>
  </si>
  <si>
    <t>A.8.</t>
  </si>
  <si>
    <t>Manufacturing</t>
  </si>
  <si>
    <t>A.8.1.</t>
  </si>
  <si>
    <t xml:space="preserve"> Manufacture of renewable energy technologies</t>
  </si>
  <si>
    <t>280201</t>
  </si>
  <si>
    <t>A.8.2.</t>
  </si>
  <si>
    <t xml:space="preserve"> Manufacture of equipment for the production and use of hydrogen</t>
  </si>
  <si>
    <t>280202</t>
  </si>
  <si>
    <t>A.8.3.</t>
  </si>
  <si>
    <t xml:space="preserve"> Manufacture of hydrogen</t>
  </si>
  <si>
    <t>280203</t>
  </si>
  <si>
    <t>A.8.4.</t>
  </si>
  <si>
    <t xml:space="preserve"> Manufacture of low carbon technologies for transport</t>
  </si>
  <si>
    <t>A.8.5.</t>
  </si>
  <si>
    <t xml:space="preserve"> Manufacture of batteries</t>
  </si>
  <si>
    <t>2804  </t>
  </si>
  <si>
    <t>A.8.6.</t>
  </si>
  <si>
    <t xml:space="preserve"> Manufacture of energy efficiency equipment for buildings</t>
  </si>
  <si>
    <t>280501</t>
  </si>
  <si>
    <t>A.8.7.</t>
  </si>
  <si>
    <t xml:space="preserve"> Manufacture of other low carbon technologies</t>
  </si>
  <si>
    <t>280502</t>
  </si>
  <si>
    <t>A.8.8.</t>
  </si>
  <si>
    <t xml:space="preserve"> Manufacture of cement</t>
  </si>
  <si>
    <t>280601</t>
  </si>
  <si>
    <t>A.8.9.</t>
  </si>
  <si>
    <t xml:space="preserve"> Manufacture of aluminium</t>
  </si>
  <si>
    <t>280602</t>
  </si>
  <si>
    <t>A.8.10.</t>
  </si>
  <si>
    <t xml:space="preserve"> Manufacture of iron and steel</t>
  </si>
  <si>
    <t>280603</t>
  </si>
  <si>
    <t>A.8.11.</t>
  </si>
  <si>
    <t xml:space="preserve"> Manufacture of carbon black</t>
  </si>
  <si>
    <t>280604</t>
  </si>
  <si>
    <t>A.8.12.</t>
  </si>
  <si>
    <t xml:space="preserve"> Manufacture of soda ash</t>
  </si>
  <si>
    <t>280701</t>
  </si>
  <si>
    <t>A.8.13.</t>
  </si>
  <si>
    <t xml:space="preserve"> Manufacture of organic basic materials</t>
  </si>
  <si>
    <t>280703</t>
  </si>
  <si>
    <t>A.8.14.</t>
  </si>
  <si>
    <t xml:space="preserve"> Manufacture of nitric acid</t>
  </si>
  <si>
    <t>280705</t>
  </si>
  <si>
    <t>A.8.15.</t>
  </si>
  <si>
    <t xml:space="preserve"> Manufacture of chlorine</t>
  </si>
  <si>
    <t>280702</t>
  </si>
  <si>
    <t>A.8.16.</t>
  </si>
  <si>
    <t xml:space="preserve"> Manufacture of anhydrous ammonia</t>
  </si>
  <si>
    <t>280704</t>
  </si>
  <si>
    <t>A.8.17.</t>
  </si>
  <si>
    <t xml:space="preserve"> Manufacture of plastics in primary form</t>
  </si>
  <si>
    <t>280801</t>
  </si>
  <si>
    <t>A.8.18.</t>
  </si>
  <si>
    <t xml:space="preserve"> Manufacture of automotive and mobility components</t>
  </si>
  <si>
    <t>A.8.19.</t>
  </si>
  <si>
    <t>Manufacture of rail rolling stock constituents</t>
  </si>
  <si>
    <t>A.8.20.</t>
  </si>
  <si>
    <t xml:space="preserve"> Manufacture, installation, and servicing of high, medium and low voltage electrical equipment for electrical transmission and distribution that result in or enable a substantial contribution to climate change mitigation</t>
  </si>
  <si>
    <t>280503</t>
  </si>
  <si>
    <t>A.8.21.</t>
  </si>
  <si>
    <t xml:space="preserve"> Manufacturing of aircraft</t>
  </si>
  <si>
    <t>A.8.22.</t>
  </si>
  <si>
    <t xml:space="preserve"> Manufacture, installation and associated services for leakage control technologies enabling leakage reduction and prevention in water supply systems</t>
  </si>
  <si>
    <t>280505</t>
  </si>
  <si>
    <t>A.8.23.</t>
  </si>
  <si>
    <t xml:space="preserve"> Manufacture of plastic packaging goods</t>
  </si>
  <si>
    <t>280802</t>
  </si>
  <si>
    <t>A.8.24.</t>
  </si>
  <si>
    <t xml:space="preserve"> Manufacture of active pharmaceutical ingredients (API) or active substances</t>
  </si>
  <si>
    <t>280901</t>
  </si>
  <si>
    <t>A.8.25.</t>
  </si>
  <si>
    <t xml:space="preserve"> Manufacture of medicinal products</t>
  </si>
  <si>
    <t>280902</t>
  </si>
  <si>
    <t>A.8.26.</t>
  </si>
  <si>
    <t xml:space="preserve"> Manufacture of clean Naphtha</t>
  </si>
  <si>
    <t>A.8.27.</t>
  </si>
  <si>
    <t xml:space="preserve"> Manufacture and installation of equipment efficient in terms of energy consumption</t>
  </si>
  <si>
    <t>A.8.28.</t>
  </si>
  <si>
    <t xml:space="preserve"> Research, development and innovation for direct air capture of CO2</t>
  </si>
  <si>
    <t>A.8.29.</t>
  </si>
  <si>
    <t xml:space="preserve"> Repair, refurbishment and remanufacturing</t>
  </si>
  <si>
    <t>280101</t>
  </si>
  <si>
    <t>A.8.30.</t>
  </si>
  <si>
    <t xml:space="preserve"> Sale of spare parts</t>
  </si>
  <si>
    <t>280102</t>
  </si>
  <si>
    <t>A.8.31.</t>
  </si>
  <si>
    <t xml:space="preserve"> Preparation for re-use of end-of-life products and product components</t>
  </si>
  <si>
    <t>280103</t>
  </si>
  <si>
    <t>A.8.32.</t>
  </si>
  <si>
    <t xml:space="preserve"> Sale of second-hand goods</t>
  </si>
  <si>
    <t>280104</t>
  </si>
  <si>
    <t>A.8.33.</t>
  </si>
  <si>
    <t xml:space="preserve"> Product-as-a-service and other circular use- and result-oriented service models</t>
  </si>
  <si>
    <t>280105</t>
  </si>
  <si>
    <t>A.8.34.</t>
  </si>
  <si>
    <t xml:space="preserve"> Marketplace for the trade of second-hand goods for reuse</t>
  </si>
  <si>
    <t>280106</t>
  </si>
  <si>
    <t>A.8.35.</t>
  </si>
  <si>
    <t xml:space="preserve"> Terminology definition</t>
  </si>
  <si>
    <t>280107</t>
  </si>
  <si>
    <t>Manufacture of electric and electronical equipment</t>
  </si>
  <si>
    <t>A.9.</t>
  </si>
  <si>
    <t xml:space="preserve"> Accommodation Activities</t>
  </si>
  <si>
    <t>A.9.1.</t>
  </si>
  <si>
    <t xml:space="preserve"> Hotels, holiday, camping grounds and similar accommodation</t>
  </si>
  <si>
    <t>A.10.</t>
  </si>
  <si>
    <t xml:space="preserve"> Information and Communication</t>
  </si>
  <si>
    <t>A.10.1.</t>
  </si>
  <si>
    <t xml:space="preserve"> Data processing, hosting and related activities</t>
  </si>
  <si>
    <t>A.10.2.</t>
  </si>
  <si>
    <t xml:space="preserve"> Data-driven solutions for GHG emissions reductions</t>
  </si>
  <si>
    <t>A.10.3.</t>
  </si>
  <si>
    <t xml:space="preserve"> Software enabling physical climate risk management and adaptation</t>
  </si>
  <si>
    <t>300202</t>
  </si>
  <si>
    <t>A.10.4.</t>
  </si>
  <si>
    <t xml:space="preserve"> Provision of IT/OT data-driven solutions for leakage reduction</t>
  </si>
  <si>
    <t>300203</t>
  </si>
  <si>
    <t>SCA010211</t>
  </si>
  <si>
    <t>A.10.5.</t>
  </si>
  <si>
    <t xml:space="preserve"> Provision of IT/OT data-driven solutions</t>
  </si>
  <si>
    <t>300204</t>
  </si>
  <si>
    <t>SCA010212</t>
  </si>
  <si>
    <t>A.10.6.</t>
  </si>
  <si>
    <t xml:space="preserve"> Close to market research, development and innovation</t>
  </si>
  <si>
    <t>3003  </t>
  </si>
  <si>
    <t>SCA010213</t>
  </si>
  <si>
    <t>A.10.7.</t>
  </si>
  <si>
    <t xml:space="preserve"> Terminology Definitions</t>
  </si>
  <si>
    <t>A.11.</t>
  </si>
  <si>
    <t xml:space="preserve"> Other Sectors</t>
  </si>
  <si>
    <t>A.11.1.</t>
  </si>
  <si>
    <t xml:space="preserve"> Carbon Market</t>
  </si>
  <si>
    <t>A.11.2.</t>
  </si>
  <si>
    <t xml:space="preserve"> Non-life insurance</t>
  </si>
  <si>
    <t>A.11.3.</t>
  </si>
  <si>
    <t xml:space="preserve"> Re-insurance</t>
  </si>
  <si>
    <t>3103  </t>
  </si>
  <si>
    <t>A.11.4.</t>
  </si>
  <si>
    <t xml:space="preserve"> Climate adaptation</t>
  </si>
  <si>
    <t>3104  </t>
  </si>
  <si>
    <t xml:space="preserve">Education </t>
  </si>
  <si>
    <t>Educational services</t>
  </si>
  <si>
    <t>3501  </t>
  </si>
  <si>
    <t>Sports and cultural education centres</t>
  </si>
  <si>
    <t>3502  </t>
  </si>
  <si>
    <t>Other educational activities</t>
  </si>
  <si>
    <t>3503  </t>
  </si>
  <si>
    <t>Student loans</t>
  </si>
  <si>
    <t>3504  </t>
  </si>
  <si>
    <t>Loans to finance reskilling and upskilling</t>
  </si>
  <si>
    <t>3505  </t>
  </si>
  <si>
    <t xml:space="preserve">Healthcare </t>
  </si>
  <si>
    <t>Building of healthcare facilities</t>
  </si>
  <si>
    <t>Health services</t>
  </si>
  <si>
    <t>Research and develpment (R&amp;D), pharmaceutical and medical manufacturing</t>
  </si>
  <si>
    <t>3601  </t>
  </si>
  <si>
    <t xml:space="preserve">Transport </t>
  </si>
  <si>
    <t>Roads and related infrastructure for improving transport links to underdeveloped rural areas, or where road connectivity does not exist or is clearly inadequate.</t>
  </si>
  <si>
    <t>3701  </t>
  </si>
  <si>
    <t>Public transportation infrastructure, including over- and underground railways to bring socio-economic development in target population areas.</t>
  </si>
  <si>
    <t>3702  </t>
  </si>
  <si>
    <t>Transport infrastructure to help people with disabilities move around more easily x</t>
  </si>
  <si>
    <t>3703  </t>
  </si>
  <si>
    <t xml:space="preserve">Energy </t>
  </si>
  <si>
    <t>Clean energy projects. Distribution lines and related buildings</t>
  </si>
  <si>
    <t>3801  </t>
  </si>
  <si>
    <t>Water and waste</t>
  </si>
  <si>
    <t xml:space="preserve">Water collection, treatment and distribution infrastructure in target population areas. </t>
  </si>
  <si>
    <t>3901  </t>
  </si>
  <si>
    <t xml:space="preserve">Sewage, wastewater (not derived from fossil fuel sources) treatment and collection infrastructure and of supporting integral buildings and structures in target population areas. </t>
  </si>
  <si>
    <t>3902  </t>
  </si>
  <si>
    <t xml:space="preserve">Hazardous and non-hazardous waste collection, sorting, disposal, treatment and recycling in target population areas. </t>
  </si>
  <si>
    <t>3903  </t>
  </si>
  <si>
    <t xml:space="preserve">Real estate </t>
  </si>
  <si>
    <t>Affordable housing</t>
  </si>
  <si>
    <t>4001  </t>
  </si>
  <si>
    <t>Associated infraestructure</t>
  </si>
  <si>
    <t>4002  </t>
  </si>
  <si>
    <t xml:space="preserve">Finance and insurance </t>
  </si>
  <si>
    <t>Investment to increase access to a wide range of micro insurance and transactional banking products and services to the target population.</t>
  </si>
  <si>
    <t>Financing with preferential financial or payment terms to entities and individuals that have been impacted by natural, armed, health and/or human-made disasters, as well as severe socioeconomic situations.</t>
  </si>
  <si>
    <t xml:space="preserve">IT &amp; Communications </t>
  </si>
  <si>
    <t>Telecommunications infrastructure I n target population areas.</t>
  </si>
  <si>
    <t>4201  </t>
  </si>
  <si>
    <t xml:space="preserve">Non-profit organizations </t>
  </si>
  <si>
    <t>Lending to non-profit organizations and charities that meet Banco Santander´s guidelines and advance the green and social themes</t>
  </si>
  <si>
    <t>4301  </t>
  </si>
  <si>
    <t>4401</t>
  </si>
  <si>
    <t>Social Default</t>
  </si>
  <si>
    <t>Leyenda</t>
  </si>
  <si>
    <t>GD</t>
  </si>
  <si>
    <t>SSTNBL_CTGRY</t>
  </si>
  <si>
    <t>Row Labels</t>
  </si>
  <si>
    <t>'AGFGR001'</t>
  </si>
  <si>
    <t>Energy</t>
  </si>
  <si>
    <t>('210101','210102','210103','210104','210105','210106','210107','210108','210109','210110','210201','210202','210203','210204','210205','210206','210207','210208','210302','210419','210420','210421','210501','210601','210602','210603','280201','280202','280203')</t>
  </si>
  <si>
    <t>'AGFGR002'</t>
  </si>
  <si>
    <t>Transport</t>
  </si>
  <si>
    <t>('220501','220101','220102','220103','220106','220201','220202','220203','220204','220205','220206','220303')</t>
  </si>
  <si>
    <t>'AGFGR003'</t>
  </si>
  <si>
    <t>('220404','220104','220105','220301','220302','220401','220402','220403','220405')</t>
  </si>
  <si>
    <t>'AGFGR005'</t>
  </si>
  <si>
    <t>Agriculture</t>
  </si>
  <si>
    <t>('2704','2705','270201','270203','270204','270301','270302','270303','270304','270305','270306','270307','270308','270309','270310','270311','270101','270102','270202')</t>
  </si>
  <si>
    <t>'AGFGR006'</t>
  </si>
  <si>
    <t>Construction and Real Estate</t>
  </si>
  <si>
    <t>('2301')</t>
  </si>
  <si>
    <t>'AGFGR007'</t>
  </si>
  <si>
    <t>('2302','230301')</t>
  </si>
  <si>
    <t>'AGFGR008'</t>
  </si>
  <si>
    <t>('230302','230303','230304')</t>
  </si>
  <si>
    <t>'AGFGR009'</t>
  </si>
  <si>
    <t>Water and Waste</t>
  </si>
  <si>
    <t>('2305','230601','280101')</t>
  </si>
  <si>
    <t>'AGFGR010'</t>
  </si>
  <si>
    <t>('280302','280303','280304','280504','280706','280107','2804','280501','280503','280505','280601','280602','280603','280701','280702','280703','280704','280705','280801','280802','280901','280902')</t>
  </si>
  <si>
    <t>'AGFGR011'</t>
  </si>
  <si>
    <t>Other Sectors</t>
  </si>
  <si>
    <t>('2706','3101','280301','281001','260304','260601','260602','280502','280604','3104')</t>
  </si>
  <si>
    <t>'AGFSO001'</t>
  </si>
  <si>
    <t>Social</t>
  </si>
  <si>
    <t>('2401','2502','2503','3001','3102','210701','260104','260403','300201','2304','230602','2501','260101','260102','260103','260201','260202','260203','260204','260205','260301','260302','260303','260305','260401','260402','260404','260405','260406','260407','260501','260502','300202','3103')</t>
  </si>
  <si>
    <t>Grand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</si>
</sst>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theme="1"/>
      <name val="Calibri"/>
      <family val="2"/>
    </font>
    <font>
      <b/>
      <sz val="10"/>
      <color theme="0"/>
      <name val="Calibri"/>
      <family val="2"/>
    </font>
    <font>
      <sz val="10"/>
      <color theme="1"/>
      <name val="Calibri"/>
      <family val="2"/>
    </font>
    <font>
      <sz val="10"/>
      <name val="Calibri"/>
      <family val="2"/>
    </font>
    <font>
      <b/>
      <sz val="10"/>
      <color theme="1"/>
      <name val="Calibri"/>
      <family val="2"/>
    </font>
    <font>
      <b/>
      <sz val="10"/>
      <color theme="0"/>
      <name val="Aptos Narrow"/>
      <family val="2"/>
      <scheme val="minor"/>
    </font>
    <font>
      <sz val="10"/>
      <color theme="1"/>
      <name val="Arial"/>
      <family val="2"/>
    </font>
    <font>
      <b/>
      <sz val="11"/>
      <color theme="0"/>
      <name val="Calibri"/>
      <family val="2"/>
    </font>
  </fonts>
  <fills count="10">
    <fill>
      <patternFill patternType="none"/>
    </fill>
    <fill>
      <patternFill patternType="gray125"/>
    </fill>
    <fill>
      <patternFill patternType="solid">
        <fgColor theme="3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00206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2" fillId="0" borderId="0" xfId="0" applyFont="1"/>
    <xf numFmtId="0" fontId="3" fillId="4" borderId="1" xfId="0" applyFont="1" applyFill="1" applyBorder="1" applyAlignment="1">
      <alignment vertical="center"/>
    </xf>
    <xf numFmtId="0" fontId="3" fillId="3" borderId="1" xfId="0" applyFont="1" applyFill="1" applyBorder="1" applyAlignment="1">
      <alignment vertical="center"/>
    </xf>
    <xf numFmtId="0" fontId="4" fillId="0" borderId="1" xfId="0" applyFont="1" applyBorder="1"/>
    <xf numFmtId="0" fontId="4" fillId="0" borderId="1" xfId="0" applyFont="1" applyBorder="1" applyAlignment="1">
      <alignment horizontal="left" indent="3"/>
    </xf>
    <xf numFmtId="0" fontId="4" fillId="0" borderId="1" xfId="0" applyFont="1" applyBorder="1" applyAlignment="1">
      <alignment horizontal="left" indent="4"/>
    </xf>
    <xf numFmtId="0" fontId="4" fillId="0" borderId="1" xfId="0" applyFont="1" applyBorder="1" applyAlignment="1">
      <alignment horizontal="left" indent="2"/>
    </xf>
    <xf numFmtId="0" fontId="4" fillId="2" borderId="1" xfId="0" applyFont="1" applyFill="1" applyBorder="1"/>
    <xf numFmtId="0" fontId="5" fillId="0" borderId="1" xfId="0" applyFont="1" applyBorder="1"/>
    <xf numFmtId="0" fontId="6" fillId="0" borderId="1" xfId="0" applyFont="1" applyBorder="1" applyAlignment="1">
      <alignment horizontal="left" indent="1"/>
    </xf>
    <xf numFmtId="0" fontId="7" fillId="5" borderId="1" xfId="0" applyFont="1" applyFill="1" applyBorder="1" applyAlignment="1">
      <alignment vertical="center"/>
    </xf>
    <xf numFmtId="0" fontId="7" fillId="6" borderId="1" xfId="0" applyFont="1" applyFill="1" applyBorder="1" applyAlignment="1">
      <alignment horizontal="left" vertical="center"/>
    </xf>
    <xf numFmtId="0" fontId="7" fillId="6" borderId="1" xfId="0" applyFont="1" applyFill="1" applyBorder="1" applyAlignment="1">
      <alignment vertical="center"/>
    </xf>
    <xf numFmtId="0" fontId="7" fillId="3" borderId="1" xfId="0" applyFont="1" applyFill="1" applyBorder="1" applyAlignment="1">
      <alignment vertical="center"/>
    </xf>
    <xf numFmtId="0" fontId="8" fillId="0" borderId="1" xfId="0" applyFont="1" applyBorder="1" applyAlignment="1">
      <alignment vertical="center"/>
    </xf>
    <xf numFmtId="0" fontId="8" fillId="0" borderId="1" xfId="0" applyFont="1" applyBorder="1" applyAlignment="1">
      <alignment horizontal="left"/>
    </xf>
    <xf numFmtId="0" fontId="8" fillId="0" borderId="1" xfId="0" applyFont="1" applyBorder="1"/>
    <xf numFmtId="0" fontId="8" fillId="7" borderId="1" xfId="0" applyFont="1" applyFill="1" applyBorder="1" applyAlignment="1">
      <alignment vertical="center"/>
    </xf>
    <xf numFmtId="0" fontId="8" fillId="7" borderId="1" xfId="0" applyFont="1" applyFill="1" applyBorder="1" applyAlignment="1">
      <alignment horizontal="left"/>
    </xf>
    <xf numFmtId="0" fontId="8" fillId="7" borderId="1" xfId="0" applyFont="1" applyFill="1" applyBorder="1"/>
    <xf numFmtId="0" fontId="8" fillId="5" borderId="1" xfId="0" applyFont="1" applyFill="1" applyBorder="1"/>
    <xf numFmtId="0" fontId="8" fillId="8" borderId="1" xfId="0" applyFont="1" applyFill="1" applyBorder="1" applyAlignment="1">
      <alignment vertical="center"/>
    </xf>
    <xf numFmtId="0" fontId="8" fillId="8" borderId="1" xfId="0" applyFont="1" applyFill="1" applyBorder="1"/>
    <xf numFmtId="0" fontId="0" fillId="0" borderId="0" xfId="0" applyAlignment="1">
      <alignment horizontal="left"/>
    </xf>
    <xf numFmtId="0" fontId="0" fillId="0" borderId="1" xfId="0" applyBorder="1"/>
    <xf numFmtId="0" fontId="9" fillId="5" borderId="0" xfId="0" applyFont="1" applyFill="1" applyAlignment="1">
      <alignment horizontal="center" vertical="center"/>
    </xf>
    <xf numFmtId="0" fontId="2" fillId="0" borderId="0" xfId="0" applyFont="1" applyAlignment="1">
      <alignment vertical="center"/>
    </xf>
    <xf numFmtId="0" fontId="2" fillId="0" borderId="0" xfId="0" pivotButton="1" applyFont="1"/>
    <xf numFmtId="0" fontId="3" fillId="6" borderId="1" xfId="0" applyFont="1" applyFill="1" applyBorder="1" applyAlignment="1">
      <alignment horizontal="left" vertical="center"/>
    </xf>
    <xf numFmtId="0" fontId="4" fillId="0" borderId="1" xfId="0" applyFont="1" applyBorder="1" applyAlignment="1">
      <alignment horizontal="left"/>
    </xf>
    <xf numFmtId="0" fontId="2" fillId="0" borderId="1" xfId="0" applyFont="1" applyBorder="1"/>
    <xf numFmtId="0" fontId="2" fillId="0" borderId="0" xfId="0" applyFont="1" applyAlignment="1">
      <alignment horizontal="left"/>
    </xf>
    <xf numFmtId="0" fontId="7" fillId="5" borderId="1" xfId="0" applyFont="1" applyFill="1" applyBorder="1" applyAlignment="1">
      <alignment horizontal="center" vertical="center"/>
    </xf>
    <xf numFmtId="0" fontId="7" fillId="3" borderId="1" xfId="0" applyFont="1" applyFill="1" applyBorder="1" applyAlignment="1">
      <alignment horizontal="center" vertical="center"/>
    </xf>
    <xf numFmtId="0" fontId="1" fillId="9" borderId="1" xfId="0" applyFont="1" applyFill="1" applyBorder="1" applyAlignment="1">
      <alignment horizontal="center" vertical="center"/>
    </xf>
  </cellXfs>
  <cellStyles count="1">
    <cellStyle name="Normal" xfId="0" builtinId="0"/>
  </cellStyles>
  <dxfs count="4"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2.xml"/><Relationship Id="rId5" Type="http://schemas.openxmlformats.org/officeDocument/2006/relationships/pivotCacheDefinition" Target="pivotCache/pivotCacheDefinition1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na Filipa Silva Carreira" refreshedDate="45868.640010648145" createdVersion="8" refreshedVersion="8" minRefreshableVersion="3" recordCount="144" xr:uid="{9040BB46-33BC-4C2B-AFA3-4DF653215191}">
  <cacheSource type="worksheet">
    <worksheetSource ref="B2:C146" sheet="Mapeamento FC"/>
  </cacheSource>
  <cacheFields count="2">
    <cacheField name="Code" numFmtId="0">
      <sharedItems containsMixedTypes="1" containsNumber="1" containsInteger="1" minValue="2401" maxValue="300201" count="144">
        <n v="210101"/>
        <s v="210102"/>
        <s v="210103"/>
        <s v="210104"/>
        <s v="210105"/>
        <s v="210106"/>
        <s v="210201"/>
        <s v="210202"/>
        <s v="210419"/>
        <s v="210601"/>
        <s v="210602"/>
        <s v="210603"/>
        <s v="210203"/>
        <s v="210420"/>
        <s v="210421"/>
        <s v="210501"/>
        <s v="210107"/>
        <s v="210108"/>
        <s v="210204"/>
        <s v="210205"/>
        <s v="210109"/>
        <s v="210110"/>
        <s v="210206"/>
        <s v="210207"/>
        <s v="210208"/>
        <s v="210302"/>
        <n v="210701"/>
        <s v="220101"/>
        <s v="220102"/>
        <s v="220103"/>
        <s v="220104"/>
        <s v="220105"/>
        <s v="220106"/>
        <s v="220201"/>
        <s v="220202"/>
        <s v="220203"/>
        <s v="220204"/>
        <s v="220205"/>
        <s v="220206"/>
        <s v="220401"/>
        <s v="220405"/>
        <s v="220402"/>
        <s v="220403"/>
        <n v="220404"/>
        <s v="220301"/>
        <s v="220302"/>
        <s v="220303"/>
        <n v="220501"/>
        <s v="2301"/>
        <s v="2302  "/>
        <s v="230301"/>
        <s v="230302"/>
        <s v="230303"/>
        <s v="230304"/>
        <s v="2304"/>
        <s v="2305  "/>
        <s v="230601"/>
        <s v="230602"/>
        <n v="2401"/>
        <s v="2501  "/>
        <n v="2502"/>
        <n v="2503"/>
        <s v="260101"/>
        <n v="260104"/>
        <s v="260201"/>
        <s v="260401"/>
        <s v="260301"/>
        <s v="260302"/>
        <s v="260303"/>
        <s v="260402"/>
        <s v="260304"/>
        <s v="260601"/>
        <s v="260602"/>
        <s v="260102"/>
        <s v="260103"/>
        <s v="260202"/>
        <s v="260203"/>
        <s v="260204"/>
        <s v="260205"/>
        <n v="260403"/>
        <s v="260404"/>
        <s v="260305"/>
        <s v="260406"/>
        <s v="260405"/>
        <s v="260407"/>
        <s v="260501"/>
        <s v="260502"/>
        <s v="270101"/>
        <n v="270201"/>
        <s v="270102"/>
        <s v="270202"/>
        <n v="270203"/>
        <n v="270204"/>
        <n v="270301"/>
        <n v="270302"/>
        <n v="270303"/>
        <n v="270304"/>
        <n v="270305"/>
        <n v="270306"/>
        <n v="270307"/>
        <n v="270308"/>
        <n v="2704"/>
        <n v="2705"/>
        <n v="2706"/>
        <n v="270309"/>
        <n v="270310"/>
        <n v="270311"/>
        <s v="280201"/>
        <s v="280202"/>
        <s v="280203"/>
        <n v="280301"/>
        <s v="2804  "/>
        <s v="280501"/>
        <s v="280502"/>
        <s v="280601"/>
        <s v="280602"/>
        <s v="280603"/>
        <s v="280604"/>
        <s v="280701"/>
        <s v="280703"/>
        <s v="280705"/>
        <s v="280702"/>
        <s v="280704"/>
        <s v="280801"/>
        <n v="280302"/>
        <n v="280303"/>
        <s v="280503"/>
        <n v="280304"/>
        <s v="280505"/>
        <s v="280802"/>
        <s v="280901"/>
        <s v="280902"/>
        <n v="280706"/>
        <n v="280504"/>
        <n v="281001"/>
        <s v="280101"/>
        <s v="280107"/>
        <n v="3001"/>
        <n v="300201"/>
        <s v="300202"/>
        <n v="3101"/>
        <n v="3102"/>
        <s v="3103  "/>
        <s v="3104  "/>
      </sharedItems>
    </cacheField>
    <cacheField name="Categoria GD" numFmtId="0">
      <sharedItems count="11">
        <s v="AGFGR001"/>
        <s v="AGFSO001"/>
        <s v="AGFGR002"/>
        <s v="AGFGR003"/>
        <s v="AGFGR006"/>
        <s v="AGFGR007"/>
        <s v="AGFGR008"/>
        <s v="AGFGR009"/>
        <s v="AGFGR011"/>
        <s v="AGFGR005"/>
        <s v="AGFGR010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44">
  <r>
    <x v="0"/>
    <x v="0"/>
  </r>
  <r>
    <x v="1"/>
    <x v="0"/>
  </r>
  <r>
    <x v="2"/>
    <x v="0"/>
  </r>
  <r>
    <x v="3"/>
    <x v="0"/>
  </r>
  <r>
    <x v="4"/>
    <x v="0"/>
  </r>
  <r>
    <x v="5"/>
    <x v="0"/>
  </r>
  <r>
    <x v="6"/>
    <x v="0"/>
  </r>
  <r>
    <x v="7"/>
    <x v="0"/>
  </r>
  <r>
    <x v="8"/>
    <x v="0"/>
  </r>
  <r>
    <x v="9"/>
    <x v="0"/>
  </r>
  <r>
    <x v="10"/>
    <x v="0"/>
  </r>
  <r>
    <x v="11"/>
    <x v="0"/>
  </r>
  <r>
    <x v="12"/>
    <x v="0"/>
  </r>
  <r>
    <x v="13"/>
    <x v="0"/>
  </r>
  <r>
    <x v="14"/>
    <x v="0"/>
  </r>
  <r>
    <x v="15"/>
    <x v="0"/>
  </r>
  <r>
    <x v="16"/>
    <x v="0"/>
  </r>
  <r>
    <x v="17"/>
    <x v="0"/>
  </r>
  <r>
    <x v="18"/>
    <x v="0"/>
  </r>
  <r>
    <x v="19"/>
    <x v="0"/>
  </r>
  <r>
    <x v="20"/>
    <x v="0"/>
  </r>
  <r>
    <x v="21"/>
    <x v="0"/>
  </r>
  <r>
    <x v="22"/>
    <x v="0"/>
  </r>
  <r>
    <x v="23"/>
    <x v="0"/>
  </r>
  <r>
    <x v="24"/>
    <x v="0"/>
  </r>
  <r>
    <x v="25"/>
    <x v="0"/>
  </r>
  <r>
    <x v="26"/>
    <x v="1"/>
  </r>
  <r>
    <x v="27"/>
    <x v="2"/>
  </r>
  <r>
    <x v="28"/>
    <x v="2"/>
  </r>
  <r>
    <x v="29"/>
    <x v="2"/>
  </r>
  <r>
    <x v="30"/>
    <x v="3"/>
  </r>
  <r>
    <x v="31"/>
    <x v="3"/>
  </r>
  <r>
    <x v="32"/>
    <x v="2"/>
  </r>
  <r>
    <x v="33"/>
    <x v="2"/>
  </r>
  <r>
    <x v="34"/>
    <x v="2"/>
  </r>
  <r>
    <x v="35"/>
    <x v="2"/>
  </r>
  <r>
    <x v="36"/>
    <x v="2"/>
  </r>
  <r>
    <x v="37"/>
    <x v="2"/>
  </r>
  <r>
    <x v="38"/>
    <x v="2"/>
  </r>
  <r>
    <x v="39"/>
    <x v="3"/>
  </r>
  <r>
    <x v="40"/>
    <x v="3"/>
  </r>
  <r>
    <x v="41"/>
    <x v="3"/>
  </r>
  <r>
    <x v="42"/>
    <x v="3"/>
  </r>
  <r>
    <x v="43"/>
    <x v="3"/>
  </r>
  <r>
    <x v="44"/>
    <x v="3"/>
  </r>
  <r>
    <x v="45"/>
    <x v="3"/>
  </r>
  <r>
    <x v="46"/>
    <x v="2"/>
  </r>
  <r>
    <x v="47"/>
    <x v="2"/>
  </r>
  <r>
    <x v="48"/>
    <x v="4"/>
  </r>
  <r>
    <x v="49"/>
    <x v="5"/>
  </r>
  <r>
    <x v="50"/>
    <x v="5"/>
  </r>
  <r>
    <x v="51"/>
    <x v="6"/>
  </r>
  <r>
    <x v="52"/>
    <x v="6"/>
  </r>
  <r>
    <x v="53"/>
    <x v="6"/>
  </r>
  <r>
    <x v="54"/>
    <x v="1"/>
  </r>
  <r>
    <x v="55"/>
    <x v="7"/>
  </r>
  <r>
    <x v="56"/>
    <x v="7"/>
  </r>
  <r>
    <x v="57"/>
    <x v="1"/>
  </r>
  <r>
    <x v="58"/>
    <x v="1"/>
  </r>
  <r>
    <x v="59"/>
    <x v="1"/>
  </r>
  <r>
    <x v="60"/>
    <x v="1"/>
  </r>
  <r>
    <x v="61"/>
    <x v="1"/>
  </r>
  <r>
    <x v="62"/>
    <x v="1"/>
  </r>
  <r>
    <x v="63"/>
    <x v="1"/>
  </r>
  <r>
    <x v="64"/>
    <x v="1"/>
  </r>
  <r>
    <x v="65"/>
    <x v="1"/>
  </r>
  <r>
    <x v="66"/>
    <x v="1"/>
  </r>
  <r>
    <x v="67"/>
    <x v="1"/>
  </r>
  <r>
    <x v="68"/>
    <x v="1"/>
  </r>
  <r>
    <x v="69"/>
    <x v="1"/>
  </r>
  <r>
    <x v="70"/>
    <x v="8"/>
  </r>
  <r>
    <x v="71"/>
    <x v="8"/>
  </r>
  <r>
    <x v="72"/>
    <x v="8"/>
  </r>
  <r>
    <x v="73"/>
    <x v="1"/>
  </r>
  <r>
    <x v="74"/>
    <x v="1"/>
  </r>
  <r>
    <x v="75"/>
    <x v="1"/>
  </r>
  <r>
    <x v="76"/>
    <x v="1"/>
  </r>
  <r>
    <x v="77"/>
    <x v="1"/>
  </r>
  <r>
    <x v="78"/>
    <x v="1"/>
  </r>
  <r>
    <x v="79"/>
    <x v="1"/>
  </r>
  <r>
    <x v="80"/>
    <x v="1"/>
  </r>
  <r>
    <x v="81"/>
    <x v="1"/>
  </r>
  <r>
    <x v="82"/>
    <x v="1"/>
  </r>
  <r>
    <x v="83"/>
    <x v="1"/>
  </r>
  <r>
    <x v="84"/>
    <x v="1"/>
  </r>
  <r>
    <x v="85"/>
    <x v="1"/>
  </r>
  <r>
    <x v="86"/>
    <x v="1"/>
  </r>
  <r>
    <x v="87"/>
    <x v="9"/>
  </r>
  <r>
    <x v="88"/>
    <x v="9"/>
  </r>
  <r>
    <x v="89"/>
    <x v="9"/>
  </r>
  <r>
    <x v="90"/>
    <x v="9"/>
  </r>
  <r>
    <x v="91"/>
    <x v="9"/>
  </r>
  <r>
    <x v="92"/>
    <x v="9"/>
  </r>
  <r>
    <x v="93"/>
    <x v="9"/>
  </r>
  <r>
    <x v="94"/>
    <x v="9"/>
  </r>
  <r>
    <x v="95"/>
    <x v="9"/>
  </r>
  <r>
    <x v="96"/>
    <x v="9"/>
  </r>
  <r>
    <x v="97"/>
    <x v="9"/>
  </r>
  <r>
    <x v="98"/>
    <x v="9"/>
  </r>
  <r>
    <x v="99"/>
    <x v="9"/>
  </r>
  <r>
    <x v="100"/>
    <x v="9"/>
  </r>
  <r>
    <x v="101"/>
    <x v="9"/>
  </r>
  <r>
    <x v="102"/>
    <x v="9"/>
  </r>
  <r>
    <x v="103"/>
    <x v="8"/>
  </r>
  <r>
    <x v="104"/>
    <x v="9"/>
  </r>
  <r>
    <x v="105"/>
    <x v="9"/>
  </r>
  <r>
    <x v="106"/>
    <x v="9"/>
  </r>
  <r>
    <x v="107"/>
    <x v="0"/>
  </r>
  <r>
    <x v="108"/>
    <x v="0"/>
  </r>
  <r>
    <x v="109"/>
    <x v="0"/>
  </r>
  <r>
    <x v="110"/>
    <x v="8"/>
  </r>
  <r>
    <x v="111"/>
    <x v="10"/>
  </r>
  <r>
    <x v="112"/>
    <x v="10"/>
  </r>
  <r>
    <x v="113"/>
    <x v="8"/>
  </r>
  <r>
    <x v="114"/>
    <x v="10"/>
  </r>
  <r>
    <x v="115"/>
    <x v="10"/>
  </r>
  <r>
    <x v="116"/>
    <x v="10"/>
  </r>
  <r>
    <x v="117"/>
    <x v="8"/>
  </r>
  <r>
    <x v="118"/>
    <x v="10"/>
  </r>
  <r>
    <x v="119"/>
    <x v="10"/>
  </r>
  <r>
    <x v="120"/>
    <x v="10"/>
  </r>
  <r>
    <x v="121"/>
    <x v="10"/>
  </r>
  <r>
    <x v="122"/>
    <x v="10"/>
  </r>
  <r>
    <x v="123"/>
    <x v="10"/>
  </r>
  <r>
    <x v="124"/>
    <x v="10"/>
  </r>
  <r>
    <x v="125"/>
    <x v="10"/>
  </r>
  <r>
    <x v="126"/>
    <x v="10"/>
  </r>
  <r>
    <x v="127"/>
    <x v="10"/>
  </r>
  <r>
    <x v="128"/>
    <x v="10"/>
  </r>
  <r>
    <x v="129"/>
    <x v="10"/>
  </r>
  <r>
    <x v="130"/>
    <x v="10"/>
  </r>
  <r>
    <x v="131"/>
    <x v="10"/>
  </r>
  <r>
    <x v="132"/>
    <x v="10"/>
  </r>
  <r>
    <x v="133"/>
    <x v="10"/>
  </r>
  <r>
    <x v="134"/>
    <x v="8"/>
  </r>
  <r>
    <x v="135"/>
    <x v="7"/>
  </r>
  <r>
    <x v="136"/>
    <x v="10"/>
  </r>
  <r>
    <x v="137"/>
    <x v="1"/>
  </r>
  <r>
    <x v="138"/>
    <x v="1"/>
  </r>
  <r>
    <x v="139"/>
    <x v="1"/>
  </r>
  <r>
    <x v="140"/>
    <x v="8"/>
  </r>
  <r>
    <x v="141"/>
    <x v="1"/>
  </r>
  <r>
    <x v="142"/>
    <x v="1"/>
  </r>
  <r>
    <x v="143"/>
    <x v="8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7802A47-C894-4D7D-803E-87CDA9BA3AAB}" name="PivotTable3" cacheId="559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E3:E38" firstHeaderRow="1" firstDataRow="1" firstDataCol="1" rowPageCount="1" colPageCount="1"/>
  <pivotFields count="2">
    <pivotField axis="axisRow" showAll="0">
      <items count="145">
        <item x="58"/>
        <item x="60"/>
        <item x="61"/>
        <item x="101"/>
        <item x="102"/>
        <item x="103"/>
        <item x="137"/>
        <item x="140"/>
        <item x="141"/>
        <item x="0"/>
        <item x="26"/>
        <item x="43"/>
        <item x="47"/>
        <item x="63"/>
        <item x="79"/>
        <item x="88"/>
        <item x="91"/>
        <item x="92"/>
        <item x="93"/>
        <item x="94"/>
        <item x="95"/>
        <item x="96"/>
        <item x="97"/>
        <item x="98"/>
        <item x="99"/>
        <item x="100"/>
        <item x="104"/>
        <item x="105"/>
        <item x="106"/>
        <item x="110"/>
        <item x="124"/>
        <item x="125"/>
        <item x="127"/>
        <item x="133"/>
        <item x="132"/>
        <item x="134"/>
        <item x="138"/>
        <item x="1"/>
        <item x="2"/>
        <item x="3"/>
        <item x="4"/>
        <item x="5"/>
        <item x="16"/>
        <item x="17"/>
        <item x="20"/>
        <item x="21"/>
        <item x="6"/>
        <item x="7"/>
        <item x="12"/>
        <item x="18"/>
        <item x="19"/>
        <item x="22"/>
        <item x="23"/>
        <item x="24"/>
        <item x="25"/>
        <item x="8"/>
        <item x="13"/>
        <item x="14"/>
        <item x="15"/>
        <item x="9"/>
        <item x="10"/>
        <item x="11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44"/>
        <item x="45"/>
        <item x="46"/>
        <item x="39"/>
        <item x="41"/>
        <item x="42"/>
        <item x="40"/>
        <item x="48"/>
        <item x="49"/>
        <item x="50"/>
        <item x="51"/>
        <item x="52"/>
        <item x="53"/>
        <item x="54"/>
        <item x="55"/>
        <item x="56"/>
        <item x="57"/>
        <item x="59"/>
        <item x="62"/>
        <item x="73"/>
        <item x="74"/>
        <item x="64"/>
        <item x="75"/>
        <item x="76"/>
        <item x="77"/>
        <item x="78"/>
        <item x="66"/>
        <item x="67"/>
        <item x="68"/>
        <item x="70"/>
        <item x="81"/>
        <item x="65"/>
        <item x="69"/>
        <item x="80"/>
        <item x="83"/>
        <item x="82"/>
        <item x="84"/>
        <item x="85"/>
        <item x="86"/>
        <item x="71"/>
        <item x="72"/>
        <item x="87"/>
        <item x="89"/>
        <item x="90"/>
        <item x="135"/>
        <item x="136"/>
        <item x="107"/>
        <item x="108"/>
        <item x="109"/>
        <item x="111"/>
        <item x="112"/>
        <item x="113"/>
        <item x="126"/>
        <item x="128"/>
        <item x="114"/>
        <item x="115"/>
        <item x="116"/>
        <item x="117"/>
        <item x="118"/>
        <item x="121"/>
        <item x="119"/>
        <item x="122"/>
        <item x="120"/>
        <item x="123"/>
        <item x="129"/>
        <item x="130"/>
        <item x="131"/>
        <item x="139"/>
        <item x="142"/>
        <item n="3104 " x="143"/>
        <item t="default"/>
      </items>
    </pivotField>
    <pivotField axis="axisPage" multipleItemSelectionAllowed="1" showAll="0">
      <items count="12">
        <item h="1" x="0"/>
        <item h="1" x="2"/>
        <item h="1" x="3"/>
        <item h="1" x="9"/>
        <item h="1" x="4"/>
        <item h="1" x="5"/>
        <item h="1" x="6"/>
        <item h="1" x="7"/>
        <item h="1" x="10"/>
        <item h="1" x="8"/>
        <item x="1"/>
        <item t="default"/>
      </items>
    </pivotField>
  </pivotFields>
  <rowFields count="1">
    <field x="0"/>
  </rowFields>
  <rowItems count="35">
    <i>
      <x/>
    </i>
    <i>
      <x v="1"/>
    </i>
    <i>
      <x v="2"/>
    </i>
    <i>
      <x v="6"/>
    </i>
    <i>
      <x v="8"/>
    </i>
    <i>
      <x v="10"/>
    </i>
    <i>
      <x v="13"/>
    </i>
    <i>
      <x v="14"/>
    </i>
    <i>
      <x v="36"/>
    </i>
    <i>
      <x v="87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4"/>
    </i>
    <i>
      <x v="105"/>
    </i>
    <i>
      <x v="106"/>
    </i>
    <i>
      <x v="107"/>
    </i>
    <i>
      <x v="108"/>
    </i>
    <i>
      <x v="109"/>
    </i>
    <i>
      <x v="110"/>
    </i>
    <i>
      <x v="111"/>
    </i>
    <i>
      <x v="112"/>
    </i>
    <i>
      <x v="141"/>
    </i>
    <i>
      <x v="142"/>
    </i>
    <i t="grand">
      <x/>
    </i>
  </rowItems>
  <colItems count="1">
    <i/>
  </colItems>
  <pageFields count="1">
    <pageField fld="1" hier="-1"/>
  </pageFields>
  <formats count="4">
    <format dxfId="0">
      <pivotArea type="all" dataOnly="0" outline="0" fieldPosition="0"/>
    </format>
    <format dxfId="1">
      <pivotArea field="0" type="button" dataOnly="0" labelOnly="1" outline="0" axis="axisRow" fieldPosition="0"/>
    </format>
    <format dxfId="2">
      <pivotArea dataOnly="0" labelOnly="1" fieldPosition="0">
        <references count="1">
          <reference field="0" count="34">
            <x v="0"/>
            <x v="1"/>
            <x v="2"/>
            <x v="6"/>
            <x v="8"/>
            <x v="10"/>
            <x v="13"/>
            <x v="14"/>
            <x v="36"/>
            <x v="87"/>
            <x v="90"/>
            <x v="91"/>
            <x v="92"/>
            <x v="93"/>
            <x v="94"/>
            <x v="95"/>
            <x v="96"/>
            <x v="97"/>
            <x v="98"/>
            <x v="99"/>
            <x v="100"/>
            <x v="101"/>
            <x v="102"/>
            <x v="104"/>
            <x v="105"/>
            <x v="106"/>
            <x v="107"/>
            <x v="108"/>
            <x v="109"/>
            <x v="110"/>
            <x v="111"/>
            <x v="112"/>
            <x v="141"/>
            <x v="142"/>
          </reference>
        </references>
      </pivotArea>
    </format>
    <format dxfId="3">
      <pivotArea dataOnly="0" labelOnly="1" grandRow="1" outline="0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2D9B3A-4CBC-4EE5-8F8C-50A33533220D}">
  <dimension ref="B2:D62"/>
  <sheetViews>
    <sheetView showGridLines="0" workbookViewId="0">
      <selection activeCell="C7" sqref="C7"/>
    </sheetView>
  </sheetViews>
  <sheetFormatPr defaultColWidth="8.85546875" defaultRowHeight="14.45"/>
  <cols>
    <col min="1" max="1" width="3.7109375" style="1" customWidth="1"/>
    <col min="2" max="2" width="13.7109375" style="1" customWidth="1"/>
    <col min="3" max="3" width="14.42578125" style="1" bestFit="1" customWidth="1"/>
    <col min="4" max="4" width="77.140625" style="1" bestFit="1" customWidth="1"/>
    <col min="5" max="16384" width="8.85546875" style="1"/>
  </cols>
  <sheetData>
    <row r="2" spans="2:4">
      <c r="B2" s="2" t="s">
        <v>0</v>
      </c>
      <c r="C2" s="3" t="s">
        <v>1</v>
      </c>
      <c r="D2" s="3" t="s">
        <v>2</v>
      </c>
    </row>
    <row r="3" spans="2:4">
      <c r="B3" s="4" t="s">
        <v>3</v>
      </c>
      <c r="C3" s="4" t="s">
        <v>4</v>
      </c>
      <c r="D3" s="5" t="s">
        <v>5</v>
      </c>
    </row>
    <row r="4" spans="2:4">
      <c r="B4" s="4" t="s">
        <v>3</v>
      </c>
      <c r="C4" s="4" t="s">
        <v>6</v>
      </c>
      <c r="D4" s="5" t="s">
        <v>7</v>
      </c>
    </row>
    <row r="5" spans="2:4">
      <c r="B5" s="4" t="s">
        <v>3</v>
      </c>
      <c r="C5" s="4" t="s">
        <v>8</v>
      </c>
      <c r="D5" s="5" t="s">
        <v>9</v>
      </c>
    </row>
    <row r="6" spans="2:4">
      <c r="B6" s="4" t="s">
        <v>3</v>
      </c>
      <c r="C6" s="4" t="s">
        <v>10</v>
      </c>
      <c r="D6" s="5" t="s">
        <v>11</v>
      </c>
    </row>
    <row r="7" spans="2:4">
      <c r="B7" s="4" t="s">
        <v>12</v>
      </c>
      <c r="C7" s="4" t="s">
        <v>13</v>
      </c>
      <c r="D7" s="6" t="s">
        <v>14</v>
      </c>
    </row>
    <row r="8" spans="2:4">
      <c r="B8" s="4" t="s">
        <v>12</v>
      </c>
      <c r="C8" s="4" t="s">
        <v>15</v>
      </c>
      <c r="D8" s="6" t="s">
        <v>16</v>
      </c>
    </row>
    <row r="9" spans="2:4">
      <c r="B9" s="4" t="s">
        <v>12</v>
      </c>
      <c r="C9" s="4" t="s">
        <v>17</v>
      </c>
      <c r="D9" s="6" t="s">
        <v>18</v>
      </c>
    </row>
    <row r="10" spans="2:4">
      <c r="B10" s="4" t="s">
        <v>12</v>
      </c>
      <c r="C10" s="4" t="s">
        <v>19</v>
      </c>
      <c r="D10" s="6" t="s">
        <v>20</v>
      </c>
    </row>
    <row r="11" spans="2:4">
      <c r="B11" s="4" t="s">
        <v>12</v>
      </c>
      <c r="C11" s="4" t="s">
        <v>21</v>
      </c>
      <c r="D11" s="6" t="s">
        <v>22</v>
      </c>
    </row>
    <row r="12" spans="2:4">
      <c r="B12" s="4" t="s">
        <v>12</v>
      </c>
      <c r="C12" s="4" t="s">
        <v>23</v>
      </c>
      <c r="D12" s="6" t="s">
        <v>24</v>
      </c>
    </row>
    <row r="13" spans="2:4">
      <c r="B13" s="4" t="s">
        <v>25</v>
      </c>
      <c r="C13" s="4" t="s">
        <v>26</v>
      </c>
      <c r="D13" s="5" t="s">
        <v>27</v>
      </c>
    </row>
    <row r="14" spans="2:4">
      <c r="B14" s="4" t="s">
        <v>28</v>
      </c>
      <c r="C14" s="4" t="s">
        <v>29</v>
      </c>
      <c r="D14" s="5" t="s">
        <v>30</v>
      </c>
    </row>
    <row r="15" spans="2:4">
      <c r="B15" s="4" t="s">
        <v>31</v>
      </c>
      <c r="C15" s="4" t="s">
        <v>32</v>
      </c>
      <c r="D15" s="5" t="s">
        <v>33</v>
      </c>
    </row>
    <row r="16" spans="2:4">
      <c r="B16" s="4" t="s">
        <v>31</v>
      </c>
      <c r="C16" s="4" t="s">
        <v>34</v>
      </c>
      <c r="D16" s="5" t="s">
        <v>35</v>
      </c>
    </row>
    <row r="17" spans="2:4">
      <c r="B17" s="4" t="s">
        <v>31</v>
      </c>
      <c r="C17" s="4" t="s">
        <v>36</v>
      </c>
      <c r="D17" s="5" t="s">
        <v>37</v>
      </c>
    </row>
    <row r="18" spans="2:4">
      <c r="B18" s="4" t="s">
        <v>31</v>
      </c>
      <c r="C18" s="4" t="s">
        <v>38</v>
      </c>
      <c r="D18" s="5" t="s">
        <v>39</v>
      </c>
    </row>
    <row r="19" spans="2:4">
      <c r="B19" s="4" t="s">
        <v>31</v>
      </c>
      <c r="C19" s="4" t="s">
        <v>40</v>
      </c>
      <c r="D19" s="5" t="s">
        <v>41</v>
      </c>
    </row>
    <row r="20" spans="2:4">
      <c r="B20" s="4" t="s">
        <v>31</v>
      </c>
      <c r="C20" s="4" t="s">
        <v>42</v>
      </c>
      <c r="D20" s="5" t="s">
        <v>43</v>
      </c>
    </row>
    <row r="21" spans="2:4">
      <c r="B21" s="4" t="s">
        <v>31</v>
      </c>
      <c r="C21" s="4" t="s">
        <v>44</v>
      </c>
      <c r="D21" s="5" t="s">
        <v>45</v>
      </c>
    </row>
    <row r="22" spans="2:4">
      <c r="B22" s="4" t="s">
        <v>46</v>
      </c>
      <c r="C22" s="4" t="s">
        <v>47</v>
      </c>
      <c r="D22" s="6" t="s">
        <v>48</v>
      </c>
    </row>
    <row r="23" spans="2:4">
      <c r="B23" s="4" t="s">
        <v>49</v>
      </c>
      <c r="C23" s="4" t="s">
        <v>50</v>
      </c>
      <c r="D23" s="6" t="s">
        <v>51</v>
      </c>
    </row>
    <row r="24" spans="2:4">
      <c r="B24" s="4" t="s">
        <v>46</v>
      </c>
      <c r="C24" s="4" t="s">
        <v>52</v>
      </c>
      <c r="D24" s="6" t="s">
        <v>53</v>
      </c>
    </row>
    <row r="25" spans="2:4">
      <c r="B25" s="4" t="s">
        <v>49</v>
      </c>
      <c r="C25" s="4" t="s">
        <v>54</v>
      </c>
      <c r="D25" s="5" t="s">
        <v>55</v>
      </c>
    </row>
    <row r="26" spans="2:4">
      <c r="B26" s="4" t="s">
        <v>56</v>
      </c>
      <c r="C26" s="4" t="s">
        <v>57</v>
      </c>
      <c r="D26" s="5" t="s">
        <v>58</v>
      </c>
    </row>
    <row r="27" spans="2:4">
      <c r="B27" s="4" t="s">
        <v>56</v>
      </c>
      <c r="C27" s="4" t="s">
        <v>59</v>
      </c>
      <c r="D27" s="5" t="s">
        <v>60</v>
      </c>
    </row>
    <row r="28" spans="2:4">
      <c r="B28" s="4" t="s">
        <v>61</v>
      </c>
      <c r="C28" s="4" t="s">
        <v>62</v>
      </c>
      <c r="D28" s="5" t="s">
        <v>63</v>
      </c>
    </row>
    <row r="29" spans="2:4">
      <c r="B29" s="4" t="s">
        <v>61</v>
      </c>
      <c r="C29" s="4" t="s">
        <v>64</v>
      </c>
      <c r="D29" s="5" t="s">
        <v>65</v>
      </c>
    </row>
    <row r="30" spans="2:4">
      <c r="B30" s="4" t="s">
        <v>61</v>
      </c>
      <c r="C30" s="4" t="s">
        <v>66</v>
      </c>
      <c r="D30" s="5" t="s">
        <v>67</v>
      </c>
    </row>
    <row r="31" spans="2:4">
      <c r="B31" s="4" t="s">
        <v>68</v>
      </c>
      <c r="C31" s="4" t="s">
        <v>69</v>
      </c>
      <c r="D31" s="5" t="s">
        <v>70</v>
      </c>
    </row>
    <row r="32" spans="2:4">
      <c r="B32" s="4" t="s">
        <v>71</v>
      </c>
      <c r="C32" s="4" t="s">
        <v>72</v>
      </c>
      <c r="D32" s="5" t="s">
        <v>73</v>
      </c>
    </row>
    <row r="33" spans="2:4">
      <c r="B33" s="4" t="s">
        <v>71</v>
      </c>
      <c r="C33" s="4" t="s">
        <v>74</v>
      </c>
      <c r="D33" s="5" t="s">
        <v>75</v>
      </c>
    </row>
    <row r="34" spans="2:4">
      <c r="B34" s="4" t="s">
        <v>71</v>
      </c>
      <c r="C34" s="4" t="s">
        <v>76</v>
      </c>
      <c r="D34" s="5" t="s">
        <v>77</v>
      </c>
    </row>
    <row r="35" spans="2:4">
      <c r="B35" s="4" t="s">
        <v>71</v>
      </c>
      <c r="C35" s="4" t="s">
        <v>78</v>
      </c>
      <c r="D35" s="5" t="s">
        <v>79</v>
      </c>
    </row>
    <row r="36" spans="2:4">
      <c r="B36" s="4" t="s">
        <v>71</v>
      </c>
      <c r="C36" s="4" t="s">
        <v>80</v>
      </c>
      <c r="D36" s="5" t="s">
        <v>81</v>
      </c>
    </row>
    <row r="37" spans="2:4">
      <c r="B37" s="4" t="s">
        <v>82</v>
      </c>
      <c r="C37" s="4" t="s">
        <v>83</v>
      </c>
      <c r="D37" s="7" t="s">
        <v>84</v>
      </c>
    </row>
    <row r="38" spans="2:4">
      <c r="B38" s="4" t="s">
        <v>85</v>
      </c>
      <c r="C38" s="4" t="s">
        <v>86</v>
      </c>
      <c r="D38" s="7" t="s">
        <v>87</v>
      </c>
    </row>
    <row r="39" spans="2:4">
      <c r="B39" s="4" t="s">
        <v>85</v>
      </c>
      <c r="C39" s="4" t="s">
        <v>88</v>
      </c>
      <c r="D39" s="7" t="s">
        <v>89</v>
      </c>
    </row>
    <row r="40" spans="2:4">
      <c r="B40" s="4" t="s">
        <v>85</v>
      </c>
      <c r="C40" s="4" t="s">
        <v>90</v>
      </c>
      <c r="D40" s="7" t="s">
        <v>91</v>
      </c>
    </row>
    <row r="41" spans="2:4">
      <c r="B41" s="4" t="s">
        <v>85</v>
      </c>
      <c r="C41" s="4" t="s">
        <v>92</v>
      </c>
      <c r="D41" s="7" t="s">
        <v>93</v>
      </c>
    </row>
    <row r="42" spans="2:4">
      <c r="B42" s="4" t="s">
        <v>85</v>
      </c>
      <c r="C42" s="4" t="s">
        <v>94</v>
      </c>
      <c r="D42" s="7" t="s">
        <v>95</v>
      </c>
    </row>
    <row r="43" spans="2:4">
      <c r="B43" s="4" t="s">
        <v>85</v>
      </c>
      <c r="C43" s="4" t="s">
        <v>96</v>
      </c>
      <c r="D43" s="7" t="s">
        <v>97</v>
      </c>
    </row>
    <row r="44" spans="2:4">
      <c r="B44" s="4" t="s">
        <v>85</v>
      </c>
      <c r="C44" s="4" t="s">
        <v>98</v>
      </c>
      <c r="D44" s="7" t="s">
        <v>99</v>
      </c>
    </row>
    <row r="45" spans="2:4">
      <c r="B45" s="4" t="s">
        <v>85</v>
      </c>
      <c r="C45" s="4" t="s">
        <v>100</v>
      </c>
      <c r="D45" s="7" t="s">
        <v>101</v>
      </c>
    </row>
    <row r="46" spans="2:4">
      <c r="B46" s="4" t="s">
        <v>85</v>
      </c>
      <c r="C46" s="4" t="s">
        <v>102</v>
      </c>
      <c r="D46" s="7" t="s">
        <v>103</v>
      </c>
    </row>
    <row r="47" spans="2:4">
      <c r="B47" s="4" t="s">
        <v>85</v>
      </c>
      <c r="C47" s="4" t="s">
        <v>104</v>
      </c>
      <c r="D47" s="7" t="s">
        <v>105</v>
      </c>
    </row>
    <row r="48" spans="2:4">
      <c r="B48" s="8"/>
      <c r="C48" s="4" t="s">
        <v>106</v>
      </c>
      <c r="D48" s="7" t="s">
        <v>107</v>
      </c>
    </row>
    <row r="49" spans="2:4">
      <c r="B49" s="8"/>
      <c r="C49" s="4" t="s">
        <v>108</v>
      </c>
      <c r="D49" s="7" t="s">
        <v>109</v>
      </c>
    </row>
    <row r="50" spans="2:4">
      <c r="B50" s="8"/>
      <c r="C50" s="4" t="s">
        <v>110</v>
      </c>
      <c r="D50" s="7" t="s">
        <v>111</v>
      </c>
    </row>
    <row r="51" spans="2:4">
      <c r="B51" s="8"/>
      <c r="C51" s="4" t="s">
        <v>112</v>
      </c>
      <c r="D51" s="7" t="s">
        <v>113</v>
      </c>
    </row>
    <row r="52" spans="2:4">
      <c r="B52" s="4" t="s">
        <v>114</v>
      </c>
      <c r="C52" s="4" t="s">
        <v>115</v>
      </c>
      <c r="D52" s="7" t="s">
        <v>116</v>
      </c>
    </row>
    <row r="53" spans="2:4">
      <c r="B53" s="4" t="s">
        <v>114</v>
      </c>
      <c r="C53" s="4" t="s">
        <v>117</v>
      </c>
      <c r="D53" s="5" t="s">
        <v>118</v>
      </c>
    </row>
    <row r="54" spans="2:4">
      <c r="B54" s="4" t="s">
        <v>114</v>
      </c>
      <c r="C54" s="4" t="s">
        <v>119</v>
      </c>
      <c r="D54" s="5" t="s">
        <v>120</v>
      </c>
    </row>
    <row r="55" spans="2:4">
      <c r="B55" s="4" t="s">
        <v>114</v>
      </c>
      <c r="C55" s="4" t="s">
        <v>121</v>
      </c>
      <c r="D55" s="5" t="s">
        <v>122</v>
      </c>
    </row>
    <row r="56" spans="2:4">
      <c r="B56" s="4" t="s">
        <v>114</v>
      </c>
      <c r="C56" s="4" t="s">
        <v>123</v>
      </c>
      <c r="D56" s="5" t="s">
        <v>124</v>
      </c>
    </row>
    <row r="57" spans="2:4">
      <c r="B57" s="4" t="s">
        <v>114</v>
      </c>
      <c r="C57" s="4" t="s">
        <v>125</v>
      </c>
      <c r="D57" s="5" t="s">
        <v>126</v>
      </c>
    </row>
    <row r="58" spans="2:4">
      <c r="B58" s="4" t="s">
        <v>114</v>
      </c>
      <c r="C58" s="4" t="s">
        <v>127</v>
      </c>
      <c r="D58" s="5" t="s">
        <v>128</v>
      </c>
    </row>
    <row r="59" spans="2:4">
      <c r="B59" s="4" t="s">
        <v>114</v>
      </c>
      <c r="C59" s="4" t="s">
        <v>129</v>
      </c>
      <c r="D59" s="7" t="s">
        <v>130</v>
      </c>
    </row>
    <row r="60" spans="2:4">
      <c r="B60" s="8"/>
      <c r="C60" s="4" t="s">
        <v>131</v>
      </c>
      <c r="D60" s="7" t="s">
        <v>132</v>
      </c>
    </row>
    <row r="61" spans="2:4">
      <c r="B61" s="4" t="s">
        <v>133</v>
      </c>
      <c r="C61" s="4" t="s">
        <v>134</v>
      </c>
      <c r="D61" s="7" t="s">
        <v>135</v>
      </c>
    </row>
    <row r="62" spans="2:4">
      <c r="B62" s="4" t="s">
        <v>136</v>
      </c>
      <c r="C62" s="9" t="s">
        <v>137</v>
      </c>
      <c r="D62" s="10" t="s">
        <v>138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ABE4FE-5E79-4537-A1C2-9BF0E1E7735F}">
  <dimension ref="B2:H211"/>
  <sheetViews>
    <sheetView showGridLines="0" topLeftCell="D1" workbookViewId="0">
      <selection activeCell="G5" sqref="G5"/>
    </sheetView>
  </sheetViews>
  <sheetFormatPr defaultRowHeight="14.45"/>
  <cols>
    <col min="1" max="1" width="3.7109375" customWidth="1"/>
    <col min="2" max="2" width="6.85546875" bestFit="1" customWidth="1"/>
    <col min="3" max="3" width="58.7109375" customWidth="1"/>
    <col min="4" max="4" width="7" bestFit="1" customWidth="1"/>
    <col min="5" max="5" width="69.28515625" customWidth="1"/>
    <col min="6" max="6" width="14.85546875" bestFit="1" customWidth="1"/>
    <col min="7" max="7" width="41.85546875" customWidth="1"/>
    <col min="8" max="8" width="13.140625" customWidth="1"/>
  </cols>
  <sheetData>
    <row r="2" spans="2:8">
      <c r="B2" s="33" t="s">
        <v>139</v>
      </c>
      <c r="C2" s="33"/>
      <c r="D2" s="13" t="s">
        <v>140</v>
      </c>
      <c r="E2" s="13"/>
      <c r="F2" s="34" t="s">
        <v>141</v>
      </c>
      <c r="G2" s="34"/>
    </row>
    <row r="3" spans="2:8">
      <c r="B3" s="11" t="s">
        <v>1</v>
      </c>
      <c r="C3" s="11" t="s">
        <v>2</v>
      </c>
      <c r="D3" s="12" t="s">
        <v>1</v>
      </c>
      <c r="E3" s="13" t="s">
        <v>2</v>
      </c>
      <c r="F3" s="14" t="s">
        <v>1</v>
      </c>
      <c r="G3" s="14" t="s">
        <v>2</v>
      </c>
      <c r="H3" s="2" t="s">
        <v>0</v>
      </c>
    </row>
    <row r="4" spans="2:8">
      <c r="B4" s="15" t="s">
        <v>142</v>
      </c>
      <c r="C4" s="15" t="s">
        <v>143</v>
      </c>
      <c r="D4" s="16"/>
      <c r="E4" s="15" t="s">
        <v>143</v>
      </c>
      <c r="F4" s="17"/>
      <c r="G4" s="17"/>
      <c r="H4" s="25"/>
    </row>
    <row r="5" spans="2:8">
      <c r="B5" s="15" t="s">
        <v>144</v>
      </c>
      <c r="C5" s="15" t="s">
        <v>145</v>
      </c>
      <c r="D5" s="16">
        <v>210101</v>
      </c>
      <c r="E5" s="15" t="s">
        <v>145</v>
      </c>
      <c r="F5" s="17" t="s">
        <v>4</v>
      </c>
      <c r="G5" s="17" t="s">
        <v>5</v>
      </c>
      <c r="H5" s="25" t="str">
        <f>INDEX('GD- LT atual'!$B$2:$D$62,MATCH('SFICS e LT'!F5,'GD- LT atual'!$C$2:$C$62,0),1)</f>
        <v>AGFGR001</v>
      </c>
    </row>
    <row r="6" spans="2:8">
      <c r="B6" s="15" t="s">
        <v>146</v>
      </c>
      <c r="C6" s="15" t="s">
        <v>147</v>
      </c>
      <c r="D6" s="16" t="s">
        <v>148</v>
      </c>
      <c r="E6" s="15" t="s">
        <v>147</v>
      </c>
      <c r="F6" s="17" t="s">
        <v>4</v>
      </c>
      <c r="G6" s="17" t="s">
        <v>5</v>
      </c>
      <c r="H6" s="25" t="str">
        <f>INDEX('GD- LT atual'!$B$2:$D$62,MATCH('SFICS e LT'!F6,'GD- LT atual'!$C$2:$C$62,0),1)</f>
        <v>AGFGR001</v>
      </c>
    </row>
    <row r="7" spans="2:8">
      <c r="B7" s="15" t="s">
        <v>149</v>
      </c>
      <c r="C7" s="15" t="s">
        <v>150</v>
      </c>
      <c r="D7" s="16" t="s">
        <v>151</v>
      </c>
      <c r="E7" s="15" t="s">
        <v>150</v>
      </c>
      <c r="F7" s="17" t="s">
        <v>4</v>
      </c>
      <c r="G7" s="17" t="s">
        <v>5</v>
      </c>
      <c r="H7" s="25" t="str">
        <f>INDEX('GD- LT atual'!$B$2:$D$62,MATCH('SFICS e LT'!F7,'GD- LT atual'!$C$2:$C$62,0),1)</f>
        <v>AGFGR001</v>
      </c>
    </row>
    <row r="8" spans="2:8">
      <c r="B8" s="15" t="s">
        <v>152</v>
      </c>
      <c r="C8" s="15" t="s">
        <v>153</v>
      </c>
      <c r="D8" s="16" t="s">
        <v>154</v>
      </c>
      <c r="E8" s="15" t="s">
        <v>153</v>
      </c>
      <c r="F8" s="17" t="s">
        <v>4</v>
      </c>
      <c r="G8" s="17" t="s">
        <v>5</v>
      </c>
      <c r="H8" s="25" t="str">
        <f>INDEX('GD- LT atual'!$B$2:$D$62,MATCH('SFICS e LT'!F8,'GD- LT atual'!$C$2:$C$62,0),1)</f>
        <v>AGFGR001</v>
      </c>
    </row>
    <row r="9" spans="2:8">
      <c r="B9" s="15" t="s">
        <v>155</v>
      </c>
      <c r="C9" s="15" t="s">
        <v>156</v>
      </c>
      <c r="D9" s="16" t="s">
        <v>157</v>
      </c>
      <c r="E9" s="15" t="s">
        <v>156</v>
      </c>
      <c r="F9" s="17" t="s">
        <v>4</v>
      </c>
      <c r="G9" s="17" t="s">
        <v>5</v>
      </c>
      <c r="H9" s="25" t="str">
        <f>INDEX('GD- LT atual'!$B$2:$D$62,MATCH('SFICS e LT'!F9,'GD- LT atual'!$C$2:$C$62,0),1)</f>
        <v>AGFGR001</v>
      </c>
    </row>
    <row r="10" spans="2:8">
      <c r="B10" s="15" t="s">
        <v>158</v>
      </c>
      <c r="C10" s="15" t="s">
        <v>159</v>
      </c>
      <c r="D10" s="16" t="s">
        <v>160</v>
      </c>
      <c r="E10" s="15" t="s">
        <v>159</v>
      </c>
      <c r="F10" s="17" t="s">
        <v>4</v>
      </c>
      <c r="G10" s="17" t="s">
        <v>5</v>
      </c>
      <c r="H10" s="25" t="str">
        <f>INDEX('GD- LT atual'!$B$2:$D$62,MATCH('SFICS e LT'!F10,'GD- LT atual'!$C$2:$C$62,0),1)</f>
        <v>AGFGR001</v>
      </c>
    </row>
    <row r="11" spans="2:8">
      <c r="B11" s="15" t="s">
        <v>161</v>
      </c>
      <c r="C11" s="15" t="s">
        <v>162</v>
      </c>
      <c r="D11" s="16" t="s">
        <v>163</v>
      </c>
      <c r="E11" s="15" t="s">
        <v>162</v>
      </c>
      <c r="F11" s="17" t="s">
        <v>4</v>
      </c>
      <c r="G11" s="17" t="s">
        <v>5</v>
      </c>
      <c r="H11" s="25" t="str">
        <f>INDEX('GD- LT atual'!$B$2:$D$62,MATCH('SFICS e LT'!F11,'GD- LT atual'!$C$2:$C$62,0),1)</f>
        <v>AGFGR001</v>
      </c>
    </row>
    <row r="12" spans="2:8">
      <c r="B12" s="15" t="s">
        <v>164</v>
      </c>
      <c r="C12" s="15" t="s">
        <v>165</v>
      </c>
      <c r="D12" s="16" t="s">
        <v>166</v>
      </c>
      <c r="E12" s="15" t="s">
        <v>165</v>
      </c>
      <c r="F12" s="17" t="s">
        <v>4</v>
      </c>
      <c r="G12" s="17" t="s">
        <v>5</v>
      </c>
      <c r="H12" s="25" t="str">
        <f>INDEX('GD- LT atual'!$B$2:$D$62,MATCH('SFICS e LT'!F12,'GD- LT atual'!$C$2:$C$62,0),1)</f>
        <v>AGFGR001</v>
      </c>
    </row>
    <row r="13" spans="2:8">
      <c r="B13" s="15" t="s">
        <v>167</v>
      </c>
      <c r="C13" s="15" t="s">
        <v>168</v>
      </c>
      <c r="D13" s="16" t="s">
        <v>169</v>
      </c>
      <c r="E13" s="15" t="s">
        <v>168</v>
      </c>
      <c r="F13" s="17" t="s">
        <v>8</v>
      </c>
      <c r="G13" s="17" t="s">
        <v>9</v>
      </c>
      <c r="H13" s="25" t="str">
        <f>INDEX('GD- LT atual'!$B$2:$D$62,MATCH('SFICS e LT'!F13,'GD- LT atual'!$C$2:$C$62,0),1)</f>
        <v>AGFGR001</v>
      </c>
    </row>
    <row r="14" spans="2:8">
      <c r="B14" s="15" t="s">
        <v>170</v>
      </c>
      <c r="C14" s="15" t="s">
        <v>171</v>
      </c>
      <c r="D14" s="16" t="s">
        <v>172</v>
      </c>
      <c r="E14" s="15" t="s">
        <v>171</v>
      </c>
      <c r="F14" s="17" t="s">
        <v>10</v>
      </c>
      <c r="G14" s="17" t="s">
        <v>11</v>
      </c>
      <c r="H14" s="25" t="str">
        <f>INDEX('GD- LT atual'!$B$2:$D$62,MATCH('SFICS e LT'!F14,'GD- LT atual'!$C$2:$C$62,0),1)</f>
        <v>AGFGR001</v>
      </c>
    </row>
    <row r="15" spans="2:8">
      <c r="B15" s="15" t="s">
        <v>173</v>
      </c>
      <c r="C15" s="15" t="s">
        <v>174</v>
      </c>
      <c r="D15" s="16" t="s">
        <v>175</v>
      </c>
      <c r="E15" s="15" t="s">
        <v>174</v>
      </c>
      <c r="F15" s="17" t="s">
        <v>10</v>
      </c>
      <c r="G15" s="17" t="s">
        <v>11</v>
      </c>
      <c r="H15" s="25" t="str">
        <f>INDEX('GD- LT atual'!$B$2:$D$62,MATCH('SFICS e LT'!F15,'GD- LT atual'!$C$2:$C$62,0),1)</f>
        <v>AGFGR001</v>
      </c>
    </row>
    <row r="16" spans="2:8">
      <c r="B16" s="15" t="s">
        <v>176</v>
      </c>
      <c r="C16" s="15" t="s">
        <v>177</v>
      </c>
      <c r="D16" s="16" t="s">
        <v>178</v>
      </c>
      <c r="E16" s="15" t="s">
        <v>177</v>
      </c>
      <c r="F16" s="17" t="s">
        <v>10</v>
      </c>
      <c r="G16" s="17" t="s">
        <v>11</v>
      </c>
      <c r="H16" s="25" t="str">
        <f>INDEX('GD- LT atual'!$B$2:$D$62,MATCH('SFICS e LT'!F16,'GD- LT atual'!$C$2:$C$62,0),1)</f>
        <v>AGFGR001</v>
      </c>
    </row>
    <row r="17" spans="2:8">
      <c r="B17" s="15" t="s">
        <v>179</v>
      </c>
      <c r="C17" s="15" t="s">
        <v>180</v>
      </c>
      <c r="D17" s="16" t="s">
        <v>181</v>
      </c>
      <c r="E17" s="15" t="s">
        <v>180</v>
      </c>
      <c r="F17" s="17" t="s">
        <v>6</v>
      </c>
      <c r="G17" s="17" t="s">
        <v>7</v>
      </c>
      <c r="H17" s="25" t="str">
        <f>INDEX('GD- LT atual'!$B$2:$D$62,MATCH('SFICS e LT'!F17,'GD- LT atual'!$C$2:$C$62,0),1)</f>
        <v>AGFGR001</v>
      </c>
    </row>
    <row r="18" spans="2:8">
      <c r="B18" s="15" t="s">
        <v>182</v>
      </c>
      <c r="C18" s="15" t="s">
        <v>183</v>
      </c>
      <c r="D18" s="16" t="s">
        <v>184</v>
      </c>
      <c r="E18" s="15" t="s">
        <v>183</v>
      </c>
      <c r="F18" s="17" t="s">
        <v>8</v>
      </c>
      <c r="G18" s="17" t="s">
        <v>9</v>
      </c>
      <c r="H18" s="25" t="str">
        <f>INDEX('GD- LT atual'!$B$2:$D$62,MATCH('SFICS e LT'!F18,'GD- LT atual'!$C$2:$C$62,0),1)</f>
        <v>AGFGR001</v>
      </c>
    </row>
    <row r="19" spans="2:8">
      <c r="B19" s="15" t="s">
        <v>185</v>
      </c>
      <c r="C19" s="15" t="s">
        <v>186</v>
      </c>
      <c r="D19" s="16" t="s">
        <v>187</v>
      </c>
      <c r="E19" s="15" t="s">
        <v>186</v>
      </c>
      <c r="F19" s="17" t="s">
        <v>8</v>
      </c>
      <c r="G19" s="17" t="s">
        <v>9</v>
      </c>
      <c r="H19" s="25" t="str">
        <f>INDEX('GD- LT atual'!$B$2:$D$62,MATCH('SFICS e LT'!F19,'GD- LT atual'!$C$2:$C$62,0),1)</f>
        <v>AGFGR001</v>
      </c>
    </row>
    <row r="20" spans="2:8">
      <c r="B20" s="15" t="s">
        <v>188</v>
      </c>
      <c r="C20" s="15" t="s">
        <v>189</v>
      </c>
      <c r="D20" s="16" t="s">
        <v>190</v>
      </c>
      <c r="E20" s="15" t="s">
        <v>189</v>
      </c>
      <c r="F20" s="17" t="s">
        <v>8</v>
      </c>
      <c r="G20" s="17" t="s">
        <v>9</v>
      </c>
      <c r="H20" s="25" t="str">
        <f>INDEX('GD- LT atual'!$B$2:$D$62,MATCH('SFICS e LT'!F20,'GD- LT atual'!$C$2:$C$62,0),1)</f>
        <v>AGFGR001</v>
      </c>
    </row>
    <row r="21" spans="2:8">
      <c r="B21" s="15" t="s">
        <v>191</v>
      </c>
      <c r="C21" s="15" t="s">
        <v>192</v>
      </c>
      <c r="D21" s="16" t="s">
        <v>193</v>
      </c>
      <c r="E21" s="15" t="s">
        <v>192</v>
      </c>
      <c r="F21" s="17" t="s">
        <v>4</v>
      </c>
      <c r="G21" s="17" t="s">
        <v>5</v>
      </c>
      <c r="H21" s="25" t="str">
        <f>INDEX('GD- LT atual'!$B$2:$D$62,MATCH('SFICS e LT'!F21,'GD- LT atual'!$C$2:$C$62,0),1)</f>
        <v>AGFGR001</v>
      </c>
    </row>
    <row r="22" spans="2:8">
      <c r="B22" s="15" t="s">
        <v>194</v>
      </c>
      <c r="C22" s="15" t="s">
        <v>195</v>
      </c>
      <c r="D22" s="16" t="s">
        <v>196</v>
      </c>
      <c r="E22" s="15" t="s">
        <v>195</v>
      </c>
      <c r="F22" s="17" t="s">
        <v>4</v>
      </c>
      <c r="G22" s="17" t="s">
        <v>5</v>
      </c>
      <c r="H22" s="25" t="str">
        <f>INDEX('GD- LT atual'!$B$2:$D$62,MATCH('SFICS e LT'!F22,'GD- LT atual'!$C$2:$C$62,0),1)</f>
        <v>AGFGR001</v>
      </c>
    </row>
    <row r="23" spans="2:8">
      <c r="B23" s="15" t="s">
        <v>197</v>
      </c>
      <c r="C23" s="15" t="s">
        <v>198</v>
      </c>
      <c r="D23" s="16" t="s">
        <v>199</v>
      </c>
      <c r="E23" s="15" t="s">
        <v>198</v>
      </c>
      <c r="F23" s="17" t="s">
        <v>4</v>
      </c>
      <c r="G23" s="17" t="s">
        <v>5</v>
      </c>
      <c r="H23" s="25" t="str">
        <f>INDEX('GD- LT atual'!$B$2:$D$62,MATCH('SFICS e LT'!F23,'GD- LT atual'!$C$2:$C$62,0),1)</f>
        <v>AGFGR001</v>
      </c>
    </row>
    <row r="24" spans="2:8">
      <c r="B24" s="15" t="s">
        <v>200</v>
      </c>
      <c r="C24" s="15" t="s">
        <v>201</v>
      </c>
      <c r="D24" s="16" t="s">
        <v>202</v>
      </c>
      <c r="E24" s="15" t="s">
        <v>201</v>
      </c>
      <c r="F24" s="17" t="s">
        <v>4</v>
      </c>
      <c r="G24" s="17" t="s">
        <v>5</v>
      </c>
      <c r="H24" s="25" t="str">
        <f>INDEX('GD- LT atual'!$B$2:$D$62,MATCH('SFICS e LT'!F24,'GD- LT atual'!$C$2:$C$62,0),1)</f>
        <v>AGFGR001</v>
      </c>
    </row>
    <row r="25" spans="2:8">
      <c r="B25" s="15" t="s">
        <v>203</v>
      </c>
      <c r="C25" s="15" t="s">
        <v>204</v>
      </c>
      <c r="D25" s="16" t="s">
        <v>205</v>
      </c>
      <c r="E25" s="15" t="s">
        <v>204</v>
      </c>
      <c r="F25" s="17" t="s">
        <v>4</v>
      </c>
      <c r="G25" s="17" t="s">
        <v>5</v>
      </c>
      <c r="H25" s="25" t="str">
        <f>INDEX('GD- LT atual'!$B$2:$D$62,MATCH('SFICS e LT'!F25,'GD- LT atual'!$C$2:$C$62,0),1)</f>
        <v>AGFGR001</v>
      </c>
    </row>
    <row r="26" spans="2:8">
      <c r="B26" s="15" t="s">
        <v>206</v>
      </c>
      <c r="C26" s="15" t="s">
        <v>207</v>
      </c>
      <c r="D26" s="16" t="s">
        <v>208</v>
      </c>
      <c r="E26" s="15" t="s">
        <v>207</v>
      </c>
      <c r="F26" s="17" t="s">
        <v>4</v>
      </c>
      <c r="G26" s="17" t="s">
        <v>5</v>
      </c>
      <c r="H26" s="25" t="str">
        <f>INDEX('GD- LT atual'!$B$2:$D$62,MATCH('SFICS e LT'!F26,'GD- LT atual'!$C$2:$C$62,0),1)</f>
        <v>AGFGR001</v>
      </c>
    </row>
    <row r="27" spans="2:8">
      <c r="B27" s="15" t="s">
        <v>209</v>
      </c>
      <c r="C27" s="15" t="s">
        <v>210</v>
      </c>
      <c r="D27" s="16" t="s">
        <v>211</v>
      </c>
      <c r="E27" s="15" t="s">
        <v>210</v>
      </c>
      <c r="F27" s="17" t="s">
        <v>4</v>
      </c>
      <c r="G27" s="17" t="s">
        <v>5</v>
      </c>
      <c r="H27" s="25" t="str">
        <f>INDEX('GD- LT atual'!$B$2:$D$62,MATCH('SFICS e LT'!F27,'GD- LT atual'!$C$2:$C$62,0),1)</f>
        <v>AGFGR001</v>
      </c>
    </row>
    <row r="28" spans="2:8">
      <c r="B28" s="15" t="s">
        <v>212</v>
      </c>
      <c r="C28" s="15" t="s">
        <v>213</v>
      </c>
      <c r="D28" s="16" t="s">
        <v>214</v>
      </c>
      <c r="E28" s="15" t="s">
        <v>213</v>
      </c>
      <c r="F28" s="17" t="s">
        <v>4</v>
      </c>
      <c r="G28" s="17" t="s">
        <v>5</v>
      </c>
      <c r="H28" s="25" t="str">
        <f>INDEX('GD- LT atual'!$B$2:$D$62,MATCH('SFICS e LT'!F28,'GD- LT atual'!$C$2:$C$62,0),1)</f>
        <v>AGFGR001</v>
      </c>
    </row>
    <row r="29" spans="2:8">
      <c r="B29" s="15" t="s">
        <v>215</v>
      </c>
      <c r="C29" s="15" t="s">
        <v>216</v>
      </c>
      <c r="D29" s="16" t="s">
        <v>217</v>
      </c>
      <c r="E29" s="15" t="s">
        <v>216</v>
      </c>
      <c r="F29" s="17" t="s">
        <v>4</v>
      </c>
      <c r="G29" s="17" t="s">
        <v>5</v>
      </c>
      <c r="H29" s="25" t="str">
        <f>INDEX('GD- LT atual'!$B$2:$D$62,MATCH('SFICS e LT'!F29,'GD- LT atual'!$C$2:$C$62,0),1)</f>
        <v>AGFGR001</v>
      </c>
    </row>
    <row r="30" spans="2:8">
      <c r="B30" s="18" t="s">
        <v>218</v>
      </c>
      <c r="C30" s="18" t="s">
        <v>219</v>
      </c>
      <c r="D30" s="19" t="s">
        <v>220</v>
      </c>
      <c r="E30" s="18" t="s">
        <v>219</v>
      </c>
      <c r="F30" s="20" t="s">
        <v>221</v>
      </c>
      <c r="G30" s="20"/>
      <c r="H30" s="25" t="e">
        <f>INDEX('GD- LT atual'!$B$2:$D$62,MATCH('SFICS e LT'!F30,'GD- LT atual'!$C$2:$C$62,0),1)</f>
        <v>#N/A</v>
      </c>
    </row>
    <row r="31" spans="2:8">
      <c r="B31" s="15" t="s">
        <v>222</v>
      </c>
      <c r="C31" s="15" t="s">
        <v>223</v>
      </c>
      <c r="D31" s="16" t="s">
        <v>224</v>
      </c>
      <c r="E31" s="15" t="s">
        <v>223</v>
      </c>
      <c r="F31" s="17" t="s">
        <v>6</v>
      </c>
      <c r="G31" s="17" t="s">
        <v>7</v>
      </c>
      <c r="H31" s="25" t="str">
        <f>INDEX('GD- LT atual'!$B$2:$D$62,MATCH('SFICS e LT'!F31,'GD- LT atual'!$C$2:$C$62,0),1)</f>
        <v>AGFGR001</v>
      </c>
    </row>
    <row r="32" spans="2:8">
      <c r="B32" s="18" t="s">
        <v>225</v>
      </c>
      <c r="C32" s="18" t="s">
        <v>226</v>
      </c>
      <c r="D32" s="19" t="s">
        <v>227</v>
      </c>
      <c r="E32" s="18" t="s">
        <v>226</v>
      </c>
      <c r="F32" s="20" t="s">
        <v>221</v>
      </c>
      <c r="G32" s="20"/>
      <c r="H32" s="25" t="e">
        <f>INDEX('GD- LT atual'!$B$2:$D$62,MATCH('SFICS e LT'!F32,'GD- LT atual'!$C$2:$C$62,0),1)</f>
        <v>#N/A</v>
      </c>
    </row>
    <row r="33" spans="2:8">
      <c r="B33" s="18" t="s">
        <v>228</v>
      </c>
      <c r="C33" s="18" t="s">
        <v>229</v>
      </c>
      <c r="D33" s="19" t="s">
        <v>230</v>
      </c>
      <c r="E33" s="18" t="s">
        <v>229</v>
      </c>
      <c r="F33" s="20" t="s">
        <v>221</v>
      </c>
      <c r="G33" s="20"/>
      <c r="H33" s="25" t="e">
        <f>INDEX('GD- LT atual'!$B$2:$D$62,MATCH('SFICS e LT'!F33,'GD- LT atual'!$C$2:$C$62,0),1)</f>
        <v>#N/A</v>
      </c>
    </row>
    <row r="34" spans="2:8">
      <c r="B34" s="18" t="s">
        <v>231</v>
      </c>
      <c r="C34" s="18" t="s">
        <v>232</v>
      </c>
      <c r="D34" s="19" t="s">
        <v>233</v>
      </c>
      <c r="E34" s="18" t="s">
        <v>232</v>
      </c>
      <c r="F34" s="20" t="s">
        <v>221</v>
      </c>
      <c r="G34" s="20"/>
      <c r="H34" s="25" t="e">
        <f>INDEX('GD- LT atual'!$B$2:$D$62,MATCH('SFICS e LT'!F34,'GD- LT atual'!$C$2:$C$62,0),1)</f>
        <v>#N/A</v>
      </c>
    </row>
    <row r="35" spans="2:8">
      <c r="B35" s="18" t="s">
        <v>234</v>
      </c>
      <c r="C35" s="18" t="s">
        <v>235</v>
      </c>
      <c r="D35" s="19" t="s">
        <v>236</v>
      </c>
      <c r="E35" s="18" t="s">
        <v>235</v>
      </c>
      <c r="F35" s="20" t="s">
        <v>221</v>
      </c>
      <c r="G35" s="20"/>
      <c r="H35" s="25" t="e">
        <f>INDEX('GD- LT atual'!$B$2:$D$62,MATCH('SFICS e LT'!F35,'GD- LT atual'!$C$2:$C$62,0),1)</f>
        <v>#N/A</v>
      </c>
    </row>
    <row r="36" spans="2:8">
      <c r="B36" s="15" t="s">
        <v>237</v>
      </c>
      <c r="C36" s="15" t="s">
        <v>238</v>
      </c>
      <c r="D36" s="16">
        <v>210701</v>
      </c>
      <c r="E36" s="15" t="s">
        <v>239</v>
      </c>
      <c r="F36" s="21" t="s">
        <v>92</v>
      </c>
      <c r="G36" s="21" t="s">
        <v>93</v>
      </c>
      <c r="H36" s="25" t="str">
        <f>INDEX('GD- LT atual'!$B$2:$D$62,MATCH('SFICS e LT'!F36,'GD- LT atual'!$C$2:$C$62,0),1)</f>
        <v>AGFSO001</v>
      </c>
    </row>
    <row r="37" spans="2:8">
      <c r="B37" s="15" t="s">
        <v>240</v>
      </c>
      <c r="C37" s="15" t="s">
        <v>241</v>
      </c>
      <c r="D37" s="16" t="s">
        <v>221</v>
      </c>
      <c r="E37" s="17"/>
      <c r="F37" s="17" t="s">
        <v>221</v>
      </c>
      <c r="G37" s="17"/>
      <c r="H37" s="25" t="e">
        <f>INDEX('GD- LT atual'!$B$2:$D$62,MATCH('SFICS e LT'!F37,'GD- LT atual'!$C$2:$C$62,0),1)</f>
        <v>#N/A</v>
      </c>
    </row>
    <row r="38" spans="2:8">
      <c r="B38" s="15" t="s">
        <v>242</v>
      </c>
      <c r="C38" s="15" t="s">
        <v>243</v>
      </c>
      <c r="D38" s="16"/>
      <c r="E38" s="15" t="s">
        <v>243</v>
      </c>
      <c r="F38" s="17"/>
      <c r="G38" s="17"/>
      <c r="H38" s="25" t="e">
        <f>INDEX('GD- LT atual'!$B$2:$D$62,MATCH('SFICS e LT'!F38,'GD- LT atual'!$C$2:$C$62,0),1)</f>
        <v>#N/A</v>
      </c>
    </row>
    <row r="39" spans="2:8">
      <c r="B39" s="15" t="s">
        <v>244</v>
      </c>
      <c r="C39" s="15" t="s">
        <v>245</v>
      </c>
      <c r="D39" s="16" t="s">
        <v>246</v>
      </c>
      <c r="E39" s="15" t="s">
        <v>245</v>
      </c>
      <c r="F39" s="17" t="s">
        <v>13</v>
      </c>
      <c r="G39" s="17" t="s">
        <v>14</v>
      </c>
      <c r="H39" s="25" t="str">
        <f>INDEX('GD- LT atual'!$B$2:$D$62,MATCH('SFICS e LT'!F39,'GD- LT atual'!$C$2:$C$62,0),1)</f>
        <v>AGFGR002</v>
      </c>
    </row>
    <row r="40" spans="2:8">
      <c r="B40" s="15" t="s">
        <v>247</v>
      </c>
      <c r="C40" s="15" t="s">
        <v>248</v>
      </c>
      <c r="D40" s="16" t="s">
        <v>249</v>
      </c>
      <c r="E40" s="15" t="s">
        <v>248</v>
      </c>
      <c r="F40" s="17" t="s">
        <v>13</v>
      </c>
      <c r="G40" s="17" t="s">
        <v>14</v>
      </c>
      <c r="H40" s="25" t="str">
        <f>INDEX('GD- LT atual'!$B$2:$D$62,MATCH('SFICS e LT'!F40,'GD- LT atual'!$C$2:$C$62,0),1)</f>
        <v>AGFGR002</v>
      </c>
    </row>
    <row r="41" spans="2:8">
      <c r="B41" s="15" t="s">
        <v>250</v>
      </c>
      <c r="C41" s="15" t="s">
        <v>251</v>
      </c>
      <c r="D41" s="16" t="s">
        <v>252</v>
      </c>
      <c r="E41" s="15" t="s">
        <v>251</v>
      </c>
      <c r="F41" s="17" t="s">
        <v>13</v>
      </c>
      <c r="G41" s="17" t="s">
        <v>14</v>
      </c>
      <c r="H41" s="25" t="str">
        <f>INDEX('GD- LT atual'!$B$2:$D$62,MATCH('SFICS e LT'!F41,'GD- LT atual'!$C$2:$C$62,0),1)</f>
        <v>AGFGR002</v>
      </c>
    </row>
    <row r="42" spans="2:8">
      <c r="B42" s="15" t="s">
        <v>253</v>
      </c>
      <c r="C42" s="15" t="s">
        <v>254</v>
      </c>
      <c r="D42" s="16" t="s">
        <v>255</v>
      </c>
      <c r="E42" s="15" t="s">
        <v>254</v>
      </c>
      <c r="F42" s="17" t="s">
        <v>26</v>
      </c>
      <c r="G42" s="17" t="s">
        <v>27</v>
      </c>
      <c r="H42" s="25" t="str">
        <f>INDEX('GD- LT atual'!$B$2:$D$62,MATCH('SFICS e LT'!F42,'GD- LT atual'!$C$2:$C$62,0),1)</f>
        <v>AGFGR003</v>
      </c>
    </row>
    <row r="43" spans="2:8">
      <c r="B43" s="15" t="s">
        <v>256</v>
      </c>
      <c r="C43" s="15" t="s">
        <v>257</v>
      </c>
      <c r="D43" s="16" t="s">
        <v>258</v>
      </c>
      <c r="E43" s="15" t="s">
        <v>257</v>
      </c>
      <c r="F43" s="17" t="s">
        <v>26</v>
      </c>
      <c r="G43" s="17" t="s">
        <v>27</v>
      </c>
      <c r="H43" s="25" t="str">
        <f>INDEX('GD- LT atual'!$B$2:$D$62,MATCH('SFICS e LT'!F43,'GD- LT atual'!$C$2:$C$62,0),1)</f>
        <v>AGFGR003</v>
      </c>
    </row>
    <row r="44" spans="2:8">
      <c r="B44" s="15" t="s">
        <v>259</v>
      </c>
      <c r="C44" s="15" t="s">
        <v>260</v>
      </c>
      <c r="D44" s="16" t="s">
        <v>261</v>
      </c>
      <c r="E44" s="15" t="s">
        <v>260</v>
      </c>
      <c r="F44" s="17" t="s">
        <v>13</v>
      </c>
      <c r="G44" s="17" t="s">
        <v>14</v>
      </c>
      <c r="H44" s="25" t="str">
        <f>INDEX('GD- LT atual'!$B$2:$D$62,MATCH('SFICS e LT'!F44,'GD- LT atual'!$C$2:$C$62,0),1)</f>
        <v>AGFGR002</v>
      </c>
    </row>
    <row r="45" spans="2:8">
      <c r="B45" s="15" t="s">
        <v>262</v>
      </c>
      <c r="C45" s="15" t="s">
        <v>263</v>
      </c>
      <c r="D45" s="16" t="s">
        <v>264</v>
      </c>
      <c r="E45" s="15" t="s">
        <v>263</v>
      </c>
      <c r="F45" s="17" t="s">
        <v>19</v>
      </c>
      <c r="G45" s="17" t="s">
        <v>20</v>
      </c>
      <c r="H45" s="25" t="str">
        <f>INDEX('GD- LT atual'!$B$2:$D$62,MATCH('SFICS e LT'!F45,'GD- LT atual'!$C$2:$C$62,0),1)</f>
        <v>AGFGR002</v>
      </c>
    </row>
    <row r="46" spans="2:8">
      <c r="B46" s="15" t="s">
        <v>265</v>
      </c>
      <c r="C46" s="15" t="s">
        <v>266</v>
      </c>
      <c r="D46" s="16" t="s">
        <v>267</v>
      </c>
      <c r="E46" s="15" t="s">
        <v>266</v>
      </c>
      <c r="F46" s="17" t="s">
        <v>19</v>
      </c>
      <c r="G46" s="17" t="s">
        <v>20</v>
      </c>
      <c r="H46" s="25" t="str">
        <f>INDEX('GD- LT atual'!$B$2:$D$62,MATCH('SFICS e LT'!F46,'GD- LT atual'!$C$2:$C$62,0),1)</f>
        <v>AGFGR002</v>
      </c>
    </row>
    <row r="47" spans="2:8">
      <c r="B47" s="15" t="s">
        <v>268</v>
      </c>
      <c r="C47" s="15" t="s">
        <v>269</v>
      </c>
      <c r="D47" s="16" t="s">
        <v>270</v>
      </c>
      <c r="E47" s="15" t="s">
        <v>269</v>
      </c>
      <c r="F47" s="17" t="s">
        <v>21</v>
      </c>
      <c r="G47" s="17" t="s">
        <v>22</v>
      </c>
      <c r="H47" s="25" t="str">
        <f>INDEX('GD- LT atual'!$B$2:$D$62,MATCH('SFICS e LT'!F47,'GD- LT atual'!$C$2:$C$62,0),1)</f>
        <v>AGFGR002</v>
      </c>
    </row>
    <row r="48" spans="2:8">
      <c r="B48" s="15" t="s">
        <v>271</v>
      </c>
      <c r="C48" s="15" t="s">
        <v>272</v>
      </c>
      <c r="D48" s="16" t="s">
        <v>273</v>
      </c>
      <c r="E48" s="15" t="s">
        <v>272</v>
      </c>
      <c r="F48" s="17" t="s">
        <v>19</v>
      </c>
      <c r="G48" s="17" t="s">
        <v>20</v>
      </c>
      <c r="H48" s="25" t="str">
        <f>INDEX('GD- LT atual'!$B$2:$D$62,MATCH('SFICS e LT'!F48,'GD- LT atual'!$C$2:$C$62,0),1)</f>
        <v>AGFGR002</v>
      </c>
    </row>
    <row r="49" spans="2:8">
      <c r="B49" s="15" t="s">
        <v>274</v>
      </c>
      <c r="C49" s="15" t="s">
        <v>275</v>
      </c>
      <c r="D49" s="16" t="s">
        <v>276</v>
      </c>
      <c r="E49" s="15" t="s">
        <v>275</v>
      </c>
      <c r="F49" s="17" t="s">
        <v>19</v>
      </c>
      <c r="G49" s="17" t="s">
        <v>20</v>
      </c>
      <c r="H49" s="25" t="str">
        <f>INDEX('GD- LT atual'!$B$2:$D$62,MATCH('SFICS e LT'!F49,'GD- LT atual'!$C$2:$C$62,0),1)</f>
        <v>AGFGR002</v>
      </c>
    </row>
    <row r="50" spans="2:8">
      <c r="B50" s="15" t="s">
        <v>277</v>
      </c>
      <c r="C50" s="15" t="s">
        <v>278</v>
      </c>
      <c r="D50" s="16" t="s">
        <v>279</v>
      </c>
      <c r="E50" s="15" t="s">
        <v>278</v>
      </c>
      <c r="F50" s="17" t="s">
        <v>21</v>
      </c>
      <c r="G50" s="17" t="s">
        <v>22</v>
      </c>
      <c r="H50" s="25" t="str">
        <f>INDEX('GD- LT atual'!$B$2:$D$62,MATCH('SFICS e LT'!F50,'GD- LT atual'!$C$2:$C$62,0),1)</f>
        <v>AGFGR002</v>
      </c>
    </row>
    <row r="51" spans="2:8">
      <c r="B51" s="15" t="s">
        <v>280</v>
      </c>
      <c r="C51" s="15" t="s">
        <v>281</v>
      </c>
      <c r="D51" s="16" t="s">
        <v>282</v>
      </c>
      <c r="E51" s="15" t="s">
        <v>281</v>
      </c>
      <c r="F51" s="17" t="s">
        <v>26</v>
      </c>
      <c r="G51" s="17" t="s">
        <v>27</v>
      </c>
      <c r="H51" s="25" t="str">
        <f>INDEX('GD- LT atual'!$B$2:$D$62,MATCH('SFICS e LT'!F51,'GD- LT atual'!$C$2:$C$62,0),1)</f>
        <v>AGFGR003</v>
      </c>
    </row>
    <row r="52" spans="2:8">
      <c r="B52" s="15" t="s">
        <v>283</v>
      </c>
      <c r="C52" s="15" t="s">
        <v>284</v>
      </c>
      <c r="D52" s="16" t="s">
        <v>285</v>
      </c>
      <c r="E52" s="15" t="s">
        <v>284</v>
      </c>
      <c r="F52" s="17" t="s">
        <v>26</v>
      </c>
      <c r="G52" s="17" t="s">
        <v>27</v>
      </c>
      <c r="H52" s="25" t="str">
        <f>INDEX('GD- LT atual'!$B$2:$D$62,MATCH('SFICS e LT'!F52,'GD- LT atual'!$C$2:$C$62,0),1)</f>
        <v>AGFGR003</v>
      </c>
    </row>
    <row r="53" spans="2:8">
      <c r="B53" s="15" t="s">
        <v>286</v>
      </c>
      <c r="C53" s="15" t="s">
        <v>287</v>
      </c>
      <c r="D53" s="16" t="s">
        <v>288</v>
      </c>
      <c r="E53" s="15" t="s">
        <v>287</v>
      </c>
      <c r="F53" s="17" t="s">
        <v>26</v>
      </c>
      <c r="G53" s="17" t="s">
        <v>27</v>
      </c>
      <c r="H53" s="25" t="str">
        <f>INDEX('GD- LT atual'!$B$2:$D$62,MATCH('SFICS e LT'!F53,'GD- LT atual'!$C$2:$C$62,0),1)</f>
        <v>AGFGR003</v>
      </c>
    </row>
    <row r="54" spans="2:8">
      <c r="B54" s="15" t="s">
        <v>289</v>
      </c>
      <c r="C54" s="15" t="s">
        <v>290</v>
      </c>
      <c r="D54" s="16" t="s">
        <v>291</v>
      </c>
      <c r="E54" s="15" t="s">
        <v>290</v>
      </c>
      <c r="F54" s="17" t="s">
        <v>26</v>
      </c>
      <c r="G54" s="17" t="s">
        <v>27</v>
      </c>
      <c r="H54" s="25" t="str">
        <f>INDEX('GD- LT atual'!$B$2:$D$62,MATCH('SFICS e LT'!F54,'GD- LT atual'!$C$2:$C$62,0),1)</f>
        <v>AGFGR003</v>
      </c>
    </row>
    <row r="55" spans="2:8">
      <c r="B55" s="15" t="s">
        <v>292</v>
      </c>
      <c r="C55" s="15" t="s">
        <v>293</v>
      </c>
      <c r="D55" s="16">
        <v>220404</v>
      </c>
      <c r="E55" s="15" t="s">
        <v>293</v>
      </c>
      <c r="F55" s="17" t="s">
        <v>26</v>
      </c>
      <c r="G55" s="17" t="s">
        <v>27</v>
      </c>
      <c r="H55" s="25" t="str">
        <f>INDEX('GD- LT atual'!$B$2:$D$62,MATCH('SFICS e LT'!F55,'GD- LT atual'!$C$2:$C$62,0),1)</f>
        <v>AGFGR003</v>
      </c>
    </row>
    <row r="56" spans="2:8">
      <c r="B56" s="15" t="s">
        <v>294</v>
      </c>
      <c r="C56" s="15" t="s">
        <v>295</v>
      </c>
      <c r="D56" s="16" t="s">
        <v>296</v>
      </c>
      <c r="E56" s="15" t="s">
        <v>295</v>
      </c>
      <c r="F56" s="17" t="s">
        <v>26</v>
      </c>
      <c r="G56" s="17" t="s">
        <v>27</v>
      </c>
      <c r="H56" s="25" t="str">
        <f>INDEX('GD- LT atual'!$B$2:$D$62,MATCH('SFICS e LT'!F56,'GD- LT atual'!$C$2:$C$62,0),1)</f>
        <v>AGFGR003</v>
      </c>
    </row>
    <row r="57" spans="2:8">
      <c r="B57" s="15" t="s">
        <v>297</v>
      </c>
      <c r="C57" s="15" t="s">
        <v>298</v>
      </c>
      <c r="D57" s="16" t="s">
        <v>299</v>
      </c>
      <c r="E57" s="15" t="s">
        <v>298</v>
      </c>
      <c r="F57" s="17" t="s">
        <v>26</v>
      </c>
      <c r="G57" s="17" t="s">
        <v>27</v>
      </c>
      <c r="H57" s="25" t="str">
        <f>INDEX('GD- LT atual'!$B$2:$D$62,MATCH('SFICS e LT'!F57,'GD- LT atual'!$C$2:$C$62,0),1)</f>
        <v>AGFGR003</v>
      </c>
    </row>
    <row r="58" spans="2:8">
      <c r="B58" s="15" t="s">
        <v>300</v>
      </c>
      <c r="C58" s="15" t="s">
        <v>301</v>
      </c>
      <c r="D58" s="16" t="s">
        <v>302</v>
      </c>
      <c r="E58" s="15" t="s">
        <v>301</v>
      </c>
      <c r="F58" s="17" t="s">
        <v>15</v>
      </c>
      <c r="G58" s="17" t="s">
        <v>14</v>
      </c>
      <c r="H58" s="25" t="str">
        <f>INDEX('GD- LT atual'!$B$2:$D$62,MATCH('SFICS e LT'!F58,'GD- LT atual'!$C$2:$C$62,0),1)</f>
        <v>AGFGR002</v>
      </c>
    </row>
    <row r="59" spans="2:8">
      <c r="B59" s="15" t="s">
        <v>303</v>
      </c>
      <c r="C59" s="15" t="s">
        <v>304</v>
      </c>
      <c r="D59" s="16">
        <v>220501</v>
      </c>
      <c r="E59" s="15" t="s">
        <v>304</v>
      </c>
      <c r="F59" s="17" t="s">
        <v>13</v>
      </c>
      <c r="G59" s="17" t="s">
        <v>14</v>
      </c>
      <c r="H59" s="25" t="str">
        <f>INDEX('GD- LT atual'!$B$2:$D$62,MATCH('SFICS e LT'!F59,'GD- LT atual'!$C$2:$C$62,0),1)</f>
        <v>AGFGR002</v>
      </c>
    </row>
    <row r="60" spans="2:8">
      <c r="B60" s="15" t="s">
        <v>305</v>
      </c>
      <c r="C60" s="15" t="s">
        <v>241</v>
      </c>
      <c r="D60" s="16" t="s">
        <v>221</v>
      </c>
      <c r="E60" s="17"/>
      <c r="F60" s="17" t="s">
        <v>221</v>
      </c>
      <c r="G60" s="17"/>
      <c r="H60" s="25" t="e">
        <f>INDEX('GD- LT atual'!$B$2:$D$62,MATCH('SFICS e LT'!F60,'GD- LT atual'!$C$2:$C$62,0),1)</f>
        <v>#N/A</v>
      </c>
    </row>
    <row r="61" spans="2:8">
      <c r="B61" s="15" t="s">
        <v>306</v>
      </c>
      <c r="C61" s="15" t="s">
        <v>307</v>
      </c>
      <c r="D61" s="16"/>
      <c r="E61" s="15" t="s">
        <v>307</v>
      </c>
      <c r="F61" s="17"/>
      <c r="G61" s="17"/>
      <c r="H61" s="25" t="e">
        <f>INDEX('GD- LT atual'!$B$2:$D$62,MATCH('SFICS e LT'!F61,'GD- LT atual'!$C$2:$C$62,0),1)</f>
        <v>#N/A</v>
      </c>
    </row>
    <row r="62" spans="2:8">
      <c r="B62" s="15" t="s">
        <v>308</v>
      </c>
      <c r="C62" s="15" t="s">
        <v>309</v>
      </c>
      <c r="D62" s="16" t="s">
        <v>310</v>
      </c>
      <c r="E62" s="15" t="s">
        <v>309</v>
      </c>
      <c r="F62" s="17" t="s">
        <v>47</v>
      </c>
      <c r="G62" s="17" t="s">
        <v>48</v>
      </c>
      <c r="H62" s="25" t="str">
        <f>INDEX('GD- LT atual'!$B$2:$D$62,MATCH('SFICS e LT'!F62,'GD- LT atual'!$C$2:$C$62,0),1)</f>
        <v>AGFGR006</v>
      </c>
    </row>
    <row r="63" spans="2:8">
      <c r="B63" s="15" t="s">
        <v>311</v>
      </c>
      <c r="C63" s="15" t="s">
        <v>312</v>
      </c>
      <c r="D63" s="16" t="s">
        <v>313</v>
      </c>
      <c r="E63" s="15" t="s">
        <v>312</v>
      </c>
      <c r="F63" s="17" t="s">
        <v>50</v>
      </c>
      <c r="G63" s="17" t="s">
        <v>51</v>
      </c>
      <c r="H63" s="25" t="str">
        <f>INDEX('GD- LT atual'!$B$2:$D$62,MATCH('SFICS e LT'!F63,'GD- LT atual'!$C$2:$C$62,0),1)</f>
        <v>AGFGR007</v>
      </c>
    </row>
    <row r="64" spans="2:8">
      <c r="B64" s="15" t="s">
        <v>314</v>
      </c>
      <c r="C64" s="15" t="s">
        <v>315</v>
      </c>
      <c r="D64" s="16" t="s">
        <v>316</v>
      </c>
      <c r="E64" s="15" t="s">
        <v>315</v>
      </c>
      <c r="F64" s="17" t="s">
        <v>54</v>
      </c>
      <c r="G64" s="17" t="s">
        <v>55</v>
      </c>
      <c r="H64" s="25" t="str">
        <f>INDEX('GD- LT atual'!$B$2:$D$62,MATCH('SFICS e LT'!F64,'GD- LT atual'!$C$2:$C$62,0),1)</f>
        <v>AGFGR007</v>
      </c>
    </row>
    <row r="65" spans="2:8">
      <c r="B65" s="15" t="s">
        <v>317</v>
      </c>
      <c r="C65" s="15" t="s">
        <v>318</v>
      </c>
      <c r="D65" s="16" t="s">
        <v>319</v>
      </c>
      <c r="E65" s="15" t="s">
        <v>318</v>
      </c>
      <c r="F65" s="17" t="s">
        <v>57</v>
      </c>
      <c r="G65" s="17" t="s">
        <v>58</v>
      </c>
      <c r="H65" s="25" t="str">
        <f>INDEX('GD- LT atual'!$B$2:$D$62,MATCH('SFICS e LT'!F65,'GD- LT atual'!$C$2:$C$62,0),1)</f>
        <v>AGFGR008</v>
      </c>
    </row>
    <row r="66" spans="2:8">
      <c r="B66" s="15" t="s">
        <v>320</v>
      </c>
      <c r="C66" s="15" t="s">
        <v>321</v>
      </c>
      <c r="D66" s="16" t="s">
        <v>322</v>
      </c>
      <c r="E66" s="15" t="s">
        <v>321</v>
      </c>
      <c r="F66" s="17" t="s">
        <v>57</v>
      </c>
      <c r="G66" s="17" t="s">
        <v>58</v>
      </c>
      <c r="H66" s="25" t="str">
        <f>INDEX('GD- LT atual'!$B$2:$D$62,MATCH('SFICS e LT'!F66,'GD- LT atual'!$C$2:$C$62,0),1)</f>
        <v>AGFGR008</v>
      </c>
    </row>
    <row r="67" spans="2:8">
      <c r="B67" s="15" t="s">
        <v>323</v>
      </c>
      <c r="C67" s="15" t="s">
        <v>324</v>
      </c>
      <c r="D67" s="16" t="s">
        <v>325</v>
      </c>
      <c r="E67" s="15" t="s">
        <v>324</v>
      </c>
      <c r="F67" s="17" t="s">
        <v>57</v>
      </c>
      <c r="G67" s="17" t="s">
        <v>58</v>
      </c>
      <c r="H67" s="25" t="str">
        <f>INDEX('GD- LT atual'!$B$2:$D$62,MATCH('SFICS e LT'!F67,'GD- LT atual'!$C$2:$C$62,0),1)</f>
        <v>AGFGR008</v>
      </c>
    </row>
    <row r="68" spans="2:8">
      <c r="B68" s="15" t="s">
        <v>326</v>
      </c>
      <c r="C68" s="15" t="s">
        <v>327</v>
      </c>
      <c r="D68" s="16" t="s">
        <v>328</v>
      </c>
      <c r="E68" s="15" t="s">
        <v>327</v>
      </c>
      <c r="F68" s="21" t="s">
        <v>96</v>
      </c>
      <c r="G68" s="21" t="s">
        <v>97</v>
      </c>
      <c r="H68" s="25" t="str">
        <f>INDEX('GD- LT atual'!$B$2:$D$62,MATCH('SFICS e LT'!F68,'GD- LT atual'!$C$2:$C$62,0),1)</f>
        <v>AGFSO001</v>
      </c>
    </row>
    <row r="69" spans="2:8">
      <c r="B69" s="15" t="s">
        <v>329</v>
      </c>
      <c r="C69" s="15" t="s">
        <v>330</v>
      </c>
      <c r="D69" s="16" t="s">
        <v>331</v>
      </c>
      <c r="E69" s="15" t="s">
        <v>330</v>
      </c>
      <c r="F69" s="17" t="s">
        <v>66</v>
      </c>
      <c r="G69" s="17" t="s">
        <v>67</v>
      </c>
      <c r="H69" s="25" t="str">
        <f>INDEX('GD- LT atual'!$B$2:$D$62,MATCH('SFICS e LT'!F69,'GD- LT atual'!$C$2:$C$62,0),1)</f>
        <v>AGFGR009</v>
      </c>
    </row>
    <row r="70" spans="2:8">
      <c r="B70" s="15" t="s">
        <v>332</v>
      </c>
      <c r="C70" s="15" t="s">
        <v>333</v>
      </c>
      <c r="D70" s="16" t="s">
        <v>334</v>
      </c>
      <c r="E70" s="15" t="s">
        <v>333</v>
      </c>
      <c r="F70" s="17" t="s">
        <v>66</v>
      </c>
      <c r="G70" s="17" t="s">
        <v>67</v>
      </c>
      <c r="H70" s="25" t="str">
        <f>INDEX('GD- LT atual'!$B$2:$D$62,MATCH('SFICS e LT'!F70,'GD- LT atual'!$C$2:$C$62,0),1)</f>
        <v>AGFGR009</v>
      </c>
    </row>
    <row r="71" spans="2:8">
      <c r="B71" s="15" t="s">
        <v>335</v>
      </c>
      <c r="C71" s="15" t="s">
        <v>336</v>
      </c>
      <c r="D71" s="16" t="s">
        <v>337</v>
      </c>
      <c r="E71" s="15" t="s">
        <v>336</v>
      </c>
      <c r="F71" s="21" t="s">
        <v>96</v>
      </c>
      <c r="G71" s="21" t="s">
        <v>97</v>
      </c>
      <c r="H71" s="25" t="str">
        <f>INDEX('GD- LT atual'!$B$2:$D$62,MATCH('SFICS e LT'!F71,'GD- LT atual'!$C$2:$C$62,0),1)</f>
        <v>AGFSO001</v>
      </c>
    </row>
    <row r="72" spans="2:8">
      <c r="B72" s="15" t="s">
        <v>338</v>
      </c>
      <c r="C72" s="15" t="s">
        <v>241</v>
      </c>
      <c r="D72" s="16" t="s">
        <v>221</v>
      </c>
      <c r="E72" s="17"/>
      <c r="F72" s="17" t="s">
        <v>221</v>
      </c>
      <c r="G72" s="17"/>
      <c r="H72" s="25" t="e">
        <f>INDEX('GD- LT atual'!$B$2:$D$62,MATCH('SFICS e LT'!F72,'GD- LT atual'!$C$2:$C$62,0),1)</f>
        <v>#N/A</v>
      </c>
    </row>
    <row r="73" spans="2:8">
      <c r="B73" s="15" t="s">
        <v>339</v>
      </c>
      <c r="C73" s="15" t="s">
        <v>340</v>
      </c>
      <c r="D73" s="16"/>
      <c r="E73" s="15" t="s">
        <v>340</v>
      </c>
      <c r="F73" s="17" t="s">
        <v>221</v>
      </c>
      <c r="G73" s="17"/>
      <c r="H73" s="25" t="e">
        <f>INDEX('GD- LT atual'!$B$2:$D$62,MATCH('SFICS e LT'!F73,'GD- LT atual'!$C$2:$C$62,0),1)</f>
        <v>#N/A</v>
      </c>
    </row>
    <row r="74" spans="2:8">
      <c r="B74" s="15" t="s">
        <v>341</v>
      </c>
      <c r="C74" s="15" t="s">
        <v>342</v>
      </c>
      <c r="D74" s="16">
        <v>2401</v>
      </c>
      <c r="E74" s="15" t="s">
        <v>342</v>
      </c>
      <c r="F74" s="21" t="s">
        <v>92</v>
      </c>
      <c r="G74" s="21" t="s">
        <v>93</v>
      </c>
      <c r="H74" s="25" t="str">
        <f>INDEX('GD- LT atual'!$B$2:$D$62,MATCH('SFICS e LT'!F74,'GD- LT atual'!$C$2:$C$62,0),1)</f>
        <v>AGFSO001</v>
      </c>
    </row>
    <row r="75" spans="2:8">
      <c r="B75" s="15" t="s">
        <v>343</v>
      </c>
      <c r="C75" s="15" t="s">
        <v>344</v>
      </c>
      <c r="D75" s="16"/>
      <c r="E75" s="15" t="s">
        <v>344</v>
      </c>
      <c r="F75" s="17"/>
      <c r="G75" s="17"/>
      <c r="H75" s="25" t="e">
        <f>INDEX('GD- LT atual'!$B$2:$D$62,MATCH('SFICS e LT'!F75,'GD- LT atual'!$C$2:$C$62,0),1)</f>
        <v>#N/A</v>
      </c>
    </row>
    <row r="76" spans="2:8">
      <c r="B76" s="15" t="s">
        <v>345</v>
      </c>
      <c r="C76" s="15" t="s">
        <v>346</v>
      </c>
      <c r="D76" s="16" t="s">
        <v>347</v>
      </c>
      <c r="E76" s="15" t="s">
        <v>346</v>
      </c>
      <c r="F76" s="21" t="s">
        <v>94</v>
      </c>
      <c r="G76" s="21" t="s">
        <v>95</v>
      </c>
      <c r="H76" s="25" t="str">
        <f>INDEX('GD- LT atual'!$B$2:$D$62,MATCH('SFICS e LT'!F76,'GD- LT atual'!$C$2:$C$62,0),1)</f>
        <v>AGFSO001</v>
      </c>
    </row>
    <row r="77" spans="2:8">
      <c r="B77" s="15" t="s">
        <v>348</v>
      </c>
      <c r="C77" s="15" t="s">
        <v>349</v>
      </c>
      <c r="D77" s="16">
        <v>2502</v>
      </c>
      <c r="E77" s="15" t="s">
        <v>349</v>
      </c>
      <c r="F77" s="21" t="s">
        <v>104</v>
      </c>
      <c r="G77" s="21" t="s">
        <v>105</v>
      </c>
      <c r="H77" s="25" t="str">
        <f>INDEX('GD- LT atual'!$B$2:$D$62,MATCH('SFICS e LT'!F77,'GD- LT atual'!$C$2:$C$62,0),1)</f>
        <v>AGFSO001</v>
      </c>
    </row>
    <row r="78" spans="2:8">
      <c r="B78" s="15" t="s">
        <v>350</v>
      </c>
      <c r="C78" s="15" t="s">
        <v>351</v>
      </c>
      <c r="D78" s="16">
        <v>2503</v>
      </c>
      <c r="E78" s="15" t="s">
        <v>351</v>
      </c>
      <c r="F78" s="21" t="s">
        <v>94</v>
      </c>
      <c r="G78" s="21" t="s">
        <v>95</v>
      </c>
      <c r="H78" s="25" t="str">
        <f>INDEX('GD- LT atual'!$B$2:$D$62,MATCH('SFICS e LT'!F78,'GD- LT atual'!$C$2:$C$62,0),1)</f>
        <v>AGFSO001</v>
      </c>
    </row>
    <row r="79" spans="2:8">
      <c r="B79" s="15" t="s">
        <v>352</v>
      </c>
      <c r="C79" s="15" t="s">
        <v>353</v>
      </c>
      <c r="D79" s="16"/>
      <c r="E79" s="15" t="s">
        <v>353</v>
      </c>
      <c r="F79" s="17"/>
      <c r="G79" s="17"/>
      <c r="H79" s="25" t="e">
        <f>INDEX('GD- LT atual'!$B$2:$D$62,MATCH('SFICS e LT'!F79,'GD- LT atual'!$C$2:$C$62,0),1)</f>
        <v>#N/A</v>
      </c>
    </row>
    <row r="80" spans="2:8">
      <c r="B80" s="15" t="s">
        <v>354</v>
      </c>
      <c r="C80" s="15" t="s">
        <v>355</v>
      </c>
      <c r="D80" s="16" t="s">
        <v>356</v>
      </c>
      <c r="E80" s="15" t="s">
        <v>355</v>
      </c>
      <c r="F80" s="21" t="s">
        <v>94</v>
      </c>
      <c r="G80" s="21" t="s">
        <v>95</v>
      </c>
      <c r="H80" s="25" t="str">
        <f>INDEX('GD- LT atual'!$B$2:$D$62,MATCH('SFICS e LT'!F80,'GD- LT atual'!$C$2:$C$62,0),1)</f>
        <v>AGFSO001</v>
      </c>
    </row>
    <row r="81" spans="2:8">
      <c r="B81" s="15" t="s">
        <v>357</v>
      </c>
      <c r="C81" s="15" t="s">
        <v>358</v>
      </c>
      <c r="D81" s="16">
        <v>260104</v>
      </c>
      <c r="E81" s="15" t="s">
        <v>358</v>
      </c>
      <c r="F81" s="21" t="s">
        <v>94</v>
      </c>
      <c r="G81" s="21" t="s">
        <v>95</v>
      </c>
      <c r="H81" s="25" t="str">
        <f>INDEX('GD- LT atual'!$B$2:$D$62,MATCH('SFICS e LT'!F81,'GD- LT atual'!$C$2:$C$62,0),1)</f>
        <v>AGFSO001</v>
      </c>
    </row>
    <row r="82" spans="2:8">
      <c r="B82" s="15" t="s">
        <v>359</v>
      </c>
      <c r="C82" s="15" t="s">
        <v>360</v>
      </c>
      <c r="D82" s="16" t="s">
        <v>361</v>
      </c>
      <c r="E82" s="15" t="s">
        <v>360</v>
      </c>
      <c r="F82" s="21" t="s">
        <v>94</v>
      </c>
      <c r="G82" s="21" t="s">
        <v>95</v>
      </c>
      <c r="H82" s="25" t="str">
        <f>INDEX('GD- LT atual'!$B$2:$D$62,MATCH('SFICS e LT'!F82,'GD- LT atual'!$C$2:$C$62,0),1)</f>
        <v>AGFSO001</v>
      </c>
    </row>
    <row r="83" spans="2:8">
      <c r="B83" s="15" t="s">
        <v>362</v>
      </c>
      <c r="C83" s="15" t="s">
        <v>363</v>
      </c>
      <c r="D83" s="16" t="s">
        <v>364</v>
      </c>
      <c r="E83" s="15" t="s">
        <v>363</v>
      </c>
      <c r="F83" s="21" t="s">
        <v>94</v>
      </c>
      <c r="G83" s="21" t="s">
        <v>95</v>
      </c>
      <c r="H83" s="25" t="str">
        <f>INDEX('GD- LT atual'!$B$2:$D$62,MATCH('SFICS e LT'!F83,'GD- LT atual'!$C$2:$C$62,0),1)</f>
        <v>AGFSO001</v>
      </c>
    </row>
    <row r="84" spans="2:8">
      <c r="B84" s="15" t="s">
        <v>365</v>
      </c>
      <c r="C84" s="15" t="s">
        <v>366</v>
      </c>
      <c r="D84" s="16" t="s">
        <v>367</v>
      </c>
      <c r="E84" s="15" t="s">
        <v>366</v>
      </c>
      <c r="F84" s="21" t="s">
        <v>94</v>
      </c>
      <c r="G84" s="21" t="s">
        <v>95</v>
      </c>
      <c r="H84" s="25" t="str">
        <f>INDEX('GD- LT atual'!$B$2:$D$62,MATCH('SFICS e LT'!F84,'GD- LT atual'!$C$2:$C$62,0),1)</f>
        <v>AGFSO001</v>
      </c>
    </row>
    <row r="85" spans="2:8">
      <c r="B85" s="15" t="s">
        <v>368</v>
      </c>
      <c r="C85" s="15" t="s">
        <v>369</v>
      </c>
      <c r="D85" s="16" t="s">
        <v>370</v>
      </c>
      <c r="E85" s="15" t="s">
        <v>369</v>
      </c>
      <c r="F85" s="21" t="s">
        <v>94</v>
      </c>
      <c r="G85" s="21" t="s">
        <v>95</v>
      </c>
      <c r="H85" s="25" t="str">
        <f>INDEX('GD- LT atual'!$B$2:$D$62,MATCH('SFICS e LT'!F85,'GD- LT atual'!$C$2:$C$62,0),1)</f>
        <v>AGFSO001</v>
      </c>
    </row>
    <row r="86" spans="2:8">
      <c r="B86" s="15" t="s">
        <v>371</v>
      </c>
      <c r="C86" s="15" t="s">
        <v>372</v>
      </c>
      <c r="D86" s="16" t="s">
        <v>373</v>
      </c>
      <c r="E86" s="15" t="s">
        <v>372</v>
      </c>
      <c r="F86" s="21" t="s">
        <v>94</v>
      </c>
      <c r="G86" s="21" t="s">
        <v>95</v>
      </c>
      <c r="H86" s="25" t="str">
        <f>INDEX('GD- LT atual'!$B$2:$D$62,MATCH('SFICS e LT'!F86,'GD- LT atual'!$C$2:$C$62,0),1)</f>
        <v>AGFSO001</v>
      </c>
    </row>
    <row r="87" spans="2:8">
      <c r="B87" s="15" t="s">
        <v>374</v>
      </c>
      <c r="C87" s="15" t="s">
        <v>375</v>
      </c>
      <c r="D87" s="16" t="s">
        <v>376</v>
      </c>
      <c r="E87" s="15" t="s">
        <v>375</v>
      </c>
      <c r="F87" s="21" t="s">
        <v>94</v>
      </c>
      <c r="G87" s="21" t="s">
        <v>95</v>
      </c>
      <c r="H87" s="25" t="str">
        <f>INDEX('GD- LT atual'!$B$2:$D$62,MATCH('SFICS e LT'!F87,'GD- LT atual'!$C$2:$C$62,0),1)</f>
        <v>AGFSO001</v>
      </c>
    </row>
    <row r="88" spans="2:8">
      <c r="B88" s="15" t="s">
        <v>377</v>
      </c>
      <c r="C88" s="15" t="s">
        <v>378</v>
      </c>
      <c r="D88" s="16" t="s">
        <v>379</v>
      </c>
      <c r="E88" s="15" t="s">
        <v>378</v>
      </c>
      <c r="F88" s="17" t="s">
        <v>80</v>
      </c>
      <c r="G88" s="17" t="s">
        <v>81</v>
      </c>
      <c r="H88" s="25" t="str">
        <f>INDEX('GD- LT atual'!$B$2:$D$62,MATCH('SFICS e LT'!F88,'GD- LT atual'!$C$2:$C$62,0),1)</f>
        <v>AGFGR011</v>
      </c>
    </row>
    <row r="89" spans="2:8">
      <c r="B89" s="15" t="s">
        <v>380</v>
      </c>
      <c r="C89" s="15" t="s">
        <v>381</v>
      </c>
      <c r="D89" s="16" t="s">
        <v>382</v>
      </c>
      <c r="E89" s="15" t="s">
        <v>381</v>
      </c>
      <c r="F89" s="17" t="s">
        <v>80</v>
      </c>
      <c r="G89" s="17" t="s">
        <v>81</v>
      </c>
      <c r="H89" s="25" t="str">
        <f>INDEX('GD- LT atual'!$B$2:$D$62,MATCH('SFICS e LT'!F89,'GD- LT atual'!$C$2:$C$62,0),1)</f>
        <v>AGFGR011</v>
      </c>
    </row>
    <row r="90" spans="2:8">
      <c r="B90" s="15" t="s">
        <v>383</v>
      </c>
      <c r="C90" s="15" t="s">
        <v>384</v>
      </c>
      <c r="D90" s="16" t="s">
        <v>385</v>
      </c>
      <c r="E90" s="15" t="s">
        <v>384</v>
      </c>
      <c r="F90" s="17" t="s">
        <v>80</v>
      </c>
      <c r="G90" s="17" t="s">
        <v>81</v>
      </c>
      <c r="H90" s="25" t="str">
        <f>INDEX('GD- LT atual'!$B$2:$D$62,MATCH('SFICS e LT'!F90,'GD- LT atual'!$C$2:$C$62,0),1)</f>
        <v>AGFGR011</v>
      </c>
    </row>
    <row r="91" spans="2:8">
      <c r="B91" s="15" t="s">
        <v>386</v>
      </c>
      <c r="C91" s="15" t="s">
        <v>387</v>
      </c>
      <c r="D91" s="16" t="s">
        <v>388</v>
      </c>
      <c r="E91" s="15" t="s">
        <v>387</v>
      </c>
      <c r="F91" s="21" t="s">
        <v>94</v>
      </c>
      <c r="G91" s="21" t="s">
        <v>95</v>
      </c>
      <c r="H91" s="25" t="str">
        <f>INDEX('GD- LT atual'!$B$2:$D$62,MATCH('SFICS e LT'!F91,'GD- LT atual'!$C$2:$C$62,0),1)</f>
        <v>AGFSO001</v>
      </c>
    </row>
    <row r="92" spans="2:8">
      <c r="B92" s="15" t="s">
        <v>389</v>
      </c>
      <c r="C92" s="15" t="s">
        <v>390</v>
      </c>
      <c r="D92" s="16" t="s">
        <v>391</v>
      </c>
      <c r="E92" s="15" t="s">
        <v>390</v>
      </c>
      <c r="F92" s="21" t="s">
        <v>94</v>
      </c>
      <c r="G92" s="21" t="s">
        <v>95</v>
      </c>
      <c r="H92" s="25" t="str">
        <f>INDEX('GD- LT atual'!$B$2:$D$62,MATCH('SFICS e LT'!F92,'GD- LT atual'!$C$2:$C$62,0),1)</f>
        <v>AGFSO001</v>
      </c>
    </row>
    <row r="93" spans="2:8">
      <c r="B93" s="15" t="s">
        <v>392</v>
      </c>
      <c r="C93" s="15" t="s">
        <v>393</v>
      </c>
      <c r="D93" s="16" t="s">
        <v>394</v>
      </c>
      <c r="E93" s="15" t="s">
        <v>393</v>
      </c>
      <c r="F93" s="21" t="s">
        <v>94</v>
      </c>
      <c r="G93" s="21" t="s">
        <v>95</v>
      </c>
      <c r="H93" s="25" t="str">
        <f>INDEX('GD- LT atual'!$B$2:$D$62,MATCH('SFICS e LT'!F93,'GD- LT atual'!$C$2:$C$62,0),1)</f>
        <v>AGFSO001</v>
      </c>
    </row>
    <row r="94" spans="2:8">
      <c r="B94" s="15" t="s">
        <v>395</v>
      </c>
      <c r="C94" s="15" t="s">
        <v>396</v>
      </c>
      <c r="D94" s="16" t="s">
        <v>397</v>
      </c>
      <c r="E94" s="15" t="s">
        <v>396</v>
      </c>
      <c r="F94" s="21" t="s">
        <v>94</v>
      </c>
      <c r="G94" s="21" t="s">
        <v>95</v>
      </c>
      <c r="H94" s="25" t="str">
        <f>INDEX('GD- LT atual'!$B$2:$D$62,MATCH('SFICS e LT'!F94,'GD- LT atual'!$C$2:$C$62,0),1)</f>
        <v>AGFSO001</v>
      </c>
    </row>
    <row r="95" spans="2:8">
      <c r="B95" s="15" t="s">
        <v>398</v>
      </c>
      <c r="C95" s="15" t="s">
        <v>399</v>
      </c>
      <c r="D95" s="16" t="s">
        <v>400</v>
      </c>
      <c r="E95" s="15" t="s">
        <v>399</v>
      </c>
      <c r="F95" s="21" t="s">
        <v>94</v>
      </c>
      <c r="G95" s="21" t="s">
        <v>95</v>
      </c>
      <c r="H95" s="25" t="str">
        <f>INDEX('GD- LT atual'!$B$2:$D$62,MATCH('SFICS e LT'!F95,'GD- LT atual'!$C$2:$C$62,0),1)</f>
        <v>AGFSO001</v>
      </c>
    </row>
    <row r="96" spans="2:8">
      <c r="B96" s="15" t="s">
        <v>401</v>
      </c>
      <c r="C96" s="15" t="s">
        <v>402</v>
      </c>
      <c r="D96" s="16" t="s">
        <v>403</v>
      </c>
      <c r="E96" s="15" t="s">
        <v>402</v>
      </c>
      <c r="F96" s="21" t="s">
        <v>94</v>
      </c>
      <c r="G96" s="21" t="s">
        <v>95</v>
      </c>
      <c r="H96" s="25" t="str">
        <f>INDEX('GD- LT atual'!$B$2:$D$62,MATCH('SFICS e LT'!F96,'GD- LT atual'!$C$2:$C$62,0),1)</f>
        <v>AGFSO001</v>
      </c>
    </row>
    <row r="97" spans="2:8">
      <c r="B97" s="15" t="s">
        <v>404</v>
      </c>
      <c r="C97" s="15" t="s">
        <v>405</v>
      </c>
      <c r="D97" s="16">
        <v>260403</v>
      </c>
      <c r="E97" s="15" t="s">
        <v>405</v>
      </c>
      <c r="F97" s="21" t="s">
        <v>94</v>
      </c>
      <c r="G97" s="21" t="s">
        <v>95</v>
      </c>
      <c r="H97" s="25" t="str">
        <f>INDEX('GD- LT atual'!$B$2:$D$62,MATCH('SFICS e LT'!F97,'GD- LT atual'!$C$2:$C$62,0),1)</f>
        <v>AGFSO001</v>
      </c>
    </row>
    <row r="98" spans="2:8">
      <c r="B98" s="15" t="s">
        <v>406</v>
      </c>
      <c r="C98" s="15" t="s">
        <v>407</v>
      </c>
      <c r="D98" s="16" t="s">
        <v>408</v>
      </c>
      <c r="E98" s="15" t="s">
        <v>407</v>
      </c>
      <c r="F98" s="21" t="s">
        <v>94</v>
      </c>
      <c r="G98" s="21" t="s">
        <v>95</v>
      </c>
      <c r="H98" s="25" t="str">
        <f>INDEX('GD- LT atual'!$B$2:$D$62,MATCH('SFICS e LT'!F98,'GD- LT atual'!$C$2:$C$62,0),1)</f>
        <v>AGFSO001</v>
      </c>
    </row>
    <row r="99" spans="2:8">
      <c r="B99" s="15" t="s">
        <v>409</v>
      </c>
      <c r="C99" s="15" t="s">
        <v>410</v>
      </c>
      <c r="D99" s="16" t="s">
        <v>411</v>
      </c>
      <c r="E99" s="15" t="s">
        <v>410</v>
      </c>
      <c r="F99" s="21" t="s">
        <v>94</v>
      </c>
      <c r="G99" s="21" t="s">
        <v>95</v>
      </c>
      <c r="H99" s="25" t="str">
        <f>INDEX('GD- LT atual'!$B$2:$D$62,MATCH('SFICS e LT'!F99,'GD- LT atual'!$C$2:$C$62,0),1)</f>
        <v>AGFSO001</v>
      </c>
    </row>
    <row r="100" spans="2:8">
      <c r="B100" s="15" t="s">
        <v>412</v>
      </c>
      <c r="C100" s="15" t="s">
        <v>413</v>
      </c>
      <c r="D100" s="16" t="s">
        <v>414</v>
      </c>
      <c r="E100" s="15" t="s">
        <v>413</v>
      </c>
      <c r="F100" s="21" t="s">
        <v>94</v>
      </c>
      <c r="G100" s="21" t="s">
        <v>95</v>
      </c>
      <c r="H100" s="25" t="str">
        <f>INDEX('GD- LT atual'!$B$2:$D$62,MATCH('SFICS e LT'!F100,'GD- LT atual'!$C$2:$C$62,0),1)</f>
        <v>AGFSO001</v>
      </c>
    </row>
    <row r="101" spans="2:8">
      <c r="B101" s="15" t="s">
        <v>415</v>
      </c>
      <c r="C101" s="15" t="s">
        <v>416</v>
      </c>
      <c r="D101" s="16" t="s">
        <v>417</v>
      </c>
      <c r="E101" s="15" t="s">
        <v>416</v>
      </c>
      <c r="F101" s="21" t="s">
        <v>94</v>
      </c>
      <c r="G101" s="21" t="s">
        <v>95</v>
      </c>
      <c r="H101" s="25" t="str">
        <f>INDEX('GD- LT atual'!$B$2:$D$62,MATCH('SFICS e LT'!F101,'GD- LT atual'!$C$2:$C$62,0),1)</f>
        <v>AGFSO001</v>
      </c>
    </row>
    <row r="102" spans="2:8">
      <c r="B102" s="15" t="s">
        <v>418</v>
      </c>
      <c r="C102" s="15" t="s">
        <v>419</v>
      </c>
      <c r="D102" s="16" t="s">
        <v>420</v>
      </c>
      <c r="E102" s="15" t="s">
        <v>419</v>
      </c>
      <c r="F102" s="21" t="s">
        <v>94</v>
      </c>
      <c r="G102" s="21" t="s">
        <v>95</v>
      </c>
      <c r="H102" s="25" t="str">
        <f>INDEX('GD- LT atual'!$B$2:$D$62,MATCH('SFICS e LT'!F102,'GD- LT atual'!$C$2:$C$62,0),1)</f>
        <v>AGFSO001</v>
      </c>
    </row>
    <row r="103" spans="2:8">
      <c r="B103" s="15" t="s">
        <v>421</v>
      </c>
      <c r="C103" s="15" t="s">
        <v>422</v>
      </c>
      <c r="D103" s="16" t="s">
        <v>423</v>
      </c>
      <c r="E103" s="15" t="s">
        <v>422</v>
      </c>
      <c r="F103" s="21" t="s">
        <v>94</v>
      </c>
      <c r="G103" s="21" t="s">
        <v>95</v>
      </c>
      <c r="H103" s="25" t="str">
        <f>INDEX('GD- LT atual'!$B$2:$D$62,MATCH('SFICS e LT'!F103,'GD- LT atual'!$C$2:$C$62,0),1)</f>
        <v>AGFSO001</v>
      </c>
    </row>
    <row r="104" spans="2:8">
      <c r="B104" s="15" t="s">
        <v>424</v>
      </c>
      <c r="C104" s="15" t="s">
        <v>425</v>
      </c>
      <c r="D104" s="16" t="s">
        <v>426</v>
      </c>
      <c r="E104" s="15" t="s">
        <v>425</v>
      </c>
      <c r="F104" s="21" t="s">
        <v>94</v>
      </c>
      <c r="G104" s="21" t="s">
        <v>95</v>
      </c>
      <c r="H104" s="25" t="str">
        <f>INDEX('GD- LT atual'!$B$2:$D$62,MATCH('SFICS e LT'!F104,'GD- LT atual'!$C$2:$C$62,0),1)</f>
        <v>AGFSO001</v>
      </c>
    </row>
    <row r="105" spans="2:8">
      <c r="B105" s="15" t="s">
        <v>427</v>
      </c>
      <c r="C105" s="15" t="s">
        <v>241</v>
      </c>
      <c r="D105" s="16" t="s">
        <v>221</v>
      </c>
      <c r="E105" s="17"/>
      <c r="F105" s="17" t="s">
        <v>221</v>
      </c>
      <c r="G105" s="17"/>
      <c r="H105" s="25" t="e">
        <f>INDEX('GD- LT atual'!$B$2:$D$62,MATCH('SFICS e LT'!F105,'GD- LT atual'!$C$2:$C$62,0),1)</f>
        <v>#N/A</v>
      </c>
    </row>
    <row r="106" spans="2:8">
      <c r="B106" s="15" t="s">
        <v>428</v>
      </c>
      <c r="C106" s="15" t="s">
        <v>429</v>
      </c>
      <c r="D106" s="16"/>
      <c r="E106" s="15" t="s">
        <v>429</v>
      </c>
      <c r="F106" s="17"/>
      <c r="G106" s="17"/>
      <c r="H106" s="25" t="e">
        <f>INDEX('GD- LT atual'!$B$2:$D$62,MATCH('SFICS e LT'!F106,'GD- LT atual'!$C$2:$C$62,0),1)</f>
        <v>#N/A</v>
      </c>
    </row>
    <row r="107" spans="2:8">
      <c r="B107" s="15" t="s">
        <v>430</v>
      </c>
      <c r="C107" s="15" t="s">
        <v>431</v>
      </c>
      <c r="D107" s="16" t="s">
        <v>432</v>
      </c>
      <c r="E107" s="15" t="s">
        <v>431</v>
      </c>
      <c r="F107" s="17" t="s">
        <v>38</v>
      </c>
      <c r="G107" s="17" t="s">
        <v>39</v>
      </c>
      <c r="H107" s="25" t="str">
        <f>INDEX('GD- LT atual'!$B$2:$D$62,MATCH('SFICS e LT'!F107,'GD- LT atual'!$C$2:$C$62,0),1)</f>
        <v>AGFGR005</v>
      </c>
    </row>
    <row r="108" spans="2:8">
      <c r="B108" s="15" t="s">
        <v>433</v>
      </c>
      <c r="C108" s="15" t="s">
        <v>434</v>
      </c>
      <c r="D108" s="16">
        <v>270201</v>
      </c>
      <c r="E108" s="15" t="s">
        <v>434</v>
      </c>
      <c r="F108" s="17" t="s">
        <v>40</v>
      </c>
      <c r="G108" s="17" t="s">
        <v>41</v>
      </c>
      <c r="H108" s="25" t="str">
        <f>INDEX('GD- LT atual'!$B$2:$D$62,MATCH('SFICS e LT'!F108,'GD- LT atual'!$C$2:$C$62,0),1)</f>
        <v>AGFGR005</v>
      </c>
    </row>
    <row r="109" spans="2:8">
      <c r="B109" s="15" t="s">
        <v>435</v>
      </c>
      <c r="C109" s="15" t="s">
        <v>436</v>
      </c>
      <c r="D109" s="16" t="s">
        <v>437</v>
      </c>
      <c r="E109" s="15" t="s">
        <v>436</v>
      </c>
      <c r="F109" s="17" t="s">
        <v>38</v>
      </c>
      <c r="G109" s="17" t="s">
        <v>39</v>
      </c>
      <c r="H109" s="25" t="str">
        <f>INDEX('GD- LT atual'!$B$2:$D$62,MATCH('SFICS e LT'!F109,'GD- LT atual'!$C$2:$C$62,0),1)</f>
        <v>AGFGR005</v>
      </c>
    </row>
    <row r="110" spans="2:8">
      <c r="B110" s="15" t="s">
        <v>438</v>
      </c>
      <c r="C110" s="15" t="s">
        <v>439</v>
      </c>
      <c r="D110" s="16" t="s">
        <v>440</v>
      </c>
      <c r="E110" s="15" t="s">
        <v>439</v>
      </c>
      <c r="F110" s="17" t="s">
        <v>40</v>
      </c>
      <c r="G110" s="17" t="s">
        <v>41</v>
      </c>
      <c r="H110" s="25" t="str">
        <f>INDEX('GD- LT atual'!$B$2:$D$62,MATCH('SFICS e LT'!F110,'GD- LT atual'!$C$2:$C$62,0),1)</f>
        <v>AGFGR005</v>
      </c>
    </row>
    <row r="111" spans="2:8">
      <c r="B111" s="15" t="s">
        <v>441</v>
      </c>
      <c r="C111" s="15" t="s">
        <v>442</v>
      </c>
      <c r="D111" s="16">
        <v>270203</v>
      </c>
      <c r="E111" s="15" t="s">
        <v>442</v>
      </c>
      <c r="F111" s="17" t="s">
        <v>34</v>
      </c>
      <c r="G111" s="17" t="s">
        <v>35</v>
      </c>
      <c r="H111" s="25" t="str">
        <f>INDEX('GD- LT atual'!$B$2:$D$62,MATCH('SFICS e LT'!F111,'GD- LT atual'!$C$2:$C$62,0),1)</f>
        <v>AGFGR005</v>
      </c>
    </row>
    <row r="112" spans="2:8">
      <c r="B112" s="15" t="s">
        <v>443</v>
      </c>
      <c r="C112" s="15" t="s">
        <v>444</v>
      </c>
      <c r="D112" s="16">
        <v>270204</v>
      </c>
      <c r="E112" s="15" t="s">
        <v>444</v>
      </c>
      <c r="F112" s="17" t="s">
        <v>40</v>
      </c>
      <c r="G112" s="17" t="s">
        <v>41</v>
      </c>
      <c r="H112" s="25" t="str">
        <f>INDEX('GD- LT atual'!$B$2:$D$62,MATCH('SFICS e LT'!F112,'GD- LT atual'!$C$2:$C$62,0),1)</f>
        <v>AGFGR005</v>
      </c>
    </row>
    <row r="113" spans="2:8">
      <c r="B113" s="15" t="s">
        <v>445</v>
      </c>
      <c r="C113" s="15" t="s">
        <v>446</v>
      </c>
      <c r="D113" s="16">
        <v>270301</v>
      </c>
      <c r="E113" s="15" t="s">
        <v>446</v>
      </c>
      <c r="F113" s="17" t="s">
        <v>34</v>
      </c>
      <c r="G113" s="17" t="s">
        <v>35</v>
      </c>
      <c r="H113" s="25" t="str">
        <f>INDEX('GD- LT atual'!$B$2:$D$62,MATCH('SFICS e LT'!F113,'GD- LT atual'!$C$2:$C$62,0),1)</f>
        <v>AGFGR005</v>
      </c>
    </row>
    <row r="114" spans="2:8">
      <c r="B114" s="15" t="s">
        <v>447</v>
      </c>
      <c r="C114" s="15" t="s">
        <v>448</v>
      </c>
      <c r="D114" s="16">
        <v>270302</v>
      </c>
      <c r="E114" s="15" t="s">
        <v>448</v>
      </c>
      <c r="F114" s="17" t="s">
        <v>40</v>
      </c>
      <c r="G114" s="17" t="s">
        <v>41</v>
      </c>
      <c r="H114" s="25" t="str">
        <f>INDEX('GD- LT atual'!$B$2:$D$62,MATCH('SFICS e LT'!F114,'GD- LT atual'!$C$2:$C$62,0),1)</f>
        <v>AGFGR005</v>
      </c>
    </row>
    <row r="115" spans="2:8">
      <c r="B115" s="15" t="s">
        <v>449</v>
      </c>
      <c r="C115" s="15" t="s">
        <v>450</v>
      </c>
      <c r="D115" s="16">
        <v>270303</v>
      </c>
      <c r="E115" s="15" t="s">
        <v>450</v>
      </c>
      <c r="F115" s="17" t="s">
        <v>34</v>
      </c>
      <c r="G115" s="17" t="s">
        <v>35</v>
      </c>
      <c r="H115" s="25" t="str">
        <f>INDEX('GD- LT atual'!$B$2:$D$62,MATCH('SFICS e LT'!F115,'GD- LT atual'!$C$2:$C$62,0),1)</f>
        <v>AGFGR005</v>
      </c>
    </row>
    <row r="116" spans="2:8">
      <c r="B116" s="15" t="s">
        <v>451</v>
      </c>
      <c r="C116" s="15" t="s">
        <v>452</v>
      </c>
      <c r="D116" s="16">
        <v>270304</v>
      </c>
      <c r="E116" s="15" t="s">
        <v>452</v>
      </c>
      <c r="F116" s="17" t="s">
        <v>42</v>
      </c>
      <c r="G116" s="17" t="s">
        <v>43</v>
      </c>
      <c r="H116" s="25" t="str">
        <f>INDEX('GD- LT atual'!$B$2:$D$62,MATCH('SFICS e LT'!F116,'GD- LT atual'!$C$2:$C$62,0),1)</f>
        <v>AGFGR005</v>
      </c>
    </row>
    <row r="117" spans="2:8">
      <c r="B117" s="15" t="s">
        <v>453</v>
      </c>
      <c r="C117" s="15" t="s">
        <v>454</v>
      </c>
      <c r="D117" s="16">
        <v>270305</v>
      </c>
      <c r="E117" s="15" t="s">
        <v>454</v>
      </c>
      <c r="F117" s="17" t="s">
        <v>42</v>
      </c>
      <c r="G117" s="17" t="s">
        <v>43</v>
      </c>
      <c r="H117" s="25" t="str">
        <f>INDEX('GD- LT atual'!$B$2:$D$62,MATCH('SFICS e LT'!F117,'GD- LT atual'!$C$2:$C$62,0),1)</f>
        <v>AGFGR005</v>
      </c>
    </row>
    <row r="118" spans="2:8">
      <c r="B118" s="15" t="s">
        <v>455</v>
      </c>
      <c r="C118" s="15" t="s">
        <v>456</v>
      </c>
      <c r="D118" s="16">
        <v>270306</v>
      </c>
      <c r="E118" s="15" t="s">
        <v>456</v>
      </c>
      <c r="F118" s="17" t="s">
        <v>34</v>
      </c>
      <c r="G118" s="17" t="s">
        <v>35</v>
      </c>
      <c r="H118" s="25" t="str">
        <f>INDEX('GD- LT atual'!$B$2:$D$62,MATCH('SFICS e LT'!F118,'GD- LT atual'!$C$2:$C$62,0),1)</f>
        <v>AGFGR005</v>
      </c>
    </row>
    <row r="119" spans="2:8">
      <c r="B119" s="15" t="s">
        <v>457</v>
      </c>
      <c r="C119" s="15" t="s">
        <v>458</v>
      </c>
      <c r="D119" s="16">
        <v>270307</v>
      </c>
      <c r="E119" s="15" t="s">
        <v>458</v>
      </c>
      <c r="F119" s="17" t="s">
        <v>32</v>
      </c>
      <c r="G119" s="17" t="s">
        <v>33</v>
      </c>
      <c r="H119" s="25" t="str">
        <f>INDEX('GD- LT atual'!$B$2:$D$62,MATCH('SFICS e LT'!F119,'GD- LT atual'!$C$2:$C$62,0),1)</f>
        <v>AGFGR005</v>
      </c>
    </row>
    <row r="120" spans="2:8">
      <c r="B120" s="15" t="s">
        <v>459</v>
      </c>
      <c r="C120" s="15" t="s">
        <v>460</v>
      </c>
      <c r="D120" s="16">
        <v>270308</v>
      </c>
      <c r="E120" s="15" t="s">
        <v>460</v>
      </c>
      <c r="F120" s="17" t="s">
        <v>42</v>
      </c>
      <c r="G120" s="17" t="s">
        <v>43</v>
      </c>
      <c r="H120" s="25" t="str">
        <f>INDEX('GD- LT atual'!$B$2:$D$62,MATCH('SFICS e LT'!F120,'GD- LT atual'!$C$2:$C$62,0),1)</f>
        <v>AGFGR005</v>
      </c>
    </row>
    <row r="121" spans="2:8">
      <c r="B121" s="15" t="s">
        <v>461</v>
      </c>
      <c r="C121" s="15" t="s">
        <v>462</v>
      </c>
      <c r="D121" s="16">
        <v>2704</v>
      </c>
      <c r="E121" s="15" t="s">
        <v>462</v>
      </c>
      <c r="F121" s="17" t="s">
        <v>42</v>
      </c>
      <c r="G121" s="17" t="s">
        <v>43</v>
      </c>
      <c r="H121" s="25" t="str">
        <f>INDEX('GD- LT atual'!$B$2:$D$62,MATCH('SFICS e LT'!F121,'GD- LT atual'!$C$2:$C$62,0),1)</f>
        <v>AGFGR005</v>
      </c>
    </row>
    <row r="122" spans="2:8">
      <c r="B122" s="15" t="s">
        <v>463</v>
      </c>
      <c r="C122" s="15" t="s">
        <v>464</v>
      </c>
      <c r="D122" s="16">
        <v>2705</v>
      </c>
      <c r="E122" s="15" t="s">
        <v>464</v>
      </c>
      <c r="F122" s="17" t="s">
        <v>44</v>
      </c>
      <c r="G122" s="17" t="s">
        <v>45</v>
      </c>
      <c r="H122" s="25" t="str">
        <f>INDEX('GD- LT atual'!$B$2:$D$62,MATCH('SFICS e LT'!F122,'GD- LT atual'!$C$2:$C$62,0),1)</f>
        <v>AGFGR005</v>
      </c>
    </row>
    <row r="123" spans="2:8">
      <c r="B123" s="15" t="s">
        <v>465</v>
      </c>
      <c r="C123" s="15" t="s">
        <v>466</v>
      </c>
      <c r="D123" s="16">
        <v>2706</v>
      </c>
      <c r="E123" s="15" t="s">
        <v>466</v>
      </c>
      <c r="F123" s="17" t="s">
        <v>80</v>
      </c>
      <c r="G123" s="17" t="s">
        <v>81</v>
      </c>
      <c r="H123" s="25" t="str">
        <f>INDEX('GD- LT atual'!$B$2:$D$62,MATCH('SFICS e LT'!F123,'GD- LT atual'!$C$2:$C$62,0),1)</f>
        <v>AGFGR011</v>
      </c>
    </row>
    <row r="124" spans="2:8">
      <c r="B124" s="15" t="s">
        <v>467</v>
      </c>
      <c r="C124" s="15" t="s">
        <v>468</v>
      </c>
      <c r="D124" s="16">
        <v>270309</v>
      </c>
      <c r="E124" s="15" t="s">
        <v>468</v>
      </c>
      <c r="F124" s="17" t="s">
        <v>34</v>
      </c>
      <c r="G124" s="17" t="s">
        <v>35</v>
      </c>
      <c r="H124" s="25" t="str">
        <f>INDEX('GD- LT atual'!$B$2:$D$62,MATCH('SFICS e LT'!F124,'GD- LT atual'!$C$2:$C$62,0),1)</f>
        <v>AGFGR005</v>
      </c>
    </row>
    <row r="125" spans="2:8">
      <c r="B125" s="15" t="s">
        <v>469</v>
      </c>
      <c r="C125" s="15" t="s">
        <v>470</v>
      </c>
      <c r="D125" s="16">
        <v>270310</v>
      </c>
      <c r="E125" s="15" t="s">
        <v>470</v>
      </c>
      <c r="F125" s="17" t="s">
        <v>34</v>
      </c>
      <c r="G125" s="17" t="s">
        <v>35</v>
      </c>
      <c r="H125" s="25" t="str">
        <f>INDEX('GD- LT atual'!$B$2:$D$62,MATCH('SFICS e LT'!F125,'GD- LT atual'!$C$2:$C$62,0),1)</f>
        <v>AGFGR005</v>
      </c>
    </row>
    <row r="126" spans="2:8">
      <c r="B126" s="15" t="s">
        <v>471</v>
      </c>
      <c r="C126" s="15" t="s">
        <v>472</v>
      </c>
      <c r="D126" s="16">
        <v>270311</v>
      </c>
      <c r="E126" s="15" t="s">
        <v>472</v>
      </c>
      <c r="F126" s="17" t="s">
        <v>34</v>
      </c>
      <c r="G126" s="17" t="s">
        <v>35</v>
      </c>
      <c r="H126" s="25" t="str">
        <f>INDEX('GD- LT atual'!$B$2:$D$62,MATCH('SFICS e LT'!F126,'GD- LT atual'!$C$2:$C$62,0),1)</f>
        <v>AGFGR005</v>
      </c>
    </row>
    <row r="127" spans="2:8">
      <c r="B127" s="15"/>
      <c r="C127" s="15"/>
      <c r="D127" s="16"/>
      <c r="E127" s="17"/>
      <c r="F127" s="17"/>
      <c r="G127" s="17"/>
      <c r="H127" s="25" t="e">
        <f>INDEX('GD- LT atual'!$B$2:$D$62,MATCH('SFICS e LT'!F127,'GD- LT atual'!$C$2:$C$62,0),1)</f>
        <v>#N/A</v>
      </c>
    </row>
    <row r="128" spans="2:8">
      <c r="B128" s="15" t="s">
        <v>473</v>
      </c>
      <c r="C128" s="15" t="s">
        <v>474</v>
      </c>
      <c r="D128" s="16"/>
      <c r="E128" s="15" t="s">
        <v>474</v>
      </c>
      <c r="F128" s="17"/>
      <c r="G128" s="17"/>
      <c r="H128" s="25" t="e">
        <f>INDEX('GD- LT atual'!$B$2:$D$62,MATCH('SFICS e LT'!F128,'GD- LT atual'!$C$2:$C$62,0),1)</f>
        <v>#N/A</v>
      </c>
    </row>
    <row r="129" spans="2:8">
      <c r="B129" s="15" t="s">
        <v>475</v>
      </c>
      <c r="C129" s="15" t="s">
        <v>476</v>
      </c>
      <c r="D129" s="16" t="s">
        <v>477</v>
      </c>
      <c r="E129" s="15" t="s">
        <v>476</v>
      </c>
      <c r="F129" s="17" t="s">
        <v>4</v>
      </c>
      <c r="G129" s="17" t="s">
        <v>5</v>
      </c>
      <c r="H129" s="25" t="str">
        <f>INDEX('GD- LT atual'!$B$2:$D$62,MATCH('SFICS e LT'!F129,'GD- LT atual'!$C$2:$C$62,0),1)</f>
        <v>AGFGR001</v>
      </c>
    </row>
    <row r="130" spans="2:8">
      <c r="B130" s="15" t="s">
        <v>478</v>
      </c>
      <c r="C130" s="15" t="s">
        <v>479</v>
      </c>
      <c r="D130" s="16" t="s">
        <v>480</v>
      </c>
      <c r="E130" s="15" t="s">
        <v>479</v>
      </c>
      <c r="F130" s="17" t="s">
        <v>6</v>
      </c>
      <c r="G130" s="17" t="s">
        <v>7</v>
      </c>
      <c r="H130" s="25" t="str">
        <f>INDEX('GD- LT atual'!$B$2:$D$62,MATCH('SFICS e LT'!F130,'GD- LT atual'!$C$2:$C$62,0),1)</f>
        <v>AGFGR001</v>
      </c>
    </row>
    <row r="131" spans="2:8">
      <c r="B131" s="15" t="s">
        <v>481</v>
      </c>
      <c r="C131" s="15" t="s">
        <v>482</v>
      </c>
      <c r="D131" s="16" t="s">
        <v>483</v>
      </c>
      <c r="E131" s="15" t="s">
        <v>482</v>
      </c>
      <c r="F131" s="17" t="s">
        <v>6</v>
      </c>
      <c r="G131" s="17" t="s">
        <v>7</v>
      </c>
      <c r="H131" s="25" t="str">
        <f>INDEX('GD- LT atual'!$B$2:$D$62,MATCH('SFICS e LT'!F131,'GD- LT atual'!$C$2:$C$62,0),1)</f>
        <v>AGFGR001</v>
      </c>
    </row>
    <row r="132" spans="2:8">
      <c r="B132" s="15" t="s">
        <v>484</v>
      </c>
      <c r="C132" s="15" t="s">
        <v>485</v>
      </c>
      <c r="D132" s="16">
        <v>280301</v>
      </c>
      <c r="E132" s="15" t="s">
        <v>485</v>
      </c>
      <c r="F132" s="17" t="s">
        <v>80</v>
      </c>
      <c r="G132" s="17" t="s">
        <v>81</v>
      </c>
      <c r="H132" s="25" t="str">
        <f>INDEX('GD- LT atual'!$B$2:$D$62,MATCH('SFICS e LT'!F132,'GD- LT atual'!$C$2:$C$62,0),1)</f>
        <v>AGFGR011</v>
      </c>
    </row>
    <row r="133" spans="2:8">
      <c r="B133" s="15" t="s">
        <v>486</v>
      </c>
      <c r="C133" s="15" t="s">
        <v>487</v>
      </c>
      <c r="D133" s="16" t="s">
        <v>488</v>
      </c>
      <c r="E133" s="15" t="s">
        <v>487</v>
      </c>
      <c r="F133" s="17" t="s">
        <v>69</v>
      </c>
      <c r="G133" s="17" t="s">
        <v>70</v>
      </c>
      <c r="H133" s="25" t="str">
        <f>INDEX('GD- LT atual'!$B$2:$D$62,MATCH('SFICS e LT'!F133,'GD- LT atual'!$C$2:$C$62,0),1)</f>
        <v>AGFGR010</v>
      </c>
    </row>
    <row r="134" spans="2:8">
      <c r="B134" s="15" t="s">
        <v>489</v>
      </c>
      <c r="C134" s="15" t="s">
        <v>490</v>
      </c>
      <c r="D134" s="16" t="s">
        <v>491</v>
      </c>
      <c r="E134" s="15" t="s">
        <v>490</v>
      </c>
      <c r="F134" s="17" t="s">
        <v>69</v>
      </c>
      <c r="G134" s="17" t="s">
        <v>70</v>
      </c>
      <c r="H134" s="25" t="str">
        <f>INDEX('GD- LT atual'!$B$2:$D$62,MATCH('SFICS e LT'!F134,'GD- LT atual'!$C$2:$C$62,0),1)</f>
        <v>AGFGR010</v>
      </c>
    </row>
    <row r="135" spans="2:8">
      <c r="B135" s="15" t="s">
        <v>492</v>
      </c>
      <c r="C135" s="15" t="s">
        <v>493</v>
      </c>
      <c r="D135" s="16" t="s">
        <v>494</v>
      </c>
      <c r="E135" s="15" t="s">
        <v>493</v>
      </c>
      <c r="F135" s="17" t="s">
        <v>80</v>
      </c>
      <c r="G135" s="17" t="s">
        <v>81</v>
      </c>
      <c r="H135" s="25" t="str">
        <f>INDEX('GD- LT atual'!$B$2:$D$62,MATCH('SFICS e LT'!F135,'GD- LT atual'!$C$2:$C$62,0),1)</f>
        <v>AGFGR011</v>
      </c>
    </row>
    <row r="136" spans="2:8">
      <c r="B136" s="15" t="s">
        <v>495</v>
      </c>
      <c r="C136" s="15" t="s">
        <v>496</v>
      </c>
      <c r="D136" s="16" t="s">
        <v>497</v>
      </c>
      <c r="E136" s="15" t="s">
        <v>496</v>
      </c>
      <c r="F136" s="17" t="s">
        <v>69</v>
      </c>
      <c r="G136" s="17" t="s">
        <v>70</v>
      </c>
      <c r="H136" s="25" t="str">
        <f>INDEX('GD- LT atual'!$B$2:$D$62,MATCH('SFICS e LT'!F136,'GD- LT atual'!$C$2:$C$62,0),1)</f>
        <v>AGFGR010</v>
      </c>
    </row>
    <row r="137" spans="2:8">
      <c r="B137" s="15" t="s">
        <v>498</v>
      </c>
      <c r="C137" s="15" t="s">
        <v>499</v>
      </c>
      <c r="D137" s="16" t="s">
        <v>500</v>
      </c>
      <c r="E137" s="15" t="s">
        <v>499</v>
      </c>
      <c r="F137" s="17" t="s">
        <v>69</v>
      </c>
      <c r="G137" s="17" t="s">
        <v>70</v>
      </c>
      <c r="H137" s="25" t="str">
        <f>INDEX('GD- LT atual'!$B$2:$D$62,MATCH('SFICS e LT'!F137,'GD- LT atual'!$C$2:$C$62,0),1)</f>
        <v>AGFGR010</v>
      </c>
    </row>
    <row r="138" spans="2:8">
      <c r="B138" s="15" t="s">
        <v>501</v>
      </c>
      <c r="C138" s="15" t="s">
        <v>502</v>
      </c>
      <c r="D138" s="16" t="s">
        <v>503</v>
      </c>
      <c r="E138" s="15" t="s">
        <v>502</v>
      </c>
      <c r="F138" s="17" t="s">
        <v>69</v>
      </c>
      <c r="G138" s="17" t="s">
        <v>70</v>
      </c>
      <c r="H138" s="25" t="str">
        <f>INDEX('GD- LT atual'!$B$2:$D$62,MATCH('SFICS e LT'!F138,'GD- LT atual'!$C$2:$C$62,0),1)</f>
        <v>AGFGR010</v>
      </c>
    </row>
    <row r="139" spans="2:8">
      <c r="B139" s="15" t="s">
        <v>504</v>
      </c>
      <c r="C139" s="15" t="s">
        <v>505</v>
      </c>
      <c r="D139" s="16" t="s">
        <v>506</v>
      </c>
      <c r="E139" s="15" t="s">
        <v>505</v>
      </c>
      <c r="F139" s="17" t="s">
        <v>80</v>
      </c>
      <c r="G139" s="17" t="s">
        <v>81</v>
      </c>
      <c r="H139" s="25" t="str">
        <f>INDEX('GD- LT atual'!$B$2:$D$62,MATCH('SFICS e LT'!F139,'GD- LT atual'!$C$2:$C$62,0),1)</f>
        <v>AGFGR011</v>
      </c>
    </row>
    <row r="140" spans="2:8">
      <c r="B140" s="15" t="s">
        <v>507</v>
      </c>
      <c r="C140" s="15" t="s">
        <v>508</v>
      </c>
      <c r="D140" s="16" t="s">
        <v>509</v>
      </c>
      <c r="E140" s="15" t="s">
        <v>508</v>
      </c>
      <c r="F140" s="17" t="s">
        <v>69</v>
      </c>
      <c r="G140" s="17" t="s">
        <v>70</v>
      </c>
      <c r="H140" s="25" t="str">
        <f>INDEX('GD- LT atual'!$B$2:$D$62,MATCH('SFICS e LT'!F140,'GD- LT atual'!$C$2:$C$62,0),1)</f>
        <v>AGFGR010</v>
      </c>
    </row>
    <row r="141" spans="2:8">
      <c r="B141" s="15" t="s">
        <v>510</v>
      </c>
      <c r="C141" s="15" t="s">
        <v>511</v>
      </c>
      <c r="D141" s="16" t="s">
        <v>512</v>
      </c>
      <c r="E141" s="15" t="s">
        <v>511</v>
      </c>
      <c r="F141" s="17" t="s">
        <v>69</v>
      </c>
      <c r="G141" s="17" t="s">
        <v>70</v>
      </c>
      <c r="H141" s="25" t="str">
        <f>INDEX('GD- LT atual'!$B$2:$D$62,MATCH('SFICS e LT'!F141,'GD- LT atual'!$C$2:$C$62,0),1)</f>
        <v>AGFGR010</v>
      </c>
    </row>
    <row r="142" spans="2:8">
      <c r="B142" s="15" t="s">
        <v>513</v>
      </c>
      <c r="C142" s="15" t="s">
        <v>514</v>
      </c>
      <c r="D142" s="16" t="s">
        <v>515</v>
      </c>
      <c r="E142" s="15" t="s">
        <v>514</v>
      </c>
      <c r="F142" s="17" t="s">
        <v>69</v>
      </c>
      <c r="G142" s="17" t="s">
        <v>70</v>
      </c>
      <c r="H142" s="25" t="str">
        <f>INDEX('GD- LT atual'!$B$2:$D$62,MATCH('SFICS e LT'!F142,'GD- LT atual'!$C$2:$C$62,0),1)</f>
        <v>AGFGR010</v>
      </c>
    </row>
    <row r="143" spans="2:8">
      <c r="B143" s="15" t="s">
        <v>516</v>
      </c>
      <c r="C143" s="15" t="s">
        <v>517</v>
      </c>
      <c r="D143" s="16" t="s">
        <v>518</v>
      </c>
      <c r="E143" s="15" t="s">
        <v>517</v>
      </c>
      <c r="F143" s="17" t="s">
        <v>69</v>
      </c>
      <c r="G143" s="17" t="s">
        <v>70</v>
      </c>
      <c r="H143" s="25" t="str">
        <f>INDEX('GD- LT atual'!$B$2:$D$62,MATCH('SFICS e LT'!F143,'GD- LT atual'!$C$2:$C$62,0),1)</f>
        <v>AGFGR010</v>
      </c>
    </row>
    <row r="144" spans="2:8">
      <c r="B144" s="15" t="s">
        <v>519</v>
      </c>
      <c r="C144" s="15" t="s">
        <v>520</v>
      </c>
      <c r="D144" s="16" t="s">
        <v>521</v>
      </c>
      <c r="E144" s="15" t="s">
        <v>520</v>
      </c>
      <c r="F144" s="17" t="s">
        <v>69</v>
      </c>
      <c r="G144" s="17" t="s">
        <v>70</v>
      </c>
      <c r="H144" s="25" t="str">
        <f>INDEX('GD- LT atual'!$B$2:$D$62,MATCH('SFICS e LT'!F144,'GD- LT atual'!$C$2:$C$62,0),1)</f>
        <v>AGFGR010</v>
      </c>
    </row>
    <row r="145" spans="2:8">
      <c r="B145" s="15" t="s">
        <v>522</v>
      </c>
      <c r="C145" s="15" t="s">
        <v>523</v>
      </c>
      <c r="D145" s="16" t="s">
        <v>524</v>
      </c>
      <c r="E145" s="15" t="s">
        <v>523</v>
      </c>
      <c r="F145" s="17" t="s">
        <v>69</v>
      </c>
      <c r="G145" s="17" t="s">
        <v>70</v>
      </c>
      <c r="H145" s="25" t="str">
        <f>INDEX('GD- LT atual'!$B$2:$D$62,MATCH('SFICS e LT'!F145,'GD- LT atual'!$C$2:$C$62,0),1)</f>
        <v>AGFGR010</v>
      </c>
    </row>
    <row r="146" spans="2:8">
      <c r="B146" s="15" t="s">
        <v>525</v>
      </c>
      <c r="C146" s="15" t="s">
        <v>526</v>
      </c>
      <c r="D146" s="16">
        <v>280302</v>
      </c>
      <c r="E146" s="15" t="s">
        <v>526</v>
      </c>
      <c r="F146" s="17" t="s">
        <v>69</v>
      </c>
      <c r="G146" s="17" t="s">
        <v>70</v>
      </c>
      <c r="H146" s="25" t="str">
        <f>INDEX('GD- LT atual'!$B$2:$D$62,MATCH('SFICS e LT'!F146,'GD- LT atual'!$C$2:$C$62,0),1)</f>
        <v>AGFGR010</v>
      </c>
    </row>
    <row r="147" spans="2:8">
      <c r="B147" s="15" t="s">
        <v>527</v>
      </c>
      <c r="C147" s="15" t="s">
        <v>528</v>
      </c>
      <c r="D147" s="16">
        <v>280303</v>
      </c>
      <c r="E147" s="15" t="s">
        <v>528</v>
      </c>
      <c r="F147" s="17" t="s">
        <v>69</v>
      </c>
      <c r="G147" s="17" t="s">
        <v>70</v>
      </c>
      <c r="H147" s="25" t="str">
        <f>INDEX('GD- LT atual'!$B$2:$D$62,MATCH('SFICS e LT'!F147,'GD- LT atual'!$C$2:$C$62,0),1)</f>
        <v>AGFGR010</v>
      </c>
    </row>
    <row r="148" spans="2:8">
      <c r="B148" s="15" t="s">
        <v>529</v>
      </c>
      <c r="C148" s="15" t="s">
        <v>530</v>
      </c>
      <c r="D148" s="16" t="s">
        <v>531</v>
      </c>
      <c r="E148" s="15" t="s">
        <v>530</v>
      </c>
      <c r="F148" s="17" t="s">
        <v>69</v>
      </c>
      <c r="G148" s="17" t="s">
        <v>70</v>
      </c>
      <c r="H148" s="25" t="str">
        <f>INDEX('GD- LT atual'!$B$2:$D$62,MATCH('SFICS e LT'!F148,'GD- LT atual'!$C$2:$C$62,0),1)</f>
        <v>AGFGR010</v>
      </c>
    </row>
    <row r="149" spans="2:8">
      <c r="B149" s="15" t="s">
        <v>532</v>
      </c>
      <c r="C149" s="15" t="s">
        <v>533</v>
      </c>
      <c r="D149" s="16">
        <v>280304</v>
      </c>
      <c r="E149" s="15" t="s">
        <v>533</v>
      </c>
      <c r="F149" s="17" t="s">
        <v>69</v>
      </c>
      <c r="G149" s="17" t="s">
        <v>70</v>
      </c>
      <c r="H149" s="25" t="str">
        <f>INDEX('GD- LT atual'!$B$2:$D$62,MATCH('SFICS e LT'!F149,'GD- LT atual'!$C$2:$C$62,0),1)</f>
        <v>AGFGR010</v>
      </c>
    </row>
    <row r="150" spans="2:8">
      <c r="B150" s="15" t="s">
        <v>534</v>
      </c>
      <c r="C150" s="15" t="s">
        <v>535</v>
      </c>
      <c r="D150" s="16" t="s">
        <v>536</v>
      </c>
      <c r="E150" s="15" t="s">
        <v>535</v>
      </c>
      <c r="F150" s="17" t="s">
        <v>69</v>
      </c>
      <c r="G150" s="17" t="s">
        <v>70</v>
      </c>
      <c r="H150" s="25" t="str">
        <f>INDEX('GD- LT atual'!$B$2:$D$62,MATCH('SFICS e LT'!F150,'GD- LT atual'!$C$2:$C$62,0),1)</f>
        <v>AGFGR010</v>
      </c>
    </row>
    <row r="151" spans="2:8">
      <c r="B151" s="15" t="s">
        <v>537</v>
      </c>
      <c r="C151" s="15" t="s">
        <v>538</v>
      </c>
      <c r="D151" s="16" t="s">
        <v>539</v>
      </c>
      <c r="E151" s="15" t="s">
        <v>538</v>
      </c>
      <c r="F151" s="17" t="s">
        <v>69</v>
      </c>
      <c r="G151" s="17" t="s">
        <v>70</v>
      </c>
      <c r="H151" s="25" t="str">
        <f>INDEX('GD- LT atual'!$B$2:$D$62,MATCH('SFICS e LT'!F151,'GD- LT atual'!$C$2:$C$62,0),1)</f>
        <v>AGFGR010</v>
      </c>
    </row>
    <row r="152" spans="2:8">
      <c r="B152" s="15" t="s">
        <v>540</v>
      </c>
      <c r="C152" s="15" t="s">
        <v>541</v>
      </c>
      <c r="D152" s="16" t="s">
        <v>542</v>
      </c>
      <c r="E152" s="15" t="s">
        <v>541</v>
      </c>
      <c r="F152" s="17" t="s">
        <v>69</v>
      </c>
      <c r="G152" s="17" t="s">
        <v>70</v>
      </c>
      <c r="H152" s="25" t="str">
        <f>INDEX('GD- LT atual'!$B$2:$D$62,MATCH('SFICS e LT'!F152,'GD- LT atual'!$C$2:$C$62,0),1)</f>
        <v>AGFGR010</v>
      </c>
    </row>
    <row r="153" spans="2:8">
      <c r="B153" s="15" t="s">
        <v>543</v>
      </c>
      <c r="C153" s="15" t="s">
        <v>544</v>
      </c>
      <c r="D153" s="16" t="s">
        <v>545</v>
      </c>
      <c r="E153" s="15" t="s">
        <v>544</v>
      </c>
      <c r="F153" s="17" t="s">
        <v>69</v>
      </c>
      <c r="G153" s="17" t="s">
        <v>70</v>
      </c>
      <c r="H153" s="25" t="str">
        <f>INDEX('GD- LT atual'!$B$2:$D$62,MATCH('SFICS e LT'!F153,'GD- LT atual'!$C$2:$C$62,0),1)</f>
        <v>AGFGR010</v>
      </c>
    </row>
    <row r="154" spans="2:8">
      <c r="B154" s="15" t="s">
        <v>546</v>
      </c>
      <c r="C154" s="15" t="s">
        <v>547</v>
      </c>
      <c r="D154" s="16">
        <v>280706</v>
      </c>
      <c r="E154" s="15" t="s">
        <v>547</v>
      </c>
      <c r="F154" s="17" t="s">
        <v>69</v>
      </c>
      <c r="G154" s="17" t="s">
        <v>70</v>
      </c>
      <c r="H154" s="25" t="str">
        <f>INDEX('GD- LT atual'!$B$2:$D$62,MATCH('SFICS e LT'!F154,'GD- LT atual'!$C$2:$C$62,0),1)</f>
        <v>AGFGR010</v>
      </c>
    </row>
    <row r="155" spans="2:8">
      <c r="B155" s="15" t="s">
        <v>548</v>
      </c>
      <c r="C155" s="15" t="s">
        <v>549</v>
      </c>
      <c r="D155" s="16">
        <v>280504</v>
      </c>
      <c r="E155" s="15" t="s">
        <v>549</v>
      </c>
      <c r="F155" s="17" t="s">
        <v>69</v>
      </c>
      <c r="G155" s="17" t="s">
        <v>70</v>
      </c>
      <c r="H155" s="25" t="str">
        <f>INDEX('GD- LT atual'!$B$2:$D$62,MATCH('SFICS e LT'!F155,'GD- LT atual'!$C$2:$C$62,0),1)</f>
        <v>AGFGR010</v>
      </c>
    </row>
    <row r="156" spans="2:8">
      <c r="B156" s="15" t="s">
        <v>550</v>
      </c>
      <c r="C156" s="15" t="s">
        <v>551</v>
      </c>
      <c r="D156" s="16">
        <v>281001</v>
      </c>
      <c r="E156" s="15" t="s">
        <v>551</v>
      </c>
      <c r="F156" s="17" t="s">
        <v>76</v>
      </c>
      <c r="G156" s="17" t="s">
        <v>77</v>
      </c>
      <c r="H156" s="25" t="str">
        <f>INDEX('GD- LT atual'!$B$2:$D$62,MATCH('SFICS e LT'!F156,'GD- LT atual'!$C$2:$C$62,0),1)</f>
        <v>AGFGR011</v>
      </c>
    </row>
    <row r="157" spans="2:8">
      <c r="B157" s="15" t="s">
        <v>552</v>
      </c>
      <c r="C157" s="15" t="s">
        <v>553</v>
      </c>
      <c r="D157" s="16" t="s">
        <v>554</v>
      </c>
      <c r="E157" s="15" t="s">
        <v>553</v>
      </c>
      <c r="F157" s="17" t="s">
        <v>66</v>
      </c>
      <c r="G157" s="17" t="s">
        <v>67</v>
      </c>
      <c r="H157" s="25" t="str">
        <f>INDEX('GD- LT atual'!$B$2:$D$62,MATCH('SFICS e LT'!F157,'GD- LT atual'!$C$2:$C$62,0),1)</f>
        <v>AGFGR009</v>
      </c>
    </row>
    <row r="158" spans="2:8">
      <c r="B158" s="18" t="s">
        <v>555</v>
      </c>
      <c r="C158" s="18" t="s">
        <v>556</v>
      </c>
      <c r="D158" s="19" t="s">
        <v>557</v>
      </c>
      <c r="E158" s="18" t="s">
        <v>556</v>
      </c>
      <c r="F158" s="20" t="s">
        <v>221</v>
      </c>
      <c r="G158" s="20"/>
      <c r="H158" s="25" t="e">
        <f>INDEX('GD- LT atual'!$B$2:$D$62,MATCH('SFICS e LT'!F158,'GD- LT atual'!$C$2:$C$62,0),1)</f>
        <v>#N/A</v>
      </c>
    </row>
    <row r="159" spans="2:8">
      <c r="B159" s="18" t="s">
        <v>558</v>
      </c>
      <c r="C159" s="18" t="s">
        <v>559</v>
      </c>
      <c r="D159" s="19" t="s">
        <v>560</v>
      </c>
      <c r="E159" s="18" t="s">
        <v>559</v>
      </c>
      <c r="F159" s="20" t="s">
        <v>221</v>
      </c>
      <c r="G159" s="20"/>
      <c r="H159" s="25" t="e">
        <f>INDEX('GD- LT atual'!$B$2:$D$62,MATCH('SFICS e LT'!F159,'GD- LT atual'!$C$2:$C$62,0),1)</f>
        <v>#N/A</v>
      </c>
    </row>
    <row r="160" spans="2:8">
      <c r="B160" s="18" t="s">
        <v>561</v>
      </c>
      <c r="C160" s="18" t="s">
        <v>562</v>
      </c>
      <c r="D160" s="19" t="s">
        <v>563</v>
      </c>
      <c r="E160" s="18" t="s">
        <v>562</v>
      </c>
      <c r="F160" s="20" t="s">
        <v>221</v>
      </c>
      <c r="G160" s="20"/>
      <c r="H160" s="25" t="e">
        <f>INDEX('GD- LT atual'!$B$2:$D$62,MATCH('SFICS e LT'!F160,'GD- LT atual'!$C$2:$C$62,0),1)</f>
        <v>#N/A</v>
      </c>
    </row>
    <row r="161" spans="2:8">
      <c r="B161" s="18" t="s">
        <v>564</v>
      </c>
      <c r="C161" s="18" t="s">
        <v>565</v>
      </c>
      <c r="D161" s="19" t="s">
        <v>566</v>
      </c>
      <c r="E161" s="18" t="s">
        <v>565</v>
      </c>
      <c r="F161" s="20" t="s">
        <v>221</v>
      </c>
      <c r="G161" s="20"/>
      <c r="H161" s="25" t="e">
        <f>INDEX('GD- LT atual'!$B$2:$D$62,MATCH('SFICS e LT'!F161,'GD- LT atual'!$C$2:$C$62,0),1)</f>
        <v>#N/A</v>
      </c>
    </row>
    <row r="162" spans="2:8">
      <c r="B162" s="18" t="s">
        <v>567</v>
      </c>
      <c r="C162" s="18" t="s">
        <v>568</v>
      </c>
      <c r="D162" s="19" t="s">
        <v>569</v>
      </c>
      <c r="E162" s="18" t="s">
        <v>568</v>
      </c>
      <c r="F162" s="20" t="s">
        <v>221</v>
      </c>
      <c r="G162" s="20"/>
      <c r="H162" s="25" t="e">
        <f>INDEX('GD- LT atual'!$B$2:$D$62,MATCH('SFICS e LT'!F162,'GD- LT atual'!$C$2:$C$62,0),1)</f>
        <v>#N/A</v>
      </c>
    </row>
    <row r="163" spans="2:8">
      <c r="B163" s="15" t="s">
        <v>570</v>
      </c>
      <c r="C163" s="15" t="s">
        <v>571</v>
      </c>
      <c r="D163" s="16" t="s">
        <v>572</v>
      </c>
      <c r="E163" s="17" t="s">
        <v>573</v>
      </c>
      <c r="F163" s="17" t="s">
        <v>69</v>
      </c>
      <c r="G163" s="17" t="s">
        <v>70</v>
      </c>
      <c r="H163" s="25" t="str">
        <f>INDEX('GD- LT atual'!$B$2:$D$62,MATCH('SFICS e LT'!F163,'GD- LT atual'!$C$2:$C$62,0),1)</f>
        <v>AGFGR010</v>
      </c>
    </row>
    <row r="164" spans="2:8">
      <c r="B164" s="15" t="s">
        <v>574</v>
      </c>
      <c r="C164" s="15" t="s">
        <v>575</v>
      </c>
      <c r="D164" s="16"/>
      <c r="E164" s="15" t="s">
        <v>575</v>
      </c>
      <c r="F164" s="17"/>
      <c r="G164" s="17"/>
      <c r="H164" s="25" t="e">
        <f>INDEX('GD- LT atual'!$B$2:$D$62,MATCH('SFICS e LT'!F164,'GD- LT atual'!$C$2:$C$62,0),1)</f>
        <v>#N/A</v>
      </c>
    </row>
    <row r="165" spans="2:8">
      <c r="B165" s="18" t="s">
        <v>576</v>
      </c>
      <c r="C165" s="18" t="s">
        <v>577</v>
      </c>
      <c r="D165" s="19">
        <v>2901</v>
      </c>
      <c r="E165" s="18" t="s">
        <v>577</v>
      </c>
      <c r="F165" s="20" t="s">
        <v>221</v>
      </c>
      <c r="G165" s="20"/>
      <c r="H165" s="25" t="e">
        <f>INDEX('GD- LT atual'!$B$2:$D$62,MATCH('SFICS e LT'!F165,'GD- LT atual'!$C$2:$C$62,0),1)</f>
        <v>#N/A</v>
      </c>
    </row>
    <row r="166" spans="2:8">
      <c r="B166" s="15" t="s">
        <v>578</v>
      </c>
      <c r="C166" s="15" t="s">
        <v>579</v>
      </c>
      <c r="D166" s="16"/>
      <c r="E166" s="15" t="s">
        <v>579</v>
      </c>
      <c r="F166" s="17"/>
      <c r="G166" s="17"/>
      <c r="H166" s="25" t="e">
        <f>INDEX('GD- LT atual'!$B$2:$D$62,MATCH('SFICS e LT'!F166,'GD- LT atual'!$C$2:$C$62,0),1)</f>
        <v>#N/A</v>
      </c>
    </row>
    <row r="167" spans="2:8">
      <c r="B167" s="15" t="s">
        <v>580</v>
      </c>
      <c r="C167" s="15" t="s">
        <v>581</v>
      </c>
      <c r="D167" s="16">
        <v>3001</v>
      </c>
      <c r="E167" s="15" t="s">
        <v>581</v>
      </c>
      <c r="F167" s="21" t="s">
        <v>100</v>
      </c>
      <c r="G167" s="21" t="s">
        <v>101</v>
      </c>
      <c r="H167" s="25" t="str">
        <f>INDEX('GD- LT atual'!$B$2:$D$62,MATCH('SFICS e LT'!F167,'GD- LT atual'!$C$2:$C$62,0),1)</f>
        <v>AGFSO001</v>
      </c>
    </row>
    <row r="168" spans="2:8">
      <c r="B168" s="15" t="s">
        <v>582</v>
      </c>
      <c r="C168" s="15" t="s">
        <v>583</v>
      </c>
      <c r="D168" s="16">
        <v>300201</v>
      </c>
      <c r="E168" s="15" t="s">
        <v>583</v>
      </c>
      <c r="F168" s="21" t="s">
        <v>102</v>
      </c>
      <c r="G168" s="21" t="s">
        <v>101</v>
      </c>
      <c r="H168" s="25" t="str">
        <f>INDEX('GD- LT atual'!$B$2:$D$62,MATCH('SFICS e LT'!F168,'GD- LT atual'!$C$2:$C$62,0),1)</f>
        <v>AGFSO001</v>
      </c>
    </row>
    <row r="169" spans="2:8">
      <c r="B169" s="15" t="s">
        <v>584</v>
      </c>
      <c r="C169" s="15" t="s">
        <v>585</v>
      </c>
      <c r="D169" s="16" t="s">
        <v>586</v>
      </c>
      <c r="E169" s="15" t="s">
        <v>585</v>
      </c>
      <c r="F169" s="21" t="s">
        <v>104</v>
      </c>
      <c r="G169" s="21" t="s">
        <v>101</v>
      </c>
      <c r="H169" s="25" t="str">
        <f>INDEX('GD- LT atual'!$B$2:$D$62,MATCH('SFICS e LT'!F169,'GD- LT atual'!$C$2:$C$62,0),1)</f>
        <v>AGFSO001</v>
      </c>
    </row>
    <row r="170" spans="2:8">
      <c r="B170" s="15" t="s">
        <v>587</v>
      </c>
      <c r="C170" s="15" t="s">
        <v>588</v>
      </c>
      <c r="D170" s="16" t="s">
        <v>589</v>
      </c>
      <c r="E170" s="15" t="s">
        <v>588</v>
      </c>
      <c r="F170" s="21" t="s">
        <v>590</v>
      </c>
      <c r="G170" s="21" t="s">
        <v>101</v>
      </c>
      <c r="H170" s="25" t="e">
        <f>INDEX('GD- LT atual'!$B$2:$D$62,MATCH('SFICS e LT'!F170,'GD- LT atual'!$C$2:$C$62,0),1)</f>
        <v>#N/A</v>
      </c>
    </row>
    <row r="171" spans="2:8">
      <c r="B171" s="15" t="s">
        <v>591</v>
      </c>
      <c r="C171" s="15" t="s">
        <v>592</v>
      </c>
      <c r="D171" s="16" t="s">
        <v>593</v>
      </c>
      <c r="E171" s="15" t="s">
        <v>592</v>
      </c>
      <c r="F171" s="21" t="s">
        <v>594</v>
      </c>
      <c r="G171" s="21" t="s">
        <v>101</v>
      </c>
      <c r="H171" s="25" t="e">
        <f>INDEX('GD- LT atual'!$B$2:$D$62,MATCH('SFICS e LT'!F171,'GD- LT atual'!$C$2:$C$62,0),1)</f>
        <v>#N/A</v>
      </c>
    </row>
    <row r="172" spans="2:8">
      <c r="B172" s="15" t="s">
        <v>595</v>
      </c>
      <c r="C172" s="15" t="s">
        <v>596</v>
      </c>
      <c r="D172" s="16" t="s">
        <v>597</v>
      </c>
      <c r="E172" s="15" t="s">
        <v>596</v>
      </c>
      <c r="F172" s="21" t="s">
        <v>598</v>
      </c>
      <c r="G172" s="21" t="s">
        <v>101</v>
      </c>
      <c r="H172" s="25" t="e">
        <f>INDEX('GD- LT atual'!$B$2:$D$62,MATCH('SFICS e LT'!F172,'GD- LT atual'!$C$2:$C$62,0),1)</f>
        <v>#N/A</v>
      </c>
    </row>
    <row r="173" spans="2:8">
      <c r="B173" s="15" t="s">
        <v>599</v>
      </c>
      <c r="C173" s="15" t="s">
        <v>600</v>
      </c>
      <c r="D173" s="16" t="s">
        <v>221</v>
      </c>
      <c r="E173" s="17"/>
      <c r="F173" s="17" t="s">
        <v>221</v>
      </c>
      <c r="G173" s="17"/>
      <c r="H173" s="25" t="e">
        <f>INDEX('GD- LT atual'!$B$2:$D$62,MATCH('SFICS e LT'!F173,'GD- LT atual'!$C$2:$C$62,0),1)</f>
        <v>#N/A</v>
      </c>
    </row>
    <row r="174" spans="2:8">
      <c r="B174" s="15" t="s">
        <v>601</v>
      </c>
      <c r="C174" s="15" t="s">
        <v>602</v>
      </c>
      <c r="D174" s="16"/>
      <c r="E174" s="15" t="s">
        <v>602</v>
      </c>
      <c r="F174" s="17"/>
      <c r="G174" s="17"/>
      <c r="H174" s="25" t="e">
        <f>INDEX('GD- LT atual'!$B$2:$D$62,MATCH('SFICS e LT'!F174,'GD- LT atual'!$C$2:$C$62,0),1)</f>
        <v>#N/A</v>
      </c>
    </row>
    <row r="175" spans="2:8">
      <c r="B175" s="15" t="s">
        <v>603</v>
      </c>
      <c r="C175" s="15" t="s">
        <v>604</v>
      </c>
      <c r="D175" s="16">
        <v>3101</v>
      </c>
      <c r="E175" s="15" t="s">
        <v>604</v>
      </c>
      <c r="F175" s="17" t="s">
        <v>80</v>
      </c>
      <c r="G175" s="17" t="s">
        <v>81</v>
      </c>
      <c r="H175" s="25" t="str">
        <f>INDEX('GD- LT atual'!$B$2:$D$62,MATCH('SFICS e LT'!F175,'GD- LT atual'!$C$2:$C$62,0),1)</f>
        <v>AGFGR011</v>
      </c>
    </row>
    <row r="176" spans="2:8">
      <c r="B176" s="15" t="s">
        <v>605</v>
      </c>
      <c r="C176" s="15" t="s">
        <v>606</v>
      </c>
      <c r="D176" s="16">
        <v>3102</v>
      </c>
      <c r="E176" s="15" t="s">
        <v>606</v>
      </c>
      <c r="F176" s="21" t="s">
        <v>98</v>
      </c>
      <c r="G176" s="21" t="s">
        <v>99</v>
      </c>
      <c r="H176" s="25" t="str">
        <f>INDEX('GD- LT atual'!$B$2:$D$62,MATCH('SFICS e LT'!F176,'GD- LT atual'!$C$2:$C$62,0),1)</f>
        <v>AGFSO001</v>
      </c>
    </row>
    <row r="177" spans="2:8">
      <c r="B177" s="15" t="s">
        <v>607</v>
      </c>
      <c r="C177" s="15" t="s">
        <v>608</v>
      </c>
      <c r="D177" s="16" t="s">
        <v>609</v>
      </c>
      <c r="E177" s="15" t="s">
        <v>608</v>
      </c>
      <c r="F177" s="21" t="s">
        <v>98</v>
      </c>
      <c r="G177" s="21" t="s">
        <v>99</v>
      </c>
      <c r="H177" s="25" t="str">
        <f>INDEX('GD- LT atual'!$B$2:$D$62,MATCH('SFICS e LT'!F177,'GD- LT atual'!$C$2:$C$62,0),1)</f>
        <v>AGFSO001</v>
      </c>
    </row>
    <row r="178" spans="2:8">
      <c r="B178" s="15" t="s">
        <v>610</v>
      </c>
      <c r="C178" s="15" t="s">
        <v>611</v>
      </c>
      <c r="D178" s="16" t="s">
        <v>612</v>
      </c>
      <c r="E178" s="15" t="s">
        <v>611</v>
      </c>
      <c r="F178" s="17" t="s">
        <v>78</v>
      </c>
      <c r="G178" s="17" t="s">
        <v>79</v>
      </c>
      <c r="H178" s="25" t="str">
        <f>INDEX('GD- LT atual'!$B$2:$D$62,MATCH('SFICS e LT'!F178,'GD- LT atual'!$C$2:$C$62,0),1)</f>
        <v>AGFGR011</v>
      </c>
    </row>
    <row r="179" spans="2:8">
      <c r="B179" s="15"/>
      <c r="C179" s="22" t="s">
        <v>613</v>
      </c>
      <c r="D179" s="22"/>
      <c r="E179" s="22" t="s">
        <v>613</v>
      </c>
      <c r="F179" s="22"/>
      <c r="G179" s="22"/>
      <c r="H179" s="25" t="e">
        <f>INDEX('GD- LT atual'!$B$2:$D$62,MATCH('SFICS e LT'!F179,'GD- LT atual'!$C$2:$C$62,0),1)</f>
        <v>#N/A</v>
      </c>
    </row>
    <row r="180" spans="2:8">
      <c r="B180" s="15"/>
      <c r="C180" s="22" t="s">
        <v>614</v>
      </c>
      <c r="D180" s="22" t="s">
        <v>615</v>
      </c>
      <c r="E180" s="22" t="s">
        <v>614</v>
      </c>
      <c r="F180" s="23"/>
      <c r="G180" s="23"/>
      <c r="H180" s="25" t="e">
        <f>INDEX('GD- LT atual'!$B$2:$D$62,MATCH('SFICS e LT'!F180,'GD- LT atual'!$C$2:$C$62,0),1)</f>
        <v>#N/A</v>
      </c>
    </row>
    <row r="181" spans="2:8">
      <c r="B181" s="15"/>
      <c r="C181" s="22" t="s">
        <v>616</v>
      </c>
      <c r="D181" s="22" t="s">
        <v>617</v>
      </c>
      <c r="E181" s="22" t="s">
        <v>616</v>
      </c>
      <c r="F181" s="23"/>
      <c r="G181" s="23"/>
      <c r="H181" s="25" t="e">
        <f>INDEX('GD- LT atual'!$B$2:$D$62,MATCH('SFICS e LT'!F181,'GD- LT atual'!$C$2:$C$62,0),1)</f>
        <v>#N/A</v>
      </c>
    </row>
    <row r="182" spans="2:8">
      <c r="B182" s="15"/>
      <c r="C182" s="22" t="s">
        <v>618</v>
      </c>
      <c r="D182" s="22" t="s">
        <v>619</v>
      </c>
      <c r="E182" s="22" t="s">
        <v>618</v>
      </c>
      <c r="F182" s="23"/>
      <c r="G182" s="23"/>
      <c r="H182" s="25" t="e">
        <f>INDEX('GD- LT atual'!$B$2:$D$62,MATCH('SFICS e LT'!F182,'GD- LT atual'!$C$2:$C$62,0),1)</f>
        <v>#N/A</v>
      </c>
    </row>
    <row r="183" spans="2:8">
      <c r="B183" s="15"/>
      <c r="C183" s="22" t="s">
        <v>620</v>
      </c>
      <c r="D183" s="22" t="s">
        <v>621</v>
      </c>
      <c r="E183" s="22" t="s">
        <v>620</v>
      </c>
      <c r="F183" s="23"/>
      <c r="G183" s="23"/>
      <c r="H183" s="25" t="e">
        <f>INDEX('GD- LT atual'!$B$2:$D$62,MATCH('SFICS e LT'!F183,'GD- LT atual'!$C$2:$C$62,0),1)</f>
        <v>#N/A</v>
      </c>
    </row>
    <row r="184" spans="2:8">
      <c r="B184" s="15"/>
      <c r="C184" s="22" t="s">
        <v>622</v>
      </c>
      <c r="D184" s="22" t="s">
        <v>623</v>
      </c>
      <c r="E184" s="22" t="s">
        <v>622</v>
      </c>
      <c r="F184" s="23"/>
      <c r="G184" s="23"/>
      <c r="H184" s="25" t="e">
        <f>INDEX('GD- LT atual'!$B$2:$D$62,MATCH('SFICS e LT'!F184,'GD- LT atual'!$C$2:$C$62,0),1)</f>
        <v>#N/A</v>
      </c>
    </row>
    <row r="185" spans="2:8">
      <c r="B185" s="15"/>
      <c r="C185" s="22" t="s">
        <v>624</v>
      </c>
      <c r="D185" s="22"/>
      <c r="E185" s="22" t="s">
        <v>624</v>
      </c>
      <c r="F185" s="23"/>
      <c r="G185" s="23"/>
      <c r="H185" s="25" t="e">
        <f>INDEX('GD- LT atual'!$B$2:$D$62,MATCH('SFICS e LT'!F185,'GD- LT atual'!$C$2:$C$62,0),1)</f>
        <v>#N/A</v>
      </c>
    </row>
    <row r="186" spans="2:8">
      <c r="B186" s="15"/>
      <c r="C186" s="22" t="s">
        <v>625</v>
      </c>
      <c r="D186" s="22">
        <v>3602</v>
      </c>
      <c r="E186" s="22" t="s">
        <v>625</v>
      </c>
      <c r="F186" s="23"/>
      <c r="G186" s="23"/>
      <c r="H186" s="25" t="e">
        <f>INDEX('GD- LT atual'!$B$2:$D$62,MATCH('SFICS e LT'!F186,'GD- LT atual'!$C$2:$C$62,0),1)</f>
        <v>#N/A</v>
      </c>
    </row>
    <row r="187" spans="2:8">
      <c r="B187" s="15"/>
      <c r="C187" s="22" t="s">
        <v>626</v>
      </c>
      <c r="D187" s="22">
        <v>3603</v>
      </c>
      <c r="E187" s="22" t="s">
        <v>626</v>
      </c>
      <c r="F187" s="23"/>
      <c r="G187" s="23"/>
      <c r="H187" s="25" t="e">
        <f>INDEX('GD- LT atual'!$B$2:$D$62,MATCH('SFICS e LT'!F187,'GD- LT atual'!$C$2:$C$62,0),1)</f>
        <v>#N/A</v>
      </c>
    </row>
    <row r="188" spans="2:8">
      <c r="B188" s="15"/>
      <c r="C188" s="22" t="s">
        <v>627</v>
      </c>
      <c r="D188" s="22" t="s">
        <v>628</v>
      </c>
      <c r="E188" s="22" t="s">
        <v>627</v>
      </c>
      <c r="F188" s="23"/>
      <c r="G188" s="23"/>
      <c r="H188" s="25" t="e">
        <f>INDEX('GD- LT atual'!$B$2:$D$62,MATCH('SFICS e LT'!F188,'GD- LT atual'!$C$2:$C$62,0),1)</f>
        <v>#N/A</v>
      </c>
    </row>
    <row r="189" spans="2:8">
      <c r="B189" s="15"/>
      <c r="C189" s="22" t="s">
        <v>629</v>
      </c>
      <c r="D189" s="22"/>
      <c r="E189" s="22" t="s">
        <v>629</v>
      </c>
      <c r="F189" s="23"/>
      <c r="G189" s="23"/>
      <c r="H189" s="25" t="e">
        <f>INDEX('GD- LT atual'!$B$2:$D$62,MATCH('SFICS e LT'!F189,'GD- LT atual'!$C$2:$C$62,0),1)</f>
        <v>#N/A</v>
      </c>
    </row>
    <row r="190" spans="2:8">
      <c r="B190" s="15"/>
      <c r="C190" s="22" t="s">
        <v>630</v>
      </c>
      <c r="D190" s="22" t="s">
        <v>631</v>
      </c>
      <c r="E190" s="22" t="s">
        <v>630</v>
      </c>
      <c r="F190" s="23"/>
      <c r="G190" s="23"/>
      <c r="H190" s="25" t="e">
        <f>INDEX('GD- LT atual'!$B$2:$D$62,MATCH('SFICS e LT'!F190,'GD- LT atual'!$C$2:$C$62,0),1)</f>
        <v>#N/A</v>
      </c>
    </row>
    <row r="191" spans="2:8">
      <c r="B191" s="15"/>
      <c r="C191" s="22" t="s">
        <v>632</v>
      </c>
      <c r="D191" s="22" t="s">
        <v>633</v>
      </c>
      <c r="E191" s="22" t="s">
        <v>632</v>
      </c>
      <c r="F191" s="23"/>
      <c r="G191" s="23"/>
      <c r="H191" s="25" t="e">
        <f>INDEX('GD- LT atual'!$B$2:$D$62,MATCH('SFICS e LT'!F191,'GD- LT atual'!$C$2:$C$62,0),1)</f>
        <v>#N/A</v>
      </c>
    </row>
    <row r="192" spans="2:8">
      <c r="B192" s="15"/>
      <c r="C192" s="22" t="s">
        <v>634</v>
      </c>
      <c r="D192" s="22" t="s">
        <v>635</v>
      </c>
      <c r="E192" s="22" t="s">
        <v>634</v>
      </c>
      <c r="F192" s="23"/>
      <c r="G192" s="23"/>
      <c r="H192" s="25" t="e">
        <f>INDEX('GD- LT atual'!$B$2:$D$62,MATCH('SFICS e LT'!F192,'GD- LT atual'!$C$2:$C$62,0),1)</f>
        <v>#N/A</v>
      </c>
    </row>
    <row r="193" spans="2:8">
      <c r="B193" s="15"/>
      <c r="C193" s="22" t="s">
        <v>636</v>
      </c>
      <c r="D193" s="22"/>
      <c r="E193" s="22" t="s">
        <v>636</v>
      </c>
      <c r="F193" s="23"/>
      <c r="G193" s="23"/>
      <c r="H193" s="25" t="e">
        <f>INDEX('GD- LT atual'!$B$2:$D$62,MATCH('SFICS e LT'!F193,'GD- LT atual'!$C$2:$C$62,0),1)</f>
        <v>#N/A</v>
      </c>
    </row>
    <row r="194" spans="2:8">
      <c r="B194" s="15"/>
      <c r="C194" s="22" t="s">
        <v>637</v>
      </c>
      <c r="D194" s="22" t="s">
        <v>638</v>
      </c>
      <c r="E194" s="22" t="s">
        <v>637</v>
      </c>
      <c r="F194" s="23"/>
      <c r="G194" s="23"/>
      <c r="H194" s="25" t="e">
        <f>INDEX('GD- LT atual'!$B$2:$D$62,MATCH('SFICS e LT'!F194,'GD- LT atual'!$C$2:$C$62,0),1)</f>
        <v>#N/A</v>
      </c>
    </row>
    <row r="195" spans="2:8">
      <c r="B195" s="15"/>
      <c r="C195" s="22" t="s">
        <v>639</v>
      </c>
      <c r="D195" s="22"/>
      <c r="E195" s="22" t="s">
        <v>639</v>
      </c>
      <c r="F195" s="23"/>
      <c r="G195" s="23"/>
      <c r="H195" s="25" t="e">
        <f>INDEX('GD- LT atual'!$B$2:$D$62,MATCH('SFICS e LT'!F195,'GD- LT atual'!$C$2:$C$62,0),1)</f>
        <v>#N/A</v>
      </c>
    </row>
    <row r="196" spans="2:8">
      <c r="B196" s="15"/>
      <c r="C196" s="22" t="s">
        <v>640</v>
      </c>
      <c r="D196" s="22" t="s">
        <v>641</v>
      </c>
      <c r="E196" s="22" t="s">
        <v>640</v>
      </c>
      <c r="F196" s="23"/>
      <c r="G196" s="23"/>
      <c r="H196" s="25" t="e">
        <f>INDEX('GD- LT atual'!$B$2:$D$62,MATCH('SFICS e LT'!F196,'GD- LT atual'!$C$2:$C$62,0),1)</f>
        <v>#N/A</v>
      </c>
    </row>
    <row r="197" spans="2:8">
      <c r="B197" s="15"/>
      <c r="C197" s="22" t="s">
        <v>642</v>
      </c>
      <c r="D197" s="22" t="s">
        <v>643</v>
      </c>
      <c r="E197" s="22" t="s">
        <v>642</v>
      </c>
      <c r="F197" s="23"/>
      <c r="G197" s="23"/>
      <c r="H197" s="25" t="e">
        <f>INDEX('GD- LT atual'!$B$2:$D$62,MATCH('SFICS e LT'!F197,'GD- LT atual'!$C$2:$C$62,0),1)</f>
        <v>#N/A</v>
      </c>
    </row>
    <row r="198" spans="2:8">
      <c r="B198" s="15"/>
      <c r="C198" s="22" t="s">
        <v>644</v>
      </c>
      <c r="D198" s="22" t="s">
        <v>645</v>
      </c>
      <c r="E198" s="22" t="s">
        <v>644</v>
      </c>
      <c r="F198" s="23"/>
      <c r="G198" s="23"/>
      <c r="H198" s="25" t="e">
        <f>INDEX('GD- LT atual'!$B$2:$D$62,MATCH('SFICS e LT'!F198,'GD- LT atual'!$C$2:$C$62,0),1)</f>
        <v>#N/A</v>
      </c>
    </row>
    <row r="199" spans="2:8">
      <c r="B199" s="15"/>
      <c r="C199" s="22" t="s">
        <v>646</v>
      </c>
      <c r="D199" s="22"/>
      <c r="E199" s="22" t="s">
        <v>646</v>
      </c>
      <c r="F199" s="23"/>
      <c r="G199" s="23"/>
      <c r="H199" s="25" t="e">
        <f>INDEX('GD- LT atual'!$B$2:$D$62,MATCH('SFICS e LT'!F199,'GD- LT atual'!$C$2:$C$62,0),1)</f>
        <v>#N/A</v>
      </c>
    </row>
    <row r="200" spans="2:8">
      <c r="B200" s="15"/>
      <c r="C200" s="22" t="s">
        <v>647</v>
      </c>
      <c r="D200" s="22" t="s">
        <v>648</v>
      </c>
      <c r="E200" s="22" t="s">
        <v>647</v>
      </c>
      <c r="F200" s="23"/>
      <c r="G200" s="23"/>
      <c r="H200" s="25" t="e">
        <f>INDEX('GD- LT atual'!$B$2:$D$62,MATCH('SFICS e LT'!F200,'GD- LT atual'!$C$2:$C$62,0),1)</f>
        <v>#N/A</v>
      </c>
    </row>
    <row r="201" spans="2:8">
      <c r="B201" s="15"/>
      <c r="C201" s="22" t="s">
        <v>649</v>
      </c>
      <c r="D201" s="22" t="s">
        <v>650</v>
      </c>
      <c r="E201" s="22" t="s">
        <v>649</v>
      </c>
      <c r="F201" s="23"/>
      <c r="G201" s="23"/>
      <c r="H201" s="25" t="e">
        <f>INDEX('GD- LT atual'!$B$2:$D$62,MATCH('SFICS e LT'!F201,'GD- LT atual'!$C$2:$C$62,0),1)</f>
        <v>#N/A</v>
      </c>
    </row>
    <row r="202" spans="2:8">
      <c r="B202" s="15"/>
      <c r="C202" s="22" t="s">
        <v>651</v>
      </c>
      <c r="D202" s="22"/>
      <c r="E202" s="22" t="s">
        <v>651</v>
      </c>
      <c r="F202" s="23"/>
      <c r="G202" s="23"/>
      <c r="H202" s="25" t="e">
        <f>INDEX('GD- LT atual'!$B$2:$D$62,MATCH('SFICS e LT'!F202,'GD- LT atual'!$C$2:$C$62,0),1)</f>
        <v>#N/A</v>
      </c>
    </row>
    <row r="203" spans="2:8">
      <c r="B203" s="15"/>
      <c r="C203" s="22" t="s">
        <v>652</v>
      </c>
      <c r="D203" s="22">
        <v>4101</v>
      </c>
      <c r="E203" s="22" t="s">
        <v>652</v>
      </c>
      <c r="F203" s="23"/>
      <c r="G203" s="23"/>
      <c r="H203" s="25" t="e">
        <f>INDEX('GD- LT atual'!$B$2:$D$62,MATCH('SFICS e LT'!F203,'GD- LT atual'!$C$2:$C$62,0),1)</f>
        <v>#N/A</v>
      </c>
    </row>
    <row r="204" spans="2:8">
      <c r="B204" s="15"/>
      <c r="C204" s="22" t="s">
        <v>653</v>
      </c>
      <c r="D204" s="22">
        <v>4102</v>
      </c>
      <c r="E204" s="22" t="s">
        <v>653</v>
      </c>
      <c r="F204" s="23"/>
      <c r="G204" s="23"/>
      <c r="H204" s="25" t="e">
        <f>INDEX('GD- LT atual'!$B$2:$D$62,MATCH('SFICS e LT'!F204,'GD- LT atual'!$C$2:$C$62,0),1)</f>
        <v>#N/A</v>
      </c>
    </row>
    <row r="205" spans="2:8">
      <c r="B205" s="15"/>
      <c r="C205" s="22" t="s">
        <v>654</v>
      </c>
      <c r="D205" s="22"/>
      <c r="E205" s="22" t="s">
        <v>654</v>
      </c>
      <c r="F205" s="23"/>
      <c r="G205" s="23"/>
      <c r="H205" s="25" t="e">
        <f>INDEX('GD- LT atual'!$B$2:$D$62,MATCH('SFICS e LT'!F205,'GD- LT atual'!$C$2:$C$62,0),1)</f>
        <v>#N/A</v>
      </c>
    </row>
    <row r="206" spans="2:8">
      <c r="B206" s="15"/>
      <c r="C206" s="22" t="s">
        <v>655</v>
      </c>
      <c r="D206" s="22" t="s">
        <v>656</v>
      </c>
      <c r="E206" s="22" t="s">
        <v>655</v>
      </c>
      <c r="F206" s="23"/>
      <c r="G206" s="23"/>
      <c r="H206" s="25" t="e">
        <f>INDEX('GD- LT atual'!$B$2:$D$62,MATCH('SFICS e LT'!F206,'GD- LT atual'!$C$2:$C$62,0),1)</f>
        <v>#N/A</v>
      </c>
    </row>
    <row r="207" spans="2:8">
      <c r="B207" s="15"/>
      <c r="C207" s="22" t="s">
        <v>657</v>
      </c>
      <c r="D207" s="22"/>
      <c r="E207" s="22" t="s">
        <v>657</v>
      </c>
      <c r="F207" s="23"/>
      <c r="G207" s="23"/>
      <c r="H207" s="25" t="e">
        <f>INDEX('GD- LT atual'!$B$2:$D$62,MATCH('SFICS e LT'!F207,'GD- LT atual'!$C$2:$C$62,0),1)</f>
        <v>#N/A</v>
      </c>
    </row>
    <row r="208" spans="2:8">
      <c r="B208" s="15"/>
      <c r="C208" s="22" t="s">
        <v>658</v>
      </c>
      <c r="D208" s="22" t="s">
        <v>659</v>
      </c>
      <c r="E208" s="22" t="s">
        <v>658</v>
      </c>
      <c r="F208" s="23"/>
      <c r="G208" s="23"/>
      <c r="H208" s="25" t="e">
        <f>INDEX('GD- LT atual'!$B$2:$D$62,MATCH('SFICS e LT'!F208,'GD- LT atual'!$C$2:$C$62,0),1)</f>
        <v>#N/A</v>
      </c>
    </row>
    <row r="209" spans="2:8">
      <c r="B209" s="15"/>
      <c r="C209" s="22"/>
      <c r="D209" s="22" t="s">
        <v>660</v>
      </c>
      <c r="E209" s="22" t="s">
        <v>661</v>
      </c>
      <c r="F209" s="23"/>
      <c r="G209" s="23"/>
      <c r="H209" s="25" t="e">
        <f>INDEX('GD- LT atual'!$B$2:$D$62,MATCH('SFICS e LT'!F209,'GD- LT atual'!$C$2:$C$62,0),1)</f>
        <v>#N/A</v>
      </c>
    </row>
    <row r="210" spans="2:8">
      <c r="D210" s="24"/>
    </row>
    <row r="211" spans="2:8">
      <c r="B211" s="35" t="s">
        <v>662</v>
      </c>
      <c r="C211" s="35"/>
      <c r="D211" s="24"/>
    </row>
  </sheetData>
  <mergeCells count="3">
    <mergeCell ref="B2:C2"/>
    <mergeCell ref="F2:G2"/>
    <mergeCell ref="B211:C21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AAEE95-CB9C-4628-9F79-7901E35A6863}">
  <dimension ref="B1:K148"/>
  <sheetViews>
    <sheetView tabSelected="1" workbookViewId="0">
      <selection activeCell="J19" sqref="J19"/>
    </sheetView>
  </sheetViews>
  <sheetFormatPr defaultColWidth="8.85546875" defaultRowHeight="14.45"/>
  <cols>
    <col min="1" max="1" width="8.85546875" style="1"/>
    <col min="2" max="2" width="7" style="1" bestFit="1" customWidth="1"/>
    <col min="3" max="3" width="13.140625" style="1" customWidth="1"/>
    <col min="4" max="4" width="8.85546875" style="1"/>
    <col min="5" max="5" width="12.42578125" style="1" bestFit="1" customWidth="1"/>
    <col min="6" max="6" width="12" style="1" bestFit="1" customWidth="1"/>
    <col min="7" max="7" width="8.85546875" style="1"/>
    <col min="8" max="8" width="10.5703125" style="1" bestFit="1" customWidth="1"/>
    <col min="9" max="9" width="10.5703125" style="1" customWidth="1"/>
    <col min="10" max="10" width="16.7109375" style="1" customWidth="1"/>
    <col min="11" max="16384" width="8.85546875" style="1"/>
  </cols>
  <sheetData>
    <row r="1" spans="2:11">
      <c r="E1" s="28" t="s">
        <v>0</v>
      </c>
      <c r="F1" s="1" t="s">
        <v>85</v>
      </c>
    </row>
    <row r="2" spans="2:11">
      <c r="B2" s="29" t="s">
        <v>1</v>
      </c>
      <c r="C2" s="2" t="s">
        <v>0</v>
      </c>
      <c r="H2" s="26" t="s">
        <v>663</v>
      </c>
      <c r="I2" s="26" t="s">
        <v>2</v>
      </c>
      <c r="J2" s="26" t="s">
        <v>664</v>
      </c>
    </row>
    <row r="3" spans="2:11">
      <c r="B3" s="30">
        <v>210101</v>
      </c>
      <c r="C3" s="31" t="s">
        <v>3</v>
      </c>
      <c r="E3" s="28" t="s">
        <v>665</v>
      </c>
      <c r="H3" s="1" t="s">
        <v>666</v>
      </c>
      <c r="I3" s="1" t="s">
        <v>667</v>
      </c>
      <c r="J3" s="1" t="s">
        <v>668</v>
      </c>
      <c r="K3" s="1" t="str">
        <f>_xlfn.CONCAT("WHEN ",$J$2," IN ",$J3," THEN ",$H3)</f>
        <v>WHEN SSTNBL_CTGRY IN ('210101','210102','210103','210104','210105','210106','210107','210108','210109','210110','210201','210202','210203','210204','210205','210206','210207','210208','210302','210419','210420','210421','210501','210601','210602','210603','280201','280202','280203') THEN 'AGFGR001'</v>
      </c>
    </row>
    <row r="4" spans="2:11">
      <c r="B4" s="30" t="s">
        <v>148</v>
      </c>
      <c r="C4" s="31" t="s">
        <v>3</v>
      </c>
      <c r="E4" s="32">
        <v>2401</v>
      </c>
      <c r="F4" s="1" t="str">
        <f>_xlfn.CONCAT("'",E4,"'",",")</f>
        <v>'2401',</v>
      </c>
      <c r="H4" s="1" t="s">
        <v>669</v>
      </c>
      <c r="I4" s="1" t="s">
        <v>670</v>
      </c>
      <c r="J4" s="1" t="s">
        <v>671</v>
      </c>
      <c r="K4" s="1" t="str">
        <f t="shared" ref="K4:K13" si="0">_xlfn.CONCAT("WHEN ",$J$2," IN ",$J4," THEN ",$H4)</f>
        <v>WHEN SSTNBL_CTGRY IN ('220501','220101','220102','220103','220106','220201','220202','220203','220204','220205','220206','220303') THEN 'AGFGR002'</v>
      </c>
    </row>
    <row r="5" spans="2:11">
      <c r="B5" s="30" t="s">
        <v>151</v>
      </c>
      <c r="C5" s="31" t="s">
        <v>3</v>
      </c>
      <c r="E5" s="32">
        <v>2502</v>
      </c>
      <c r="F5" s="1" t="str">
        <f t="shared" ref="F5:F37" si="1">_xlfn.CONCAT("'",E5,"'",",")</f>
        <v>'2502',</v>
      </c>
      <c r="H5" s="1" t="s">
        <v>672</v>
      </c>
      <c r="I5" s="1" t="s">
        <v>670</v>
      </c>
      <c r="J5" s="1" t="s">
        <v>673</v>
      </c>
      <c r="K5" s="1" t="str">
        <f t="shared" si="0"/>
        <v>WHEN SSTNBL_CTGRY IN ('220404','220104','220105','220301','220302','220401','220402','220403','220405') THEN 'AGFGR003'</v>
      </c>
    </row>
    <row r="6" spans="2:11">
      <c r="B6" s="30" t="s">
        <v>154</v>
      </c>
      <c r="C6" s="31" t="s">
        <v>3</v>
      </c>
      <c r="E6" s="32">
        <v>2503</v>
      </c>
      <c r="F6" s="1" t="str">
        <f t="shared" si="1"/>
        <v>'2503',</v>
      </c>
      <c r="H6" s="1" t="s">
        <v>674</v>
      </c>
      <c r="I6" s="1" t="s">
        <v>675</v>
      </c>
      <c r="J6" s="1" t="s">
        <v>676</v>
      </c>
      <c r="K6" s="1" t="str">
        <f t="shared" si="0"/>
        <v>WHEN SSTNBL_CTGRY IN ('2704','2705','270201','270203','270204','270301','270302','270303','270304','270305','270306','270307','270308','270309','270310','270311','270101','270102','270202') THEN 'AGFGR005'</v>
      </c>
    </row>
    <row r="7" spans="2:11">
      <c r="B7" s="30" t="s">
        <v>157</v>
      </c>
      <c r="C7" s="31" t="s">
        <v>3</v>
      </c>
      <c r="E7" s="32">
        <v>3001</v>
      </c>
      <c r="F7" s="1" t="str">
        <f t="shared" si="1"/>
        <v>'3001',</v>
      </c>
      <c r="H7" s="1" t="s">
        <v>677</v>
      </c>
      <c r="I7" s="27" t="s">
        <v>678</v>
      </c>
      <c r="J7" s="1" t="s">
        <v>679</v>
      </c>
      <c r="K7" s="1" t="str">
        <f t="shared" si="0"/>
        <v>WHEN SSTNBL_CTGRY IN ('2301') THEN 'AGFGR006'</v>
      </c>
    </row>
    <row r="8" spans="2:11">
      <c r="B8" s="30" t="s">
        <v>160</v>
      </c>
      <c r="C8" s="31" t="s">
        <v>3</v>
      </c>
      <c r="E8" s="32">
        <v>3102</v>
      </c>
      <c r="F8" s="1" t="str">
        <f t="shared" si="1"/>
        <v>'3102',</v>
      </c>
      <c r="H8" s="1" t="s">
        <v>680</v>
      </c>
      <c r="I8" s="27" t="s">
        <v>678</v>
      </c>
      <c r="J8" s="1" t="s">
        <v>681</v>
      </c>
      <c r="K8" s="1" t="str">
        <f t="shared" si="0"/>
        <v>WHEN SSTNBL_CTGRY IN ('2302','230301') THEN 'AGFGR007'</v>
      </c>
    </row>
    <row r="9" spans="2:11">
      <c r="B9" s="30" t="s">
        <v>163</v>
      </c>
      <c r="C9" s="31" t="s">
        <v>3</v>
      </c>
      <c r="E9" s="32">
        <v>210701</v>
      </c>
      <c r="F9" s="1" t="str">
        <f t="shared" si="1"/>
        <v>'210701',</v>
      </c>
      <c r="H9" s="1" t="s">
        <v>682</v>
      </c>
      <c r="I9" s="1" t="s">
        <v>678</v>
      </c>
      <c r="J9" s="1" t="s">
        <v>683</v>
      </c>
      <c r="K9" s="1" t="str">
        <f t="shared" si="0"/>
        <v>WHEN SSTNBL_CTGRY IN ('230302','230303','230304') THEN 'AGFGR008'</v>
      </c>
    </row>
    <row r="10" spans="2:11">
      <c r="B10" s="30" t="s">
        <v>166</v>
      </c>
      <c r="C10" s="31" t="s">
        <v>3</v>
      </c>
      <c r="E10" s="32">
        <v>260104</v>
      </c>
      <c r="F10" s="1" t="str">
        <f t="shared" si="1"/>
        <v>'260104',</v>
      </c>
      <c r="H10" s="1" t="s">
        <v>684</v>
      </c>
      <c r="I10" s="1" t="s">
        <v>685</v>
      </c>
      <c r="J10" s="1" t="s">
        <v>686</v>
      </c>
      <c r="K10" s="1" t="str">
        <f t="shared" si="0"/>
        <v>WHEN SSTNBL_CTGRY IN ('2305','230601','280101') THEN 'AGFGR009'</v>
      </c>
    </row>
    <row r="11" spans="2:11">
      <c r="B11" s="30" t="s">
        <v>169</v>
      </c>
      <c r="C11" s="31" t="s">
        <v>3</v>
      </c>
      <c r="E11" s="32">
        <v>260403</v>
      </c>
      <c r="F11" s="1" t="str">
        <f t="shared" si="1"/>
        <v>'260403',</v>
      </c>
      <c r="H11" s="1" t="s">
        <v>687</v>
      </c>
      <c r="I11" s="1" t="s">
        <v>474</v>
      </c>
      <c r="J11" s="1" t="s">
        <v>688</v>
      </c>
      <c r="K11" s="1" t="str">
        <f t="shared" si="0"/>
        <v>WHEN SSTNBL_CTGRY IN ('280302','280303','280304','280504','280706','280107','2804','280501','280503','280505','280601','280602','280603','280701','280702','280703','280704','280705','280801','280802','280901','280902') THEN 'AGFGR010'</v>
      </c>
    </row>
    <row r="12" spans="2:11">
      <c r="B12" s="30" t="s">
        <v>172</v>
      </c>
      <c r="C12" s="31" t="s">
        <v>3</v>
      </c>
      <c r="E12" s="32">
        <v>300201</v>
      </c>
      <c r="F12" s="1" t="str">
        <f t="shared" si="1"/>
        <v>'300201',</v>
      </c>
      <c r="H12" s="1" t="s">
        <v>689</v>
      </c>
      <c r="I12" s="1" t="s">
        <v>690</v>
      </c>
      <c r="J12" s="1" t="s">
        <v>691</v>
      </c>
      <c r="K12" s="1" t="str">
        <f t="shared" si="0"/>
        <v>WHEN SSTNBL_CTGRY IN ('2706','3101','280301','281001','260304','260601','260602','280502','280604','3104') THEN 'AGFGR011'</v>
      </c>
    </row>
    <row r="13" spans="2:11">
      <c r="B13" s="30" t="s">
        <v>175</v>
      </c>
      <c r="C13" s="31" t="s">
        <v>3</v>
      </c>
      <c r="E13" s="32" t="s">
        <v>328</v>
      </c>
      <c r="F13" s="1" t="str">
        <f>_xlfn.CONCAT("'",E13,"'",",")</f>
        <v>'2304',</v>
      </c>
      <c r="H13" s="1" t="s">
        <v>692</v>
      </c>
      <c r="I13" s="1" t="s">
        <v>693</v>
      </c>
      <c r="J13" s="1" t="s">
        <v>694</v>
      </c>
      <c r="K13" s="1" t="str">
        <f t="shared" si="0"/>
        <v>WHEN SSTNBL_CTGRY IN ('2401','2502','2503','3001','3102','210701','260104','260403','300201','2304','230602','2501','260101','260102','260103','260201','260202','260203','260204','260205','260301','260302','260303','260305','260401','260402','260404','260405','260406','260407','260501','260502','300202','3103') THEN 'AGFSO001'</v>
      </c>
    </row>
    <row r="14" spans="2:11">
      <c r="B14" s="30" t="s">
        <v>178</v>
      </c>
      <c r="C14" s="31" t="s">
        <v>3</v>
      </c>
      <c r="E14" s="32" t="s">
        <v>337</v>
      </c>
      <c r="F14" s="1" t="str">
        <f t="shared" si="1"/>
        <v>'230602',</v>
      </c>
    </row>
    <row r="15" spans="2:11">
      <c r="B15" s="30" t="s">
        <v>181</v>
      </c>
      <c r="C15" s="31" t="s">
        <v>3</v>
      </c>
      <c r="E15" s="32" t="s">
        <v>347</v>
      </c>
      <c r="F15" s="1" t="str">
        <f t="shared" si="1"/>
        <v>'2501  ',</v>
      </c>
    </row>
    <row r="16" spans="2:11">
      <c r="B16" s="30" t="s">
        <v>184</v>
      </c>
      <c r="C16" s="31" t="s">
        <v>3</v>
      </c>
      <c r="E16" s="32" t="s">
        <v>356</v>
      </c>
      <c r="F16" s="1" t="str">
        <f t="shared" si="1"/>
        <v>'260101',</v>
      </c>
    </row>
    <row r="17" spans="2:6">
      <c r="B17" s="30" t="s">
        <v>187</v>
      </c>
      <c r="C17" s="31" t="s">
        <v>3</v>
      </c>
      <c r="E17" s="32" t="s">
        <v>388</v>
      </c>
      <c r="F17" s="1" t="str">
        <f t="shared" si="1"/>
        <v>'260102',</v>
      </c>
    </row>
    <row r="18" spans="2:6">
      <c r="B18" s="30" t="s">
        <v>190</v>
      </c>
      <c r="C18" s="31" t="s">
        <v>3</v>
      </c>
      <c r="E18" s="32" t="s">
        <v>391</v>
      </c>
      <c r="F18" s="1" t="str">
        <f t="shared" si="1"/>
        <v>'260103',</v>
      </c>
    </row>
    <row r="19" spans="2:6">
      <c r="B19" s="30" t="s">
        <v>193</v>
      </c>
      <c r="C19" s="31" t="s">
        <v>3</v>
      </c>
      <c r="E19" s="32" t="s">
        <v>361</v>
      </c>
      <c r="F19" s="1" t="str">
        <f t="shared" si="1"/>
        <v>'260201',</v>
      </c>
    </row>
    <row r="20" spans="2:6">
      <c r="B20" s="30" t="s">
        <v>196</v>
      </c>
      <c r="C20" s="31" t="s">
        <v>3</v>
      </c>
      <c r="E20" s="32" t="s">
        <v>394</v>
      </c>
      <c r="F20" s="1" t="str">
        <f t="shared" si="1"/>
        <v>'260202',</v>
      </c>
    </row>
    <row r="21" spans="2:6">
      <c r="B21" s="30" t="s">
        <v>199</v>
      </c>
      <c r="C21" s="31" t="s">
        <v>3</v>
      </c>
      <c r="E21" s="32" t="s">
        <v>397</v>
      </c>
      <c r="F21" s="1" t="str">
        <f t="shared" si="1"/>
        <v>'260203',</v>
      </c>
    </row>
    <row r="22" spans="2:6">
      <c r="B22" s="30" t="s">
        <v>202</v>
      </c>
      <c r="C22" s="31" t="s">
        <v>3</v>
      </c>
      <c r="E22" s="32" t="s">
        <v>400</v>
      </c>
      <c r="F22" s="1" t="str">
        <f t="shared" si="1"/>
        <v>'260204',</v>
      </c>
    </row>
    <row r="23" spans="2:6">
      <c r="B23" s="30" t="s">
        <v>205</v>
      </c>
      <c r="C23" s="31" t="s">
        <v>3</v>
      </c>
      <c r="E23" s="32" t="s">
        <v>403</v>
      </c>
      <c r="F23" s="1" t="str">
        <f t="shared" si="1"/>
        <v>'260205',</v>
      </c>
    </row>
    <row r="24" spans="2:6">
      <c r="B24" s="30" t="s">
        <v>208</v>
      </c>
      <c r="C24" s="31" t="s">
        <v>3</v>
      </c>
      <c r="E24" s="32" t="s">
        <v>367</v>
      </c>
      <c r="F24" s="1" t="str">
        <f t="shared" si="1"/>
        <v>'260301',</v>
      </c>
    </row>
    <row r="25" spans="2:6">
      <c r="B25" s="30" t="s">
        <v>211</v>
      </c>
      <c r="C25" s="31" t="s">
        <v>3</v>
      </c>
      <c r="E25" s="32" t="s">
        <v>370</v>
      </c>
      <c r="F25" s="1" t="str">
        <f t="shared" si="1"/>
        <v>'260302',</v>
      </c>
    </row>
    <row r="26" spans="2:6">
      <c r="B26" s="30" t="s">
        <v>214</v>
      </c>
      <c r="C26" s="31" t="s">
        <v>3</v>
      </c>
      <c r="E26" s="32" t="s">
        <v>373</v>
      </c>
      <c r="F26" s="1" t="str">
        <f t="shared" si="1"/>
        <v>'260303',</v>
      </c>
    </row>
    <row r="27" spans="2:6">
      <c r="B27" s="30" t="s">
        <v>217</v>
      </c>
      <c r="C27" s="31" t="s">
        <v>3</v>
      </c>
      <c r="E27" s="32" t="s">
        <v>411</v>
      </c>
      <c r="F27" s="1" t="str">
        <f t="shared" si="1"/>
        <v>'260305',</v>
      </c>
    </row>
    <row r="28" spans="2:6">
      <c r="B28" s="30" t="s">
        <v>224</v>
      </c>
      <c r="C28" s="31" t="s">
        <v>3</v>
      </c>
      <c r="E28" s="32" t="s">
        <v>364</v>
      </c>
      <c r="F28" s="1" t="str">
        <f t="shared" si="1"/>
        <v>'260401',</v>
      </c>
    </row>
    <row r="29" spans="2:6">
      <c r="B29" s="30">
        <v>210701</v>
      </c>
      <c r="C29" s="31" t="s">
        <v>85</v>
      </c>
      <c r="E29" s="32" t="s">
        <v>376</v>
      </c>
      <c r="F29" s="1" t="str">
        <f t="shared" si="1"/>
        <v>'260402',</v>
      </c>
    </row>
    <row r="30" spans="2:6">
      <c r="B30" s="30" t="s">
        <v>246</v>
      </c>
      <c r="C30" s="31" t="s">
        <v>12</v>
      </c>
      <c r="E30" s="32" t="s">
        <v>408</v>
      </c>
      <c r="F30" s="1" t="str">
        <f t="shared" si="1"/>
        <v>'260404',</v>
      </c>
    </row>
    <row r="31" spans="2:6">
      <c r="B31" s="30" t="s">
        <v>249</v>
      </c>
      <c r="C31" s="31" t="s">
        <v>12</v>
      </c>
      <c r="E31" s="32" t="s">
        <v>417</v>
      </c>
      <c r="F31" s="1" t="str">
        <f t="shared" si="1"/>
        <v>'260405',</v>
      </c>
    </row>
    <row r="32" spans="2:6">
      <c r="B32" s="30" t="s">
        <v>252</v>
      </c>
      <c r="C32" s="31" t="s">
        <v>12</v>
      </c>
      <c r="E32" s="32" t="s">
        <v>414</v>
      </c>
      <c r="F32" s="1" t="str">
        <f t="shared" si="1"/>
        <v>'260406',</v>
      </c>
    </row>
    <row r="33" spans="2:6">
      <c r="B33" s="30" t="s">
        <v>255</v>
      </c>
      <c r="C33" s="31" t="s">
        <v>25</v>
      </c>
      <c r="E33" s="32" t="s">
        <v>420</v>
      </c>
      <c r="F33" s="1" t="str">
        <f t="shared" si="1"/>
        <v>'260407',</v>
      </c>
    </row>
    <row r="34" spans="2:6">
      <c r="B34" s="30" t="s">
        <v>258</v>
      </c>
      <c r="C34" s="31" t="s">
        <v>25</v>
      </c>
      <c r="E34" s="32" t="s">
        <v>423</v>
      </c>
      <c r="F34" s="1" t="str">
        <f t="shared" si="1"/>
        <v>'260501',</v>
      </c>
    </row>
    <row r="35" spans="2:6">
      <c r="B35" s="30" t="s">
        <v>261</v>
      </c>
      <c r="C35" s="31" t="s">
        <v>12</v>
      </c>
      <c r="E35" s="32" t="s">
        <v>426</v>
      </c>
      <c r="F35" s="1" t="str">
        <f t="shared" si="1"/>
        <v>'260502',</v>
      </c>
    </row>
    <row r="36" spans="2:6">
      <c r="B36" s="30" t="s">
        <v>264</v>
      </c>
      <c r="C36" s="31" t="s">
        <v>12</v>
      </c>
      <c r="E36" s="32" t="s">
        <v>586</v>
      </c>
      <c r="F36" s="1" t="str">
        <f t="shared" si="1"/>
        <v>'300202',</v>
      </c>
    </row>
    <row r="37" spans="2:6">
      <c r="B37" s="30" t="s">
        <v>267</v>
      </c>
      <c r="C37" s="31" t="s">
        <v>12</v>
      </c>
      <c r="E37" s="32" t="s">
        <v>609</v>
      </c>
      <c r="F37" s="1" t="str">
        <f t="shared" si="1"/>
        <v>'3103  ',</v>
      </c>
    </row>
    <row r="38" spans="2:6">
      <c r="B38" s="30" t="s">
        <v>270</v>
      </c>
      <c r="C38" s="31" t="s">
        <v>12</v>
      </c>
      <c r="E38" s="32" t="s">
        <v>695</v>
      </c>
    </row>
    <row r="39" spans="2:6">
      <c r="B39" s="30" t="s">
        <v>273</v>
      </c>
      <c r="C39" s="31" t="s">
        <v>12</v>
      </c>
    </row>
    <row r="40" spans="2:6">
      <c r="B40" s="30" t="s">
        <v>276</v>
      </c>
      <c r="C40" s="31" t="s">
        <v>12</v>
      </c>
    </row>
    <row r="41" spans="2:6">
      <c r="B41" s="30" t="s">
        <v>279</v>
      </c>
      <c r="C41" s="31" t="s">
        <v>12</v>
      </c>
    </row>
    <row r="42" spans="2:6">
      <c r="B42" s="30" t="s">
        <v>282</v>
      </c>
      <c r="C42" s="31" t="s">
        <v>25</v>
      </c>
    </row>
    <row r="43" spans="2:6">
      <c r="B43" s="30" t="s">
        <v>285</v>
      </c>
      <c r="C43" s="31" t="s">
        <v>25</v>
      </c>
    </row>
    <row r="44" spans="2:6">
      <c r="B44" s="30" t="s">
        <v>288</v>
      </c>
      <c r="C44" s="31" t="s">
        <v>25</v>
      </c>
    </row>
    <row r="45" spans="2:6">
      <c r="B45" s="30" t="s">
        <v>291</v>
      </c>
      <c r="C45" s="31" t="s">
        <v>25</v>
      </c>
    </row>
    <row r="46" spans="2:6">
      <c r="B46" s="30">
        <v>220404</v>
      </c>
      <c r="C46" s="31" t="s">
        <v>25</v>
      </c>
    </row>
    <row r="47" spans="2:6">
      <c r="B47" s="30" t="s">
        <v>296</v>
      </c>
      <c r="C47" s="31" t="s">
        <v>25</v>
      </c>
    </row>
    <row r="48" spans="2:6">
      <c r="B48" s="30" t="s">
        <v>299</v>
      </c>
      <c r="C48" s="31" t="s">
        <v>25</v>
      </c>
    </row>
    <row r="49" spans="2:3">
      <c r="B49" s="30" t="s">
        <v>302</v>
      </c>
      <c r="C49" s="31" t="s">
        <v>12</v>
      </c>
    </row>
    <row r="50" spans="2:3">
      <c r="B50" s="30">
        <v>220501</v>
      </c>
      <c r="C50" s="31" t="s">
        <v>12</v>
      </c>
    </row>
    <row r="51" spans="2:3">
      <c r="B51" s="30" t="s">
        <v>310</v>
      </c>
      <c r="C51" s="31" t="s">
        <v>46</v>
      </c>
    </row>
    <row r="52" spans="2:3">
      <c r="B52" s="30" t="s">
        <v>313</v>
      </c>
      <c r="C52" s="31" t="s">
        <v>49</v>
      </c>
    </row>
    <row r="53" spans="2:3">
      <c r="B53" s="30" t="s">
        <v>316</v>
      </c>
      <c r="C53" s="31" t="s">
        <v>49</v>
      </c>
    </row>
    <row r="54" spans="2:3">
      <c r="B54" s="30" t="s">
        <v>319</v>
      </c>
      <c r="C54" s="31" t="s">
        <v>56</v>
      </c>
    </row>
    <row r="55" spans="2:3">
      <c r="B55" s="30" t="s">
        <v>322</v>
      </c>
      <c r="C55" s="31" t="s">
        <v>56</v>
      </c>
    </row>
    <row r="56" spans="2:3">
      <c r="B56" s="30" t="s">
        <v>325</v>
      </c>
      <c r="C56" s="31" t="s">
        <v>56</v>
      </c>
    </row>
    <row r="57" spans="2:3">
      <c r="B57" s="30" t="s">
        <v>328</v>
      </c>
      <c r="C57" s="31" t="s">
        <v>85</v>
      </c>
    </row>
    <row r="58" spans="2:3">
      <c r="B58" s="30" t="s">
        <v>331</v>
      </c>
      <c r="C58" s="31" t="s">
        <v>61</v>
      </c>
    </row>
    <row r="59" spans="2:3">
      <c r="B59" s="30" t="s">
        <v>334</v>
      </c>
      <c r="C59" s="31" t="s">
        <v>61</v>
      </c>
    </row>
    <row r="60" spans="2:3">
      <c r="B60" s="30" t="s">
        <v>337</v>
      </c>
      <c r="C60" s="31" t="s">
        <v>85</v>
      </c>
    </row>
    <row r="61" spans="2:3">
      <c r="B61" s="30">
        <v>2401</v>
      </c>
      <c r="C61" s="31" t="s">
        <v>85</v>
      </c>
    </row>
    <row r="62" spans="2:3">
      <c r="B62" s="30" t="s">
        <v>347</v>
      </c>
      <c r="C62" s="31" t="s">
        <v>85</v>
      </c>
    </row>
    <row r="63" spans="2:3">
      <c r="B63" s="30">
        <v>2502</v>
      </c>
      <c r="C63" s="31" t="s">
        <v>85</v>
      </c>
    </row>
    <row r="64" spans="2:3">
      <c r="B64" s="30">
        <v>2503</v>
      </c>
      <c r="C64" s="31" t="s">
        <v>85</v>
      </c>
    </row>
    <row r="65" spans="2:3">
      <c r="B65" s="30" t="s">
        <v>356</v>
      </c>
      <c r="C65" s="31" t="s">
        <v>85</v>
      </c>
    </row>
    <row r="66" spans="2:3">
      <c r="B66" s="30">
        <v>260104</v>
      </c>
      <c r="C66" s="31" t="s">
        <v>85</v>
      </c>
    </row>
    <row r="67" spans="2:3">
      <c r="B67" s="30" t="s">
        <v>361</v>
      </c>
      <c r="C67" s="31" t="s">
        <v>85</v>
      </c>
    </row>
    <row r="68" spans="2:3">
      <c r="B68" s="30" t="s">
        <v>364</v>
      </c>
      <c r="C68" s="31" t="s">
        <v>85</v>
      </c>
    </row>
    <row r="69" spans="2:3">
      <c r="B69" s="30" t="s">
        <v>367</v>
      </c>
      <c r="C69" s="31" t="s">
        <v>85</v>
      </c>
    </row>
    <row r="70" spans="2:3">
      <c r="B70" s="30" t="s">
        <v>370</v>
      </c>
      <c r="C70" s="31" t="s">
        <v>85</v>
      </c>
    </row>
    <row r="71" spans="2:3">
      <c r="B71" s="30" t="s">
        <v>373</v>
      </c>
      <c r="C71" s="31" t="s">
        <v>85</v>
      </c>
    </row>
    <row r="72" spans="2:3">
      <c r="B72" s="30" t="s">
        <v>376</v>
      </c>
      <c r="C72" s="31" t="s">
        <v>85</v>
      </c>
    </row>
    <row r="73" spans="2:3">
      <c r="B73" s="30" t="s">
        <v>379</v>
      </c>
      <c r="C73" s="31" t="s">
        <v>71</v>
      </c>
    </row>
    <row r="74" spans="2:3">
      <c r="B74" s="30" t="s">
        <v>382</v>
      </c>
      <c r="C74" s="31" t="s">
        <v>71</v>
      </c>
    </row>
    <row r="75" spans="2:3">
      <c r="B75" s="30" t="s">
        <v>385</v>
      </c>
      <c r="C75" s="31" t="s">
        <v>71</v>
      </c>
    </row>
    <row r="76" spans="2:3">
      <c r="B76" s="30" t="s">
        <v>388</v>
      </c>
      <c r="C76" s="31" t="s">
        <v>85</v>
      </c>
    </row>
    <row r="77" spans="2:3">
      <c r="B77" s="30" t="s">
        <v>391</v>
      </c>
      <c r="C77" s="31" t="s">
        <v>85</v>
      </c>
    </row>
    <row r="78" spans="2:3">
      <c r="B78" s="30" t="s">
        <v>394</v>
      </c>
      <c r="C78" s="31" t="s">
        <v>85</v>
      </c>
    </row>
    <row r="79" spans="2:3">
      <c r="B79" s="30" t="s">
        <v>397</v>
      </c>
      <c r="C79" s="31" t="s">
        <v>85</v>
      </c>
    </row>
    <row r="80" spans="2:3">
      <c r="B80" s="30" t="s">
        <v>400</v>
      </c>
      <c r="C80" s="31" t="s">
        <v>85</v>
      </c>
    </row>
    <row r="81" spans="2:3">
      <c r="B81" s="30" t="s">
        <v>403</v>
      </c>
      <c r="C81" s="31" t="s">
        <v>85</v>
      </c>
    </row>
    <row r="82" spans="2:3">
      <c r="B82" s="30">
        <v>260403</v>
      </c>
      <c r="C82" s="31" t="s">
        <v>85</v>
      </c>
    </row>
    <row r="83" spans="2:3">
      <c r="B83" s="30" t="s">
        <v>408</v>
      </c>
      <c r="C83" s="31" t="s">
        <v>85</v>
      </c>
    </row>
    <row r="84" spans="2:3">
      <c r="B84" s="30" t="s">
        <v>411</v>
      </c>
      <c r="C84" s="31" t="s">
        <v>85</v>
      </c>
    </row>
    <row r="85" spans="2:3">
      <c r="B85" s="30" t="s">
        <v>414</v>
      </c>
      <c r="C85" s="31" t="s">
        <v>85</v>
      </c>
    </row>
    <row r="86" spans="2:3">
      <c r="B86" s="30" t="s">
        <v>417</v>
      </c>
      <c r="C86" s="31" t="s">
        <v>85</v>
      </c>
    </row>
    <row r="87" spans="2:3">
      <c r="B87" s="30" t="s">
        <v>420</v>
      </c>
      <c r="C87" s="31" t="s">
        <v>85</v>
      </c>
    </row>
    <row r="88" spans="2:3">
      <c r="B88" s="30" t="s">
        <v>423</v>
      </c>
      <c r="C88" s="31" t="s">
        <v>85</v>
      </c>
    </row>
    <row r="89" spans="2:3">
      <c r="B89" s="30" t="s">
        <v>426</v>
      </c>
      <c r="C89" s="31" t="s">
        <v>85</v>
      </c>
    </row>
    <row r="90" spans="2:3">
      <c r="B90" s="30" t="s">
        <v>432</v>
      </c>
      <c r="C90" s="31" t="s">
        <v>31</v>
      </c>
    </row>
    <row r="91" spans="2:3">
      <c r="B91" s="30">
        <v>270201</v>
      </c>
      <c r="C91" s="31" t="s">
        <v>31</v>
      </c>
    </row>
    <row r="92" spans="2:3">
      <c r="B92" s="30" t="s">
        <v>437</v>
      </c>
      <c r="C92" s="31" t="s">
        <v>31</v>
      </c>
    </row>
    <row r="93" spans="2:3">
      <c r="B93" s="30" t="s">
        <v>440</v>
      </c>
      <c r="C93" s="31" t="s">
        <v>31</v>
      </c>
    </row>
    <row r="94" spans="2:3">
      <c r="B94" s="30">
        <v>270203</v>
      </c>
      <c r="C94" s="31" t="s">
        <v>31</v>
      </c>
    </row>
    <row r="95" spans="2:3">
      <c r="B95" s="30">
        <v>270204</v>
      </c>
      <c r="C95" s="31" t="s">
        <v>31</v>
      </c>
    </row>
    <row r="96" spans="2:3">
      <c r="B96" s="30">
        <v>270301</v>
      </c>
      <c r="C96" s="31" t="s">
        <v>31</v>
      </c>
    </row>
    <row r="97" spans="2:3">
      <c r="B97" s="30">
        <v>270302</v>
      </c>
      <c r="C97" s="31" t="s">
        <v>31</v>
      </c>
    </row>
    <row r="98" spans="2:3">
      <c r="B98" s="30">
        <v>270303</v>
      </c>
      <c r="C98" s="31" t="s">
        <v>31</v>
      </c>
    </row>
    <row r="99" spans="2:3">
      <c r="B99" s="30">
        <v>270304</v>
      </c>
      <c r="C99" s="31" t="s">
        <v>31</v>
      </c>
    </row>
    <row r="100" spans="2:3">
      <c r="B100" s="30">
        <v>270305</v>
      </c>
      <c r="C100" s="31" t="s">
        <v>31</v>
      </c>
    </row>
    <row r="101" spans="2:3">
      <c r="B101" s="30">
        <v>270306</v>
      </c>
      <c r="C101" s="31" t="s">
        <v>31</v>
      </c>
    </row>
    <row r="102" spans="2:3">
      <c r="B102" s="30">
        <v>270307</v>
      </c>
      <c r="C102" s="31" t="s">
        <v>31</v>
      </c>
    </row>
    <row r="103" spans="2:3">
      <c r="B103" s="30">
        <v>270308</v>
      </c>
      <c r="C103" s="31" t="s">
        <v>31</v>
      </c>
    </row>
    <row r="104" spans="2:3">
      <c r="B104" s="30">
        <v>2704</v>
      </c>
      <c r="C104" s="31" t="s">
        <v>31</v>
      </c>
    </row>
    <row r="105" spans="2:3">
      <c r="B105" s="30">
        <v>2705</v>
      </c>
      <c r="C105" s="31" t="s">
        <v>31</v>
      </c>
    </row>
    <row r="106" spans="2:3">
      <c r="B106" s="30">
        <v>2706</v>
      </c>
      <c r="C106" s="31" t="s">
        <v>71</v>
      </c>
    </row>
    <row r="107" spans="2:3">
      <c r="B107" s="30">
        <v>270309</v>
      </c>
      <c r="C107" s="31" t="s">
        <v>31</v>
      </c>
    </row>
    <row r="108" spans="2:3">
      <c r="B108" s="30">
        <v>270310</v>
      </c>
      <c r="C108" s="31" t="s">
        <v>31</v>
      </c>
    </row>
    <row r="109" spans="2:3">
      <c r="B109" s="30">
        <v>270311</v>
      </c>
      <c r="C109" s="31" t="s">
        <v>31</v>
      </c>
    </row>
    <row r="110" spans="2:3">
      <c r="B110" s="30" t="s">
        <v>477</v>
      </c>
      <c r="C110" s="31" t="s">
        <v>3</v>
      </c>
    </row>
    <row r="111" spans="2:3">
      <c r="B111" s="30" t="s">
        <v>480</v>
      </c>
      <c r="C111" s="31" t="s">
        <v>3</v>
      </c>
    </row>
    <row r="112" spans="2:3">
      <c r="B112" s="30" t="s">
        <v>483</v>
      </c>
      <c r="C112" s="31" t="s">
        <v>3</v>
      </c>
    </row>
    <row r="113" spans="2:3">
      <c r="B113" s="30">
        <v>280301</v>
      </c>
      <c r="C113" s="31" t="s">
        <v>71</v>
      </c>
    </row>
    <row r="114" spans="2:3">
      <c r="B114" s="30" t="s">
        <v>488</v>
      </c>
      <c r="C114" s="31" t="s">
        <v>68</v>
      </c>
    </row>
    <row r="115" spans="2:3">
      <c r="B115" s="30" t="s">
        <v>491</v>
      </c>
      <c r="C115" s="31" t="s">
        <v>68</v>
      </c>
    </row>
    <row r="116" spans="2:3">
      <c r="B116" s="30" t="s">
        <v>494</v>
      </c>
      <c r="C116" s="31" t="s">
        <v>71</v>
      </c>
    </row>
    <row r="117" spans="2:3">
      <c r="B117" s="30" t="s">
        <v>497</v>
      </c>
      <c r="C117" s="31" t="s">
        <v>68</v>
      </c>
    </row>
    <row r="118" spans="2:3">
      <c r="B118" s="30" t="s">
        <v>500</v>
      </c>
      <c r="C118" s="31" t="s">
        <v>68</v>
      </c>
    </row>
    <row r="119" spans="2:3">
      <c r="B119" s="30" t="s">
        <v>503</v>
      </c>
      <c r="C119" s="31" t="s">
        <v>68</v>
      </c>
    </row>
    <row r="120" spans="2:3">
      <c r="B120" s="30" t="s">
        <v>506</v>
      </c>
      <c r="C120" s="31" t="s">
        <v>71</v>
      </c>
    </row>
    <row r="121" spans="2:3">
      <c r="B121" s="30" t="s">
        <v>509</v>
      </c>
      <c r="C121" s="31" t="s">
        <v>68</v>
      </c>
    </row>
    <row r="122" spans="2:3">
      <c r="B122" s="30" t="s">
        <v>512</v>
      </c>
      <c r="C122" s="31" t="s">
        <v>68</v>
      </c>
    </row>
    <row r="123" spans="2:3">
      <c r="B123" s="30" t="s">
        <v>515</v>
      </c>
      <c r="C123" s="31" t="s">
        <v>68</v>
      </c>
    </row>
    <row r="124" spans="2:3">
      <c r="B124" s="30" t="s">
        <v>518</v>
      </c>
      <c r="C124" s="31" t="s">
        <v>68</v>
      </c>
    </row>
    <row r="125" spans="2:3">
      <c r="B125" s="30" t="s">
        <v>521</v>
      </c>
      <c r="C125" s="31" t="s">
        <v>68</v>
      </c>
    </row>
    <row r="126" spans="2:3">
      <c r="B126" s="30" t="s">
        <v>524</v>
      </c>
      <c r="C126" s="31" t="s">
        <v>68</v>
      </c>
    </row>
    <row r="127" spans="2:3">
      <c r="B127" s="30">
        <v>280302</v>
      </c>
      <c r="C127" s="31" t="s">
        <v>68</v>
      </c>
    </row>
    <row r="128" spans="2:3">
      <c r="B128" s="30">
        <v>280303</v>
      </c>
      <c r="C128" s="31" t="s">
        <v>68</v>
      </c>
    </row>
    <row r="129" spans="2:3">
      <c r="B129" s="30" t="s">
        <v>531</v>
      </c>
      <c r="C129" s="31" t="s">
        <v>68</v>
      </c>
    </row>
    <row r="130" spans="2:3">
      <c r="B130" s="30">
        <v>280304</v>
      </c>
      <c r="C130" s="31" t="s">
        <v>68</v>
      </c>
    </row>
    <row r="131" spans="2:3">
      <c r="B131" s="30" t="s">
        <v>536</v>
      </c>
      <c r="C131" s="31" t="s">
        <v>68</v>
      </c>
    </row>
    <row r="132" spans="2:3">
      <c r="B132" s="30" t="s">
        <v>539</v>
      </c>
      <c r="C132" s="31" t="s">
        <v>68</v>
      </c>
    </row>
    <row r="133" spans="2:3">
      <c r="B133" s="30" t="s">
        <v>542</v>
      </c>
      <c r="C133" s="31" t="s">
        <v>68</v>
      </c>
    </row>
    <row r="134" spans="2:3">
      <c r="B134" s="30" t="s">
        <v>545</v>
      </c>
      <c r="C134" s="31" t="s">
        <v>68</v>
      </c>
    </row>
    <row r="135" spans="2:3">
      <c r="B135" s="30">
        <v>280706</v>
      </c>
      <c r="C135" s="31" t="s">
        <v>68</v>
      </c>
    </row>
    <row r="136" spans="2:3">
      <c r="B136" s="30">
        <v>280504</v>
      </c>
      <c r="C136" s="31" t="s">
        <v>68</v>
      </c>
    </row>
    <row r="137" spans="2:3">
      <c r="B137" s="30">
        <v>281001</v>
      </c>
      <c r="C137" s="31" t="s">
        <v>71</v>
      </c>
    </row>
    <row r="138" spans="2:3">
      <c r="B138" s="30" t="s">
        <v>554</v>
      </c>
      <c r="C138" s="31" t="s">
        <v>61</v>
      </c>
    </row>
    <row r="139" spans="2:3">
      <c r="B139" s="30" t="s">
        <v>572</v>
      </c>
      <c r="C139" s="31" t="s">
        <v>68</v>
      </c>
    </row>
    <row r="140" spans="2:3">
      <c r="B140" s="30">
        <v>3001</v>
      </c>
      <c r="C140" s="31" t="s">
        <v>85</v>
      </c>
    </row>
    <row r="141" spans="2:3">
      <c r="B141" s="30">
        <v>300201</v>
      </c>
      <c r="C141" s="31" t="s">
        <v>85</v>
      </c>
    </row>
    <row r="142" spans="2:3">
      <c r="B142" s="30" t="s">
        <v>586</v>
      </c>
      <c r="C142" s="31" t="s">
        <v>85</v>
      </c>
    </row>
    <row r="143" spans="2:3">
      <c r="B143" s="30">
        <v>3101</v>
      </c>
      <c r="C143" s="31" t="s">
        <v>71</v>
      </c>
    </row>
    <row r="144" spans="2:3">
      <c r="B144" s="30">
        <v>3102</v>
      </c>
      <c r="C144" s="31" t="s">
        <v>85</v>
      </c>
    </row>
    <row r="145" spans="2:3">
      <c r="B145" s="30" t="s">
        <v>609</v>
      </c>
      <c r="C145" s="31" t="s">
        <v>85</v>
      </c>
    </row>
    <row r="146" spans="2:3">
      <c r="B146" s="30" t="s">
        <v>612</v>
      </c>
      <c r="C146" s="31" t="s">
        <v>71</v>
      </c>
    </row>
    <row r="147" spans="2:3">
      <c r="B147" s="32"/>
    </row>
    <row r="148" spans="2:3">
      <c r="B148" s="32"/>
    </row>
  </sheetData>
  <autoFilter ref="B2:C146" xr:uid="{41AAEE95-CB9C-4628-9F79-7901E35A6863}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D14F8A-5118-44D6-B329-F273AC2CB1E2}">
  <dimension ref="A1"/>
  <sheetViews>
    <sheetView workbookViewId="0"/>
  </sheetViews>
  <sheetFormatPr defaultRowHeight="14.4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_ip_UnifiedCompliancePolicyProperties xmlns="http://schemas.microsoft.com/sharepoint/v3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0F2CD0D646C4A4BA134F31D4B24B40E" ma:contentTypeVersion="6" ma:contentTypeDescription="Create a new document." ma:contentTypeScope="" ma:versionID="44d084d22cffce93bfdc479ece46efdb">
  <xsd:schema xmlns:xsd="http://www.w3.org/2001/XMLSchema" xmlns:xs="http://www.w3.org/2001/XMLSchema" xmlns:p="http://schemas.microsoft.com/office/2006/metadata/properties" xmlns:ns1="http://schemas.microsoft.com/sharepoint/v3" xmlns:ns2="452ab218-3f18-4af3-9aea-c75ce8322b25" targetNamespace="http://schemas.microsoft.com/office/2006/metadata/properties" ma:root="true" ma:fieldsID="4c48daec1cac35560ca4f83510ab44c9" ns1:_="" ns2:_="">
    <xsd:import namespace="http://schemas.microsoft.com/sharepoint/v3"/>
    <xsd:import namespace="452ab218-3f18-4af3-9aea-c75ce8322b2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1:_ip_UnifiedCompliancePolicyProperties" minOccurs="0"/>
                <xsd:element ref="ns1:_ip_UnifiedCompliancePolicyUIAc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2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13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52ab218-3f18-4af3-9aea-c75ce8322b2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C323412D-018C-47E5-AD04-32AE7EF67772}"/>
</file>

<file path=customXml/itemProps2.xml><?xml version="1.0" encoding="utf-8"?>
<ds:datastoreItem xmlns:ds="http://schemas.openxmlformats.org/officeDocument/2006/customXml" ds:itemID="{CEACCCEA-A9A3-4805-B8C8-02D71A347E2B}"/>
</file>

<file path=customXml/itemProps3.xml><?xml version="1.0" encoding="utf-8"?>
<ds:datastoreItem xmlns:ds="http://schemas.openxmlformats.org/officeDocument/2006/customXml" ds:itemID="{570D1063-C516-45C0-957D-8485C8FE188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Banco Santander Portugal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Ana Filipa Silva Carreira</dc:creator>
  <cp:keywords/>
  <dc:description/>
  <cp:lastModifiedBy>Hélder Filipe Felicidade Fernandes</cp:lastModifiedBy>
  <cp:revision/>
  <dcterms:created xsi:type="dcterms:W3CDTF">2025-07-30T13:59:42Z</dcterms:created>
  <dcterms:modified xsi:type="dcterms:W3CDTF">2025-09-19T12:40:31Z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0c2abd79-57a9-4473-8700-c843f76a1e37_Enabled">
    <vt:lpwstr>true</vt:lpwstr>
  </property>
  <property fmtid="{D5CDD505-2E9C-101B-9397-08002B2CF9AE}" pid="3" name="MSIP_Label_0c2abd79-57a9-4473-8700-c843f76a1e37_SetDate">
    <vt:lpwstr>2025-07-30T15:14:40Z</vt:lpwstr>
  </property>
  <property fmtid="{D5CDD505-2E9C-101B-9397-08002B2CF9AE}" pid="4" name="MSIP_Label_0c2abd79-57a9-4473-8700-c843f76a1e37_Method">
    <vt:lpwstr>Privileged</vt:lpwstr>
  </property>
  <property fmtid="{D5CDD505-2E9C-101B-9397-08002B2CF9AE}" pid="5" name="MSIP_Label_0c2abd79-57a9-4473-8700-c843f76a1e37_Name">
    <vt:lpwstr>Internal</vt:lpwstr>
  </property>
  <property fmtid="{D5CDD505-2E9C-101B-9397-08002B2CF9AE}" pid="6" name="MSIP_Label_0c2abd79-57a9-4473-8700-c843f76a1e37_SiteId">
    <vt:lpwstr>35595a02-4d6d-44ac-99e1-f9ab4cd872db</vt:lpwstr>
  </property>
  <property fmtid="{D5CDD505-2E9C-101B-9397-08002B2CF9AE}" pid="7" name="MSIP_Label_0c2abd79-57a9-4473-8700-c843f76a1e37_ActionId">
    <vt:lpwstr>78f3f278-c9cc-4496-a648-7b50f3d33064</vt:lpwstr>
  </property>
  <property fmtid="{D5CDD505-2E9C-101B-9397-08002B2CF9AE}" pid="8" name="MSIP_Label_0c2abd79-57a9-4473-8700-c843f76a1e37_ContentBits">
    <vt:lpwstr>0</vt:lpwstr>
  </property>
  <property fmtid="{D5CDD505-2E9C-101B-9397-08002B2CF9AE}" pid="9" name="MSIP_Label_0c2abd79-57a9-4473-8700-c843f76a1e37_Tag">
    <vt:lpwstr>10, 0, 1, 1</vt:lpwstr>
  </property>
  <property fmtid="{D5CDD505-2E9C-101B-9397-08002B2CF9AE}" pid="10" name="ContentTypeId">
    <vt:lpwstr>0x010100B0F2CD0D646C4A4BA134F31D4B24B40E</vt:lpwstr>
  </property>
</Properties>
</file>