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Default Extension="xlsx" ContentType="application/vnd.openxmlformats-officedocument.spreadsheetml.sheet"/>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namedSheetViews/namedSheetView1.xml" ContentType="application/vnd.ms-excel.namedsheetview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defaultThemeVersion="164011"/>
  <mc:AlternateContent xmlns:mc="http://schemas.openxmlformats.org/markup-compatibility/2006">
    <mc:Choice Requires="x15">
      <x15ac:absPath xmlns:x15ac="http://schemas.microsoft.com/office/spreadsheetml/2010/11/ac" url="C:\Users\e808872\Downloads\"/>
    </mc:Choice>
  </mc:AlternateContent>
  <bookViews>
    <workbookView xWindow="0" yWindow="0" windowWidth="19190" windowHeight="1800" tabRatio="914" firstSheet="18" activeTab="22"/>
  </bookViews>
  <sheets>
    <sheet name="PDS" sheetId="52" r:id="rId1"/>
    <sheet name="PDS - Desenvolvimento" sheetId="64" r:id="rId2"/>
    <sheet name="Filtros dos Segmentos" sheetId="36" r:id="rId3"/>
    <sheet name="LEGAL PERSONS DATA SETS" sheetId="19" r:id="rId4"/>
    <sheet name="LEGALP_INSTRUMENTS" sheetId="2" r:id="rId5"/>
    <sheet name="LEGALP_COUNTERPARTIES" sheetId="20" r:id="rId6"/>
    <sheet name="LEGALP_PROTECTIONS" sheetId="21" r:id="rId7"/>
    <sheet name="LEGALP_INSTRUMENT_COUNTERPARTY" sheetId="37" r:id="rId8"/>
    <sheet name="LEGALP_INSTRUMENT_PROTECTION" sheetId="38" r:id="rId9"/>
    <sheet name="NATURAL PERSONS DATA SETS" sheetId="23" r:id="rId10"/>
    <sheet name="NATURALP_INSTRUMENTS" sheetId="24" r:id="rId11"/>
    <sheet name="NATURALP_COUNTERPARTIES" sheetId="25" r:id="rId12"/>
    <sheet name="NATURALP_PROTECTIONS" sheetId="26" r:id="rId13"/>
    <sheet name="NATURALP_INSTRUMENT_COUNTERPART" sheetId="39" r:id="rId14"/>
    <sheet name="NATURALP_INSTRUMENT_PROTECTION" sheetId="40" r:id="rId15"/>
    <sheet name="OFF-BALANCE DATA SETS" sheetId="28" r:id="rId16"/>
    <sheet name="OFFBAL_INSTRUMENTS" sheetId="30" r:id="rId17"/>
    <sheet name="OFFBAL_COUNTERPARTIES" sheetId="27" r:id="rId18"/>
    <sheet name="OFFBAL_PROTECTIONS" sheetId="31" r:id="rId19"/>
    <sheet name="OFFBAL_INSTRUMENT_COUNTERPARTY" sheetId="41" r:id="rId20"/>
    <sheet name="OFFBAL_INSTRUMENT_PROTECTION" sheetId="42" r:id="rId21"/>
    <sheet name="DERIVATIVES Data Set" sheetId="33" r:id="rId22"/>
    <sheet name="DERIVATIVES" sheetId="32" r:id="rId23"/>
    <sheet name="DEBT SECURITIES Data Set" sheetId="44" r:id="rId24"/>
    <sheet name="DEBT_SECURITIES" sheetId="34" r:id="rId25"/>
    <sheet name="EQUITY INSTRUMENTS Data Set" sheetId="45" r:id="rId26"/>
    <sheet name="EQUITY_INSTRUMENTS" sheetId="35" r:id="rId27"/>
    <sheet name="DTA DTC Data Set" sheetId="46" r:id="rId28"/>
    <sheet name="DTA_DTC" sheetId="47" r:id="rId29"/>
    <sheet name="INTANGIBLE ASSETS Data Set" sheetId="48" r:id="rId30"/>
    <sheet name="INTANGIBLE_ASSETS" sheetId="49" r:id="rId31"/>
    <sheet name="LT803" sheetId="54" r:id="rId32"/>
    <sheet name="LT829" sheetId="62" r:id="rId33"/>
    <sheet name="LT830" sheetId="63" r:id="rId34"/>
    <sheet name="LT831" sheetId="61" r:id="rId35"/>
    <sheet name="LT829 &amp; LT830" sheetId="57" r:id="rId36"/>
    <sheet name="Sheet1" sheetId="55" state="hidden" r:id="rId37"/>
    <sheet name="Sheet2" sheetId="58" state="hidden" r:id="rId38"/>
    <sheet name="AUX" sheetId="50" state="hidden" r:id="rId39"/>
    <sheet name="Apoio novos campos" sheetId="53" state="hidden" r:id="rId40"/>
  </sheets>
  <definedNames>
    <definedName name="_xlnm._FilterDatabase" localSheetId="24" hidden="1">DEBT_SECURITIES!$A$2:$Z$77</definedName>
    <definedName name="_xlnm._FilterDatabase" localSheetId="22" hidden="1">DERIVATIVES!$A$2:$Z$69</definedName>
    <definedName name="_xlnm._FilterDatabase" localSheetId="26" hidden="1">EQUITY_INSTRUMENTS!$A$2:$Y$35</definedName>
    <definedName name="_xlnm._FilterDatabase" localSheetId="5" hidden="1">LEGALP_COUNTERPARTIES!$A$2:$Y$17</definedName>
    <definedName name="_xlnm._FilterDatabase" localSheetId="4" hidden="1">LEGALP_INSTRUMENTS!$A$2:$AC$27</definedName>
    <definedName name="_xlnm._FilterDatabase" localSheetId="6" hidden="1">LEGALP_PROTECTIONS!$A$2:$Y$2</definedName>
    <definedName name="_xlnm._FilterDatabase" localSheetId="31" hidden="1">'LT803'!$A$1:$H$4988</definedName>
    <definedName name="_xlnm._FilterDatabase" localSheetId="32" hidden="1">'LT829'!$A$2:$I$2098</definedName>
    <definedName name="_xlnm._FilterDatabase" localSheetId="35" hidden="1">'LT829 &amp; LT830'!$A$2:$K$1020</definedName>
    <definedName name="_xlnm._FilterDatabase" localSheetId="33" hidden="1">'LT830'!$A$2:$E$53</definedName>
    <definedName name="_xlnm._FilterDatabase" localSheetId="34" hidden="1">'LT831'!$A$1:$Y$560</definedName>
    <definedName name="_xlnm._FilterDatabase" localSheetId="11" hidden="1">NATURALP_COUNTERPARTIES!$A$2:$Y$29</definedName>
    <definedName name="_xlnm._FilterDatabase" localSheetId="13" hidden="1">NATURALP_INSTRUMENT_COUNTERPART!$A$2:$Z$9</definedName>
    <definedName name="_xlnm._FilterDatabase" localSheetId="14" hidden="1">NATURALP_INSTRUMENT_PROTECTION!$A$2:$Y$2</definedName>
    <definedName name="_xlnm._FilterDatabase" localSheetId="10" hidden="1">NATURALP_INSTRUMENTS!$A$2:$Z$142</definedName>
    <definedName name="_xlnm._FilterDatabase" localSheetId="12" hidden="1">NATURALP_PROTECTIONS!$A$2:$Y$27</definedName>
    <definedName name="_xlnm._FilterDatabase" localSheetId="17" hidden="1">OFFBAL_COUNTERPARTIES!$A$2:$AA$59</definedName>
    <definedName name="_xlnm._FilterDatabase" localSheetId="16" hidden="1">OFFBAL_INSTRUMENTS!$A$2:$AA$67</definedName>
    <definedName name="_xlnm._FilterDatabase" localSheetId="18" hidden="1">OFFBAL_PROTECTIONS!$A$2:$Z$27</definedName>
    <definedName name="_xlnm._FilterDatabase" localSheetId="1" hidden="1">'PDS - Desenvolvimento'!$B$2:$K$169</definedName>
    <definedName name="_xlnm._FilterDatabase" localSheetId="37" hidden="1">Sheet2!$D$6:$I$15</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44" i="24" l="1"/>
  <c r="P14" i="27"/>
  <c r="E465" i="61"/>
  <c r="P3" i="32"/>
  <c r="P11" i="35"/>
  <c r="P11" i="34"/>
  <c r="G4" i="52"/>
  <c r="G5" i="52"/>
  <c r="G6" i="52"/>
  <c r="G7" i="52"/>
  <c r="G8" i="52"/>
  <c r="G9" i="52"/>
  <c r="G10" i="52"/>
  <c r="G11" i="52"/>
  <c r="G12" i="52"/>
  <c r="G13" i="52"/>
  <c r="G14" i="52"/>
  <c r="G15" i="52"/>
  <c r="G16" i="52"/>
  <c r="G17" i="52"/>
  <c r="G18" i="52"/>
  <c r="G19" i="52"/>
  <c r="G20" i="52"/>
  <c r="G21" i="52"/>
  <c r="G22" i="52"/>
  <c r="U22" i="52"/>
  <c r="G23" i="52"/>
  <c r="U23" i="52"/>
  <c r="P33" i="35"/>
  <c r="P30" i="35"/>
  <c r="P27" i="35"/>
  <c r="P24" i="35"/>
  <c r="P21" i="35"/>
  <c r="P18" i="35"/>
  <c r="P17" i="35"/>
  <c r="P16" i="35"/>
  <c r="P15" i="35"/>
  <c r="P14" i="35"/>
  <c r="P13" i="35"/>
  <c r="P12" i="35"/>
  <c r="AA21" i="52" s="1"/>
  <c r="P10" i="35"/>
  <c r="P9" i="35"/>
  <c r="P8" i="35"/>
  <c r="P7" i="35"/>
  <c r="P3" i="35"/>
  <c r="P75" i="34"/>
  <c r="P74" i="34"/>
  <c r="P71" i="34"/>
  <c r="P70" i="34"/>
  <c r="P67" i="34"/>
  <c r="P66" i="34"/>
  <c r="P63" i="34"/>
  <c r="P60" i="34"/>
  <c r="P57" i="34"/>
  <c r="P54" i="34"/>
  <c r="P51" i="34"/>
  <c r="P50" i="34"/>
  <c r="P49" i="34"/>
  <c r="P48" i="34"/>
  <c r="P45" i="34"/>
  <c r="P44" i="34"/>
  <c r="P41" i="34"/>
  <c r="P38" i="34"/>
  <c r="P37" i="34"/>
  <c r="P36" i="34"/>
  <c r="P33" i="34"/>
  <c r="P32" i="34"/>
  <c r="P31" i="34"/>
  <c r="P30" i="34"/>
  <c r="P27" i="34"/>
  <c r="P24" i="34"/>
  <c r="P21" i="34"/>
  <c r="P18" i="34"/>
  <c r="P17" i="34"/>
  <c r="P16" i="34"/>
  <c r="P15" i="34"/>
  <c r="P14" i="34"/>
  <c r="P13" i="34"/>
  <c r="P12" i="34"/>
  <c r="P10" i="34"/>
  <c r="P9" i="34"/>
  <c r="P8" i="34"/>
  <c r="P7" i="34"/>
  <c r="P3" i="34"/>
  <c r="P67" i="32"/>
  <c r="P66" i="32"/>
  <c r="P65" i="32"/>
  <c r="P62" i="32"/>
  <c r="P61" i="32"/>
  <c r="P34" i="32"/>
  <c r="P33" i="32"/>
  <c r="P32" i="32"/>
  <c r="P29" i="32"/>
  <c r="P26" i="32"/>
  <c r="P25" i="32"/>
  <c r="P24" i="32"/>
  <c r="P23" i="32"/>
  <c r="P22" i="32"/>
  <c r="P21" i="32"/>
  <c r="P20" i="32"/>
  <c r="P19" i="32"/>
  <c r="P18" i="32"/>
  <c r="P17" i="32"/>
  <c r="P16" i="32"/>
  <c r="P15" i="32"/>
  <c r="P14" i="32"/>
  <c r="P13" i="32"/>
  <c r="P12" i="32"/>
  <c r="P11" i="32"/>
  <c r="P10" i="32"/>
  <c r="P9" i="32"/>
  <c r="P7" i="32"/>
  <c r="Y19" i="52" s="1"/>
  <c r="P12" i="42"/>
  <c r="P11" i="42"/>
  <c r="W18" i="52" s="1"/>
  <c r="P7" i="42"/>
  <c r="P3" i="42"/>
  <c r="P8" i="41"/>
  <c r="P7" i="41"/>
  <c r="P3" i="41"/>
  <c r="P27" i="31"/>
  <c r="P26" i="31"/>
  <c r="P25" i="31"/>
  <c r="P24" i="31"/>
  <c r="P23" i="31"/>
  <c r="P22" i="31"/>
  <c r="P21" i="31"/>
  <c r="P20" i="31"/>
  <c r="P19" i="31"/>
  <c r="P18" i="31"/>
  <c r="P17" i="31"/>
  <c r="P16" i="31"/>
  <c r="P15" i="31"/>
  <c r="P12" i="31"/>
  <c r="P11" i="31"/>
  <c r="P7" i="31"/>
  <c r="P3" i="31"/>
  <c r="Y16" i="52" s="1"/>
  <c r="P59" i="27"/>
  <c r="P58" i="27"/>
  <c r="P57" i="27"/>
  <c r="P56" i="27"/>
  <c r="P55" i="27"/>
  <c r="P52" i="27"/>
  <c r="P51" i="27"/>
  <c r="P48" i="27"/>
  <c r="P47" i="27"/>
  <c r="P44" i="27"/>
  <c r="P43" i="27"/>
  <c r="P42" i="27"/>
  <c r="P40" i="27"/>
  <c r="P41" i="27"/>
  <c r="P39" i="27"/>
  <c r="P38" i="27"/>
  <c r="P37" i="27"/>
  <c r="P36" i="27"/>
  <c r="P35" i="27"/>
  <c r="P34" i="27"/>
  <c r="P33" i="27"/>
  <c r="P32" i="27"/>
  <c r="P31" i="27"/>
  <c r="P28" i="27"/>
  <c r="W15" i="52" s="1"/>
  <c r="P27" i="27"/>
  <c r="P13" i="27"/>
  <c r="P12" i="27"/>
  <c r="P4" i="27"/>
  <c r="P3" i="27"/>
  <c r="P67" i="30"/>
  <c r="P64" i="30"/>
  <c r="P63" i="30"/>
  <c r="P62" i="30"/>
  <c r="P59" i="30"/>
  <c r="P56" i="30"/>
  <c r="P54" i="30"/>
  <c r="P53" i="30"/>
  <c r="P52" i="30"/>
  <c r="P51" i="30"/>
  <c r="P50" i="30"/>
  <c r="P47" i="30"/>
  <c r="P45" i="30"/>
  <c r="P44" i="30"/>
  <c r="P43" i="30"/>
  <c r="P40" i="30"/>
  <c r="P32" i="30"/>
  <c r="P29" i="30"/>
  <c r="P21" i="30"/>
  <c r="P18" i="30"/>
  <c r="P15" i="30"/>
  <c r="P14" i="30"/>
  <c r="P10" i="30"/>
  <c r="P9" i="30"/>
  <c r="P8" i="30"/>
  <c r="P7" i="30"/>
  <c r="P3" i="30"/>
  <c r="U14" i="52" s="1"/>
  <c r="P12" i="40"/>
  <c r="P11" i="40"/>
  <c r="W13" i="52" s="1"/>
  <c r="P7" i="40"/>
  <c r="P3" i="40"/>
  <c r="Q9" i="39"/>
  <c r="Q8" i="39"/>
  <c r="Q7" i="39"/>
  <c r="Q3" i="39"/>
  <c r="Y12" i="52" s="1"/>
  <c r="P26" i="26"/>
  <c r="P27" i="26"/>
  <c r="P25" i="26"/>
  <c r="P24" i="26"/>
  <c r="P23" i="26"/>
  <c r="P22" i="26"/>
  <c r="P21" i="26"/>
  <c r="P20" i="26"/>
  <c r="P19" i="26"/>
  <c r="P18" i="26"/>
  <c r="P17" i="26"/>
  <c r="P16" i="26"/>
  <c r="P15" i="26"/>
  <c r="P12" i="26"/>
  <c r="P8" i="26"/>
  <c r="P7" i="26"/>
  <c r="Y11" i="52" s="1"/>
  <c r="P3" i="26"/>
  <c r="P29" i="25"/>
  <c r="P26" i="25"/>
  <c r="P25" i="25"/>
  <c r="P24" i="25"/>
  <c r="P13" i="25"/>
  <c r="P12" i="25"/>
  <c r="P4" i="25"/>
  <c r="AA10" i="52" s="1"/>
  <c r="P3" i="25"/>
  <c r="W22" i="52"/>
  <c r="Y22" i="52"/>
  <c r="AA22" i="52"/>
  <c r="W23" i="52"/>
  <c r="Y23" i="52"/>
  <c r="AA23" i="52"/>
  <c r="Q142" i="24"/>
  <c r="Q135" i="24"/>
  <c r="Q108" i="24"/>
  <c r="Q107" i="24"/>
  <c r="Q106" i="24"/>
  <c r="Q103" i="24"/>
  <c r="Q102" i="24"/>
  <c r="Q101" i="24"/>
  <c r="Q100" i="24"/>
  <c r="Q97" i="24"/>
  <c r="Q94" i="24"/>
  <c r="Q91" i="24"/>
  <c r="Q89" i="24"/>
  <c r="Q88" i="24"/>
  <c r="Q87" i="24"/>
  <c r="Q80" i="24"/>
  <c r="Q79" i="24"/>
  <c r="Q78" i="24"/>
  <c r="Q77" i="24"/>
  <c r="Q76" i="24"/>
  <c r="Q75" i="24"/>
  <c r="Q74" i="24"/>
  <c r="Q73" i="24"/>
  <c r="Q72" i="24"/>
  <c r="Q71" i="24"/>
  <c r="Q68" i="24"/>
  <c r="Q66" i="24"/>
  <c r="Q64" i="24"/>
  <c r="Q63" i="24"/>
  <c r="Q61" i="24"/>
  <c r="Q54" i="24"/>
  <c r="Q53" i="24"/>
  <c r="Q52" i="24"/>
  <c r="Q50" i="24"/>
  <c r="Q48" i="24"/>
  <c r="Q46" i="24"/>
  <c r="Q45" i="24"/>
  <c r="Q43" i="24"/>
  <c r="Q42" i="24"/>
  <c r="Q40" i="24"/>
  <c r="Q37" i="24"/>
  <c r="Q34" i="24"/>
  <c r="Q31" i="24"/>
  <c r="Q27" i="24"/>
  <c r="Q24" i="24"/>
  <c r="Q17" i="24"/>
  <c r="Q14" i="24"/>
  <c r="Q10" i="24"/>
  <c r="Q9" i="24"/>
  <c r="Y9" i="52" s="1"/>
  <c r="Q8" i="24"/>
  <c r="Q7" i="24"/>
  <c r="Q3" i="24"/>
  <c r="P7" i="38"/>
  <c r="P3" i="38"/>
  <c r="U8" i="52" s="1"/>
  <c r="P7" i="37"/>
  <c r="P3" i="37"/>
  <c r="U7" i="52" s="1"/>
  <c r="P18" i="21"/>
  <c r="W6" i="52" s="1"/>
  <c r="P17" i="21"/>
  <c r="P16" i="21"/>
  <c r="P15" i="21"/>
  <c r="P14" i="21"/>
  <c r="P11" i="21"/>
  <c r="P7" i="21"/>
  <c r="P3" i="21"/>
  <c r="P17" i="20"/>
  <c r="Y5" i="52" s="1"/>
  <c r="P6" i="20"/>
  <c r="P5" i="20"/>
  <c r="P4" i="20"/>
  <c r="P3" i="20"/>
  <c r="AA7" i="52"/>
  <c r="AA8" i="52"/>
  <c r="AA13" i="52"/>
  <c r="AA16" i="52"/>
  <c r="AA18" i="52"/>
  <c r="W7" i="52"/>
  <c r="W8" i="52"/>
  <c r="W16" i="52"/>
  <c r="P25" i="2"/>
  <c r="P21" i="2"/>
  <c r="P18" i="2"/>
  <c r="P11" i="2"/>
  <c r="P8" i="2"/>
  <c r="P7" i="2"/>
  <c r="P3" i="2"/>
  <c r="E22" i="52"/>
  <c r="H22" i="52"/>
  <c r="I22" i="52"/>
  <c r="J22" i="52"/>
  <c r="K22" i="52"/>
  <c r="L22" i="52"/>
  <c r="M22" i="52"/>
  <c r="N22" i="52"/>
  <c r="O22" i="52"/>
  <c r="P22" i="52"/>
  <c r="Q22" i="52"/>
  <c r="R22" i="52"/>
  <c r="S22" i="52"/>
  <c r="T22" i="52"/>
  <c r="E23" i="52"/>
  <c r="H23" i="52"/>
  <c r="I23" i="52"/>
  <c r="J23" i="52"/>
  <c r="K23" i="52"/>
  <c r="L23" i="52"/>
  <c r="M23" i="52"/>
  <c r="N23" i="52"/>
  <c r="O23" i="52"/>
  <c r="P23" i="52"/>
  <c r="Q23" i="52"/>
  <c r="R23" i="52"/>
  <c r="S23" i="52"/>
  <c r="T23" i="52"/>
  <c r="Y7" i="52"/>
  <c r="Y8" i="52"/>
  <c r="Y13" i="52"/>
  <c r="Y17" i="52"/>
  <c r="Y18" i="52"/>
  <c r="Y20" i="52"/>
  <c r="S14" i="52"/>
  <c r="Q14" i="52"/>
  <c r="O14" i="52"/>
  <c r="M14" i="52"/>
  <c r="K14" i="52"/>
  <c r="I14" i="52"/>
  <c r="S13" i="52"/>
  <c r="Q13" i="52"/>
  <c r="O13" i="52"/>
  <c r="M13" i="52"/>
  <c r="K13" i="52"/>
  <c r="I13" i="52"/>
  <c r="S12" i="52"/>
  <c r="Q12" i="52"/>
  <c r="O12" i="52"/>
  <c r="M12" i="52"/>
  <c r="K12" i="52"/>
  <c r="I12" i="52"/>
  <c r="S11" i="52"/>
  <c r="Q11" i="52"/>
  <c r="O11" i="52"/>
  <c r="M11" i="52"/>
  <c r="K11" i="52"/>
  <c r="I11" i="52"/>
  <c r="S10" i="52"/>
  <c r="Q10" i="52"/>
  <c r="O10" i="52"/>
  <c r="M10" i="52"/>
  <c r="K10" i="52"/>
  <c r="I10" i="52"/>
  <c r="S9" i="52"/>
  <c r="Q9" i="52"/>
  <c r="O9" i="52"/>
  <c r="M9" i="52"/>
  <c r="K9" i="52"/>
  <c r="I9" i="52"/>
  <c r="S8" i="52"/>
  <c r="Q8" i="52"/>
  <c r="O8" i="52"/>
  <c r="M8" i="52"/>
  <c r="K8" i="52"/>
  <c r="I8" i="52"/>
  <c r="S7" i="52"/>
  <c r="Q7" i="52"/>
  <c r="O7" i="52"/>
  <c r="M7" i="52"/>
  <c r="K7" i="52"/>
  <c r="I7" i="52"/>
  <c r="S6" i="52"/>
  <c r="Q6" i="52"/>
  <c r="O6" i="52"/>
  <c r="M6" i="52"/>
  <c r="K6" i="52"/>
  <c r="I6" i="52"/>
  <c r="S5" i="52"/>
  <c r="Q5" i="52"/>
  <c r="O5" i="52"/>
  <c r="M5" i="52"/>
  <c r="K5" i="52"/>
  <c r="I5" i="52"/>
  <c r="W14" i="53"/>
  <c r="U14" i="53"/>
  <c r="S14" i="53"/>
  <c r="Q14" i="53"/>
  <c r="O14" i="53"/>
  <c r="M14" i="53"/>
  <c r="K14" i="53"/>
  <c r="I14" i="53"/>
  <c r="G14" i="53"/>
  <c r="AA9" i="52" l="1"/>
  <c r="AA20" i="52"/>
  <c r="Y10" i="52"/>
  <c r="AA15" i="52"/>
  <c r="U6" i="52"/>
  <c r="U17" i="52"/>
  <c r="AA6" i="52"/>
  <c r="Y21" i="52"/>
  <c r="AA14" i="52"/>
  <c r="Y6" i="52"/>
  <c r="U4" i="52"/>
  <c r="W21" i="52"/>
  <c r="AA5" i="52"/>
  <c r="Y4" i="52"/>
  <c r="W20" i="52"/>
  <c r="W12" i="52"/>
  <c r="AA12" i="52"/>
  <c r="U5" i="52"/>
  <c r="U13" i="52"/>
  <c r="U18" i="52"/>
  <c r="W14" i="52"/>
  <c r="Y15" i="52"/>
  <c r="W19" i="52"/>
  <c r="W11" i="52"/>
  <c r="AA19" i="52"/>
  <c r="AA11" i="52"/>
  <c r="W5" i="52"/>
  <c r="Y14" i="52"/>
  <c r="W10" i="52"/>
  <c r="W17" i="52"/>
  <c r="W9" i="52"/>
  <c r="AA17" i="52"/>
  <c r="U10" i="52"/>
  <c r="V23" i="52"/>
  <c r="X23" i="52"/>
  <c r="Z23" i="52"/>
  <c r="AB23" i="52"/>
  <c r="V22" i="52"/>
  <c r="X22" i="52"/>
  <c r="Z22" i="52"/>
  <c r="AB22" i="52"/>
  <c r="U9" i="52"/>
  <c r="U11" i="52"/>
  <c r="U12" i="52"/>
  <c r="U15" i="52"/>
  <c r="U16" i="52"/>
  <c r="U19" i="52"/>
  <c r="U20" i="52"/>
  <c r="U21" i="52"/>
  <c r="W4" i="52"/>
  <c r="AA4" i="52"/>
  <c r="F23" i="52"/>
  <c r="F22" i="52"/>
  <c r="O21" i="53"/>
  <c r="O20" i="53"/>
  <c r="O19" i="53"/>
  <c r="O18" i="53"/>
  <c r="O17" i="53"/>
  <c r="O16" i="53"/>
  <c r="O15" i="53"/>
  <c r="O13" i="53"/>
  <c r="O12" i="53"/>
  <c r="O11" i="53"/>
  <c r="O10" i="53"/>
  <c r="O9" i="53"/>
  <c r="O8" i="53"/>
  <c r="O7" i="53"/>
  <c r="O6" i="53"/>
  <c r="O5" i="53"/>
  <c r="O4" i="53"/>
  <c r="M21" i="53"/>
  <c r="M20" i="53"/>
  <c r="M19" i="53"/>
  <c r="M18" i="53"/>
  <c r="M17" i="53"/>
  <c r="M16" i="53"/>
  <c r="M15" i="53"/>
  <c r="M13" i="53"/>
  <c r="M12" i="53"/>
  <c r="M11" i="53"/>
  <c r="M10" i="53"/>
  <c r="M9" i="53"/>
  <c r="M8" i="53"/>
  <c r="M7" i="53"/>
  <c r="M6" i="53"/>
  <c r="M5" i="53"/>
  <c r="M4" i="53"/>
  <c r="W21" i="53"/>
  <c r="W20" i="53"/>
  <c r="W19" i="53"/>
  <c r="W18" i="53"/>
  <c r="W17" i="53"/>
  <c r="W16" i="53"/>
  <c r="W15" i="53"/>
  <c r="W13" i="53"/>
  <c r="W12" i="53"/>
  <c r="W11" i="53"/>
  <c r="W10" i="53"/>
  <c r="W9" i="53"/>
  <c r="W8" i="53"/>
  <c r="W7" i="53"/>
  <c r="W6" i="53"/>
  <c r="W5" i="53"/>
  <c r="W4" i="53"/>
  <c r="U21" i="53"/>
  <c r="U20" i="53"/>
  <c r="U19" i="53"/>
  <c r="U18" i="53"/>
  <c r="U17" i="53"/>
  <c r="U16" i="53"/>
  <c r="U15" i="53"/>
  <c r="U13" i="53"/>
  <c r="U12" i="53"/>
  <c r="U11" i="53"/>
  <c r="U10" i="53"/>
  <c r="U9" i="53"/>
  <c r="U8" i="53"/>
  <c r="U7" i="53"/>
  <c r="U6" i="53"/>
  <c r="U5" i="53"/>
  <c r="U4" i="53"/>
  <c r="S21" i="53"/>
  <c r="S20" i="53"/>
  <c r="S19" i="53"/>
  <c r="S18" i="53"/>
  <c r="S17" i="53"/>
  <c r="S16" i="53"/>
  <c r="S15" i="53"/>
  <c r="S13" i="53"/>
  <c r="S12" i="53"/>
  <c r="S11" i="53"/>
  <c r="S10" i="53"/>
  <c r="S9" i="53"/>
  <c r="S8" i="53"/>
  <c r="S7" i="53"/>
  <c r="S6" i="53"/>
  <c r="S5" i="53"/>
  <c r="S4" i="53"/>
  <c r="Q21" i="53"/>
  <c r="Q20" i="53"/>
  <c r="Q19" i="53"/>
  <c r="Q18" i="53"/>
  <c r="Q17" i="53"/>
  <c r="Q16" i="53"/>
  <c r="Q15" i="53"/>
  <c r="Q13" i="53"/>
  <c r="Q12" i="53"/>
  <c r="Q11" i="53"/>
  <c r="Q10" i="53"/>
  <c r="Q9" i="53"/>
  <c r="Q8" i="53"/>
  <c r="Q7" i="53"/>
  <c r="Q6" i="53"/>
  <c r="Q5" i="53"/>
  <c r="Q4" i="53"/>
  <c r="K21" i="53"/>
  <c r="K20" i="53"/>
  <c r="K19" i="53"/>
  <c r="K18" i="53"/>
  <c r="K17" i="53"/>
  <c r="K16" i="53"/>
  <c r="K15" i="53"/>
  <c r="K13" i="53"/>
  <c r="K12" i="53"/>
  <c r="K11" i="53"/>
  <c r="K10" i="53"/>
  <c r="K9" i="53"/>
  <c r="K8" i="53"/>
  <c r="K7" i="53"/>
  <c r="K6" i="53"/>
  <c r="K5" i="53"/>
  <c r="K4" i="53"/>
  <c r="I21" i="53"/>
  <c r="I20" i="53"/>
  <c r="I19" i="53"/>
  <c r="I18" i="53"/>
  <c r="I17" i="53"/>
  <c r="I16" i="53"/>
  <c r="I15" i="53"/>
  <c r="I13" i="53"/>
  <c r="I12" i="53"/>
  <c r="I11" i="53"/>
  <c r="I10" i="53"/>
  <c r="I9" i="53"/>
  <c r="I8" i="53"/>
  <c r="I7" i="53"/>
  <c r="I6" i="53"/>
  <c r="I5" i="53"/>
  <c r="I4" i="53"/>
  <c r="G21" i="53"/>
  <c r="G20" i="53"/>
  <c r="G19" i="53"/>
  <c r="G18" i="53"/>
  <c r="G17" i="53"/>
  <c r="G16" i="53"/>
  <c r="G15" i="53"/>
  <c r="G13" i="53"/>
  <c r="G12" i="53"/>
  <c r="G11" i="53"/>
  <c r="G10" i="53"/>
  <c r="G9" i="53"/>
  <c r="G8" i="53"/>
  <c r="G7" i="53"/>
  <c r="G6" i="53"/>
  <c r="G5" i="53"/>
  <c r="G4" i="53"/>
  <c r="E21" i="53"/>
  <c r="E20" i="53"/>
  <c r="E19" i="53"/>
  <c r="E18" i="53"/>
  <c r="E17" i="53"/>
  <c r="E16" i="53"/>
  <c r="E15" i="53"/>
  <c r="P15" i="53" s="1"/>
  <c r="E14" i="53"/>
  <c r="E13" i="53"/>
  <c r="E12" i="53"/>
  <c r="R12" i="53" s="1"/>
  <c r="E11" i="53"/>
  <c r="E10" i="53"/>
  <c r="N10" i="53" s="1"/>
  <c r="E9" i="53"/>
  <c r="N9" i="53" s="1"/>
  <c r="E8" i="53"/>
  <c r="E7" i="53"/>
  <c r="E6" i="53"/>
  <c r="E5" i="53"/>
  <c r="R5" i="53" s="1"/>
  <c r="E4" i="53"/>
  <c r="T16" i="53" l="1"/>
  <c r="AA24" i="52"/>
  <c r="W24" i="52"/>
  <c r="Y24" i="52"/>
  <c r="U24" i="52"/>
  <c r="T19" i="53"/>
  <c r="T4" i="53"/>
  <c r="J4" i="53"/>
  <c r="P6" i="53"/>
  <c r="H6" i="53"/>
  <c r="T6" i="53"/>
  <c r="R6" i="53"/>
  <c r="L6" i="53"/>
  <c r="N7" i="53"/>
  <c r="P7" i="53"/>
  <c r="J7" i="53"/>
  <c r="H8" i="53"/>
  <c r="J8" i="53"/>
  <c r="R8" i="53"/>
  <c r="N8" i="53"/>
  <c r="J11" i="53"/>
  <c r="H11" i="53"/>
  <c r="P13" i="53"/>
  <c r="H13" i="53"/>
  <c r="T14" i="53"/>
  <c r="P14" i="53"/>
  <c r="L14" i="53"/>
  <c r="J14" i="53"/>
  <c r="N18" i="53"/>
  <c r="T18" i="53"/>
  <c r="R18" i="53"/>
  <c r="H18" i="53"/>
  <c r="N20" i="53"/>
  <c r="R20" i="53"/>
  <c r="T20" i="53"/>
  <c r="L20" i="53"/>
  <c r="H20" i="53"/>
  <c r="T21" i="53"/>
  <c r="R21" i="53"/>
  <c r="L21" i="53"/>
  <c r="H21" i="53"/>
  <c r="H7" i="53"/>
  <c r="H9" i="53"/>
  <c r="H14" i="53"/>
  <c r="H17" i="53"/>
  <c r="H19" i="53"/>
  <c r="J5" i="53"/>
  <c r="J9" i="53"/>
  <c r="J10" i="53"/>
  <c r="J15" i="53"/>
  <c r="J18" i="53"/>
  <c r="J19" i="53"/>
  <c r="J21" i="53"/>
  <c r="L7" i="53"/>
  <c r="L10" i="53"/>
  <c r="L18" i="53"/>
  <c r="R4" i="53"/>
  <c r="R7" i="53"/>
  <c r="R10" i="53"/>
  <c r="R14" i="53"/>
  <c r="R16" i="53"/>
  <c r="R19" i="53"/>
  <c r="T8" i="53"/>
  <c r="T9" i="53"/>
  <c r="T10" i="53"/>
  <c r="T12" i="53"/>
  <c r="T17" i="53"/>
  <c r="V4" i="53"/>
  <c r="V5" i="53"/>
  <c r="V6" i="53"/>
  <c r="V7" i="53"/>
  <c r="V8" i="53"/>
  <c r="V9" i="53"/>
  <c r="V10" i="53"/>
  <c r="V12" i="53"/>
  <c r="V13" i="53"/>
  <c r="V14" i="53"/>
  <c r="V16" i="53"/>
  <c r="V17" i="53"/>
  <c r="V18" i="53"/>
  <c r="V19" i="53"/>
  <c r="V20" i="53"/>
  <c r="V21" i="53"/>
  <c r="X4" i="53"/>
  <c r="X5" i="53"/>
  <c r="X6" i="53"/>
  <c r="X7" i="53"/>
  <c r="X8" i="53"/>
  <c r="X9" i="53"/>
  <c r="X11" i="53"/>
  <c r="X12" i="53"/>
  <c r="X13" i="53"/>
  <c r="X14" i="53"/>
  <c r="X16" i="53"/>
  <c r="X17" i="53"/>
  <c r="X18" i="53"/>
  <c r="X19" i="53"/>
  <c r="X20" i="53"/>
  <c r="X21" i="53"/>
  <c r="N6" i="53"/>
  <c r="N14" i="53"/>
  <c r="N17" i="53"/>
  <c r="N19" i="53"/>
  <c r="P4" i="53"/>
  <c r="P5" i="53"/>
  <c r="P12" i="53"/>
  <c r="P19" i="53"/>
  <c r="P20" i="53"/>
  <c r="P21" i="53"/>
  <c r="R15" i="53"/>
  <c r="V15" i="53"/>
  <c r="X15" i="53"/>
  <c r="N15" i="53"/>
  <c r="L15" i="53"/>
  <c r="H15" i="53"/>
  <c r="V11" i="53"/>
  <c r="L4" i="53"/>
  <c r="H4" i="53"/>
  <c r="L8" i="53"/>
  <c r="L16" i="53"/>
  <c r="N16" i="53"/>
  <c r="T11" i="53"/>
  <c r="X10" i="53"/>
  <c r="N11" i="53"/>
  <c r="R11" i="53"/>
  <c r="L13" i="53"/>
  <c r="H5" i="53"/>
  <c r="J16" i="53"/>
  <c r="J12" i="53"/>
  <c r="J20" i="53"/>
  <c r="L9" i="53"/>
  <c r="L17" i="53"/>
  <c r="P11" i="53"/>
  <c r="R9" i="53"/>
  <c r="R17" i="53"/>
  <c r="N12" i="53"/>
  <c r="H10" i="53"/>
  <c r="H12" i="53"/>
  <c r="R13" i="53"/>
  <c r="L5" i="53"/>
  <c r="L11" i="53"/>
  <c r="L19" i="53"/>
  <c r="T5" i="53"/>
  <c r="T13" i="53"/>
  <c r="P8" i="53"/>
  <c r="J13" i="53"/>
  <c r="H16" i="53"/>
  <c r="L12" i="53"/>
  <c r="P16" i="53"/>
  <c r="P9" i="53"/>
  <c r="P17" i="53"/>
  <c r="T7" i="53"/>
  <c r="T15" i="53"/>
  <c r="P10" i="53"/>
  <c r="P18" i="53"/>
  <c r="E22" i="53"/>
  <c r="N4" i="53"/>
  <c r="N5" i="53"/>
  <c r="N13" i="53"/>
  <c r="N21" i="53"/>
  <c r="J17" i="53"/>
  <c r="J6" i="53"/>
  <c r="W22" i="53"/>
  <c r="U22" i="53"/>
  <c r="M22" i="53"/>
  <c r="G22" i="53"/>
  <c r="O22" i="53"/>
  <c r="I22" i="53"/>
  <c r="Q22" i="53"/>
  <c r="K22" i="53"/>
  <c r="S22" i="53"/>
  <c r="N22" i="53" l="1"/>
  <c r="F19" i="53"/>
  <c r="V22" i="53"/>
  <c r="F16" i="53"/>
  <c r="F12" i="53"/>
  <c r="F10" i="53"/>
  <c r="F5" i="53"/>
  <c r="F4" i="53"/>
  <c r="F17" i="53"/>
  <c r="F14" i="53"/>
  <c r="F9" i="53"/>
  <c r="F7" i="53"/>
  <c r="F21" i="53"/>
  <c r="F20" i="53"/>
  <c r="F18" i="53"/>
  <c r="F13" i="53"/>
  <c r="F11" i="53"/>
  <c r="F8" i="53"/>
  <c r="F6" i="53"/>
  <c r="F15" i="53"/>
  <c r="T22" i="53"/>
  <c r="L22" i="53"/>
  <c r="X22" i="53"/>
  <c r="R22" i="53"/>
  <c r="J22" i="53"/>
  <c r="P22" i="53"/>
  <c r="H22" i="53"/>
  <c r="F22" i="53" l="1"/>
  <c r="S21" i="52"/>
  <c r="Q21" i="52"/>
  <c r="O21" i="52"/>
  <c r="M21" i="52"/>
  <c r="K21" i="52"/>
  <c r="I21" i="52"/>
  <c r="E21" i="52"/>
  <c r="S4" i="52"/>
  <c r="V21" i="52" l="1"/>
  <c r="X21" i="52"/>
  <c r="Z21" i="52"/>
  <c r="AB21" i="52"/>
  <c r="T21" i="52"/>
  <c r="N21" i="52"/>
  <c r="R21" i="52"/>
  <c r="P21" i="52"/>
  <c r="L21" i="52"/>
  <c r="J21" i="52"/>
  <c r="H21" i="52"/>
  <c r="S20" i="52"/>
  <c r="Q20" i="52"/>
  <c r="O20" i="52"/>
  <c r="M20" i="52"/>
  <c r="K20" i="52"/>
  <c r="I20" i="52"/>
  <c r="E20" i="52"/>
  <c r="S19" i="52"/>
  <c r="Q19" i="52"/>
  <c r="O19" i="52"/>
  <c r="M19" i="52"/>
  <c r="K19" i="52"/>
  <c r="I19" i="52"/>
  <c r="E19" i="52"/>
  <c r="S18" i="52"/>
  <c r="Q18" i="52"/>
  <c r="O18" i="52"/>
  <c r="M18" i="52"/>
  <c r="K18" i="52"/>
  <c r="I18" i="52"/>
  <c r="E18" i="52"/>
  <c r="S17" i="52"/>
  <c r="Q17" i="52"/>
  <c r="O17" i="52"/>
  <c r="M17" i="52"/>
  <c r="K17" i="52"/>
  <c r="I17" i="52"/>
  <c r="E17" i="52"/>
  <c r="S16" i="52"/>
  <c r="Q16" i="52"/>
  <c r="O16" i="52"/>
  <c r="M16" i="52"/>
  <c r="K16" i="52"/>
  <c r="I16" i="52"/>
  <c r="E16" i="52"/>
  <c r="S15" i="52"/>
  <c r="Q15" i="52"/>
  <c r="O15" i="52"/>
  <c r="M15" i="52"/>
  <c r="K15" i="52"/>
  <c r="I15" i="52"/>
  <c r="E15" i="52"/>
  <c r="E14" i="52"/>
  <c r="E13" i="52"/>
  <c r="E12" i="52"/>
  <c r="E11" i="52"/>
  <c r="E10" i="52"/>
  <c r="E9" i="52"/>
  <c r="E8" i="52"/>
  <c r="E7" i="52"/>
  <c r="E6" i="52"/>
  <c r="E5" i="52"/>
  <c r="Q4" i="52"/>
  <c r="O4" i="52"/>
  <c r="M4" i="52"/>
  <c r="K4" i="52"/>
  <c r="I4" i="52"/>
  <c r="E4" i="52"/>
  <c r="X24" i="52" l="1"/>
  <c r="Z24" i="52"/>
  <c r="AB24" i="52"/>
  <c r="V24" i="52"/>
  <c r="T4" i="52"/>
  <c r="V4" i="52"/>
  <c r="X4" i="52"/>
  <c r="Z4" i="52"/>
  <c r="AB4" i="52"/>
  <c r="T5" i="52"/>
  <c r="V5" i="52"/>
  <c r="X5" i="52"/>
  <c r="Z5" i="52"/>
  <c r="AB5" i="52"/>
  <c r="T6" i="52"/>
  <c r="V6" i="52"/>
  <c r="X6" i="52"/>
  <c r="Z6" i="52"/>
  <c r="AB6" i="52"/>
  <c r="V7" i="52"/>
  <c r="X7" i="52"/>
  <c r="Z7" i="52"/>
  <c r="AB7" i="52"/>
  <c r="V8" i="52"/>
  <c r="X8" i="52"/>
  <c r="Z8" i="52"/>
  <c r="AB8" i="52"/>
  <c r="V9" i="52"/>
  <c r="X9" i="52"/>
  <c r="Z9" i="52"/>
  <c r="AB9" i="52"/>
  <c r="V10" i="52"/>
  <c r="X10" i="52"/>
  <c r="Z10" i="52"/>
  <c r="AB10" i="52"/>
  <c r="V11" i="52"/>
  <c r="X11" i="52"/>
  <c r="Z11" i="52"/>
  <c r="AB11" i="52"/>
  <c r="V12" i="52"/>
  <c r="X12" i="52"/>
  <c r="Z12" i="52"/>
  <c r="AB12" i="52"/>
  <c r="V13" i="52"/>
  <c r="X13" i="52"/>
  <c r="Z13" i="52"/>
  <c r="AB13" i="52"/>
  <c r="V14" i="52"/>
  <c r="X14" i="52"/>
  <c r="Z14" i="52"/>
  <c r="AB14" i="52"/>
  <c r="V15" i="52"/>
  <c r="X15" i="52"/>
  <c r="Z15" i="52"/>
  <c r="AB15" i="52"/>
  <c r="V16" i="52"/>
  <c r="X16" i="52"/>
  <c r="Z16" i="52"/>
  <c r="AB16" i="52"/>
  <c r="V17" i="52"/>
  <c r="X17" i="52"/>
  <c r="Z17" i="52"/>
  <c r="AB17" i="52"/>
  <c r="V18" i="52"/>
  <c r="X18" i="52"/>
  <c r="Z18" i="52"/>
  <c r="AB18" i="52"/>
  <c r="V19" i="52"/>
  <c r="X19" i="52"/>
  <c r="Z19" i="52"/>
  <c r="AB19" i="52"/>
  <c r="V20" i="52"/>
  <c r="X20" i="52"/>
  <c r="Z20" i="52"/>
  <c r="AB20" i="52"/>
  <c r="R19" i="52"/>
  <c r="R7" i="52"/>
  <c r="R8" i="52"/>
  <c r="T8" i="52"/>
  <c r="R10" i="52"/>
  <c r="T10" i="52"/>
  <c r="R12" i="52"/>
  <c r="T12" i="52"/>
  <c r="L13" i="52"/>
  <c r="R13" i="52"/>
  <c r="T13" i="52"/>
  <c r="R17" i="52"/>
  <c r="T17" i="52"/>
  <c r="R18" i="52"/>
  <c r="T18" i="52"/>
  <c r="R20" i="52"/>
  <c r="F21" i="52"/>
  <c r="T9" i="52"/>
  <c r="T7" i="52"/>
  <c r="T19" i="52"/>
  <c r="T20" i="52"/>
  <c r="R9" i="52"/>
  <c r="R14" i="52"/>
  <c r="T14" i="52"/>
  <c r="T16" i="52"/>
  <c r="R16" i="52"/>
  <c r="R11" i="52"/>
  <c r="T11" i="52"/>
  <c r="R6" i="52"/>
  <c r="R15" i="52"/>
  <c r="T15" i="52"/>
  <c r="S24" i="52"/>
  <c r="N4" i="52"/>
  <c r="N5" i="52"/>
  <c r="R5" i="52"/>
  <c r="R4" i="52"/>
  <c r="P7" i="52"/>
  <c r="P8" i="52"/>
  <c r="P9" i="52"/>
  <c r="P10" i="52"/>
  <c r="P11" i="52"/>
  <c r="P12" i="52"/>
  <c r="P13" i="52"/>
  <c r="P14" i="52"/>
  <c r="P15" i="52"/>
  <c r="P16" i="52"/>
  <c r="P17" i="52"/>
  <c r="P18" i="52"/>
  <c r="P19" i="52"/>
  <c r="P20" i="52"/>
  <c r="P6" i="52"/>
  <c r="P5" i="52"/>
  <c r="P4" i="52"/>
  <c r="N7" i="52"/>
  <c r="N8" i="52"/>
  <c r="N9" i="52"/>
  <c r="N10" i="52"/>
  <c r="N11" i="52"/>
  <c r="N12" i="52"/>
  <c r="N13" i="52"/>
  <c r="N14" i="52"/>
  <c r="N15" i="52"/>
  <c r="N16" i="52"/>
  <c r="N17" i="52"/>
  <c r="N18" i="52"/>
  <c r="N19" i="52"/>
  <c r="N20" i="52"/>
  <c r="L5" i="52"/>
  <c r="N6" i="52"/>
  <c r="L4" i="52"/>
  <c r="J6" i="52"/>
  <c r="L7" i="52"/>
  <c r="L8" i="52"/>
  <c r="L9" i="52"/>
  <c r="L10" i="52"/>
  <c r="L11" i="52"/>
  <c r="L12" i="52"/>
  <c r="L14" i="52"/>
  <c r="L15" i="52"/>
  <c r="L16" i="52"/>
  <c r="L17" i="52"/>
  <c r="L18" i="52"/>
  <c r="L19" i="52"/>
  <c r="L20" i="52"/>
  <c r="L6" i="52"/>
  <c r="J5" i="52"/>
  <c r="J4" i="52"/>
  <c r="J7" i="52"/>
  <c r="J8" i="52"/>
  <c r="J9" i="52"/>
  <c r="J10" i="52"/>
  <c r="J11" i="52"/>
  <c r="J12" i="52"/>
  <c r="J13" i="52"/>
  <c r="J14" i="52"/>
  <c r="J15" i="52"/>
  <c r="J16" i="52"/>
  <c r="J17" i="52"/>
  <c r="J18" i="52"/>
  <c r="J19" i="52"/>
  <c r="J20" i="52"/>
  <c r="H9" i="52"/>
  <c r="H14" i="52"/>
  <c r="H15" i="52"/>
  <c r="H17" i="52"/>
  <c r="H18" i="52"/>
  <c r="H20" i="52"/>
  <c r="H7" i="52"/>
  <c r="H8" i="52"/>
  <c r="H10" i="52"/>
  <c r="H16" i="52"/>
  <c r="H19" i="52"/>
  <c r="H11" i="52"/>
  <c r="H12" i="52"/>
  <c r="H13" i="52"/>
  <c r="H6" i="52"/>
  <c r="H5" i="52"/>
  <c r="H4" i="52"/>
  <c r="E24" i="52"/>
  <c r="O24" i="52"/>
  <c r="G24" i="52"/>
  <c r="I24" i="52"/>
  <c r="Q24" i="52"/>
  <c r="K24" i="52"/>
  <c r="M24" i="52"/>
  <c r="F8" i="52" l="1"/>
  <c r="F7" i="52"/>
  <c r="F4" i="52"/>
  <c r="F19" i="52"/>
  <c r="F20" i="52"/>
  <c r="F18" i="52"/>
  <c r="F12" i="52"/>
  <c r="F9" i="52"/>
  <c r="F14" i="52"/>
  <c r="F17" i="52"/>
  <c r="F13" i="52"/>
  <c r="F16" i="52"/>
  <c r="F11" i="52"/>
  <c r="F6" i="52"/>
  <c r="R24" i="52"/>
  <c r="N24" i="52"/>
  <c r="H24" i="52"/>
  <c r="L24" i="52"/>
  <c r="P24" i="52"/>
  <c r="T24" i="52"/>
  <c r="J24" i="52"/>
  <c r="F15" i="52"/>
  <c r="F10" i="52"/>
  <c r="F5" i="52"/>
  <c r="F24" i="52" l="1"/>
</calcChain>
</file>

<file path=xl/sharedStrings.xml><?xml version="1.0" encoding="utf-8"?>
<sst xmlns="http://schemas.openxmlformats.org/spreadsheetml/2006/main" count="59183" uniqueCount="8927">
  <si>
    <t xml:space="preserve"> </t>
  </si>
  <si>
    <t>Estado especificação</t>
  </si>
  <si>
    <t xml:space="preserve"> Estado desenvolvimento</t>
  </si>
  <si>
    <t xml:space="preserve">     </t>
  </si>
  <si>
    <t>Total</t>
  </si>
  <si>
    <t>Concluído</t>
  </si>
  <si>
    <t>Mapeamento com LT fechado, mas parametrização pendente</t>
  </si>
  <si>
    <t>Novo campo, mapeamento datalake fechado, com necessidade de criar parametrização</t>
  </si>
  <si>
    <t>Novo campo, mapeamento datalake fechado, sem necessidade de criar parametrização</t>
  </si>
  <si>
    <t>Novo campo, 
mapeamento datalake pendente, 
com necessidade de criar parametrização</t>
  </si>
  <si>
    <t>Novo campo, 
mapeamento datalake pendente, 
sem necessidade de criar parametrização</t>
  </si>
  <si>
    <t>Por iniciar</t>
  </si>
  <si>
    <t>Em desenvolvimento</t>
  </si>
  <si>
    <t>Aguarda desenvolvimento de outras equipas</t>
  </si>
  <si>
    <t>Por especificar</t>
  </si>
  <si>
    <t xml:space="preserve">Módulo </t>
  </si>
  <si>
    <t>Submódulo</t>
  </si>
  <si>
    <t>Nome do Ficheiro</t>
  </si>
  <si>
    <t>abs</t>
  </si>
  <si>
    <t>%</t>
  </si>
  <si>
    <t>Exposures to legal persons</t>
  </si>
  <si>
    <t>Instruments</t>
  </si>
  <si>
    <t>XXXXX_YYYYMMDD_01_01_leg_instr.csv</t>
  </si>
  <si>
    <t>Counterparties</t>
  </si>
  <si>
    <t>XXXXX_YYYYMMDD_01_02_leg_count.csv</t>
  </si>
  <si>
    <t>Protections</t>
  </si>
  <si>
    <t>XXXXX_YYYYMMDD_01_03_leg_prot.csv</t>
  </si>
  <si>
    <t>Instrument-Counterparty relation</t>
  </si>
  <si>
    <t>XXXXX_YYYYMMDD_01_04_leg_instr_count.csv</t>
  </si>
  <si>
    <t>Instrument-Protection relation</t>
  </si>
  <si>
    <t>XXXXX_YYYYMMDD_01_05_leg_instr_prot.csv</t>
  </si>
  <si>
    <t>Exposures to natural persons</t>
  </si>
  <si>
    <t>XXXXX_YYYYMMDD_02_01_nat_instr.csv</t>
  </si>
  <si>
    <t>XXXXX_YYYYMMDD_02_02_nat_count.csv</t>
  </si>
  <si>
    <t>XXXXX_YYYYMMDD_02_03_nat_prot.csv</t>
  </si>
  <si>
    <t>XXXXX_YYYYMMDD_02_04_nat_instr_count.csv</t>
  </si>
  <si>
    <t>XXXXX_YYYYMMDD_02_05_nat_instr_prot.csv</t>
  </si>
  <si>
    <t>Off-balance sheet exposures</t>
  </si>
  <si>
    <t>XXXXX_YYYYMMDD_03_01_off_instr.csv</t>
  </si>
  <si>
    <t>XXXXX_YYYYMMDD_03_02_off_count.csv</t>
  </si>
  <si>
    <t>XXXXX_YYYYMMDD_03_03_off_prot.csv</t>
  </si>
  <si>
    <t>XXXXX_YYYYMMDD_03_04_off_instr_count.csv</t>
  </si>
  <si>
    <t>XXXXX_YYYYMMDD_03_05_off_instr_prot.csv</t>
  </si>
  <si>
    <t>Derivatives</t>
  </si>
  <si>
    <t>XXXXX_YYYYMMDD_04_01_derivatives.csv</t>
  </si>
  <si>
    <t>Debt securities</t>
  </si>
  <si>
    <t>XXXXX_YYYYMMDD_05_01_debtsecurities.csv</t>
  </si>
  <si>
    <t>Equity</t>
  </si>
  <si>
    <t>XXXXX_YYYYMMDD_06_01_equity.csv</t>
  </si>
  <si>
    <t>DTAs/DTCs</t>
  </si>
  <si>
    <t>-</t>
  </si>
  <si>
    <t>XXXXX_YYYYMMDD_07_01_dtasdtcs.csv</t>
  </si>
  <si>
    <t>Produzido manualmente pela Contabilidade</t>
  </si>
  <si>
    <t>Intangible assets</t>
  </si>
  <si>
    <t>XXXXX_YYYYMMDD_08_01_intangible.csv</t>
  </si>
  <si>
    <t xml:space="preserve">   </t>
  </si>
  <si>
    <t>Table</t>
  </si>
  <si>
    <t>Exclusivo
Report Valuation</t>
  </si>
  <si>
    <t>Exposures to
legal persons</t>
  </si>
  <si>
    <t>Exposures to
natural persons</t>
  </si>
  <si>
    <t>Off-balance 
sheet exposures</t>
  </si>
  <si>
    <t>Estado Dev</t>
  </si>
  <si>
    <t>INSTRUMENT</t>
  </si>
  <si>
    <t>INSTRMNT_ID</t>
  </si>
  <si>
    <t>x</t>
  </si>
  <si>
    <t>CNTRCT_ID</t>
  </si>
  <si>
    <t>CRRNCY_DNMNTN</t>
  </si>
  <si>
    <t>DT_INCPTN</t>
  </si>
  <si>
    <t>OBSRVD_AGNT_ID</t>
  </si>
  <si>
    <t>OTSTNDNG_NMNL_AMNT_INSTRMNT</t>
  </si>
  <si>
    <t>carteira</t>
  </si>
  <si>
    <t>PRDCT</t>
  </si>
  <si>
    <t>DFLT_STTS_INSTRMNT</t>
  </si>
  <si>
    <t>CPN_CRRNCY</t>
  </si>
  <si>
    <t>DT_DFLT_STTS_INSTRMNT</t>
  </si>
  <si>
    <t>DT_END_INTRST_ONLY</t>
  </si>
  <si>
    <t>DT_FRBRNC_STTS</t>
  </si>
  <si>
    <t>DT_PRFRMNG_STTS</t>
  </si>
  <si>
    <t>FRBRNC_STTS_INSTRMNT</t>
  </si>
  <si>
    <t>IMPRMNT_STTS</t>
  </si>
  <si>
    <t>INTRNL_RTNG</t>
  </si>
  <si>
    <t>INTRNL_SGMNT</t>
  </si>
  <si>
    <t>PRFRMNG_STTS</t>
  </si>
  <si>
    <t>TYP_AMRTSTN</t>
  </si>
  <si>
    <t>TYP_INSTRMNT</t>
  </si>
  <si>
    <t>TYP_INTRST_RT</t>
  </si>
  <si>
    <t>GRSS_CRRYNG_AMNT_INSTRMNT</t>
  </si>
  <si>
    <t>ACCMLTD_CHNGS_FV_CR_INSTRMNT</t>
  </si>
  <si>
    <t>ACCNTNG_CLSSFCTN</t>
  </si>
  <si>
    <t>ACCRD_INTRST_INSTRMNT</t>
  </si>
  <si>
    <t>CCF</t>
  </si>
  <si>
    <t>CMMTMNT_INCPTN_INSTRMNT</t>
  </si>
  <si>
    <t>CRRYNG_AMNT_INSTRMNT</t>
  </si>
  <si>
    <t>DT_LGL_FNL_MTRTY</t>
  </si>
  <si>
    <t>DT_NXT_INTRST_RT_RST</t>
  </si>
  <si>
    <t>OFF_BLNC_SHT_AMNT_INSTRMNT</t>
  </si>
  <si>
    <t>PRVSNS_OFF_BLNC_SHT</t>
  </si>
  <si>
    <t>PYMNT_FRQNCY</t>
  </si>
  <si>
    <t>RWA</t>
  </si>
  <si>
    <t>ACCMLTD_IMPRMNT_INSTRMNT</t>
  </si>
  <si>
    <t>ACCMLTD_WRTFFS_INSTRMNT</t>
  </si>
  <si>
    <t>ARRRS_INSTRMNT</t>
  </si>
  <si>
    <t>CMLTV_RCVRS_SNC_DFLT_INSTRMNT</t>
  </si>
  <si>
    <t>DT_PST_D</t>
  </si>
  <si>
    <t>IMPRMNT_ASSSSMNT_MTHD</t>
  </si>
  <si>
    <t>IFRS9_LGD</t>
  </si>
  <si>
    <t>LGD</t>
  </si>
  <si>
    <t>ANNLSD_AGRD_RT</t>
  </si>
  <si>
    <t>INTRST_RT_RST_FRQNCY</t>
  </si>
  <si>
    <t>ASST_SCRT_CLSS</t>
  </si>
  <si>
    <t>CPN_RT</t>
  </si>
  <si>
    <t>DT_VLTN</t>
  </si>
  <si>
    <t>ELGBLTY_ECB</t>
  </si>
  <si>
    <t>GRNTR_ID</t>
  </si>
  <si>
    <t>GRNTR_ID_TYP</t>
  </si>
  <si>
    <t>HEDGE_ID</t>
  </si>
  <si>
    <t>INSTR_SNRTY_CLSS</t>
  </si>
  <si>
    <t>INSTRMNT_CLSS</t>
  </si>
  <si>
    <t>ISIN</t>
  </si>
  <si>
    <t>ISSR_CNTRY</t>
  </si>
  <si>
    <t>ISSR_ESA_2010</t>
  </si>
  <si>
    <t>ISSR_ID</t>
  </si>
  <si>
    <t>ISSR_ID_TYP</t>
  </si>
  <si>
    <t>ISSR_NACE_SCTR</t>
  </si>
  <si>
    <t>ISSR_RTNG</t>
  </si>
  <si>
    <t>ISSR_RTNG_SRC</t>
  </si>
  <si>
    <t>ISSR_TYP</t>
  </si>
  <si>
    <t>LCR_BFFR_CTGRY</t>
  </si>
  <si>
    <t>PRCH_UNDR_RSL_AGR</t>
  </si>
  <si>
    <t>PRDNTL_PRTFL</t>
  </si>
  <si>
    <t>PRMRY_ASST_CLSSF</t>
  </si>
  <si>
    <t>PRT_LCR_BFFR</t>
  </si>
  <si>
    <t>RFRNC_RT</t>
  </si>
  <si>
    <t>SPRD</t>
  </si>
  <si>
    <t>SRCS_ENCMBRNC</t>
  </si>
  <si>
    <t>TYPE_OF_PLCMNT</t>
  </si>
  <si>
    <t>VLTN_CRRNCY</t>
  </si>
  <si>
    <t>VLTN_TYP</t>
  </si>
  <si>
    <t>COD_SOC</t>
  </si>
  <si>
    <t>COUNTERPARTY_ID</t>
  </si>
  <si>
    <t>COUNTERPARTY_TYPE_ID</t>
  </si>
  <si>
    <t>COUNTERPARTY_COUNTRY</t>
  </si>
  <si>
    <t>DIVIDEND_YIELD</t>
  </si>
  <si>
    <t>CRR_EXPOSURE_CLASS</t>
  </si>
  <si>
    <t>INTEREST_RATE_CAP</t>
  </si>
  <si>
    <t>INTEREST_RATE_FLOOR</t>
  </si>
  <si>
    <t>INTRST_INDXNG</t>
  </si>
  <si>
    <t>SETTLEMENT_DATE</t>
  </si>
  <si>
    <t>TRANSFERRED_AMOUNT</t>
  </si>
  <si>
    <t>TYPE_SECURITIZATION</t>
  </si>
  <si>
    <t>JOINT_LIABILITIES_AMOUNT</t>
  </si>
  <si>
    <t>BALANCE_SHEET_RECOGN</t>
  </si>
  <si>
    <t>TYPE</t>
  </si>
  <si>
    <t>NOMINAL_INTEREST_RATE_FEE</t>
  </si>
  <si>
    <t>UNIQUE_TRADE_ID</t>
  </si>
  <si>
    <t>BASE_PRODUCT</t>
  </si>
  <si>
    <t>GOVERNING_LAW</t>
  </si>
  <si>
    <t>CONTRACT_RECOGN_WRITE_DOWN</t>
  </si>
  <si>
    <t>CONTRACT_RECOGN_SUSPENSION</t>
  </si>
  <si>
    <t>CONTRACT_RECOGN_RESOLUTION</t>
  </si>
  <si>
    <t>COLLATERAL_PORTFOLIO</t>
  </si>
  <si>
    <t>COLLATERAL_POSTED</t>
  </si>
  <si>
    <t>COLLATERAL_POSTED_CURRENCY</t>
  </si>
  <si>
    <t>COLLATERAL_RECEIVED</t>
  </si>
  <si>
    <t>COLLATERAL_RECEIVED_CURRENCY</t>
  </si>
  <si>
    <t>LEG_1_CASH_FLOW</t>
  </si>
  <si>
    <t>LEG_2_CASH_FLOW</t>
  </si>
  <si>
    <t>LEG_1_REFERENCE_RATE</t>
  </si>
  <si>
    <t>LEG_2_REFERENCE_RATE</t>
  </si>
  <si>
    <t>LEG_1_REFERENCE_PERIOD</t>
  </si>
  <si>
    <t>LEG_2_REFERENCE_PERIOD</t>
  </si>
  <si>
    <t>PREMIUM</t>
  </si>
  <si>
    <t>NETTING_AGREEMENT</t>
  </si>
  <si>
    <t>HIERARCHY</t>
  </si>
  <si>
    <t>SECURITY_RATING</t>
  </si>
  <si>
    <t>ENTITY</t>
  </si>
  <si>
    <t>ENTTY_ID</t>
  </si>
  <si>
    <t>CNTRY</t>
  </si>
  <si>
    <t>DT_DFLT_STTS</t>
  </si>
  <si>
    <t>DT_INTTN_LGL_PRCDNGS_LE</t>
  </si>
  <si>
    <t>LEI</t>
  </si>
  <si>
    <t>ENTTY_NM</t>
  </si>
  <si>
    <t>ACCNTNG_FRMWRK_SL</t>
  </si>
  <si>
    <t>DFLT_STTS</t>
  </si>
  <si>
    <t>ECNMC_ACTVTY</t>
  </si>
  <si>
    <t>ENTRPRS_SZ_LE</t>
  </si>
  <si>
    <t>EXTRNL_RTNG</t>
  </si>
  <si>
    <t>LGL_PRCDNG_STTS_LE</t>
  </si>
  <si>
    <t>ANNL_TRNVR_LE</t>
  </si>
  <si>
    <t>PD_CRR_RD</t>
  </si>
  <si>
    <t>PST_CD</t>
  </si>
  <si>
    <t>TAX_ID</t>
  </si>
  <si>
    <t>Nome original:
IFRS9_PROB_DEFAULT_IMPAIRMENT
Novo nome:
PD_IFRS9_12M_LFTM_RD</t>
  </si>
  <si>
    <t>PROBABILITY_DEFAULT_OTHERS</t>
  </si>
  <si>
    <t>COUNTERPARTY_ROLE</t>
  </si>
  <si>
    <t>HEAD_OFFICE_UNDERTAKING_ID</t>
  </si>
  <si>
    <t>IMMEDIATE_PARENT_UNDERTAKING_ID</t>
  </si>
  <si>
    <t>ULTIMATE_PARENT_UNDERTAKING_ID</t>
  </si>
  <si>
    <t>ADDRESS_STREET</t>
  </si>
  <si>
    <t>ADDRESS_CITY_TOWN_VILLAGE</t>
  </si>
  <si>
    <t>ADDRESS_COUNTY_ADM_DIV</t>
  </si>
  <si>
    <t>LEGAL_FORM</t>
  </si>
  <si>
    <t>INSTITUTIONAL_SECTOR</t>
  </si>
  <si>
    <t>DATE_ENTERPRISE_SIZE</t>
  </si>
  <si>
    <t>NUMBER_EMPLOYEES</t>
  </si>
  <si>
    <t>BALANCE_SHEET_TOTAL</t>
  </si>
  <si>
    <t>INSTR_ENTITY</t>
  </si>
  <si>
    <t>JNT_LBLTY_AMNT</t>
  </si>
  <si>
    <t>PROTECTION</t>
  </si>
  <si>
    <t>PRTCNT_ID</t>
  </si>
  <si>
    <t>DT_MTRTY_PRTCTN</t>
  </si>
  <si>
    <t>PRTCTN_PRVDR_ID</t>
  </si>
  <si>
    <t>RL_ESTT_PST_CD</t>
  </si>
  <si>
    <t>TYP_PRTCTN</t>
  </si>
  <si>
    <t>TYP_PRTCTN_VL</t>
  </si>
  <si>
    <t>DT_ORGNL_PRTCTN_VL</t>
  </si>
  <si>
    <t>DT_PRTCTN_VL</t>
  </si>
  <si>
    <t>ORGNL_PRTCTN_VL</t>
  </si>
  <si>
    <t>PRTCTN_VL</t>
  </si>
  <si>
    <t>PRTCTN_VLTN_APPRCH</t>
  </si>
  <si>
    <t>GROSS_AREA</t>
  </si>
  <si>
    <t>LAND_AREA</t>
  </si>
  <si>
    <t>LIEN_POSITION</t>
  </si>
  <si>
    <t>DET_TYPE_SHIP_COLLATERAL</t>
  </si>
  <si>
    <t>INSTRUMENT_ID</t>
  </si>
  <si>
    <t>PROTECTION_ALLOCATED_VALUE</t>
  </si>
  <si>
    <t>THIRDPARTY_CLAIMS_PROTECTION</t>
  </si>
  <si>
    <t>INSTR_PROTECTION</t>
  </si>
  <si>
    <t>PRTCTN_ID</t>
  </si>
  <si>
    <t>PRTCTN_ALLCTD_VL</t>
  </si>
  <si>
    <t>THRD_PRTY_PRRTY_CLMS</t>
  </si>
  <si>
    <r>
      <rPr>
        <b/>
        <sz val="11"/>
        <color rgb="FF000000"/>
        <rFont val="Calibri"/>
        <scheme val="minor"/>
      </rPr>
      <t xml:space="preserve">•	Exposures to legal persons:
tipo_conta='A' e instrumento_financeiro='credito concedido e outros ativos financeiros' e contraparte &lt;&gt; ‘particulares’ e contraparte_i &lt;&gt; ‘particulares’ e carteira_contabilistica &lt;&gt; 'ativos nao correntes detidos para venda'
•	Exposures to natural persons:
tipo_conta='A' e instrumento_financeiro='credito concedido e outros ativos financeiros' e contraparte = ‘particulares’ e contraparte_i = ‘particulares’ e carteira_contabilistica &lt;&gt; 'ativos nao correntes detidos para venda'
•	Off-balance sheet exposures:
tipo_conta='EA'
•	Derivatives:
instrumento_financeiro='derivados’ e tipo_conta in ('A', 'P')
•	Debt securities:
tipo_conta='A' e instrumento_financeiro='instrumentos de divida'
•	Equity:
tipo_conta='A' e instrumento_financeiro='instrumentos de capital' e carteira_contabilistica &lt;&gt; 'ativos nao correntes detidos para venda'
</t>
    </r>
    <r>
      <rPr>
        <sz val="11"/>
        <color rgb="FF000000"/>
        <rFont val="Calibri"/>
        <scheme val="minor"/>
      </rPr>
      <t>Nota: Após a definição inicial com Pedro Mendes e Contabilidade,  no processo de validações foi identificado que teriam de ser aplicados mais filtros do que os previstos inicialmente (email Francisco de Mesquita Gouveia 15/01/2025 19:06). Os filtros apresentados acima já refletem essas alterações</t>
    </r>
  </si>
  <si>
    <r>
      <rPr>
        <b/>
        <u/>
        <sz val="14"/>
        <color theme="1"/>
        <rFont val="Calibri"/>
        <family val="2"/>
        <scheme val="minor"/>
      </rPr>
      <t>SRB DATA SET FOR EXPOSURES TO LEGAL PERSONS</t>
    </r>
    <r>
      <rPr>
        <b/>
        <sz val="11"/>
        <color theme="1"/>
        <rFont val="Calibri"/>
        <family val="2"/>
        <scheme val="minor"/>
      </rPr>
      <t xml:space="preserve">
The AnaCredit database provides very detailed and individual information concerning exposures to legal persons. The SRB Valuation Data Set complements the AnaCredit database and provides data fields on segments, which allows mapping individual exposures with prudential reporting segments (FINREP and COREP), and credit risk data parameters aimed at supporting valuers. The SRB Valuation Data Set also provides data fields on risk parameters provided by banks’ internal risk models, which valuers are able to rely on in order to perform valuations on an aggregated basis, where necessary.
Serão produzidos cinco ficheiros de report referentes a Legal Persons:
‣  SRB Instruments Data Set for exposures to legal persons (LEGALP_INSTRUMENTS);
‣  SRB Counterparties Data Set for exposures to legal persons (LEGALP_COUNTERPARTIES);
‣  SRB Protection received Data Set for exposures to legal persons (LEGALP_PROTECTIONS);
‣  SRB Instrument/Counterparty mapping Data Set for exposures to legal persons (LEGALP_INSTRUMENT_COUNTERPARTY);
‣  SRB Instrument/Protection mapping Data Set for exposures to legal persons (LEGALP_INSTRUMENT_PROTECTION);</t>
    </r>
  </si>
  <si>
    <r>
      <rPr>
        <b/>
        <u/>
        <sz val="14"/>
        <color theme="1"/>
        <rFont val="Calibri"/>
        <family val="2"/>
        <scheme val="minor"/>
      </rPr>
      <t>SRB DATA SET FOR EXPOSURES TO LEGAL PERSONS</t>
    </r>
    <r>
      <rPr>
        <b/>
        <sz val="11"/>
        <color theme="1"/>
        <rFont val="Calibri"/>
        <family val="2"/>
        <scheme val="minor"/>
      </rPr>
      <t xml:space="preserve">
A base de dados AnaCredit disponibiliza informação muito detalhada e individualizada sobre exposições a pessoas coletivas. O dataset de avaliação do SRB complementa a base de dados AnaCredit e fornece campos de dados por segmentos, o que permite mapear exposições individuais com segmentos de reporte prudencial (FINREP e COREP) e parâmetros de dados de risco de crédito destinados a apoiar os avaliadores. O dataset de avaliação do CUR também fornece campos de dados sobre parâmetros de risco fornecidos pelos modelos de risco internos dos bancos, nos quais os avaliadores podem confiar para realizar avaliações numa base agregada, sempre que necessário.
Serão produzidos três ficheiros de report referentes a Legal Persons:
‣  SRB Instruments Data Set for exposures to legal persons (VDS_OUT_LEGALP_INSTRUMENTS);
‣  SRB Counterparties Data Set for exposures to legal persons (VDS_OUT_LEGALP_COUNTERPARTIES);
‣  SRB Protection received Data Set for exposures to legal persons (VDS_OUT_LEGALP_PROTECTIONS).</t>
    </r>
  </si>
  <si>
    <t>Instruções SRB</t>
  </si>
  <si>
    <t>Mapeamento efetuado pela Corporação e respetiva Descrição Loan Tape (LT)</t>
  </si>
  <si>
    <t>Análise IT</t>
  </si>
  <si>
    <t>Implementação Deloitte (OLD)</t>
  </si>
  <si>
    <t>ID</t>
  </si>
  <si>
    <t>Categoria</t>
  </si>
  <si>
    <t>Coluna</t>
  </si>
  <si>
    <t>Tipo de dados</t>
  </si>
  <si>
    <t>Descrição</t>
  </si>
  <si>
    <t>Descrição - Português</t>
  </si>
  <si>
    <t>Mapeamentos Corporação (LT)</t>
  </si>
  <si>
    <t>Descrição (LT)</t>
  </si>
  <si>
    <t>Additional Guidance (LT)</t>
  </si>
  <si>
    <t>Novo campo 
na tabela LT002?</t>
  </si>
  <si>
    <t>Nome do campo 
no ficheiro</t>
  </si>
  <si>
    <t>Mapeamento LT / Comentários IT</t>
  </si>
  <si>
    <t>Estado desenvolvimento</t>
  </si>
  <si>
    <t>Data da última alteração do Estado desenvolvimento</t>
  </si>
  <si>
    <t>Tipo de Tarefa para a estimativa</t>
  </si>
  <si>
    <t>Fontes de Informação</t>
  </si>
  <si>
    <t>Filtros</t>
  </si>
  <si>
    <t>Campo</t>
  </si>
  <si>
    <t>Regras de Preenchimento</t>
  </si>
  <si>
    <t>Agrupações</t>
  </si>
  <si>
    <t>Comentários reuniões</t>
  </si>
  <si>
    <t>V_1</t>
  </si>
  <si>
    <t>Identification information</t>
  </si>
  <si>
    <t>Instrument Identifier</t>
  </si>
  <si>
    <t>Alphanumeric</t>
  </si>
  <si>
    <t>An identifier applied to uniquely identify each instrument. Each instrument must have one instrument identifier</t>
  </si>
  <si>
    <t>Um identificador aplicado para identificar exclusivamente cada instrumento. Cada instrumento deve ter um identificador de instrumento.</t>
  </si>
  <si>
    <t>INSTRUMENT-INSTRMNT_ID</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</si>
  <si>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</si>
  <si>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</si>
  <si>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NÃO</t>
  </si>
  <si>
    <t>instrument_id</t>
  </si>
  <si>
    <t>LT002_INSTRUMENT.INSTRMNT_ID</t>
  </si>
  <si>
    <t>cd_alm.al029_cnt_core_m</t>
  </si>
  <si>
    <t>‣ ref_date = data do report</t>
  </si>
  <si>
    <t>cempresa</t>
  </si>
  <si>
    <t>‣ Concatenação dos campos mencionados anteriormente:
     cempresa + cbalcao + cnumecta + zdeposit</t>
  </si>
  <si>
    <t>Após reunião com LCM foi indicado que este campo deveria ser na mesma o cempresa … zeposit mas da tabela fr001/fr004 em vez da al029 isto porque tendo que conciliar com o finrep, faz sentido que tenha a mesma granularidade</t>
  </si>
  <si>
    <t>cbalcao</t>
  </si>
  <si>
    <t>cnumecta</t>
  </si>
  <si>
    <t>zdeposit</t>
  </si>
  <si>
    <t>V_2</t>
  </si>
  <si>
    <t>Counterparty Identifier</t>
  </si>
  <si>
    <t>Identifier applied to uniquely identify each counterparty.</t>
  </si>
  <si>
    <t>Identificador aplicado para identificar exclusivamente cada contraparte</t>
  </si>
  <si>
    <t>Not applicable: To be reported as "N/A". This information will be availabe in "01_04_leg_instr_count" table</t>
  </si>
  <si>
    <t>SIM</t>
  </si>
  <si>
    <t>counterparty_id</t>
  </si>
  <si>
    <t>Mapeamento LT:
Not Applicable: Reportar 'N/A'
Comentários IT:
Este campo constará no ficheiro "01_04_leg_instr_count"</t>
  </si>
  <si>
    <t>Alterações ao Motor LT - Novos Campos: Definição Fechada / Dados existem no Datalake</t>
  </si>
  <si>
    <t>zcliente</t>
  </si>
  <si>
    <t>‣ Direto</t>
  </si>
  <si>
    <t>Se se alterar o universo trazer o zcliente respetivo</t>
  </si>
  <si>
    <t>V_3</t>
  </si>
  <si>
    <t>Exposure class</t>
  </si>
  <si>
    <t>CRR Exposure class</t>
  </si>
  <si>
    <t>String</t>
  </si>
  <si>
    <t>The exposures classes for the calculation of risk-weighted assets (RWAs) for credit risks are as follows (not applicable when exposures are classified in the CRR trading book as defined in Article 4(1)(86) of Regulation (EU) No 575/2013):
Where a bank uses the standardised approach:
‣ Central governments or central banks (SCENGOV)
‣ Regional governments or local authorities (SREGGOV)
‣ Public sector entities (SPUBSEC)
‣ Multilateral development banks (SDEVBAN)
‣ International organisation (SINTORG)
‣ Institutions (SINSTIT)
‣ Corporates (SCORPOR)
‣ Retail (SRETAIL)
‣ Secured by mortgages and immovable property (SSECMOR)
‣ Defaulted (SDEFAUL)
‣ High risk (SHIGHRI)
‣ Covered bonds (SCOVBON)
‣ Items representing securitisation positions
‣ Institutions and corporates with a short term credit assessment (SSHOTER)
‣ Collective investment undertakings (SCOLINV)
‣ Equity (SEQUITY)
‣ Other (SOTHERI)
Where a bank uses the IRB approach:
‣ Central governments and central banks (ICENGOV)
‣ Institutions (IINSTIT)
‣ Corporates (ICORPOR)
‣ Retail (IRETAIL)
‣ Equity (IEQUITY)
‣ Items representing securitisation positions
‣ Other non-credit-obligation assets (IOTHERC)</t>
  </si>
  <si>
    <t>As classes de posições em risco para o cálculo dos ativos ponderados pelo risco (RWA) para riscos de crédito são as seguintes (não aplicável quando as posições em risco são classificadas na carteira de negociação do CRR, conforme definido no artigo 4(1)(86), do Regulamento (UE) No 575 /2013). 
Informação deriva de uma lista baseada na classificação da facilidade utilizando a classe de risco, conforme descrito no artigo 112 do Regulamento (UE) No 575/2013 para bancos que utilizam a abordagem padrão) e no artigo 147 do Regulamento (UE) No 575/2013 (para bancos que utilizam abordagem baseada em classificações internas (IRB))
Quando um banco utiliza a abordagem padrão:
‣ Central governments or central banks (SCENGOV)
‣ Regional governments or local authorities (SREGGOV)
‣ Public sector entities (SPUBSEC)
‣ Multilateral development banks (SDEVBAN)
‣ International organisation (SINTORG)
‣ Institutions (SINSTIT)
‣ Corporates (SCORPOR)
‣ Retail (SRETAIL)
‣ Secured by mortgages and immovable property (SSECMOR)
‣ Defaulted (SDEFAUL)
‣ High risk (SHIGHRI)
‣ Covered bonds (SCOVBON)
‣ Items representing securitisation positions
‣ Institutions and corporates with a short term credit assessment (SSHOTER)
‣ Collective investment undertakings (SCOLINV)
‣ Equity (SEQUITY)
‣ Other (SOTHERI)
Quando um banco utiliza a abordagem IRB:
‣ Central governments and central banks (ICENGOV)
‣ Institutions (IINSTIT)
‣ Corporates (ICORPOR)
‣ Retail (IRETAIL)
‣ Equity (IEQUITY)
‣ Items representing securitisation positions
‣ Other non-credit-obligation assets (IOTHERC)</t>
  </si>
  <si>
    <t>crr_exposure_class</t>
  </si>
  <si>
    <t>Mapeamento LT:
‣ Utilizar o campo "segmento_corep_final" da tabela ct013_rwa_princ;
   Nota: Os códigos "segmento_corep_final" seguem sempre a mesma estrutura, começam com um caracter que identifica se é IRB (I_...) ou Standard (S_...) e de seguida um numérico (ex. I_3.1, I_5.1, S_1.0).
‣ Para o mesmo contrato este campo pode retornar vários códigos "segmento_corep_final" distintos, de seguida estão os passos que permitem resolver esta ambiguidade:
     1. Deve seguir a lógica do campo RWA_MTHD, de momento a lógica é, se existir IRB e Standard então trazer informação relativa a IRB;
     2. Se mesmo aplicando o passo 1 ainda existirem vários códigos "segmento_corep_final" distintos (vários códigos IRB ou vários códigos Standard) então: recuperar o código "segmento_corep_final" com o menor numérico associado.
Exemplo: O contrato A tem associados os seguintes códigos "segmento_corep_final" distintos:  I_3.1, I_5.1, S_1.0:
      1. Remover o Standard: I_3.1, I_5.1;
      2. Ficar com o menor numérico: I_3.1.
‣ Necessário criar nova parametrização na tabela lt831_param_conceitos, podendo a mesma ser consultada neste documento na sheet 'LT831' filtrando por tabela_conceito = 'LT002_INSTRUMENT' e campo_conceito = 'CRR_EXPOSURE_CLASS'
‣ Reportar ‘N/A’ se campo flag_cons_cap=0 da tabela cd_captools.ct013_rwa_princ
Comentários IT:
'‣ Proposta: Consumir o campo "segmento_corep_final" da tabela ct013_rwa_princ, tendo em atenção que se tem de manter a lógica aplicada no campo LT "RWA_MTHD" (se for IRB ou Standard), para resolver os casos em que para o mesmo contrato temos mais do que segmento corep (IRB e Standard). Nota existem contratos que têm mais do que um segmento corep IRB ou Standard ou seja tem de haver uma lógica de selecionar o mais significativo pois só podemos reportar um valor neste campo).
‣ No Loan Tape para cálculo do LGD que vem da ct013_rwa_princ, quando existe IRB e STD, escolhe-se IRB.
‣ Segundo Email de Pedro Mendes com a resposta da Corporação (26/03/2024 17:28), no caso de existir mais do que 1 CRR Exposure class para o mesmo contrato, é permitido reportar o mais significativo dos dois por valor ou os dois separados por “,” colocando o mais significativo primeiro.
‣ Analisar documento 'BS_Tabelas_Temporárias_Loan_Tape.xlsx' para consultar as regras de seleção aplicadas no campo RWA_MTHD.
‣ Reunião Pedro Mendes, Luís Capitão-Mor 05-11-2024: Foi definida a regra para este campo, como dito anteriormente:
     - Deve seguir a lógica do campo RWA_MTHD, de momento a lógica é, se existir IRB e Standard então trazer informação relativa a IRB;
     - Para os casos em que temos mais do que um "segmento_corep_final" IRB ou Standard, foram propostas duas soluções, uma seria utilizar o campo "EAD_FINAL_BRUTA" também da tabela ct013_rwa_pric como fator de peso, recuperando o "segmento_corep_final" associado ao maior "EAD_FINAL_BRUTA" (mais significativo). A segunda solução, mais simples, seria simplesmente recuperar o código "segmento_corep_final" com a numeração mais baixa, por exemplo se um contrato tiver os códigos "segmento_corep_final" I_3.1, I_5.1 ficamos apenas com o I_3.1. Optou-se pela segunda solução.
‣ Query que demonstra que para um contrato FINREP pode haver mais do que um 'segmento_corep_final' tanto para a approach 'IRB' como para a 'Standard':
SELECT
   contract_id_fr,
   --ct013.s1emp,ct013.contra1,
   GROUP_CONCAT(DISTINCT ct013.segmento_corep_final) as segmento_corep_final_conc,
   --GROUP_CONCAT(ct013.segmento_corep_final) as segmento_corep_final_conc,
   --GROUP_CONCAT(CAST(ct013.ead_final_bruta AS STRING)) as ead_final_bruta_conc,
   COUNT(*) as cnt,
   COUNT(DISTINCT ct013.segmento_corep_final) as cnt_dist
FROM
(
    SELECT
        fr004.contract_id_fr, s1emp, contra1
    FROM
    (
        SELECT
            DISTINCT CONCAT(cempresa,cbalcao,cnumecta,zdeposit) as contract_id_fr
        FROM cd_captools.fr004_cto
        WHERE ref_date = '2024-08-31'
    ) as fr004 --6211142
    LEFT JOIN
    (
        SELECT
            CONCAT(cempresa_fr,cbalcao_fr,cnumecta_fr,zdeposit_fr) as contract_id_fr,
            CONCAT(cempresa,cbalcao,cnumecta,zdeposit) as contract_id_ct
        FROM cd_captools.kt_chaves_finrep
        WHERE ref_date = '2024-08-31'
    ) as chaves_finrep
    ON chaves_finrep.contract_id_fr = fr004.contract_id_fr --6211142
    LEFT JOIN
    (
        SELECT
            s1emp,
            contra1,
            CONCAT(cempresa,cbalcao,cnumecta,zdeposit) as contract_id_ct
        FROM cd_captools.kt_chaves_bdr
        WHERE ref_date = '2024-08-31'
    ) as chaves_bdr
    ON chaves_bdr.contract_id_ct = chaves_finrep.contract_id_ct --2046835
    WHERE chaves_bdr.contract_id_ct IS NOT NULL
    GROUP BY contract_id_fr, s1emp, contra1
) as core
--2046835 DIST fr
--2047298 nº total
LEFT JOIN
(
    SELECT
        s1emp,
        contra1,
        segmento_corep_final,
        ead_final_bruta
    FROM cd_captools.ct013_rwa_princ
    WHERE ref_date = '2024-08-31'
) as ct013
ON core.s1emp = ct013.s1emp
AND core.contra1 = ct013.contra1
WHERE ct013.s1emp IS NOT NULL
GROUP BY contract_id_fr
--GROUP BY ct013.s1emp, ct013.contra1
ORDER BY cnt_dist DESC</t>
  </si>
  <si>
    <t>Alterações ao Motor LT - Novos Campos: Definição Incompleta / Dados existem no Datalake</t>
  </si>
  <si>
    <t>Tabela de parametrização: codemapping</t>
  </si>
  <si>
    <t>‣ dd_field_id = "3"</t>
  </si>
  <si>
    <t>dd_code</t>
  </si>
  <si>
    <t>‣ Tradução do campo "segmento_corep_final" através de uma ligação com o campo "dd_code" para obter o campo:
     dd_value</t>
  </si>
  <si>
    <t>dd_value</t>
  </si>
  <si>
    <t>cd_captools.ct013_rwa_princ</t>
  </si>
  <si>
    <t>‣ ref_date = data do report
‣ flag_cons_cap = 1
‣ exercicio = 'REAL'</t>
  </si>
  <si>
    <t>segmento_corep_final</t>
  </si>
  <si>
    <t>V_4</t>
  </si>
  <si>
    <t>FINREP Exposure class</t>
  </si>
  <si>
    <t>Classification of the facility (exposure class) as defined in ITS 680/2014 Annex V Instructions FINREP (Counterparty breakdown).
Options:
‣ Central banks
‣ Central governments
‣ Credit institutions
‣ Other financial corporations
‣ Non-financial corporations
‣ Households</t>
  </si>
  <si>
    <t>Classificação da instalação (exposure class) conforme definido na ITS 680/2014 Anexo V Instruções FINREP (Counterparty breakdown).
Opções:
‣ Central banks
‣ Central
governments
‣ Credit institutions
‣ Other financial
corporations
‣ Non-financial
corporations
‣ Households</t>
  </si>
  <si>
    <t>finrep_exposure_class</t>
  </si>
  <si>
    <t>LT002_INSTRUMENT.INTRNL_SGMNT
‣ Necessário criar novas parametrizaçôes nas tabelas lt829_regras_conversao e lt830_conversoes, podendo as mesmas ser consultadas neste documento nas sheets:
     ‣ LT829 - filtrando por campo_conceito = 'INTRNL_SGMNT' e regra_conversao = '1';
     ‣ LT830 - filtrando por segmento = 'Exposures to legal persons' e campo_conceito = 'INTRNL_SGMNT'.</t>
  </si>
  <si>
    <t>‣ dd_field_id = "4"</t>
  </si>
  <si>
    <t>‣ Inicialmente para cada combinação dos campos "cempresa", "cbalcao", "cnumecta", "zdeposit" iremos recuperar o MAX(contraparte_i):
     ‣ Este campo MAX(contraparte_i) será traduzido através de uma ligação com o campo "dd_code" para obter o campo:
          dd_value</t>
  </si>
  <si>
    <t>Pragosa diz que o LCM já indicou reapontar a ct081_finrep para a fr004</t>
  </si>
  <si>
    <t>cd_captools.ct081_finrep</t>
  </si>
  <si>
    <t>contraparte_i</t>
  </si>
  <si>
    <t>V_5</t>
  </si>
  <si>
    <t>Risk parameters</t>
  </si>
  <si>
    <t>Total Risk Exposure Amount</t>
  </si>
  <si>
    <t>Numeric (euro)</t>
  </si>
  <si>
    <t>The total risk exposure amount of the instrument, calculated according to Articles 92(3) and 92(4) of Regulation (EU) No 575/2013 (CRR), where applicable.</t>
  </si>
  <si>
    <t>O montante total das posições em risco do instrumento, calculado de acordo com o artigo 92(3) e 92(4) do Regulamento (UE) No 575/2013 (CRR), quando aplicável.</t>
  </si>
  <si>
    <t>INSTRUMENT-RWA</t>
  </si>
  <si>
    <t>RWA according to Regulation (EU) No 575/2013.</t>
  </si>
  <si>
    <t>total_risk_exposure_amount</t>
  </si>
  <si>
    <t>LT002_INSTRUMENT.RWA</t>
  </si>
  <si>
    <t>s1emp</t>
  </si>
  <si>
    <t>‣ Para cada Instrument Identifier é somada a:
     ‣ Média do campo "rwa_final" para cada par de campos "s1emp", "contra1"</t>
  </si>
  <si>
    <t>A agrupação é feita segundo o campo "Instrument Identifier" deste mesmo documento</t>
  </si>
  <si>
    <t>Dependendo do instrument id indicado, este campo deverá ser a soma do rwa_final</t>
  </si>
  <si>
    <t>contra1</t>
  </si>
  <si>
    <t>rwa_final</t>
  </si>
  <si>
    <t>V_6</t>
  </si>
  <si>
    <t>CRR Loss given default</t>
  </si>
  <si>
    <t>Numeric. Basis points</t>
  </si>
  <si>
    <t>Current level of the ‘Loss given default’ of the loan, determined in accordance with Articles 161, 164, 179 and 181 of Regulation (EU) No 575/2013.</t>
  </si>
  <si>
    <t>Nível atual da "Loss given default" do empréstimo, determinado em conformidade com os artigos 161, 164, 179 e 181 do Regulamento (UE) No 575/2013.</t>
  </si>
  <si>
    <t>INSTRUMENT-LGD</t>
  </si>
  <si>
    <t>Regulatory LGD</t>
  </si>
  <si>
    <t>If differences between regulatory and internal LGD exist, use regulatory LGD (according to Regulation (EU) No 575/2013). In particular, in IRB-F use regulatory LGD values.</t>
  </si>
  <si>
    <t>crr_loss_given_default</t>
  </si>
  <si>
    <t>LT002_INSTRUMENT.LGD</t>
  </si>
  <si>
    <t>‣ Para cada Instrument Identifier é calculada a:
     ‣ Média ponderada do campo "lgdfinal" em relação à:
          ‣ Média do campo "ead_final_bruta" para cada par dos campos "s1emp", "contra1"</t>
  </si>
  <si>
    <t>Dependendo do instrument id indicado, este campo deverá ser a média ponderada de lgd_final por ead_final_bruta</t>
  </si>
  <si>
    <t>ead_final_bruta</t>
  </si>
  <si>
    <t>cd_captools.ct014_rwa_irb</t>
  </si>
  <si>
    <t>lgdfinal</t>
  </si>
  <si>
    <t>V_7</t>
  </si>
  <si>
    <t>IFRS 9 Loss given default</t>
  </si>
  <si>
    <t>Current level of the ‘Loss given default’ of the loan determined for accounting purposes.</t>
  </si>
  <si>
    <t>Nível atual da "Loss given default" do empréstimo determinado para efeitos contabilísticos.</t>
  </si>
  <si>
    <t>INSTRUMENT-IFRS9_LGD</t>
  </si>
  <si>
    <t>IFRS 9 accounting LGD</t>
  </si>
  <si>
    <t>IFRS 9 accounting Loss Given Default as at reference date for defaulted and non-defaulted exposures. In case the bank models time-depended LGD variable for non-defaulted exposures then 12-month LGD as at reference date regardless the classification as Stage 1 or 2</t>
  </si>
  <si>
    <t>ifrs9_loss_given_default</t>
  </si>
  <si>
    <t>LT002_INSTRUMENT.IFRS9_LGD</t>
  </si>
  <si>
    <t>cd_captools.ifrs9_out_expected_loss_8_7</t>
  </si>
  <si>
    <t>‣ Apenas são trazidos os "contract_id"s que têm "exec_id_part" correspondente na tabela cd_captools.imcatf046_flag_fecho à data ("cmes") do report</t>
  </si>
  <si>
    <t>contract_id</t>
  </si>
  <si>
    <t>‣ Para cada Instrument Identifier é calculada a:
     ‣ Média ponderada do campo "lgd_ifrs9" em relação à:
          ‣ Média do campo "ead" para cada "contract_id"</t>
  </si>
  <si>
    <t>Tal como nos anteriores explorar porque é feita a média do ead</t>
  </si>
  <si>
    <t>lgd_ifrs9</t>
  </si>
  <si>
    <t>ead</t>
  </si>
  <si>
    <t>Novo campo 
na tabela LT003?</t>
  </si>
  <si>
    <t>Identificador aplicado para identificar exclusivamente cada contraparte.</t>
  </si>
  <si>
    <t>ENTITY-ENTTY_ID</t>
  </si>
  <si>
    <t>Entity ID</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</si>
  <si>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t>
  </si>
  <si>
    <t>LT003_ENTITY.ENTTY_ID</t>
  </si>
  <si>
    <t>V_8</t>
  </si>
  <si>
    <t>Current Internal Credit Rating/Scoring</t>
  </si>
  <si>
    <t>Numeric / alphanumeric</t>
  </si>
  <si>
    <t>Internal credit rating/scoring issued to the counterparty.</t>
  </si>
  <si>
    <t>Classificação/pontuação de crédito interna emitida para a contraparte.</t>
  </si>
  <si>
    <t>ENTITY-INTRNL_RTNG</t>
  </si>
  <si>
    <t>Internal rating at reference date</t>
  </si>
  <si>
    <t>Internal rating at the reference date according to Regulation (EU) No 575/2013.
Please also add in sheet "Code List" the list of values used, i.e. bank-internal masterscale.</t>
  </si>
  <si>
    <t>internal_credit_rating</t>
  </si>
  <si>
    <t>LT003_ENTITY.INTRNL_RTNG
‣ Luís Capitão-Mor solicitou que se confirme que este campo no Loan Tape tem origem no input de Capital.
Segundo o documento "Especificação - BCE Loan Tape - Internal Ratings_v1.4", é referido:  
"Nível do cliente: deverá ser consultada a tabela CD_CAPTOOLS.JM_CAL_IN_CL;" ou seja, confirma-se que tem origem no input de Capital.</t>
  </si>
  <si>
    <t>cd_loan_tapes_bce.lt003_entity</t>
  </si>
  <si>
    <t>intrnl_rtng</t>
  </si>
  <si>
    <t>‣ Para cada Counterparty Identifier é obtido o:
     MAX(intrnl_rtng)</t>
  </si>
  <si>
    <t>A agrupação é feita segundo o campo "Counterparty Identifier" deste mesmo documento</t>
  </si>
  <si>
    <t>Explorar alternativas para ir buscar este campo</t>
  </si>
  <si>
    <t>V_9</t>
  </si>
  <si>
    <t>External Credit rating</t>
  </si>
  <si>
    <t>External credit rating issued to the counterparty at cut-off date. In case several ratings are assigned, the approach described in Art. 138 of the CRR applies.</t>
  </si>
  <si>
    <t>Rating de crédito externo emitido para a contraparte na data de corte. Caso sejam atribuídas diversas classificações, aplica-se a abordagem descrita no Art. 138 do CRR.</t>
  </si>
  <si>
    <t>ENTITY-EXTRNL_RTNG</t>
  </si>
  <si>
    <t>External rating</t>
  </si>
  <si>
    <t>External rating at the reference date.</t>
  </si>
  <si>
    <t>external_credit_rating</t>
  </si>
  <si>
    <t>LT003_ENTITY.EXTRNL_RTNG</t>
  </si>
  <si>
    <t>extrnl_rtng</t>
  </si>
  <si>
    <t>‣ Para cada Counterparty Identifier é obtido o:
     MAX(extrnl_rtng)</t>
  </si>
  <si>
    <t>V_10</t>
  </si>
  <si>
    <t>IFRS 9 Probability of default/impairment</t>
  </si>
  <si>
    <t>The probability of default/impairment is calculated in accordance with the requirements specific to probability of default (PD) estimation as laid down in the accounting framework. If PDs are produced at the instrument level only, the counterparty’s PD is to be reported as the exposure-weighted average PD across the PDs of all instruments of the counterparty. If, for a given counterparty, PDs are estimated for both the counterparty and (some of) the products of the counterparty, it is the counterparty’s PD which is to be reported.
No documento "Feedback Statement in response to the consultation on the SRB valuation data set" é referida a seguinte nota sobre este campo:
"‘Data Point V_10’, entitled ‘IFRS 9 Probability of default’, refers to PDs used for accounting purposes, being a 12-month PD for stage 1 exposures and a lifetime PD for stage 2 and 3 exposures as per the accounting framework."</t>
  </si>
  <si>
    <t>A probabilidade de incumprimento/imparidade é calculada de acordo com os requisitos específicos para a estimativa da probabilidade de incumprimento (PD) definidos no quadro contabilístico. Se as PDs forem produzidas apenas ao nível do instrumento, a PD da contraparte deve ser reportada como a PD média ponderada pela exposição entre as PD de todos os instrumentos da contraparte. Se, para uma determinada contraparte, forem estimadas PDs tanto para a contraparte como para (alguns dos) produtos da contraparte, é a PD da contraparte que deve ser reportada.</t>
  </si>
  <si>
    <t>Definição apresentada pela Corporação no documento "VDS_CommonConsiderations_v2.5.xlsx":
INSTRUMENT-PD_IFRS9_12M_RD and INSTRUMENT-PD_IFRS9_RMNNG_LFTM_RD
Exposure-weighted average PD by counterparty taking PD as:
-Stage 1: INSTRUMENT-PD_IFRS9_12M_RD
-Stage 2: INSTRUMENT-PD_IFRS9_RMNNG_LFTM_RD
-Stage 3: INSTRUMENT-PD_IFRS9_RMNNG_LFTM_RD
Example in Tab V_10</t>
  </si>
  <si>
    <t>SIM
pd_ifrs9_12m_lftm_rd</t>
  </si>
  <si>
    <t>ifrs9_prob_default_impairment</t>
  </si>
  <si>
    <t>Mapeamento LT:
‣ Necessário criar um novo campo Probability of Default "Mista" (PD_IFRS9_12M_LFTM_RD) na tabela de Clientes do Loan Tape (LT003_ENTITY).
‣ Regra de construção definida no email enviado por Luís Pragosa a David Texugo/Alexandre Gonçalves 20/03/2025 14:04.
‣ Metodologia de cruzamento:
          1) Cruzar LT003_ENTITY com LT005_INSTR_ENT:
                    LT003_ENTITY
                    LEFT JOIN 
                    (SELECT * FROM LT005_INSTR_ENT)
                    ON ENTTY_ID = ENTTY_ID
          2) Cruzar contratos obtidos no passo anterior com a tabela LT002_INSTRUMENT para obter os campos EAD, PD_IFRS9_12M_RD, PD_IFRS9_RMNNG_LFTM_RD e IMPRMNT_STTS:
                    LEFT JOIN 
                    (SELECT * FROM LT002_INSTRUMENT)
                    ON INSTRMNT_ID = INSTRMNT_ID
‣ Metodologia de Cálculo (NOT APPLICABLE) - Definida à semelhança do campo PD_IFRS9_12M_RD existente na LT003_ENTITY:
          - Se o campo IFRS9_EAD da Instrument (LT002_INSTRUMENT) asumir valor da coluna Not Applicable para todos os contratos do cliente.
          - Se a entidade não for 1º titular (csequencia_rel &lt;&gt; '00001')
‣ Metodologia de Cálculo:
          1) Identificar os Contratos onde o Cliente é o 1º Titular:
                    LT005_INSTR_ENT
                    WHERE CRELACAO_CL_CNT = '1'
                    AND CSEQUENCIA_REL = '00001'
          2) Para cada par Contrato/Cliente obtido no passo anterior, determinar a PD relevante da tabela LT002_INSTRUMENT (PD_IFRS9_12M_RD ou PD_IFRS9_RMNNG_LFTM_RD) consoante o Stage (IMPRMNT_STTS -&gt; '23' - Stage 1; '24' - Stage 2; '25' - Stage 3):
                    CASE
                            WHEN IMPRMNT_STTS = ‘23’ 
                            THEN PD_IFRS9_12M_RD
                            ELSE PD_IFRS9_RMNNG_LFTM_RD
                    END as PD_AUX
          3) Aplicar o seguinte cálculo por Cliente:
                    CASE
                            WHEN SUM(IFRS9_EAD)&lt;&gt; 0
                            THEN SUM(PD_AUX * IFRS9_EAD) / SUM(IFRS9_EAD) 
                            ELSE AVG(PD_AUX)
                    END as PD_IFRS9_SRB
Comentários IT:
Email David Texugo (01/04/2024 17:23) 
"Para algumas das operações em Stage 1 deve-se considerar PD lifetime também. Para operações em Stage 1 para as quais não é possível avaliar o SICR via variação de PD/Rating por PD/Rating origem inválido, o cálculo de provisões é lifetime, conforme pode ser verificado no campo loss_type. Com a exceção destas casuísticas, deve-se seguir a lógica que indicas. Adicionalmente Stage 3 deveria ter sempre PD 100%."
Aparentemente faz sentido criar um novo campo ("PD misto" ) na LT002_INSTRUMENT dado que se solicita um "misto" entre a PD 12m e a PD lifetime. Como tal, deverá confirmar-se com Luís Capitão-Mor a lógica de preenchimento deste novo campo: 
-Se stage 1: Se loss_type LIKE 'Lifetime expected credit losses%' selecionar PD_LT_IFRS9 da tabela BU_IFRS9.IFRS9_OUT_EXPECTED_LOSS_REPORTING, caso contrário selecionar PD12M_IFRS9 da tabela BU_IFRS9.IFRS9_OUT_EXPECTED_LOSS_REPORTING 
-Se stage 2: selecionar PD_LT_IFRS9 da tabela BU_IFRS9.IFRS9_OUT_EXPECTED_LOSS_REPORTING
-Se stage 3: forçar 1
Sugere-se criar o campo na  LT002_INSTRUMENT e não na LT003_ENTITY porque após consultar a a LT003_ENTITY verificou-se que existia o campo PD_IFRS9_12M_RD para o qual é usada a LT005_INSTR_ENT para identificar todos os contratos onde o cliente é o 1º Titular, de seguida para cada cliente aplica-se uma média ponderada da PD em relação ao EAD (porque cada cliente pode ter vários contratos). 
Assim sugere-se replicar esta lógica para o novo campo "PD misto" adicionado na LT002_INSTRUMENT de forma a poder ser criado também um novo campo "PD misto" na LT003_ENTITY.
Nota: Atenção que o campo PD_IFRS9_12M_RD apenas está a ser calculado para os Primeiros Titulares (provavelmente porque em IFRS9 também só calculam para os Primeiros Titulares?)
Reunião com Luís Capitão-Mor 8 /11/2024 14:30: Foi pedido que fosse marcada uma reunião com David Texugo e Alexandre Gonçalves para revisitar os conceitos de PD pedidos pelo BCE e comparar com o pedido no report Valuation, o objetivo será perceber se é necessário criar um campo novo no Loan Tapes ou se é necessário alterar a lógica de algum dos campos PD do Loan Tapes para refletir a lógica pedida pelo SRB. Foi também comentado que houve uma OSI em Maio/Junho e que se deveria questionar a David Texugo e Alexandre Gonçalves se esta informação de PDs foi pedida e se houve alterações nos conceitos pedidos.
Lógica proposta para a criação do novo campo na LT002:
    CASE
             WHEN IMPRMNT_STTS_INSTRMNT = '23'  --(Stage 1)
             THEN IF( loss_type LIKE 'Lifetime expected credit losses%', PD_LT_IFRS9, PD12M_IFRS9)
             WHEN IMPRMNT_STTS_INSTRMNT = '24'  --(Stage 2)
             THEN PD_LT_IFRS9
             WHEN IMPRMNT_STTS_INSTRMNT = '25'  --(Stage 3)
             THEN 1
             ELSE ??????N/A or MISS?????                        --(O que fazer nos casos em que o stage 'IMPRMNT_STTS_INSTRMNT ' não está preenchido?)
    END as PD_IFRS9_12M_LFTM_RD                         --(Confirmar o nome que este novo campo deve tomar)
    WHERE IMCATF046_FLAG_FECHO.CMES = REF_DATE
Lógica proposta para a criação do novo campo na LT003:
1) Identificar contratos onde o cliente é o 1º Titular:
    LT005_INSTR_ENT
    WHERE CRELACAO_CL_CNT = '1'
    AND CSEQUENCIA_REL = '00001'
2) Aplicar o seguinte cáclulo por entidade:
    CASE
             WHEN SUM(IFRS9_EAD)&lt;&gt; 0
             THEN SUM(PD_IFRS9_12M_LFTM_RD * IFRS9_EAD) / SUM(IFRS9_EAD) 
             ELSE AVG(PD_IFRS9_12M_LFTM_RD)
    END as ifrs9_prob_default_impairment
Análise:
QUERY que permite perceber a realção entre o stage e o loss_type:
SELECT
        --core.contract_id_fr,
        core.stage_atual,
        ifrs9_os_8_7.loss_type,
        IF(tradutor.contract_id_fr IS NOT NULL, '1', '0') as flag,
        COUNT(*)
    --SELECT COUNT(DISTINCT ifrs9_oel_8_7.contract_id_ifrs9)
    --SELECT COUNT(DISTINCT core.contract_id_fr)
    --SELECT COUNT(*)
    FROM
    (
        SELECT 
            fr004.contract_id as contract_id_fr, stage_atual
        FROM
        (
            SELECT
                CONCAT(cempresa, cbalcao, cnumecta, zdeposit) as contract_id,
                stage_atual
            FROM cd_captools.fr004_cto
            WHERE ref_date = '2024-09-30' 
            --AND contraparte &lt;&gt; 'particulares'
        ) as fr004
        LEFT JOIN
        (
            SELECT
                CONCAT(cempresa, cbalcao, cnumecta, zdeposit) as contract_id,
                ccontab_final_ifrs
            FROM cd_captools.fr001_univ_saldo
            WHERE ref_date = '2024-09-30'
        ) as fr001
        ON fr001.contract_id = fr004.contract_id
        INNER JOIN
        (
            SELECT
                conta, tipo_conta
            FROM cd_captools.fr802_pl_contas
            WHERE ref_date = '2024-09-30'
            AND cod_plano = 'BST_IND'
            AND ((TRIM(tipo_conta) ='A' AND instrumento_financeiro='credito concedido e outros ativos financeiros') OR TRIM(tipo_conta) = 'EA')
            --AND NVL(contraparte_i, '') &lt;&gt; 'particulares'
        ) as fr802
        ON fr802.conta = fr001.ccontab_final_ifrs
    ) as core
    LEFT JOIN
    (
        SELECT 
            trad_fr.contract_id_fr, 
            trad_ifrs9.contract_id_ifrs9
        FROM 
        (
            SELECT
                CONCAT(cempresa_fr, cbalcao_fr, cnumecta_fr, zdeposit_fr) as contract_id_fr,
                CONCAT(cempresa, cbalcao, cnumecta, zdeposit) as contract_id_ct
            FROM cd_captools.kt_chaves_finrep
            WHERE ref_date = '2024-09-30'
        ) as trad_fr 
        INNER JOIN
        (
            SELECT
                contract_id as contract_id_ifrs9,
                CONCAT(cempresa, cbalcao, cnumecta, zdeposit) as contract_id_ct
            FROM cd_captools.kt_chaves_ifrs9
            WHERE ref_date = '2024-09-30'
        ) as trad_ifrs9
        ON trad_ifrs9.contract_id_ct = trad_fr.contract_id_ct
    ) as tradutor
    ON tradutor.contract_id_fr = core.contract_id_fr
    --WHERE tradutor.contract_id_fr IS NULL -- Temos 1447 contratos LEGALP, NATP e OFFBAL de um total de 2054616 contratos que existem no universo FINREP mas não estão no universo IFRS9
    LEFT JOIN
    (
        SELECT
            contract_id as contract_id_ifrs9, loss_type
        FROM cd_captools.ifrs9_out_staging_8_7
        WHERE data_date_part = (SELECT MIN(data_date_part) FROM cd_captools.ifrs9_out_staging_8_7 WHERE data_date_part &gt;= '2024-09-30')
        GROUP BY contract_id_ifrs9, loss_type
    ) as ifrs9_os_8_7
    ON ifrs9_os_8_7.contract_id_ifrs9 = tradutor.contract_id_ifrs9
    GROUP BY core.stage_atual, ifrs9_os_8_7.loss_type, flag</t>
  </si>
  <si>
    <t>Alterações ao Motor LT - Novos Campos: Definição por Iniciar</t>
  </si>
  <si>
    <t>‣ Este campo tem de ser calculado por fases:
     ‣ 1º - Calculamos o campo auxiliar "ead_final_liquida_grup":
          ‣ Para cada combinação dos campos "cempresa", "cbalcao", "cnumecta", "zdeposit" iremos SOMAR as:
              Médias do campo "ead_final_liquida" para cada par dos campos "s1emp", "contra1";
     ‣ 2º - Calculamos o campo auxiliar "final_stage_grup":
          ‣ Para cada combinação dos campos "cempresa", "cbalcao", "cnumecta", "zdeposit" iremos calcular "final_stage" máximo:
              MAX(final_stage);
     ‣ 3º - Calculamos o campo auxiliar "pd12m_ifrs9_grup":
          ‣ Para cada combinação dos campos "cempresa", "cbalcao", "cnumecta", "zdeposit" iremos calcular a média ponderada do campo "pd12m_ifrs9" ao campo "ead":
              SUM(ead * pd12m_ifrs9) / SUM(ead);
     ‣ 4º - Calculamos o campo auxiliar "pd_lt_ifrs9_grup":
          ‣ Para cada combinação dos campos "cempresa", "cbalcao", "cnumecta", "zdeposit" iremos calcular a média ponderada do campo "pd_lt_ifrs9" ao campo "ead":
              SUM(pd_lt_ifrs9 * ead) / SUM(ead);
     ‣ 5º - Calculamos o campo auxiliar "pd_ifrs9_grup":
          ‣ Se final_stage_grup = '1':
              pd12m_ifrs9_grup;
          ‣ Caso contrário:
              pd_lt_ifrs9_grup;
‣ Finalmente para cada Counterparty Identifier calculamos a média ponderada do campo auxiliar "pd_ifrs9_grup" ao campo auxiliar "ead_final_liquida_grup":
     SUM(pd_ifrs9_grup * ead_final_liquida_grup) / SUM(ead_final_liquida_grup)</t>
  </si>
  <si>
    <t>A agrupação final é feita segundo o campo "Counterparty Identifier" deste mesmo documento</t>
  </si>
  <si>
    <t>Esta lógica pode mudar se o Instrument Identifier for redefinido.
Explorar também a média do ead_liquida</t>
  </si>
  <si>
    <t>ead_final_liquida</t>
  </si>
  <si>
    <t>ifrs9_out_expected_loss_8_7</t>
  </si>
  <si>
    <t>pd12m_ifrs9</t>
  </si>
  <si>
    <t>pd_lt_ifrs9</t>
  </si>
  <si>
    <t>ifrs9_out_staging_8_7</t>
  </si>
  <si>
    <t>final_stage</t>
  </si>
  <si>
    <t>V_11</t>
  </si>
  <si>
    <t>Probability of default (others)</t>
  </si>
  <si>
    <t>Applicable only to institutions not using CRR IRB models. These institutions should maintain records of probabilities of default or scores provided by scoring/rating models.
In the case of PDs produced at the instrument level only, the counterparty’s PD is to be reported as the exposure-weighted average PD across the PDs of all instruments of the counterparty. If, for a given counterparty, PDs are estimated for both the counterparty and (some of) the products of the counterparty, it is the counterparty’s PD which is to be reported.</t>
  </si>
  <si>
    <t>Aplicável apenas a instituições que não utilizam modelos CRR IRB. Estas instituições devem manter registos das probabilidades de incumprimento ou das pontuações fornecidas pelos modelos de pontuação/rating.
No caso de PDs produzidas apenas ao nível do instrumento, a PD da contraparte deve ser relatada como a PD média ponderada pela exposição entre as PDs de todos os instrumentos da contraparte. Se, para uma determinada contraparte, forem estimadas PDs tanto para a contraparte como para (alguns dos) produtos da contraparte, é a PD da contraparte que deve ser reportada.</t>
  </si>
  <si>
    <t>probability_default_others</t>
  </si>
  <si>
    <t>Mapeamento LT:
Este campo é Not Applicable, reportar 11111111111</t>
  </si>
  <si>
    <t>N/A</t>
  </si>
  <si>
    <t>Novo campo 
na tabela LT004?</t>
  </si>
  <si>
    <t>V_12</t>
  </si>
  <si>
    <t>Protection identifier</t>
  </si>
  <si>
    <t>An identifier applied to uniquely identify each protection/collateral used to secure the instrument.</t>
  </si>
  <si>
    <t>Um identificador aplicado para identificar exclusivamente cada proteção/garantia utilizada para garantir o instrumento.</t>
  </si>
  <si>
    <t>PROTECTION-PRTCTN_ID</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</si>
  <si>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</si>
  <si>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</si>
  <si>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protection_id</t>
  </si>
  <si>
    <t>LT004_PROTECTION.PRTCTN_ID</t>
  </si>
  <si>
    <t>cd_captools.fr003_colaterais</t>
  </si>
  <si>
    <t>‣ Concatenação dos campos mencionados anteriormente:
     cempresa + cbalcao_caucao + cnumecta_caucao + zcaucao</t>
  </si>
  <si>
    <t>Ver se não devemos ir antes às tabelas de garantias (gts)</t>
  </si>
  <si>
    <t>cbalcao_caucao</t>
  </si>
  <si>
    <t>cnumecta_caucao</t>
  </si>
  <si>
    <t>zcaucao</t>
  </si>
  <si>
    <t>An identifier applied to uniquely identify each instrument. Each instrument must have one instrument identifier.</t>
  </si>
  <si>
    <t>Not applicable: To be reported as "N/A". 
This information will be availabe in "01_05_leg_instr_prot" table</t>
  </si>
  <si>
    <t>Mapeamento LT: 
Not Applicable: Reportar 'N/A'
Comentários IT:
Este campo constará no ficheiro "01_05_leg_instr_prot"</t>
  </si>
  <si>
    <t>cd_alm.kt_chaves_alm_m</t>
  </si>
  <si>
    <t>V_187</t>
  </si>
  <si>
    <t>Type of collateral</t>
  </si>
  <si>
    <t>The AnaCredit item “type of protection” (Section 9.4.3. of the Anacredit Reporting Manual part II - Dataset and data attributes) provides a breakdown of collateral eligible in accordance with the CRR. The proposed breakdown adds several categories.
Options:
‣ Gold
‣ Currency and deposits
‣ Securities
‣ Loans
‣ Equity and investment fund
shares or units
‣ Credit derivatives
‣ Financial guarantees other than
credit derivatives
‣ Trade receivables
‣ Life insurance policies pledged
‣ Residential real estate collateral
‣ Offices and commercial premises
‣ Commercial real estate collateral
‣ Other physical collateral
‣ Other protection
‣ Hotels &amp; entertainment
‣ Infrastructure projects
‣ Factories – warehouses
‣ Equipment &amp; machinery
‣ Automotive
‣ Aircraft
‣ Shipping</t>
  </si>
  <si>
    <t>O item "type of protection" da AnaCredit (Secção 9.4.3. do Anacredit Reporting Manual parte II - Dataset and data attributes) fornece uma discriminação das garantias elegíveis de acordo com o CRR. A repartição proposta acrescenta diversas categorias.
Opções:
‣ Gold
‣ Currency and deposits
‣ Securities
‣ Loans
‣ Equity and investment fund
shares or units
‣ Credit derivatives
‣ Financial guarantees other than
credit derivatives
‣ Trade receivables
‣ Life insurance policies pledged
‣ Residential real estate collateral
‣ Offices and commercial premises
‣ Commercial real estate collateral
‣ Other physical collateral
‣ Other protection
‣ Hotels &amp; entertainment
‣ Infrastructure projects
‣ Factories – warehouses
‣ Equipment &amp; machinery
‣ Automotive
‣ Aircraft
‣ Shipping</t>
  </si>
  <si>
    <t>PROTECTION-TYP_PRTCTN</t>
  </si>
  <si>
    <t>Protection type</t>
  </si>
  <si>
    <t>Type of protection received, irrespective of its eligibility for credit risk mitigation.</t>
  </si>
  <si>
    <t>type_collateral</t>
  </si>
  <si>
    <t>LT004_PROTECTION.TYP_PRTCTN
‣ Necessário criar novas parametrizaçôes nas tabelas lt829_regras_conversao e lt830_conversoes, podendo as mesmas ser consultadas neste documento nas sheets:
     ‣ LT829 - filtrando por campo_conceito = 'TYP_PRTCTN' e regra_conversao = '1';
     ‣ LT830 - filtrando por segmento = 'Exposures to legal persons' e campo_conceito = 'TYP_PRTCTN'.</t>
  </si>
  <si>
    <t>‣ dd_field_id = "187"</t>
  </si>
  <si>
    <t>‣ Tradução do campo "typ_prtctn" através de uma ligação com o campo "dd_code" para obter o campo:
     dd_value</t>
  </si>
  <si>
    <t>cd_loan_tapes_bce.lt004_protection</t>
  </si>
  <si>
    <t>typ_prtctn</t>
  </si>
  <si>
    <t>V_14</t>
  </si>
  <si>
    <t>Size collateral</t>
  </si>
  <si>
    <t>Building Area (M2)</t>
  </si>
  <si>
    <t>Numeric</t>
  </si>
  <si>
    <t>Building area of the building in square metres. Only applicable to Residential real estate collateral, Offices and commercial premises, Commercial real estate collateral, Hotels &amp; entertainment, Factories – warehouses.</t>
  </si>
  <si>
    <t>Área de construção do edifício em metros quadrados. Aplicável apenas a Garantias imobiliárias residenciais, Escritórios e instalações comerciais, Garantias imobiliárias comerciais, Hotéis e entretenimento, Fábricas – armazéns.</t>
  </si>
  <si>
    <t>SIM
gross_area</t>
  </si>
  <si>
    <t>building_area_m2</t>
  </si>
  <si>
    <t>Mapeamento LT: 
Campo "narbrut" da tabela cd_garantias.gt009_bens_imov
Comentários IT:
‣ Segundo Luís Capitão-Mor, este novo campo deverá ser alimentado pelo MUG (Modelo Único de Garantias). Como tal, agendou-se reunião com Alexandre Dionísio Esteves (08-04-2024), na qual se comentou: 
1) Este campo ainda não existe no MUG (deveria ser adicionado à cd_garantias.gt009_bens_imov);
2) Esta informação existe na gpt32, embora nessa tabela este campo não seja de preenchimento obrigatório, como tal, existem GAPs de informação;
3) O universo completo de imóveis está na tabela gpt18 os quais não estão 100% mapeados na gpt32;
4) Luís Capitão-Mor solicitou a Alexandre Dionísio Esteves o agendamento de uma reunião com Susana Fernandes/Ricardo. 
Nessa reunião terá de se questionar: 1) O que significam cada uma das áreas apresentadas pelo Alexandre Dionísio Esteves (área de implantação, área do terreno, área bruta, área útil, área coberta, ...) 2) Para cada tipo de imóvel (apartamento, vivenda, armazém, ...)  perceber quais das áreas se aplicam e o seu significado.
5) Luís Capitão-Mor comentou que se deveria questionar a Corporação sobre o que representa a building area nos vários tipos de imóveis, dando exemplos das nossas dúvidas. 
ex: 
- No caso de um apartamento é a área do apartamento ou do edifício onde se encontra? Faria sentido ser a do apartamento, contudo, a descrição do SRB pede a do edifício (of the building). 
- Esta área inclui paredes?
- No caso de uma vivenda que tem 3 andares, a área seria a da implantação (100m2) ou a dos 3 andares (300m2)
Reunião 08/08/2024 com Alexandre Esteves, Susana Fernandes:
-Building Area: Usar a área bruta da GPT32. Se não existir, usar a área útil da GPT32.
- Land Area: Usar a área do terreno da GPT32. Se for um terreno/lote terreno e se a area do terreno da GPT32 não existir, usar a área bruta da GPT32.
- Em princípio, traziam-se 3 campos da GPT32 para o MUG: area bruta, area util, area terreno. Depois seria no Loan Tape que se aplicariam as regras mencionadas acima.
- Alexandre Esteves ficou de verificar para cada um dos tipos de imoveis se as regras mencionadas acima funcionariam. 
Reunião 14/08/2024 com Luís Capitão-Mor, Alexandre Esteves, Pedro Mendes:
- Luís Capitão-Mor solicitou que se questionasse a Corporação relativamente a estes 2 campos -&gt; ver email Luís Pragosa 14/08/2024 16:40 para Pedro Mendes
- Deverá questionar-se o José Rio para se perceber se nos Certificados Energéticos existem campos de áreas. Caso existam, o MUG deverá considerar quer a GPT32 quer os Certificados Energéticos.
Reunião 09/09/2024 com José Rio:
José Rio referiu que já existe na Cloud a tabela Buildingenergycertificate (campo builtupareaquantity) e existirá On-Prem na BD curated_internal_gestaoimoveis previsivelmente em PRO: 16/Set.
Reunião 09/09/2024 com Alexandre Esteves:
Alexandre Esteves irá agendar reunião com LCM. Terão de se trazer 3 campos para o MUG: area terreno (origem GPT32), area bruta (origem GPT32) e area util (origem GPT32 e buildingenergycertificate).Em princípio, a area util deverá ser area com data mais recente entre as 2 tabelas (GPT32 e buildingenergycertificate). No caso de terem a mesma data, dar prioridade ao Certificados Energéticos (buildingenergycertificate).
Email Pedro Mendes 11/09/2024 11:07 com resposta da Corporação:
2.	No te puedo responder con tanto detalle porque, en ausencia de una definición por parte del SRB más aterrizada, lo único que hacemos nosotros es reportar los campos recogidos en las bases de datos utilizadas para el reporte de AnaCredit, cuya definición recojo a continuación:
•	Land area: Número de metros cuadrados que tiene el suelo en garantía
•	Building area: Aprovechamiento sobre rasante en metros cuadrados útiles del ámbito, parcela o sector en que se ubica el terreno valorado, independientemente de la superficie de este. Se sumarán todos los usos lucrativos, independientemente de la tipología. que se reporta en Anacredit (al que hace referencia el SRB de forma continua en su documentación).
19/09/2024 Dora Roxo e Nádia Ahmad, não têm conhecimento de campos referentes a áreas.
Reunião Final 26/09/2024 Luís Capitão-Mor, Alexandre Esteves:
Terão de ser adicionados 3 campos no MUG (tabela cd_garantias.gt009_bens_imov):  campo "narterr" (campo "narterr" proveniente da tabela GPT32  que representa a área do terreno ), campo "narbrut " (campo "narbrut " proveniente da tabela GPT32  que representa a área bruta), campo "narutil " (campo "narutil " proveniente da tabela GPT32  que representa a área útil).
Na tabela lt004_protection serão adicionados 2 novos campos que virão do MUG: campo "land_area" (campo "narterr"  proveniente da tabela cd_garantias.gt009_bens_imov) e campo "gross_area" (campo "narbrut" proveniente da tabela cd_garantias.gt009_bens_imov)</t>
  </si>
  <si>
    <t>Alterações ao Motor LT - Novos Campos: Definição Incompleta / Dados não existem no Datalake</t>
  </si>
  <si>
    <t>‣ Forçado a NULL</t>
  </si>
  <si>
    <t>É necessário verificar onde existe esta informação (ex: cd_emprestimos.gpt32_bemimove)</t>
  </si>
  <si>
    <t>V_15</t>
  </si>
  <si>
    <t>Land Area (M2)</t>
  </si>
  <si>
    <t>Land area of the property in square metres, including any land surrounding the building(s) on the property that is part of the property.</t>
  </si>
  <si>
    <t>Área do terreno do imóvel em metros quadrados, incluindo qualquer terreno ao redor do(s) edifício(s) do imóvel que faz parte do imóvel.</t>
  </si>
  <si>
    <t xml:space="preserve">SIM
land_area </t>
  </si>
  <si>
    <t>land_area_m2</t>
  </si>
  <si>
    <t>Mapeamento LT: 
Campo "narterr" da tabela cd_garantias.gt009_bens_imov
Comentários IT:
‣Aplicam-se os mesmos comentários do campo acima (Building Area (M2)) dado que estes 2 campos foram analisados em conjunto.</t>
  </si>
  <si>
    <t>V_16</t>
  </si>
  <si>
    <t>Location</t>
  </si>
  <si>
    <t>Property postcode</t>
  </si>
  <si>
    <t>Postcode where the property is located. Only applicable to Residential real estate collateral, Offices and commercial premises, Commercial real estate collateral, Hotels &amp; entertainment, Factories – warehouses.</t>
  </si>
  <si>
    <t>Código postal onde o imóvel está localizado. Aplicável apenas a Garantias imobiliárias residenciais, Escritórios e instalações comerciais, Garantias imobiliárias comerciais, Hotéis e entretenimento, Fábricas – armazéns.</t>
  </si>
  <si>
    <t>PROTECTION-RL_ESTT_PST_CD</t>
  </si>
  <si>
    <t>Post code / ZIP</t>
  </si>
  <si>
    <t>Post code / ZIP.</t>
  </si>
  <si>
    <t>property_postcode</t>
  </si>
  <si>
    <t>LT004_PROTECTION.RL_ESTT_PST_CD</t>
  </si>
  <si>
    <t>rl_estt_pst_cd</t>
  </si>
  <si>
    <t>V_17</t>
  </si>
  <si>
    <t>Lien</t>
  </si>
  <si>
    <t>Lien position</t>
  </si>
  <si>
    <t>The highest ranking position(s) in relation to the collateral held by the counterparty to secure the facility. If the facility has several liens on one collateral, the highest claim is reported in this data field.</t>
  </si>
  <si>
    <t>A(s) posição(ões) mais elevada(s) em relação às garantias detidas pela contraparte para garantir a instalação. Se a instalação tiver vários ônus sobre uma garantia, a reivindicação mais alta será relatada neste campo de dados.</t>
  </si>
  <si>
    <t>lien_position</t>
  </si>
  <si>
    <t xml:space="preserve">Mapeamento LT:
Reportar sempre 1
Comentários IT:
‣ Reunião 2024-04-08: Segundo Luís Capitão-Mor, o Banco só aceita primeiras hipotecas, como tal, este campo deverá ser sempre preenchido com  1. </t>
  </si>
  <si>
    <t>cd_loan_tapes_bce.lt006_instr_prot</t>
  </si>
  <si>
    <t>thrd_prty_prrty_clms</t>
  </si>
  <si>
    <t>Confirmar se este é o campo correto para recuperar esta informação</t>
  </si>
  <si>
    <t>V_18</t>
  </si>
  <si>
    <t>Collateral
characteristics</t>
  </si>
  <si>
    <t>Detailed type of Shipping collateral</t>
  </si>
  <si>
    <r>
      <rPr>
        <sz val="11"/>
        <color rgb="FF000000"/>
        <rFont val="Calibri"/>
        <family val="2"/>
        <scheme val="minor"/>
      </rPr>
      <t xml:space="preserve">Detailed type of collateral received. Applicable only to shipping portfolios.
Options:
‣ Bulker (1)
‣ Container (2)
‣ Crude Oil Tanker (3)
‣ Product Tanker (4)
‣ Chemical Tanker (5)
‣ Cruise Ship (6)
‣ Ferry (7)
‣ LPG Carrier (8)
‣ Offshore (9)
‣ </t>
    </r>
    <r>
      <rPr>
        <strike/>
        <sz val="11"/>
        <color rgb="FF000000"/>
        <rFont val="Calibri"/>
        <family val="2"/>
        <scheme val="minor"/>
      </rPr>
      <t>Other (10)</t>
    </r>
  </si>
  <si>
    <t>Tipo detalhado de garantia recebida. Aplicável apenas a portfólios de remessa.
Opções:
‣ Bulker (1)
‣ Container (2)
‣ Crude Oil Tanker (3)
‣ Product Tanker (4)
‣ Chemical Tanker (5)
‣ Cruise Ship (6)
‣ Ferry (7)
‣ LPG Carrier (8)
‣ Offshore (9)
‣ Other (10)</t>
  </si>
  <si>
    <t>det_type_ship_collateral</t>
  </si>
  <si>
    <t>Mapeamento LT:
Not Applicable: Reportar 'N/A'
Comentários IT:
‣ Reunião 2025-04-14 Luís Capitão-Mor, Pedro Mendes: Trata-se de uma operativa que o Banco não promove, pelo que se sugere N/A.
‣ Email Paulo Oliveira 23/04/2024 20:24:
"1) Não tenho conhecimento que existam shipping portfolios no Banco, confirmas? 
Pode ser que seja categorizado pelo Banco de outra forma. Asset lending não, mas não descartava que houvesse alguns barcos financiados em leasing nomeadamente para empresas do sector. Perguntava á Leasing. Não sei se não haverá como colateral algum cliente que tenha dado o seu barco de recreio (iate).
2) Se eventualmente existisse uma Empresa que quisesse dar alguma destas opções como colateral, o Banco aceitava? 
Sim, são activos com valor de mercado. Tal como aceitamos aviões, aceitariamos navios como colateral 
3) Em caso afirmativo ao ponto 2), sabes de algum caso em concreto para que possa ir verificar e ver como fica registado no Banco? 
Não me lembro de nenhum  Acho que deveramos ir analisar as empresas de navegação com frota."
‣ Email Rute Ferreira 22/04/2024 20:17 com o Histórico de conversações (ver pasta Emails: "RE  IR   RH   Report Valuation - Campo  Detailed type of Shipping collateral")</t>
  </si>
  <si>
    <t>Não existe este genero de operativa</t>
  </si>
  <si>
    <t>Novo campo 
na tabela LT005?</t>
  </si>
  <si>
    <t>INSTR_ENTITY-INSTRMNT_ID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</si>
  <si>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</si>
  <si>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LT005_INSTR_ENT.INSTRMNT_ID</t>
  </si>
  <si>
    <t>INSTR_ENTITY-ENTTY_ID</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</si>
  <si>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
Foreign key from ENTITY table.</t>
  </si>
  <si>
    <t>LT005_INSTR_ENT.ENTTY_ID</t>
  </si>
  <si>
    <t>Novo campo 
na tabela LT006?</t>
  </si>
  <si>
    <t>INSTR_PROTECTION-INSTRMNT_ID</t>
  </si>
  <si>
    <t>LT006_INSTR_PROT.INSTRMNT_ID</t>
  </si>
  <si>
    <t>INSTR_PROTECTION-PRTCTN_ID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</si>
  <si>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</si>
  <si>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LT006_INSTR_PROT.PRTCTN_ID</t>
  </si>
  <si>
    <r>
      <rPr>
        <b/>
        <u/>
        <sz val="14"/>
        <color theme="1"/>
        <rFont val="Calibri"/>
        <family val="2"/>
        <scheme val="minor"/>
      </rPr>
      <t>SRB DATA SET FOR EXPOSURES TO NATURAL PERSONS</t>
    </r>
    <r>
      <rPr>
        <b/>
        <sz val="11"/>
        <color theme="1"/>
        <rFont val="Calibri"/>
        <family val="2"/>
        <scheme val="minor"/>
      </rPr>
      <t xml:space="preserve">
The following data set covers exposures to natural persons, which, in many cases, represent the main type of exposures on banks’ balance sheets (e.g. retail institutions or mortgage institutions). Such exposures might comprise lending products such as mortgages, consumer loans, credit cards, etc.
Valuations of retail portfolios are usually made with lesser granularity than valuations of corporate portfolios. However, in specific circumstances (e.g. high default rates in mortgage portfolios) a collective assessment might not suffice and the valuer might rely on a more granular approach for qualitatively and quantitatively assessing the level of economic impairment of exposures to natural persons that would typically be impaired on a collective basis under International Financial Reporting Standard (IFRS 9). In this case, the valuer would require a more granular data set to perform valuations.
To avoid any duplication of data points or definitions, the data set for exposures to natural persons is based on the AnaCredit data points and definitions for legal persons. However, institutions can leverage on the definitions, data points and reporting thresholds of local standards or legislation, provided those definitions and data points are, in the IRT’s view, equivalent to those envisaged for AnaCredit.
Serão produzidos cinco ficheiros de report referentes a Natural Persons:
‣  SRB Instruments Data Set for exposures to natural persons (NATURALP_INSTRUMENTS);
‣  SRB Counterparties Data Set for exposures to natural persons (NATURALP_COUNTERPARTIES);
‣  SRB Protection received Data Set for exposures to natural persons (NATURALP_PROTECTIONS);
‣  SRB Instrument/Counterparty mapping Data Set for exposures to natural persons (NATURALP_INSTRUMENT_COUNTERPARTY);
‣  SRB Instrument/Protection mapping Data Set for exposures to natural persons (NATURALP_INSTRUMENT_PROTECTION);</t>
    </r>
  </si>
  <si>
    <r>
      <rPr>
        <b/>
        <u/>
        <sz val="14"/>
        <color theme="1"/>
        <rFont val="Calibri"/>
        <family val="2"/>
        <scheme val="minor"/>
      </rPr>
      <t>SRB DATA SET FOR EXPOSURES TO NATURAL PERSONS</t>
    </r>
    <r>
      <rPr>
        <b/>
        <sz val="11"/>
        <color theme="1"/>
        <rFont val="Calibri"/>
        <family val="2"/>
        <scheme val="minor"/>
      </rPr>
      <t xml:space="preserve">
O seguinte data set abrange exposições a pessoas singulares, que, em muitos casos, representam o principal tipo de exposições nos balanços dos bancos (por exemplo, instituições de retalho ou instituições hipotecárias). Essas exposições podem incluir produtos de empréstimo, como hipotecas, empréstimos pessoais, cartões de crédito, etc.
As avaliações de carteiras de retalho são geralmente feitas com menos granularidade do que as avaliações de carteiras corporativas. No entanto, em circunstâncias específicas (por exemplo, elevadas taxas de incumprimento em carteiras hipotecárias), uma avaliação colectiva pode não ser suficiente e o avaliador pode basear-se numa abordagem mais granular para avaliar qualitativa e quantitativamente o nível de imparidade económica das exposições a pessoas singulares que normalmente seriam prejudicadas numa base colectiva ao abrigo da International Financial Reporting Standard (IFRS 9). Neste caso, o avaliador necessitaria de um conjunto de dados mais granular para realizar avaliações.
Para evitar qualquer duplicação de pontos de dados ou definições, o data set para exposições a pessoas singulares baseia-se nos pontos de dados e definições da AnaCredit para pessoas coletivas. No entanto, as instituições podem aproveitar as definições, os pontos de dados e os limites de reporte das normas ou legislação local, desde que essas definições e pontos de dados sejam, na opinião do IRT, equivalentes aos previstos para o AnaCredit.
Serão produzidos cinco ficheiros de report referentes a Natural Persons:
‣  SRB Instruments Data Set for exposures to natural persons (VDS_OUT_NATURALP_INSTRUMENTS);
‣  SRB Counterparties Data Set for exposures to natural persons (VDS_OUT_NATURALP_COUNTERPARTIES);
‣  SRB Protection received Data Set for exposures to natural persons (VDS_OUT_NATURALP_PROTECTIONS).</t>
    </r>
  </si>
  <si>
    <t>Identifier applied to uniquely identify each instrument. Each instrument must have one instrument identifier.</t>
  </si>
  <si>
    <t>Not applicable: To be reported as "N/A". 
This information will be availabe in "02_04_nat_instr_count" table</t>
  </si>
  <si>
    <t>Mapeamento LT:
Not Applicable: Reportar 'N/A'
Comentários IT:
Este campo constará no ficheiro "02_04_nat_instr_count"</t>
  </si>
  <si>
    <t>V_139</t>
  </si>
  <si>
    <t>Reporting data identifier</t>
  </si>
  <si>
    <t>The counterparty identifier of the reporting agent which reports the data.</t>
  </si>
  <si>
    <t>O identificador da contraparte do agente inquirido que comunica os dados.</t>
  </si>
  <si>
    <t>INSTRUMENT-COD_SOC</t>
  </si>
  <si>
    <t>Entity code of the informing society.</t>
  </si>
  <si>
    <t>Cargabal code or internal identifier of the informing society.</t>
  </si>
  <si>
    <t>reporting_data_id</t>
  </si>
  <si>
    <t>LT002_INSTRUMENT.COD_SOC</t>
  </si>
  <si>
    <t>‣ Forçado a "549300URJH9VSI58CS32" (código lei do BANCO SANTANDER TOTTA, S.A.)</t>
  </si>
  <si>
    <t>V_140</t>
  </si>
  <si>
    <t>Observed agent identifier</t>
  </si>
  <si>
    <t>The counterparty identifier of the observed agent (i.e. an institutional unit of the reporting agent) whose data are reported by the reporting agent.</t>
  </si>
  <si>
    <t>O identificador da contraparte do agente observado (ou seja, uma unidade institucional do agente inquirido) cujos dados são comunicados pelo agente inquirido.</t>
  </si>
  <si>
    <t>INSTRUMENT-OBSRVD_AGNT_ID</t>
  </si>
  <si>
    <t>Counterparty identifier for the observed agent. If there are several observed agents to be reported please separate by comma (,).</t>
  </si>
  <si>
    <t>observed_agent_id</t>
  </si>
  <si>
    <t>LT002_INSTRUMENT.OBSRVD_AGNT_ID</t>
  </si>
  <si>
    <t>V_141</t>
  </si>
  <si>
    <t>Contract identifier</t>
  </si>
  <si>
    <t>An identifier applied by the reporting agent to uniquely identify each contract. The contract identifier refers to the credit agreement between two or more parties under which the instrument is created.</t>
  </si>
  <si>
    <t>Um identificador aplicado pelo agente inquirido para identificar de forma única cada contrato. O identificador do contrato refere-se ao contrato de crédito entre duas ou mais partes ao abrigo do qual o instrumento é criado.</t>
  </si>
  <si>
    <t>INSTRUMENT-CNTRCT_ID</t>
  </si>
  <si>
    <t>Contract ID</t>
  </si>
  <si>
    <t>An identifier applied by the reporting agent to uniquely identify each contract. Each contract must have one contract identifier. This value will not change over time and cannot be used as the contract identifier for any other contract.</t>
  </si>
  <si>
    <t>LT002_INSTRUMENT.CNTRCT_ID</t>
  </si>
  <si>
    <t>‣ Concatenação dos campos mencionados anteriormente:
     cempresa + "_" + cbalcao + "_" + cnumecta + "_" + zdeposit</t>
  </si>
  <si>
    <t>Replicar o Instrument_id</t>
  </si>
  <si>
    <t>The exposures classes for the calculation of RWAs for credit risks are as follows (not applicable when exposures are classified in the CRR trading book as defined in Article 4(1)(86) of Regulation (EU) No 575/2013):
Where a bank uses the standardised approach:
‣ Central governments or central banks (SCENGOV)
‣ Regional governments or local authorities (SREGGOV)
‣ Public sector entities (SPUBSEC)
‣ Multilateral development banks (SDEVBAN)
‣ International organisation (SINTORG)
‣ Institutions (SINSTIT)
‣ Corporates (SCORPOR)
‣ Retail (SRETAIL)
‣ Secured by mortgages and immovable property (SSECMOR)
‣ Defaulted (SDEFAUL)
‣ High risk (SHIGHRI)
‣ Covered bonds (SCOVBON)
‣ Items representing securitisation positions
‣ Institutions and corporates with a short term credit assessment (SSHOTER)
‣ Collective investment undertakings (SCOLINV)
‣ Equity (SEQUITY)
‣ Other (SOTHERI)
Where a bank uses the IRB approach:
‣ Central governments and central banks (ICENGOV)
‣ Institutions (IINSTIT)
‣ Corporates (ICORPOR)
‣ Retail (IRETAIL)
‣ Equity (IEQUITY)
‣ Items representing securitisation positions
‣ Other non-credit-obligation assets (IOTHERC)</t>
  </si>
  <si>
    <t>17/01/2025</t>
  </si>
  <si>
    <t>Classification of the facility (exposure class) as defined in ITS 680/2014 Annex V Instructions FINREP (Counterparty breakdown).
Opções:
‣ Central banks
‣ Central
governments
‣ Credit institutions
‣ Other financial
corporations
‣ Non-financial
corporations
‣ Households</t>
  </si>
  <si>
    <t>LT002_INSTRUMENT.INTRNL_SGMNT
‣ Necessário criar novas parametrizaçôes nas tabelas lt829_regras_conversao e lt830_conversoes, podendo as mesmas ser consultadas neste documento nas sheets:
     ‣ LT829 - filtrando por campo_conceito = 'INTRNL_SGMNT' e regra_conversao = '1';
     ‣ LT830 - filtrando por segmento = 'Exposures to natural persons' e campo_conceito = 'INTRNL_SGMNT'.</t>
  </si>
  <si>
    <t>V_35</t>
  </si>
  <si>
    <t>Instruments characteristics</t>
  </si>
  <si>
    <t>Type of instrument</t>
  </si>
  <si>
    <t>Classification of the instrument according to the type of contractual terms agreed between the parties.
Opções:
‣ Overdraft
‣ Credit card debt
‣ Revolving credit other than
overdrafts and credit card debt
‣ Credit lines other than
revolving credit
‣ Financial lease
‣ Loan
‣ Other</t>
  </si>
  <si>
    <t>Classificação do instrumento de acordo com o tipo de termos contratuais acordados entre as partes.
Opções:
‣ Overdraft
‣ Credit card debt
‣ Revolving credit other than
overdrafts and credit card debt
‣ Credit lines other than
revolving credit
‣ Financial lease
‣ Loan
‣ Other</t>
  </si>
  <si>
    <t>INSTRUMENT-TYP_INSTRMNT</t>
  </si>
  <si>
    <t>Classification of the instrument according to the type of contractual terms agreed between the parties.</t>
  </si>
  <si>
    <t>type_instrument</t>
  </si>
  <si>
    <t>LT002_INSTRUMENT.TYP_INSTRMNT
‣ Necessário criar novas parametrizaçôes nas tabelas lt829_regras_conversao e lt830_conversoes, podendo as mesmas ser consultadas neste documento nas sheets:
     ‣ LT829 - filtrando por campo_conceito = 'TYP_INSTRMNT' e regra_conversao = '1';
     ‣ LT830 - filtrando por segmento = 'Exposures to natural persons' e campo_conceito = 'TYP_INSTRMNT'.</t>
  </si>
  <si>
    <t>‣ dd_field_id = "35"</t>
  </si>
  <si>
    <t>‣ Tradução do campo "typ_instrmnt" através de uma ligação com o campo "dd_code" para obter o campo:
     dd_value</t>
  </si>
  <si>
    <t>cd_loan_tapes_bce.lt002_instrument</t>
  </si>
  <si>
    <t>typ_instrmnt</t>
  </si>
  <si>
    <t>V_142</t>
  </si>
  <si>
    <t>Amortization type</t>
  </si>
  <si>
    <t>Type of amortisation of the instrument including principal and interest at the reporting reference date.
Opções:
‣ French
‣ German
‣ Fixed amortisation schedule
‣ Bullet
‣ Other</t>
  </si>
  <si>
    <t>Tipo de amortização do instrumento incluindo capital e juros à data de referência do relato.
Opções:
‣ French
‣ German
‣ Fixed amortisation schedule
‣ Bullet
‣ Other</t>
  </si>
  <si>
    <t>INSTRUMENT-TYP_AMRTSTN</t>
  </si>
  <si>
    <t>Type of amortisation</t>
  </si>
  <si>
    <t>Type of amortisation of the instrument including principal and interest.</t>
  </si>
  <si>
    <t>amortization_type</t>
  </si>
  <si>
    <t>LT002_INSTRUMENT.TYP_AMRTSTN
‣ Necessário criar novas parametrizaçôes nas tabelas lt829_regras_conversao e lt830_conversoes, podendo as mesmas ser consultadas neste documento nas sheets:
     ‣ LT829 - filtrando por campo_conceito = 'TYP_AMRTSTN' e regra_conversao = '1';
     ‣ LT830 - filtrando por segmento = 'Exposures to natural persons' e campo_conceito = 'TYP_AMRTSTN'.</t>
  </si>
  <si>
    <t>‣ Tradução do campo "typ_amrtstn" através de uma ligação com o campo "dd_code" para obter o campo:
     dd_value</t>
  </si>
  <si>
    <t>typ_amrtstn</t>
  </si>
  <si>
    <t>V_143</t>
  </si>
  <si>
    <t>Currency</t>
  </si>
  <si>
    <t>Currency denomination of instruments, in accordance with the ISO 4217 standard.</t>
  </si>
  <si>
    <t>Denominação monetária dos instrumentos, de acordo com a norma ISO 4217.</t>
  </si>
  <si>
    <t>INSTRUMENT-CRRNCY_DNMNTN</t>
  </si>
  <si>
    <t>Currency denomination</t>
  </si>
  <si>
    <t>currency</t>
  </si>
  <si>
    <t>LT002_INSTRUMENT.CRRNCY_DNMNTN</t>
  </si>
  <si>
    <t>cmoeda_act</t>
  </si>
  <si>
    <t>‣ Se o contrato for ativo:
     cmoeda_act
‣ Se o contrato for passivo:
     cmoeda_pas</t>
  </si>
  <si>
    <t>Não trazer componente passiva, e o universo pode alterar para as fr</t>
  </si>
  <si>
    <t>cmoeda_pas</t>
  </si>
  <si>
    <t>V_144</t>
  </si>
  <si>
    <t>Inception date</t>
  </si>
  <si>
    <t>DD/MM/AA</t>
  </si>
  <si>
    <t>The date on which the contractual relationship originated, i.e. the date on which the contract agreement becomes binding for all parties.</t>
  </si>
  <si>
    <t>A data em que a relação contratual se originou, ou seja, a data em que o acordo contratual se torna vinculativo para todas as partes.</t>
  </si>
  <si>
    <t>INSTRUMENT-DT_INCPTN</t>
  </si>
  <si>
    <t>Date of inception</t>
  </si>
  <si>
    <t>The date on which the contractual relationship originated, i.e. the date on which the contract agreement becomes binding for all parties</t>
  </si>
  <si>
    <t>inception_date</t>
  </si>
  <si>
    <t>LT002_INSTRUMENT.DT_INCPTN</t>
  </si>
  <si>
    <t>dinicio</t>
  </si>
  <si>
    <t>Alterando a granularidade também deveriamos trazer esta info de outro lado</t>
  </si>
  <si>
    <t>V_145</t>
  </si>
  <si>
    <t>Interest rate information</t>
  </si>
  <si>
    <t>End date of interest-only period</t>
  </si>
  <si>
    <t>The date on which the interest-only period ends.</t>
  </si>
  <si>
    <t>A data em que termina o período somente de juros.</t>
  </si>
  <si>
    <t>INSTRUMENT-DT_END_INTRST_ONLY</t>
  </si>
  <si>
    <t>End date of the interest-only period</t>
  </si>
  <si>
    <t>The date on which the interest-only period ends.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t>
  </si>
  <si>
    <t>end_date_interest_only_period</t>
  </si>
  <si>
    <t>LT002_INSTRUMENT.DT_END_INTRST_ONLY</t>
  </si>
  <si>
    <t>dfim_care</t>
  </si>
  <si>
    <t>V_146</t>
  </si>
  <si>
    <t>Interest rate cap</t>
  </si>
  <si>
    <t>Numeric. Reported in basis points with the same convention as for the attribute “interest rate spread/margin”.</t>
  </si>
  <si>
    <t>The maximum interest rate per annum that can be charged on the outstanding nominal amount (or parts thereof).</t>
  </si>
  <si>
    <t>A taxa de juros máxima anual que pode ser cobrada sobre o valor nominal em dívida (ou partes dele).</t>
  </si>
  <si>
    <t>interest_rate_cap</t>
  </si>
  <si>
    <t xml:space="preserve">Mapeamento LT:
Regra (com base na tabela ct610_titulos):
•	Se tx_max &lt;&gt; NULL então interest_rate_cap= tx_max
•	Se tx_max = NULL e indx_tx_max &lt;&gt; NULL então interest_rate_cap= indx_tx_max + sprd_tx_var 
Tratamentos ao campo sprd_tx_var:
     o	Se sprd_tx_var = NULL então sprd_tx_var = 0 
     o	Se sprd_tx_var &lt;&gt; NULL e tiver apenas um valor então sprd_tx_var = esse valor
     o	Se sprd_tx_var &lt;&gt; NULL e tiver mais do que um valor (vetor) é necessário "desvetorizar". Para tal, será necessário verificar o período em que se está (dt_fim_sprd_tx_var). Se não se estiver em nenhum período, sprd_tx_var= 0
Exemplo: Contrato 31.6416.00005800007.PTMCABOE0009000 tem sprd_tx_var= '1.75; 2.5' e tem dt_fim_sprd_tx_var='31-12-2008;31-12-9999'. Considerando que a data de referência é 2024-12-31 então estamos no 2º valor/período da dt_fim_sprd_tx_var (31-12-9999) e portanto sprd_tx_var=2.5
Reportar interest_rate_cap=11111111111.000000 (valor default Not Applicable para numérico) nas seguintes situações:
•	Se tx_max/indx_tx_max = NULL
•     Para todos os instrumentos que não estejam na ct610_titulos 
•     Para Derivados, ou seja, quando flag_inst_deriv = 1
Notas:
- Não é expectável saírem valores MISS neste campo; 
- No caso do segmento Natural Persons do Valuation, é expectável reportar 111111111111111111111.000000 (Not Applicable).
Comentários IT:
‣ Reunião 2025-06-26: Definiu-se que este campo é Not Applicable para Derivados
‣ Email recebido de Luís Capitão-Mor 17/04/2025 12:33 com confirmação da regra a aplicar
‣ Segundo Luís Capitão-Mor, este novo campo deveria ser alimentado por um novo campo a adicionar à al029_cnt_core_m
‣ Email recebido de Luís Capitão-Mor (03/10/2024 15:21) sobre a implementação deste campo na al029/al001:
"Boa tarde, não vejo inconveniente. Isto implica do lado dele tocar não somente al029, mas também input manual al600, e também al001 (diária). Adicionalmente, no modulo recente que automatizou inputs manuais. E naturalmente, não estás a referir o enriquecimento das ingestas / fontes (nomeadamente do que vem do Sigom, ct610 (e resto ?)), e logo o apontar dos novos campos na al029/al001 para essas fontes.
Atenção que o nome do campo deve ser perceptivel/entendível de forma intuitiva; deve manter a logica com sufixo _act ou _pas; deve estar na ordem correta na tabela (isto é depois dos campos de indexante e spread tx variabel), e naturalmente na parte de taxa de juro variavel.
Antes de passar a PRO, isto implica ajustes no fiche"
‣ Reunião Luís Capitão-Mor/Alexandre Feliciano/Pedro Mendes 15/10/2024: Luís Capitão-Mor definiu que terão de ser adicionados 8 campos à al029: cap do indexante passivo, cap do all-in passivo (indexante+spread), floor do indexante passivo, floor do all-in passivo (indexante+spread), cap do indexante ativo, cap do all-in ativo(indexante+spread), floor do indexante ativo, floor do all-in ativo(indexante+spread)
</t>
  </si>
  <si>
    <t>Alterações ao Motor LT - Novos Campos: Definição Incompleta / Dados existem no Datalake -&gt; Dev Datalake (tabelas intermédias)</t>
  </si>
  <si>
    <t>Não foi implementado</t>
  </si>
  <si>
    <t>Ver como são obtidos no ALM.</t>
  </si>
  <si>
    <t>V_147</t>
  </si>
  <si>
    <t>Interest rate floor</t>
  </si>
  <si>
    <t>The minimum interest rate per annum that can be charged on the outstanding nominal amount (or parts thereof).</t>
  </si>
  <si>
    <t>A taxa de juros mínima anual que pode ser cobrada sobre o valor nominal em dívida (ou partes dele).</t>
  </si>
  <si>
    <t>interest_rate_floor</t>
  </si>
  <si>
    <t xml:space="preserve">Mapeamento LT:
 ‣ Necessário criar nova parametrização na tabela lt831_param_conceitos, podendo a mesma ser consultada neste documento na sheet 'LT831' filtrando por tabela_conceito = 'LT002_INSTRUMENT' e campo_conceito = 'INTEREST_RATE_FLOOR'. Esta parametrização será construída com base nos seguintes campos:
- cproduto da al029_cnt_core_m;
- intrst_indxng da lt002_instrument;
- typ_intrst_rt  da lt002_instrument.
 ‣ Reportar 11111111111.000000 (valor default Not Applicable para numérico) para Derivados, ou seja, quando flag_inst_deriv = 1
 ‣ Step extra a aplicar depois da parametrização na lt831_param_conceitos:
- Se valor_destino = 'CALCULA_SPREAD' então ir buscar campo sprd da lt002_instrument
- Se valor_destino &lt;&gt; 'CALCULA_SPREAD' reportar valor_destino
Nota: Este step extra é necessário dado que a lt831_param_conceitos não está preparada atualmente para reportar no valor_destino o campo sprd da lt002_instrument
Comentários IT:
‣ Alexandre Feliciano partilhou a parametrização da LT831 a aplicar a este campo via Teams a 2025-06-17
‣ Reunião 2025-05-23 e 2025-06-26 Luís Capitão-Mor/Luísa Sousa/Pedro Mendes: 
- Segundo Luís Capitão-Mor:
  1) Este campo deverá ser preenchido com Not Applicable para Derivados (ou seja, se é um numérico reportar 11111111111.000000). Este campo para Derivados teria que se abrir em 2 campos (leg1 e leg2).
  2) Este campo deverá ser preenchido com Not Applicable se não for taxa variável.
‣ Reunião 2025-05-20 Luís Capitão-Mor/Luísa Sousa/Pedro Mendes: Segundo Luís Capitão-Mor a lt831 deveria permitir 3 opções: 
- Discreto (é o que temos atualmente na maioria dos casos, por exemplo, atributo_origem= X valor_origem igual= Y então no valor destino= Z) 
- Contínuo
 -Misto
Contudo, atualmente a lt831 só possibilita a opção Discreto dado que as restantes não foram desenvolvidas. 
‣ Reunião 2025-05-19 Alexandre Feliciano/Luís Capitão-Mor/Luísa Sousa: Alexandre Feliciano apresentou a proposta de campos (e valores) que permitiriam via lt831 mapear este campo em3 opções: Spread; 0, Vazio. Adicionalmente, Luís Capitão-Mor solicitou que se questione Rafael Pessoa sobre o campo "produto" que consta na tabela fr802_pl_contas, concretamente, se esse campo é construído só com base no critério produto/subproduto ou têm mais algum critério?
‣ Segundo Luís Capitão-Mor, este novo campo deverá ser alimentado por um novo campo a adicionar à al029_cnt_core_m
‣ Email recebido de Luís Capitão-Mor (03/10/2024 15:21) sobre a implementação deste campo na al029/al001:
"Boa tarde, não vejo inconveniente. Isto implica do lado dele tocar não somente al029, mas também input manual al600, e também al001 (diária). Adicionalmente, no modulo recente que automatizou inputs manuais. E naturalmente, não estás a referir o enriquecimento das ingestas / fontes (nomeadamente do que vem do Sigom, ct610 (e resto ?)), e logo o apontar dos novos campos na al029/al001 para essas fontes.
Atenção que o nome do campo deve ser perceptivel/entendível de forma intuitiva; deve manter a logica com sufixo _act ou _pas; deve estar na ordem correta na tabela (isto é depois dos campos de indexante e spread tx variabel), e naturalmente na parte de taxa de juro variavel.
Antes de passar a PRO, isto implica ajustes no fiche"
‣ Reunião Luís Capitão-Mor/Alexandre Feliciano/Pedro Mendes 15/10/2024: Luís Capitão-Mor definiu que terão de ser adicionados 8 campos à al029: cap do indexante passivo, cap do all-in passivo (indexante+spread), floor do indexante passivo, floor do all-in passivo (indexante+spread), cap do indexante ativo, cap do all-in ativo(indexante+spread), floor do indexante ativo, floor do all-in ativo(indexante+spread)
</t>
  </si>
  <si>
    <t>Novo campo, mapeamento datalake pendente, sem necessidade de criar parametrização</t>
  </si>
  <si>
    <t>V_148</t>
  </si>
  <si>
    <t>Interest rate reset frequency</t>
  </si>
  <si>
    <t>Frequency at which the interest rate is reset after the initial fixed-rate period, if any.
Opções:
‣ Overnight
‣ Monthly/quarterly/semiannual/annual
‣ At creditor discretion
‣ Other frequency</t>
  </si>
  <si>
    <t>Frequência com que a taxa de juro é reposta após o período inicial de taxa fixa, se existir.
Opções:
‣ Overnight
‣ Monthly/quarterly/semiannual/
annual
‣ At creditor discretion
‣ Other frequency</t>
  </si>
  <si>
    <t>INSTRUMENT-INTRST_RT_RST_FRQNCY</t>
  </si>
  <si>
    <t>Frequency at which the interest rate is reset after the initial fixed-rate period, if any.</t>
  </si>
  <si>
    <t>interest_rate_reset_freq</t>
  </si>
  <si>
    <t>LT002_INSTRUMENT.INTRST_RT_RST_FRQNCY
‣ Necessário criar novas parametrizaçôes nas tabelas lt829_regras_conversao e lt830_conversoes, podendo as mesmas ser consultadas neste documento nas sheets:
     ‣ LT829 - filtrando por campo_conceito = 'INTRST_RT_RST_FRQNCY' e regra_conversao = '1';
     ‣ LT830 - filtrando por segmento = 'Exposures to natural persons' e campo_conceito = 'INTRST_RT_RST_FRQNCY'.</t>
  </si>
  <si>
    <t>cod_freq_taxa_act</t>
  </si>
  <si>
    <t>‣ Inicialmente é obtida a varivel intermedia "cod_freq_taxa":
     ‣ Se o contrato for ativo:
          cod_freq_taxa_act
     ‣ Se o contrato for passivo:
          cod_freq_taxa_pas
‣ De seguida é obtido este campo aplicando as seguintes regras:
     ‣ Se cod_freq_taxa for "0":
          "OVERNIGHT"
     ‣ Se cod_freq_taxa for "2" ou "M" e se as 8 posições após o primeiro caracter retornarem "1":
          "MONTHLY"
     ‣ Se cod_freq_taxa for "2" ou "M" e se as 8 posições após o primeiro caracter retornarem "3":
          "QUARTERLY"
     ‣ Se (cod_freq_taxa for "2" ou "M" e se as 8 posições após o primeiro caracter retornarem "6") ou se (cod_freq_taxa for "R" e se as 8 posições após o primeiro caracter retornarem "2") ou se (cod_freq_taxa for "E" e se as 8 posições após o primeiro caracter retornarem "1"):
          "SEMI-ANNUAL"
     ‣ Se (cod_freq_taxa for "2" ou "M" e se as 8 posições após o primeiro caracter retornarem "12") ou se (cod_freq_taxa for "R" e se as 8 posições após o primeiro caracter retornarem "4") ou se (cod_freq_taxa for "E" e se as 8 posições após o primeiro caracter retornarem "2") ou se (cod_freq_taxa for "3" ou "N" e se as 8 posições após o primeiro caracter retornarem "1"):
          "ANNUAL"
     ‣ Caso contrário:
          "OTHER FREQUENCY"
Nota esta regra está mal definida logo pelo facto de a mesma string não poder ser igual a um caracter "2" ou "M" por exemplo e depois ter também 8 caracteres a seguir com "1". Necessário rever este campo</t>
  </si>
  <si>
    <t>cod_freq_taxa_pas</t>
  </si>
  <si>
    <t>V_149</t>
  </si>
  <si>
    <t>Interest rate spread/margin</t>
  </si>
  <si>
    <t>Numeric (percentage)</t>
  </si>
  <si>
    <t>Margin or spread to add to the reference rate that is used for the calculation of the interest rate in basis points. This applies to interest rates charged for variable interest loans.</t>
  </si>
  <si>
    <t>Margem ou spread a adicionar à taxa de referência utilizada para o cálculo da taxa de juro em pontos de base. Isto aplica-se às taxas de juro cobradas pelos empréstimos com juros variáveis.</t>
  </si>
  <si>
    <t>interest_rate_spread_margin</t>
  </si>
  <si>
    <t>LT002_INSTRUMENT.SPRD</t>
  </si>
  <si>
    <t>tx_spread_act_1</t>
  </si>
  <si>
    <t>‣ Se o contrato for ativo:
     tx_spread_act_1
‣ Se o contrato for passivo:
     tx_spread_pas_1</t>
  </si>
  <si>
    <t>tx_spread_pas_1</t>
  </si>
  <si>
    <t>V_150</t>
  </si>
  <si>
    <t>Interest rate type</t>
  </si>
  <si>
    <t>Classification of credit exposures based on the base rate for establishing the interest rate for each payment period.
Opções:
‣ Fixed
‣ Variable
‣ Mixed</t>
  </si>
  <si>
    <t>Classificação das posições em risco de crédito com base na taxa de base para determinar a taxa de juro para cada período de pagamento.
Opções:
‣ Fixed
‣ Variable
‣ Mixed</t>
  </si>
  <si>
    <t>INSTRUMENT-TYP_INTRST_RT</t>
  </si>
  <si>
    <t>Type of interest rate</t>
  </si>
  <si>
    <t>Classification of credit exposures based on the base rate for establishing the interest rate for each payment period.</t>
  </si>
  <si>
    <t>interest_rate_type</t>
  </si>
  <si>
    <t>ILT002_INSTRUMENT.TYP_INTRST_RT
‣ Necessário criar novas parametrizaçôes nas tabelas lt829_regras_conversao e lt830_conversoes, podendo as mesmas ser consultadas neste documento nas sheets:
     ‣ LT829 - filtrando por campo_conceito = 'TYP_INTRST_RT' e regra_conversao = '1';
     ‣ LT830 - filtrando por segmento = 'Exposures to natural persons' e campo_conceito = 'TYP_INTRST_RT'.</t>
  </si>
  <si>
    <t>cod_tipo_taxa_ref_act</t>
  </si>
  <si>
    <t>‣ Inicialmente é obtida a varivel intermedia "cod_tipo_taxa_ref":
     ‣ Se o contrato for ativo:
          cod_tipo_taxa_ref_act
     ‣ Se o contrato for passivo:
          cod_tipo_taxa_ref_pas
‣ De seguida é obtido este campo aplicando as seguintes regras:
     ‣ Se  cod_tipo_taxa_ref = "V":
          "Variable"
     ‣ Se  cod_tipo_taxa_ref = "F":
          "Fixed"
     ‣ Caso contrário:
          "Mixed"</t>
  </si>
  <si>
    <t>cod_tipo_taxa_ref_pas</t>
  </si>
  <si>
    <t>V_151</t>
  </si>
  <si>
    <t>Instrument characteristics</t>
  </si>
  <si>
    <t>Legal final maturity date</t>
  </si>
  <si>
    <t>The contractual maturity date of the instrument, taking into account any agreements amending initial contracts.</t>
  </si>
  <si>
    <t>A data de vencimento contratual do instrumento, tendo em conta quaisquer acordos que alterem contratos iniciais.</t>
  </si>
  <si>
    <t>INSTRUMENT-DT_LGL_FNL_MTRTY</t>
  </si>
  <si>
    <t>Legal final maturity date (latest repayment date)</t>
  </si>
  <si>
    <t>The contractual maturity date of the instrument, taking into account any agreements amending initial contracts. As for retail revolving credit facilities this attribute is to be reported "not applicable".</t>
  </si>
  <si>
    <t>maturity_date</t>
  </si>
  <si>
    <t>LT002_INSTRUMENT.DT_LGL_FNL_MTRTY</t>
  </si>
  <si>
    <t>dfim</t>
  </si>
  <si>
    <t>V_152</t>
  </si>
  <si>
    <t>Commitment amount at inception</t>
  </si>
  <si>
    <t>Observed agent’s maximum exposure to credit risk on the inception date of the instrument, without taking into account any protection held or other credit enhancements.</t>
  </si>
  <si>
    <t>Exposição máxima do agente observado ao risco de crédito na data de início do instrumento, sem ter em conta qualquer proteção detida ou outras melhorias de crédito.</t>
  </si>
  <si>
    <t>INSTRUMENT-CMMTMNT_INCPTN_INSTRMNT</t>
  </si>
  <si>
    <t>Observed agent’s maximum exposure to credit risk on the inception date of the instrument, without taking into account any protection held or other credit enhancements. Total commitment amount on the inception date is established during the approval process and is intended to restrict an observed agent’s amount of credit risk to a given counterparty for the relevant instrument.</t>
  </si>
  <si>
    <t>commitment_amount_inception</t>
  </si>
  <si>
    <t>LT002_INSTRUMENT.CMMTMNT_INCPTN_INSTRMNT</t>
  </si>
  <si>
    <t>cmmtmnt_incptn_instrmnt</t>
  </si>
  <si>
    <t>V_153</t>
  </si>
  <si>
    <t>Payment frequency</t>
  </si>
  <si>
    <t>Frequency of payments due, either of principal or interest, i.e. number of months between payments at the reporting reference date.
Opções:
‣ Monthly/quarterly/semiannual/annual
‣ Bullet
‣ Zero coupon
‣ Other</t>
  </si>
  <si>
    <t>Periodicidade dos pagamentos devidos, quer de capital quer de juros, ou seja, número de meses entre pagamentos na data de referência de relato.</t>
  </si>
  <si>
    <t>INSTRUMENT-PYMNT_FRQNCY</t>
  </si>
  <si>
    <t>Frequency of payments due, either of principal or interest, i.e. number of months between payments.</t>
  </si>
  <si>
    <t>payment_freq</t>
  </si>
  <si>
    <t>LT002_INSTRUMENT.PYMNT_FRQNCY
‣ Necessário criar novas parametrizaçôes nas tabelas lt829_regras_conversao e lt830_conversoes, podendo as mesmas ser consultadas neste documento nas sheets:
     ‣ LT829 - filtrando por campo_conceito = 'PYMNT_FRQNCY' e regra_conversao = '1';
     ‣ LT830 - filtrando por segmento = 'Exposures to natural persons' e campo_conceito = 'PYMNT_FRQNCY'.</t>
  </si>
  <si>
    <t>tx_contrato_act</t>
  </si>
  <si>
    <t>‣ Este campo está dividido em dois outros v_153_interest_payment_freq e v_153_capital_payment_freq
‣ v_153_interest_payment_freq:
     ‣ Inicialmente são obtidas as variváveis intermedias "tx_contrato" e "cod_freq_liq_jur":
          ‣ Se o contrato for ativo:
               tx_contrato_act;
               cod_freq_liq_jur_act;
          ‣ Se o contrato for passivo:
               tx_contrato_pas;
               cod_freq_liq_jur_pas;
     ‣ De seguida é obtido este campo aplicando as seguintes regras:
          ‣ Se tx_contrato for 0:
               "Zero Coupon"
          ‣ Se cod_freq_liq_jur for "2" ou "M" e se as 8 posições após o primeiro caracter retornarem "1":
               "Monthly"
          ‣ Se (cod_freq_liq_jur for "2" ou "M" e se as 8 posições após o primeiro caracter retornarem "3") ou se (cod_freq_liq_jur for "R" e se as 8 posições após o primeiro caracter retornarem "1"):
               "Quarterly"
          ‣ Se (cod_freq_liq_jur for "2" ou "M" e se as 8 posições após o primeiro caracter retornarem "6") ou se (cod_freq_liq_jur for "R" e se as 8 posições após o primeiro caracter retornarem "2") ou se (cod_freq_liq_jur for "E" e se as 8 posições após o primeiro caracter retornarem "1"):
               "Semi-annual"
          ‣ Se (cod_freq_liq_jur for "2" ou "M" e se as 8 posições após o primeiro caracter retornarem "12") ou se (cod_freq_liq_jur for "R" e se as 8 posições após o primeiro caracter retornarem "4") ou se (cod_freq_liq_jur for "E" e se as 8 posições após o primeiro caracter retornarem "2") ou se (cod_freq_liq_jur for "3" ou "N" e se as 8 posições após o primeiro caracter retornarem "1"):
               "Annual"
          ‣ Caso contrário:
               "Other frequency"
‣ v_153_capital_payment_freq:
     ‣ Inicialmente é obtida a varivável intermedia "cod_freq_amort_capital":
          ‣ Se o contrato for ativo:
               cod_freq_amort_capital_act;
          ‣ Se o contrato for passivo:
               cod_freq_amort_capital_pas;
     ‣ De seguida é obtido este campo aplicando as seguintes regras:
          ‣ Se cod_tipo_amortizacao for "A" ou "U":
               "Bullet"
          ‣ Se cod_freq_amort_capital for "2" ou "M" e se as 8 posições após o primeiro caracter retornarem "1":
               "Monthly"
          ‣ Se (cod_freq_amort_capital for "2" ou "M" e se as 8 posições após o primeiro caracter retornarem "3") ou se (cod_freq_amort_capital for "R" e se as 8 posições após o primeiro caracter retornarem "1"):
               "Quarterly"
          ‣ Se (cod_freq_amort_capital for "2" ou "M" e se as 8 posições após o primeiro caracter retornarem "6") ou se (cod_freq_amort_capital for "R" e se as 8 posições após o primeiro caracter retornarem "2") ou se (cod_freq_amort_capital for "E" e se as 8 posições após o primeiro caracter retornarem "1"):
               "Semi-annual"
          ‣ Se (cod_freq_amort_capital for "2" ou "M" e se as 8 posições após o primeiro caracter retornarem "12") ou se (cod_freq_amort_capital for "R" e se as 8 posições após o primeiro caracter retornarem "4") ou se (cod_freq_amort_capital for "E" e se as 8 posições após o primeiro caracter retornarem "2") ou se (cod_freq_amort_capital for "3" ou "N" e se as 8 posições após o primeiro caracter retornarem "1"):
               "Annual"
          ‣ Caso contrário:
               "Other frequency"</t>
  </si>
  <si>
    <t>tx_contrato_pas</t>
  </si>
  <si>
    <t>cod_freq_liq_jur_act</t>
  </si>
  <si>
    <t>cod_freq_liq_jur_pas</t>
  </si>
  <si>
    <t>cod_tipo_amortizacao</t>
  </si>
  <si>
    <t>cod_freq_amort_capital_act</t>
  </si>
  <si>
    <t>cod_freq_amort_capital_pas</t>
  </si>
  <si>
    <t>V_154</t>
  </si>
  <si>
    <t>Reference rate</t>
  </si>
  <si>
    <t>Reference rate used for the calculation of the actual interest rate. The reference rate code is a combination of the reference rate value and maturity value.
Opções:
‣ EURIBOR
‣ USD LIBOR
‣ GBP LIBOR
‣ EUR LIBOR
‣ JPY LIBOR
‣ CHF LIBOR
‣ MIBOR
‣ OTHER SINGLE REFERENCE RATES
‣ OTHER MULTIPLE REFERENCE RATES</t>
  </si>
  <si>
    <t>Taxa de referência utilizada para o cálculo da taxa de juro efetiva. O código da taxa de referência é uma combinação do valor da taxa de referência e do valor do prazo de vencimento.
Opções:
‣ EURIBOR
‣ USD LIBOR
‣ GBP LIBOR
‣ EUR LIBOR
‣ JPY LIBOR
‣ CHF LIBOR
‣ MIBOR
‣ OTHER SINGLE REFERENCE RATES
‣ OTHER MULTIPLE REFERENCE RATES</t>
  </si>
  <si>
    <t>SIM
intrst_indxng</t>
  </si>
  <si>
    <t>reference_rate</t>
  </si>
  <si>
    <t>Mapeamento LT: 
SELECT
    CASE
        WHEN tipo_balanco = 'A' AND cod_tipo_taxa_act = 'V'
        THEN IF(TRIM(NVL(cod_tipo_taxa_ref_act,'')) = '', 'MISS',  cod_tipo_taxa_ref_act)
        WHEN tipo_balanco = 'P' AND cod_tipo_taxa_pas = 'V'
        THEN IF(TRIM(NVL(cod_tipo_taxa_ref_pas,'')) = '', 'MISS',  cod_tipo_taxa_ref_pas)
        ELSE 'N/A'
    END as INTRST_INDXNG
FROM cd_alm.al029_cnt_core_m
WHERE ref_date = 'Data de referência'
‣ Necessário criar novas parametrizaçôes nas tabelas lt829_regras_conversao e lt830_conversoes, podendo as mesmas ser consultadas neste documento nas sheets:
     ‣ LT829 - filtrando por campo_conceito = 'INTRST_INDXNG' e regra_conversao = '1';
     ‣ LT830 - filtrando por segmento = 'Exposures to natural persons' e campo_conceito = 'INTRST_INDXNG'.
Comentários IT:
‣Pedro Mendes enviou mapeamento com base no codelist sugerido pelo SRB (Teams 2024-10-03).Contudo, dado que a maioria das LIBOR foram descontinuadas Pedro Mendes questionou a Corporação (2024-10-03)). Se não houver um novo codelist, muitos dos valores teriam de ser mapeados em "OTHER SINGLE REFERENCE RATES".
A corporação respondeu:
'Nada... no hay ninguna actualizacion.
Habría que dejar el generico que indicas de other single reference rates'</t>
  </si>
  <si>
    <t>‣ Se o contrato for ativo:
     cod_tipo_taxa_ref_act
‣ Se o contrato for passivo:
     cod_tipo_taxa_ref_pas</t>
  </si>
  <si>
    <t>V_155</t>
  </si>
  <si>
    <t>Settlement date</t>
  </si>
  <si>
    <t>The date on which the conditions specified in the contract are or can be executed for the first time, i.e. the date on which financial instruments are initially exchanged or created.</t>
  </si>
  <si>
    <t>A data em que as condições especificadas no contrato são ou podem ser executadas pela primeira vez, ou seja, a data em que os instrumentos financeiros são inicialmente trocados ou criados.</t>
  </si>
  <si>
    <t>settlement_date</t>
  </si>
  <si>
    <t>Mapeamento LT:
Deverá ser criado um novo campo SETTLEMNT_DATE na tabela LT002_INSTRUMENT que será um campo cópia do campo DT_INCPTN da mesma tabela
Comentários IT:
‣ Segundo Luís Capitão-Mor, este campo é o DT_INCPTN.
‣ Deverá confirmar-se com Mónica Guerreiro se é possível um campo do Loan Tape (LT002_INSTRUMENT.DT_INCPTN) ser mapeado para 2 campos distintos no ficheiro CSV (DT_INCPTN e Settlement date). Caso não seja possível, é necessário criar um novo campo no Loan Tape:
         - Este tema já foi confirmado, e não é possivel, sendo necessário criar um novo campo (cópia) no Loan Tape (Validado com Mariana Romão)</t>
  </si>
  <si>
    <t>cd_alm.al007_prog_ppc</t>
  </si>
  <si>
    <t>dbreak_clause</t>
  </si>
  <si>
    <t>V_156</t>
  </si>
  <si>
    <t>Interest rate</t>
  </si>
  <si>
    <t>Numeric (percentage with two decimals, both positive and negative values).</t>
  </si>
  <si>
    <t>Annualised agreed rate or narrowly defined interest rate in accordance with Part 1 of Annex I to Regulation (EU) No 1072/2013 of the European Central Bank (ECB/2013/34)</t>
  </si>
  <si>
    <t>Taxa acordada numa base anual ou taxa de juro estritamente definida de acordo com a parte 1 do anexo I do Regulamento (UE) No 1072/2013 do Banco Central Europeu (BCE/2013/34)</t>
  </si>
  <si>
    <t>INSTRUMENT-ANNLSD_AGRD_RT</t>
  </si>
  <si>
    <t>Interest rate at the reference date</t>
  </si>
  <si>
    <t>Annualised agreed rate or narrowly defined interest rate at reference date in accordance with Regulation (EU) No 1072/2013 of the European Central Bank (ECB/2013/34).</t>
  </si>
  <si>
    <t>interest_rate</t>
  </si>
  <si>
    <t>LT002_INSTRUMENT.ANNLSD_AGRD_RT</t>
  </si>
  <si>
    <t>‣ Se o contrato for ativo:
     tx_contrato_act
‣ Se o contrato for passivo:
     tx_contrato_pas</t>
  </si>
  <si>
    <t>V_157</t>
  </si>
  <si>
    <t>Next interest rate reset date</t>
  </si>
  <si>
    <t>The date when the next interest rate reset, as defined in Part 3 of Annex I to Regulation (EU) No 1071/2013 (ECB/2013/33), takes place.</t>
  </si>
  <si>
    <t>A data em que ocorre a próxima reposição da taxa de juro, tal como definida na parte 3 do anexo I do Regulamento (UE) No 1071/2013 (BCE/2013/33).</t>
  </si>
  <si>
    <t>INSTRUMENT-DT_NXT_INTRST_RT_RST</t>
  </si>
  <si>
    <t>next_interest_rate_reset_date</t>
  </si>
  <si>
    <t>LT002_INSTRUMENT.DT_NXT_INTRST_RT_RST</t>
  </si>
  <si>
    <t>dt_prox_renov_taxa_act</t>
  </si>
  <si>
    <t>‣ Se o contrato for ativo:
     dt_prox_renov_taxa_act
‣ Se o contrato for passivo:
     dt_prox_renov_taxa_pas</t>
  </si>
  <si>
    <t>dt_prox_renov_taxa_pas</t>
  </si>
  <si>
    <t>V_158</t>
  </si>
  <si>
    <t>Financial information</t>
  </si>
  <si>
    <t>Default status of the instrument</t>
  </si>
  <si>
    <t>Identification of the default status of the instrument in accordance with Article 178 of Regulation (EU) No 575/2013.
Opções:
‣ Not in default
‣ Default because unlikely to pay (not more than 90/180 days past due)
‣ Default because more than 90/180 days past due
‣ Default because both unlikely to pay and more than 90/180 days past due.</t>
  </si>
  <si>
    <t>Identificação da situação de incumprimento do instrumento em conformidade com o artigo 178 do Regulamento (UE) No 575/2013.
Opções:
‣ Not in default
‣ Default because unlikely to pay (not more than 90/180 days past due)
‣ Default because more than 90/180 days past due
‣ Default because both unlikely to pay and more than 90/180 days past due.</t>
  </si>
  <si>
    <t>INSTRUMENT-DFLT_STTS_INSTRMNT</t>
  </si>
  <si>
    <t>Identification of the default status of the instrument. Categories describing the situations in which an instrument can be described as being at default in accordance with Article 178 of Regulation (EU) No 575/2013.</t>
  </si>
  <si>
    <t>default_status_instrument</t>
  </si>
  <si>
    <t>LT002_INSTRUMENT.DFLT_STTS_INSTRMNT
‣ Necessário criar novas parametrizaçôes nas tabelas lt829_regras_conversao e lt830_conversoes, podendo as mesmas ser consultadas neste documento nas sheets:
     ‣ LT829 - filtrando por campo_conceito = 'DFLT_STTS_INSTRMNT' e regra_conversao = '1';
     ‣ LT830 - filtrando por segmento = 'Exposures to natural persons', campo_conceito = 'DFLT_STTS_INSTRMNT'.</t>
  </si>
  <si>
    <t>‣ dd_field_id = "158"</t>
  </si>
  <si>
    <t>‣ Tradução do campo "dflt_stts_instrmnt" através de uma ligação com o campo "dd_code" para obter o campo:
     dd_value</t>
  </si>
  <si>
    <t>dflt_stts_instrmnt</t>
  </si>
  <si>
    <t>V_159</t>
  </si>
  <si>
    <t>Date of the default status of the instrument</t>
  </si>
  <si>
    <t>The date on which the default status, as reported in the data attribute “default status of the instrument”, is considered to have occurred.</t>
  </si>
  <si>
    <t>A data em que o status padrão, conforme relatado no atributo de dados "Default status of the instrument", é considerado como tendo ocorrido.</t>
  </si>
  <si>
    <t>INSTRUMENT-DT_DFLT_STTS_INSTRMNT</t>
  </si>
  <si>
    <t>Date of default status</t>
  </si>
  <si>
    <t>The date on which the default status, as reported in the data attribute “Default status”, is considered to have arisen. If "Not in default" since inception then this attribute is to be reported equally to the inception date. If more than one Instrument is classified as defaulted then the earliest date has to be provided. The definition of default is aligned with Art 178 of Regulation (EU) No 575/2013.</t>
  </si>
  <si>
    <t>date_default_status_instrument</t>
  </si>
  <si>
    <t>LT002_INSTRUMENT.DT_DFLT_STTS_INSTRMNT</t>
  </si>
  <si>
    <t>dt_dflt_stts_instrmnt</t>
  </si>
  <si>
    <t>V_160</t>
  </si>
  <si>
    <t>Transferred amount</t>
  </si>
  <si>
    <t>Transferred amount of the economic ownership of the financial asset to third parties. This data attribute captures the part of the outstanding nominal amount that has been transferred to another creditor.</t>
  </si>
  <si>
    <t>Montante transferido da propriedade económica do ativo financeiro para terceiros. Este atributo de dados capta a parte do montante nominal pendente que foi transferida para outro credor.</t>
  </si>
  <si>
    <t>transferred_amount</t>
  </si>
  <si>
    <t>V_161</t>
  </si>
  <si>
    <t>Arrears for the instrument</t>
  </si>
  <si>
    <t>Aggregated amount of the principal, interest and any fee payment outstanding at the reporting date, which is contractually due and has not been paid (past due).</t>
  </si>
  <si>
    <t>Montante agregado do capital, juros e quaisquer pagamentos de comissões pendentes à data de relato, contratualmente devidos e não pagos (vencidos).</t>
  </si>
  <si>
    <t>INSTRUMENT-ARRRS_INSTRMNT</t>
  </si>
  <si>
    <t>Total exposure in arrears</t>
  </si>
  <si>
    <t>arrears_instrument</t>
  </si>
  <si>
    <t>LT002_INSTRUMENT.ARRRS_INSTRMNT</t>
  </si>
  <si>
    <t>arrrs_instrmnt</t>
  </si>
  <si>
    <t>V_162</t>
  </si>
  <si>
    <t>Date of past due for the instrument</t>
  </si>
  <si>
    <t>The date on which the instrument became past due in accordance with Part 2.96 of Annex V to the amended Implementing Regulation (EU) No 680/2014.</t>
  </si>
  <si>
    <t>Data de vencimento do ato, em conformidade com a parte 2.96 do anexo V do Regulamento de Execução (UE) No 680/2014 alterado.</t>
  </si>
  <si>
    <t>INSTRUMENT-DT_PST_D</t>
  </si>
  <si>
    <t>Date past due</t>
  </si>
  <si>
    <t>The date on which the instrument became past due in accordance with Part 2.96 of Annex V to the amended Implementing Regulation (EU) No 680/2014. This is the latest such date prior to the reporting reference date and it is to be reported if the instrument is past due on the reporting reference date.</t>
  </si>
  <si>
    <t>date_past_due_instrument</t>
  </si>
  <si>
    <t>LT002_INSTRUMENT.DT_PST_D</t>
  </si>
  <si>
    <t>cd_captools.ct004_univ_cto</t>
  </si>
  <si>
    <t>dincump</t>
  </si>
  <si>
    <t>V_163</t>
  </si>
  <si>
    <t>Financial information/Instrument characteristics</t>
  </si>
  <si>
    <t>Type of securitization</t>
  </si>
  <si>
    <t>Captures the type of securitisation, if any, to which the instrument has been subject, in accordance with Article 242(10), (11), 243 and 244 of Regulation (EU) No 575/2013.
Opções:
‣ Traditional securitisation
‣ Synthetic securitisation
‣ Not securitised</t>
  </si>
  <si>
    <t>Abrange o tipo de titularização, se for caso disso, a que o instrumento foi sujeito, em conformidade com o artigo 242(10), (11), 243 e 244 do Regulamento (UE) No 575/2013.
Opções:
‣ Traditional securitisation
‣ Synthetic securitisation
‣ Not securitised</t>
  </si>
  <si>
    <t>type_securitization</t>
  </si>
  <si>
    <t>Mapeamento LT:
‣ Neste campo o objetivo é reportar o campo TITU_TIP da tabela cd_captools.ct036_securitis_cap que tem como chaves os campos S1EMP, COD_SPV. Desta forma será necessário ligar o universo de contratos INSTRMNT_ID à tabela cd_captools.ct013_rwa_princ de forma a obter a chave da tabela cd_captools.ct036_securitis_cap (S1EMP, COD_SPV), no entanto para o mesmo contrato podem existir vários pares (S1EMP, COD_SPV) distintos e como tal podemos obter mais do que um TITU_TIP para o mesmo contrato FINREP. Abaixo está a lógica que deverá ser aplicada para resolver esta âmbiguidade:
1º Passo - Obter para cada contrato (INSTRMNT_ID) o par (S1EMP, COD_SPV) mais 'significativo'. Por vezes o campo COD_SPV pode vir a vazio, estes casos devem ser ignorados de forma que quando for feito o ataque à tabela cd_captools.ct013_rwa_princ se deve aplicar o filtro ( WHERE TRIM(COD_SPV)&lt;&gt;'' ):
     1. Seguir a lógica do campo RWA_MTHD, de momento a lógica é: se existir IRB e Standard então trazer informação relativa a IRB;
     2. Se mesmo assim ainda existirem vários pares (S1EMP, COD_SPV) distintos então: recuperar o par (S1EMP, COD_SPV) com o maior valor atribuido no campo EAD_FINAL_BRUTA;
     3. Ficamos então com uma tabela intermédia (TITU_TIP_INTR) com uma relação unica entre cada contrato FINREP (INSTRMNT_ID) e os campos (S1EMP, COD_SPV).
2ª Passo - Ligar os pares (S1EMP, COD_SPV) obtidos no passo anterior com a tabela cd_captools.ct036_securitis_cap de forma a obter o campo TITU_TIP:
TITU_TIP_INTR
LEFT JOIN
(SELECT
      S1EMP,
      COD_SPV,
      TITU_TIP 
 FROM cd_captools.ct036_securitis_cap
) as SECUR_CAP
ON TITU_TIP_INTR.S1EMP = SECUR_CAP.S1EMP
AND TITU_TIP_INTR.COD_SPV = SECUR_CAP.COD_SPV
3º Passo - Ligar o campo TITU_TIP obtido no passo anterior com a tabela cd_loan_tapes_bce.lt831_param_conceitos filtrada pelos campos tabela_conceito = 'LT002_INSTRUMENT' e campo_conceito = 'TYPE_SECURITIZATION', de forma a converter os seu valores nos códigos pedidos pelo SRB.
‣ Necessário criar nova parametrização na tabela lt831_param_conceitos, podendo a mesma ser consultada neste documento na sheet 'LT831' filtrando por tabela_conceito = 'LT002_INSTRUMENT' e campo_conceito = 'TYPE_SECURITIZATION'
Comentários IT:
'‣ Luís Capitão-Mor solicitou que se perguntasse a Pedro Inácio qual o campo/tabela da BDR que contém esta informação.
Email Pedro Inacio (19:44 12-03-2024): 
"Essa informação pode ser obtida no campo “Tipo de Titulización” da tabela SPV da BDR (E0691_TITU_TIP), com o seguinte detalhe:
      00 - 'No informado'
      01 - 'Tradicional'
      02 - 'Sintética'
99999 - 'No aplica' "
'‣ Mensagem Pedro Mendes Teams (21/01/2025 10:41) sobre como parametrizar as opções '00' e '99999' do campo TITU_TIP:
"Pedro Mendes: Olá Miguel Duarte Cardoso Rodrigues, parce-me bem mapear o miss e o 99999 para not securitised.
 Miguel Rodrigues: Devemos então mapear tanto o '00' como o '99999' com o "Not securitised", certo?
 Pedro Mendes: isso mesmo"
‣ Reunião 21/10/2024 com Luís Capitão-Mor/Pedro Mendes:
     - Luís Capitão-Mor referiu que terá de ser ingestada a tabela da BDR "JM_SPV" (será bdr_jm_spv na curated_internal_bdr);
     - Deverá ser criada uma nova tabela CT% (por ex: CT_SECURITIS_CAP) que terá os seguintes campos: S1EMP, COD_SPV, TITU_TIP, CKUTULMO,  HTIMEST , REF_DATE. (Confirmar se não há outros da tabela JM_SPV que faça sentido trazer também)
        -&gt; Esta tabela deverá ser atualizada mensalmente juntamente com as tabelas de Capital (ct013, ct014,...), geradas pelo motor RWA. Para tal é necessário atacar a ingesta bdr_jm_spv filtrando os campos "DATA_DATE_PART" = 'data mais recente à data de execução' e "E0691_FECHASTA"  like '%9999'  e trazer os campos mencionados acima (mesmo nome sem 'E0691_'). Quanto ao campo "REF_DATE" deve ser atribuida a data de fim de mês referente ao mês para o qual se está a obter esta informação.
        -&gt; Seguindo esta lógica surgem casos em que um contrato tem dois tipos de securitização distintos, Pedro Mendes confirmou com Joana Guerreiro que estes casos são normais de acontecer (não se trata de um erro de dados).
        -&gt; Para contornar o problema acima, deverá implementar-se uma lógica que trará apenas o tipo de securitização associado ao montante mais significativo.
        -&gt; O campo da tabela ct013_rwa_princ que deve ser usado como fator de peso para selecionar o tipo de securitização mais significativo é o EAD_FINAL_BRUTA confirmado com Helder Gomes e  João Reis (reunião Teams 04/02/2025 17:00 - 17:30) e este entendimento foi validado com Luis Capitão-Mor no email de 04/02/2025 19:51.
‣ Pedido de estimativa para ingesta da tabela JM_SPV (REQ014321568/RITM014348547);
‣ Enviar email a pedir autorização para a tabela CT_SECURITIS_CAP.
‣  Query de análise à lógica pensada para este campo:
     - Existem contratos fr com ambos os métodos IRB e Standard;
     - Existem contratos fr que dentro do método IRB têm vários cod_spvs;
     - Os unicos exemplos verificados em um contrato fr tem dois type_securituization diferente são para contratos apenas com método IRB que têm simultâneamente um cod_spv =  'FORTALEZA' e outro cod_spv = 'H13-201801GMMBSTNXXN0100' (aka. HIPOTOTTA 13).
SELECT
    contract_id_fr,
    cod_spv_conc,
    method_conc,
    type_securitization_conc,
    cnt
FROM
(
    SELECT 
        contract_id_fr,
        -- s1emp,
        -- cod_spv,
        CONCAT('|',group_concat(cod_spv,'|'),'|') as cod_spv_conc,
        CONCAT('|',group_concat(method,'|'),'|') as method_conc,
        CONCAT('|',group_concat(type_securitization,'|'),'|') as type_securitization_conc,
        COUNT(*) as cnt
    FROM
    (
        SELECT
         contract_id_fr,
        --  ct013.s1emp,
         ct013.cod_spv,
         ct013.method,
         CASE
            WHEN TRIM(ct013.s1emp) = '18' AND TRIM(ct013.cod_spv) IN ('CONSUMER1','H13-201801GMMBSTNXXN0100','H4-720007852','H5-720009022')
            THEN '1'
            WHEN TRIM(ct013.s1emp) = '18' AND TRIM(ct013.cod_spv) IN ('FORTALEZA','SYNTOTTA2','SYNTOTTA3','SYNTOTTA4','SYNTOTTA5')
            THEN '2'
            WHEN TRIM(ct013.s1emp) = '22008' AND TRIM(ct013.cod_spv) IN ('MORTAGE2-200802GMMBNFNXXN0025','MORTAGE3-200810GMMBNFNXXN0028','MORTAGE4-200902GMMBNFS0033')
            THEN '1'
            WHEN TRIM(ct013.s1emp) = '22005' AND TRIM(ct013.cod_spv) IN ('SYNTOTTA2','SYNTOTTA3','SYNTOTTA4','SYNTOTTA5')
            THEN '2'
            ELSE ''
         END AS type_securitization
        FROM
        (
            SELECT
                fr004.contract_id_fr, s1emp, contra1
            FROM
            (
                SELECT
                    DISTINCT CONCAT(cempresa,cbalcao,cnumecta,zdeposit) as contract_id_fr
                FROM cd_captools.fr004_cto
                WHERE ref_date = '2024-08-31'
            ) as fr004 --6211142
            LEFT JOIN
            (
                SELECT
                    CONCAT(cempresa_fr,cbalcao_fr,cnumecta_fr,zdeposit_fr) as contract_id_fr,
                    CONCAT(cempresa,cbalcao,cnumecta,zdeposit) as contract_id_ct
                FROM cd_captools.kt_chaves_finrep
                WHERE ref_date = '2024-08-31'
            ) as chaves_finrep
            ON chaves_finrep.contract_id_fr = fr004.contract_id_fr --6211142
            LEFT JOIN
            (
                SELECT
                    s1emp,
                    contra1,
                    CONCAT(cempresa,cbalcao,cnumecta,zdeposit) as contract_id_ct
                FROM cd_captools.kt_chaves_bdr
                WHERE ref_date = '2024-08-31'
            ) as chaves_bdr
            ON chaves_bdr.contract_id_ct = chaves_finrep.contract_id_ct --2046835
            WHERE chaves_bdr.contract_id_ct IS NOT NULL
            GROUP BY contract_id_fr, s1emp, contra1
        ) as core
        --2046835 DIST fr
        --2047298 nº total
        LEFT JOIN
        (
            SELECT
                s1emp,
                contra1,
                cod_spv,
                IF(segmento_corep_final LIKE 'I%', 'IRB', IF(segmento_corep_final LIKE 'S%', 'Standard', '')) as method
            FROM cd_captools.ct013_rwa_princ 
            WHERE ref_date = '2024-08-31'
            GROUP BY segmento_corep_final, s1emp, contra1, cod_spv
        ) as ct013
        ON core.s1emp = ct013.s1emp
        AND core.contra1 = ct013.contra1
        WHERE ct013.cod_spv IS NOT NULL
        AND TRIM(ct013.cod_spv) != '' -- ATENÇÃO, não sei se deveria estar a fazer isto
        GROUP BY contract_id_fr, type_securitization, ct013.method, ct013.cod_spv
    ) as a
    GROUP BY contract_id_fr
) as b
--WHERE method_conc = '|Standard|'
--WHERE type_securitization_conc like '%1%2%'
--OR type_securitization_conc like '%2%1%'
ORDER BY cnt DESC</t>
  </si>
  <si>
    <t>cod_spv</t>
  </si>
  <si>
    <t>‣ Se o campo "cod_spv" começar por "SYN":
     "SYNTHETIC SECURITISATION"
‣ Se o campo "cod_spv" não for "" (vazio):
     "TRADITIONAL SECURITISATION"
‣ Caso contrário (se o contrato não estiver na tabela ct013_rwa_princ):
     "NOT SECURITISED"</t>
  </si>
  <si>
    <t>V_164</t>
  </si>
  <si>
    <t>Instrument charcteristics</t>
  </si>
  <si>
    <t>Outstanding nominal amount</t>
  </si>
  <si>
    <t>Principal amount outstanding at the end of the reporting reference date, including unpaid past due interest but excluding accrued interest, net of write-offs and write-downs as determined by the relevant accounting practices.</t>
  </si>
  <si>
    <t>Montante de capital em dívida no final da data de referência do relato, incluindo juros vencidos não pagos, mas excluindo juros vencidos, líquidos de anulações e amortizações, conforme determinado pelas práticas contabilísticas relevantes.</t>
  </si>
  <si>
    <t>INSTRUMENT-OTSTNDNG_NMNL_AMNT_INSTRMNT</t>
  </si>
  <si>
    <t>Outstanding gross nominal amount</t>
  </si>
  <si>
    <t>Principal amount outstanding at the end of the reporting reference date, including unpaid past due interest but excluding accrued interest. The outstanding nominal amount must be reported net of write-offs and write-downs as determined by the relevant accounting practices.</t>
  </si>
  <si>
    <t>outstanding_nominal_amount</t>
  </si>
  <si>
    <t>LT002_INSTRUMENT.OTSTNDNG_NMNL_AMNT_INSTRMNT</t>
  </si>
  <si>
    <t>otstndng_nmnl_amnt_instrmnt</t>
  </si>
  <si>
    <t>V_165</t>
  </si>
  <si>
    <t>Accrued interest</t>
  </si>
  <si>
    <t>The amount of accrued interest on loans at the reporting reference date as defined in Regulation (EU) No 1071/2013 (ECB/2013/33).</t>
  </si>
  <si>
    <t>O montante dos juros vencidos sobre empréstimos na data de referência de reporte, tal como definido no Regulamento (UE) No 1071/2013 (BCE/2013/33).</t>
  </si>
  <si>
    <t>INSTRUMENT-ACCRD_INTRST_INSTRMNT</t>
  </si>
  <si>
    <t>Accrued interest balance as recognised on the balance sheet</t>
  </si>
  <si>
    <t>The amount of accrued interest on loans at the reporting reference date as defined in Regulation (EU) No 1071/2013 (ECB/2013/33). In accordance with the general principle of accruals accounting, interest receivable on instruments should be subject to on-balance sheet recording as it accrues (i.e. on an accruals basis) rather than when it is actually received (i.e. on a cash basis).</t>
  </si>
  <si>
    <t>accrued_interest</t>
  </si>
  <si>
    <t>LT002_INSTRUMENT.ACCRD_INTRST_INSTRMNT</t>
  </si>
  <si>
    <t>V_166</t>
  </si>
  <si>
    <t>Off-balancesheet amount</t>
  </si>
  <si>
    <t>Total nominal amount of off-balance-sheet exposures.</t>
  </si>
  <si>
    <t>Montante nominal total das posições em risco extrapatrimoniais.</t>
  </si>
  <si>
    <t>INSTRUMENT-OFF_BLNC_SHT_AMNT_INSTRMNT</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</si>
  <si>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</si>
  <si>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</si>
  <si>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off_balance_sheet_amount</t>
  </si>
  <si>
    <t>LT002_INSTRUMENT.OFF_BLNC_SHT_AMNT_INSTRMNT</t>
  </si>
  <si>
    <t>cd_alm.al030_sld_core_m</t>
  </si>
  <si>
    <t>mon_extrapatri</t>
  </si>
  <si>
    <t>Ignorei a parte em que também se traz a componente passiva</t>
  </si>
  <si>
    <t>V_167</t>
  </si>
  <si>
    <t>Joint liabilities amount</t>
  </si>
  <si>
    <t>Outstanding nominal amount for which each debtor is liable in relation to a single instrument where there are two or more debtors.</t>
  </si>
  <si>
    <t>Montante nominal pendente pelo qual cada devedor é responsável em relação a um único instrumento, caso existam dois ou mais devedores.</t>
  </si>
  <si>
    <t>Not applicable: To be reported as "11111111111". 
This information will be availabe in "02_04_nat_instr_count" table</t>
  </si>
  <si>
    <t>joint_liabilities_amount</t>
  </si>
  <si>
    <t>Mapeamento LT:
Not Applicable: Reportar 11111111111
Comentários IT:
Este campo constará no ficheiro "02_04_nat_instr_count"</t>
  </si>
  <si>
    <t>cd_loan_tapes_bce.lt005_instr_ent</t>
  </si>
  <si>
    <t>jnt_lblty_amnt</t>
  </si>
  <si>
    <t>V_168</t>
  </si>
  <si>
    <t>Informação financeira</t>
  </si>
  <si>
    <t>Accounting classification of instruments</t>
  </si>
  <si>
    <t>Accounting portfolio where the instrument is recorded in accordance with the accounting standard – IFRS or national GAAP – under Regulation (EU) 2015/534 (ECB/2015/13) applied by the observed agent’s legal entity.
Opções:</t>
  </si>
  <si>
    <t>Carteira contabilística em que o instrumento é registado de acordo com a norma contabilística – IFRS ou GAAP nacionais – nos termos do Regulamento (UE) 2015/534 (BCE/2015/13) aplicada pela entidade jurídica do agente observado.
Opções:</t>
  </si>
  <si>
    <t>INSTRUMENT-ACCNTNG_CLSSFCTN</t>
  </si>
  <si>
    <t>Accounting portfolio</t>
  </si>
  <si>
    <t>Accounting portfolio where the instrument is recorded in accordance with the accounting standard – IFRS or national GAAP – under Regulation (EU) 2015/534 (ECB/2015/13) applied by the observed agent’s legal entity.</t>
  </si>
  <si>
    <t>accounting_classification</t>
  </si>
  <si>
    <t>LT002_INSTRUMENT.ACCNTNG_CLSSFCTN
‣ Necessário criar novas parametrizaçôes nas tabelas lt829_regras_conversao e lt830_conversoes, podendo as mesmas ser consultadas neste documento nas sheets:
     ‣ LT829 - filtrando por campo_conceito = 'ACCNTNG_CLSSFCTN' e regra_conversao = '1';
     ‣ LT830 - filtrando por segmento = 'Exposures to natural persons', campo_conceito = 'ACCNTNG_CLSSFCTN'.</t>
  </si>
  <si>
    <t>‣ dd_field_id = "168"</t>
  </si>
  <si>
    <t>‣ Inicialmente para cada combinação dos campos "cempresa", "cbalcao", "cnumecta", "zdeposit" iremos recuperar o MAX(carteira_contabilistica):
     ‣ Este campo MAX(carteira_contabilistica) será traduzido através de uma ligação com o campo "dd_code" para obter o campo:
          dd_value</t>
  </si>
  <si>
    <t>carteira_contabilistica</t>
  </si>
  <si>
    <t>V_169</t>
  </si>
  <si>
    <t>Balance sheet recognition</t>
  </si>
  <si>
    <t>Balance sheet recognition of the financial asset. This data attribute classifies the reported instruments pursuant to their balance sheet recognition in accordance with Annex III and Template 15 in Annex IV to the ITS.
Opções:
‣ Entirely recognised
‣ Recognised to the extent of the institution’s continuing involvement
‣ Entirely derecognised</t>
  </si>
  <si>
    <t>Reconhecimento de balanço do ativo financeiro. Este atributo de dados classifica os instrumentos reportados de acordo com o seu reconhecimento no balanço de acordo com o anexo III e o modelo 15 do anexo IV da ITS.
Opções:
‣ Entirely recognised
‣ Recognised to the extent of
the institution’s continuing
involvement
‣ Entirely derecognised</t>
  </si>
  <si>
    <t>balance_sheet_recogn</t>
  </si>
  <si>
    <t xml:space="preserve">Mapeamento LT:
Preenchido sempre com o valor 'Entirely recognised' 
Comentários IT:
‣ Reunião com Luisa Quendera/Rafael Pessoa/Luís Capitão-Mor/Pedro Mendes (02/04/2024): Preenchido sempre com o valor 'Entirely recognised' 
‣ Pedro Mendes a 07/10/2024 questionou Nuno Pinheiro (via Teams): Preenchido sempre com o valor 'Entirely recognised' </t>
  </si>
  <si>
    <t>V_170</t>
  </si>
  <si>
    <t>Accumulated write-offs</t>
  </si>
  <si>
    <t>Cumulative amount of principal and past due interest of any debt instrument that the institution is no longer recognising because they are considered uncollectible, independently of the portfolio in which they were included.</t>
  </si>
  <si>
    <t>Montante acumulado de capital e juros vencidos de qualquer instrumento de dívida que a instituição deixou de reconhecer por serem considerados incobráveis, independentemente da carteira em que estavam incluídos.</t>
  </si>
  <si>
    <t>INSTRUMENT-ACCMLTD_WRTFFS_INSTRMNT</t>
  </si>
  <si>
    <t>Cumulative amount of principal and past due interest of any debt instrument that the institution is no longer recognising because they are considered uncollectible, independently of the portfolio in which they were included. Write-offs could be caused both by reductions in the carrying amount of financial assets recognised directly in profit or loss and by reductions in the amounts of the allowance accounts for credit losses set off against the carrying amount of financial assets.</t>
  </si>
  <si>
    <t>accum_write_offs</t>
  </si>
  <si>
    <t>LT002_INSTRUMENT.ACCMLTD_WRTFFS_INSTRMNT</t>
  </si>
  <si>
    <t>V_171</t>
  </si>
  <si>
    <t>Accumulated impairment amount</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</si>
  <si>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GAAP, the accumulated impairment relates to the following amounts:
(i) loss allowance at an amount equal to general allowances;
(ii) loss allowance at an amount equal to specific allowances.</t>
  </si>
  <si>
    <t>A quantia de provisões para perdas detidas ou imputadas ao instrumento na data de referência do relato. Este atributo de dados aplica-se a instrumentos sujeitos a imparidade ao abrigo da norma contabilística aplicada. Em IFRS, a imparidade acumulada respeita aos seguintes montantes:
(i) provisão para perdas em um valor igual às perdas de crédito esperadas para 12 meses;
(ii) provisão para perdas em montante igual às perdas de crédito esperadas ao longo da vida. De acordo com os GAAP, a imparidade acumulada refere-se aos seguintes montantes:
     (ii.i) provisão para perdas em montante igual às provisões gerais;
     (ii.ii) provisão para perdas em valor igual às provisões específicas.</t>
  </si>
  <si>
    <t>INSTRUMENT-ACCMLTD_IMPRMNT_INSTRMNT</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</si>
  <si>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</si>
  <si>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</si>
  <si>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accum_impairment_amount</t>
  </si>
  <si>
    <t>LT002_INSTRUMENT.ACCMLTD_IMPRMNT_INSTRMNT</t>
  </si>
  <si>
    <t>‣ ref_date = data do report
‣ tipo_balanco = "A"</t>
  </si>
  <si>
    <t>mon_imparid_patri</t>
  </si>
  <si>
    <t>‣ Soma dos campos mencionados anteriormente:
     mon_imparid_patri + mon_imparidade_extra</t>
  </si>
  <si>
    <t>mon_imparidade_extra</t>
  </si>
  <si>
    <t>V_172</t>
  </si>
  <si>
    <t>Type of impairment</t>
  </si>
  <si>
    <t>This data attribute indicates the type of impairment to which the instrument is subject.
Opções:
‣ Stage 1 (IFRS)
‣ Stage 2 (IFRS)
‣ Stage 3 (IFRS)
‣ General allowances (GAAP)
‣ Specific allowances (GAAP)</t>
  </si>
  <si>
    <t>Este atributo de dados indica o tipo de imparidade a que o instrumento é sujeito.
Opções:
‣ Stage 1 (IFRS)
‣ Stage 2 (IFRS)
‣ Stage 3 (IFRS)
‣ General allowances (GAAP)
‣ Specific allowances (GAAP)</t>
  </si>
  <si>
    <t>INSTRUMENT-IMPRMNT_STTS</t>
  </si>
  <si>
    <t>Impairment status</t>
  </si>
  <si>
    <t>Type of impairment.</t>
  </si>
  <si>
    <t>type_impairment</t>
  </si>
  <si>
    <t>LT002_INSTRUMENT.IMPRMNT_STTS
‣ Necessário criar novas parametrizaçôes nas tabelas lt829_regras_conversao e lt830_conversoes, podendo as mesmas ser consultadas neste documento nas sheets:
     ‣ LT829 - filtrando por campo_conceito = 'IMPRMNT_STTS' e regra_conversao = '1';
     ‣ LT830 - filtrando por segmento = 'Exposures to natural persons' e campo_conceito = 'IMPRMNT_STTS'.</t>
  </si>
  <si>
    <t>‣ dd_field_id = "172"</t>
  </si>
  <si>
    <t>‣ Tradução do campo "stage" através de uma ligação com o campo "dd_code" para obter o campo:
     dd_value</t>
  </si>
  <si>
    <t>stage</t>
  </si>
  <si>
    <t>V_173</t>
  </si>
  <si>
    <t>Impairment assessment method</t>
  </si>
  <si>
    <t>The method by which the impairment is assessed, if the instrument is subject to impairment in accordance with applied accounting standards.
Opções: 
‣ Individually assessed
‣ Collectively assessed</t>
  </si>
  <si>
    <t>O método pelo qual a imparidade é avaliada, se o instrumento está sujeito a imparidade de acordo com as normas aplicadas à contabilidade. 
Opções: 
‣ Individually assessed
‣ Collectively assessed</t>
  </si>
  <si>
    <t>INSTRUMENT-IMPRMNT_ASSSSMNT_MTHD</t>
  </si>
  <si>
    <t>The method by which the impairment is assessed, if the instrument is subject to impairment in accordance with applied accounting standards. Collective and individual methods are distinguished.</t>
  </si>
  <si>
    <t>impairment_assessment_method</t>
  </si>
  <si>
    <t>LT002_INSTRUMENT.IMPRMNT_ASSSSMNT_MTHD
‣ Necessário criar novas parametrizaçôes nas tabelas lt829_regras_conversao e lt830_conversoes, podendo as mesmas ser consultadas neste documento nas sheets:
     ‣ LT829 - filtrando por campo_conceito = 'IMPRMNT_ASSSSMNT_MTHD' e regra_conversao = '1';
     ‣ LT830 - filtrando por segmento = 'Exposures to natural persons' e campo_conceito = 'IMPRMNT_ASSSSMNT_MTHD'.</t>
  </si>
  <si>
    <t>‣ dd_field_id = "173"</t>
  </si>
  <si>
    <t>‣ Tradução do campo "tipo_analise" através de uma ligação com o campo "dd_code" para obter o campo:
     dd_value</t>
  </si>
  <si>
    <t>tipo_analise</t>
  </si>
  <si>
    <t>V_174</t>
  </si>
  <si>
    <t>Sources of encumbrance</t>
  </si>
  <si>
    <t>Type of transaction in which the exposure is encumbered in accordance with Implementing Regulation (EU) No 680/2014. An asset will be treated as encumbered if it has been pledged or if it is subject to any form of arrangement to secure, collateralise or credit enhance any instrument from which it cannot be freely withdrawn.
Opções:
‣ Central bank funding
‣ Exchange traded derivatives
‣ Over-the-counter derivatives
‣ Deposits – repurchase agreements other than to central banks
‣ Deposits other than repurchase agreements
‣ Debt securities issued – covered bonds securities
‣ Debt securities issued – assetbacked securities
‣ Debt securities issued – other than covered bonds and ABSs
‣ Other sources of encumbrance
‣ No encumbrance</t>
  </si>
  <si>
    <t>Tipo de operação em que o risco é onerado de acordo com o Regulamento de Execução (UE) n.o 680/2014. Um ativo será tratado como onerado se tiver sido penhorado ou se estiver sujeito a qualquer forma de acordo para garantir, caucionar ou reforçar o crédito instrumento do qual não pode ser livremente retirado.
Opções:
‣ Central bank funding
‣ Exchange traded derivatives
‣ Over-the-counter derivatives
‣ Deposits – repurchase agreements other than to central banks
‣ Deposits other than repurchase agreements
‣ Debt securities issued – covered bonds securities
‣ Debt securities issued – assetbacked securities
‣ Debt securities issued – other than covered bonds and ABSs
‣ Other sources of encumbrance
‣ No encumbrance</t>
  </si>
  <si>
    <t>source_encumbrance</t>
  </si>
  <si>
    <t>Mapeamento LT:
Neste campo é necessário obter para cada INSTRMNT_ID um vetor separado por ',' com todas as suas sources of encumbrance, caso o INSTRMNT_ID tenha mais do que uma source of encumbrance então o vetor não deve conter o código relativo a unencumbered.
‣ Metodologia de definição de universo Not Applicable:
 - Se o INSTRMNT_ID está na al015_act_fin é aplicável, Se não está na al015_act_fin é 'N/A'
 - Caso num determinado âmbito seja necessário restringir o Universo aplicável, deverá adicionar-se o filtro no campo reporta_valor da lt805_conf_exp. No âmbito 'PM' o campo reporta_valor deverá ser preenchido com flag_inst_div=1 de forma a reportar este campo apenas para os contratos de Debt Securities. No âmbito Valuation não se deverá preeencher nada no campo reporta_valor da lt805_conf_exp.
‣ Metodologia de cálculo:
1 - Cruzar LT002_INSTRUMENT com tradutor de chaves FINREP e ALM:
LT002_INSTRUMENT 
LEFT JOIN 
(
              SELECT
                            CONCAT(CEMPRESA_FR, CBALCAO_FR, CNUMECTA_FR, ZDEPOSIT_FR) as INSTRMNT_ID
                            CONCAT(CEMPRESA, CBALCAO, CNUMECTA, ZDEPOSIT) as INSTRMNT_ID_CT
              FROM cd_captools.KT_CHAVES_FINREP
              WHERE REF_DATE = {data de referência}
) as chaves_fr
ON chaves_fr.INSTRMNT_ID = LT002_INSTRUMENT.INSTRMNT_ID
LEFT JOIN
(
              SELECT
                            CONCAT(CEMPRESA, CBALCAO, CNUMECTA, ZDEPOSIT) as INSTRMNT_ID_AL
                            CONCAT(CEMPRESA_MASTER, CBALCAO_MASTER, CNUMECTA_MASTER, ZDEPOSIT_MASTER) as INSTRMNT_ID_CT
              FROM cd_captools.KT_CHAVES_ALM_M
              WHERE REF_DATE = {data de referência}
) as chaves_al
ON chaves_al.INSTRMNT_ID_CT = chaves_fr.INSTRMNT_ID_CT
2 - Cruzar com a tabela AL015_ACT_FIN para obter os campos COD_PROP, SUB_COD_PROP e NOM_UTIL_LCR:
LEFT JOIN
(
              SELECT
                            CONCAT(CEMPRESA, CBALCAO, CNUMECTA, ZDEPOSIT) as INSTRMNT_ID_AL, 
                            COD_PROP,
                            SUB_COD_PROP,
                            NOM_UTIL_LCR
              FROM cd_alm.AL015_ACT_FIN
              WHERE REF_DATE = {data de referência}
              AND NOME_PERIMETRO = {perimetro}
              AND ENTIDADE = {entidade}
) as al015
ON al015.INSTRMNT_ID_AL = chaves_al.INSTRMNT_ID_AL
Nota: Esta ligação pode resultar num desdobramento dos contratos ALM pelos vários contratos com os quais eles têm uma relação na tabela AL015_ACT_FIN. Exemplo: Para '2024-12-31' o contrato FINREP (INSTRMNT_ID = '31000313878326096000000000000000') quando ligado à tabela al015_act_fin resulta num desdobramento em 88 linhas com os seguintes valores distintos de COD_PROP: "REPOS", "EMISSAO EM MERCADO", "BEI", "EUROSSISTEMA".
3 - Cruzar os campos COD_PROP, SUB_COD_PROP e NOM_UTIL_LCR obtidos no passo 2 com a tabela de parametrização LT831_PARAM_CONCEITOS filtrada por tabela_conceito = ‘LT002_INSTRUMENT’ e campo_conceito = ‘SRCS_ENCMBRNC’ (sheet LT831). Esta parametrização foi elaborada com Cláudia Correia/Luís Capitão-Mor e a mesma é similar a aplicar o seguinte CASE:
              CASE
                            WHEN nom_util_lcr IS NULL THEN ‘1’
                            WHEN nom_util_lcr= 0 THEN ‘1’
                            WHEN nom_util_lcr&lt;&gt; 0 AND cod_prop='EUROSISTEMA' THEN ‘5’
                            WHEN nom_util_lcr&lt;&gt; 0 AND cod_prop='IM DERIVADOS' THEN ‘7’	
                            WHEN nom_util_lcr&lt;&gt; 0 AND cod_prop='VM DERIVADOS' THEN ‘7’
                            WHEN nom_util_lcr&lt;&gt; 0 AND cod_prop='VM REPOS' THEN ‘8’
                            WHEN nom_util_lcr&lt;&gt; 0 AND cod_prop='REPOS' THEN ‘8’ 
                            WHEN nom_util_lcr&lt;&gt; 0 AND cod_prop='EMISSAO EM MERCADO' AND sub_cod_prop='L' THEN ‘10’
                            WHEN nom_util_lcr&lt;&gt; 0 AND cod_prop='EMISSAO EM MERCADO' AND sub_cod_prop&lt;&gt; 'L' THEN ‘11’
                            WHEN nom_util_lcr&lt;&gt; 0 AND cod_prop='BEI' THEN ‘13’
                            WHEN nom_util_lcr&lt;&gt; 0 AND cod_prop='FGD' THEN ‘13’
                            WHEN nom_util_lcr&lt;&gt; 0 AND cod_prop='SII' THEN ‘13’
              END as SRCS_ENCMBRNC_DESDOB
Nota: Devido ao desdobramento que ocorre na ligação à tabela AL015_ACT_FIN este passo pode resultar em mais do que um SRCS_ENCMBRNC_DESDOB para cada contrato. Exemplo: Para '2024-12-31' o contrato FINREP (INSTRMNT_ID = '31000313878326096000000000000000') quando ligado à tabela al015_act_fin resulta num desdobramento em 88 linhas com os seguintes valores distintos de SRCS_ENCMBRNC_DESDOB: 1,8,10,13
4 - Assumindo que a tabela auxiliar criada no passo 3 se chama ENCMB, será necessário criar uma tabela auxiliar (REMOV_UNCMB) para identificar se um INSTRMNT_ID tem mais do que um código e se o código de Unemcumbred ('1') consta nesse grupo de códigos de forma a remover esse registo. 
Exemplo: O contrato FINREP (INSTRMNT_ID = '31000313878326096000000000000000') dado acima como exemplo que tem os seguintes  valores distintos de SRCS_ENCMBRNC_DESDOB (1,8,10,13) deveria terminar com o campo SRCS_ENCMBRNC = '8,10,13'
A lógica de criação da tabela auxiliar REMOV_UNCMB será:
              SELECT
                            INSTRMNT_ID,
                            COUNT(DISTINCT SRCS_ENCMBRNC_DESDOB) AS CNT,
                            SUM( IF(SRCS_ENCMBRNC_DESDOB='1',1,0) ) AS FLAG_CONTAINS_UNCMB
              FROM ENCMB
              GROUP BY INSTRMNT_ID
              HAVING CNT &gt; 1
              AND FLAG_CONTAINS_UNCMB &gt;0
5 - Utilizar a tabela REMOV_UNCMB para remover os registos da tabela ENCMB relativos a Unencumbered (1) em INSTRMNT_IDs com mais do que uma source of encumbrance:
              SELECT
                            *
              FROM ENCMB
              LEFT JOIN REMOV_UNCMB
              ON ENCMB.INSTRMNT_ID = REMOV_UNCMB.INSTRMNT_ID
              WHERE  REMOV_UNCMB.INSTRMNT_ID IS NULL
              OR ( REMOV_UNCMB.INSTRMNT_ID IS NOT NULL AND  ENCMB.SRCS_ENCMBRNC_DESDOB &lt;&gt; '1')
6 - Antes de vetorizar a informação obtida no passo 5, dependendo do segmento que se está a correr pode haver a necessidade de aplicar uma parametrização supletiva, de forma a converter os códigos numéricos em códigos diferentes, por exemplo no report Valuation para o universo de Debt Securities é pedido um code-list numérico como o implementado na LT831, no entanto para o universo de Natural Persons é pedido um code-list de descritivos STRING. Desta forma, caso exista algum acesso nas tabelas LT829 /LT830 com campo_conceito = 'SRCS_ENCMBRNC' para o segmento em questão, deve ser aplicado neste passo, antes de agrupar a informação num vetor.
7 – Obter um vetor ordenado com todos os SRCS_ENCMBRNC_DESDOB obtidos para cada contrato FINREP, aplicando um GROUP BY INSTRMNT_ID e calculando o campo:
              CONCAT_WS(',' , SORT_ARRAY(COLLECT_SET(CAST(SRCS_ENCMBRNC_DESDOB AS STRING))) ) as SRCS_ENCMBRNC
‣ Necessário criar nova parametrização na tabela lt831_param_conceitos, podendo a mesma ser consultada neste documento na sheet 'LT831' filtrando por tabela_conceito = 'LT002_INSTRUMENT' e campo_conceito = 'SRCS_ENCMBRNC'
‣ Necessário criar nova parametrização nas tabelas lt829_regras_conversao e lt830_conversoes, podendo as mesmas ser consultadas neste documento nas sheets:
     ‣ LT829 - filtrando por campo_conceito = 'SRCS_ENCMBRNC' e regra_conversao = '1';
     ‣ LT830 - filtrando por segmento = 'Exposures to natural persons' e campo_conceito = 'SRCS_ENCMBRNC'.
Comentários IT:
Reunião de 2025-05-13 Luís Capitão-Mor, Pedro Mendes, definiu-se uma nova Metodologia de definição de universo Not Applicable: 
 - Se está na al015 é aplicável, Se não está na al015 é 'N/A'
 - Caso num determinado âmbito seja necessário restringir o Universo aplicável, deverá adicionar-se o filtro no campo reporta_valor da lt805_conf_exp. No âmbito 'PM' o campo reporta_valor deverá ser preenchido com flag_inst_div=1 de forma a reportar este campo apenas para os contratos de Debt Securities. No âmbito Valuation não se deverá preeencher nada no campo reporta_valor da lt805_conf_exp.
Em Reunião de 2025-04-11 Luís Capitão-Mor, Pedro Mendes, definiu-se: 
1) Criar uma nova linha de parametrização na lt801_param_segm que representará todo o Ativo aplicável a asset encumbrance. Para definir esta linha de parametrização é necessário realizar uma 1ª reunião com Luísa Quendera/Luís Capitão-Mor, e em seguida, realizar uma 2ªreunião com Rafael Pessoa/Nuno Pinheiro/ Luísa Quendera/Cláudia Correia para apresentação da parametrização definida na 1ª reunião
2) Criar o novo campo flag_srcs_encmbrnc na lt001_univ_oper para substituir a regra de Not Applicable existente atualmente
3) O campo reporta_valor da lt805_conf_exp, no âmbito 'PM' deverá ser preenchido com flag_inst_div=0 para identificar os registos Not Applicable. No âmbito Valuation não se deverá preeencher nada.
‣ No Loan Tape já existe um campo com esta informação (SRCS_ENCMBRNC), no entanto em análise com a Cláudia Correia chegou-se à conclusão de que a regra deste campo deveria ser atualizada.
‣ De forma a aclarar algumas duvidas sobre o que era pretendido neste campo, realizou-se uma sessão com a Corporação da qual saíram as seguintes notas:
          - Em casos em que um contrato tenha mais do que um tipo de encumbrance, a corporação reporta um vetor;
          - Todos os contratos que tenham pelo menos uma parte encumbered são reportados como estando totalmente encumbered.
‣ Juntamente com o Luís Capitão-Mor, Cláudia Correia e Pedro Mendes e tomando em conta o feedback da Corporação, foi definida uma nova regra de produção deste campo, que deverá substituir a atualmente implementada. :</t>
  </si>
  <si>
    <t>‣ dd_field_id = "174"</t>
  </si>
  <si>
    <t>‣ Tradução do campo "srcs_encmbrnc" através de uma ligação com o campo "dd_code" para obter o campo:
     dd_value</t>
  </si>
  <si>
    <t>srcs_encmbrnc</t>
  </si>
  <si>
    <t>V_175</t>
  </si>
  <si>
    <t>Performing status of the instrument</t>
  </si>
  <si>
    <t>The instrument is to be classified on the reporting reference date, in accordance with Implementing Regulation (EU) No 680/2014.
Opções:
‣ Non-performing
‣ Performing</t>
  </si>
  <si>
    <t>O instrumento deve ser classificado na data de referência do relatório, em conformidade com o Regulamento de Execução (UE) n.o 680/2014.</t>
  </si>
  <si>
    <t>INSTRUMENT-PRFRMNG_STTS</t>
  </si>
  <si>
    <t>Performing status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</si>
  <si>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</si>
  <si>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perform_status_instrument</t>
  </si>
  <si>
    <t>LT002_INSTRUMENT.PRFRMNG_STTS
‣ Necessário criar novas parametrizaçôes nas tabelas lt829_regras_conversao e lt830_conversoes, podendo as mesmas ser consultadas neste documento nas sheets:
     ‣ LT829 - filtrando por campo_conceito = 'PRFRMNG_STTS' e regra_conversao = '1';
     ‣ LT830 - filtrando por segmento = 'Exposures to natural persons' e campo_conceito = 'PRFRMNG_STTS'.</t>
  </si>
  <si>
    <t>‣ Se o campo "final_stage" for "3":
     "Non-performing"
‣ Caso contrário:
     "Performing"</t>
  </si>
  <si>
    <t>V_176</t>
  </si>
  <si>
    <t>Date of the performing status of the instrument</t>
  </si>
  <si>
    <t>DD/MM/YYYY</t>
  </si>
  <si>
    <t>The date on which the performing status as reported in “performing status of the instrument” is considered to have been established or changed.</t>
  </si>
  <si>
    <t>A data em que o status de desempenho conforme relatado em "desempenho o estatuto do instrumento" for considerado como tendo sido estabelecido ou alterado.</t>
  </si>
  <si>
    <t>INSTRUMENT-DT_PRFRMNG_STTS</t>
  </si>
  <si>
    <t>Date of performing status</t>
  </si>
  <si>
    <t>The date on which the performing status as reported in “performing status of the instrument” is considered to have been established or changed. If the performing status is measured on debtor level the status will respectively apply to all instruments.</t>
  </si>
  <si>
    <t>date_perform_status_instrument</t>
  </si>
  <si>
    <t>LT002_INSTRUMENT.DT_PRFRMNG_STTS</t>
  </si>
  <si>
    <t>V_177</t>
  </si>
  <si>
    <t>Provisions associated with off-balancesheet exposures</t>
  </si>
  <si>
    <t>This data attribute provides information on the amount of provisions (if any) associated with off-balance-sheet amounts (of instruments for which there is an off-balance-sheet amount) that can be converted to assets in the balance sheet.</t>
  </si>
  <si>
    <t>Este atributo de dados fornece informações sobre o montante das provisões (se for caso disso) associados a montantes extrapatrimoniais (de instrumentos para que existe um montante extrapatrimonial) que pode ser convertido em ativos no balanço.</t>
  </si>
  <si>
    <t>INSTRUMENT-PRVSNS_OFF_BLNC_SHT</t>
  </si>
  <si>
    <t xml:space="preserve">Provisions associated with off-balance sheet exposures </t>
  </si>
  <si>
    <t>The amount of provisions for off-balance-sheet amounts. If no amount can be drawn by or disbursed to the debtor without contractual changes, the off-balance-sheet amount of the instrument is reported as ”not applicable”.</t>
  </si>
  <si>
    <t>provis_assoc_offbalance</t>
  </si>
  <si>
    <t>LT002_INSTRUMENT.PRVSNS_OFF_BLNC_SHT</t>
  </si>
  <si>
    <t>V_178</t>
  </si>
  <si>
    <t>Forbearance information</t>
  </si>
  <si>
    <t>Status of forbearance and renegotiation</t>
  </si>
  <si>
    <t>Identification of forborne and renegotiated instruments.
Opções:
‣ Forborne: instruments with modified interest rate below market conditions
‣ Forborne: instruments with other modified terms and conditions
‣ Forborne: totally or partially refinanced debt
‣ Renegotiated instrument without forbearance measures
‣ Not forborne or renegotiated</t>
  </si>
  <si>
    <t>Identificação de instrumentos adulterados e renegociados.
Opções:
‣ Forborne: instruments with
modified interest rate below
market conditions
‣ Forborne: instruments with
other modified terms and
conditions
‣ Forborne: totally or partially
refinanced debt
‣ Renegotiated instrument
without forbearance measures
‣ Not forborne or renegotiated</t>
  </si>
  <si>
    <t>INSTRUMENT-FRBRNC_STTS_INSTRMNT</t>
  </si>
  <si>
    <t>Forbearance status</t>
  </si>
  <si>
    <t>Identification of forborne and renegotiated instruments.</t>
  </si>
  <si>
    <t>status_forbearance_reneg</t>
  </si>
  <si>
    <t>LT002_INSTRUMENT.FRBRNC_STTS_INSTRMNT
‣ Necessário criar novas parametrizaçôes nas tabelas lt829_regras_conversao e lt830_conversoes, podendo as mesmas ser consultadas neste documento nas sheets:
     ‣ LT829 - filtrando por campo_conceito = 'FRBRNC_STTS_INSTRMNT' e regra_conversao = '1';
     ‣ LT830 - filtrando por segmento = 'Exposures to natural persons' e campo_conceito = 'FRBRNC_STTS_INSTRMNT'.</t>
  </si>
  <si>
    <t>‣ dd_field_id = "178"</t>
  </si>
  <si>
    <t>‣ Tradução do campo "frbrnc_stts_instrmnt" através de uma ligação com o campo "dd_code" para obter o campo:
     dd_value</t>
  </si>
  <si>
    <t>frbrnc_stts_instrmnt</t>
  </si>
  <si>
    <t>V_179</t>
  </si>
  <si>
    <t>Date of the forbearance and renegotiation status</t>
  </si>
  <si>
    <t>The date on which a forbearance or renegotiation status as reported under “status of forbearance and renegotiation” is considered to have occurred.</t>
  </si>
  <si>
    <t>A data em que se considera ter ocorrido um estatuto de diferimento ou de renegociação, tal como comunicado em "estado de tolerância e renegociação".</t>
  </si>
  <si>
    <t>INSTRUMENT-DT_FRBRNC_STTS</t>
  </si>
  <si>
    <t>Date of forbearance status</t>
  </si>
  <si>
    <t>Date of forbearance status. If the instrument has never been subject to forbearance measure then this date would be equal to the inception date.</t>
  </si>
  <si>
    <t>date_status_forbearance_reneg</t>
  </si>
  <si>
    <t>LT002_INSTRUMENT.DT_FRBRNC_STTS</t>
  </si>
  <si>
    <t>dt_frbrnc_stts</t>
  </si>
  <si>
    <t>V_180</t>
  </si>
  <si>
    <t>Default information</t>
  </si>
  <si>
    <t>Cumulative recoveries since default</t>
  </si>
  <si>
    <t>The total amount recovered since the date of default received in relation to a defaulted instrument during the latest default period and only during that period.</t>
  </si>
  <si>
    <t>O montante total recuperado desde a data do incumprimento recebido em relação a um instrumento em incumprimento durante o último período de incumprimento e apenas durante esse período.</t>
  </si>
  <si>
    <t>INSTRUMENT-CMLTV_RCVRS_SNC_DFLT_INSTRMNT</t>
  </si>
  <si>
    <t>The total amount recovered since the date of default.</t>
  </si>
  <si>
    <t>cumulative_recov_since_default</t>
  </si>
  <si>
    <t>LT002_INSTRUMENT.CMLTV_RCVRS_SNC_DFLT_INSTRMNT</t>
  </si>
  <si>
    <t>cd_captools.fr009_recup</t>
  </si>
  <si>
    <t>valor</t>
  </si>
  <si>
    <t>V_181</t>
  </si>
  <si>
    <t>Carrying amount</t>
  </si>
  <si>
    <t>The carrying amount in accordance with Annex V to Implementing Regulation (EU) No 680/2014.</t>
  </si>
  <si>
    <t>A quantia transitada em conformidade com o anexo V do Regulamento de Execução (UE) n.o 680/2014.</t>
  </si>
  <si>
    <t>INSTRUMENT-CRRYNG_AMNT_INSTRMNT</t>
  </si>
  <si>
    <t>Net carrying amount including accrued interest as laid down in Annex 5 Regulation 680/2014.</t>
  </si>
  <si>
    <t>carrying_amount</t>
  </si>
  <si>
    <t>LT002_INSTRUMENT.CRRYNG_AMNT_INSTRMNT</t>
  </si>
  <si>
    <t>mon_cap_st1_vivo</t>
  </si>
  <si>
    <t>‣ Soma dos campos mencionados anteriormente:
     mon_cap_st1_vivo + mon_cap_st1_c0 + mon_cap_st1_c1 + mon_cap_st1_co + mon_cap_st2_vivo + mon_cap_st2_c0 + mon_cap_st2_c1 + mon_cap_st2_co + mon_cap_st3_vivo + mon_cap_st3_c0 + mon_cap_st3_c1 + mon_cap_st3_co + mon_jur_st1 + mon_jur_st1_c0 + mon_jur_st1_c1 + mon_jur_st1_co + mon_jur_st2 + mon_jur_st2_c0 + mon_jur_st2_c1 + mon_jur_st2_co + mon_jur_st3 + mon_jur_st3_c0 + mon_jur_st3_c1 + mon_jur_st3_co + mon_imparid_patri + mon_comissoes + mon_despesas</t>
  </si>
  <si>
    <t>mon_cap_st1_c0</t>
  </si>
  <si>
    <t>mon_cap_st1_c1</t>
  </si>
  <si>
    <t>mon_cap_st1_co</t>
  </si>
  <si>
    <t>mon_cap_st2_vivo</t>
  </si>
  <si>
    <t>mon_cap_st2_c0</t>
  </si>
  <si>
    <t>mon_cap_st2_c1</t>
  </si>
  <si>
    <t>mon_cap_st2_co</t>
  </si>
  <si>
    <t>mon_cap_st3_vivo</t>
  </si>
  <si>
    <t>mon_cap_st3_c0</t>
  </si>
  <si>
    <t>mon_cap_st3_c1</t>
  </si>
  <si>
    <t>mon_cap_st3_co</t>
  </si>
  <si>
    <t>mon_jur_st1</t>
  </si>
  <si>
    <t>mon_jur_st1_c0</t>
  </si>
  <si>
    <t>mon_jur_st1_c1</t>
  </si>
  <si>
    <t>mon_jur_st1_co</t>
  </si>
  <si>
    <t>mon_jur_st2</t>
  </si>
  <si>
    <t>mon_jur_st2_c0</t>
  </si>
  <si>
    <t>mon_jur_st2_c1</t>
  </si>
  <si>
    <t>mon_jur_st2_co</t>
  </si>
  <si>
    <t>mon_jur_st3</t>
  </si>
  <si>
    <t>mon_jur_st3_c0</t>
  </si>
  <si>
    <t>mon_jur_st3_c1</t>
  </si>
  <si>
    <t>mon_jur_st3_co</t>
  </si>
  <si>
    <t>mon_comissoes</t>
  </si>
  <si>
    <t>mon_despesas</t>
  </si>
  <si>
    <t>V_182</t>
  </si>
  <si>
    <t>Prudential portfolio</t>
  </si>
  <si>
    <t>Classification of exposures in the trading book as defined in Article 4(1)(86) of Regulation (EU) No 575/2013.
Opções:
‣ Trading book
‣ Non- trading book</t>
  </si>
  <si>
    <t>Classificação das posições em risco na carteira de negociação, tal como definida no artigo 4.o, n.o 1 (86), do Regulamento (UE) n.o 575/2013.
Opções:
‣ Trading book
‣ Non- trading book</t>
  </si>
  <si>
    <t>prudential_portfolio</t>
  </si>
  <si>
    <t>LT002_INSTRUMENT.PRDNTL_PRTFL
‣ Necessário criar novas parametrizaçôes nas tabelas lt829_regras_conversao e lt830_conversoes, podendo as mesmas ser consultadas neste documento nas sheets:
     ‣ LT829 - filtrando por campo_conceito = 'PRDNTL_PRTFL' e regra_conversao = '1';
     ‣ LT830 - filtrando por segmento = 'Exposures to natural persons' e campo_conceito = 'PRDNTL_PRTFL'.</t>
  </si>
  <si>
    <t>‣ dd_field_id = "182"</t>
  </si>
  <si>
    <t>V_183</t>
  </si>
  <si>
    <t>Valuation</t>
  </si>
  <si>
    <t>Accumulated changes in fair value due to credit risk</t>
  </si>
  <si>
    <t>Accumulated changes in fair value due to credit risk in accordance with Part 2.46 of Annex V to Implementing Regulation (EU) No 680/2014.</t>
  </si>
  <si>
    <t>Variações acumuladas no justo valor devidas ao risco de crédito, em conformidade com o anexo V, parte 2.46, do Regulamento de Execução (UE) n.o 680/2014.</t>
  </si>
  <si>
    <t>INSTRUMENT-ACCMLTD_CHNGS_FV_CR_INSTRMNT</t>
  </si>
  <si>
    <t>accum_changes_fv_due_cr</t>
  </si>
  <si>
    <t>LT002_INSTRUMENT.ACCMLTD_CHNGS_FV_CR_INSTRMNT</t>
  </si>
  <si>
    <t>accmltd_chngs_fv_cr_instrmnt</t>
  </si>
  <si>
    <t>Probability of default</t>
  </si>
  <si>
    <t>Numeric. Basis points.</t>
  </si>
  <si>
    <t>The counterparty’s probability of default over one year, determined in accordance with Articles 160, 163, 179 and 180 of Regulation (EU) No 575/2013. The probability of default (PD) is in accordance with the requirements specific to PD estimation as laid down in the CRR. In the case of PDs produced at the instrument level only (the so-called product PD), the counterparty PD is reported as the exposure weighted average PD of all instruments of the counterparty. If, for a given counterparty, a PD is estimated for both the counterparty and (some of) the products of the counterparty, the counterparty’s PD is to be reported.</t>
  </si>
  <si>
    <t>A probabilidade de incumprimento da contraparte durante um ano, determinada nos termos dos artigos 160.o, 163.o, 179.o e 180.o do Regulamento (UE) n.o 575/2013. A probabilidade de incumprimento (PD) está em conformidade com os requisitos específicos para a estimativa da PD, tal como estabelecido no CRR. No caso de PD produzidos apenas ao nível do instrumento (o chamado PD do produto), o PD da contraparte é reportado como o PD médio ponderado da posição em risco de todos os instrumentos da contraparte. Se, para uma dada contraparte, for estimado um PD tanto para a contraparte como para (alguns dos) produtos da contraparte, deve ser comunicado o PD da contraparte.</t>
  </si>
  <si>
    <t>ENTITY-PD_CRR_RD</t>
  </si>
  <si>
    <t>Probability of default according to CRR at reference date</t>
  </si>
  <si>
    <t>The PD over one year, determined in accordance with Articles 160, 163, 179 and 180 of Regulation (EU) No 575/2013.
If the PD is calculated on obligor level then provide the obligor PD. If the PD is calculated on instruments level please provide an EAD weighted average.</t>
  </si>
  <si>
    <t>probability_default</t>
  </si>
  <si>
    <t>LT003_ENTITY.PD_CRR_RD</t>
  </si>
  <si>
    <t>‣ Este campo tem de ser calculado por fases:
     ‣ 1º - Calculamos o campo auxiliar "ead_final_bruta_grup1":
          Média do campo "ead_final_bruta" para cada par dos campos "s1emp", "contra1";
     ‣ 2º - Calculamos o campo auxiliar "in_pdini_grup1":
          ‣ Para cada par dos campos "s1emp", "contra1", calculamos a média ponderada do campo "in_pdini" em relação ao campo "ead_final_bruta":
               SUM(in_pdini * ead_final_bruta) / SUM(ead_final_bruta)
     ‣ 3º - Calculamos o campo auxiliar "ead_final_bruta_grup2":
          Soma do campo auxiliar "ead_final_bruta_grup1" para cada combinação dos campos "cempresa", "cbalcao", "cnumecta", "zdeposit";
     ‣ 4º - Calculamos o campo auxiliar "in_pdini_grup2":
          ‣ Para cada combinação dos campos "cempresa", "cbalcao", "cnumecta", "zdeposit", calculamos a média ponderada do campo auxiliar "in_pdini_grup1" em relação ao campo auxiliar "ead_final_bruta_grup1":
               SUM(in_pdini_grup1 * ead_final_bruta_grup1) / SUM(ead_final_bruta_grup1)
‣ Finalmente para cada Counterparty Identifier calculamos a média ponderada do campo auxiliar "in_pdini_grup2" em relação ao campo auxiliar "ead_final_bruta_grup2":
     SUM(in_pdini_grup2 * ead_final_bruta_grup2) / SUM(ead_final_bruta_grup2)</t>
  </si>
  <si>
    <t>in_pdini</t>
  </si>
  <si>
    <t>Numeric / Alphanumeric</t>
  </si>
  <si>
    <t>Internal credit rating/scoring issued to the Counterparty.</t>
  </si>
  <si>
    <t>Notação de risco interna emitida para a Contraparte.</t>
  </si>
  <si>
    <t xml:space="preserve">LT003_ENTITY.INTRNL_RTNG
‣ Luís Capitão-Mor solicitou que se confirme que este campo no Loan Tape tem origem no input de Capital.
Segundo o documento "Especificação - BCE Loan Tape - Internal Ratings_v1.4", é referido:  
"Nível do cliente: deverá ser consultada a tabela CD_CAPTOOLS.JM_CAL_IN_CL;" ou seja, confirma-se que tem origem no input de Capital.
</t>
  </si>
  <si>
    <t>A probabilidade de incumprimento/imparidade é calculada de acordo com os requisitos específicos para a estimativa de PD, tal como estabelecido no quadro contabilístico. Se os PD forem produzidos apenas ao nível do instrumento, o PD da contraparte deve ser reportado como o PD médio ponderado pelas posições em risco nos PD de todos os instrumentos da contraparte. Se, para uma dada contraparte, as PD forem estimadas tanto para a contraparte como para (alguns)
dos produtos da contraparte, é o PD da contraparte que deve ser comunicado.</t>
  </si>
  <si>
    <t>Applicable only to institutions neither using models for estimating IFRS 9 impairments nor CRR IRB models. These institutions should maintain records of probabilities of default or scores provided by scoring/rating models. In the case of PDs produced at the instrument level only, the counterparty’s PD is to be reported as the exposure-weighted average PD across the PDs of all instruments of the counterparty. If, for a given counterparty, PDs are estimated for both the counterparty and (some of) the products of the counterparty, it is the counterparty’s PDs which is to be reported.</t>
  </si>
  <si>
    <t>Aplicável apenas às instituições que não utilizam modelos de estimativa Imparidades IFRS 9 nem modelos de IRB CRR. Estas instituições devem: manter registos das probabilidades de incumprimento ou das pontuações fornecidas por modelos de pontuação/classificação.No caso de PD produzidos apenas ao nível do instrumento, o PD da contraparte deve ser reportado como o PD médio ponderado pela posição em risco entre os PD de todos os instrumentos de a contraparte. Se, para uma dada contraparte, as PD forem estimadas tanto para a contraparte como para (alguns dos) produtos da contraparte, são as PD da contraparte que devem ser comunicadas.</t>
  </si>
  <si>
    <t>V_184</t>
  </si>
  <si>
    <t>Counterparty characteristics</t>
  </si>
  <si>
    <t>Counterparty role</t>
  </si>
  <si>
    <t>The roles that counterparties assume in relation to an instrument recorded in the instrument dataset are recorded in the counterparty-instrument dataset.
Opções:
‣ Creditor
‣ Debtor
‣ Servicer
‣ Originator</t>
  </si>
  <si>
    <t>As funções que as contrapartes assumem em relação a um instrumento registados no conjunto de dados do instrumento são registados no conjunto de dados contraparte-instrumento.
Opções:
‣ Creditor
‣ Debtor
‣ Servicer
‣ Originator</t>
  </si>
  <si>
    <t>counterparty_role</t>
  </si>
  <si>
    <t>V_185</t>
  </si>
  <si>
    <t xml:space="preserve"> Default status of the counterparty</t>
  </si>
  <si>
    <t>Identification of the default status of the counterparty.
Categories describing the motives for which the counterparty can be in default in accordance with Article 178 of Regulation (EU) No 575/2013.
Opções:
‣ Not in default
‣ Default because unlikely to pay
‣ Default because more than 90/180 days past due
‣ Default because both unlikely to pay and more than 90/180 days past due</t>
  </si>
  <si>
    <t>Identificação da situação de incumprimento da contraparte.
Categorias que descrevem os motivos pelos quais a contraparte pode estar em situação de incumprimento, em conformidade com o artigo 178.o do Regulamento (UE) n.o 575/2013.
Opções:
‣ Not in default
‣ Default because unlikely to pay
‣ Default because more than
90/180 days past due
‣ Default because both unlikely
to pay and more than 90/180
days past due</t>
  </si>
  <si>
    <t>ENTITY-DFLT_STTS</t>
  </si>
  <si>
    <t>Default status of the entity</t>
  </si>
  <si>
    <t>Identification of the default status of the counterparty. Categories describing the motives for which the counterparty can be in default in accordance with Article 178 of Regulation (EU) No 575/2013.
For retail only: If default classification performed on instrument level then Entity is classified as defaulted when at least one instrument is classified as defaulted.
For corporate, SME, CRE and LF: if default classification performed on instrument level then entity level is "not applicable".</t>
  </si>
  <si>
    <t>default_status_counterparty</t>
  </si>
  <si>
    <t>LT003_ENTITY.DFLT_STTS
‣ Necessário criar novas parametrizaçôes nas tabelas lt829_regras_conversao e lt830_conversoes, podendo as mesmas ser consultadas neste documento nas sheets:
     ‣ LT829 - filtrando por campo_conceito = 'DFLT_STTS' e regra_conversao = '1';
     ‣ LT830 - filtrando por segmento = 'Exposures to natural persons', campo_conceito = 'DFLT_STTS'.</t>
  </si>
  <si>
    <t>‣ Este campo tem de ser calculado por fases:
     ‣ 1º - Para cada Counterparty Identifier calculamos o máximo do campo "dflt_stts_instrmnt":
          MAX(dflt_stts_instrmnt);
     ‣ 2º - Tradução do MAX(dflt_stts_instrmnt) através de uma ligação com o campo "dd_code" para obter o campo:
          dd_value.</t>
  </si>
  <si>
    <t>V_186</t>
  </si>
  <si>
    <t>Date of the default status of the counterparty</t>
  </si>
  <si>
    <t>The date on which the default status, as reported in the data attribute “Default status of the counterparty”, is considered to have arisen.</t>
  </si>
  <si>
    <t>A data em que se considera que surgiu o estatuto de incumprimento, tal como indicado no atributo de dados "Estado de incumprimento da contraparte".</t>
  </si>
  <si>
    <t>ENTITY-DT_DFLT_STTS</t>
  </si>
  <si>
    <t>The date on which the default status, as reported in the data attribute “Default status”, is considered to have arisen. If "Not in default" since inception then this attribute is to be reported equally to the inception date.
If default classification performed on instrument level then Entity is classified as defaulted when at least one instrument is classified as defaulted. If more than one Instrument is classified as defaulted then the earliest date has to be provided. The definition of default is aligned with Art 178 of Regulation (EU) No 575/2013.</t>
  </si>
  <si>
    <t>date_default_status_counterparty</t>
  </si>
  <si>
    <t>LT003_ENTITY.DT_DFLT_STTS</t>
  </si>
  <si>
    <t>‣ Para cada Counterparty Identifier calculamos o minimo do campo "dt_dflt_stts_instrmnt":
     MIN(dt_dflt_stts_instrmnt)</t>
  </si>
  <si>
    <t>Um identificador aplicado para identificar exclusivamente cada proteção/garantia usada para proteger o instrumento.</t>
  </si>
  <si>
    <t xml:space="preserve">cd_captools.fr003_colaterais </t>
  </si>
  <si>
    <t>‣ Concatenação dos campos mencionados anteriormente:
 cempresa + "_" + cbalcao_caucao + "_" + cnumecta_caucao + "_" + zcaucao</t>
  </si>
  <si>
    <t>V_219</t>
  </si>
  <si>
    <t>Protection provider identifier</t>
  </si>
  <si>
    <t>The protection provider identifier is the counterparty identifier of the counterparty that grants protection against a contractually agreed negative credit event and that is obliged to make payments to the creditor if the debtor fails to meet the obligation to make repayments arising under the instrument secured by the protection item.</t>
  </si>
  <si>
    <t>O identificador do prestador de proteção é o identificador da contraparte que concede proteção contra um acontecimento de crédito negativo contratualmente acordado e que é obrigada a efetuar pagamentos ao credor se o devedor não cumprir a obrigação de efetuar reembolsos decorrentes do instrumento garantido pelo elemento de proteção.</t>
  </si>
  <si>
    <t>PROTECTION-PRTCTN_PRVDR_ID</t>
  </si>
  <si>
    <t>Protection Provider ID (Guarantor)</t>
  </si>
  <si>
    <t>Counterparty identifier for the protection provider. If the protection provider is not a legal entity, the protection provider identifier is not required to be reported.</t>
  </si>
  <si>
    <t>protection_provider_id</t>
  </si>
  <si>
    <t>LT004_PROTECTION.PRTCTN_PRVDR_ID</t>
  </si>
  <si>
    <t>garante</t>
  </si>
  <si>
    <t>Not applicable: To be reported as "N/A". 
This information will be availabe in "02_05_nat_instr_prot" table</t>
  </si>
  <si>
    <t>Mapeamento LT:
Not Applicable: Reportar 'N/A'
Comentários IT:
Este campo constará no ficheiro "02_05_nat_instr_prot"</t>
  </si>
  <si>
    <t>‣ Concatenação dos campos mencionados anteriormente:
 cempresa + "_" + cbalcao + "_" + cnumecta + "_" + zdeposit</t>
  </si>
  <si>
    <t>The AnaCredit item “type of protection” (Section 9.4.3. of the AnaCredit Reporting Manual Part II – Datasets and data attributes) provides a breakdown of collaterals eligible in accordance with the CRR. The proposed breakdown adds several categories.
Options:
‣ Gold
‣ Currency and deposits
‣ Securities
‣ Loans
‣ Equity and investment fund
shares or units
‣ Credit derivatives
‣ Financial guarantees other than
credit derivatives
‣ Trade receivables
‣ Life insurance policies pledged
‣ Residential real estate collateral
‣ Offices and commercial
premises
‣ Commercial real estate
collateral
‣ Other physical collateral
‣ Other protection
‣ Hotels &amp; entertainment
‣ Infrastructure projects
‣ Factories – Warehouses
‣ Equipment &amp; machinery
‣ Automotive
‣ Aircraft
‣ Shipping</t>
  </si>
  <si>
    <t>A rubrica "tipo de proteção" da AnaCredit (Secção 9.4.3 do Manual de Comunicação de Informação AnaCredit Parte II – Conjuntos de dados e atributos de dados) fornece uma discriminação das garantias elegíveis de acordo com o RRFP (CRR). A repartição proposta acrescenta várias categorias.
Opções:
‣ Gold
‣ Currency and deposits
‣ Securities
‣ Loans
‣ Equity and investment fund
shares or units
‣ Credit derivatives
‣ Financial guarantees other than
credit derivatives
‣ Trade receivables
‣ Life insurance policies pledged
‣ Residential real estate collateral
‣ Offices and commercial
premises
‣ Commercial real estate
collateral
‣ Other physical collateral
‣ Other protection
‣ Hotels &amp; entertainment
‣ Infrastructure projects
‣ Factories – Warehouses
‣ Equipment &amp; machinery
‣ Automotive
‣ Aircraft
‣ Shipping</t>
  </si>
  <si>
    <t>LT004_PROTECTION.TYP_PRTCTN
‣ Necessário criar novas parametrizaçôes nas tabelas lt829_regras_conversao e lt830_conversoes, podendo as mesmas ser consultadas neste documento nas sheets:
     ‣ LT829 - filtrando por campo_conceito = 'TYP_PRTCTN' e regra_conversao = '1';
     ‣ LT830 - filtrando por segmento = 'Exposures to natural persons' e campo_conceito = 'TYP_PRTCTN'.</t>
  </si>
  <si>
    <t>‣ Tradução do campo "typ_prtctn" através de uma ligação com o campo "dd_code" para obter o campo:
dd_value</t>
  </si>
  <si>
    <t>Building area of the building in square meters. Only applicable to Residential real estate collateral, Offices and commercial premises, Commercial real estate collateral, Hotels &amp; entertainment, Factories – warehouses.</t>
  </si>
  <si>
    <t>Área de construção do edifício em metros quadrados. Aplicável apenas a garantias imobiliárias residenciais, escritórios e estabelecimentos comerciais, garantias imobiliárias comerciais, hotéis e entretenimento, fábricas – armazéns.</t>
  </si>
  <si>
    <t>Não está implementado</t>
  </si>
  <si>
    <t>Land area of the property in square meters.</t>
  </si>
  <si>
    <t>Área do terreno da propriedade em metros quadrados.</t>
  </si>
  <si>
    <t>Postcode where the property is located. Only applicable to Residential real estate collateral, Offices and commercial premises, Commercial real estate collateral, Hotels &amp; entertainment, Factories – Warehouses.</t>
  </si>
  <si>
    <t>Código postal onde o imóvel está localizado. Aplicável apenas a
Garantias imobiliárias residenciais, Escritórios e espaços comerciais, Garantias imobiliárias comerciais, Hotéis e entretenimento, Fábricas – Armazéns.</t>
  </si>
  <si>
    <t>The highest ranking position(s) in relation to the collateral held by the counterparty to secure the facility. In case the facility has several liens on one collateral, the highest claim is reported in this data field.</t>
  </si>
  <si>
    <t>A(s) posição(ões) mais elevada(s) em relação às garantias detidas pela contraparte para garantir a facilidade. No caso de a facilidade ter vários ónus sobre uma garantia, o crédito mais elevado é comunicado neste campo de dados.</t>
  </si>
  <si>
    <t xml:space="preserve">Mapeamento LT:
Este campo deverá ser sempre preenchido com '1'. 
Comentários IT:
‣ Reunião 2024-04-08: Segundo Luís Capitão-Mor, o Banco só aceita primeiras hipotecas, como tal, este campo deverá ser sempre preenchido com '1'. </t>
  </si>
  <si>
    <t>V_188</t>
  </si>
  <si>
    <t>Date of protection value</t>
  </si>
  <si>
    <t>The date on which the latest appraisal or valuation of the protection was carried out prior to the reporting reference date, i.e. the date on which the amount reported in the attribute “protection value” of the value type reported in the attribute “type of protection value” was established under the valuation method reported in the attribute protection valuation approach.</t>
  </si>
  <si>
    <t>A data em que a última avaliação ou avaliação da proteção foi realizada antes da data de referência do relatório, ou seja, a data
em que a quantidade relatada no atributo "valor de proteção" do tipo de valor relatado no atributo "tipo de proteção
valor" foi estabelecido de acordo com o método de avaliação relatado na abordagem de avaliação de proteção de atributos.</t>
  </si>
  <si>
    <t>PROTECTION-DT_PRTCTN_VL</t>
  </si>
  <si>
    <t>The date on which the latest appraisal or valuation of the protection was carried out prior to the reporting reference date.</t>
  </si>
  <si>
    <t>date_protection_value</t>
  </si>
  <si>
    <t>LT004_PROTECTION.DT_PRTCTN_VL</t>
  </si>
  <si>
    <t>dultmod</t>
  </si>
  <si>
    <t>V_220</t>
  </si>
  <si>
    <t>Protection value</t>
  </si>
  <si>
    <t>The amount of the protection value is the monetary value of the protection that was established at the latest valuation date</t>
  </si>
  <si>
    <t>O montante do valor de proteção é o valor monetário da proteção que foi estabelecido na última data de avaliação</t>
  </si>
  <si>
    <t>PROTECTION-PRTCTN_VL</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</si>
  <si>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</si>
  <si>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</si>
  <si>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protection_value</t>
  </si>
  <si>
    <t>LT004_PROTECTION.PRTCTN_VL</t>
  </si>
  <si>
    <t>mavaliaa</t>
  </si>
  <si>
    <t>V_189</t>
  </si>
  <si>
    <t>Protection characteristics</t>
  </si>
  <si>
    <t>Maturity date of the protection</t>
  </si>
  <si>
    <t>The contractual maturity date of the protection, which is the earliest date at which the protection may terminate or be terminated, taking into account any agreements amending initial contracts.</t>
  </si>
  <si>
    <t>A data de vencimento contratual da proteção, que é a data mais próxima em que a proteção pode cessar ou cessou, tendo em conta quaisquer acordos que alterem contratos iniciais.</t>
  </si>
  <si>
    <t>PROTECTION-DT_MTRTY_PRTCTN</t>
  </si>
  <si>
    <t>maturity_date_protection</t>
  </si>
  <si>
    <t>LT004_PROTECTION.DT_MTRTY_PRTCTN</t>
  </si>
  <si>
    <t>dvencime</t>
  </si>
  <si>
    <t>V_190</t>
  </si>
  <si>
    <t>Original protection value</t>
  </si>
  <si>
    <t>The monetary value of the protection item that was established at the date when the protection item was originally received as a credit protection.</t>
  </si>
  <si>
    <t>O valor monetário do item de proteção que foi estabelecido na data em que o item de proteção foi originalmente recebido como proteção de crédito.</t>
  </si>
  <si>
    <t>PROTECTION-ORGNL_PRTCTN_VL</t>
  </si>
  <si>
    <t>Original protection value (at inception)</t>
  </si>
  <si>
    <t>The original protection value is the monetary value of the protection item that was established at the date when the protection item was originally received as a credit protection.</t>
  </si>
  <si>
    <t>original_protection_value</t>
  </si>
  <si>
    <t>LT004_PROTECTION.ORGNL_PRTCTN_VL</t>
  </si>
  <si>
    <t>mavaliai</t>
  </si>
  <si>
    <t>V_191</t>
  </si>
  <si>
    <t>Date of original protection value</t>
  </si>
  <si>
    <t>The date on which the latest appraisal or valuation of the protection was carried out prior to its initial receipt as credit protection.</t>
  </si>
  <si>
    <t>O tipo do valor relatado do item de proteção conforme relatado no atributo de dados.
Opção:
‣ Notional amount
‣ Fair value
‣ Market value
‣ Long-term sustainable value
‣ Other protection value</t>
  </si>
  <si>
    <t>PROTECTION-DT_ORGNL_PRTCTN_VL</t>
  </si>
  <si>
    <t>The date of original protection value is the date on which the latest appraisal or valuation of the protection was carried out prior to its initial receipt as credit protection.</t>
  </si>
  <si>
    <t>date_original_protection_value</t>
  </si>
  <si>
    <t>LT004_PROTECTION.DT_ORGNL_PRTCTN_VL
Comentários IT:
Segundo Luís Capitão-Mor, deverão ser avaliadas as regras de preenchimento deste campo no Loan Tape, de forma a perceber se se está a recuperar a data mais antiga de uma garantia, ou a mais antiga que continua viva, ou a mais recente anterior à data de início do contrato onde o bem foi dado como garantia.</t>
  </si>
  <si>
    <t>dabertur</t>
  </si>
  <si>
    <t>V_192</t>
  </si>
  <si>
    <t>Type of protection value</t>
  </si>
  <si>
    <t>The type of the reported value of the protection item as reported in the data attribute “protection value”.
Options:
‣ Notional amount
‣ Fair value
‣ Market value
‣ Long-term sustainable value
‣ Other protection value</t>
  </si>
  <si>
    <t>O tipo do valor relatado do item de proteção conforme relatado no atributo de dados.
Opções:
‣ Notional amount
‣ Fair value
‣ Market value
‣ Long-term sustainable value
‣ Other protection value</t>
  </si>
  <si>
    <t>PROTECTION-TYP_PRTCTN_VL</t>
  </si>
  <si>
    <t>Identification of the type of value provided in the data attribute “Protection value”.</t>
  </si>
  <si>
    <t>type_protection_value</t>
  </si>
  <si>
    <t>LT004_PROTECTION.TYP_PRTCTN_VL
‣ Necessário criar novas parametrizaçôes nas tabelas lt829_regras_conversao e lt830_conversoes, podendo as mesmas ser consultadas neste documento nas sheets:
     ‣ LT829 - filtrando por campo_conceito = 'TYP_PRTCTN_VL' e regra_conversao = '1';
     ‣ LT830 - filtrando por segmento = 'Exposures to natural persons' e campo_conceito = 'TYP_PRTCTN_VL'.</t>
  </si>
  <si>
    <t>‣ Forçado a "Fair value"</t>
  </si>
  <si>
    <t>V_221</t>
  </si>
  <si>
    <t>Protection valuation approach</t>
  </si>
  <si>
    <t>Method used to determine the protection value.
Options:
‣ Mark-to-to-market valuation
‣ Counterparty estimation
‣ Creditor valuation
‣ Third party valuation</t>
  </si>
  <si>
    <t>Método utilizado para determinar o valor da proteção.
Opções:
‣ Mark-to-to-market valuation
‣ Counterparty estimation
‣ Creditor valuation
‣ Third party valuation</t>
  </si>
  <si>
    <t>PROTECTION-PRTCTN_VLTN_APPRCH</t>
  </si>
  <si>
    <t>Type of protection valuation; method used to determine the protection value.</t>
  </si>
  <si>
    <t>protection_val_approach</t>
  </si>
  <si>
    <t>LT004_PROTECTION.PRTCTN_VLTN_APPRCH
‣ Necessário criar novas parametrizaçôes nas tabelas lt829_regras_conversao e lt830_conversoes, podendo as mesmas ser consultadas neste documento nas sheets:
     ‣ LT829 - filtrando por campo_conceito = 'PRTCTN_VLTN_APPRCH' e regra_conversao = '1';
     ‣ LT830 - filtrando por segmento = 'Exposures to natural persons' e campo_conceito = 'PRTCTN_VLTN_APPRCH'.</t>
  </si>
  <si>
    <t>‣ Forçado a "Mark-to-to-market valuation"</t>
  </si>
  <si>
    <t>V_193</t>
  </si>
  <si>
    <t>Protection allocated value</t>
  </si>
  <si>
    <t>The maximum amount of the protection value that can be considered as credit protection for the instrument. The amount of the existing third parties or observed agent priority claims against the protection must be excluded in the protection allocated value.</t>
  </si>
  <si>
    <t>O montante máximo do valor de proteção que pode ser considerado como proteção de crédito para o instrumento. A quantidade das reivindicações de prioridade de terceiros existentes ou agentes observados contra a proteção devem ser excluídas no valor atribuído à proteção.</t>
  </si>
  <si>
    <t>Not applicable: To be reported as "11111111111". 
This information will be availabe in "02_05_nat_instr_prot" table</t>
  </si>
  <si>
    <t>protection_allocated_value</t>
  </si>
  <si>
    <t xml:space="preserve">LT004_PROTECTION.PRTCTN_VL
Comentários IT:
Como o banco só aceita 1ªs hipotecas, este campo é exatamente igual ao LT004_PROTECTION.PRTCTN_VL (V_220), como tal, da perspetiva de Luís Capitão-Mor deve ser reportado aqui esse valor (LT004_PROTECTION.PRTCTN_VL).
Questionou-se então a Corporação se se pode reportar o referido anteriormente ou se terá de ser 11111111111 (Not Applicable), conforme referido na coluna H (Mapeamentos Corporação (LT)).
Email de Pedro Mendes (09/05/2024 17:19) com a resposta da Corporação:
"No, no estaba diciendo que se reporte "11111111111" (Not applicable). Lo que digo es que nosotros estamos informando lo mismo que se está informando en la GRT:
-	Si en la GRT se informa "11111111111", entonces en VDS informamos "11111111111”
-	Si en la GRT se informa otra cosa, entonces informamos esa misma cosa en VDS
En definitiva, la idea es informar en VDS lo mismo que se informe en la GRT. Tened en cuenta que la solución estratégica es que terminemos obteniendo VDS de la GRT para los módulos de Exposures y Debt Securities."
</t>
  </si>
  <si>
    <t>prtctn_allctd_vl</t>
  </si>
  <si>
    <t>V_194</t>
  </si>
  <si>
    <t>Third-party priority claims against the protection</t>
  </si>
  <si>
    <t>The maximum amount of any existing higher ranked liens with respect to third parties other than the observed agent against the protection.</t>
  </si>
  <si>
    <t>O montante máximo de quaisquer ónus de grau superior existentes em relação a terceiros que não o agente observado contra o
proteção.</t>
  </si>
  <si>
    <t>thirdparty_claims_protection</t>
  </si>
  <si>
    <t xml:space="preserve">Mapeamento LT:
Este campo deverá ser sempre preenchido com '0'. 
Comentários IT:
Segundo Luís Capitão-Mor, como o banco só aceita 1ªs hipotecas, este campo deverá ser reportado com 0. 
Questionou-se então a Corporação se se pode reportar o referido anteriormente ou se terá de ser 11111111111 (Not Applicable), conforme referido na coluna H (Mapeamentos Corporação (LT)).
Email de Pedro Mendes (09/05/2024 17:19) com a resposta da Corporação:
"No, no estaba diciendo que se reporte "11111111111" (Not applicable). Lo que digo es que nosotros estamos informando lo mismo que se está informando en la GRT:
-	Si en la GRT se informa "11111111111", entonces en VDS informamos "11111111111”
-	Si en la GRT se informa otra cosa, entonces informamos esa misma cosa en VDS
En definitiva, la idea es informar en VDS lo mismo que se informe en la GRT. Tened en cuenta que la solución estratégica es que terminemos obteniendo VDS de la GRT para los módulos de Exposures y Debt Securities."
</t>
  </si>
  <si>
    <t>INSTR_ENTITY-JNT_LBLTY_AMNT</t>
  </si>
  <si>
    <t>Joint-liability amount</t>
  </si>
  <si>
    <t>Outstanding nominal amount for which each debtor is liable in relation to a single instrument where there are two or more debtors. In the case of instruments where there is only one debtor, please report "not applicable" using the respective fall-back parameters.</t>
  </si>
  <si>
    <t>LT005_INSTR_ENT.JNT_LBLTY_AMNT</t>
  </si>
  <si>
    <t>Mapeamento LT:
‣ Este campo deve ser obtido a partir do campo "tipo_conta" da tabela fr802_pl_contas:
          1. Ligar o universo à tabela fr802_pl_contas através do campo "conta", obtendo o campo "tipo_conta";
          2. Se para a mesma conta existir  mais do que um "tipo_conta" distinto, deve-se trazer apenas um deles segundo a seguinte ordem de prioridades 'A', 'EA', 'P', 'EP'. 
                Se nenhum dos 'tipo_conta' for uma das opções ('A', 'EA', 'P', 'EP') então é indifrente qual é utilizado, de forma a que se pode trazer por exemplo o 1º encontrado.
‣ Necessário criar nova parametrização na tabela lt831_param_conceitos, podendo a mesma ser consultada neste documento na sheet 'LT831' filtrando por tabela_conceito = 'LT005_INSTR_ENT' e campo_conceito = 'COUNTERPARTY_ROLE'
Comentários IT:
‣ Segundo Luís Capitão-Mor, na Parametrização atual do Loan Tape só são selecionados Titulares. Como tal, aqui no Valuation se se efetuar a mesma parametrização e dado que o report é sobre o Ativo, então o valor deste novo campo será sempre 'Debtor'.
Nota: Necessário validar novamente com Luís Capitão-Mor dado que ao ser um novo campo no Loan Tape deveria ser preenchido transversalmente e noutros âmbitos que não o Valuation, por exemplo o Bail-in, que é sobre passivo este campo já assumiria o valor 'Creditor', não? (aguarda-se resposta ao email enviado por Luís Pragosa a Luís Capitão-Mor 08/10/2024 15:15)
‣ Reunião Pedro Mendes, Luís Capitão-Mor 05-11-2024:  Foi definida a regra para este campo. Utilizando o campo "tipo_conta" da tabela fr802_pl_contas:
     - Em contratos com o campo "tipo_conta" = 'A' ou 'EA', reportar 'Debtor';
     - Em contratos com o campo "tipo_conta" = 'P' ou 'EP', reportar 'Creditor';
     - Em contratos que existe âmbiguidade no "tipo_conta" levar sempre o ativo como prioritário, ou seja se um contrato tiver dois "tipo_conta" 'A' e 'P' deveremos reportar 'Debtor'</t>
  </si>
  <si>
    <t>INSTR_PROTECTION-PRTCTN_ALLCTD_VL</t>
  </si>
  <si>
    <t>LT006_INSTR_PROT.PRTCTN_ALLCTD_VL</t>
  </si>
  <si>
    <t>Third-partypriority claims against the protection</t>
  </si>
  <si>
    <t>INSTR_PROTECTION-THRD_PRTY_PRRTY_CLMS</t>
  </si>
  <si>
    <t>Third party priority claims against the protection </t>
  </si>
  <si>
    <t>LT006_INSTR_PROT.THRD_PRTY_PRRTY_CLMS</t>
  </si>
  <si>
    <r>
      <rPr>
        <b/>
        <u/>
        <sz val="14"/>
        <color theme="1"/>
        <rFont val="Calibri"/>
        <family val="2"/>
        <scheme val="minor"/>
      </rPr>
      <t>SRB OFF-BALANCE SHEET EXPOSURES DATA SETS</t>
    </r>
    <r>
      <rPr>
        <b/>
        <sz val="11"/>
        <color theme="1"/>
        <rFont val="Calibri"/>
        <family val="2"/>
        <scheme val="minor"/>
      </rPr>
      <t xml:space="preserve">
Off-balance sheet exposures do not fall under the scope of the AnaCredit reporting requirements. The SRB Valuation Data Sets for off-balance sheet exposures introduces adhoc data points for these exposures and combine data from difference sources: existing SRB Data Sets for exposures to legal persons and the AnaCredit database. Additionally a set of ad hoc data points covers basic features of off-balance sheet exposures. Off-balance sheet exposures shall include the off-balance sheet items as listed in Annex I of CRR. This data set does not include data on credit derivatives, which are covered by the SRB Valuation Data Set on derivatives.
Serão produzidos cinco ficheiros de report referentes a Off-Balance Sheet Exposures:
‣  SRB Instruments Data Set for off-balance sheet exposures (OFFBAL_INSTRUMENTS);
‣  SRB Counterparties Data Set for off-balance sheet exposure (OFFBAL_COUNTERPARTIES);
‣  SRB Protection received Data Set for off-balance sheet exposures (OFFBAL_PROTECTIONS);
‣  SRB Instrument/Counterparty mapping Data Set for off-balance sheet exposures (OFFBAL_INSTRUMENT_COUNTERPARTY);
‣  SRB Instrument/Protection mapping Data Set for off-balance sheet exposures (OFFBAL_INSTRUMENT_PROTECTION);</t>
    </r>
  </si>
  <si>
    <r>
      <rPr>
        <b/>
        <u/>
        <sz val="14"/>
        <color theme="1"/>
        <rFont val="Calibri"/>
        <family val="2"/>
        <scheme val="minor"/>
      </rPr>
      <t>SRB OFF-BALANCE SHEET EXPOSURES DATA SETS</t>
    </r>
    <r>
      <rPr>
        <b/>
        <sz val="11"/>
        <color theme="1"/>
        <rFont val="Calibri"/>
        <family val="2"/>
        <scheme val="minor"/>
      </rPr>
      <t xml:space="preserve">
Os requisitos de 'Off-balance sheet exposures', não se enquadram no  âmbito do report da AnaCredit. O conjunto de dados de avaliação do CUR (SBR) para posições em risco extrapatrimoniais introduz pontos de dados para estas exposições e combinar dados de diferentes fontes: existentes Conjuntos de dados do CUR para posições em risco sobre pessoas coletivas e a base de dados AnaCredit. Além disso, um conjunto
dos pontos de dados ad hoc abrange as características básicas das posições em risco extrapatrimoniais. As posições em risco extrapatrimoniais devem incluir os elementos extrapatrimoniais enumerados no anexo I do CRR. Este conjunto de dados não inclui dados sobre derivados de crédito, que são abrangidos pelo conjunto de dados de avaliação do CUR sobre derivados.
Serão produzidos três ficheiros de report referentes a Natural Persons:
‣  SRB Instruments Data Set for off-balance sheet exposures (VDS_OUT_OFFBAL_INSTRUMENTS);
‣  SRB Counterparties Data Set for off-balance sheet exposure (VDS_OUT_OFFBAL_COUNTERPARTIES);
‣  SRB Protection received Data Set for off-balance sheet
exposures (VDS_OUT_OFFBAL_PROTECTIONS).</t>
    </r>
  </si>
  <si>
    <t>Observações Maria</t>
  </si>
  <si>
    <t>Not applicable: To be reported as "N/A". 
This information will be availabe in "03_04_off_instr_count" table</t>
  </si>
  <si>
    <t>Mapeamento LT:
Not Applicable: Reportar 'N/A'
Comentários IT:
Este campo constará no ficheiro "03_04_off_instr_count"</t>
  </si>
  <si>
    <t>The reporting agent identifier is the counterparty identifier of the reporting agent which reports the data.</t>
  </si>
  <si>
    <t>The observed agent identifier is the counterparty identifier of the observed agent (i.e. an institutional unit of the reporting agent) whose data are reported by the reporting agent.</t>
  </si>
  <si>
    <t>O identificador do agente observado é o identificador da contraparte do agente observado (ou seja, uma unidade institucional do agente inquirido) cujos dados são comunicados pelo agente inquirido.</t>
  </si>
  <si>
    <t>Um identificador aplicado pelo agente relator para identificar exclusivamente cada contrato. O identificador do contrato refere-se ao contrato de crédito entre duas ou mais partes ao abrigo do qual o instrumento é criado.</t>
  </si>
  <si>
    <t>V_222</t>
  </si>
  <si>
    <t>Type</t>
  </si>
  <si>
    <t>Type of commitment or guarantee as per FINREP classification.
Options:
‣ Loan commitments given
‣ Financial guarantees given
‣ Other commitments given</t>
  </si>
  <si>
    <t>Tipo de compromisso ou garantia de acordo com a classificação FINREP.
Opções:
‣ Loan commitments given
‣ Financial guarantees given
‣ Other commitments given</t>
  </si>
  <si>
    <t>type</t>
  </si>
  <si>
    <t>Mapeamento LT:
‣ Este campo deve ser obtido a partir da tabela fr802_pl_contas ligando o universo de contratos FINREP à tabela fr802_pl_contas através do campo 'conta', filtrando a tabela pelo campo carteira_contabilistica = 'garantias e compromissos concedidos', obtendo o campo "produto".
‣ Necessário criar nova parametrização na tabela lt831_param_conceitos, podendo a mesma ser consultada neste documento na sheet 'LT831' filtrando por tabela_conceito = 'LT002_INSTRUMENT' e campo_conceito = 'TYPE'
METODOLOGIA DE CRUZAMENTO:
Replicar a lógica de ligação com a FR802_PL_CONTAS já aplicada para outros campos do Modelo Loan Tape.</t>
  </si>
  <si>
    <t>The exposures classes for the calculation of RWAs for credit risks are as follows (not applicable when exposures are classified in the CRR trading book as defined in Article 4(1)(86) of Regulation (EU) No 575/2013):
Where a bank uses the standardised approach:
‣ Central governments or central banks (SCENGOV)
‣ Regional governments or local authorities (SREGGOV)
‣ Public sector entities (SPUBSEC)
‣ Multilateral development banks (SDEVBAN)
‣ International organisation (SINTORG)
‣ Institutions (SINSTIT)
‣ Corporates (SCORPOR)
‣ Retail (SRETAIL)
‣ Secured by mortgages and immovable property (SSECMOR)
‣ Defaulted (SDEFAUL)
‣ High risk (SHIGHRI)
‣ Covered bonds (SCOVBON)
‣ Items representing securitization positions
‣ Institutions and corporates with a short term credit assessment
(SSHOTER)
‣ Collective investment undertakings (SCOLINV)
‣ Equity (SEQUITY)
‣ Other (SOTHERI)
Quando um banco utiliza a abordagem IRB:
‣ Central governments and central banks (ICENGOV)
‣ Institutions (IINSTIT)
‣ Corporates (ICORPOR)
‣ Retail (IRETAIL)
‣ Equity (IEQUITY)
‣ Items representing securitization positions
‣ Other non-credit-obligation assets (IOTHERC)</t>
  </si>
  <si>
    <t>As classes de posições em risco para o cálculo dos ativos ponderados pelo risco de crédito são as seguintes (não aplicáveis quando as posições são classificadas na carteira de negociação do RRFP, tal como definida no artigo 4.o, n.o 1, ponto 86, do Regulamento (UE) n.o 575/2013):
Caso um banco utilize o método padrão:
‣ Central governments or central banks (SCENGOV)
‣ Regional governments or local authorities (SREGGOV)
‣ Public sector entities (SPUBSEC)
‣ Multilateral development banks (SDEVBAN)
‣ International organisation (SINTORG)
‣ Institutions (SINSTIT)
‣ Corporates (SCORPOR)
‣ Retail (SRETAIL)
‣ Secured by mortgages and immovable property (SSECMOR)
‣ Defaulted (SDEFAUL)
‣ High risk (SHIGHRI)
‣ Covered bonds (SCOVBON)
‣ Items representing securitization positions
‣ Institutions and corporates with a short term credit assessment
(SSHOTER)
‣ Collective investment undertakings (SCOLINV)
‣ Equity (SEQUITY)
‣ Other (SOTHERI)
Quando um banco utiliza a abordagem IRB:
‣ Central governments and central banks (ICENGOV)
‣ Institutions (IINSTIT)
‣ Corporates (ICORPOR)
‣ Retail (IRETAIL)
‣ Equity (IEQUITY)
‣ Items representing securitization positions
‣ Other non-credit-obligation assets (IOTHERC)</t>
  </si>
  <si>
    <t>12/11/2024: Dado como Concluído
17/12/2024: Revertido para Em desenvolvimento
17/01/2025: Dado como Concluído</t>
  </si>
  <si>
    <t>‣ Tradução do campo "segmento_corep_final" através de uma ligação com o campo "dd_code" para obter o campo:
dd_value</t>
  </si>
  <si>
    <t>‣ ref_date = data do report
‣ flag_cons_cap = 1
‣ exercicio = 'REAL</t>
  </si>
  <si>
    <t>Classificação da facilidade (classe de exposição), tal como definida no anexo V do ITS 680/2014, Instruções FINREP (desagregação da contraparte).
Opções:
‣ Central banks
‣ Central governments
‣ Credit institutions
‣ Other financial corporations
‣ Non-financial corporations
‣ Households</t>
  </si>
  <si>
    <t>LT002_INSTRUMENT.INTRNL_SGMNT
‣ Necessário criar novas parametrizaçôes nas tabelas lt829_regras_conversao e lt830_conversoes, podendo as mesmas ser consultadas neste documento nas sheets:
     ‣ LT829 - filtrando por campo_conceito = 'INTRNL_SGMNT' e regra_conversao = '1';
     ‣ LT830 - filtrando por segmento = 'Off-balance sheet exposures' e campo_conceito = 'INTRNL_SGMNT'.</t>
  </si>
  <si>
    <t>‣ Inicialmente para cada combinação dos campos "cempresa", "cbalcao", "cnumecta", "zdeposit" iremos recuperar o MAX(carteira_contabilistica):
     ‣ Este campo MAX(contraparte_i) será traduzido através de uma ligação com o campo "dd_code" para obter o campo:
          dd_value</t>
  </si>
  <si>
    <t>V_23</t>
  </si>
  <si>
    <t>Credit conversion factor</t>
  </si>
  <si>
    <t>Credit conversion factor as defined by the CRR.</t>
  </si>
  <si>
    <t>Fator de conversão de crédito, tal como definido pelo CRR.</t>
  </si>
  <si>
    <t>INSTRUMENT-CCF</t>
  </si>
  <si>
    <t>Credit conversion factor (CCF) according to CRR</t>
  </si>
  <si>
    <t>Credit conversion factor according to regulation (EU) No 575/2013.</t>
  </si>
  <si>
    <t>credit_conversion_factor</t>
  </si>
  <si>
    <t>LT002_INSTRUMENT.CCF</t>
  </si>
  <si>
    <t>k2</t>
  </si>
  <si>
    <t>‣ Este campo tem de ser calculado por fases:
     ‣ 1º - Calculamos o campo auxiliar "ead_final_bruta_grup":
          ‣ Para cada combinação dos campos "cempresa", "cbalcao", "cnumecta", "zdeposit" iremos SOMAR as:
              Médias do campo "ead_final_bruta" para cada par dos campos "s1emp", "contra1";
     ‣ 2º - Calculamos o campo auxiliar "k2_final":
          ‣ a) Calculamos o campo auxiliar "ead_avg":
               Média do campo "ead_final_bruta" para cada par dos campos "s1emp", "contra1";
          ‣ b) Calculamos o campo auxiliar "k2_ponderado":
               ‣ Para cada par dos campos "s1emp", "contra1", iremos calcular a média ponderada do campo "k2" em relação ao campo "ead_final_bruta":
                    SUM(k2 * ead_final_bruta) / SUM(ead_final_bruta);
          ‣ c) Finalmente calculamos o campo auxiliar "k2_final" através de uma média ponderada do campo "k2_ponderado" em relação ao campo "ead_avg":
               SUM(k2_ponderado * ead_avg) / SUM(ead_avg);
‣ Finalmente para cada Counterparty Identifier calculamos a média ponderada do campo auxiliar "k2_final" em relação ao campo auxiliar "ead_final_bruta_grup":
     SUM(k2_final * ead_final_bruta_grup) / SUM(ead_final_bruta_grup)</t>
  </si>
  <si>
    <t>O montante total das posições em risco do instrumento, calculado em conformidade com o artigo 92.o, n.os 3 e 4, do Regulamento (UE) n.o 575/2013 (CRR), em que aplicável.</t>
  </si>
  <si>
    <t>contr1</t>
  </si>
  <si>
    <t>Nível atual das «perdas em caso de incumprimento» do empréstimo, determinado em conformidade com os artigos 161.o, 164.o, 179.o e 181.o do Regulamento (UE) n.o 575/2013.</t>
  </si>
  <si>
    <t>‣ Este campo tem de ser calculado por fases:
     ‣ 1º - Calculamos o campo auxiliar "ead_final_bruta_grup":
          ‣ Para cada combinação dos campos "cempresa", "cbalcao", "cnumecta", "zdeposit" iremos SOMAR as:
              Médias do campo "ead_final_bruta" para cada par dos campos "s1emp", "contra1";
     ‣ 2º - Calculamos o campo auxiliar "lgdfinal_final":
          ‣ a) Calculamos o campo auxiliar "ead_avg":
               Média do campo "ead_final_bruta" para cada par dos campos "s1emp", "contra1";
          ‣ b) Calculamos o campo auxiliar "lgdfinal_ponderado":
               ‣ Para cada par dos campos "s1emp", "contra1", iremos calcular a média ponderada do campo "lgdfinal" em relação ao campo "ead_final_bruta":
                    SUM(lgdfinal * ead_final_bruta) / SUM(ead_final_bruta);
          ‣ c) Finalmente calculamos o campo auxiliar "lgdfinal_final" através de uma média ponderada do campo "lgdfinal_ponderado" em relação ao campo "ead_avg":
               SUM(lgdfinal_ponderado * ead_avg) / SUM(ead_avg);
‣ Finalmente para cada Counterparty Identifier calculamos a média ponderada do campo auxiliar "lgdfinal_final" em relação ao campo auxiliar "ead_final_bruta_grup":
     SUM(lgdfinal_final * ead_final_bruta_grup) / SUM(ead_final_bruta_grup)</t>
  </si>
  <si>
    <t>Nível atual da «Perda em caso de incumprimento» do empréstimo determinado para efeitos contabilísticos.</t>
  </si>
  <si>
    <t>V_223</t>
  </si>
  <si>
    <t>Nominal amount</t>
  </si>
  <si>
    <t>Total nominal amount of off-balance-sheet exposure under IFRS 9.</t>
  </si>
  <si>
    <t>Montante nominal total da posição em risco extrapatrimonial de acordo com a IFRS 9.</t>
  </si>
  <si>
    <t>nominal_amount</t>
  </si>
  <si>
    <t xml:space="preserve">‣ Para cada "Counterparty Identifier" e "Instrument Identifier" é calculado a soma do campo mon_extraptri </t>
  </si>
  <si>
    <t>A agrupação é feita segundo o campo "Instrument Identifier" e "Counterparty Identifier" deste mesmo documento</t>
  </si>
  <si>
    <t>verificar a agrupação com o miguel visto que vem de tabelas difetentes</t>
  </si>
  <si>
    <t>V_224</t>
  </si>
  <si>
    <t>Maturity / expiry date</t>
  </si>
  <si>
    <t>DD/MM/YY</t>
  </si>
  <si>
    <t>Expiry date.</t>
  </si>
  <si>
    <t>Data de validade.</t>
  </si>
  <si>
    <t xml:space="preserve">cd_alm.al029_cnt_core_m </t>
  </si>
  <si>
    <t>V_225</t>
  </si>
  <si>
    <t>Nominal interest rate or fee</t>
  </si>
  <si>
    <t>Notional interest rate or fee as agreed and payable.</t>
  </si>
  <si>
    <t>nominal_interest_rate_fee</t>
  </si>
  <si>
    <t xml:space="preserve">Mapeamento LT:
GRSS_CMMSSN_INCM_OFF_BLNC
Comentários IT:
Reunião 2025-06-16 Luís Capitão-Mor, Luís Silva, Pedro Mendes:
Dado que Corporação (ver Resposta abaixo) reporta o valor das Comissões e não a Taxa, vamos efetuar o mesmo. Concretamente, pretende-se então Comissões associadas a:
•	Linhas de crédito não utilizadas 
•	Garantias prestadas
Para tal, vai utilizar-se o campo já existente no Green Dashboard GRSS_CMMSSN_INCM_OFF_BLNC. Note-se que este campo é YTD (Year To Date). 
Email de Pedro Mendes para a Corporação (13/05/2024 08:58):
"¿Qué tasa utilizan? ¿La TAE (tasa anual efectiva)?"
Resposta Corporação:
"Como es el módulo de Off-balance nosotros en este campo no le veíamos sentido informar un interest rate y lo que estamos haciendo es informar cualquier comisión (“fee”), principalmente las asociadas a avales. Si en vuestro caso sí le veis sentido informar un interest rate y tenéis esta duda entonces habría que preguntar al SRB porque yo no tengo la respuesta. Decidnos y se le puede trasladar para que nos aclaren." 
</t>
  </si>
  <si>
    <t>Identification of the default status of the instrument in accordance with Article 178 of Regulation (EU) No 575/2013.
Options:
‣ Not in default
‣ Default because unlikely to pay (not more than 90/180 days past due).
‣ Default because more than 90/180 days past due
‣ Default because both unlikely to pay and more than 90/180 days past due.</t>
  </si>
  <si>
    <t>Identificação da situação de incumprimento do instrumento em conformidade com o artigo 178.o do Regulamento (UE) n.o 575/2013.
Opções:
‣ Not in default
‣ Default because unlikely to pay
(not more than 90/180 days
past due).
‣ Default because more than
90/180 days past due
‣ Default because both unlikely
to pay and more than 90/180
days past due.</t>
  </si>
  <si>
    <t>LT002_INSTRUMENT.DFLT_STTS_INSTRMNT
‣ Necessário criar novas parametrizaçôes nas tabelas lt829_regras_conversao e lt830_conversoes, podendo as mesmas ser consultadas neste documento nas sheets:
     ‣ LT829 - filtrando por campo_conceito = 'DFLT_STTS_INSTRMNT' e regra_conversao = '1';
     ‣ LT830 - filtrando por segmento = 'Off-balance sheet exposures' e campo_conceito = 'DFLT_STTS_INSTRMNT'.</t>
  </si>
  <si>
    <t>‣ Tradução do campo "dflt_stts_instrmnt" através de uma ligação com o campo "dd_code" para obter o campo:
dd_value</t>
  </si>
  <si>
    <t>A data em que o status padrão, conforme relatado no atributo de dados "status padrão do instrumento", é considerado como tendo ocorrido.</t>
  </si>
  <si>
    <t>Aggregated amount of the nominal, interest and any fee payment outstanding at the reporting date, which is contractually due and has not been paid (past due).</t>
  </si>
  <si>
    <t>Montante agregado do pagamento nominal, de juros e de quaisquer comissões pendentes à data de relato, que é contratualmente devido e não foi pago (vencido).</t>
  </si>
  <si>
    <t>No Script não está a ser chamado no final</t>
  </si>
  <si>
    <t>Data de vencimento do ato, em conformidade com o anexo V, parte 2.96, do Regulamento de Execução (UE) n.o 680/2014 alterado.</t>
  </si>
  <si>
    <t>CD_CAPTOOLS.ct004_univ_cto</t>
  </si>
  <si>
    <t>Montante nominal pendente pelo qual cada devedor é responsável em relação a um único instrumento, quando existam dois ou mais devedores.</t>
  </si>
  <si>
    <t>Not applicable: To be reported as "11111111111". 
This information will be availabe in "03_04_off_instr_count" table</t>
  </si>
  <si>
    <t>Mapeamento LT:
Not Applicable: Reportar 11111111111
Comentários IT:
Este campo constará no ficheiro "03_04_off_instr_count"</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</si>
  <si>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(i)loss allowance at an amount equal to 12-month expected credit losses;
(ii) loss allowance at an amount equal to lifetime expected credit losses.
Under GAAP, the accumulated impairment
relates to the following amounts:
(i)loss allowance at an amount equal to general allowances;
(ii) loss allowance at an amount equal to specific allowances.</t>
  </si>
  <si>
    <t xml:space="preserve">A quantidade de licenças para perdas detidas ou atribuídas ao instrumento na data de referência de relato. Este atributo de dados aplica-se a instrumentos sujeitos a imparidade de acordo com a norma contabilística aplicada.
De acordo com as IFRS, a imparidade acumulada refere-se aos seguintes montantes:
i) Provisão para perdas num montante igual a perdas de crédito esperadas para 12 meses;
ii) Provisão para perdas num montante igual às perdas de crédito esperadas ao longo da vida. De acordo com os GAAP, a imparidade acumulada refere-se aos seguintes montantes:
i) Indemnização por perdas num montante igual aos subsídios gerais;
ii) Indemnização por perdas num montante igual a licenças específicas.
</t>
  </si>
  <si>
    <t>The amount of loss allowances that are held against or are allocated to the instrument on the reporting reference date. This data attribute applies to instruments subject to impairment under the applied accounting standard.</t>
  </si>
  <si>
    <t>‣ Para cada Counterparty Identifier e Instrument Identifier é obtido os seguintes campos:
     SUM(mon_imparid_patri)
     SUM(mon_imparidade_extra)
     ‣ Após o calculo dos campos anteriores, calcula-se o seguinte:
          SUM(mon_imparid_patri + mon_imparidade_extra)</t>
  </si>
  <si>
    <t>necessario ver o instrument id e o counterparty identifier</t>
  </si>
  <si>
    <t>This data attribute indicates the type of impairment to which the instrument is subject.
Options:
‣ Stage 1 (IFRS)
‣ Stage 2 (IFRS)
‣ Stage 3 (IFRS)
‣ General allowances (GAAP)
‣ Specific allowances (GAAP)</t>
  </si>
  <si>
    <t>Este atributo de dados indica o tipo de deficiência a que o instrumento está sujeito.
Opções:
‣ Stage 1 (IFRS)
‣ Stage 2 (IFRS)
‣ Stage 3 (IFRS)
‣ General allowances (GAAP)
‣ Specific allowances (GAAP)</t>
  </si>
  <si>
    <t>LT002_INSTRUMENT.IMPRMNT_STTS
‣ Necessário criar novas parametrizaçôes nas tabelas lt829_regras_conversao e lt830_conversoes, podendo as mesmas ser consultadas neste documento nas sheets:
     ‣ LT829 - filtrando por campo_conceito = 'IMPRMNT_STTS' e regra_conversao = '1';
     ‣ LT830 - filtrando por segmento = 'Off-balance sheet exposures' e campo_conceito = 'IMPRMNT_STTS'.</t>
  </si>
  <si>
    <t>‣ Tradução do campo "stage" através de uma ligação com o campo "dd_code" para obter o campo:
dd_value</t>
  </si>
  <si>
    <t>The method by which the impairment is assessed, if the instrument is subject to impairment in accordance with applied accounting standards.
Options:
‣ Individually assessed
‣ Collectively assessed</t>
  </si>
  <si>
    <t>O método pelo qual a imparidade é avaliada, se o instrumento estiver sujeito a imparidade de acordo com a contabilidade aplicada normas.
Opções:
‣ Individually assessed
‣ Collectively assessed</t>
  </si>
  <si>
    <t>LT002_INSTRUMENT.IMPRMNT_ASSSSMNT_MTHD
‣ Necessário criar novas parametrizaçôes nas tabelas lt829_regras_conversao e lt830_conversoes, podendo as mesmas ser consultadas neste documento nas sheets:
     ‣ LT829 - filtrando por campo_conceito = 'IMPRMNT_ASSSSMNT_MTHD' e regra_conversao = '1';
     ‣ LT830 - filtrando por segmento = 'Off-balance sheet exposures' e campo_conceito = 'IMPRMNT_ASSSSMNT_MTHD'.</t>
  </si>
  <si>
    <t>‣ Tradução do campo "tipo_analise" através de uma ligação com o campo "dd_code" para obter o campo:
dd_value</t>
  </si>
  <si>
    <t>The instrument is to be classified on the reporting reference date, in accordance with Implementing Regulation (EU) No 680/2014.
Options:
‣ Non-performing
‣ Performing</t>
  </si>
  <si>
    <t>O instrumento deve ser classificado na data de referência do relatório, em conformidade com o Regulamento de Execução (UE) n.o 680/2014.
Opções:
‣ Non-performing
‣ Performing</t>
  </si>
  <si>
    <t>LT002_INSTRUMENT.PRFRMNG_STTS
‣ Necessário criar novas parametrizaçôes nas tabelas lt829_regras_conversao e lt830_conversoes, podendo as mesmas ser consultadas neste documento nas sheets:
     ‣ LT829 - filtrando por campo_conceito = 'PRFRMNG_STTS' e regra_conversao = '1';
     ‣ LT830 - filtrando por segmento = 'Off-balance sheet exposures' e campo_conceito = 'PRFRMNG_STTS'.</t>
  </si>
  <si>
    <t>cd_captools.ifrs9_out_staging_8_7</t>
  </si>
  <si>
    <t>‣ Para cada combinação dos campos "cempresa", "cbalcao", "cnumecta", "zdeposit" iremos calcular "final_stage" máximo:
     MAX(final_stage);
‣ Se o campo "final_stage" máximo for 3:
     "Non-performing";
‣ Caso contrário:
     "Performing";</t>
  </si>
  <si>
    <t>A data em que o status de desempenho conforme relatado em "desempenho estatuto do instrumento" é considerado como tendo sido estabelecido ou alterado.</t>
  </si>
  <si>
    <t>Identification of forborne and renegotiated instruments.
Options:
‣ Forborne: instruments with modified interest rate below market conditions
‣ Forborne: instruments with other modified terms and conditions
‣ Forborne: totally or partially refinanced debt
‣ Renegotiated instrument without forbearance measures
‣ Not forborne or renegotiated</t>
  </si>
  <si>
    <t>Identificação de instrumentos perdiados e renegociados.
Opções:
‣ Forborne: instruments with
modified interest rate below
market conditions
‣ Forborne: instruments with
other modified terms and
conditions
‣ Forborne: totally or partially
refinanced debt
‣ Renegotiated instrument
without forbearance measures
‣ Not forborne or renegotiated</t>
  </si>
  <si>
    <t>LT002_INSTRUMENT.FRBRNC_STTS_INSTRMNT
‣ Necessário criar novas parametrizaçôes nas tabelas lt829_regras_conversao e lt830_conversoes, podendo as mesmas ser consultadas neste documento nas sheets:
     ‣ LT829 - filtrando por campo_conceito = 'FRBRNC_STTS_INSTRMNT' e regra_conversao = '1';
     ‣ LT830 - filtrando por segmento = 'Off-balance sheet exposures' e campo_conceito = 'FRBRNC_STTS_INSTRMNT'.</t>
  </si>
  <si>
    <t>‣ Tradução do campo "frbrnc_stts_instrmnt" através de uma ligação com o campo "dd_code" para obter o campo:
dd_value</t>
  </si>
  <si>
    <t>c</t>
  </si>
  <si>
    <t>A probabilidade de incumprimento da contraparte durante um ano, determinada em conformidade com os artigos 160.o, 163.o, 179.o e 180.o do Regulamento (UE) n.o 575/2013. A probabilidade de incumprimento (PD) está de acordo com
com os requisitos específicos para a estimativa da DP, tal como estabelecido no CRR. No caso dos PD produzidos apenas ao nível do instrumento (o chamado PD do produto), o PD da contraparte é reportado como o PD médio ponderado das posições em risco de todos os instrumentos da contraparte. Se, para uma dada contraparte, for estimado um PD tanto para a contraparte como para (alguns dos) produtos da contraparte, deve ser comunicado o PD da contraparte.</t>
  </si>
  <si>
    <t>‣ Este campo tem de ser calculado por fases:
     ‣ 1º - Calculamos o campo auxiliar "ead_final_bruta_grup":
          ‣ Para cada combinação dos campos "cempresa", "cbalcao", "cnumecta", "zdeposit" iremos SOMAR as:
              Médias do campo "ead_final_bruta" para cada par dos campos "s1emp", "contra1";
     ‣ 2º - Calculamos o campo auxiliar "in_pdini_final":
          ‣ a) Calculamos o campo auxiliar "ead_avg":
               Média do campo "ead_final_bruta" para cada par dos campos "s1emp", "contra1";
          ‣ b) Calculamos o campo auxiliar "pdini_ead_ponderado":
               ‣ Para cada par dos campos "s1emp", "contra1", iremos calcular a média ponderada do campo "in_pdini" em relação ao campo "ead_final_bruta":
                    SUM(in_pdini * ead_final_bruta) / SUM(ead_final_bruta);
          ‣ c) Finalmente calculamos o campo auxiliar "in_pdini_final" através de uma média ponderada do campo "pdini_ead_ponderado" em relação ao campo "ead_avg":
               SUM(pdini_ead_ponderado * ead_avg) / SUM(ead_avg);
‣ Finalmente para cada Counterparty Identifier calculamos a média ponderada do campo auxiliar "in_pdini_final" em relação ao campo auxiliar "ead_final_bruta_grup":
     SUM(in_pdini_final * ead_final_bruta_grup) / SUM(ead_final_bruta_grup)</t>
  </si>
  <si>
    <t xml:space="preserve">No script não está a chamá-lo no final
</t>
  </si>
  <si>
    <t>External Credit Rating</t>
  </si>
  <si>
    <t>External credit rating issued to the Counterparty (if any).</t>
  </si>
  <si>
    <t>Notação de risco externa emitida para a Contraparte (se for caso disso).</t>
  </si>
  <si>
    <t>A probabilidade de incumprimento é calculada de acordo com os requisitos específicos da estimativa da PD, tal como estabelecidos na contabilidade enquadramento. Se os PD forem produzidos apenas ao nível do instrumento, a seringa
O PD da contraparte deve ser reportado como o PD médio ponderado pela posição em risco nos PD de todos os instrumentos da contraparte. Se, para uma dada contraparte, as PD forem estimadas tanto para a contraparte como para (algumas dos produtos da contraparte, é o PD da contraparte que deve ser comunicado.</t>
  </si>
  <si>
    <t>Applicable only to institutions neither using models for estimating IFRS 9 impairments nor CRR IRB models. These institutions should maintain records of probabilities of default or scores provided by scoring/rating models. In the case of PDs produced at the instrument level, the counterparty’s PD is to be reported as the exposure weighted average PD across the PDs of all instruments of the counterparty. If, for a given counterparty, PDs are estimated for both the counterparty and (some of) the products of the counterparty, it is the counterparty’s PDs which is to be reported.</t>
  </si>
  <si>
    <t>Aplicável apenas às instituições que não utilizam modelos de estimativa das IFRS 9 imparidades nem modelos CRR IRB. Estas instituições devem manter registos das probabilidades de incumprimento ou das pontuações fornecidas pelos modelos de pontuação/notação. No caso dos PD produzidos ao nível do instrumento, o
O PD da contraparte deve ser reportado como o PD médio ponderado pela posição em risco nos PD de todos os instrumentos da contraparte. Se, para uma dada contraparte, as PD forem estimadas tanto para a contraparte como para (algumas dos produtos da contraparte, são os PD da contraparte que deve ser comunicada.</t>
  </si>
  <si>
    <t>Mapeamento LT:
Este campo é Not Applicable, reportar: 11111111111</t>
  </si>
  <si>
    <t>Default status of the counterparty</t>
  </si>
  <si>
    <t>Identification of the default status of the counterparty. Categories describing the motives for which the counterparty can be in default in accordance with Article 178 of Regulation (EU) No 575/2013.
Options:
‣ Not in default
‣ Default because unlikely to pay
‣ Default because more than 90/180 days past due
‣ Default because both unlikely to pay and more than 90/180 days past due</t>
  </si>
  <si>
    <t>Identificação da situação de incumprimento da contraparte. Categorias que descrevem os motivos pelos quais a contraparte pode estar em situação de incumprimento, em conformidade com o artigo 178.o do Regulamento (UE) n.o 575/2013.
Opções:
‣ Not in default
‣ Default because unlikely to pay
‣ Default because more than
90/180 days past due
‣ Default because both unlikely
to pay and more than 90/180
days past due</t>
  </si>
  <si>
    <t>LT003_ENTITY.DFLT_STTS
‣ Necessário criar novas parametrizaçôes nas tabelas lt829_regras_conversao e lt830_conversoes, podendo as mesmas ser consultadas neste documento nas sheets:
     ‣ LT829 - filtrando por campo_conceito = 'DFLT_STTS' e regra_conversao = '1';
     ‣ LT830 - filtrando por segmento = 'Off-balance sheet exposures' e campo_conceito = 'DFLT_STTS'.</t>
  </si>
  <si>
    <t>‣ dd_field_id = "185"</t>
  </si>
  <si>
    <t>‣ Para cada Counterparty Identifier é obtido o:
     MAX(dflt_stts_instrmnt)
‣ Tradução do campo "dflt_stts_instrmnt" através de uma ligação com o campo "dd_code" para obter o campo:
dd_value</t>
  </si>
  <si>
    <t>The date on which the default status, as reported in the data attribute
“Default status of the counterparty”, is considered to have arisen.</t>
  </si>
  <si>
    <t>‣ Para cada Counterparty Identifier é obtido o:
     MIN(dt_dflt_stts_instrmnt)</t>
  </si>
  <si>
    <t>V_195</t>
  </si>
  <si>
    <t>Legal entity identifier (LEI)</t>
  </si>
  <si>
    <t>The legal entity identifier (LEI) is the counterparty identifier assigned in accordance with the International Organization for Standardization (ISO) 17442 standard.</t>
  </si>
  <si>
    <t>O identificador de entidade jurídica (LEI) é o identificador de contraparte atribuído de acordo com a Organização Internacional de Normalização Norma (ISO) 17442.</t>
  </si>
  <si>
    <t>ENTITY-LEI</t>
  </si>
  <si>
    <t>Legal entity identifier Counterparty</t>
  </si>
  <si>
    <t>Legal entity identifier counterparty.</t>
  </si>
  <si>
    <t>legal_entity_id</t>
  </si>
  <si>
    <t>LT003_ENTITY.LEI</t>
  </si>
  <si>
    <t>cd_captools.ct003_univ_cli</t>
  </si>
  <si>
    <t>clei</t>
  </si>
  <si>
    <t>‣ Para cada Counterparty Identifier é obtido o:
     MAX(clei)</t>
  </si>
  <si>
    <t>V_196</t>
  </si>
  <si>
    <t>National identifier</t>
  </si>
  <si>
    <t>A national identifier is a commonly used identification code which enables the unambiguous identification of a counterparty or of the legal entity of which the counterparty forms part within its country of residency.</t>
  </si>
  <si>
    <t>Um identificador nacional é um identificador comummente utilizado  código de identificação que permite a identificação inequívoca de uma contraparte ou da entidade jurídica de que a contraparte faz parte no seu país de residência.</t>
  </si>
  <si>
    <t>ENTITY-TAX_ID</t>
  </si>
  <si>
    <t>Fiscal ID</t>
  </si>
  <si>
    <t>Fiscal ID (CIF, NIF, Tax number, etc).</t>
  </si>
  <si>
    <t>national_id</t>
  </si>
  <si>
    <t>LT003_ENTITY.TAX_ID</t>
  </si>
  <si>
    <t>cnif_resid</t>
  </si>
  <si>
    <t>‣ Para cada Counterparty Identifier é obtido o:
     MAX(cnif_resid)</t>
  </si>
  <si>
    <t>V_197</t>
  </si>
  <si>
    <t>Head office undertaking identifier</t>
  </si>
  <si>
    <t>The head office undertaking identifier is the counterparty identifier of the domestic part of the legal entity of which the institutional unit is a legally dependent part.</t>
  </si>
  <si>
    <t>O identificador da empresa da sede social é o identificador da contraparte da parte interna da entidade jurídica de que faz parte a unidade institucional uma parte legalmente dependente.</t>
  </si>
  <si>
    <t>head_office_undertaking_id</t>
  </si>
  <si>
    <t xml:space="preserve">Mapeamento LT:
- Se itip_cli='J' da cd_captools.ct003_univ_cli (Pessoa Jurídica), reportar LT003_ENTITY.ENTTY_ID
- Se itip_cli='F' da cd_captools.ct003_univ_cli (Pessoa Física), reportar 'N/A'
Comentários IT:
Reunião 2025-04-21 Pedro Mendes/Luís Capitão-Mor: 
- Se itip_cli='J' da cd_captools.ct003_univ_cli (Pessoa Jurídica), reportar LT003_ENTITY.ENTTY_ID
- Se itip_cli='F' da cd_captools.ct003_univ_cli (Pessoa Física), reportar 'N/A'
Old:
Considerando que o termo "domestic" não releva,  no entendimento de Luís Capitão-Mor pretende-se saber se existe uma hierarquia de Cliente que responda ao solicitado. 
Exemplo: a empresa A é detida pela empresa B que por sua vez é detida pela empresa C que por sua vez é detida pela empresa D, então:
Immediate parent undertaking identifier: empresa B
Ultimate parent undertaking identifier: empresa D
Ações solicitadas por Luís Capitão-Mor:
1ª Ação: 
Questionar a Corporação sobre o conceito. 
Questão Pedro Mendes: "cual es vuestra interpretación de estos data-points. Como lo manejáis? Aquí lo que nos lía es la expresión “domestic part” que nos complica nuestro raciocionio…."
Resposta Corporação: "Los 3 campos se reportan al ECB en Anacredit y en el siguiente enlace se recoge definición más detallada para cada uno de ellos (apartados 12.4.4, 12.4.5 y 12.4.6, respectivamente)
https://www.ecb.europa.eu/pub/pdf/other/AnaCredit_Manual_Part_II_Datasets_and_data_attributes_201905~cc9f4ded23.en.pdf"
2ª Ação: 
Questionar Luís Bastos (Riscos) se esta informação existe no Mágico ou algures noutro sítio (para clientes em Portugal) -&gt; Segundo Luís Bastos não está no Mágico
Questionar Catarina Carvalho (Riscos) se esta informação existe no aqua ou algures noutro sítio (para clientes CIB) -&gt; Email Catarina Carvalho 19/04/2024 10:13 "Esta info está no CREAM (cuja a origem é JQUEST, aplicativo corporativo ao qual não temos acesso em Portugal).
No AQUA penso que também existem códigos de 4 e 5, no entanto não sei se aparecem as hierarquias e não sei como é alimentado, já que é um aplicativo usado essencialmente por Admissão."
Outro ponto de contacto para o ponto acima: João Luís Almeida -&gt; Apenas conhece a LMT11
Alternativas sugeridas por Luís Capitão-Mor:
1ª Alternativa: 
Questionar Rui Machinho e Nuno Almeida se esta informação existe no GBO 
Segundo Rui Machinho (Email 19/03/2024 16:45), "Do que sabemos do GBO, não temos conhecimento que a hierarquia de Cliente conste no GBO, nem percentagem de detenção."
Segundo Nuno Almeida (Email 19/03/2024 17:07), "o GBO/Sigom não tem a informação ao nível das hierarquias. O único sistema global que conheço e que consta essa informação é o CREAM (exemplo do informe abaixo). Mas esta informação apenas consta para clientes/grupo CIB. Adicionalmente informar que os códigos identificativos dos clientes/grupos são corporativos."
2ª Alternativa: 
Luís Capitão-Mor comentou que há um ficheiro que a Cristiana está a trabalhar e que vem do JQUEST (aplicação da Corporação com a relação dos grupos económicos em códigos KGL). 
Luís Capitão-Mor enviou Email (18/03/2024 11:34) onde solicitou a ingesta deste ficheiro.
3ª Alternativa:
Ver se existe no DB Informa no Datalake (Nuno Parreiras tem o dicionário). Se não existir, questionar a DB Informa (Fornecedor) como obter esta informação da informação que o banco está a receber.
</t>
  </si>
  <si>
    <t>cd_captools.ct070_univ_gr_cli</t>
  </si>
  <si>
    <t>zgrupo</t>
  </si>
  <si>
    <t>‣ Para cada Counterparty Identifier é obtido o:
     MAX(zgrupo)</t>
  </si>
  <si>
    <t>No script não está a chamá-lo no final</t>
  </si>
  <si>
    <t>V_198</t>
  </si>
  <si>
    <t>Immediate parent undertaking identifier</t>
  </si>
  <si>
    <t>The immediate parent undertaking identifier is the counterparty identifier for the domestic part of the legal entity which is the immediate parent undertaking of the counterparty.</t>
  </si>
  <si>
    <t>O identificador da empresa-mãe imediata é o identificador da contraparte da parte interna da entidade jurídica que é a empresa-mãe imediata da contraparte.</t>
  </si>
  <si>
    <t>immediate_parent_undertaking_id</t>
  </si>
  <si>
    <t>Mapeamento LT:
- Se itip_cli='J' da cd_captools.ct003_univ_cli (Pessoa Jurídica): 
   Passo 1: Com o zcliente ir à ct070_univ_gr_cli obter o zgrupo
   Passo 2: Com esse zgrupo ir à ct069_univ_gr_ec obter o zcliente_princ
- Se itip_cli='F' da cd_captools.ct003_univ_cli (Pessoa Física), reportar 'N/A'
Comentários IT:
Reunião 2025-05-30 Pedro Mendes/Luís Capitão-Mor: 
- Se itip_cli='J' da cd_captools.ct003_univ_cli (Pessoa Jurídica): 
Passo 1: Com o zcliente ir à ct070_univ_gr_cli obter o zgrupo
Passo 2: Com esse zgrupo ir à ct069_univ_gr_ec obter o zcliente_princ
- Se itip_cli='F' da cd_captools.ct003_univ_cli (Pessoa Física), reportar 'N/A'
Reunião 2025-04-24 Pedro Mendes/Luís Capitão-Mor/Luísa Quendera: Dado que a abordagem 1 nao será um caminho imediato, sugeriu-se seguir a abordagem 2 (Ir buscar cliente principal que existe na ct069 (que por sua vez vai à lmt11)).
Reunião 2025-04-21 Pedro Mendes/Luís Capitão-Mor: 
- Abordagem 1: Ver se existe esta informação nas tabelas DB Informa, para tal, falou-se com Equipa de CRM (Daniela Cardoso):
Email Daniela Cardoso 23/04/2025 11:35 com resposta a questões de Luís Capitão-Mor: 
1.	A relação de acionista/sócio que tens abaixo é a direta/imediata ou é o final, por relações diretas e indiretas ? 
[CRM] Apenas as diretas, pelo que percebemos das percentagens associadas.
2.	Sendo a relação direta, conseguem também obter a final ? Contrariamente, se for a final, conseguem obter também a imediata/direta ?
[CRM] Apenas usamos a info tal e qual como vem na tabela. Nunca tivemos necessidade de fazer 2ºs cruzamentos, para perceber relações não diretas.
3.	Dado que utilizam esta informação, porque não pediram à D&amp;B para adicionar aos ficheiros que enviam automaticamente para o Banco ?
[CRM] Esta informação chega-nos de forma ‘automática’. Como a utilizamos apenas para consumo interno, não houve necessidade de incorporar na DW.
4.	Para adicionar esta informação às bases de dados no Banco com quem se articulam no Banco e na D&amp;B ?
[CRM] A pivot com quem falamos da informa D&amp;B, é a Ana Ribeiro. Para adicionar a info às bases do banco (DW), deverá ser a Susana Moutinho / Nuno Parreiras.
- Abordagem 2 (só se não se conseguir seguir a abordagem 1): Ir buscar cliente principal que existe na ct069 (que por sua vez vai à lmt11).</t>
  </si>
  <si>
    <t>V_199</t>
  </si>
  <si>
    <t>Ultimate parent undertaking identifier</t>
  </si>
  <si>
    <t>The ultimate parent undertaking identifier is the counterparty identifier for the domestic part of the legal entity which is the ultimate parent undertaking of the counterparty.</t>
  </si>
  <si>
    <t>O identificador final da empresa-mãe é o identificador da contraparte para a parte interna da entidade jurídica que é a empresa-mãe final da contraparte.</t>
  </si>
  <si>
    <t>ultimate_parent_undertaking_id</t>
  </si>
  <si>
    <t>Mapeamento LT:
- Se itip_cli='J' da cd_captools.ct003_univ_cli (Pessoa Jurídica): 
   Passo 1: Com o zcliente ir à ct070_univ_gr_cli obter o zgrupo
   Passo 2: Com esse zgrupo ir à ct069_univ_gr_ec obter o zcliente_princ
- Se itip_cli='F' da cd_captools.ct003_univ_cli (Pessoa Física), reportar 'N/A'
Comentários IT:
Campo visto em conjunto com o campo acima (Immediate parent undertaking identifier)</t>
  </si>
  <si>
    <t>V_200</t>
  </si>
  <si>
    <t>Name</t>
  </si>
  <si>
    <t>The full legal name of the counterparty.</t>
  </si>
  <si>
    <t>A denominação jurídica completa da contraparte.</t>
  </si>
  <si>
    <t>ENTITY-ENTTY_NM</t>
  </si>
  <si>
    <t>Name Counterparty</t>
  </si>
  <si>
    <t>name</t>
  </si>
  <si>
    <t>LT003_ENTITY.ENTTY_NM</t>
  </si>
  <si>
    <t>gcliente</t>
  </si>
  <si>
    <t>‣ Para cada Counterparty Identifier é obtido o:
     MAX(gcliente)</t>
  </si>
  <si>
    <t>V_201</t>
  </si>
  <si>
    <t>Location information</t>
  </si>
  <si>
    <t>Address: street</t>
  </si>
  <si>
    <t>The counterparty’s street address, including the street number.</t>
  </si>
  <si>
    <t>address_street</t>
  </si>
  <si>
    <t>Mapeamento LT:
‣ campo "nmorada" da cd_captools.ct003_univ_cli
Comentários IT:
‣ Reunião com Ana Gomes da Silva/Alexandra Reis 16/04/2024:  
- Algumas aplicações Sintra consomem este Interface de Moradas (que é produzido com base na Base de Datos de Personas), outras aplicações Sintra consomem diretamente a Base de Datos de Personas e existem ainda outras aplicações Sintra que têm registos de Moradas nas suas próprias tabelas;
- Ana Gomes da Silva/Alexandra Reis alertaram que os Clientes com Morada Fiscal Estrangeira não têm código postal associado;
- Ana Gomes da Silva/Alexandra Reis indicaram que o campo "clyr7003_zmorada" se trata de um sequencial referente à ordem de entrada do registo;
- Ana Gomes da Silva/Alexandra Reis indicaram que cada Cliente tem apenas uma morada fiscal. Após consultar a tabela cd_estruturais.interface_moradas verificou-se que existem Clientes sem morada fiscal (clyr7003_imorfisc sempre igual a 'N' -&gt; ~100 registos). Enviaram-se estes Clientes para análise de  Ana Gomes da Silva/Alexandra Reis, dado que não é suposto acontecer (ver query infra):
select distinct clyr7003_zcliente
from
(
select clyr7003_zcliente, group_concat(distinct clyr7003_imorfisc, "|") as conc 
from cd_estruturais.interface_moradas where data_date_part = '2024-04-05'
group by 1
) d where conc='N'
‣ Reunião com LCM/João Godinho 08/04/2024: Não se justifica replicar a lógica do Modelo Único de Dados pois no futuro este campo deverá ser reapontado para o mesmo, como tal, poderá usar-se a a tabela cd_estruturais.interface_moradas;
‣ Email Raul Custódio 08/04/2024 17:09: Concordou com a utilização da tabela cd_estruturais.interface_moradas
‣ Email Raul Custódio15/10/2024 15:21: Pedida a adição desta informação, assim como outros campos à tabela ct003
‣ Verificou-se que apenas existe uma morada fiscal para cada Cliente (ver query infra):
SELECT a.data_date_part, (zcliente-dist_zcliente) as dif FROM
    (
        SELECT data_date_part, COUNT(clyr7003_zcliente) as zcliente FROM cd_estruturais.interface_moradas 
        WHERE clyr7003_imorfisc = 'S'
        AND data_date_part &gt;= '2023-01-01'
        GROUP BY data_date_part
    ) as a
    INNER JOIN 
    (
        SELECT data_date_part, COUNT( distinct clyr7003_zcliente) as dist_zcliente FROM cd_estruturais.interface_moradas 
        WHERE clyr7003_imorfisc = 'S'
        AND data_date_part &gt;= '2023-01-01'
        GROUP BY data_date_part
    ) as b
    ON a.data_date_part = b.data_date_part
    having  dif &lt;&gt;0</t>
  </si>
  <si>
    <t>cd_estruturais.interface_moradas</t>
  </si>
  <si>
    <t>‣ clyr7003_zmorada = 1</t>
  </si>
  <si>
    <t>clyr7003_nmorada</t>
  </si>
  <si>
    <t>‣ Para cada Counterparty Identifier é obtido o:
     MAX(clyr7003_nmorada)</t>
  </si>
  <si>
    <t>V_202</t>
  </si>
  <si>
    <t>Address: city/town/village</t>
  </si>
  <si>
    <t>The counterparty’s city, town or village.</t>
  </si>
  <si>
    <t>Cidade, vila ou aldeia da contraparte.</t>
  </si>
  <si>
    <t>address_city_town_village</t>
  </si>
  <si>
    <t>Mapeamento LT:
‣ campo "nlocalid" da cd_captools.ct003_univ_cli
Comentários IT:
‣ Email Raul Custódio15/10/2024 15:21: Pedida a adição desta informação, assim como outros campos à tabela ct003</t>
  </si>
  <si>
    <t>clyr7003_nlocalid</t>
  </si>
  <si>
    <t>‣ Para cada Counterparty Identifier é obtido o:
     MAX(clyr7003_nlocalid)</t>
  </si>
  <si>
    <t>V_203</t>
  </si>
  <si>
    <t>Address: postal code</t>
  </si>
  <si>
    <t>The counterparty’s postal code.</t>
  </si>
  <si>
    <t>Código postal da contraparte.</t>
  </si>
  <si>
    <t>address_postal_code</t>
  </si>
  <si>
    <t>Mapeamento LT:
‣ LT003_ENTITY.PST_CD (este campo vai ser adicionado no LT no âmbito do Pilar 3) 
Nota: O mapeamento previsto para o campo LT003_ENTITY.PST_CD não se encontra de acordo com o definido por Raul Custódio no email de 15/10/2024 18:34. Quando o campo "cpostal" constar na ct003_univ_cli este campo do LT deverá ser reapontado.</t>
  </si>
  <si>
    <t>clyr7003_cpostal</t>
  </si>
  <si>
    <t>‣ Para cada Counterparty Identifier é obtido o:
     MAX(clyr7003_cpostal)</t>
  </si>
  <si>
    <t>V_204</t>
  </si>
  <si>
    <t>Address: county/administrative division</t>
  </si>
  <si>
    <t>The county or similar administrative division of counterparties resident in European Union Member States as per NUTS 3 classification.</t>
  </si>
  <si>
    <t>Divisão administrativa distrital ou similar das contrapartes residentes nos Estados-Membros da União Europeia, de acordo com a classificação NUTS 3.</t>
  </si>
  <si>
    <t>address_county_adm_div</t>
  </si>
  <si>
    <t>Mapeamento LT:
‣ campo "cnuts3" da cd_captools.ct003_univ_cli
Comentários IT:
‣ Email Raul Custódio15/10/2024 15:21: Pedida a adição desta informação, assim como outros campos à tabela ct003
Regra definida inicialmente por Alexandre Dionísio Esteves (Email 09/04/2024 15:51)  - outdated:
"1.	Obter código postal da morada fiscal do cliente. Cruzar zcliente com clyr7003_zcliente da tabela cd_estruturais.interface_moradas, com clyr7003_imorfisc = ‘S’. O código postal será a concatenação dos campos clyr7003_cpostal e clyr7003_cp3.
2.	Obter código de distrito/concelho/freguesia a partir do código postal. Cruzar concat(clyr7003_cpostal, clyr7003_cp3) obtido no ponto anterior com concat(zona, codcomp) da tabela cd_estruturais.vias_pt. A tabela em questão tem periocidade semanal, sendo o seu dia de execução aos sábados (última data_date_part disponível atualmente ‘2024-04-06’). O código de distrito/concelho/freguesia será a concatenação dos campos coddis, codcon e fregna. Relembrar que a relação entre código distrito/concelho/freguesia e código postal é única.
3.	Obter NUTS3 a partir do código de distrito/concelho/freguesia. Cruzar concat(coddis,codcon,fregna) obtido no ponto anterior com tayd91c0_celemtab da tabela cd_estruturais.tat91_tabelas com filtro tayd91c0_ctabela = 'J48'. O NUTS3 será o código presente no campo tayd91c0_nelemc05.
Para casos em que os 7 dígitos do código postal não se encontram na cd_estruturais.vias_pt, sugiro a verificação apenas dos 4 primeiros dígitos e trazer concat(coddis, codcon, 00) para cruzar com o catálogo J48. Na maioria dos casos só existe um concelho para os 4 primeiros dígitos do código postal e o concelho é suficiente para identificar o NUTS3.
Recordo que este mapeamento só é possível quando a morada fiscal do cliente é portuguesa."
Nota: Quando não existe NUTS atribuído a um dos códigos postais de 7 dígitos, tenta-se fazer esta ligação apenas com os 4 primeiros dígitos, esta operação em certos casos (poucos) causa uma ambiguidade entre 2 NUTS em zonas de fronteira entre regiões. Este tema será contornado selecionando apenas uma das opções;
‣ Salienta-se que apenas se definiu regra para os casos em que a morada fiscal do cliente é portuguesa, Quando a Morada fiscal não é portuguesa o campo NUTS3 terá o valor ‘MISS’. 
‣ A query proposta é a seguinte:
Nota: Esta query apenas irá recuperar o NUTS para clientes com morada fiscal portuguesa, mas mesmo dentro destes clientes por vezes não é possível associar um código NUTS.
SELECT 
    zcliente,
    IF(vias_pt.tayd91c0_nelemc05 IS NULL, vias_pt_redux.tayd91c0_nelemc05, vias_pt.tayd91c0_nelemc05) as nut_code
FROM
(
    SELECT clyr7003_zcliente as zcliente, CONCAT(clyr7003_cpostal,clyr7003_cp3) AS codigo_postal, clyr7003_cpostal as codigo_postal_redux
    FROM cd_estruturais.interface_moradas 
    WHERE data_date_part = (SELECT MAX(data_date_part) FROM cd_estruturais.interface_moradas WHERE data_date_part &lt; {REF_DATE})
    AND clyr7003_imorfisc = 'S'
) AS interface_moradas
LEFT JOIN
(
    SELECT 
        a.codigo_postal,
        tat91.tayd91c0_nelemc05
    FROM
    (
        SELECT concat(zona, codcomp) as codigo_postal, concat(coddis, codcon, fregna) as cod_distconfreg, fecalta
        FROM cd_estruturais.vias_pt
        WHERE data_date_part = (SELECT MAX(data_date_part)FROM cd_estruturais.vias_pt WHERE data_date_part &lt; {REF_DATE})
        AND fecbaja &gt; {REF_DATE}
        GROUP BY codigo_postal, cod_distconfreg, fecalta
    ) as a
    INNER JOIN
    (
        SELECT concat(zona, codcomp) as codigo_postal, MAX(fecalta) as max_fecalta
        FROM cd_estruturais.vias_pt
        WHERE data_date_part = (SELECT MAX(data_date_part)FROM cd_estruturais.vias_pt WHERE data_date_part &lt; {REF_DATE})
        AND fecbaja &gt; {REF_DATE}
        GROUP BY codigo_postal
    ) as b
    ON a.codigo_postal = b.codigo_postal
    AND a.fecalta = b.max_fecalta   
    LEFT JOIN
    (
        SELECT tayd91c0_nelemc05, tayd91c0_celemtab
        FROM cd_estruturais.tat91_tabelas
        WHERE data_date_part = (SELECT MAX(data_date_part) FROM cd_estruturais.tat91_tabelas)
        AND tayd91c0_ctabela = 'J48'
    ) as tat91
    ON a.cod_distconfreg = tat91.tayd91c0_celemtab
    GROUP BY codigo_postal, tayd91c0_nelemc05
) as vias_pt
ON interface_moradas.codigo_postal = vias_pt.codigo_postal
LEFT JOIN
(
    -- Quando se liga a tabela vias_pt à tat_91 apenas utilizando os primeiros 4 digitos do código postal fica-se com alguns casos de códigos postais com dois NUTS diferentes. Analisou-se alguns casos e esta ambiguidade aparece em regiões
    -- que fazem fronteira, ou seja, pensa-se que se tratam de casos em que uma rua atravessa a fronteira das regiões delineadas pelo código NUTS e que sem especificar o código postal todo fica-se sem saber de que lado está. 
    -- Em reunião com Alexandre Dionísio Esteves decidiu-se que não sendo possivel resolver esta ambiguidade deverá trazer-se sempre apenas um dos códigos NUTS encontrados cegamente. 
    SELECT 
        a.codigo_postal_redux,
        SPLIT_PART(GROUP_CONCAT(DISTINCT tat91.tayd91c0_nelemc05, '#'),'#',1) as tayd91c0_nelemc05
    FROM
    (
        SELECT zona as codigo_postal_redux, concat(coddis, codcon, '00') as cod_distconfreg, fecalta
        FROM cd_estruturais.vias_pt
        WHERE data_date_part = (SELECT MAX(data_date_part) FROM cd_estruturais.vias_pt WHERE data_date_part &lt; {REF_DATE})
        AND fecbaja &gt; {REF_DATE}
        GROUP BY codigo_postal_redux, cod_distconfreg, fecalta
    ) as a
    INNER JOIN
    (
        SELECT zona as codigo_postal_redux, MAX(fecalta) as max_fecalta
        FROM cd_estruturais.vias_pt
        WHERE data_date_part = (SELECT MAX(data_date_part)FROM cd_estruturais.vias_pt WHERE data_date_part &lt; {REF_DATE})
        AND fecbaja &gt; {REF_DATE}
        GROUP BY codigo_postal_redux
    ) as b
    ON a.codigo_postal_redux = b.codigo_postal_redux
    AND a.fecalta = b.max_fecalta
    LEFT JOIN
    (
        SELECT tayd91c0_nelemc05, tayd91c0_celemtab
        FROM cd_estruturais.tat91_tabelas
        WHERE data_date_part = (SELECT MAX(data_date_part) FROM cd_estruturais.tat91_tabelas)
        AND tayd91c0_ctabela = 'J48'
    ) as tat91
    ON a.cod_distconfreg = tat91.tayd91c0_celemtab
    GROUP BY codigo_postal_redux
) as vias_pt_redux
ON interface_moradas.codigo_postal_redux = vias_pt_redux.codigo_postal_redux</t>
  </si>
  <si>
    <t>V_205</t>
  </si>
  <si>
    <t>Address: country</t>
  </si>
  <si>
    <t xml:space="preserve">The counterparty’s country.
Options: 
ISO 3166-1 alpha-2 codes: ISO 3166-1 alpha-2 code of the country
</t>
  </si>
  <si>
    <t xml:space="preserve">O país da contraparte.
Opções: ISO 3166-1 alpha-2
codes: ISO 3166-1 alpha-2 code of
the country
</t>
  </si>
  <si>
    <t>ENTITY-CNTRY</t>
  </si>
  <si>
    <t>Country of counterparty residence</t>
  </si>
  <si>
    <t>Country of counterparty residence.</t>
  </si>
  <si>
    <t>address_country</t>
  </si>
  <si>
    <t>Mapeamento LT:
LT003_ENTITY.CNTRY
Nota: Atualmente o campo CNTRY alimenta-se do campo CPAIS_RESIDENCIA (País da morada de residência) da cd_captools.ct003_univ_cli. Contudo, será adicionado à ct003_univ_cli o campo cpaismor que conterá o País da morada fiscal (alimentado a partir do campo "clyr7003_cpaismor" da tabela cd_estruturais.interface_moradas, filtrando esta tabela por clyr7003_imorfisc=S para obter apenas as moradas fiscais). Caso se queira o o País da morada fiscal  deveria criar-se um novo campo no LT (apontado para esse novo campo da ct003_univ_cli).</t>
  </si>
  <si>
    <t>cd_captools.tat91_015</t>
  </si>
  <si>
    <t>tayd91c0_nelemc09</t>
  </si>
  <si>
    <t>‣ Para cada Counterparty Identifier é obtido o:
     MAX(tayd91c0_nelemc09)</t>
  </si>
  <si>
    <t>V_206</t>
  </si>
  <si>
    <t>Legal form</t>
  </si>
  <si>
    <t>The type of business entity as defined in the national legal system.</t>
  </si>
  <si>
    <t>O tipo de entidade empresarial tal como definido no sistema jurídico nacional.</t>
  </si>
  <si>
    <t>legal_form</t>
  </si>
  <si>
    <t>Mapeamento LT:
‣ Implementar a seguinte lógica:
Passo 1: Ligar o universo de clientes à cd_captools.ct003_univ_cli de forma a obter o campo itip_cli:
     - Se itip_cli='F' (Pessoa Física), reportar 'N/A'; 
     - Se itip_cli='J' (Pessoa Jurídica) passar ao Passo 2.
Passo 2: Ligar o universo de clientes com itip_cli='J' à cd_alm.mat05_dadosemp de forma a obter o campo cformjur 
Passo 3: Ligar o cformjur obtido no Passo 2 à tabela cd_estruturais.tat91_tabelas filtrada por tayd91c0_ctabela = '264' para obter o campo tayd91c0_gelemtab (que contém o descritivo),
     - Se tayd91c0_gelemtab for NULL ou for uma das seguintes opções ('EIRL - EMPRESARIO EM NOME INDIVIDUAL DE RESP. LIMIT.',  'ENI - EMPRESARIO EM NOME INDIVIDUAL',  'OUTRAS',  'PROFISSIONAL LIBERAL' ) passar ao Passo 4;
      - Caso contrário, utilizar campo tayd91c0_gelemtab e convertê-lo no Passo 5
Passo 4:  Ligar o universo de clientes à cd_clientes.dwt_509_dados_ncliede forma a obter o campo gnatureza_juri 
Passo 5: Criar nova parametrização na tabela lt831_param_conceitos para converter o campo tayd91c0_gelemtab do Passo 3 e o o campo gnatureza_juri do Passo 4, podendo a mesma ser consultada neste documento na sheet 'LT831' filtrando por campo_conceito = 'LEGAL_FORM'
Query que simula a lógica definida acima:
SELECT lt003.entty_id, 
 CASE
     WHEN itip_cli='F' THEN 'N/A'
     WHEN itip_cli='J' AND (tayd91c0_gelemtab IS NULL OR tayd91c0_gelemtab IN ('EIRL - EMPRESARIO EM NOME INDIVIDUAL DE RESP. LIMIT.', 'ENI - EMPRESARIO EM NOME INDIVIDUAL', 'OUTRAS', 'PROFISSIONAL LIBERAL')) THEN dwt509.gnatureza_juri
     WHEN itip_cli='J' AND tat.tayd91c0_gelemtab IS NOT NULL THEN tat.tayd91c0_gelemtab
 END AS legal_form
FROM
(
    SELECT
        entty_id
    FROM bu_loantape_work.lt003_entity_srb
    WHERE ambito = 'SRB_VALUATION'
    AND segmento = 'Off-balance sheet exposures'
    AND ref_date = '2024-11-30'
) as lt003 
left JOIN
(
    SELECT
        zcliente,
        IF(ctipo_doc_identif2='502', CAST(CAST(cnum_doc_identif2 AS INT) AS STRING), IF(ctipo_doc_identif1='502', CAST(CAST(cnum_doc_identif1 AS INT) AS STRING), '' ))  AS nif,
        itip_cli,
        ccli_grupo
        FROM cd_captools.ct003_univ_cli
    WHERE ref_date = '2024-11-30'
) as ct003
ON lt003.entty_id = ct003.zcliente 
LEFT JOIN
(
    SELECT
        lpad(CAST(zcligrupo AS STRING),10,'0') as zcligrupo,
        cformjur,
        ROW_NUMBER() OVER(PARTITION BY zcligrupo ORDER BY dano DESC) as row_num
    FROM cd_alm.mat05_dadosemp 
    WHERE data_date_part = (SELECT MAX(data_date_part) FROM cd_alm.mat05_dadosemp WHERE data_date_part &lt;= '2024-11-30') -- Ultima versão da tabela gerada antes ou na data de execução (ref_date)
    AND dano &lt;= CAST(SUBSTR('2024-11-30',1,4) AS INT) -- Parte de ano da ref_date. Não trazer info posterior à data em questão
) as mat05
ON ct003.ccli_grupo = mat05.zcligrupo
AND mat05.row_num = 1  
LEFT JOIN
(
    SELECT
        tayd91c0_celemtab,
        tayd91c0_gelemtab
    FROM cd_estruturais.tat91_tabelas 
    WHERE data_date_part = (SELECT MAX(data_date_part) FROM cd_estruturais.tat91_tabelas)
    AND tayd91c0_ctabela = '264'
) as tat
ON mat05.cformjur = tat.tayd91c0_celemtab 
LEFT JOIN
(
    SELECT
        cnif,
        gnatureza_juri
    FROM cd_clientes.dwt_509_dados_nclie
    WHERE data_date_part = ( SELECT MAX(data_date_part) FROM cd_clientes.dwt_509_dados_nclie WHERE data_date_part &lt;= '2024-11-30') -- Ultima versão da tabela gerada antes ou na data de execução (ref_date)
) as dwt509
ON TRIM(dwt509.cnif) = TRIM(ct003.nif)
Comentários IT:
‣ Reuniao 2025-05-09 Luís Capitão-Mor/Pedro Mendes/Luísa Sousa: Fechada a parametrização com base no code list facultado  por Luís Carreira (Legal)
‣ Reuniao 2025-04-15 Luís Carreira (Legal)/Luís Capitão-Mor/Pedro Mendes: Luís Carreira ficou de enviar um code list dos vários legal forms ao nível mais granular. O Objetivo será construir-se uma parametrização que associará os valores possíveis da MAT05/DWT509 aos valores que o Luís Carreira facultará.
‣ Email Luís Bastos (Riscos) 02/04/2024 18:06: "É preenchida manualmente a forma jurídica numa transação do mágico (MA01), como tal não temos como garantir que terá a informação para todos os clientes."
‣ Segundo João Luís Almeida via teams (03/04/2024) o campo cformjur da tabela MAT05 vem da MA01.
‣ Reunião com Luís Capitão-Mor/Raul Custódio/Alexandre Dionísio Esteves 02/04/2024: Alexandre Dionísio Esteves referiu que esta informação se encontra no campo cformjur da MAT05 e a descodificação na TAT264.
‣ Segundo Pedro Almeida (Email 03/04/2024 11:20) e Pedro Inácio (Email 03/04/2024 14:33) esta informação não consta na BDR.
‣ Verificou-se que a MAT05 tem os campos zcligrupo, cformjur. Como tal, terá de se ligar a MAT05 (zcligrupo) com a ct003_univ_cli (ccli_grupo), para obter o zcliente. 
‣ Reunião com Luís Capitão-Mor 11/11/2024: Nesta reunião foram comentadas as análises acima, nomeadamente a falta de informação da MAT05 para uma grande parte de pessoas jurídicas, quando este campo deveria vir preenchido para todos os clientes deste tipo. Luís Capitão-Mor comentou que esta informação poderá constar também no Data Warehouse do DB Informa, ou seja tem de se explorar esta possível fonte. Para além da fonte adicional finalizou-se também a regra que se deve aplica neste campo: 1) Se o cliente for uma pessoa física este conceito não é aplicável, ou seja o campo deve vir informado com 'N/A'; 2.1) Se o cliente for uma pessoa jurídica então deve-se aplicar a lógica de ataque à tabela MAT05, de forma a recuperar o campo 'cformjur' que posteriormente será traduzido pela TAT264 (ou não dependendo se a parametrização da LT803 refletir esta mesma parametrização); 2.2) Caso o ataque à MAT05 não retornar valor para este campo, então deve-se recuperar esta informação do DB Informa (complementar esta lógica assim que se tiver explorado a documentação do DB Informa);
‣ Email enviado a Susana Moutinho a 22/11/2024 11:50, aguarda-se resposta: 
     "A tabela DWT1734_EMPRESAS_SNC não existe no Datalake on-prem, como tal, seria possível enviarem uma amostra dos dados da mesma e o respetivo modelo de dados? 
O objetivo é percebermos se esta tabela tem efetivamente o que necessitamos, e em caso afirmativo, solicitarmos a respetiva ingesta para o Datalake."
‣ Chamada Teams com Susana Moutinho a 10/12/2024 11:50: Susana Moutinho ficou de validar o Universo de NIFs da tabela DWT1734_EMPRESAS_SNC e da tabela DWT509_DADOS_NCLIE, no sentido de se perceber se a tabela DWT1734_EMPRESAS_SNC (que não está no DL) tem um Universo superior à DWT509_DADOS_NCLIE (que está no DL), isto porque a  DWT509_DADOS_NCLIE apenas complementou  o legal form de uma quantidade reduzida de Clientes (daí ter de se avaliar se se justifica solicitar a ingesta da  DWT1734_EMPRESAS_SNC). Adicionalmente, ficou de confirmar se o campo GNATUREZA_JURI comum às 2 tabelas representa o mesmo conceito.  -&gt; Pressionado via Teams a 19/12
‣ Schema DL: cd_captools; cd_alm
‣ Tabela / Ficheiro: CT003_UNIV_CLI; MAT05_DADOSEMP; TAT91_TABELAS
‣ Campo: ccli_grupo; cformjur; tayd91c0_gelemtab
‣ Metodologia de Cálculo:
    "tayd91c0_gelemtab
     WHERE TAT91_TABELAS.tayd91c0_ctabela = '264'
     AND TAT91_TABELAS.tayd91c0_celemtab = MAT05_DADOSEMP.cformjur
     AND lpad(MAT05_DADOSEMP.zcligrupo,10,'0') = CT003_UNIV_CLI.ccli_grupo"
‣ Metodologia de cruzamento
    "1) Cruzar LT003_ENTITY com CT003_UNIV_CLI para obter o ccli_grupo:
     LT003_ENTITY
     LEFT JOIN
     (SELECT * FORM CD_CAPTOOLS.CT003_UNIV_CLI)
     ON ENTTY_ID = ZCLIENTE
     2) Cruzar ccli_grupo da CT003_UNIV_CLI  com o  zcligrupo  da MAT05_DADOSEMP para obter o cformjur:
     MAT05_DADOSEMP 
     INNER JOIN
     (SELECT zcligrupo, MAX(dano) FROM CD_CAPTOOLS.MAT05_DADOSEMP WHERE data_date_part &lt;= REF_DATE)
     ON zcligrupo = zcligrupo
     AND dano = MAX(dano)
     3) Cruzar com tabela TAT 264 para descodificar o cformjur:
     LEFT JOIN 
     (SELECT * FROM TAT91_TABELAS)
     ON cformjur = tayd91c0_celemtab"
‣ Query usada para adicionar o Legal Form à tabela lt003:
SELECT
    lt003.entty_id,
    ct003.itip_cli,
    ct003.ccli_grupo,
    mat05.cformjur,
    tat.tayd91c0_gelemtab
FROM
(
    SELECT
        entty_id
    FROM bu_loantape_work.lt003_entity_srb
    WHERE ambito = 'SRB_VALUATION'
    AND segmento = 'Off-balance sheet exposures'
    AND ref_date = '2024-11-30'
) as lt003 -- 792516
LEFT JOIN
(
    SELECT
        zcliente,
        itip_cli,
        ccli_grupo as ccli_grupo
    FROM cd_captools.ct003_univ_cli
    WHERE ref_date = '2024-11-30'
) as ct003
ON lt003.entty_id = ct003.zcliente -- 792516
LEFT JOIN
(
    SELECT
        lpad(CAST(zcligrupo AS STRING),10,'0') as zcligrupo,
        cformjur,
        ROW_NUMBER() OVER(PARTITION BY zcligrupo ORDER BY dano DESC) as row_num
    FROM cd_alm.mat05_dadosemp 
    WHERE data_date_part = (SELECT MAX(data_date_part) FROM cd_alm.mat05_dadosemp WHERE data_date_part &lt; '2024-11-30') -- Ultima versão da tabela gerada antes ou na data de execução (ref_date)
    AND dano &lt;= CAST(SUBSTR('2024-11-30',1,4) AS INT) -- Parte de ano da ref_date. Não trazer info posterior à data em questão
) as mat05
ON ct003.ccli_grupo = mat05.zcligrupo
AND mat05.row_num = 1  -- 792516
LEFT JOIN
(
    SELECT
        tayd91c0_celemtab,
        tayd91c0_gelemtab
    FROM cd_estruturais.tat91_tabelas 
    WHERE data_date_part = (SELECT MAX(data_date_part) FROM cd_estruturais.tat91_tabelas)
    AND tayd91c0_ctabela = '264'
) as tat
ON mat05.cformjur = tat.tayd91c0_celemtab -- 792516
WHERE ct003.itip_cli = 'J' -- 53192
AND mat05.zcligrupo IS NOT NULL -- 50372
AND TRIM(mat05.cformjur) &lt;&gt; '' -- 47888
-- De 792516 cliente de Off-Balance apenas 53192 são clientes Juridicos (53192/792516 ~= 6.7%)
-- Destes 53192 clientes Juridicos, 2820 não têm o seu ccligrupo refletido no campo zcligrupo da tabela mat05, ou seja ficamos com 50372 clientes 
-- Destes 50372 clientes Juridicos, 2484 não têm o campo cformjur preenchido (está a vazio), ou seja ficamos com 47888 clientes Juridicos para os quais foi possivel identificar o Legal Form (47888/53192 ~= 90%)</t>
  </si>
  <si>
    <t>ccae</t>
  </si>
  <si>
    <t>‣ Para cada Counterparty Identifier é obtido o:
     MAX(ccae)</t>
  </si>
  <si>
    <t>V_207</t>
  </si>
  <si>
    <t>Institutional sector</t>
  </si>
  <si>
    <t>Institutional sectors in accordance with Regulation (EU) No 549/2013, Regulation (EU) No 575/2013 and Regulation (EU) No 1075/2013 of the European Central Bank (ECB/2013/40).
Options:
‣ Non-financial corporations
‣ Central Bank
‣ Credit institutions
‣ Deposit-taking corporations other than credit institutions
‣ Money market funds (MMF)
‣ Non-MMF Investment funds
‣ 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
‣ Financial auxiliaries
‣ Captive financial institutions and money lenders
‣ Insurance corporations
‣ Pension funds
‣ Central government
‣ State government
‣ Local government
‣ Social security funds
‣ Non-profit institutions serving households</t>
  </si>
  <si>
    <t>setores institucionais, em conformidade com o Regulamento (UE) n.o 549/2013, Regulamento (UE) n.º 575/2013 e Regulamento (UE) n.º 1075/2013 do Banco Central Europeu (BCE/2013/40).
Opções:
‣ Non-financial corporations
‣ Central Bank
‣ Credit institutions
‣ Deposit-taking corporations
other than credit institutions
‣ Money market funds (MMF)
‣ Non-MMF Investment funds
‣ 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
‣ Financial auxiliaries
‣ Captive financial institutions
and money lenders
‣ Insurance corporations
‣ Pension funds
‣ Central government
‣ State government
‣ Local government
‣ Social security funds
‣ Non-profit institutions serving
households</t>
  </si>
  <si>
    <t>institutional_sector</t>
  </si>
  <si>
    <t>Mapeamento LT:
Campo "csector_inst" da tabela cd_captools.ct003_univ_cli
‣ Necessário criar nova parametrização na tabela lt831_param_conceitos, podendo a mesma ser consultada neste documento na sheet 'LT831' filtrando por campo_conceito = 'INSTITUTIONAL_SECTOR'
Comentários IT:
‣ Definiu-se a parametrizaçao necessária na reunião de 08/04/2024 com Pedro Mendes, Sandra Brito, Rafael Pessoa e Claudia Correia para os distintos códigos da tat91 ("H01","Y86") partindo do campo "csector_inst" da tabela cd_captools.ct003_univ_cli. Ver documento Sector Institucional mapeamento.xlsx</t>
  </si>
  <si>
    <t>‣ dd_field_id = "207"</t>
  </si>
  <si>
    <t>‣ Tradução do campo "csector_inst" através de uma ligação com o campo "dd_code" para obter o campo:
dd_value
‣ Para cada Counterparty Identifier é obtido o:
     MAX(dd_Value)</t>
  </si>
  <si>
    <t>csector_inst</t>
  </si>
  <si>
    <t>V_208</t>
  </si>
  <si>
    <t>Economic activity</t>
  </si>
  <si>
    <t>Economic activity is a classification of counterparties according to their economic activities, in accordance with the NACE revision 2 statistical classification as laid down in Regulation (EC) No 1893/2006 of the European Parliament and of the Council.
Options:
NACE code: a level two, three or four NACE code in accordance with Regulation (EC) No 1893/2006.</t>
  </si>
  <si>
    <t>A atividade económica é uma classificação das contrapartes de acordo com as suas atividades económicas, de acordo com as estatísticas da NACE Rev. 2
classificação estabelecida no Regulamento (CE) n.o 1893/2006 do Parlamento Europeu e do Conselho.
Opções:
NACE code: a level two, three or four NACE code in
accordance with Regulation (EC) No 1893/2006.</t>
  </si>
  <si>
    <t>ENTITY-ECNMC_ACTVTY</t>
  </si>
  <si>
    <t>Economic activity counterparty</t>
  </si>
  <si>
    <t>The level four NACE code in accordance with Regulation (EC) No 1893/2006 is generally reported. If the level four NACE code is not available it may be allowed to report a level three or level two NACE code.</t>
  </si>
  <si>
    <t>economic_activity</t>
  </si>
  <si>
    <t>LT003_ENTITY.ECNMC_ACTVTY
‣ Parametrização igual à já existente na tabela LT803, não há necessidade de ações adicionais.</t>
  </si>
  <si>
    <t xml:space="preserve">Alteração feita por Miguel Rodrigues: 28/11/2024  17:14:00 </t>
  </si>
  <si>
    <t>nace_code</t>
  </si>
  <si>
    <t>‣ Para cada Counterparty Identifier é obtido o:
     MAX(nace_code)</t>
  </si>
  <si>
    <t>V_209</t>
  </si>
  <si>
    <t>Status of legal proceedings</t>
  </si>
  <si>
    <t>The status of legal proceedings covers the categories describing a counterparty’s legal status in relation to its solvency based on the national legal framework. The NCB should transpose these values (listed below) into the national legal framework.
Options:
‣ No legal actions taken
‣ Under judicial administration, receivership or similar measures
‣ Bankruptcy/insolvency
‣ Other legal measures</t>
  </si>
  <si>
    <t>O estatuto dos processos judiciais abrange as categorias que descrevem o estatuto jurídico de uma contraparte em relação à sua solvência, com base no quadro jurídico nacional. O BCN deve transpor estes valores
(enumerados infra) no quadro jurídico nacional.
Opções:
‣ No legal actions taken
‣ Under judicial administration,
receivership or similar
measures
‣ Bankruptcy/insolvency
‣ Other legal measures</t>
  </si>
  <si>
    <t>ENTITY-LGL_PRCDNG_STTS_LE</t>
  </si>
  <si>
    <t>Legal proceedings status Counterparty (LE)</t>
  </si>
  <si>
    <t>Legal proceedings status Counterparty (LE).
Only for Retail portfolios: Status "No legal action taken" or "Other legal measures" are possible. Status "Other legal measures" is reported when the hard collection process was initiated at the level of a given entity or at the level of any associated instrument or protection of this entity.</t>
  </si>
  <si>
    <t>status_legal_proceedings</t>
  </si>
  <si>
    <t>LT003_ENTITY.LGL_PRCDNG_STTS_LE
‣ Necessário criar novas parametrizaçôes nas tabelas lt829_regras_conversao e lt830_conversoes, podendo as mesmas ser consultadas neste documento nas sheets:
     ‣ LT829 - filtrando por campo_conceito = 'LGL_PRCDNG_STTS_LE' e regra_conversao = '1';
     ‣ LT830 - filtrando por segmento = 'Off-balance sheet exposures' e campo_conceito = 'LGL_PRCDNG_STTS_LE'.</t>
  </si>
  <si>
    <t>‣ dd_field_id = "209"</t>
  </si>
  <si>
    <t>‣ Tradução do campo "lgl_prcdng_stts_le" através de uma ligação com o campo "dd_code" para obter o campo:
dd_value
‣ Para cada Counterparty Identifier é obtido o:
     MAX(dd_Value)</t>
  </si>
  <si>
    <t>lgl_prcdng_stts_le</t>
  </si>
  <si>
    <t>V_210</t>
  </si>
  <si>
    <t>Date of initiation of legal proceedings</t>
  </si>
  <si>
    <t>The date on which the legal proceedings, as reported under the attribute “status of legal proceedings”, were initiated. This date should be the most recent relevant date prior to the reporting date.</t>
  </si>
  <si>
    <t>A data em que o processo judicial, conforme relatado sob o atributo "status de processo judicial", foi iniciado. Esta data deve ser a data relevante mais recente antes da data de relato.</t>
  </si>
  <si>
    <t>ENTITY-DT_INTTN_LGL_PRCDNGS_LE</t>
  </si>
  <si>
    <t>Date of initiation of legal proceedings counterparty (LE)</t>
  </si>
  <si>
    <t xml:space="preserve">Date of initiation of legal proceedings counterparty (LE).
Only for Retail portfolios: The date when the hard collection process was initiated for given entity. If the hard collection process is defined on the level of instrument or protection and more instruments or protections with status  "Other legal measures" are linked to the same entity the oldest date is reported. 
</t>
  </si>
  <si>
    <t>date_init_legal_proceedings</t>
  </si>
  <si>
    <t>LT003_ENTITY.DT_INTTN_LGL_PRCDNGS_LE</t>
  </si>
  <si>
    <t>dt_inttn_lgl_prcdngs_le</t>
  </si>
  <si>
    <t>‣ Para cada Counterparty Identifier é obtido o:
     MAX(dt_inttn_lgl_prcdngs_le)</t>
  </si>
  <si>
    <t>V_211</t>
  </si>
  <si>
    <t>Enterprise size</t>
  </si>
  <si>
    <t>The classification of enterprises by size, in accordance with the Annex to Commission Recommendation 2003/361/EC.
Options:
‣ Large enterprise
‣ Medium enterprise
‣ Small enterprise
‣ Microenterprise</t>
  </si>
  <si>
    <t>A classificação das empresas por dimensão, em conformidade com o anexo à Recomendação 2003/361/CE da Comissão.
Opções:
‣ Large enterprise
‣ Medium enterprise
‣ Small enterprise
‣ Microenterprise</t>
  </si>
  <si>
    <t>ENTITY-ENTRPRS_SZ_LE</t>
  </si>
  <si>
    <t>Enterprise size Counterparty (LE)</t>
  </si>
  <si>
    <t>Enterprise size counterparty (LE).
Classification of enterprises by size, in accordance with the Annex to Commission Recommendation 2003/361/EC. However, if the local NCB decides not to request this attribute as part of the AnaC reporting data set then please report "Not applicable".</t>
  </si>
  <si>
    <t>enterprise_size</t>
  </si>
  <si>
    <t>LT003_ENTITY.ENTRPRS_SZ_LE
‣ Necessário criar novas parametrizaçôes nas tabelas lt829_regras_conversao e lt830_conversoes, podendo as mesmas ser consultadas neste documento nas sheets:
     ‣ LT829 - filtrando por campo_conceito = 'ENTRPRS_SZ_LE' e regra_conversao = '1';
     ‣ LT830 - filtrando por segmento = 'Off-balance sheet exposures' e campo_conceito = 'ENTRPRS_SZ_LE'.</t>
  </si>
  <si>
    <t>‣ dd_field_id = "211"</t>
  </si>
  <si>
    <t>‣ Tradução do campo "entrprs_sz_le" através de uma ligação com o campo "dd_code" para obter o campo:
dd_value
‣ Para cada Counterparty Identifier é obtido o:
     MAX(dd_value)</t>
  </si>
  <si>
    <t>entrprs_sz_le</t>
  </si>
  <si>
    <t>V_212</t>
  </si>
  <si>
    <t>Date of enterprise size</t>
  </si>
  <si>
    <t>The date to which the value provided in the “enterprise size” refers. This is the date of the latest data used to classify or review the classification of the enterprise.</t>
  </si>
  <si>
    <t>A data a que se refere o valor indicado na "dimensão da empresa". Esta é a data dos últimos dados utilizados para classificar ou rever a classificação da empresa.</t>
  </si>
  <si>
    <t>date_enterprise_size</t>
  </si>
  <si>
    <t xml:space="preserve">Mapeamento LT:
- Se o cliente for uma pessoa física, então reportar N/A; 
- Se o cliente for uma pessoa jurídica, então recuar até à data em que o enterprize size (COD_EMPR_PME) alterou em relação ao valor que tem à data de referência (se nunca mudou será a data de constituição do cliente).
1) Cruzar LT003_ENTITY com a tabela CT003_UNIV_CLI para obter o campo ITIP_CLI:
LT003_ENTITY
LEFT JOIN
(SELECT ZCLIENTE, ITIP_CLI FROM CT003_UNIV_CLI) as CT003
ON ENTTY_ID = ZCLIENTE
2) Cruzar LT003_ENTITY com a tabela CT063_UNIV_PME para obter o campo DATE_ENTERPRIZE_SIZE_AUX:
LT003_ENTITY
LEFT JOIN
(
    SELECT
        ZCLIENTE,
        MAX(REF_DATE) as DATE_OF_ENTERPRIZE_SIZE_AUX
    FROM
    (
        SELECT
            ZCLIENTE,
            COD_EMPR_PME,
            LAG(COD_EMPR_PME) OVER(PARTITION BY ZCLIENTE ORDER BY REF_DATE) as COD_EMPR_PME_ANTERIOR,
            REF_DATE
        FROM CD_CAPTOOLS.CT063_UNIV_PME
        WHERE REF_DATE &lt;= 'ref_date' -- Apanhar os registos com REF_DATE igual ou inferior à data de referência que se está a avaliar na execução atual do LT
    ) as pme
    WHERE NVL(COD_EMPR_PME,11111111111) != NVL(COD_EMPR_PME_ANTERIOR,11111111111)
    AND COD_EMPR_PME IS NOT NULL
    GROUP BY ZCLIENTE
) as PME
ON ENTTY_ID = ZCLIENTE
3) Aplicar a lógica de produção do campo DATE_ENTERPRIZE_SIZE:
IF( ITIP_CLI = 'J',  NVL(DATE_ENTERPRIZE_SIZE_AUX, '00/00/0000'), '11/11/1111' ) as DATE_ENTERPRIZE_SIZE
Comentários IT:
‣ Não encontrado no Loan Tape (confirmar com Nádia Ahmad e Dora Roxo); 
‣ Luís Capitão-Mor sugeriu questionar a Corporação sobre este campo.
Questão Pedro Mendes: "¿Aquí qué fecha quiere el SRB? Se quiere la fecha cuando se cargó los datos de lo cliente (i.e. facturación) o la última fecha de datos donde se utilizó estos datos? Sí es la primera, será la fecha cuando se cargó los estados financieros de lo cliente en lo sistema. Sí es la segunda será siempre igual a la fecha de referencia de los datos."
Resposta Corporação (Email Pedro Mendes 26/03/2024 17:28): "Lo que se pide es la fecha en la que se actualizó por última vez el dato “Enterprise size”, un poco para saber cómo de actualizado/obsoleto está ese dato (puede que lleve sin recalcularse mucho tiempo).
Por si ayuda, el campo se reporta al ECB en Anacredit y en el siguiente enlace se recoge definición más detallada para cada uno de ellos (apartado 12.4.19)
https://www.ecb.europa.eu/pub/pdf/other/AnaCredit_Manual_Part_II_Datasets_and_data_attributes_201905~cc9f4ded23.en.pdf"
‣ Reunião com  Luís Capitão-Mor 11/11/2024: Nesta reunião definiu-se a regra a aplicar neste campo: 1) Se o cliente for uma pessoa física, então reportar N/A; 2) Se o cliente for uma pessoa jurídica, então recuar até à data em que o enterprize size alterou em relação ao valor que tem à data de referência (se nunca mudou será a data de constituição do cliente)
‣ Query que replica a lógica usada para recuperar a última data em que o campo cod_empr_pme foi alterada, garantido que a mesma é menor do que a REF_DATE (data de referência) que está a ser avaliada:
SELECT
    ZCLIENTE,
    MAX(REF_DATE) as DATE_OF_ENTERPRIZE_SIZE_AUX
FROM
(
    SELECT
        ZCLIENTE,
        COD_EMPR_PME,
        LAG(COD_EMPR_PME) OVER(PARTITION BY ZCLIENTE ORDER BY REF_DATE) as COD_EMPR_PME_ANTERIOR,
        REF_DATE
    FROM CD_CAPTOOLS.CT063_UNIV_PME
    WHERE REF_DATE &lt;= '2024-09-30' -- REF_DATE
) as pme
WHERE NVL(COD_EMPR_PME,11111111111) != NVL(COD_EMPR_PME_ANTERIOR,11111111111)
AND COD_EMPR_PME IS NOT NULL
GROUP BY ZCLIENTE
</t>
  </si>
  <si>
    <t>V_213</t>
  </si>
  <si>
    <t>Number of employees</t>
  </si>
  <si>
    <t>Number of employees working for the counterparty, in accordance with Article 5 of the Annex to Recommendation 2003/361/EC.</t>
  </si>
  <si>
    <t>Número de trabalhadores que trabalham para a contraparte, em conformidade com o artigo 5.o do anexo da Recomendação 2003/361/CE.</t>
  </si>
  <si>
    <t>number_employees</t>
  </si>
  <si>
    <t>Mapeamento LT:
Se tipo_empr='Associada' utilizar o campo  num_empg_grup da tabela business_sme2003361.out_sme_2003_361
Se tipo_empr='Autonoma' utilizar o campo  num_empg_indv da tabela business_sme2003361.out_sme_2003_361
Comentários IT:
‣ Luís Capitão-Mor referiu que este novo campo terá de ser obtido da nova tabela de SMEs (que está a ser criada) que contém  num_empg_indv e num_empg_grup. 
Neste momento a tabela existe apenas em testes na bu_captools_work.fr044_univ_pme (no futuro: BD -&gt; business_sme2003361 Tabela -&gt; smefin_out_sme2003361). 
Luís Capitão-Mor solicitou a João Pedro Gonçalves Balsa Pinto Pereira a adição de um novo campo que indique se foi utilizada informação do Grupo ou Individual.
Regra:
Se  novo campo for Individual usar num_empg_indv
Se novo campo for Grupo usar num_empg_grup
Nota: João Pedro Gonçalves Balsa Pinto Pereira comentou a 18/04/2024 que não criou o novo campo que Luís Capitão-Mor solicitou dado que já existe nesta tabela o campo tipo_empr, que assume apenas 2 valores: Associada (quando é Grupo) ou Autonoma (quando é Individual)</t>
  </si>
  <si>
    <t>cd_captools.ct021_rwa_cli</t>
  </si>
  <si>
    <t>num_empl</t>
  </si>
  <si>
    <t>‣ Para cada Counterparty Identifier é obtido o:
     MAX(num_empl)</t>
  </si>
  <si>
    <t>V_214</t>
  </si>
  <si>
    <t>Balance sheet total</t>
  </si>
  <si>
    <t>The carrying value of the counterparty’s total assets in accordance with Regulation (EU) No 549/2013.</t>
  </si>
  <si>
    <t>O valor contabilístico do total dos ativos da contraparte, em conformidade com o Regulamento (UE) n.o 549/2013.</t>
  </si>
  <si>
    <t>balance_sheet_total</t>
  </si>
  <si>
    <t>Mapeamento LT:
Se tipo_empr='Associada' utilizar o campo  ativo_grup da tabela business_sme2003361.out_sme_2003_361
Se tipo_empr='Autonoma' utilizar o campo  ativo_indv da tabela business_sme2003361.out_sme_2003_361
Comentários IT:
‣ Luís Capitão-Mor referiu que este novo campo terá de ser obtido da nova tabela de SMEs (que está a ser criada) que contém ativo_indv e ativo_grup. 
Neste momento a tabela existe apenas em testes na bu_captools_work.fr044_univ_pme (no futuro: BD -&gt; business_sme2003361 Tabela -&gt; smefin_out_sme2003361). 
Luís Capitão-Mor solicitou a João Pedro Gonçalves Balsa Pinto Pereira a adição de um novo campo que indique se foi utilizada informação do Grupo ou Individual.
Regra:
Se novo campo for Individual usar ativo_indv
Se novo campo for Grupo usar ativo_grup
Nota: João Pedro Gonçalves Balsa Pinto Pereira comentou a 18/04/2024 que não criou o novo campo que Luís Capitão-Mor solicitou dado que já existe nesta tabela o campo tipo_empr, que assume apenas 2 valores: Associada (quando é Grupo) ou Autonoma (quando é Individual)</t>
  </si>
  <si>
    <t>tot_acti</t>
  </si>
  <si>
    <t>‣ Para cada Counterparty Identifier é obtido o:
     MAX(tot_acti)</t>
  </si>
  <si>
    <t>V_215</t>
  </si>
  <si>
    <t>Annual turnover</t>
  </si>
  <si>
    <t>Numeric in euro</t>
  </si>
  <si>
    <t>The annual sales volume net of all discounts and sales taxes of the counterparty in accordance with Recommendation 2003/361/EC.</t>
  </si>
  <si>
    <t>ENTITY-ANNL_TRNVR_LE</t>
  </si>
  <si>
    <t>Annual turnover counterparty (LE)</t>
  </si>
  <si>
    <t>Annual sales volume net of all discounts and sales taxes in accordance with Recommendation 2003/361/EC. Equivalent to the concept of 'total annual sales' in Article 153(4) of Regulation (EU) No 575/2013. Please report on solo entity level unless advised otherwise.</t>
  </si>
  <si>
    <t>annual_turnover</t>
  </si>
  <si>
    <t>LT003_ENTITY.ANNL_TRNVR_LE</t>
  </si>
  <si>
    <t>annl_trnvr_le</t>
  </si>
  <si>
    <t>‣ Para cada Counterparty Identifier é obtido o:
     MAX(annl_trnvr_le)</t>
  </si>
  <si>
    <t>V_216</t>
  </si>
  <si>
    <t>Accounting standard</t>
  </si>
  <si>
    <t>Accounting standard used by the observed agent’s legal entity.
Options:
‣ IFRS
‣ National GAAP consistent with IFRS
‣ National GAAP not consistent with IFRS</t>
  </si>
  <si>
    <t>Norma contabilística utilizada pela entidade jurídica do agente observado.
Opções:
‣ IFRS
‣ National GAAP consistent
with IFRS
‣ National GAAP not consistent
with IFRS</t>
  </si>
  <si>
    <t>ENTITY-ACCNTNG_FRMWRK_SL</t>
  </si>
  <si>
    <t>Accounting standard counterparty</t>
  </si>
  <si>
    <t>Accounting standard counterparty.</t>
  </si>
  <si>
    <t>accounting_standard</t>
  </si>
  <si>
    <t>LT003_ENTITY.ACCNTNG_FRMWRK_SL
‣ Necessário criar novas parametrizaçôes nas tabelas lt829_regras_conversao e lt830_conversoes, podendo as mesmas ser consultadas neste documento nas sheets:
     ‣ LT829 - filtrando por campo_conceito = 'ACCNTNG_FRMWRK_SL' e regra_conversao = '1';
     ‣ LT830 - filtrando por segmento = 'Off-balance sheet exposures', campo_conceito = 'ACCNTNG_FRMWRK_SL.</t>
  </si>
  <si>
    <t>‣ Forçado a "IFRS"</t>
  </si>
  <si>
    <t>Descrição português</t>
  </si>
  <si>
    <t xml:space="preserve">An identifier applied to uniquely identify each protection/collateral used to secure the instrument.  </t>
  </si>
  <si>
    <t>Um identificador aplicado para identificar exclusivamente cada proteção/garantia utilizados para fixar o instrumento.</t>
  </si>
  <si>
    <t>Not applicable: To be reported as "N/A". 
This information will be availabe in "03_05_off_instr_prot" table</t>
  </si>
  <si>
    <t>Mapeamento LT:
Not Applicable: Reportar 'N/A'
Comentários IT:
Este campo constará no ficheiro "03_05_off_instr_prot"</t>
  </si>
  <si>
    <t>cd_alm.AL006_SAQ_PPC</t>
  </si>
  <si>
    <t>A rubrica "tipo de proteção" da AnaCredit (Secção 9.4.3 do Manual de Comunicação de Informação AnaCredit Parte II – Conjuntos de dados e atributos de dados) fornece uma discriminação das garantias elegíveis de acordo com o RRFP. A repartição proposta acrescenta várias categorias.
Opções:
‣ Gold
‣ Currency and deposits
‣ Securities
‣ Loans
‣ Equity and investment fund
shares or units
‣ Credit derivatives
‣ Financial guarantees other than
credit derivatives
‣ Trade receivables
‣ Life insurance policies pledged
‣ Residential real estate collateral
‣ Offices and commercial
premises
‣ Commercial real estate
collateral
‣ Other physical collateral
‣ Other protection
‣ Hotels &amp; entertainment
‣ Infrastructure projects
‣ Factories – Warehouses
‣ Equipment &amp; machinery
‣ Automotive
‣ Aircraft
‣ Shipping</t>
  </si>
  <si>
    <t>LT004_PROTECTION.TYP_PRTCTN
‣ Necessário criar novas parametrizaçôes nas tabelas lt829_regras_conversao e lt830_conversoes, podendo as mesmas ser consultadas neste documento nas sheets:
     ‣ LT829 - filtrando por campo_conceito = 'TYP_PRTCTN' e regra_conversao = '1';
     ‣ LT830 - filtrando por segmento = 'Off-balance sheet exposures' e campo_conceito = 'TYP_PRTCTN'.</t>
  </si>
  <si>
    <t>Área de construção do edifício em metros quadrados. Aplicável apenas a garantias imobiliárias residenciais, escritórios e estabelecimentos comerciais, Garantias imobiliárias comerciais, Hotéis e entretenimento, Fábricas – armazéns.</t>
  </si>
  <si>
    <t>Land area of the property in square meters. Only applicable to land.</t>
  </si>
  <si>
    <t>Área do terreno da propriedade em metros quadrados. Aplicável apenas a terrenos.</t>
  </si>
  <si>
    <t xml:space="preserve">Código postal onde o imóvel está localizado. Aplicável apenas a garantias imobiliárias residenciais, escritórios e estabelecimentos comerciais, garantias imobiliárias comerciais, hotéis e entretenimento, fábricas – armazéns.
</t>
  </si>
  <si>
    <t>A(s) posição(ões) mais elevada(s) em relação às garantias detidas para garantir o mecanismo. No caso da facilidade ter vários ónus sobre uma garantia, o crédito mais elevado é comunicado neste campo de dados.</t>
  </si>
  <si>
    <t>Data em que a última avaliação ou avaliação da proteção foi efetuada antes da data de referência do relatório.</t>
  </si>
  <si>
    <t>O montante do valor de proteção é o valor monetário da
proteção estabelecida na última data de avaliação</t>
  </si>
  <si>
    <t>A data de vencimento contratual da proteção, que é a data mais próxima em que a proteção pode cessar ou ser rescindida, tendo em conta quaisquer acordos que alterem os contratos iniciais.</t>
  </si>
  <si>
    <t>Data em que a última avaliação ou avaliação da proteção foi efetuada antes da sua receção inicial como proteção de crédito.</t>
  </si>
  <si>
    <t>LT004_PROTECTION.DT_ORGNL_PRTCTN_VL
Segundo Luís Capitão-Mor, deverão ser avaliadas as regras de preenchimento deste campo no Loan Tape, de forma a perceber se se está a recuperar a data mais antiga de uma garantia, ou a mais antiga que continua viva, ou a mais recente anterior à data de início do contrato onde o bem foi dado como garantia.</t>
  </si>
  <si>
    <t>O tipo de valor relatado do item de proteção, conforme relatado no atributo de dados "valor de proteção".
Opções:
‣ Notional amount
‣ Fair value
‣ Market value
‣ Long-term sustainable value
‣ Other protection value</t>
  </si>
  <si>
    <t>LT004_PROTECTION.TYP_PRTCTN_VL
‣ Necessário criar novas parametrizaçôes nas tabelas lt829_regras_conversao e lt830_conversoes, podendo as mesmas ser consultadas neste documento nas sheets:
     ‣ LT829 - filtrando por campo_conceito = 'TYP_PRTCTN_VL' e regra_conversao = '1';
     ‣ LT830 - filtrando por segmento = 'Off-balance sheet exposures' e campo_conceito = 'TYP_PRTCTN_VL'.</t>
  </si>
  <si>
    <t>LT004_PROTECTION.PRTCTN_VLTN_APPRCH
‣ Necessário criar novas parametrizaçôes nas tabelas lt829_regras_conversao e lt830_conversoes, podendo as mesmas ser consultadas neste documento nas sheets:
     ‣ LT829 - filtrando por campo_conceito = 'PRTCTN_VLTN_APPRCH' e regra_conversao = '1';
     ‣ LT830 - filtrando por segmento = 'Off-balance sheet exposures' e campo_conceito = 'PRTCTN_VLTN_APPRCH'.</t>
  </si>
  <si>
    <t>V_217</t>
  </si>
  <si>
    <t>O montante máximo do valor de proteção que pode ser considerado como proteção de crédito para o instrumento. O montante das reivindicações de prioridade de terceiros existentes ou agentes observados contra a proteção deve ser excluído no valor atribuído à proteção.</t>
  </si>
  <si>
    <t>Not applicable: To be reported as "11111111111". 
This information will be availabe in "03_05_off_instr_prot" table</t>
  </si>
  <si>
    <t xml:space="preserve">LT004_PROTECTION.PRTCTN_VL
Como o banco só aceita 1ªs hipotecas, este campo é exatamente igual ao LT004_PROTECTION.PRTCTN_VL (V_220), como tal, da perspetiva de Luís Capitão-Mor deve ser reportado aqui esse valor (LT004_PROTECTION.PRTCTN_VL).
Questionou-se então a Corporação se se pode reportar o referido anteriormente ou se terá de ser 11111111111 (Not Applicable), conforme referido na coluna H (Mapeamentos Corporação (LT)).
Email de Pedro Mendes (09/05/2024 17:19) com a resposta da Corporação:
"No, no estaba diciendo que se reporte "11111111111" (Not applicable). Lo que digo es que nosotros estamos informando lo mismo que se está informando en la GRT:
-	Si en la GRT se informa "11111111111", entonces en VDS informamos "11111111111”
-	Si en la GRT se informa otra cosa, entonces informamos esa misma cosa en VDS
En definitiva, la idea es informar en VDS lo mismo que se informe en la GRT. Tened en cuenta que la solución estratégica es que terminemos obteniendo VDS de la GRT para los módulos de Exposures y Debt Securities."
</t>
  </si>
  <si>
    <t>V_218</t>
  </si>
  <si>
    <t>O montante máximo de quaisquer ónus de grau superior existentes em relação a terceiros que não o agente observado contra a proteção</t>
  </si>
  <si>
    <t>Third party priority claims against the protection</t>
  </si>
  <si>
    <r>
      <rPr>
        <b/>
        <u/>
        <sz val="14"/>
        <color theme="1"/>
        <rFont val="Calibri"/>
        <family val="2"/>
        <scheme val="minor"/>
      </rPr>
      <t>SRB DERIVATIVES DATA SET</t>
    </r>
    <r>
      <rPr>
        <b/>
        <sz val="11"/>
        <color theme="1"/>
        <rFont val="Calibri"/>
        <family val="2"/>
        <scheme val="minor"/>
      </rPr>
      <t xml:space="preserve">
The SRB Valuation Data Set does not cover data points reported under Article 9 of Regulation (EU) No 648/2012 (European Market Infrastructure Regulation (EMIR)), as detailed under the Commission Delegated Regulation (EU) No 148/2013, which imposes reporting obligations to counterparties and central clearing counterparties (CCPs). Reporting obligations cover any derivative contract that they may have concluded and any modification or termination of the contract. Counterparties should report such information to registered or recognized trade repositories no later than the working day following the conclusion, modification or termination of the contract. Where a trade repository is not available to record the details of a derivative contract, counterparties and CCPs must ensure that such details are reported to the European Securities and market Authority (ESMA).
Pursuant to Article 2 of Implementing Regulation (EU) No 1247/2012, ‘mark-to market’ or ‘mark-to-model’ valuations must be reported on a daily basis. Any other reporting elements must be reported as they occur or change, taking into account time limits envisaged in Article 9 of EMIR, notably as regards the conclusion, modification or termination of a contract.
In addition to reporting obligations stemming from EMIR, Delegated Regulation (EU) No 2016/1712 supplementing BRRD establishes standards that specify the minimum set of information on financial contracts that should be contained within the detailed records. As per this Regulation, entities under the scope of the BRRD should maintain detailed records of financial contracts where the resolution plan foresees taking resolution actions. The EBA Data Dictionary and the SRB Valuation Data Set take into account many of the data points contained in the Delegated Regulation.
Article 2 (16) of Commission Delegated Regulation (EU) No 151/2013 amended by Commission Delegated Regulation (EU) No 2019/361 with regard to access to the data held in trade repositories establishes that trade repository shall provide the SRB with access to all transaction data on derivatives concluded by counterparties that fall under the scope of Regulation (EU) No 806/2014 (SRMR).
As stressed above, the SRB Valuation Data Set, which is comprised of various subsets, should be defined by the IRT for each individual credit institution9 based on various considerations including the business model and risk profile. Valuations in resolution may be negatively affected by economic losses arising from derivatives’ portfolios. Should derivatives allocated in the trading book or derivatives priced or valued using ‘mark-to-model’ (i.e. Level 3) be of relevance in the balance sheet of credit institutions, the latter should keep records of such exposures.
The SRB Valuation Data Set covers a detailed list of data points on derivatives contracts irrespective of their positive / negative fair value on the date of valuation.
The data listed in the derivatives table should be reported at single contract level and take into account specificities regarding margin requirements.
Será produzido o ficheiro:
‣  SRB DERIVATIVES DATA SET (DERIVATIVES);
</t>
    </r>
  </si>
  <si>
    <r>
      <rPr>
        <b/>
        <u/>
        <sz val="14"/>
        <color theme="1"/>
        <rFont val="Calibri"/>
        <family val="2"/>
        <scheme val="minor"/>
      </rPr>
      <t>SRB derivatives Data Set</t>
    </r>
    <r>
      <rPr>
        <b/>
        <sz val="11"/>
        <color theme="1"/>
        <rFont val="Calibri"/>
        <family val="2"/>
        <scheme val="minor"/>
      </rPr>
      <t xml:space="preserve">
O conjunto de dados de avaliação do CUR não abrange os dados comunicados nos termos do artigo 9.º do Regulamento (UE) n.º 648/2012 (Regulamento sobre a Infraestrutura do Mercado Europeu (EMIR)), conforme detalhado no Regulamento Delegado (UE) n.º 148/2013 da Comissão, que impõe obrigações de comunicação de informações às contrapartes7 e às contrapartes centrais de compensação (CCP). As obrigações de comunicação abrangem qualquer contrato de derivativos que possam ter celebrado e qualquer modificação ou rescisão do contrato. As contrapartes devem comunicar essas informações a entidades registadas ou reconhecidas.
repositórios de transações o mais tardar no dia útil seguinte à conclusão, modificação ou rescisão do contrato. Caso não esteja disponível um repositório de transações para registar os dados de um contrato de derivados, as contrapartes e as CCP devem garantir que esses dados são comunicados às a Autoridade Europeia dos Valores Mobiliários e dos Mercados (ESMA).
Nos termos do artigo 2.º do Regulamento de Execução (UE) n.º 1247/2012, as avaliações «avaliação ao mercado» ou «avaliação ao modelo» devem ser comunicadas diariamente. Quaisquer outros elementos de reporte devem ser reportados à medida que ocorrem ou mudam, tendo em conta os prazos previstos no artigo 9.º do EMIR, nomeadamente no que diz respeito à celebração, alteração ou rescisão de um contrato.
Além das obrigações de comunicação decorrentes do EMIR, o Regulamento Delegado (UE) 2016/1712, que complementa a BRRD, estabelece normas que especificam o conjunto mínimo de informações sobre contratos financeiros8 que devem constar dos registros detalhados. Como nos termos do presente regulamento, as entidades abrangidas pela BRRD devem manter registos detalhados dos contratos financeiros relativamente aos quais o plano de resolução prevê a tomada de medidas de resolução. A EBA O Dicionário de Dados e o Conjunto de Dados de Avaliação SRB levam em consideração muitos dos pontos de dados contidas no Regulamento Delegado.
Artigo 2.º, n.º 16, do Regulamento Delegado (UE) n.º 151/2013 da Comissão, alterado por Regulamento Delegado (UE) n.º 2019/361 da Comissão no que diz respeito ao acesso aos dados conservados nos 
repositórios de transações estabelece que o repositório de transações deve fornecer ao CUR acesso a todos os dados de transações sobre derivados celebrados por contrapartes abrangidas pelo âmbito de aplicação do Regulamento (UE) n.º 806/2014 (SRMR).
Serão produzidos três ficheiros de report referentes a Natural Persons:
‣  SRB derivatives Data Set (VDS_OUT_DERIVATIVES);
</t>
    </r>
  </si>
  <si>
    <t>Parties to the financial contract</t>
  </si>
  <si>
    <t>Unique trade identifier</t>
  </si>
  <si>
    <t>Until global UTI is available, up to 52 alphanumerical character code including four special characters :
“”. - _.””. Special characters are not allowed at the beginning and at the end of the code. No space allowed.</t>
  </si>
  <si>
    <t>As per EMIR revised ITS Article 4a.</t>
  </si>
  <si>
    <t>De acordo com o Artigo 4a revisado do ITS do EMIR.</t>
  </si>
  <si>
    <t>unique_trade_id</t>
  </si>
  <si>
    <r>
      <rPr>
        <sz val="11"/>
        <color rgb="FF000000"/>
        <rFont val="Calibri"/>
        <scheme val="minor"/>
      </rPr>
      <t xml:space="preserve">Mapeamento LT:
NOTA: Os quatro primeiros passos do mapeamento do campo  "unique_trade_id" são iguais ao do campo "base_product", e como tal estes campos deveriam ser produzidos em conjunto.
1º Passo - Calcular o ultimo dia util menor ou igual à data de referência (ref_date):
if (datetime.datetime.strptime(refDate, "%Y-%m-%d").date().weekday() == 5) &amp; (refDate_ld == lastday):
        refdate_diautil = datetime.datetime.strptime(refDate, "%Y-%m-%d").date() - datetime.timedelta(days=1)
elif (datetime.datetime.strptime(refDate, "%Y-%m-%d").date().weekday() == 6) &amp; (refDate_ld == lastday):
        refdate_diautil = datetime.datetime.strptime(refDate, "%Y-%m-%d").date() - datetime.timedelta(days=2)
else:
        refdate_diautil = refDate
2º Passo - Cruzar LT002_INSTRUMENT com os tradutores de chaves de FINREP e ALM de forma a obter as chaves ALM:
LT002_INSTRUMENT
LEFT JOIN
(
          SELECT
                    CONCAT(cempresa_fr,cbalcao_fr,cnumecta_fr,zdeposit_fr) as INSTRMNT_ID,
                    CONCAT(cempresa,cbalcao,cnumecta,zdeposit) as INSTRMNT_ID_MASTER
          FROM cd_captools.kt_chaves_finrep
          WHERE ref_date = {data de referência}
) as kt_chaves_fr
ON lt002.INSTRMNT_ID = kt_chaves_fr.INSTRMNT_ID
LEFT JOIN
(
          SELECT
                    CONCAT(cempresa_master,cbalcao_master,cnumecta_master,zdeposit_master) as INSTRMNT_ID_MASTER,
                    CONCAT(cempresa,cbalcao,cnumecta,zdeposit) as INSTRMNT_ID_ALM
          FROM cd_alm.kt_chaves_alm_m
          WHERE ref_date = {data de referência}
) as kt_chaves_alm
ON kt_chaves_fr.INSTRMNT_ID_MASTER = kt_chaves_alm.INSTRMNT_ID_MASTER
3º Passo - Cruzar LT002_INSTRUMENT com as tabelas de Swaps Cambiais (AL005_DET_SWAPC e SIGOM_FX), de forma a obter os campos UTI, CARACT_MX_FX e CTIPO_OPER:
LEFT JOIN
(
    SELECT
        al005.instrmnt_id,
        sigom_fx.uti,
        sigom_fx.caract_mx_fx,
        al005.ctipo_oper
    FROM
    (
        SELECT
            CONCAT(cempresa,cbalcao,cnumecta,zdeposit) as instrmnt_id,
            cod_ref_int,
            ctipo_oper
</t>
    </r>
    <r>
      <rPr>
        <sz val="11"/>
        <color rgb="FFFF0000"/>
        <rFont val="Calibri"/>
        <scheme val="minor"/>
      </rPr>
      <t xml:space="preserve">        FROM cd_alm.al005_det_swapc
</t>
    </r>
    <r>
      <rPr>
        <sz val="11"/>
        <color rgb="FF000000"/>
        <rFont val="Calibri"/>
        <scheme val="minor"/>
      </rPr>
      <t xml:space="preserve">        WHERE ref_date = {data de referência}
    ) as al005
    LEFT JOIN
    (
        SELECT
            ref_interna,
            uti,
            caract_mx as caract_mx_fx,
            ROW_NUMBER() OVER (PARTITION BY cid_sigom, data_date_part ORDER BY dfim ASC) AS row_num
        FROM cd_alm.sigom_fx
        WHERE data_date_part = {ultimo dia util menor ou igual à data de referência}
    ) as sigom_fx
    ON al005.cod_ref_int = sigom_fx.ref_interna
    AND row_num = 1
) as fx
</t>
    </r>
    <r>
      <rPr>
        <sz val="11"/>
        <color rgb="FFFF0000"/>
        <rFont val="Calibri"/>
        <scheme val="minor"/>
      </rPr>
      <t xml:space="preserve">ON fx.instrmnt_id = kt_chaves_alm.INSTRMNT_ID_ALM
</t>
    </r>
    <r>
      <rPr>
        <sz val="11"/>
        <color rgb="FF000000"/>
        <rFont val="Calibri"/>
        <scheme val="minor"/>
      </rPr>
      <t xml:space="preserve">
4º Passo - Cruzar LT002_INSTRUMENT com as tabelas de Derivados (AL011_DERIVADOS e SIGOM_CIB), de forma a obter os campos UTI, CARACT_MX_CIB e INSTRUMENTO:
LEFT JOIN
(
    SELECT
        al011.instrmnt_id,
        sigom_cib.uti,
        sigom_cib.caract_mx_cib,
        al011.instrumento
    FROM
    (
        SELECT
            CONCAT(cempresa,cbalcao,cnumecta,zdeposit) as instrmnt_id,
            cod_ref_int,
            instrumento
        FROM cd_alm.al011_derivados
        WHERE ref_date = {data de referência}
    ) as al011
    LEFT JOIN
    (
        SELECT
            cod_ref_int,
            uti,
            caract_mx as caract_mx_cib
        FROM cd_alm.sigom_cib
        WHERE data_date_part = {ultimo dia util menor ou igual à data de referência}
    ) as sigom_cib
    ON al011.cod_ref_int = sigom_cib.cod_ref_int
) as cib
ON cib.instrmnt_id = kt_chaves_alm.INSTRMNT_ID_ALM
5º Passo - Cruzar LT002_INSTRUMENT com as tabelas de REPOS (AL602_REPOS_ALM e SIGOM_ALMREPOS), de forma a obter o campo UTI:
LEFT JOIN
(
    SELECT
        al602.instrmnt_id,
        sigom_almrepos.uti
    FROM
    (
        SELECT
            CONCAT(cempresa,cbalcao,cnumecta,zdeposit) as instrmnt_id,
            cod_ref_int
        FROM cd_alm.al602_repos_alm
        WHERE ref_date =  {data de referência}
    ) as al602
    LEFT JOIN
    (
        SELECT
            internal_ref,
            uti
        FROM curated_internal_sigom.sigom_almrepos
        WHERE data_date_part =  {ultimo dia util menor ou igual à data de referência}
    ) as sigom_almrepos
    ON al602.cod_ref_int = sigom_almrepos.internal_ref
) as repos
ON repos.instrmnt_id = kt_chaves_alm.INSTRMNT_ID_ALM
6º Passo - Este campo apenas é aplicável para os universo de Derivados e REPOS, e como tal deve ser implementada a seguinte regra de Not Applicable:
              - Se fx.instrmnt_id IS NULL AND cib.instrmnt_id IS NULL AND repos.instrmnt_id IS NULL
7º  Passo - Cruzar os campos de UTI obtidos nos passos 3, 4 e 5 e o campo INSTRMNT_ID da LT002 segundo a regra:
              CASE
                            WHEN TRIM(NVL(cib.uti,'')) &lt;&gt; '' THEN  cib.uti
                            WHEN TRIM(NVL(fx.uti,'')) &lt;&gt; '' THEN  fx.uti
                            WHEN TRIM(NVL(repos.uti,'')) &lt;&gt; '' THEN  repos.uti
                            ELSE  lt002.instrmnt_id
              END as unique_trade_id
Comentários IT:
‣ Coordenar com Luís Barata/Rogério Sacadura:
- Novo campo unique_trade_id nos ficheiros sigom_cib (tabela  cd_alm.sigom_cib) e sigom_fx (tabela  cd_alm.sigom_fx) ;
- Novo campo unique_trade_id na cd_alm.al011_derivados  e na cd_alm.al005_det_swapc  (que virá das tabelas acima)
- Novo campo unique_trade_id na cd_loan_tapes_bce.lt002_instrument (que virá das tabelas  cd_alm.al011_derivados  e cd_alm.al005_det_swapc)
‣ Reunião com Rogério Sacadura 02/05/2024: 
- Quando a contraparte é uma Financial counterparty recebem o UTI através do SWIFT que recebem da Contraparte a confirmar a Operação (ter em atenção se este código está disponível).
- Quando a contraparte é uma Non Financial counterparty, o UTI é gerado automaticamente e carregado no Sistema.</t>
    </r>
  </si>
  <si>
    <t>Alterações ao Motor LT - Novos Campos: Definição Fechada / Dados não existem no Datalake -&gt; Ingesta + Dev Datalake (tabelas intermédias) + Dev Aplicação Origem</t>
  </si>
  <si>
    <t>Counterparty ID</t>
  </si>
  <si>
    <t>Code used to identify the reporting counterparty. Where a contract is concluded in a trading venue and cleared by a CCP such that a counterparty is not aware of the identity of the other counterparty, the entity must identify that CCP as its counterparty.</t>
  </si>
  <si>
    <t>Código utilizado para identificar a contraparte que reporta. Onde um contrato é celebrado numa plataforma de negociação e compensado por uma CCP de tal forma que uma contraparte não tem conhecimento da identidade da outra contraparte, a entidade deve identificar essa CCP como sua contraparte.</t>
  </si>
  <si>
    <t>Mapeamento LT:
Reunião 09/12/2024 Luís Capitão-Mor, Mariana Romão, Pedro Oliveira: Foi definido que se trata de um campo novo na tabela LT002, e que será preenchido apenas para os universos de Derivados e REPOS seguindo os seguintes passos:
1º Passo - Cruzar LT002_INSTRUMENT com as tabelas AL005_DET_SWAPC, AL011_DERIVADOS, AL602_REPOS_ALM, AL611_DERIV_AUX, AL613_SWAPSC_AUX, para filtrar apenas o universo de contratos de Derivados e REPOS:
SELECT
    lt002.INSTRMNT_ID,
    kt_chaves_fr.INSTRMNT_ID_MASTER
FROM
(
    SELECT
        INSTRMNT_ID 
    FROM cd_loan_tapes_bce.lt002_instrument
    WHERE ref_date = '2024-09-30'
) as lt002
INNER JOIN
(
    SELECT
        CONCAT(cempresa_fr,cbalcao_fr,cnumecta_fr,zdeposit_fr) as INSTRMNT_ID,
        CONCAT(cempresa,cbalcao,cnumecta,zdeposit) as INSTRMNT_ID_MASTER
    FROM cd_captools.kt_chaves_finrep
    WHERE ref_date = '2024-09-30'
) as kt_chaves_fr
ON lt002.INSTRMNT_ID = kt_chaves_fr.INSTRMNT_ID
INNER JOIN
(
    SELECT
        CONCAT(cempresa_master,cbalcao_master,cnumecta_master,zdeposit_master) as INSTRMNT_ID_MASTER,
        CONCAT(cempresa,cbalcao,cnumecta,zdeposit) as INSTRMNT_ID_ALM
    FROM cd_alm.kt_chaves_alm_m
    WHERE ref_date = '2024-09-30'
) as kt_chaves_alm
ON kt_chaves_fr.INSTRMNT_ID_MASTER = kt_chaves_alm.INSTRMNT_ID_MASTER
INNER JOIN
(
    SELECT
        CONCAT(cempresa,cbalcao,cnumecta,zdeposit) as INSTRMNT_ID_ALM
    FROM cd_alm.al005_det_swapc
    WHERE ref_date = '2024-09-30'
    UNION
    SELECT
        CONCAT(cempresa,cbalcao,cnumecta,zdeposit) as INSTRMNT_ID_ALM
    FROM cd_alm.al011_derivados
    WHERE ref_date = '2024-09-30'
    UNION
    SELECT
        CONCAT(cempresa,cbalcao,cnumecta,zdeposit) as INSTRMNT_ID_ALM
    FROM cd_alm.al602_repos_alm
    WHERE ref_date = '2024-09-30'
    AND flag_ativo = '1'
    UNION
    SELECT
        CONCAT(cempresa,cbalcao,cnumecta,zdeposit) as INSTRMNT_ID_ALM
    FROM cd_alm.al611_deriv_aux
    WHERE ref_date = '2024-09-30'
    UNION
    SELECT
        CONCAT('6416           ',
                CASE
                    WHEN substr(cid_sigom,1,4) = '+000' THEN rpad(concat(substr(coperacao,1,3),substr(cid_sigom,5,6)),15,'0')
                    WHEN substr(cid_sigom,1,3) = '+00' THEN rpad(concat(substr(coperacao,1,3),substr(cid_sigom,4,7)),15,'0')
                    WHEN substr(cid_sigom,1,2) = '+0' THEN rpad(concat(substr(coperacao,1,3),substr(cid_sigom,3,8)),15,'0')
                    WHEN ((substr(cid_sigom,1,2) != '+0')
                        OR (substr(cid_sigom,1,3) != '+00')
                        OR (substr(cid_sigom,1,4) != '+000'))
                        AND (coperacao IS NOT NULL) THEN concat(substr(coperacao,1,3),substr(cid_sigom,2,9),'00')
                    WHEN coperacao IS NULL THEN rpad(concat(coperacao, ' '),15,' ')
                END
            ) as INSTRMNT_ID_ALM
    FROM cd_alm. al613_swapsc_aux
    WHERE ref_date = '2024-09-30'
) as cntr_derv_repo
ON cntr_derv_repo.INSTRMNT_ID_ALM = kt_chaves_alm.INSTRMNT_ID_ALM
2º Passo - Cruzar o universo de contratos definido acima (UNIV) com a tabela CL001_INTERV_CTO, de forma a determinar para cada contrato o 1º titular (UNIV_DERV_REPO). Se para um contrato não houver um 1º titular associado na cl001 então usar o zcliente contabilistico (fr004):
SELECT
    UNIV.INSTRMNT_ID,
    NVL(cl001.zcliente, fr004.zcliente) as ENTTY_ID
FROM
    UNIV
LEFT JOIN
(
    SELECT
        CONCAT(cempresa,cbalcao,cnumecta,zdeposit) as INSTRMNT_ID_MASTER,
        zcliente
    FROM cd_clientes.cl001_interv_cto
    WHERE ref_date = '2024-08-31'
    AND TRIM(crelacao_cl_cnt) = '1'
    AND csequencia_rel ='00001'
) as cl001
ON cl001.INSTRMNT_ID_MASTER = UNIV.INSTRMNT_ID_MASTER
LEFT JOIN
(
    SELECT
        CONCAT(cempresa,cbalcao,cnumecta,zdeposit) as INSTRMNT_ID,
        zcliente
    FROM cd_captools.fr004_cto
    WHERE ref_date = '2024-08-31'
) as fr004
ON fr004.INSTRMNT_ID = UNIV.INSTRMNT_ID
3º Passo - Agora que se obteve o universo de contratos de Derivados e REPOs associados aos seus primeiros titulares, deve-se replicar exatamente a mesma lógica aplicada no campo ISSR_ID da tabela LT002:
Metodologia de cruzamento:
	1) Cruzar o universo obtido no 2º Passo (UNIV_DERV_REPO) com o universo de clientes para obter o CLEI, CCLI_GRUPO, CNUM_DOC_IDENTIF2 e CTIPO_DOC_IDENTIF2.
	UNIV_DERV_REPO
	LEFT JOIN
	(SELECT * FROM CT003_UNIV_CLI)  AS CT003
	ON CT003.ZCLIENTE = UNIV_DERV_REPO.ENTTY_ID
	2) Cruzar com a tabela TAT 151 para obter os códigos correspondentes ao TAX ID
	LEFT JOIN
	(SELECT * FROM TAT91_TABELAS)
	ON TAYD91C0_CELEMTAB = CTIPO_DOC_IDENTIF2
	3) Cruzar com o universo de clientes para obter o valor máximo do campo CLEI (MAX_CLEI) para cada CCLI_GRUPO
	LEFT JOIN 
	(SELECT * FROM CT003_UNIV_CLI 
	GROUP BY CCLI_GRUPO)
	ON CCLI_GRUPO = CCLI_GRUPO
Metodologia de Cálculo:
	1.Obtenção do campo TAX_ID:
	CASE WHEN LENGTH(CAST(CAST(CNUM_DOC_IDENTIF2 AS INT) AS STRING)) = 9 AND TAYD91C0_CELEMTAB IS NOT NULL THEN CAST (CAST(CNUM_DOC_IDENTIF2 AS INT) AS STRING) ELSE 'MISS' END 
	2.Obtenção do campo MAX_CLEI:
	MAX(CLEI)
	WHERE CLEI &lt;&gt; '#' 
	3.Obtenção do campo ISSR_ID:
	CASE WHEN TRIM(CLEI) NOT IN (''; '#') THEN CLEI
			   WHEN TRIM(CLEI) IN ('';'#') AND TRIM(CCLI_GRUPO) &lt;&gt; '' AND MAX_CLEI IS NOT NULL THEN MAX_CLEI 
			   WHEN TRIM(CLEI) IN ('';'#') AND TRIM(CCLI_GRUPO) &lt;&gt; '' AND MAX_CLEI IS NULL AND TAX_ID  &lt;&gt; 'MISS' THEN TAX_ID 
			   ELSE ZCLIENTE
	WHERE TAT91_TABELAS.TAYD91C0_CTABELA = '151' 
	AND TAT91_TABELAS.TAYD91C0_GELEMTAB LIKE 'CONTRIBUINTE%' OR TAT91_TABELAS.TAYD91C0_GELEMTAB LIKE 'NUMERO DE CONTRIBUINTE%' OR TAT91_TABELAS.TAYD91C0_GELEMTAB LIKE 'ESTADO E EQUIPARADOS'
Comentários IT:
Inicialmente este campo foi definido com:
‣ Novo campo na lt002_instrument com o código interno zcliente dos primeiros titulares dos contratos.
Sugestão Luís Capitão-Mor: replicar a lógica que permite definir o 1º titular na lt005_instr_ent (campo mn_entty_id)
Este campo está diretamente relacionado como os dois campos abaixo "counterparty_type_id" e "counterparty_country" os quais usam respetivamente os campos da LT002 "ISSR_ID_TYP" e "ISSR_CNTRY" que por sua vez estão diretamente relacionados com o campo "ISSR_ID" da mesma tabela. Seguindo esta lógica aqui deviamos reportar a o campo "ISSR_ID", mas após uma análise da regra deste campo, verificámos que a regra de N/A destes 3 campos da tabela LT002 põe em causa o uso destes campos tanto nesta sheet de DERIVADOS como na sheet de EQUITY onde também são mapeados. A regar da N/A associada aos campos ISSR_... é: se o campo "instrumento_financeiro" da tabela fr802 for diferente de 'instrumentos de divida' então o campo é N/A, Como o filtro do universo de contratos aplicado nesta sheet é instrumento_financeiro='derivados’ e na de Equity é instrumento_financeiro='instrumentos de capital' claramente estes campos serão sempre N/A.
Sugestão: criar campos "paralelos" com a mesma lógica exceto a regra de N/A, que deverá ser agnóstica ao "instrumento_financeiro"</t>
  </si>
  <si>
    <t>‣ Se clei for NULL: 
     cnum_doc_identif1;
‣ Caso contrário:
     clei;</t>
  </si>
  <si>
    <t>cnum_doc_identif1</t>
  </si>
  <si>
    <t>V_24</t>
  </si>
  <si>
    <t>Type of ID of the counterparty of the reporting entity</t>
  </si>
  <si>
    <t>Type of code used to identify the reporting counterparty.
Options based on ECB’s Securities Holding Statistics (field CL_SHS_ID_TYPE)</t>
  </si>
  <si>
    <t>Tipo de código utilizado para identificar a contraparte declarante.</t>
  </si>
  <si>
    <t>counterparty_type_id</t>
  </si>
  <si>
    <t>Mapeamento LT:
Reunião 09/12/2024 Luís Capitão-Mor, Mariana Romão, Pedro Oliveira: Foi definido que se trata de um campo novo na tabela LT002, e que será preenchido apenas para os universos de Derivados e REPOS seguindo os seguintes passos:
NOTA: Os passos 1 e 2 são iguais ao campo 'counterparty_id', ou seja ambos os campos deveriam ser produzidos em conjunto.
1º Passo - Cruzar LT002_INSTRUMENT com as tabelas AL005_DET_SWAPC, AL011_DERIVADOS, AL602_REPOS_ALM, AL611_DERIV_AUX, AL613_SWAPSC_AUX, para filtrar apenas o universo de contratos de Derivados e REPOS:
SELECT
    lt002.INSTRMNT_ID,
    kt_chaves_fr.INSTRMNT_ID_MASTER
FROM
(
    SELECT
        INSTRMNT_ID 
    FROM cd_loan_tapes_bce.lt002_instrument
    WHERE ref_date = '2024-09-30'
) as lt002
INNER JOIN
(
    SELECT
        CONCAT(cempresa_fr,cbalcao_fr,cnumecta_fr,zdeposit_fr) as INSTRMNT_ID,
        CONCAT(cempresa,cbalcao,cnumecta,zdeposit) as INSTRMNT_ID_MASTER
    FROM cd_captools.kt_chaves_finrep
    WHERE ref_date = '2024-09-30'
) as kt_chaves_fr
ON lt002.INSTRMNT_ID = kt_chaves_fr.INSTRMNT_ID
INNER JOIN
(
    SELECT
        CONCAT(cempresa_master,cbalcao_master,cnumecta_master,zdeposit_master) as INSTRMNT_ID_MASTER,
        CONCAT(cempresa,cbalcao,cnumecta,zdeposit) as INSTRMNT_ID_ALM
    FROM cd_alm.kt_chaves_alm_m
    WHERE ref_date = '2024-09-30'
) as kt_chaves_alm
ON kt_chaves_fr.INSTRMNT_ID_MASTER = kt_chaves_alm.INSTRMNT_ID_MASTER
INNER JOIN
(
    SELECT
        CONCAT(cempresa,cbalcao,cnumecta,zdeposit) as INSTRMNT_ID_ALM
    FROM cd_alm.al005_det_swapc
    WHERE ref_date = '2024-09-30'
    UNION
    SELECT
        CONCAT(cempresa,cbalcao,cnumecta,zdeposit) as INSTRMNT_ID_ALM
    FROM cd_alm.al011_derivados
    WHERE ref_date = '2024-09-30'
    UNION
    SELECT
        CONCAT(cempresa,cbalcao,cnumecta,zdeposit) as INSTRMNT_ID_ALM
    FROM cd_alm.al602_repos_alm
    WHERE ref_date = '2024-09-30'
    AND flag_ativo = '1'
    UNION
    SELECT
        CONCAT(cempresa,cbalcao,cnumecta,zdeposit) as INSTRMNT_ID_ALM
    FROM cd_alm.al611_deriv_aux
    WHERE ref_date = '2024-09-30'
    UNION
    SELECT
        CONCAT('6416           ',
                CASE
                    WHEN substr(cid_sigom,1,4) = '+000' THEN rpad(concat(substr(coperacao,1,3),substr(cid_sigom,5,6)),15,'0')
                    WHEN substr(cid_sigom,1,3) = '+00' THEN rpad(concat(substr(coperacao,1,3),substr(cid_sigom,4,7)),15,'0')
                    WHEN substr(cid_sigom,1,2) = '+0' THEN rpad(concat(substr(coperacao,1,3),substr(cid_sigom,3,8)),15,'0')
                    WHEN ((substr(cid_sigom,1,2) != '+0')
                        OR (substr(cid_sigom,1,3) != '+00')
                        OR (substr(cid_sigom,1,4) != '+000'))
                        AND (coperacao IS NOT NULL) THEN concat(substr(coperacao,1,3),substr(cid_sigom,2,9),'00')
                    WHEN coperacao IS NULL THEN rpad(concat(coperacao, ' '),15,' ')
                END
            ) as INSTRMNT_ID_ALM
    FROM cd_alm. al613_swapsc_aux
    WHERE ref_date = '2024-09-30'
) as cntr_derv_repo
ON cntr_derv_repo.INSTRMNT_ID_ALM = kt_chaves_alm.INSTRMNT_ID_ALM
2º Passo - Cruzar o universo de contratos definido acima (UNIV) com a tabela CL001_INTERV_CTO, de forma a determinar para cada contrato o 1º titular (UNIV_DERV_REPO). Se para um contrato não houver um 1º titular associado na cl001 então usar o zcliente contabilistico (fr004):
SELECT
    UNIV.INSTRMNT_ID,
    NVL(cl001.zcliente, fr004.zcliente) as ENTTY_ID
FROM
    UNIV
LEFT JOIN
(
    SELECT
        CONCAT(cempresa,cbalcao,cnumecta,zdeposit) as INSTRMNT_ID_MASTER,
        zcliente
    FROM cd_clientes.cl001_interv_cto
    WHERE ref_date = '2024-08-31'
    AND TRIM(crelacao_cl_cnt) = '1'
    AND csequencia_rel ='00001'
) as cl001
ON cl001.INSTRMNT_ID_MASTER = UNIV.INSTRMNT_ID_MASTER
LEFT JOIN
(
    SELECT
        CONCAT(cempresa,cbalcao,cnumecta,zdeposit) as INSTRMNT_ID,
        zcliente
    FROM cd_captools.fr004_cto
    WHERE ref_date = '2024-08-31'
) as fr004
ON fr004.INSTRMNT_ID = UNIV.INSTRMNT_ID
3º Passo - Agora que se obteve o universo de contratos de Derivados e REPOs associados aos seus primeiros titulares, deve-se replicar exatamente a mesma lógica aplicada no campo ISSR_ID_TYP da tabela LT002:
Realizar metodologia de cruzamento semelhante à implementada no campo  ISSR_ID.
Quando ISSR_ID = CLEI ou ISSR_ID = MAX_CLEI, assumir 'LEI', quando o ISSR_ID = TAX_ID, assumir 'TAX', quando ISSR_ID = ZCLIENTE, assumir 'OTHER'
Comentários IT:
Mapeamento antigo: LT002_INSTRUMENT.ISSR_ID_TYP
Este campo é obtido aplicando a mesma metodologia de cruzamento aplicada ao campo ISSR_ID da tabela lt002_instrument e posteriormente verificando se o mesmo foi obtido a partir dos campos CLEI, CNUM_DOC_IDENTIF2 ou ZCLIENTE. Esta lógica está explicada no documento de especificação do Loan Tape onde também é indicado que este campo apenas pode tomar os valores 'LEI', 'TAX', 'OTHER' ou 'N/A', adicionalmente confirma-se este entendimento a partir da seguinte query:
SELECT DISTINCT ISSR_ID_TYP FROM cd_loan_tapes_bce.lt002_instrument
Os valores deste campo não passam pela tabela de parametrização LT803_CODIGOS_LT mas já vêm exatamente no formato pedido pelo SRB no documento 'ECB’s Securities Holding Statistics (field CL_SHS_ID_TYPE)'. 
Como tal é atribuído o estado Concluído.</t>
  </si>
  <si>
    <t>12/11/2024: Dado como Concluído
10/12/2024: Revertido para Em desenvolvimento</t>
  </si>
  <si>
    <t>issr_id_typ</t>
  </si>
  <si>
    <t>V_25</t>
  </si>
  <si>
    <t>Country of the counterparty</t>
  </si>
  <si>
    <t>The country code of the country where the registered office of the counterparty is located.
based on ECB’s Securities Holding Statistics (field CL_SHS_ISSUER_AREA)</t>
  </si>
  <si>
    <t>O código do país onde está localizada a sede social da contraparte.</t>
  </si>
  <si>
    <t>counterparty_country</t>
  </si>
  <si>
    <t>Mapeamento LT:
Reunião 09/12/2024 Luís Capitão-Mor, Mariana Romão, Pedro Oliveira: Foi definido que se trata de um campo novo na tabela LT002, e que será preenchido apenas para os universos de Derivados e REPOS seguindo os seguintes passos:
NOTA: Os passos 1 e 2 são iguais ao campo 'counterparty_id', ou seja ambos os campos deveriam ser produzidos em conjunto.
1º Passo - Cruzar LT002_INSTRUMENT com as tabelas AL005_DET_SWAPC, AL011_DERIVADOS, AL602_REPOS_ALM, AL611_DERIV_AUX, AL613_SWAPSC_AUX, para filtrar apenas o universo de contratos de Derivados e REPOS:
SELECT
    lt002.INSTRMNT_ID,
    kt_chaves_fr.INSTRMNT_ID_MASTER
FROM
(
    SELECT
        INSTRMNT_ID 
    FROM cd_loan_tapes_bce.lt002_instrument
    WHERE ref_date = '2024-09-30'
) as lt002
INNER JOIN
(
    SELECT
        CONCAT(cempresa_fr,cbalcao_fr,cnumecta_fr,zdeposit_fr) as INSTRMNT_ID,
        CONCAT(cempresa,cbalcao,cnumecta,zdeposit) as INSTRMNT_ID_MASTER
    FROM cd_captools.kt_chaves_finrep
    WHERE ref_date = '2024-09-30'
) as kt_chaves_fr
ON lt002.INSTRMNT_ID = kt_chaves_fr.INSTRMNT_ID
INNER JOIN
(
    SELECT
        CONCAT(cempresa_master,cbalcao_master,cnumecta_master,zdeposit_master) as INSTRMNT_ID_MASTER,
        CONCAT(cempresa,cbalcao,cnumecta,zdeposit) as INSTRMNT_ID_ALM
    FROM cd_alm.kt_chaves_alm_m
    WHERE ref_date = '2024-09-30'
) as kt_chaves_alm
ON kt_chaves_fr.INSTRMNT_ID_MASTER = kt_chaves_alm.INSTRMNT_ID_MASTER
INNER JOIN
(
    SELECT
        CONCAT(cempresa,cbalcao,cnumecta,zdeposit) as INSTRMNT_ID_ALM
    FROM cd_alm.al005_det_swapc
    WHERE ref_date = '2024-09-30'
    UNION
    SELECT
        CONCAT(cempresa,cbalcao,cnumecta,zdeposit) as INSTRMNT_ID_ALM
    FROM cd_alm.al011_derivados
    WHERE ref_date = '2024-09-30'
    UNION
    SELECT
        CONCAT(cempresa,cbalcao,cnumecta,zdeposit) as INSTRMNT_ID_ALM
    FROM cd_alm.al602_repos_alm
    WHERE ref_date = '2024-09-30'
    AND flag_ativo = '1'
    UNION
    SELECT
        CONCAT(cempresa,cbalcao,cnumecta,zdeposit) as INSTRMNT_ID_ALM
    FROM cd_alm.al611_deriv_aux
    WHERE ref_date = '2024-09-30'
    UNION
    SELECT
        CONCAT('6416           ',
                CASE
                    WHEN substr(cid_sigom,1,4) = '+000' THEN rpad(concat(substr(coperacao,1,3),substr(cid_sigom,5,6)),15,'0')
                    WHEN substr(cid_sigom,1,3) = '+00' THEN rpad(concat(substr(coperacao,1,3),substr(cid_sigom,4,7)),15,'0')
                    WHEN substr(cid_sigom,1,2) = '+0' THEN rpad(concat(substr(coperacao,1,3),substr(cid_sigom,3,8)),15,'0')
                    WHEN ((substr(cid_sigom,1,2) != '+0')
                        OR (substr(cid_sigom,1,3) != '+00')
                        OR (substr(cid_sigom,1,4) != '+000'))
                        AND (coperacao IS NOT NULL) THEN concat(substr(coperacao,1,3),substr(cid_sigom,2,9),'00')
                    WHEN coperacao IS NULL THEN rpad(concat(coperacao, ' '),15,' ')
                END
            ) as INSTRMNT_ID_ALM
    FROM cd_alm. al613_swapsc_aux
    WHERE ref_date = '2024-09-30'
) as cntr_derv_repo
ON cntr_derv_repo.INSTRMNT_ID_ALM = kt_chaves_alm.INSTRMNT_ID_ALM
2º Passo - Cruzar o universo de contratos definido acima (UNIV) com a tabela CL001_INTERV_CTO, de forma a determinar para cada contrato o 1º titular (UNIV_DERV_REPO). Se para um contrato não houver um 1º titular associado na cl001 então usar o zcliente contabilistico (fr004):
SELECT
    UNIV.INSTRMNT_ID,
    NVL(cl001.zcliente, fr004.zcliente) as ENTTY_ID
FROM
    UNIV
LEFT JOIN
(
    SELECT
        CONCAT(cempresa,cbalcao,cnumecta,zdeposit) as INSTRMNT_ID_MASTER,
        zcliente
    FROM cd_clientes.cl001_interv_cto
    WHERE ref_date = '2024-08-31'
    AND TRIM(crelacao_cl_cnt) = '1'
    AND csequencia_rel ='00001'
) as cl001
ON cl001.INSTRMNT_ID_MASTER = UNIV.INSTRMNT_ID_MASTER
LEFT JOIN
(
    SELECT
        CONCAT(cempresa,cbalcao,cnumecta,zdeposit) as INSTRMNT_ID,
        zcliente
    FROM cd_captools.fr004_cto
    WHERE ref_date = '2024-08-31'
) as fr004
ON fr004.INSTRMNT_ID = UNIV.INSTRMNT_ID
3º Passo - Agora que se obteve o universo de contratos de Derivados e REPOs associados aos seus primeiros titulares, deve-se replicar exatamente a mesma lógica aplicada no campo ISSR_CNTRY da tabela LT002, mas apontando à parametrização respetiva a este campo:
Metodologia de cruzamento:
	1) Cruzar o universo obtido no 2º Passo (UNIV_DERV_REPO) com o universo de clientes para obter o CPAIS_RESIDENCIA.
	UNIV_DERV_REPO
	LEFT JOIN
	(SELECT * FROM CT003_UNIV_CLI) 
	ON ZCLIENTE = UNIV_DERV_REPO.ENTTY_ID
	2) Cruzar com a informação da tabela de parametrização
	LEFT JOIN
	(SELECT
               VALOR_DESTINO
         FROM LT831_PARAM_CONCEITOS
         WHERE TABELA_CONCEITO = 'LT002_INSTRUMENT'
         AND CAMPO_CONCEITO = 'COUNTERPARTY_COUNTRY')
	ON VALOR_ORIGEM_1 = CPAIS_RESIDENCIA
Metodologia de Cálculo:
	VALOR_DESTINO
	WHERE CAMPO_CONCEITO = 'COUNTERPARTY_COUNTRY'
	AND VALOR_ORIGEM_1 = CPAIS_RESIDENCIA
‣ Necessário criar nova parametrização na tabela lt831_param_conceitos, podendo a mesma ser consultada neste documento na sheet 'LT831' filtrando por tabela_conceito = 'LT002_INSTRUMENT' e campo_conceito = 'COUNTERPARTY_COUNTRY'
Comentários IT:
Mapeamento antigo: LT002_INSTRUMENT.ISSR_CNTRY</t>
  </si>
  <si>
    <t>V_26</t>
  </si>
  <si>
    <t>Base product</t>
  </si>
  <si>
    <t>Options:
‣ For Credit (1): Single Name (1.1); Index Tranche (1.2); Index (1.3); Total Return Swap (1.4); Total Return Swap Index (1.5); Exotic(1.6)
‣ For Interest Rate (2): IR Swap (2.1); FRA (2.2); CapFloor (2.3); Cross Currency (2.4); Forward (2.5); Option (2.6); Exotic (2.7); Swaptions (2.8)
‣ For Commodity (3): Metals (3.1); Energy (3.2); Index (3.3); Agricultural (3.4); Environmental (3.5); Freight (3.6); Multi Commodity Exotic (3.7)
‣ For Foreign Exchange (4): Spot (4.1); NDF (4.2); NDO (4.3); Forward (4.4); Vanilla Option (4.5); Simple Exotic (4.6); Complex Exotic (4.7)
‣ For Equity (5): Swap (5.1); Portfolio Swap (5.2); Contract for difference (5.3); Option (5.4); Forward (5.5); Other (5.6)</t>
  </si>
  <si>
    <t>Opções:
‣ For Credit (1): Single Name
(1.1); Index Tranche (1.2); Index
(1.3); Total Return Swap (1.4);
Total Return Swap Index (1.5);
Exotic(1.6)
‣ For Interest Rate (2): IR Swap
(2.1); FRA (2.2); CapFloor (2.3);
Cross Currency (2.4); Forward
(2.5); Option (2.6); Exotic (2.7);
Swaptions (2.8)
‣ For Commodity (3): Metals
(3.1); Energy (3.2); Index (3.3);
Agricultural (3.4); Environmental
(3.5); Freight (3.6); Multi
Commodity Exotic (3.7)
‣ For Foreign Exchange (4): Spot
(4.1); NDF (4.2); NDO (4.3); Forward
(4.4); Vanilla Option (4.5); Simple
Exotic (4.6); Complex Exotic (4.7)
‣ For Equity (5): Swap (5.1); Portfolio
Swap (5.2); Contract for difference
(5.3); Option (5.4); Forward (5.5);
Other (5.6)</t>
  </si>
  <si>
    <t>base_product</t>
  </si>
  <si>
    <t>Mapeamento LT:
NOTA: Os quatro primeiros passos do mapeamento do campo  "unique_trade_id" são iguais ao do campo "base_product", e como tal estes campos deveriam ser produzidos em conjunto.
1º Passo - Calcular o ultimo dia util menor ou igual à data de referência (ref_date):
if (datetime.datetime.strptime(refDate, "%Y-%m-%d").date().weekday() == 5) &amp; (refDate_ld == lastday):
        refdate_diautil = datetime.datetime.strptime(refDate, "%Y-%m-%d").date() - datetime.timedelta(days=1)
elif (datetime.datetime.strptime(refDate, "%Y-%m-%d").date().weekday() == 6) &amp; (refDate_ld == lastday):
        refdate_diautil = datetime.datetime.strptime(refDate, "%Y-%m-%d").date() - datetime.timedelta(days=2)
else:
        refdate_diautil = refDate
2º Passo - Cruzar LT002_INSTRUMENT com os tradutores de chaves de FINREP e ALM de forma a obter as chaves ALM:
LT002_INSTRUMENT
LEFT JOIN
(
          SELECT
                    CONCAT(cempresa_fr,cbalcao_fr,cnumecta_fr,zdeposit_fr) as INSTRMNT_ID,
                    CONCAT(cempresa,cbalcao,cnumecta,zdeposit) as INSTRMNT_ID_MASTER
          FROM cd_captools.kt_chaves_finrep
          WHERE ref_date = {data de referência}
) as kt_chaves_fr
ON lt002.INSTRMNT_ID = kt_chaves_fr.INSTRMNT_ID
LEFT JOIN
(
          SELECT
                    CONCAT(cempresa_master,cbalcao_master,cnumecta_master,zdeposit_master) as INSTRMNT_ID_MASTER,
                    CONCAT(cempresa,cbalcao,cnumecta,zdeposit) as INSTRMNT_ID_ALM
          FROM cd_alm.kt_chaves_alm_m
          WHERE ref_date = {data de referência}
) as kt_chaves_alm
ON kt_chaves_fr.INSTRMNT_ID_MASTER = kt_chaves_alm.INSTRMNT_ID_MASTER
3º Passo - Cruzar LT002_INSTRUMENT com as tabelas de Swaps Cambiais (AL005_DET_SWAPC e SIGOM_FX), de forma a obter os campos UTI, CARACT_MX_FX e CTIPO_OPER:
LEFT JOIN
(
    SELECT
        al005.instrmnt_id,
        sigom_fx.uti,
        sigom_fx.caract_mx_fx,
        al005.ctipo_oper
    FROM
    (
        SELECT
            CONCAT(cempresa,cbalcao,cnumecta,zdeposit) as instrmnt_id,
            cod_ref_int,
            ctipo_oper
        FROM cd_alm.al005_det_swapc
        WHERE ref_date = {data de referência}
    ) as al005
    LEFT JOIN
    (
        SELECT
            ref_interna,
            uti,
            caract_mx as caract_mx_fx,
            ROW_NUMBER() OVER (PARTITION BY cid_sigom, data_date_part ORDER BY dfim ASC) AS row_num
        FROM cd_alm.sigom_fx
        WHERE data_date_part = {ultimo dia util menor ou igual à data de referência}
    ) as sigom_fx
    ON al005.cod_ref_int = sigom_fx.ref_interna
    AND row_num = 1
) as fx
ON fx.instrmnt_id = kt_chaves_alm.INSTRMNT_ID_ALM
4º Passo - Cruzar LT002_INSTRUMENT com as tabelas de Derivados (AL011_DERIVADOS e SIGOM_CIB), de forma a obter os campos UTI, CARACT_MX_CIB e INSTRUMENTO:
LEFT JOIN
(
    SELECT
        al011.instrmnt_id,
        sigom_cib.uti,
        sigom_cib.caract_mx_cib,
        al011.instrumento
    FROM
    (
        SELECT
            CONCAT(cempresa,cbalcao,cnumecta,zdeposit) as instrmnt_id,
            cod_ref_int,
            instrumento
        FROM cd_alm.al011_derivados
        WHERE ref_date = {data de referência}
    ) as al011
    LEFT JOIN
    (
        SELECT
            cod_ref_int,
            uti,
            caract_mx as caract_mx_cib
        FROM cd_alm.sigom_cib
        WHERE data_date_part = {ultimo dia util menor ou igual à data de referência}
    ) as sigom_cib
    ON al011.cod_ref_int = sigom_cib.cod_ref_int
) as cib
ON cib.instrmnt_id = kt_chaves_alm.INSTRMNT_ID_ALM
5º Passo - Este campo apenas é aplicável para os universo de Derivados, e como tal deve ser implementada a seguinte regra de Not Applicable:
              - Se fx.instrmnt_id IS NULL AND cib.instrmnt_id IS NULL
6º Passo - Juntar os campos CARACT_MX_FX e CARACT_MX_CIB obtidos nos passos anteriores, de forma a criar o campo uniformizado CARACT_MX segundo a regra:
              NVL(CARACT_MX_FX, CARACT_MX_CIB) as CARACT_MX
7º Passo - Cruzar os campos CTIPO_OPER, INSTRUMENTO e CARACT_MX obtidos nos passos anteriores com a tabela de parametrização LT831_PARAM_CONCEITOS filtrada por tabela_conceito = ‘LT002_INSTRUMENT’ e campo_conceito = ‘BASE_PRODUCT’ (sheet LT831). 
              - A parametrização em questão é similar a aplicar o seguinte CASE:
              CASE
                            WHEN CARACT_MX = 'CURR_FXD_FXD' AND instrumento = 'FX Non Delivery Forward' THEN 'NDF (4.2)'
                            WHEN CARACT_MX = 'CURR_FXD_FXD' AND ctipo_oper = 'SPT' THEN 'Spot (4.1)'
                            WHEN CARACT_MX = 'CURR_FXD_FXD' AND ctipo_oper = 'FWD' THEN 'Forward (4.4)'
                            WHEN CARACT_MX = 'CURR_FXD_XSW THEN 'Forward (4.4)'
                            WHEN CARACT_MX = 'CURR_OPT_ASN THEN 'Simple Exotic (4.6)'
                            WHEN CARACT_MX = 'CURR_OPT_BAR THEN 'Simple Exotic (4.6)'
                            WHEN CARACT_MX = 'CURR_OPT_FLEX THEN 'Simple Exotic (4.6)'
                            WHEN CARACT_MX = 'CURR_OPT_SMP THEN 'Vanilla Option (4.5)'
                            WHEN CARACT_MX = 'EQD_OPT_FLEX THEN 'Option (5.4)'
                            WHEN CARACT_MX = 'IRD_CF THEN 'CapFloor (2.3)'
                            WHEN CARACT_MX = 'IRD:CF:- THEN 'CapFloor (2.3)'
                            WHEN CARACT_MX = 'IRD_IRS THEN 'IR Swap (2.1)'
                            WHEN CARACT_MX = 'IRD:IRS:- THEN 'IR Swap (2.1)'
                            WHEN CARACT_MX = 'IRD_CS THEN 'Cross Currency (2.4)'
                            WHEN CARACT_MX = 'IRD_FRA THEN 'FRA (2.2)'
              END as BASE_PRODUCT
Comentários IT:
Reunião 04/12/2024 Luís Capitão-Mor, António Santos, Rogério Sacadura, Pedro Mendes, Luis Henriques: Luis Henriques comentou que o ficheiro do SUPRA (mfamily, mgroup, label)  não tem uma hora de chegada definida e regra geral chega bastante depois da hora em que são disponibilizados os ficheiros de derivados ao Datalake. Comentou no entanto que conseguirão enviar um campo nos ficheiros de derivados que contem a informação dos campos (mfamily, mgroup, label), ou similar, concatenada. Rogério Sacadura ficou de enviar uma extração dos distincts deste novo campo. Falar com Nuno Caramujo para confirmar se há Seguros de Câmbio no Partenon, se sim confirmar se são Spots. No caso de label = 'EQD|EQUIT' entrar em alguns derivados classificados desta forma e tentar perceber qual é o base product respetivo.
Necessário falar com Rogério para perceber se ele consegue enviar um distinct dos campos AssetClass e ContractType sem data (que também constam no EMIRRefit) e se possível uma contagem. Seria possível também recebermos o Product type constante na confirmação da operação (Report Clusters). O Objetivo é verificarmos se com estes campos conseguimos fazer o mapeamento do SRB. 
Depois então agendar reunião com LCM.
Questionar também Rogério, se ele vai conseguir enviar os campos  AssetClass e ContractType para todos os registos dos ficheiros sigom_cib e sigom_fx.
Agendada reunião 26/09/2024 com LCM, António Santos, Rogério Sacadura.
Reunião com Luís Capitão-Mor, António Santos, Rogério Sacadura, Pedro Mendes 26/09/2024:
Identificou-se um conjunto de campos que poderão permitir fazer o mapeamento:
- universo alm:
    campos "instrumento" da tabela cd_alm.al011_derivados e "ctipo_oper" da tabela cd_alm.al005_swapc
- universo fr:
    campos 'cproduto' e 'csubproduto' da fr004
-universo SIGOM:
    campo 'Product type' (ecrã SIGOM)
    campo 'Deal Type' (ecrã SIGOM)
- ficheiros SUPRA:
    campos 'ContractType' e 'AssetClass' (campos do Emir Refit construidos a partir do 'mfamily', 'mgroup') + 'label' (dos ficheiros SUPRA)
    campos 'mfamily', 'mgroup' e 'label' (dos ficheiros SUPRA) ---Nota: verificar se o campo 'mtype' também pode ajudar
Ações: Rogério ficou de enviar uma extração distinta (sem data) dos campos ['Product type'], ['Deal Type'],  ['ContractType', 'AssetClass' e 'label']
Reunião com Luís Capitão-Mor, António Santos, Rogério Sacadura 15/05/2024: 
Identificou-se um conjunto de campos que o SIGOM deveria passar a enviar para o data lake para possibilitar o preenchimento deste campo, contudo, não está ainda clara a sua necessidade pois dependerá da análise a fazer à informação disponível:
- ContractType e AssetClass (campos do Emir Refit) 
- Produto contabilístico (Reportado no GEY ITACA)
- Sub-produto contabilístico (Reportado no GEY ITACA)
- Product type constante na confirmação da operação (Report Clusters)
No data lake existem as tabelas cd_alm.al011_derivados e cd_alm.al005_swapc que possuem a informação de Derivados, contudo, não permitem efetuar a segregação solicitada:
campo "instrumento" da tabela cd_alm.al011_derivados: Swap, Caps And Floors, OTC Option, FX Non Delivery Forward, BOND FORWARD
campo "ctipo_oper" da tabela cd_alm.al005_swapc (opções do ponto For Foreign Exchange (4).): FWD, SWP, SPT</t>
  </si>
  <si>
    <t>V_27</t>
  </si>
  <si>
    <t>Specific information</t>
  </si>
  <si>
    <t>Product ID</t>
  </si>
  <si>
    <t>product_id</t>
  </si>
  <si>
    <t>LT002_INSTRUMENT.PRDCT
Nota: Não tem Descrição nas Instruções do SRB.</t>
  </si>
  <si>
    <t>cproduto_mis</t>
  </si>
  <si>
    <t>V_28</t>
  </si>
  <si>
    <t>Governing law</t>
  </si>
  <si>
    <t>Identify the law governing the financial contract.
Options based on ECB’s Securities Holding Statistics (field CL_SHS_ISSUER_AREA)</t>
  </si>
  <si>
    <t>Identifique a lei que rege o contrato financeiro.</t>
  </si>
  <si>
    <t>governing_law</t>
  </si>
  <si>
    <t>V_29</t>
  </si>
  <si>
    <t>Contractual recognition – Write down and conversion powers (only for contracts governed by thirdcountry laws subject to the requirement of the contractual terms under the first subparagraph of Article 55(1) of BRRD)</t>
  </si>
  <si>
    <t>The contractual term required under Article 55(1) of the BRRD. When such a contractual term is included in a master agreement and applies to all trades governed by this agreement, it can be recorded at the master agreement level.
Options:
‣ YES (1)
‣ NO (2)</t>
  </si>
  <si>
    <t>O prazo contratual exigido nos termos do artigo 55.º, n.º 1, da BRRD. Quando tal termo contratual estiver incluído em um acordo-quadro e se aplicar a todas as negociações regidas por este acordo, ele poderá ser registrado no nível do contrato-quadro.
Opções:
‣ YES (1)
‣ NO (2)</t>
  </si>
  <si>
    <t>contract_recogn_write_down</t>
  </si>
  <si>
    <t xml:space="preserve">Mapeamento_lt:
Campo novo na tabela LT002, e que será preenchido apenas para os universos de Derivados seguindo os seguintes passos:
NOTA: Os passos 1, 2 e 3 dos campos ‘contract_recogn_write_down’, ‘contract_recogn_suspension’ e ‘contract_recogn_resolution' são iguais, ou seja estes campos deveriam ser produzidos em conjunto.
1º Passo - Calcular o ultimo dia util menor ou igual à data de referência (ref_date):
if (datetime.datetime.strptime(refDate, "%Y-%m-%d").date().weekday() == 5) &amp; (refDate_ld == lastday):
        refdate_diautil = datetime.datetime.strptime(refDate, "%Y-%m-%d").date() - datetime.timedelta(days=1)
elif (datetime.datetime.strptime(refDate, "%Y-%m-%d").date().weekday() == 6) &amp; (refDate_ld == lastday):
        refdate_diautil = datetime.datetime.strptime(refDate, "%Y-%m-%d").date() - datetime.timedelta(days=2)
else:
        refdate_diautil = refDate
2º Passo - Cruzar LT002_INSTRUMENT com as tabelas AL005_DET_SWAPC, AL011_DERIVADOS, AL611_DERIV_AUX, AL613_SWAPSC_AUX, para filtrar apenas o universo de contratos de Derivados:
NOTA: Quando esta ligação falhar (cntr_derv.zcliente IS NULL) deve ser atribuido o valor default de Not Applicable que no caso do report Valuation é 'N/A'
SELECT
          lt002.INSTRMNT_ID,
          cntr_derv.zcliente,
          cntr_derv.dt_trade
FROM
(
          SELECT
                    INSTRMNT_ID 
          FROM cd_loan_tapes_bce.lt002_instrument_srb
          WHERE ref_date = {data de referência}
          AND ambito = {ambito}
          AND nome_perimetro = {perimetro}
          AND segmento = {segmento}
          AND entidade = {entidade}
) as lt002
LEFT JOIN
(
          SELECT
                    CONCAT(cempresa_fr,cbalcao_fr,cnumecta_fr,zdeposit_fr) as INSTRMNT_ID,
                    CONCAT(cempresa,cbalcao,cnumecta,zdeposit) as INSTRMNT_ID_MASTER
          FROM cd_captools.kt_chaves_finrep
          WHERE ref_date = {data de referência}
) as kt_chaves_fr
ON lt002.INSTRMNT_ID = kt_chaves_fr.INSTRMNT_ID
LEFT JOIN
(
          SELECT
                    CONCAT(cempresa_master,cbalcao_master,cnumecta_master,zdeposit_master) as INSTRMNT_ID_MASTER,
                    CONCAT(cempresa,cbalcao,cnumecta,zdeposit) as INSTRMNT_ID_ALM
          FROM cd_alm.kt_chaves_alm_m
          WHERE ref_date = {data de referência}
) as kt_chaves_alm
ON kt_chaves_fr.INSTRMNT_ID_MASTER = kt_chaves_alm.INSTRMNT_ID_MASTER
LEFT JOIN
(
          SELECT
                    CONCAT(cempresa,cbalcao,cnumecta,zdeposit) as INSTRMNT_ID_ALM,
                    zcliente,
                    dt_trade
          FROM cd_alm.al011_derivados
          WHERE ref_date = {data de referência}
          UNION
          SELECT
                    CONCAT(cempresa,cbalcao,cnumecta,zdeposit) as INSTRMNT_ID_ALM,
                    zcliente,
                    dt_trade
          FROM cd_alm.al611_deriv_aux
          WHERE ref_date = {data de referência}
          UNION
          SELECT
            alm_fx.INSTRMNT_ID_ALM,
            alm_fx.zcliente,
            sigom_fx.dt_trade
          FROM
          (
              SELECT
                        CONCAT(cempresa,cbalcao,cnumecta,zdeposit) as INSTRMNT_ID_ALM,
                        cod_ref_int,
                        ccliente_sagres as zcliente
              FROM cd_alm.al005_det_swapc
              WHERE ref_date = {data de referência}
              UNION
              SELECT
                        CONCAT('6416 ',
                        CASE
                        WHEN substr(cid_sigom,1,4) = '+000' THEN rpad(concat(substr(coperacao,1,3),substr(cid_sigom,5,6)),15,'0')
                        WHEN substr(cid_sigom,1,3) = '+00' THEN rpad(concat(substr(coperacao,1,3),substr(cid_sigom,4,7)),15,'0')
                        WHEN substr(cid_sigom,1,2) = '+0' THEN rpad(concat(substr(coperacao,1,3),substr(cid_sigom,3,8)),15,'0')
                        WHEN ((substr(cid_sigom,1,2) != '+0')
                        OR (substr(cid_sigom,1,3) != '+00')
                        OR (substr(cid_sigom,1,4) != '+000'))
                        AND (coperacao IS NOT NULL) THEN concat(substr(coperacao,1,3),substr(cid_sigom,2,9),'00')
                        WHEN coperacao IS NULL THEN rpad(concat(coperacao, ' '),15,' ')
                        END
                        ) as INSTRMNT_ID_ALM,
                        cod_ref_int,
                        ccliente_sagres as zcliente
              FROM cd_alm. al613_swapsc_aux
              WHERE ref_date = {data de referência}
          ) as alm_fx
          LEFT JOIN
          (
              SELECT
                        ref_interna,
                        CONCAT(substr(dcriacao,1,4),'-',substr(dcriacao,5,2),'-',substr(dcriacao,7,2)) as dt_trade,
                        ROW_NUMBER() OVER (PARTITION BY cid_sigom, data_date_part ORDER BY dfim ASC) AS row_num
              FROM cd_alm.sigom_fx
              WHERE data_date_part = {ultimo dia util menor ou igual à data de referência}
          ) as sigom_fx
          ON alm_fx.cod_ref_int = sigom_fx.ref_interna
          AND sigom_fx.row_num = 1
) as cntr_derv
ON cntr_derv.INSTRMNT_ID_ALM = kt_chaves_alm.INSTRMNT_ID_ALM
3º Passo - Cruzar o universo de contratos definido acima (UNIV) com a tabela de contratos Quadro/ISDA al012_cq_alm de forma a obter os campos cod_tip_contrato e dt_fim:
SELECT
          UNIV.INSTRMNT_ID,
          UNIV.zcliente,
          COALESCE(al012.cod_tip_contrato,'Not in al012') as cod_tip_contrato,
          al012.dt_fim
FROM
          UNIV
LEFT JOIN
(
          SELECT
                    zcliente,
                    cod_tip_contrato,
                    dt_fim,
                    ROW_NUMBER() OVER (PARTITION BY zcliente ORDER BY CONCAT(dt_fim, cod_tip_contrato) DESC) as row_num
          FROM cd_alm.al012_cq_alm
          WHERE ref_date = {data de referência}
          AND operativa = 'Derivados'
          GROUP BY zcliente, operativa, cod_tip_contrato, dt_fim
) as al012
ON al012.zcliente = UNIV.zcliente
AND UNIV.dt_trade &gt;= al012.dt_fim
AND row_num = 1
4º Passo - Cruzar os campos COD_TIP_CONTRATO, DT_FIM obtidos no passo 2 com a tabela de parametrização LT831_PARAM_CONCEITOS filtrada por tabela_conceito = ‘LT002_INSTRUMENT’ e campo_conceito = ‘CONTRACT_RECOGN_WRITE_DOWN’ (sheet LT831). 
              - A parametrização em questão é similar a aplicar o seguinte CASE:
              CASE
                            WHEN cod_tip_contrato &lt;&gt; ‘ISDA’ THEN ‘NO (2)’
                            WHEN cod_tip_contrato = ‘ISDA’ AND dt_fim &lt; ‘2022-10-01’ THEN ‘NO (2)’
                            WHEN cod_tip_contrato = ‘ISDA’ AND dt_fim  &gt;=  ‘2022-10-01’ THEN ‘YES (1)’
              END as CONTRACT_RECOGN_WRITE_DOWN
Comentários IT:
Segundo Luís Capitão-Mor, se não constar e não for possível alterar a minuta para adicionar esta informação então a única alternativa é se o Pedro Henriques garante que a partir de uma determinada data todos passaram a ter estas cláusulas, sem excepção.
Email Luis Miguel Moniz Carreira 14/05/2024 12:38:
"Confirmo que os derivados suportados por Contrato Quadro se regem pela Lei Portuguesa, pelo que será 'N/A' (Not Applicable) 
Quanto aos derivados ao abrigo de ISDA, confirmo a aplicabilidade destes 3 campos, que têm sido introduzidos nas negociações mais recentes (últimos 2 anos). 
Penso que o Schedule standard do BST não contemple a redação desses 3 campos mas facilmente podemos atualizar a mesma."
Email Pedro Henriques 18/09/2024 19:25:
"Relativamente aos campos em questão, os mesmos não existem e não é possível adicioná-los.
De acordo com o e-mail do Luís Carreira, nos últimos dois anos os ISDA’s negociados já contêm essas cláusulas. Estamos a verificar.
A futuro é necessário que a AAJJ inclua essas cláusulas no modelo standard do ISDA utilizado para garantir que as mesmas serão sempre asseguradas.
Quando tivermos a validação dos últimos dois anos, partilho a data a partir da qual passámos a garantir a inclusão das cláusulas."
Email Pedro Henriques 17/01/2025 10:05:
"Da nossa verificação, os ISDA’s contêm as cláusulas referidas desde 01/10/2022."
</t>
  </si>
  <si>
    <t>V_30</t>
  </si>
  <si>
    <t>Contractual recognition – Suspension of termination rights (only for contracts governed by third-country laws) under Article 7 BRRD</t>
  </si>
  <si>
    <t>The contractual term by which the creditor or party to the agreement creating the liability recognises the power of the resolution authority of a Member State to suspend termination rights. When such a contractual term is included in a master agreement and applies to all trades governed by this agreement, it can be recorded at the master agreement level.
Options:
‣ YES (1)
‣ NO (2)</t>
  </si>
  <si>
    <t>O termo contratual pelo qual o credor ou parte no acordo que cria o passivo reconhece o poder da autoridade de resolução de um Estado-Membro para suspender os direitos de rescisão. Quando tal termo contratual estiver incluído em um acordo-quadro e se aplicar a todas as negociações regidas por este acordo, ele poderá ser registrado no nível do contrato-quadro.
Opções:
‣ YES (1)
‣ NO (2)</t>
  </si>
  <si>
    <t>contract_recogn_suspension</t>
  </si>
  <si>
    <t xml:space="preserve">Mapeamento_lt:
Campo novo na tabela LT002, e que será preenchido apenas para os universos de Derivados seguindo os seguintes passos:
NOTA: Os passos 1, 2 e 3 dos campos ‘contract_recogn_write_down’, ‘contract_recogn_suspension’ e ‘contract_recogn_resolution' são iguais, ou seja estes campos deveriam ser produzidos em conjunto.
1º Passo - Calcular o ultimo dia util menor ou igual à data de referência (ref_date):
if (datetime.datetime.strptime(refDate, "%Y-%m-%d").date().weekday() == 5) &amp; (refDate_ld == lastday):
        refdate_diautil = datetime.datetime.strptime(refDate, "%Y-%m-%d").date() - datetime.timedelta(days=1)
elif (datetime.datetime.strptime(refDate, "%Y-%m-%d").date().weekday() == 6) &amp; (refDate_ld == lastday):
        refdate_diautil = datetime.datetime.strptime(refDate, "%Y-%m-%d").date() - datetime.timedelta(days=2)
else:
        refdate_diautil = refDate
2º Passo - Cruzar LT002_INSTRUMENT com as tabelas AL005_DET_SWAPC, AL011_DERIVADOS, AL611_DERIV_AUX, AL613_SWAPSC_AUX, para filtrar apenas o universo de contratos de Derivados:
NOTA: Quando esta ligação falhar (cntr_derv.zcliente IS NULL) deve ser atribuido o valor default de Not Applicable que no caso do report Valuation é 'N/A'
SELECT
          lt002.INSTRMNT_ID,
          cntr_derv.zcliente,
          cntr_derv.dt_trade
FROM
(
          SELECT
                    INSTRMNT_ID 
          FROM cd_loan_tapes_bce.lt002_instrument_srb
          WHERE ref_date = {data de referência}
          AND ambito = {ambito}
          AND nome_perimetro = {perimetro}
          AND segmento = {segmento}
          AND entidade = {entidade}
) as lt002
LEFT JOIN
(
          SELECT
                    CONCAT(cempresa_fr,cbalcao_fr,cnumecta_fr,zdeposit_fr) as INSTRMNT_ID,
                    CONCAT(cempresa,cbalcao,cnumecta,zdeposit) as INSTRMNT_ID_MASTER
          FROM cd_captools.kt_chaves_finrep
          WHERE ref_date = {data de referência}
) as kt_chaves_fr
ON lt002.INSTRMNT_ID = kt_chaves_fr.INSTRMNT_ID
LEFT JOIN
(
          SELECT
                    CONCAT(cempresa_master,cbalcao_master,cnumecta_master,zdeposit_master) as INSTRMNT_ID_MASTER,
                    CONCAT(cempresa,cbalcao,cnumecta,zdeposit) as INSTRMNT_ID_ALM
          FROM cd_alm.kt_chaves_alm_m
          WHERE ref_date = {data de referência}
) as kt_chaves_alm
ON kt_chaves_fr.INSTRMNT_ID_MASTER = kt_chaves_alm.INSTRMNT_ID_MASTER
LEFT JOIN
(
          SELECT
                    CONCAT(cempresa,cbalcao,cnumecta,zdeposit) as INSTRMNT_ID_ALM,
                    zcliente,
                    dt_trade
          FROM cd_alm.al011_derivados
          WHERE ref_date = {data de referência}
          UNION
          SELECT
                    CONCAT(cempresa,cbalcao,cnumecta,zdeposit) as INSTRMNT_ID_ALM,
                    zcliente,
                    dt_trade
          FROM cd_alm.al611_deriv_aux
          WHERE ref_date = {data de referência}
          UNION
          SELECT
            alm_fx.INSTRMNT_ID_ALM,
            alm_fx.zcliente,
            sigom_fx.dt_trade
          FROM
          (
              SELECT
                        CONCAT(cempresa,cbalcao,cnumecta,zdeposit) as INSTRMNT_ID_ALM,
                        cod_ref_int,
                        ccliente_sagres as zcliente
              FROM cd_alm.al005_det_swapc
              WHERE ref_date = {data de referência}
              UNION
              SELECT
                        CONCAT('6416 ',
                        CASE
                        WHEN substr(cid_sigom,1,4) = '+000' THEN rpad(concat(substr(coperacao,1,3),substr(cid_sigom,5,6)),15,'0')
                        WHEN substr(cid_sigom,1,3) = '+00' THEN rpad(concat(substr(coperacao,1,3),substr(cid_sigom,4,7)),15,'0')
                        WHEN substr(cid_sigom,1,2) = '+0' THEN rpad(concat(substr(coperacao,1,3),substr(cid_sigom,3,8)),15,'0')
                        WHEN ((substr(cid_sigom,1,2) != '+0')
                        OR (substr(cid_sigom,1,3) != '+00')
                        OR (substr(cid_sigom,1,4) != '+000'))
                        AND (coperacao IS NOT NULL) THEN concat(substr(coperacao,1,3),substr(cid_sigom,2,9),'00')
                        WHEN coperacao IS NULL THEN rpad(concat(coperacao, ' '),15,' ')
                        END
                        ) as INSTRMNT_ID_ALM,
                        cod_ref_int,
                        ccliente_sagres as zcliente
              FROM cd_alm. al613_swapsc_aux
              WHERE ref_date = {data de referência}
          ) as alm_fx
          LEFT JOIN
          (
              SELECT
                        ref_interna,
                        CONCAT(substr(dcriacao,1,4),'-',substr(dcriacao,5,2),'-',substr(dcriacao,7,2)) as dt_trade,
                        ROW_NUMBER() OVER (PARTITION BY cid_sigom, data_date_part ORDER BY dfim ASC) AS row_num
              FROM cd_alm.sigom_fx
              WHERE data_date_part = {ultimo dia util menor ou igual à data de referência}
          ) as sigom_fx
          ON alm_fx.cod_ref_int = sigom_fx.ref_interna
          AND sigom_fx.row_num = 1
) as cntr_derv
ON cntr_derv.INSTRMNT_ID_ALM = kt_chaves_alm.INSTRMNT_ID_ALM
3º Passo - Cruzar o universo de contratos definido acima (UNIV) com a tabela de contratos Quadro/ISDA al012_cq_alm de forma a obter os campos cod_tip_contrato e dt_fim:
SELECT
          UNIV.INSTRMNT_ID,
          UNIV.zcliente,
          COALESCE(al012.cod_tip_contrato,'Not in al012') as cod_tip_contrato,
          al012.dt_fim
FROM
          UNIV
LEFT JOIN
(
          SELECT
                    zcliente,
                    cod_tip_contrato,
                    dt_fim,
                    ROW_NUMBER() OVER (PARTITION BY zcliente ORDER BY CONCAT(dt_fim, cod_tip_contrato) DESC) as row_num
          FROM cd_alm.al012_cq_alm
          WHERE ref_date = {data de referência}
          AND operativa = 'Derivados'
          GROUP BY zcliente, operativa, cod_tip_contrato, dt_fim
) as al012
ON al012.zcliente = UNIV.zcliente
AND UNIV.dt_trade &gt;= al012.dt_fim
AND row_num = 1
4º Passo - Cruzar os campos COD_TIP_CONTRATO, DT_FIM obtidos no passo 2 com a tabela de parametrização LT831_PARAM_CONCEITOS filtrada por tabela_conceito = ‘LT002_INSTRUMENT’ e campo_conceito = ‘CONTRACT_RECOGN_SUSPENSION’ (sheet LT831). A parametrização em questão é similar a aplicar o seguinte CASE:
              CASE
                            WHEN cod_tip_contrato &lt;&gt; ‘ISDA’ THEN ‘NO (2)’
                            WHEN cod_tip_contrato = ‘ISDA’ AND dt_fim &lt; ‘2022-10-01’ THEN ‘NO (2)’
                            WHEN cod_tip_contrato = ‘ISDA’ AND dt_fim  &gt;=  ‘2022-10-01’ THEN ‘YES (1)’
              END as CONTRACT_RECOGN_SUSPENSION
Comentários IT:
Segundo Luís Capitão-Mor, se não constar e não for possível alterar a minuta para adicionar esta informação então a única alternativa é se o Pedro Henriques garante que a partir de uma determinada data todos passaram a ter estas cláusulas, sem excepção.
Email Luis Miguel Moniz Carreira 14/05/2024 12:38:
"Confirmo que os derivados suportados por Contrato Quadro se regem pela Lei Portuguesa, pelo que será 'N/A' (Not Applicable) 
Quanto aos derivados ao abrigo de ISDA, confirmo a aplicabilidade destes 3 campos, que têm sido introduzidos nas negociações mais recentes (últimos 2 anos). 
Penso que o Schedule standard do BST não contemple a redação desses 3 campos mas facilmente podemos atualizar a mesma."
Email Pedro Henriques 18/09/2024 19:25:
"Relativamente aos campos em questão, os mesmos não existem e não é possível adicioná-los.
De acordo com o e-mail do Luís Carreira, nos últimos dois anos os ISDA’s negociados já contêm essas cláusulas. Estamos a verificar.
A futuro é necessário que a AAJJ inclua essas cláusulas no modelo standard do ISDA utilizado para garantir que as mesmas serão sempre asseguradas.
Quando tivermos a validação dos últimos dois anos, partilho a data a partir da qual passámos a garantir a inclusão das cláusulas."
Email Pedro Henriques 17/01/2025 10:05:
"Da nossa verificação, os ISDA’s contêm as cláusulas referidas desde 01/10/2022."
</t>
  </si>
  <si>
    <t>V_31</t>
  </si>
  <si>
    <t>Contractual recognition – Resolution powers (only for contracts governed by third-country laws)</t>
  </si>
  <si>
    <t>The contractual term, if any, by which the creditor or party to the agreement creating the liability recognises the power of the resolution authority of a Member State to apply resolution powers other than write down and conversion / suspension. When such a contractual term is included in a master agreement and applies to all trades governed by this agreement, it can be recorded at the master agreement level.
Options:
‣ YES (1)
‣ NO (2)</t>
  </si>
  <si>
    <t>A cláusula contratual, se existir, pela qual o credor ou a parte no acordo que cria o passivo reconhece o poder da autoridade de resolução de um Estado-Membro para aplicar poderes de resolução que não sejam a redução e a conversão/suspensão. Quando tal termo contratual estiver incluído em um acordo-quadro e se aplicar a todas as negociações regidas por este acordo, ele poderá ser registrado no nível do contrato-quadro.
Opções:
‣ YES (1)
‣ NO (2)</t>
  </si>
  <si>
    <t>contract_recogn_resolution</t>
  </si>
  <si>
    <t xml:space="preserve">Mapeamento_lt:
Campo novo na tabela LT002, e que será preenchido apenas para os universos de Derivados seguindo os seguintes passos:
NOTA: Os passos 1, 2 e 3 dos campos ‘contract_recogn_write_down’, ‘contract_recogn_suspension’ e ‘contract_recogn_resolution' são iguais, ou seja estes campos deveriam ser produzidos em conjunto.
1º Passo - Calcular o ultimo dia util menor ou igual à data de referência (ref_date):
if (datetime.datetime.strptime(refDate, "%Y-%m-%d").date().weekday() == 5) &amp; (refDate_ld == lastday):
        refdate_diautil = datetime.datetime.strptime(refDate, "%Y-%m-%d").date() - datetime.timedelta(days=1)
elif (datetime.datetime.strptime(refDate, "%Y-%m-%d").date().weekday() == 6) &amp; (refDate_ld == lastday):
        refdate_diautil = datetime.datetime.strptime(refDate, "%Y-%m-%d").date() - datetime.timedelta(days=2)
else:
        refdate_diautil = refDate
2º Passo - Cruzar LT002_INSTRUMENT com as tabelas AL005_DET_SWAPC, AL011_DERIVADOS, AL611_DERIV_AUX, AL613_SWAPSC_AUX, para filtrar apenas o universo de contratos de Derivados:
NOTA: Quando esta ligação falhar (cntr_derv.zcliente IS NULL) deve ser atribuido o valor default de Not Applicable que no caso do report Valuation é 'N/A'
SELECT
          lt002.INSTRMNT_ID,
          cntr_derv.zcliente,
          cntr_derv.dt_trade
FROM
(
          SELECT
                    INSTRMNT_ID 
          FROM cd_loan_tapes_bce.lt002_instrument_srb
          WHERE ref_date = {data de referência}
          AND ambito = {ambito}
          AND nome_perimetro = {perimetro}
          AND segmento = {segmento}
          AND entidade = {entidade}
) as lt002
LEFT JOIN
(
          SELECT
                    CONCAT(cempresa_fr,cbalcao_fr,cnumecta_fr,zdeposit_fr) as INSTRMNT_ID,
                    CONCAT(cempresa,cbalcao,cnumecta,zdeposit) as INSTRMNT_ID_MASTER
          FROM cd_captools.kt_chaves_finrep
          WHERE ref_date = {data de referência}
) as kt_chaves_fr
ON lt002.INSTRMNT_ID = kt_chaves_fr.INSTRMNT_ID
LEFT JOIN
(
          SELECT
                    CONCAT(cempresa_master,cbalcao_master,cnumecta_master,zdeposit_master) as INSTRMNT_ID_MASTER,
                    CONCAT(cempresa,cbalcao,cnumecta,zdeposit) as INSTRMNT_ID_ALM
          FROM cd_alm.kt_chaves_alm_m
          WHERE ref_date = {data de referência}
) as kt_chaves_alm
ON kt_chaves_fr.INSTRMNT_ID_MASTER = kt_chaves_alm.INSTRMNT_ID_MASTER
LEFT JOIN
(
          SELECT
                    CONCAT(cempresa,cbalcao,cnumecta,zdeposit) as INSTRMNT_ID_ALM,
                    zcliente,
                    dt_trade
          FROM cd_alm.al011_derivados
          WHERE ref_date = {data de referência}
          UNION
          SELECT
                    CONCAT(cempresa,cbalcao,cnumecta,zdeposit) as INSTRMNT_ID_ALM,
                    zcliente,
                    dt_trade
          FROM cd_alm.al611_deriv_aux
          WHERE ref_date = {data de referência}
          UNION
          SELECT
            alm_fx.INSTRMNT_ID_ALM,
            alm_fx.zcliente,
            sigom_fx.dt_trade
          FROM
          (
              SELECT
                        CONCAT(cempresa,cbalcao,cnumecta,zdeposit) as INSTRMNT_ID_ALM,
                        cod_ref_int,
                        ccliente_sagres as zcliente
              FROM cd_alm.al005_det_swapc
              WHERE ref_date = {data de referência}
              UNION
              SELECT
                        CONCAT('6416 ',
                        CASE
                        WHEN substr(cid_sigom,1,4) = '+000' THEN rpad(concat(substr(coperacao,1,3),substr(cid_sigom,5,6)),15,'0')
                        WHEN substr(cid_sigom,1,3) = '+00' THEN rpad(concat(substr(coperacao,1,3),substr(cid_sigom,4,7)),15,'0')
                        WHEN substr(cid_sigom,1,2) = '+0' THEN rpad(concat(substr(coperacao,1,3),substr(cid_sigom,3,8)),15,'0')
                        WHEN ((substr(cid_sigom,1,2) != '+0')
                        OR (substr(cid_sigom,1,3) != '+00')
                        OR (substr(cid_sigom,1,4) != '+000'))
                        AND (coperacao IS NOT NULL) THEN concat(substr(coperacao,1,3),substr(cid_sigom,2,9),'00')
                        WHEN coperacao IS NULL THEN rpad(concat(coperacao, ' '),15,' ')
                        END
                        ) as INSTRMNT_ID_ALM,
                        cod_ref_int,
                        ccliente_sagres as zcliente
              FROM cd_alm. al613_swapsc_aux
              WHERE ref_date = {data de referência}
          ) as alm_fx
          LEFT JOIN
          (
              SELECT
                        ref_interna,
                        CONCAT(substr(dcriacao,1,4),'-',substr(dcriacao,5,2),'-',substr(dcriacao,7,2)) as dt_trade,
                        ROW_NUMBER() OVER (PARTITION BY cid_sigom, data_date_part ORDER BY dfim ASC) AS row_num
              FROM cd_alm.sigom_fx
              WHERE data_date_part = {ultimo dia util menor ou igual à data de referência}
          ) as sigom_fx
          ON alm_fx.cod_ref_int = sigom_fx.ref_interna
          AND sigom_fx.row_num = 1
) as cntr_derv
ON cntr_derv.INSTRMNT_ID_ALM = kt_chaves_alm.INSTRMNT_ID_ALM
3º Passo - Cruzar o universo de contratos definido acima (UNIV) com a tabela de contratos Quadro/ISDA al012_cq_alm de forma a obter os campos cod_tip_contrato e dt_fim:
SELECT
          UNIV.INSTRMNT_ID,
          UNIV.zcliente,
          COALESCE(al012.cod_tip_contrato,'Not in al012') as cod_tip_contrato,
          al012.dt_fim
FROM
          UNIV
LEFT JOIN
(
          SELECT
                    zcliente,
                    cod_tip_contrato,
                    dt_fim,
                    ROW_NUMBER() OVER (PARTITION BY zcliente ORDER BY CONCAT(dt_fim, cod_tip_contrato) DESC) as row_num
          FROM cd_alm.al012_cq_alm
          WHERE ref_date = {data de referência}
          AND operativa = 'Derivados'
          GROUP BY zcliente, operativa, cod_tip_contrato, dt_fim
) as al012
ON al012.zcliente = UNIV.zcliente
AND UNIV.dt_trade &gt;= al012.dt_fim
AND row_num = 1
4º Passo - Cruzar os campos COD_TIP_CONTRATO_COMPL, DT_FIM obtidos no passo 2 com a tabela de parametrização LT831_PARAM_CONCEITOS filtrada por tabela_conceito = ‘LT002_INSTRUMENT’ e campo_conceito = ‘CONTRACT_RECOGN_RESOLUTION’ (sheet LT831). A parametrização em questão é similar a aplicar o seguinte CASE:
              CASE
                            WHEN COD_TIP_CONTRATO_COMPL &lt;&gt; ‘ISDA’ THEN ‘NO (2)’
                            WHEN COD_TIP_CONTRATO_COMPL = ‘ISDA’ AND DT_FIM &lt; ‘2022-10-01’ THEN ‘NO (2)’
                            WHEN COD_TIP_CONTRATO_COMPL = ‘ISDA’ AND DT_FIM &gt;=  ‘2022-10-01’ THEN ‘YES (1)’
              END as CONTRACT_RECOGN_RESOLUTION
Comentários IT:
Segundo Luís Capitão-Mor, se não constar e não for possível alterar a minuta para adicionar esta informação então a única alternativa é se o Pedro Henriques garante que a partir de uma determinada data todos passaram a ter estas cláusulas, sem excepção.
Email Luis Miguel Moniz Carreira 14/05/2024 12:38:
"Confirmo que os derivados suportados por Contrato Quadro se regem pela Lei Portuguesa, pelo que será 'N/A' (Not Applicable) 
Quanto aos derivados ao abrigo de ISDA, confirmo a aplicabilidade destes 3 campos, que têm sido introduzidos nas negociações mais recentes (últimos 2 anos). 
Penso que o Schedule standard do BST não contemple a redação desses 3 campos mas facilmente podemos atualizar a mesma."
Email Pedro Henriques 18/09/2024 19:25:
"Relativamente aos campos em questão, os mesmos não existem e não é possível adicioná-los.
De acordo com o e-mail do Luís Carreira, nos últimos dois anos os ISDA’s negociados já contêm essas cláusulas. Estamos a verificar.
A futuro é necessário que a AAJJ inclua essas cláusulas no modelo standard do ISDA utilizado para garantir que as mesmas serão sempre asseguradas.
Quando tivermos a validação dos últimos dois anos, partilho a data a partir da qual passámos a garantir a inclusão das cláusulas."
Email Pedro Henriques 17/01/2025 10:05:
"Da nossa verificação, os ISDA’s contêm as cláusulas referidas desde 01/10/2022."
</t>
  </si>
  <si>
    <t>V_32</t>
  </si>
  <si>
    <t>Collateral information</t>
  </si>
  <si>
    <t>Collateral portfolio</t>
  </si>
  <si>
    <t>State whether the collateralisation was performed on a portfolio basis. Portfolio means the collateral calculated on the basis of net positions resulting from a set of contracts, rather than per trade.
Options:
‣ YES (1)
‣ NO (2)</t>
  </si>
  <si>
    <t>Indicar se a garantia foi realizada com base na carteira. Carteira significa a garantia calculada com base nas posições líquidas resultantes de um conjunto de contratos, e não por negociação.
Opções:
‣ YES (1)
‣ NO (2)</t>
  </si>
  <si>
    <t>collateral_portfolio</t>
  </si>
  <si>
    <t>Mapeamento LT:
Os campos collateral_portfolio, collateral_posted, collateral_posted_currency, collateral_received e collateral_received_currency deverão ser construídos em conjunto. 
Estes campos são aplicáveis apenas a Derivados e REPOs
Passo 1: Partir do instrmnt_id da lt002_instrument 
Passo 2: Cruzar com Tradutor de Chaves Loan Tape (kt_chaves_lt) para obter a chave FINREP 
Passo 3: Cruzar com Tradutor de Chaves FINREP (kt_chaves_finrep) para obter chave ICs
Caminho para Derivados:
Passo 4: Cruzar essa chave ICs com o Universo aplicável a Derivados: 
al011_derivados
UNION ALL
al005_det_swapc
e obter o cod_ref_int (referência interna Murex)
Passo 5: Cruzar o cod_ref_int obtido no Passo 4 com a tabela al614_colt_totta (ligando por front_id) e obter o collateral_agree. 
Passo 6: Cruzar o collateral_agree obtido no Passo 5 com o cod_cbrt da al810_clt_cbrt filtrando por tipo_prod in ('derivado'), e obter a(s) conta(s) posicionadas (cempresa_clt+cbalcao_clt+cnumecta_clt+zdeposit_clt). 
Passo 7: Cruzar a(s) conta(s) posicionadas (cempresa_clt+cbalcao_clt+cnumecta_clt+zdeposit_clt) obtida(s) no Passo 6 com a fr001_univ_saldo (ligando por cempresa+cbalcao+cnumecta+zdeposit), e obter o saldo dessa(s) conta(s) posicionadas através do msaldo_final e a respetiva moeda através do cmoeda. 
Se msaldo_final &lt; 0 ou = 0 preencher os campos de collateral_posted/collateral_posted_currency
Se msaldo_final &gt; 0 preencher os campos de collateral_received/collateral_received_currency
Caminho para REPOs:
Passo 4: Cruzar essa chave ICs com o Universo aplicável a REPOS:
al602_repos_alm
e obter o zcliente
Passo 6: Cruzar o zcliente obtido no Passo 4 com o zcliente_cbrt da al810_clt_cbrt filtrando por tipo_prod in ('repo'), e obter a(s) conta(s) posicionadas 
Passo 7: Cruzar a(s) conta(s) posicionadas (cempresa_clt+cbalcao_clt+cnumecta_clt+zdeposit_clt) obtida(s) no Passo 6 com a fr001_univ_saldo (ligando por cempresa+cbalcao+cnumecta+zdeposit), e obter o saldo dessa(s) conta(s) posicionadas através do msaldo_final e a respetiva moeda através do cmoeda. 
Se msaldo_final &lt; 0 ou = 0 preencher os campos de collateral_posted/collateral_posted_currency
Se msaldo_final &gt; 0 preencher os campos de collateral_received/collateral_received_currency
Notas: 
- Se tivermos mais do que uma conta posicionada, terá de se somar os saldos dessas contas.
- O campo cmoeda da fr001_univ_saldo deverá ser convertido (Ex: cmoeda='978' deverá ser convertido para 'EUR'). Portanto, deverá passar-se pela TAT91_TABELAS (TAYD91C0_CTABELA = '206'):
SELECT DISTINCT cmoeda,  TAYD91C0_NELEMC01
FROM
  (SELECT cmoeda
   FROM cd_captools.fr001_univ_saldo
   WHERE ref_date='${ref_date}') fr001
INNER JOIN
  (SELECT TAYD91C0_CELEMTAB,
          TAYD91C0_NELEMC01
   FROM CD_ESTRUTURAIS.TAT91_TABELAS
   WHERE data_date_part='${ref_date}' --Note-se que esta tabela só tem dados para os dias úteis.
     AND TAYD91C0_CTABELA = '206') tat91 ON fr001.cmoeda = TRIM(tat91.TAYD91C0_CELEMTAB) ;
Com a aplicação dos Passos mencionados para os Caminhos de Derivados e REPOs, poderão resultar as seguintes Casuísticas:
Casuística 1: 
Registos que não são Derivados ou REPOs, ou seja, registos que não constam na query: al011_derivados UNION ALL al005_det_swapc UNION ALL al602_repos_alm (Passo 4 referido acima)
   Nesta Casuística 1 reportar:
   collateral_portfolio=  'N/A' (Not applicable para o formato string)
   collateral_posted= 11111111111 (Not applicable para o formato numérico)
   collateral_posted_currency= 'N/A' (Not applicable para o formato string)
   collateral_received= 11111111111 (Not applicable para o formato numérico)
   collateral_received_currency= 'N/A'  (Not applicable para o formato string)
Casuística 2: 
Registos que são Derivados ou REPOs, contudo, para os mesmos não se conseguiu efetuar todo o caminho até chegar ao Passo 7, ou seja, não se conseguiu obter da fr001_univ_saldo o saldo e a respetiva moeda.
Exemplos:
Registos que são Derivados, contudo, o cod_ref_int não está na al614_colt_totta (Passo 5 referido acima)                                                        
Registos que são Derivados, o cod_ref_int está na al614_colt_totta, contudo, o collateral_agree não está na al810_clt_cbrt  (Passo 6 referido acima)
Registos que são Derivados, o cod_ref_int está na al614_colt_totta e o collateral_agree está na al810_clt_cbrt, contudo, não existe conta associada cempresa_clt/cbalcao_clt/cnumecta_clt/zdeposit_clt na al810_clt_cbrt (Passo 6 referido acima)
Registos que são Derivados, o cod_ref_int está na al614_colt_totta, o collateral_agree está na al810_clt_cbrt e existe conta associada cempresa_clt/cbalcao_clt/cnumecta_clt/zdeposit_clt na al810_clt_cbrt, contudo, essa conta não existe na fr001_univ_saldo (Passo 7 referido acima)
Registos que são REPOs, contudo, o zcliente da al602_repos_alm não está no zcliente_cbrt al810_clt_cbrt  (Passo 4 referido acima)
   Nesta Casuística 2 reportar:
   collateral_portfolio= 'NO' 
   collateral_posted= 11111111111 (Not applicable para o formato numérico)
   collateral_posted_currency= 'N/A' (Not applicable para o formato string)
   collateral_received= 11111111111 (Not applicable para o formato numérico)
   collateral_received_currency= 'N/A'  (Not applicable para o formato string)
Casuística 3: 
Registos que são Derivados ou REPOs, e conseguiu-se efetuar todo o caminho até chegar ao Passo 7, ou seja, conseguiu-se obter da fr001_univ_saldo o saldo e a respetiva moeda.                 
   Nesta Casuística 3 reportar:
   collateral_portfolio= 'YES' 
Se msaldo_final &lt; 0 ou = 0 serão preenchidos os campos de collateral_posted/collateral_posted_currency, significa portanto que os campos collateral_received/collateral_received_currency são Não aplicáveis:
   collateral_received= 11111111111 (Not applicable para o formato numérico)
   collateral_received_currency= 'N/A'  (Not applicable para o formato string)
Se msaldo_final &gt; 0  serão preenchidos os campos de collateral_received/collateral_received_currency, significa portanto que os campos collateral_posted/collateral_posted_currency são Não aplicáveis
   collateral_posted= 11111111111 (Not applicable para o formato numérico)
   collateral_posted_currency= 'N/A' (Not applicable para o formato string)
Comentários IT:
Reuniões 2025-06-20,  2025-05-26,  2025-05-20 com Luís Capitão-Mor/Pedro Mendes/Luísa Sousa: Definiu-se a lógica acima.
Reunião 2025-06-03 com Luís Capitão-Mor/Pedro Mendes/Luísa Sousa: A colaterização pode ser feita por Cash ou por Títulos, contudo, dado que a Corporação não chegou a confirmar a questão 3 (ver abaixo), tomou-se a decisão de fazer a especificação apenas para Cash.
Email de Pedro Mendes 29/05/2025 07:57 com questões à Corporação e a respetiva resposta:
1.	Lo “colateral postes/received” que vamos a reportar será lo total de colateral sín ninguna distribución por transacción. O sea, sí tenemos 20 deals con una Câmara, ponemos suma total de colateral (positivos – negativos) en cada uno de los 10 deals. Esto significa que non se puede sumar lo que viene en cada uno de los deals.
¿Es así? 
 Exacto, asi lo hemos hecho nosotros. A priori es un poco raro, pero al pedirlo por deal en lugar de acuerdo de netting…
2.	Con relación al campo V_32 - Collateral portfolio, sí tenemos un acuerdo de netting de colateral ponemos “YES”. Sí non hay un acuerdo de netting ponemos “NO” o “N/A”. esto por la parte final de la definición “(…) rather than per trade”. 
 Siempre que haya importe de Collateral posted o received y acuerdo de netting se informa a “Yes” en caso contrario “No”
3.	La coletarización que vamos a reportar es cash (y non Bonos).
¿Es así? 
 En principio es asi, no obstante este punto lo reviso y te lo confirmo.
Query Simulção Derivados:
select 
univ.chaves_ics,
univ.tipo,
al614.front_id, 
al614.collateral_agree, 
al810.cod_cbrt, 
al810.conta_posicionada,
fr001.chaves_fr,
fr001.cmoeda,
fr001.msaldo_final
from
(
select concat(cempresa,cbalcao,cnumecta,zdeposit) as chaves_ics, cod_ref_int, 'Derivados' as tipo from cd_alm.al011_derivados  where ref_date='${ref_date}'
UNION ALL
select concat(cempresa,cbalcao,cnumecta,zdeposit) as chaves_ics, cod_ref_int, 'Derivados' as tipo from cd_alm.al005_det_swapc  where ref_date='${ref_date}'
) univ
left join
(select front_id, collateral_agree from cd_alm.al614_colt_totta  where ref_date='${ref_date}') al614
on univ.cod_ref_int = al614.front_id
left join
(select cod_cbrt, concat(cempresa_clt,cbalcao_clt,cnumecta_clt,zdeposit_clt) as conta_posicionada 
--select * 
from cd_alm.al810_clt_cbrt  where ref_date='${ref_date}' and tipo_prod in ('derivado')
) al810
on al614.collateral_agree = al810.cod_cbrt
left join
(select concat(cempresa,cbalcao,cnumecta,zdeposit) as chaves_fr, cmoeda, msaldo_final from cd_captools.fr001_univ_saldo  where ref_date='${ref_date}') fr001
on al810.conta_posicionada = fr001.chaves_fr
Query Simulção REPOs:
select 
univ.chaves_ics,
univ.tipo,
univ.zcliente,
al810.zcliente_cbrt,
al810.conta_posicionada,
fr001.chaves_fr,
fr001.cmoeda,
fr001.msaldo_final
from
(
select concat(cempresa,cbalcao,cnumecta,zdeposit) as chaves_ics, zcliente, 'REPOs' as tipo from cd_alm.al602_repos_alm  where ref_date='${ref_date}' 
) univ
left join
(select zcliente_cbrt, concat(cempresa_clt,cbalcao_clt,cnumecta_clt,zdeposit_clt) as conta_posicionada 
--select * 
from cd_alm.al810_clt_cbrt  where ref_date='${ref_date}' and tipo_prod in ('repo')
) al810
on univ.zcliente = al810.zcliente_cbrt
left join
(select concat(cempresa,cbalcao,cnumecta,zdeposit) as chaves_fr, cmoeda, msaldo_final from cd_captools.fr001_univ_saldo  where ref_date='${ref_date}') fr001
on al810.conta_posicionada = fr001.chaves_fr
order by univ.chaves_ics
;
order by univ.chaves_ics</t>
  </si>
  <si>
    <t>Novo campo, mapeamento datalake pendente, com necessidade de criar parametrização</t>
  </si>
  <si>
    <t>V_33</t>
  </si>
  <si>
    <t>Collateral posted</t>
  </si>
  <si>
    <t>Valor da garantia prestada pela contraparte notificadora à outra contraparte. Carteira significa a garantia líquida prestada calculada com base nas posições líquidas resultantes de um conjunto de contratos.</t>
  </si>
  <si>
    <t>In case that a unique trade identifier had more than one collateral posted, the equivalent values in euro will be summed</t>
  </si>
  <si>
    <t>collateral_posted</t>
  </si>
  <si>
    <t>Os campos collateral_portfolio, collateral_posted, collateral_posted_currency, collateral_received e collateral_received_currency deverão ser construídos em conjunto. Ver lógica definida no campo Collateral portfolio.</t>
  </si>
  <si>
    <t>V_34</t>
  </si>
  <si>
    <t>Currency of the collateral posted</t>
  </si>
  <si>
    <t>Specify the currency of the initial margin posted.
Options:
ISO 4217 Currency Codes</t>
  </si>
  <si>
    <t>Especifique a moeda da margem inicial lançada.</t>
  </si>
  <si>
    <t>collateral_posted_currency</t>
  </si>
  <si>
    <t>V_37</t>
  </si>
  <si>
    <t>Collateral received</t>
  </si>
  <si>
    <t>Value of the collateral received by the reporting counterparty from the other counterparty. Portfolio means the net collateral received calculated on the basis of net positions resulting from a set of contracts.</t>
  </si>
  <si>
    <t>Valor das garantias recebidas pela contraparte que reporta da outra contraparte. Carteira significa a garantia líquida recebida calculada com base nas posições líquidas resultantes de um conjunto de contratos.</t>
  </si>
  <si>
    <t>In case that a unique trade identifier had more than one collateral received, the equivalent values in euro will be summed</t>
  </si>
  <si>
    <t>collateral_received</t>
  </si>
  <si>
    <t>V_38</t>
  </si>
  <si>
    <t>Currency of the collateral received</t>
  </si>
  <si>
    <t>Specify the currency of the collateral received.
Options:
ISO 4217 Currency Codes</t>
  </si>
  <si>
    <t>Especifique a moeda da garantia recebida.</t>
  </si>
  <si>
    <t>collateral_received_currency</t>
  </si>
  <si>
    <t>V_41</t>
  </si>
  <si>
    <t>Specific information derivatives</t>
  </si>
  <si>
    <t>Leg 1 cash flow</t>
  </si>
  <si>
    <t>Series of leg 1 cash flows (estimated) corresponding to settlement dates, including exchange of notional, if applicable. This should be reported as multidimensional i.e. one field containing a small data set (an array).</t>
  </si>
  <si>
    <t>Série de fluxos de caixa da perna 1 (estimados) correspondentes às datas de liquidação, incluindo troca de notional, se aplicável. Isso deve ser
relatado como multidimensional, ou seja, um campo contendo um pequeno conjunto de dados (uma matriz).</t>
  </si>
  <si>
    <t>It will be computed by reporting the cash flow corresponding to each of the settlement periods from the data date, as follows: 
a|b|c|d|e
    a: &lt;=30 days
    b: (30,90] days
    c: (90,365] days
    d: (365,1825] days
    e: &gt;1825 days</t>
  </si>
  <si>
    <t>leg_1_cash_flow</t>
  </si>
  <si>
    <t xml:space="preserve">Mapeamento LT: 
Novo campo,  reportar  'MISS'
Comentários IT:
Reunião 26/05/2025 com Luís Capitão-Mor, Sandra Santos, Pedro Mendes:
Sandra Santos comentou que é possível efetuar uma extração do Murex em bolo (todos os deals) que naturalmente terá de trazer o cod_ref_int. (Atenção que isto seria só para o Murex dado que há derivados que valorizam no Mariner)
Luís Capitão-Mor, indicou que com base nessa extração depois deveria montar-se uma macro que converte essa extração no formato do ficheiro a carregar no Holístico.
Reunião 31/10/2024 com Luís Capitão-Mor, António Santos, Rogério Sacadura, Pedro Mendes:
 - Segundo Luís Capitão-Mor, para produzir este campo de forma correta, teria de existir um projeto extenso para fazer estas estimativas de cash flow. Não se justifica trazer do SIGOM o cash flow já conhecido (fixado) dado que desta forma apenas reportaríamos  o cash flow já conhecido (fixado), ficando a faltar o cash flow estimado. Ou seja, exisitiria um custo de desenvolvimento para produzir o campo de forma incompleta. Como tal, reportar este campo como 'MISS'; 
-  Luís Capitão-Mor solicitou a Pedro Mendes para perceber com Sandra Santos se será possível efetuar uma extração de todos os deals ou se terá que ser deal a deal. (Caso a Corporação/SRB exigirem esta informação)
Reunião 27/05/2024 com Sandra Santos, Luís Capitão-Mor, António Santos: 
- No SIGOM, António Santos apresentou um campo de cash flow em 2 separadores (Liability e Asset), contudo, verificou-se que este campo apenas está preenchido para taxas fixas ou taxas variáveis que já foram fixadas (passado), para os restantes casos está preenchido com 0. 
Ações solicitadas por Luís Capitão-Mor:
- Confirmar com Rogério Sacadura: 
    1) De facto esta informação não existe no SIGOM (por ex: noutros separadores que não os vistos com António Santos) 
    2) No caso do deal 43845805 que tem o cash flow a 0, confirmar que recebe efetivamente 0 do MUREX, ou seja, confirmar que o que vem do MUREX é efetivamente o que está no SIGOM.
- Sandra Santos confirmar com SUPRA se esta informação existe.
- Questionar Nuno Almeida 
Email Nuno Almeida 28/05/2024 14:36: 
 "Sobre este tema, o CREAM não contém a informação que necessitam ao nível da pata 2. Os únicos sistemas que poderiam ajudar no desenvolvimento do referido reporte são o MUREX e MARINER, pois há deals que valorizam no Murex e outros no Mariner
No caso:
•	MUREX, pode-se consultar a projeção dos cash flows entrando em cada deal, fazendo um pricing e exportando a informação para excel.
•	MARINER é necessário descarregar a informação para um excel já preparado para os deals em causa, através de um add in…
Em ambos os casos são processo muito manuais, não havendo nenhum relatório que dê esta informação de forma automática. Penso que o que pedem teria que ser desenvolvido por alguma equipa de IT da Corporativa.Sugiro que vejam com alguém de Coorporação como estão a pensar fazer do lado deles…"
Alternativas sugeridas por Luís Capitão-Mor (caso falhem as Ações acima):
- Hipótese 1: Carregar manualmente no Front-end a informação de cash flows existente no MUREX. Este ficheiro teria todas as settlement date e os respetivos valores para cada leg/pata e seria no data lake que se fariam os calculos de somar o que entra em cada bucket.  Ou seja, não se pretende que a informação venha já arrumada nestes buckets, dado que se no futuro criassem outro bucket a alteração seria apenas no data lake.
- Hipótese 2: Reportar campo como não existente (reportar 'MISS') 
</t>
  </si>
  <si>
    <t>V_42</t>
  </si>
  <si>
    <t>Leg 2 cash flow</t>
  </si>
  <si>
    <t>Series of leg 2 cash flows (estimated) corresponding to settlement dates, including exchange of notional, if applicable. This should be reported as multidimensional i.e. one field containing a small data set (an array).</t>
  </si>
  <si>
    <t>Série de fluxos de caixa da perna 2 (estimados) correspondentes às datas de liquidação, incluindo troca de notional, se aplicável. Isso deve ser relatado como multidimensional, ou seja, um campo contendo um pequeno conjunto de dados (uma matriz).</t>
  </si>
  <si>
    <t>leg_2_cash_flow</t>
  </si>
  <si>
    <t>Mapeamento LT: 
Novo campo,  reportar  'MISS'
Comentários IT:
Aplica-se o mesmo comentário do campo acima</t>
  </si>
  <si>
    <t>V_43</t>
  </si>
  <si>
    <t>Specific information: interest rate derivatives</t>
  </si>
  <si>
    <t>Leg 1 reference rate</t>
  </si>
  <si>
    <t>Rate to which the leg 1 payment is attached, e.g. LIBOR USD, EUR, etc.
Options:
EUR, LIBOR UK, LIBOR USD, etc.</t>
  </si>
  <si>
    <t>Taxa à qual o pagamento da etapa 1 está vinculado, por ex. LIBOR USD, EUR, etc.
Opções:
EUR, LIBOR UK, LIBOR USD, etc.</t>
  </si>
  <si>
    <t>leg_1_reference_rate</t>
  </si>
  <si>
    <t xml:space="preserve">Mapeamento LT:
al011_derivados.taxa_var_1
Este campo só é aplicável aos registos com base_product='IR Swap (2.1)', tudo o resto deverá ser preenchido com 'N/A'.
Comentários IT:
Reunião 2025-04-29 Luís Capitão-Mor/Pedro Mendes: Segundo Luís Capitão-Mor dado que o SRB não dá codelist (dá apenas exemplos) então vamos enviar (sem parametrização) o que temos no campo taxa_var_1 da al011_derivados.
Atenção que este campo não vem de acordo com as opções do SRB (EUR, LIBOR UK, LIBOR USD, etc.), vem no seguinte formato:
B.BANKERS ASSOC-EUR-5IBOR-3M
B.BANKERS ASSOC-LIBOR-GBP-3M
B.BANKERS ASSOC-LIBOR-GBP-6M
B.BANKERS ASSOC-LIBOR-USD-3M
B.BANKERS ASSOC-LIBOR-USD-6M
ECB FIXING-CMS_EONIA-10Y
ECB FIXING-CMS_EONIA-2Y
ECB FIXING-EURIBORCOL-12M
ECB FIXING-EURIBORCOL-3M
ECB FIXING-EURIBORCOL-6M
EURIBOR-EURIBOR-1M
EURIBOR-EURIBOR-1Y
EURIBOR-EURIBOR-3M
EURIBOR-EURIBOR-6M
FEDN-SOFR FB3M-SPT
LONDON CLOSING-SONIA FB3M-SPT
LONDON CLOSING-SONIA FB6M-SPT
Duvida: O universo de derivados não está integralmente refletido na al011, necessário confirmar se não haverá gap de informação
Query de apoio para recuperar as reference rates e periods das opções apresentadas acima:
SELECT
    tx,
    CASE
        WHEN tx LIKE '%EURIBOR%' THEN 'EURIBOR' 
        WHEN tx LIKE '%EONIA%' THEN 'EONIA'
        WHEN tx LIKE '%EUR-5IBOR%' THEN 'LIBOR EUR'
        WHEN tx LIKE '%LIBOR-GBP%' THEN 'LIBOR UK'
        WHEN tx LIKE '%LIBOR-USD%' THEN 'LIBOR US'
        WHEN tx LIKE '%SOFR%' THEN 'SOFR'
        WHEN tx LIKE '%SONIA%' THEN 'SONIA'
        ELSE 'MISS'
    END as leg_x_reference_rate,
    regexp_extract( tx, "\\d+[a-zA-Z](?!.*\\d+[a-zA-Z])", 0 ) as perd,
    MAX(ref_date) as latest_ref_date
FROM
(
    SELECT taxa_var_1 as tx, ref_date
    FROM cd_alm.al011_derivados
    UNION ALL
    SELECT taxa_var_2 as tx, ref_date
    FROM cd_alm.al011_derivados
) as a
GROUP BY tx
 </t>
  </si>
  <si>
    <t>V_44</t>
  </si>
  <si>
    <t>Leg 2 reference rate</t>
  </si>
  <si>
    <t>Rate to which the leg 2 payment is attached, e.g. LIBOR USD, EUR, etc.
Options:
EUR, LIBOR UK, LIBOR USD, etc.</t>
  </si>
  <si>
    <t>Taxa à qual o pagamento da etapa 2 está vinculado, por ex. LIBOR USD, EUR, etc.</t>
  </si>
  <si>
    <t>leg_2_reference_rate</t>
  </si>
  <si>
    <t>Mapeamento LT:
al011_derivados.taxa_var_2
Este campo só é aplicável aos registos com base_product='IR Swap (2.1)', tudo o resto deverá ser preenchido com 'N/A'.
Comentários IT:
Aplicam-se os mesmos comentários do campo acima (Leg 1 reference rate)</t>
  </si>
  <si>
    <t>V_45</t>
  </si>
  <si>
    <t>Leg 1 reference period</t>
  </si>
  <si>
    <t>Reference period.
Options:
1d, 1w, 1M, 3M, 6M, 12M, 2Y, 3Y, etc</t>
  </si>
  <si>
    <t>Período de referência.
Opções:
1d, 1w, 1M, 3M, 6M, 12M, 2Y, 3Y, etc</t>
  </si>
  <si>
    <t>leg_1_reference_period</t>
  </si>
  <si>
    <t>Mapeamento LT:
al011_derivados.taxa_var_1
‣ Necessário criar nova parametrização na tabela lt831_param_conceitos, podendo a mesma ser consultada neste documento na sheet 'LT831' filtrando por campo_conceito = 'LEG_1_REFERENCE_PERIOD'
Comentários IT:
Reunião 2025-04-29 Luís Capitão-Mor/Pedro Mendes: Aplicar parametrização na lt831  com base no campo taxa_var_1 da al011_derivados. 
Ex: 
taxa_var_1='EURIBOR-EURIBOR-1M' então Leg 1 reference period='1M'
taxa_var_1='ECB FIXING-EURIBORCOL-12M' então Leg 1 reference period='12M'
Ações solicitadas por Luís Capitão-Mor:
- Pedro Mendes deverá questionar a Corporação sobre este campo (email enviado por Luís Pragosa 15/05/2024).
Email Pedro Mendes (01/10/2024 12:21) com resposta da Corporação:
"4.	¿En los derivados, los data-points “Leg 1 reference period” e ”Leg 2 reference period” son referentes a lo período de refijación de intereses o período de cálculo de intereses (u otro)? 
No sé si entiendo bien la duda. Nosotros, si por ejemplo es EURIBOR a 3 meses pues en ese campo pondríamos 3M"
- Após essa clarificação, deverá confirmar-se se o campo já existe no Loan Tape.
Caso não exista no Loan Tape, ver com Luís Barata como é que os campos de taxa presentes na al011_derivados são alimentados a partir da ingesta/tabela SIGOM_CIB. Em seguida, questionar Rogério Sacadura sobre o conceito inerente a cada campo de taxa da ingesta/tabela SIGOM_CIB para se perceber exatamente qual o campo a consumir. 
Query de apoio para recuperar as reference rates e periods das opções apresentadas nos campos de leg1/2_reference_rate:
SELECT
    tx,
    CASE
        WHEN tx LIKE '%EURIBOR%' THEN 'EURIBOR' 
        WHEN tx LIKE '%EONIA%' THEN 'EONIA'
        WHEN tx LIKE '%EUR-5IBOR%' THEN 'LIBOR EUR'
        WHEN tx LIKE '%LIBOR-GBP%' THEN 'LIBOR UK'
        WHEN tx LIKE '%LIBOR-USD%' THEN 'LIBOR US'
        WHEN tx LIKE '%SOFR%' THEN 'SOFR'
        WHEN tx LIKE '%SONIA%' THEN 'SONIA'
        ELSE 'MISS'
    END as leg_x_reference_rate,
    regexp_extract( tx, "\\d+[a-zA-Z](?!.*\\d+[a-zA-Z])", 0 ) as perd,
    MAX(ref_date) as latest_ref_date
FROM
(
    SELECT taxa_var_1 as tx, ref_date
    FROM cd_alm.al011_derivados
    UNION ALL
    SELECT taxa_var_2 as tx, ref_date
    FROM cd_alm.al011_derivados
) as a
GROUP BY tx
IMPORTANTE:
Se a fonte forem os campos cod_freq_tx_fixa_1/2 então a seguinte query permite recuperar esta informação sem necessidade de parametrizações adicionais:
SELECT
    al011.cod_freq_tx_fixa_1,
    tat_1.leg_reference_period as leg_reference_period_1,
    al011.cod_freq_tx_fixa_2,
    tat_2.leg_reference_period as leg_reference_period_2
FROM
(
    SELECT
        --taxa_var_1, taxa_var_2,
        cod_freq_tx_fixa_1, cod_freq_tx_fixa_2
    FROM cd_alm.al011_derivados -- COUNT() -&gt; 115261
) as al011
LEFT JOIN
(
    SELECT
        cod_freq_tx_fixa,
        CASE
            WHEN split_part(leg_reference_period,' ',2) LIKE 'DIA%'
            THEN CONCAT(split_part(leg_reference_period,' ',1),'d')
            WHEN split_part(leg_reference_period,' ',2) LIKE 'MES%'
            THEN CONCAT(split_part(leg_reference_period,' ',1),'M')
            WHEN split_part(leg_reference_period,' ',2) LIKE 'TRIMESTRE%'
            THEN CONCAT(CAST(CAST(split_part(leg_reference_period,' ',1) AS INT)*3 AS STRING),'M')
            WHEN split_part(leg_reference_period,' ',2) LIKE 'SEMESTRE%'
            THEN CONCAT(CAST(CAST(split_part(leg_reference_period,' ',1) AS INT)*6 AS STRING),'M')
            WHEN split_part(leg_reference_period,' ',2) LIKE 'ANO%'
            THEN CONCAT(split_part(leg_reference_period,' ',1),'A')
            WHEN leg_reference_period = 'SEM PERIODICIDADE'
            THEN 'MISS'
            ELSE leg_reference_period
        END as leg_reference_period
    FROM
    (
        SELECT 
            tayd91c0_celemtab as cod_freq_tx_fixa,
            CASE
                WHEN tayd91c0_gelemtab = 'ANUAL' THEN '1 ANO'
                WHEN tayd91c0_gelemtab = 'SEMESTRAL' THEN '6 MESES'
                WHEN tayd91c0_gelemtab = 'TRIMESTRAL' THEN '3 MESES'
                WHEN tayd91c0_gelemtab = 'MENSAL' THEN '1 MES'
                ELSE tayd91c0_gelemtab
            END as leg_reference_period
        FROM cd_estruturais.tat91_tabelas
        WHERE data_date_part = '2024-12-31'
        AND tayd91c0_ctabela in ('047', '785', '954')
        GROUP BY 1,2
    ) as tat
) as tat_1
ON al011.cod_freq_tx_fixa_1 = tat_1.cod_freq_tx_fixa
LEFT JOIN
(
    SELECT
        cod_freq_tx_fixa,
        CASE
            WHEN split_part(leg_reference_period,' ',2) LIKE 'DIA%'
            THEN CONCAT(split_part(leg_reference_period,' ',1),'d')
            WHEN split_part(leg_reference_period,' ',2) LIKE 'MES%'
            THEN CONCAT(split_part(leg_reference_period,' ',1),'M')
            WHEN split_part(leg_reference_period,' ',2) LIKE 'TRIMESTRE%'
            THEN CONCAT(CAST(CAST(split_part(leg_reference_period,' ',1) AS INT)*3 AS STRING),'M')
            WHEN split_part(leg_reference_period,' ',2) LIKE 'SEMESTRE%'
            THEN CONCAT(CAST(CAST(split_part(leg_reference_period,' ',1) AS INT)*6 AS STRING),'M')
            WHEN split_part(leg_reference_period,' ',2) LIKE 'ANO%'
            THEN CONCAT(split_part(leg_reference_period,' ',1),'A')
            WHEN leg_reference_period = 'SEM PERIODICIDADE'
            THEN 'MISS'
            ELSE leg_reference_period
        END as leg_reference_period
    FROM
    (
        SELECT 
            tayd91c0_celemtab as cod_freq_tx_fixa,
            CASE
                WHEN tayd91c0_gelemtab = 'ANUAL' THEN '1 ANO'
                WHEN tayd91c0_gelemtab = 'SEMESTRAL' THEN '6 MESES'
                WHEN tayd91c0_gelemtab = 'TRIMESTRAL' THEN '3 MESES'
                WHEN tayd91c0_gelemtab = 'MENSAL' THEN '1 MES'
                ELSE tayd91c0_gelemtab
            END as leg_reference_period
        FROM cd_estruturais.tat91_tabelas
        WHERE data_date_part = '2024-12-31'
        AND tayd91c0_ctabela in ('047', '785', '954')
        GROUP BY 1,2
    ) as tat
) as tat_2
ON al011.cod_freq_tx_fixa_2 = tat_2.cod_freq_tx_fixa</t>
  </si>
  <si>
    <t>‣ dd_field_id = "45"</t>
  </si>
  <si>
    <t>‣ Tradução do campo "cod_freq_taxa_act" através de uma ligação com o campo "dd_code" para obter o campo:
dd_value</t>
  </si>
  <si>
    <t>V_46</t>
  </si>
  <si>
    <t>Leg 2 reference period</t>
  </si>
  <si>
    <t>leg_2_reference_period</t>
  </si>
  <si>
    <t>Mapeamento LT:
al011_derivados.taxa_var_2
‣ Necessário criar nova parametrização na tabela lt831_param_conceitos, podendo a mesma ser consultada neste documento na sheet 'LT831' filtrando por campo_conceito = 'LEG_2_REFERENCE_PERIOD'
Comentários IT:
Aplicam-se os mesmos comentários do campo acima (Leg 1 reference period)</t>
  </si>
  <si>
    <t>‣ dd_field_id = "46"</t>
  </si>
  <si>
    <t>‣ Tradução do campo "cod_freq_taxa_pas" através de uma ligação com o campo "dd_code" para obter o campo:
dd_value</t>
  </si>
  <si>
    <t>V_49</t>
  </si>
  <si>
    <t>Specific information: credit derivatives</t>
  </si>
  <si>
    <t>Premium</t>
  </si>
  <si>
    <t>Premium paid on credit default swap (CDS) contract.</t>
  </si>
  <si>
    <t>Prêmio pago sobre contrato de credit default swap (CDS).</t>
  </si>
  <si>
    <t>premium</t>
  </si>
  <si>
    <t>Mapeamento LT: 
Este campo é Not Applicable, reportar: 11111111111</t>
  </si>
  <si>
    <t>V_51</t>
  </si>
  <si>
    <t>Details on the transaction</t>
  </si>
  <si>
    <t>Netting agreement</t>
  </si>
  <si>
    <t>If the financial contract is a part of a netting arrangement as defined in Article 2(1)(98) of Directive 2014/59/EU, a unique reference of the arrangement.</t>
  </si>
  <si>
    <t>Se o contrato financeiro fizer parte de um acordo de compensação na aceção do artigo 2.º, n.º 1, ponto 98, da Diretiva 2014/59/UE, uma referência única do arranjo.</t>
  </si>
  <si>
    <t>netting_agreement</t>
  </si>
  <si>
    <t>Mapeamento LT:
al012_cq_alm.cod_ref_cq
Lógica definida por Luís Capitão-Mor:
- Se houver duplicados, utilizar  o cod_ref_cq com a data fim mais recente (campo dt_fim).
- A tabela al012_cq_alm é atacada por zcliente e não por contrato.
- A lógica será:
1º passo: Obter todos os zclientes dos contratos de derivados 
2º passo: Verificar se esses zclientes constam na al012, se estiverem, trazer o cod_ref_cq  respetivo.
3º passo: Caso esses zclientes não estejam na al012, ligar cada zcliente com a tabela ct003 para obter todos os zclientes associados ao seu ccli_grupo
4ª passo: Ligar esses zclientes à al012, trazendo o primeiro zcliente que tiver  cod_ref_cq preenchido.
5º passo: Caso não se encontre nenhum zcliente com cod_ref_cq preenchido, preencher 'N/A'
Comentários IT:
Sugestão de query para produzir este campo:
SELECT
    INSTRMNT_ID,
    primeiro_titular,
    list_cod_ref_cq,
    NVL(
        IF(list_cod_ref_cq like CONCAT('%',primeiro_titular,'%'),
           SPLIT(SPLIT(list_cod_ref_cq, CONCAT(primeiro_titular,'\\|'))[1], '\\|')[0],
           SPLIT(list_cod_ref_cq, '\\|')[1]
        ),
        'N/A'
    ) as netting_agreement
FROM
-- Tabela que para cada instrument_id refelte o 1º titular, e uma lista de todos os pares de zcliente|cod_ref_cq contidos no seu ccli_grupo
(
    SELECT 
        tab_intrmnt_ccli.INSTRMNT_ID,
        tab_intrmnt_ccli.primeiro_titular,
        CONCAT_WS('|',COLLECT_SET(CONCAT(tab_ccli_grupo.zcliente,'|',tab_ccli_grupo.cod_ref_cq))) as list_cod_ref_cq
    FROM
    --Tabela que para cada contrato indica o 1º titular e o ccli_grupo a ele associado
    (
        SELECT
            INSTRMNT_ID,
            fr004.zcliente as primeiro_titular,
            ccli_grupo
        FROM
        (
            SELECT
                CONCAT(cempresa, cbalcao, cnumecta, zdeposit) as INSTRMNT_ID,
                zcliente
            FROM cd_captools.fr004_cto
            WHERE ref_date = '2024-03-31'
        ) as fr004
        LEFT JOIN
        (
            SELECT
                zcliente,
                ccli_grupo
            FROM cd_captools.ct003_univ_cli
            WHERE ref_date = '2024-03-31'
        ) as ct003
        ON fr004.zcliente = ct003.zcliente
    ) as tab_intrmnt_ccli
    LEFT JOIN
    --Tabela que para cada ccli_grupo indica os zclientes e respetivos cod_ref_cq (mais recentes) a ele associados
    (
        SELECT
            ct003.ccli_grupo,
            ct003.zcliente,
            cq_alm.cod_ref_cq
        FROM
        (
            SELECT zcliente, ccli_grupo
            FROM cd_captools.ct003_univ_cli
            WHERE  ref_date = '2024-03-31'
        ) as ct003 -- 6641
        -- Tabela com cod_ref_cq mais recente para cada zcliente
        INNER JOIN
        (
            SELECT cq_values.zcliente, cq_values.cod_ref_cq
            FROM
            (
                SELECT zcliente, cod_tip_contrato, cod_ref_cq, dt_fim
                FROM CD_ALM.AL012_CQ_ALM
                WHERE ref_date = '2024-03-31'
            ) as cq_values
            INNER JOIN
            (
                SELECT zcliente, MAX(dt_fim) as dt_fim
                FROM CD_ALM.AL012_CQ_ALM
                WHERE ref_date = '2024-03-31'
                GROUP BY zcliente
            ) as cq_max_date
            ON  cq_values.zcliente = cq_max_date.zcliente
            AND cq_values.dt_fim = cq_max_date.dt_fim
        ) as cq_alm -- 1030
        ON ct003.zcliente = cq_alm.zcliente
    ) as tab_ccli_grupo
    ON tab_ccli_grupo.ccli_grupo = tab_intrmnt_ccli.ccli_grupo
    GROUP BY INSTRMNT_ID, tab_intrmnt_ccli.primeiro_titular
) as tab_cod_ref_cq
-- WHERE list_cod_ref_cq &lt;&gt; ''
-- AND list_cod_ref_cq NOT LIKE CONCAT('%',primeiro_titular,'%')
Análise (foi feita para o âmbito de ALM mas a unica coisa que se altera é o universo base fr004 em vez de al029):
SELECT 
    cempresa,
    cbalcao,
    cnumecta,
    zdeposit,
    zcliente,
    list,
    IF(list like CONCAT('%',zcliente,'%'), 1, 0) as flag,
    IF(list like CONCAT('%',zcliente,'%'), SPLIT_PART(SPLIT_PART(list, CONCAT(zcliente,'|'), 2), '|', 1), SPLIT_PART(list, '|', 2) ) as cod_tip_contrato,
    IF(list like CONCAT('%',zcliente,'%'), SPLIT_PART(SPLIT_PART(list, CONCAT(zcliente,'|'), 2), '|', 2), SPLIT_PART(list, '|', 3) ) as cod_ref_cq
FROM
(
    SELECT 
        core.cempresa, core.cbalcao, core.cnumecta, core.zdeposit, core.zcliente, 
        GROUP_CONCAT(CONCAT(ct003_zclientes.zcliente,'|',cq_alm.cod_tip_contrato,'|',cq_alm.cod_ref_cq), '|') as list
    FROM
    (
        SELECT cempresa, cbalcao, cnumecta, zdeposit, zcliente, tipo_balanco 
        FROM cd_alm.al029_cnt_core_m
        WHERE  ref_date = '2024-03-31'
        AND tipo_balanco = 'D' -- 1002
    ) as core
    INNER JOIN
    (
        SELECT zcliente, ccli_grupo
        FROM cd_captools.ct003_univ_cli
        WHERE  ref_date = '2024-03-31'
    ) as ct003_ccligrupo -- 1002
    ON  ct003_ccligrupo.zcliente = core.zcliente
    LEFT JOIN
    (
        SELECT zcliente, ccli_grupo
        FROM cd_captools.ct003_univ_cli
        WHERE  ref_date = '2024-03-31'
    ) as ct003_zclientes -- 6641
    ON  ct003_ccligrupo.ccli_grupo = ct003_zclientes.ccli_grupo
    INNER JOIN
    (
        SELECT cq_values.zcliente, cq_values.cod_tip_contrato, cq_values.cod_ref_cq
        FROM
        (
            SELECT zcliente, cod_tip_contrato, cod_ref_cq, dt_fim
            FROM CD_ALM.AL012_CQ_ALM
            WHERE ref_date = '2024-03-31'
        ) as cq_values
        INNER JOIN
        (
            SELECT zcliente, MAX(dt_fim) as dt_fim
            FROM CD_ALM.AL012_CQ_ALM
            WHERE ref_date = '2024-03-31'
            GROUP BY zcliente
        ) as cq_max_date
        ON  cq_values.zcliente = cq_max_date.zcliente
        AND cq_values.dt_fim = cq_max_date.dt_fim
    ) as cq_alm -- 1030
    ON ct003_zclientes.zcliente = cq_alm.zcliente
    GROUP BY core.cempresa, core.cbalcao, core.cnumecta, core.zdeposit, core.zcliente
) as a
--WHERE IF(list like CONCAT('%',zcliente,'%'), 1, 0) = 1 -- Mostra os casos em que o 1º titular não é o 1º da lista
--AND list not like CONCAT(zcliente, '%') -- Mostra os casos em que o 1º titular não é o 1º da lista
-- A '2024-03-31' dos contratos derivados da al029 só 559 de 1002 é que têm o 1º titular na cq_alm;
-- Mesmo ligando pelo resto dos titulares presentes na ct003, ficamos apenas com 963 contratos para os 
--quais foi possivel obter um cod_tip_contrato;
-- Após agrupar as várias opções obtidas, devemos ficar com os valores relativos ao 1º titular caso exista, caso contrário trazer a primeira encontrada;
-- Nota que na agrupação o 1º titular pode não ser o primeiro da lista, assim é necessário implementar a lógica dos IF e SPLIT_STRING vista acima.</t>
  </si>
  <si>
    <t>cd_alm.al005_det_swapc</t>
  </si>
  <si>
    <t>code_pcd</t>
  </si>
  <si>
    <t>V_52</t>
  </si>
  <si>
    <t>Accounting information</t>
  </si>
  <si>
    <t>Carrying amount of the derivative as reported in the last reported financial statements.</t>
  </si>
  <si>
    <t>Valor contábil do derivativo conforme reportado nas últimas demonstrações financeiras reportadas.</t>
  </si>
  <si>
    <t>LT002_INSTRUMENT.GRSS_CRRYNG_AMNT_INSTRMNT</t>
  </si>
  <si>
    <t>‣ Soma dos campos anteriores
‣ Para cada Instrument Identifier e zcliente são somados os campos:
     ‣ campo "rwa_final" para cada par de campos "s1emp", "contra1"</t>
  </si>
  <si>
    <t>A agrupação é feita segundo o campo "Instrument Identifier" e  "zcliente" deste mesmo documento</t>
  </si>
  <si>
    <t>V_53</t>
  </si>
  <si>
    <t>Accounting standards</t>
  </si>
  <si>
    <t>Applied accounting standard.
Options:
(1) IFRS
(2) National GAAP</t>
  </si>
  <si>
    <t>Norma contábil aplicada.
Opções:
(1) IFRS
(2) National GAAP</t>
  </si>
  <si>
    <t>LT002_INSTRUMENT.ACCNTNG_CLSSFCTN
‣ Necessário criar novas parametrizaçôes nas tabelas lt829_regras_conversao e lt830_conversoes, podendo as mesmas ser consultadas neste documento nas sheets:
     ‣ LT829 - filtrando por campo_conceito = 'ACCNTNG_CLSSFCTN' e regra_conversao = '2';
     ‣ LT830 - filtrando por segmento = 'Derivatives' e campo_conceito = 'ACCNTNG_CLSSFCTN'.</t>
  </si>
  <si>
    <t>V_54</t>
  </si>
  <si>
    <t>Accounting classification</t>
  </si>
  <si>
    <t>The accounting portfolio where the derivative is recorded in accordance with the accounting standard applied by the reporting counterparty.
Options:
(1) Trading book
(2) Non-trading book</t>
  </si>
  <si>
    <t>A carteira contabilística onde o derivado é registado de acordo com a norma contabilística aplicada pela contraparte que reporta.
Opções:
(1) Trading book
(2) Non-trading book</t>
  </si>
  <si>
    <t>LT002_INSTRUMENT.PRDNTL_PRTFL
‣ Necessário criar novas parametrizaçôes nas tabelas lt829_regras_conversao e lt830_conversoes, podendo as mesmas ser consultadas neste documento nas sheets:
     ‣ LT829 - filtrando por campo_conceito = 'PRDNTL_PRTFL' e regra_conversao = '1';
     ‣ LT830 - filtrando por segmento = 'Derivatives' e campo_conceito = 'PRDNTL_PRTFL'.</t>
  </si>
  <si>
    <t>‣ dd_field_id = "54"</t>
  </si>
  <si>
    <t>V_55</t>
  </si>
  <si>
    <t>Hierarchy</t>
  </si>
  <si>
    <t>Classification into the levels of IFRS 13 fair value hierarchy, where level 3 exposures are those for which valuation is based on unobservable model input parameters.
Options:
(1) Level 1
(2) Level 2
(3) Level 3</t>
  </si>
  <si>
    <t>Classificação nos níveis da hierarquia de valor justo da IFRS 13, onde as exposições de nível 3 são aquelas cuja avaliação é baseada em parâmetros de dados de modelos não observáveis.
Opções:
(1) Level 1
(2) Level 2
(3) Level 3</t>
  </si>
  <si>
    <t>hierarchy</t>
  </si>
  <si>
    <t xml:space="preserve">Mapeamento LT:
- Se o registo não pertence ao Universo de Derivados:      
 al011_derivados
 UNION ALL
 al005_det_swapc 
Reportar 'MISS'
- Se o registo pertence ao Universo de Derivados:      
 al011_derivados
 UNION ALL
 al005_det_swapc 
Passo 1:  Obter campo gportfolio do Universo de Derivados referido acima;
Passo 2:  Necessário criar nova parametrização na tabela lt831_param_conceitos, podendo a mesma ser consultada neste documento na sheet 'LT831' filtrando por campo_conceito = 'HIERARCHY'
Comentários IT:
Reunião com Nuno Pinheiro, Cláudia Correia, Luís Capitão-Mor, Pedro Mendes (30/05/2024):
Este conceito aplica-se a todos os instrumentos, não apenas a instrumentos de Derivados. A futuro, faria sentido incluir este campo na ct004_univ_cto, contudo, nesta fase este campo ficará hard-coded no Loan Tape e só será preenchido para Derivados. Segundo Nuno Pinheiro, os derivados são 'Level 2' excepto os derivados associados às Securitizações que são 'Level 3'.
Segundo Cláudia Correia se gportfolio in 'ST_FINCORP_TIT', 'GM_FINCORP_TIT',  'GMFCTITCE', 'STFCTITCE' reportar 'Level 3', todos os restantes derivados reportar 'Level 2'. 
Confirmou-se na query abaixo que o reportado aqui no Valuation está alinhado com a sheet "F 14.00 - Fair value hierarchy: financial instruments at fair value" do FINREP. Nessa sheet do FINREP constam os Level 1/Level 2/Level 3. Concretamente para Derivados existem as rúbricas 
"Financial assets held for trading" - "Derivatives"; "Derivatives – Hedge accounting" (no Ativo da F 14.00);  
"Financial liabilities held for trading" - "Derivatives"; "Derivatives – Hedge accounting" (no Passivo da F 14.00)	
---Query:
select
fr802.tipo_conta,
IF(univ_deriv.gportfolio IN ('ST_FINCORP_TIT', 'GM_FINCORP_TIT', 'GMFCTITCE', 'STFCTITCE'), 'Level 3', 'Level 2') AS hierarchy,
sum(fr001.msaldo_final)
from
(select concat(cempresa,cbalcao,cnumecta,zdeposit) as chave_ics, gportfolio   FROM cd_alm.al011_derivados WHERE ref_date='${ref_date}'
 UNION ALL
 select concat(cempresa,cbalcao,cnumecta,zdeposit) as chave_ics,  gportfolio  FROM cd_alm.al005_det_swapc WHERE ref_date='${ref_date}'
) univ_deriv
inner join
(select * from cd_loan_tapes_bce.lt002_instrument where ref_date='${ref_date}' and ambito='SRB_VALUATION' and segmento ='Derivatives'
) lt002
on univ_deriv.chave_ics = lt002.instrmnt_id
inner join
(select *, concat(cempresa,cbalcao,cnumecta,zdeposit) as chave_fr FROM cd_captools.fr001_univ_saldo WHERE ref_date='${ref_date}'
) fr001
on univ_deriv.chave_ics = fr001.chave_fr
inner join
(select * from cd_captools.fr802_pl_contas WHERE ref_date='${ref_date}' and cod_plano='BST_IND') fr802
on fr001.ccontab_final_ifrs  = fr802.conta 
group by 1,2
order by fr802.tipo_conta, hierarchy
;
--Resultado
tipo_conta	hierarchy	sum(fr001.msaldo_final)	
A	                Level 2	        -1605445102.120000	
A	                Level 3	         -796669.570000	
M	                Level 2	         -91661214104.515975	
M	                Level 3	          -2298523100.370000	
P	                Level 2	         1590249622.980000	
P	                Level 3	         1027800.940000	
</t>
  </si>
  <si>
    <t>V_56</t>
  </si>
  <si>
    <t>Hedge ID</t>
  </si>
  <si>
    <t>Hedge ID if the position is part of an economic / accounting hedge.</t>
  </si>
  <si>
    <t>ID do hedge se a posição fizer parte de um hedge econômico/contábil</t>
  </si>
  <si>
    <t>hedge_id</t>
  </si>
  <si>
    <t>Mapeamento LT:
Este campo do report Valuation será mapeado com o campo LT002_INSTRUMENT.HEDGE_ID já existente no Loan Tape.
No entanto juntamente com Luís Capitão-Mor, Rafael Pessoa e Carlos Fernandes foi definida uma nova regra de produção deste campo, que deverá substituir a atualmente implementada (email enviado a 11/03/2025):
Criação de uma nova flag na tabela LT001_UNIV_OPER:
	- À imagem do que já foi feito para outros campos (ex. campos ISSR_...) deverá ser criada uma nova coluna "flag_inst_deriv" na tabela LT001_UNIV_OPER com a seguinte regra de preenchimento:
		CASE
			WHEN instrumento_financeiro = 'derivados' THEN 1
			WHEN instrumento_financeiro &lt;&gt; 'derivados' THEN 0
		END as flag_inst_deriv
	- Esta lógica deve ser implementada através de uma parametrização na tabela LT801_PARAM_SEGM à imagem do que é feito nas duas outras flags "flag_inst_cap" e "flag_inst_div".
	- A metodologia de cálculo do campo HEDGE_ID apenas foi definida para o universo de contratos Derivados do FINREP, e como tal só deverá ser aplicada a esse universo, ou seja para os contratos da tabela LT001_UNIV_OPER com flag_inst_deriv = 1.
	- Ao restante universo (flag_inst_deriv = 0) deverá ser atribuído o valor default de Not Applicable que no caso do report Valuation é ‘N/A’.
Metodologia de cruzamento:
1 - Cruzar LT002_INSTRUMENT filtrada para o universo de Derivados LT001_UNIV_OPER.flag_inst_deriv = 1, com o tradutor de chaves FINREP:
	LT002_INSTRUMENT 
	LEFT JOIN 
	(
		SELECT
			CONCAT(CEMPRESA_FR, CBALCAO_FR, CNUMECTA_FR, ZDEPOSIT_FR) as INSTRMNT_ID,
			CONCAT(CEMPRESA, CBALCAO, CNUMECTA, ZDEPOSIT) as INSTRMNT_ID_CT
		FROM cd_captools.KT_CHAVES_FINREP
		WHERE REF_DATE = {data de referência}
	) as chaves_fr
	ON chaves_fr.INSTRMNT_ID = LT002_INSTRUMENT.INSTRMNT_ID
2 - Cruzar as chaves INSTRMNT_ID_MASTER obtidas no passo 1 com a tabela CT001_UNIV_SALDO para obter o campo HEDGE_ID_CT que será produzido a partir do campo DESCRITIVO segundo a seguinte lógica:
	LEFT JOIN
	(
		SELECT
			CONCAT(CEMPRESA, CBALCAO, CNUMECTA, ZDEPOSIT) as INSTRMNT_ID_CT, 
			TRIM(IF( UPPER(SUBSTR(DESCRITIVO,1,16)) = 'ELEMENTO COBERTO', SUBSTR(DESCRITIVO, 18), '' )) as HEDGE_ID_CT
		FROM cd_captools.CT001_UNIV_SALDO 
		WHERE REF_DATE = {data de referência}
		AND flag_ativo = 1
	) as ct001
	ON ct001.INSTRMNT_ID_CT = chaves_fr.INSTRMNT_ID_CT
3 - Cruzar as chaves HEDGE_ID_CT obtidas no passo 2 com o tradutor de chaves FINREP para as converter para chaves FINREP: 
	LEFT JOIN 
	(
		SELECT
			CONCAT(CEMPRESA_FR, CBALCAO_FR, CNUMECTA_FR, ZDEPOSIT_FR) as HEDGE_ID,
			CONCAT(CEMPRESA, CBALCAO, CNUMECTA, ZDEPOSIT) as HEDGE_ID_CT
		FROM cd_captools.KT_CHAVES_FINREP
		WHERE REF_DATE = {data de referência}
	) as chaves_fr_2
	ON chaves_fr_2.HEDGE_ID_CT = ct001.HEDGE_ID_CT
Metodologia de Cálculo:
	- Se flag_inst_deriv = 0, deverá ser atribuído o valor default de Not Applicable que no caso do report Valuation é ‘N/A’;
	- Se flag_inst_deriv = 1, deverá ser utilizado o campo chaves_fr_2.HEDGE_ID obtido no passo 3 da Metodologia de cruzamento;
	- Se flag_inst_deriv = 1 e chaves_fr_2.HEDGE_ID for NULL, deverá ser atribuído o valor default de Not Applicable que no caso do report Valuation é ‘N/A’.
Comentários IT:
-Na  reunião de 27/02/2025 com Luís Capitão-Mor, Carlos Fernandes e Rafael Pessoa foi definida uma nova regra para produzir o campo HEDGE_ID (descrita na secção Mapeamento LT) que irá substituir a anterior. O Carlos Fernandes passará a introduzir na tabela CT001_UNIV_SALDO os inputs manuais dos derivados que estejam associados a um elemento (micro)coberto com a formatação no campo ‘descritivo’:
               “ELEMENTO COBERTO ” &amp; [cempresa] &amp; [cbalcao] &amp; [cnumecta] &amp; [zdeposit]
Sendo que o cempresa terá tipicamente 2 digitos, o cbalcao 4, o cnumecta 11 e o zdeposit 15. Pelo que o descritivo deverá ter um total de 17 caracteres + 32 caracteres = 49 caracteres.
Luís Capitão-Mor comentou que os resultados do Hedge_id que se encontravam na tabela LT002_INSTRMNT não lhe pareciam corretos ('19971,15836,15824,15840'; 'P14241'; 'P14242'), estaria à espera de encontrar sempre o mesmo output ('19971,15836,15824,15840'). 
Luís Capitão-Mor pediu que antes da reunião acima se tentasse perceber como estava a ser feita a ligação entre o universo de títulos (tabela CT610_TITULOS) e o de derivados (AL011_DERIVADOS).
Segue-se a análise efetuada:
    - A query seguinte replica a lógica definida para este campo no documento de especificação do Loan Tape:
 SELECT CONCAT(univ.CEMPRESA_FR, univ.CBALCAO_FR, univ.CNUMECTA_FR, univ.ZDEPOSIT_FR) as instrmnt_id, group_concat(DISTINCT code_pcd, ',') as hedge_id FROM
(
    SELECT chave_alm.CEMPRESA, chave_alm.CBALCAO, chave_alm.CNUMECTA, chave_alm.ZDEPOSIT, chave_alm.CEMPRESA_MASTER, chave_alm.CBALCAO_MASTER, chave_alm.CNUMECTA_MASTER, chave_alm.ZDEPOSIT_MASTER, fr004.CEMPRESA as CEMPRESA_FR, fr004.CBALCAO as CBALCAO_FR, fr004.CNUMECTA as CNUMECTA_FR, fr004.ZDEPOSIT as ZDEPOSIT_FR FROM
    (
        SELECT * FROM cd_captools.fr004_cto
        WHERE ref_date = '2023-12-31'
    ) as fr004
    LEFT JOIN
    (
        SELECT * FROM cd_captools.KT_CHAVES_FINREP
        WHERE ref_date = '2023-12-31'
    ) as chave_fr
    ON CONCAT(fr004.CEMPRESA, fr004.CBALCAO, fr004.CNUMECTA, fr004.ZDEPOSIT) = CONCAT(chave_fr.CEMPRESA_FR, chave_fr.CBALCAO_FR, chave_fr.CNUMECTA_FR, chave_fr.ZDEPOSIT_FR)
    INNER JOIN 
    (
        SELECT * FROM cd_alm.KT_CHAVES_ALM_M
        WHERE ref_date = '2023-12-31'
    ) chave_alm
    ON CONCAT(chave_fr.CEMPRESA, chave_fr.CBALCAO, chave_fr.CNUMECTA, chave_fr.ZDEPOSIT) = CONCAT(chave_alm.CEMPRESA_MASTER, chave_alm.CBALCAO_MASTER, chave_alm.CNUMECTA_MASTER, chave_alm.ZDEPOSIT_MASTER)
) as univ
LEFT JOIN 
(
    SELECT CEMPRESA, CBALCAO, CNUMECTA, ZDEPOSIT, TIPO_TITULO, SOBERANO, CONCAT(substr(DT_VENCIM,7,4),'-',substr(DT_VENCIM,4,2),'-',substr(DT_VENCIM,1,2)) as DT_VENCIM FROM cd_captools.CT610_TITULOS
    WHERE ref_date = '2023-12-31'
)as ct610
ON CONCAT(ct610.CEMPRESA, ct610.CBALCAO, ct610.CNUMECTA, ct610.ZDEPOSIT) = CONCAT(univ.CEMPRESA_MASTER, univ.CBALCAO_MASTER, univ.CNUMECTA_MASTER, univ.ZDEPOSIT_MASTER)
LEFT JOIN 
(
    SELECT CEMPRESA, CBALCAO, CNUMECTA, ZDEPOSIT, GPORTFOLIO, CODE_PCD, DT_MATURITY FROM cd_alm.AL011_DERIVADOS
    WHERE ref_date = '2023-12-31'
)as al011
ON al011.DT_MATURITY = ct610.DT_VENCIM --Esta ligação parece estranha, uma vez que não é utilizada a chave do contrato (cempresa, cbalcao, cnumecta, zdeposit)
LEFT JOIN
(
    SELECT * FROM cd_loan_tapes_bce.lt818_hedge_id
    WHERE ref_date = '2023-12-31'
) as lt818
ON lt818.TIPO_TITULO = ct610.TIPO_TITULO 
AND lt818.SOBERANO = ct610.SOBERANO 
AND lt818.GPORTFOLIO = al011.GPORTFOLIO
WHERE lt818.TIPO_TITULO IS NOT NULL -- Remover os casos em que não é feita a ligação com a tabela de parametrização lt818_hedge_id
GROUP BY instrmnt_id
    - A query acima replica exatamente o que está no campo HEDGE_ID da tabela lt002_instrmnt:
SELECT instrmnt_id, HEDGE_ID, ambito, nome_perimetro, segmento, entidade FROM cd_loan_tapes_bce.lt002_instrument
WHERE ref_date = '2023-12-31' 
AND HEDGE_ID &lt;&gt; 'N/A'
    - A ligação das tabelas ct610 e al011 é feita ligando as datas (al011.DT_MATURITY = ct610.DT_VENCIM) sem utilizar a chave do contrato. Esta ligação não parece estar correta e pode ser daqui que vêm as incoêrencias registadas.
    - Tema identificado: Os universos de contratos das tabelas ct610 e al011 são mutuamente exclusivos:
SELECT * FROM
(
    SELECT CEMPRESA, CBALCAO, CNUMECTA, ZDEPOSIT, TIPO_TITULO, SOBERANO, CONCAT(substr(DT_VENCIM,7,4),'-',substr(DT_VENCIM,4,2),'-',substr(DT_VENCIM,1,2)) as DT_VENCIM, ref_date FROM cd_captools.CT610_TITULOS
)as ct610
INNER JOIN 
(
    SELECT * FROM cd_alm.KT_CHAVES_ALM_M
) chave_alm
ON CONCAT(ct610.CEMPRESA, ct610.CBALCAO, ct610.CNUMECTA, ct610.ZDEPOSIT) = CONCAT(chave_alm.CEMPRESA_MASTER, chave_alm.CBALCAO_MASTER, chave_alm.CNUMECTA_MASTER, chave_alm.ZDEPOSIT_MASTER)
AND ct610.ref_date = chave_alm.ref_date
LEFT JOIN 
(
    SELECT CEMPRESA, CBALCAO, CNUMECTA, ZDEPOSIT, GPORTFOLIO, CODE_PCD, DT_MATURITY, ref_date FROM cd_alm.AL011_DERIVADOS
)as al011
ON  CONCAT(al011.CEMPRESA, al011.CBALCAO, al011.CNUMECTA, al011.ZDEPOSIT) = CONCAT(chave_alm.CEMPRESA, chave_alm.CBALCAO, chave_alm.CNUMECTA, chave_alm.ZDEPOSIT)
AND al011.ref_date = chave_alm.ref_date
WHERE al011.cempresa IS NOT NULL
    - Será necessário rever a ligação das tabelas ct610 e al011.</t>
  </si>
  <si>
    <t>Alteração feita por Miguel Rodrigues: 07/02/2025</t>
  </si>
  <si>
    <t>The risk weight allocated to the instrument, calculated according to Articles 92(3) and 92(4) of Regulation (EU) No 575/2013 (CRR), where
applicable.</t>
  </si>
  <si>
    <t>O ponderador de risco atribuído ao instrumento, calculado de acordo com o artigo 92.º, n.º 3, e o artigo 92.º, n.º 4, do Regulamento (UE) n.º 575/2013 (CRR), quando aplicável.</t>
  </si>
  <si>
    <r>
      <rPr>
        <b/>
        <u/>
        <sz val="14"/>
        <color theme="1"/>
        <rFont val="Calibri"/>
        <family val="2"/>
        <scheme val="minor"/>
      </rPr>
      <t>SRB FINANCIAL ASSETS – DEBT SECURITIES DATA SET</t>
    </r>
    <r>
      <rPr>
        <b/>
        <sz val="11"/>
        <color theme="1"/>
        <rFont val="Calibri"/>
        <family val="2"/>
        <scheme val="minor"/>
      </rPr>
      <t xml:space="preserve">
The SRB Valuation Data Set for debt securities covers data on exposures to financial assets in the form of debt securities and any security purchased with an agreement to resell it at a later stage, including reverse repurchase agreements and collateral swaps. The data set combines data from the Regulation (EU) No 1011/2012 of the European Central Bank concerning statistics on holdings of securities (SHS Regulation) and additional data points, which may serve different purposes in addition to valuation, e.g. monitor the counterbalancing capacity of the institution in resolution, liquidity risks assessments, etc.
Será produzido o ficheiro:
‣  SRB FINANCIAL ASSETS – DEBT SECURITIES DATA SET (DEBT_SECURITIES);
</t>
    </r>
  </si>
  <si>
    <t>V_58</t>
  </si>
  <si>
    <t>Financial contract type</t>
  </si>
  <si>
    <t>Financial contract ID</t>
  </si>
  <si>
    <t>Unique identifier for the debt security.</t>
  </si>
  <si>
    <t>Identificador único do título de dívida.</t>
  </si>
  <si>
    <t>financial_contract_id</t>
  </si>
  <si>
    <t>V_59</t>
  </si>
  <si>
    <t>Issuer identification</t>
  </si>
  <si>
    <t>International Securities Identification Number (ISIN).</t>
  </si>
  <si>
    <t>Número Internacional de Identificação de Valores Mobiliários (ISIN).</t>
  </si>
  <si>
    <t>INSTRUMENT-ISIN</t>
  </si>
  <si>
    <t>International Securities Identification Number (ISIN)</t>
  </si>
  <si>
    <t>isin</t>
  </si>
  <si>
    <t>LT002_INSTRUMENT.ISIN</t>
  </si>
  <si>
    <t>cd_captools.ct610_titulos</t>
  </si>
  <si>
    <t>V_60</t>
  </si>
  <si>
    <t>ID of the issuer</t>
  </si>
  <si>
    <t>Unique code (Legal Entity Identifier (LEI) where available) identifying the reporting counterparty (legal entity).</t>
  </si>
  <si>
    <t>Código único (identificador de entidade jurídica (LEI), quando disponível) que identifica a contraparte que reporta (entidade jurídica).</t>
  </si>
  <si>
    <t>INSTRUMENT-ISSR_ID</t>
  </si>
  <si>
    <t>issuer_id</t>
  </si>
  <si>
    <t>LT002_INSTRUMENT.ISSR_ID</t>
  </si>
  <si>
    <t>issr_id</t>
  </si>
  <si>
    <t>V_61</t>
  </si>
  <si>
    <t>Type of ID of the issuer</t>
  </si>
  <si>
    <t>Type of code used to identify the issuer (Legal entity).
Options based on ECB’s Securities Holding Statistics (field CL_SHS_ID_TYPE)</t>
  </si>
  <si>
    <t>Tipo de código utilizado para identificar o emissor (Pessoa Jurídica).</t>
  </si>
  <si>
    <t>INSTRUMENT-ISSR_ID_TYP</t>
  </si>
  <si>
    <t>Type of code used to identify the issuer (Legal entity)</t>
  </si>
  <si>
    <t>issuer_id_type</t>
  </si>
  <si>
    <t>LT002_INSTRUMENT.ISSR_ID_TYP
Este campo é obtido aplicando a mesma metodologia de cruzamento aplicada ao campo ISSR_ID da tabela lt002_instrument e posteriormente verificando se o mesmo foi obtido a partir dos campos CLEI, CNUM_DOC_IDENTIF2 ou ZCLIENTE. Esta lógica está explicada no documento de especificação do Loan Tape onde também é indicado que este campo apenas pode tomar os valores 'LEI', 'TAX', 'OTHER' ou 'N/A', adicionalmente confirma-se este entendimento a partir da seguinte query:
SELECT DISTINCT ISSR_ID_TYP FROM cd_loan_tapes_bce.lt002_instrument
Os valores deste campo não passam pela tabela de parametrização LT803_CODIGOS_LT mas já vêm exatamente no formato pedido pelo SRB no documento 'ECB’s Securities Holding Statistics (field CL_SHS_ID_TYPE)'. 
Como tal é atribuído o estado Concluído.</t>
  </si>
  <si>
    <t>V_62</t>
  </si>
  <si>
    <t>Country of the issuer</t>
  </si>
  <si>
    <t>The country code of the country where the registered office of the issuer is located. To be completed only where no ISIN has been provided.
Options based on ECB’s Securities Holding Statistics (field CL_SHS_ISSUER_AREA)</t>
  </si>
  <si>
    <t>O código do país onde está localizada a sede social do emitente. A preencher apenas quando não for fornecido nenhum ISIN.</t>
  </si>
  <si>
    <t>INSTRUMENT-ISSR_CNTRY</t>
  </si>
  <si>
    <t>The country code of the country where the registered office of the issuer is located. To be completed only where no ISIN has been provided</t>
  </si>
  <si>
    <t>issuer_country</t>
  </si>
  <si>
    <t>LT002_INSTRUMENT.ISSR_CNTRY
Parametrização:
‣ Parametrização igual à pedida pelo BCE no Loan Tape estrutural;
‣ Pelos testes feitos, a parametrização que foi implementada na tabela LT803 mapeia o universo todo de contratos de DEBT_SECURITIES e EQUITY para os quais é possivel recuperar o 'cpais_residencia' da tabela ct003_univ_cli, pelo que esta parametrização se manterá inalterada;
‣ Nota 1: A parametrização que foi implementada na tabela LT803 não mapeia todos os códigos de pais que se encontram na tabela tat91_tabelas filtrando o campo tayd91c0_ctabela = '015', pelo que se a futuro passarem a vir valores a 'MISS' poderá ser necessário ajustar esta parametrização;
‣ Nota 2: No campo COUNTERPARTY_COUNTRY do universo DERIVATIVES é pedido exatamente o mesmo code-list que neste campo, e como é um campo novo a adicionar ao Loan Tape, foi feito o mapeamento de todos os códigos da tabela tat91_tabelas filtrando o campo tayd91c0_ctabela = '015', pelo que, caso venha a ser necessário atualizar esta parametrização, deve-se manter coerência com a parametrização aplicada no campo COUNTERPARTY_COUNTRY.</t>
  </si>
  <si>
    <t>V_63</t>
  </si>
  <si>
    <t>Issuer ESA 2010</t>
  </si>
  <si>
    <t>European System of National and Regional Accounts (ESA 2010) sector of the issuer.
Options based on ECB’s Securities Holding Statistics (field CL_SHS_ISSUER_ESA_2010)</t>
  </si>
  <si>
    <t>Setor do Sistema Europeu de Contas Nacionais e Regionais (SEC 2010) do emitente.</t>
  </si>
  <si>
    <t>INSTRUMENT-ISSR_ESA_2010</t>
  </si>
  <si>
    <t>European System of National and Regional Accounts (ESA) 2010 sector of the issuer.</t>
  </si>
  <si>
    <t>issuer_esa_2010</t>
  </si>
  <si>
    <t>LT002_INSTRUMENT.ISSR_ESA_2010
‣ Parametrização igual à pedida pelo BCE no Loan Tape estrutural, houve necessidade de atualizar esta parametrização na tabela LT803. Esta parametrização atualizada pode ser consultada na sheet LT803 filtrando o campo 'campo_lt' por 'ISSR_ESA_2010'.</t>
  </si>
  <si>
    <t>issr_esa_2010</t>
  </si>
  <si>
    <t>V_64</t>
  </si>
  <si>
    <t>Issuer NACE sector</t>
  </si>
  <si>
    <t>Sector according to NACE classification.
Options based on ECB’s Securities Holding Statistics (field CL_SHS_NACE)</t>
  </si>
  <si>
    <t>Setor de acordo com a classificação NACE.</t>
  </si>
  <si>
    <t>INSTRUMENT-ISSR_NACE_SCTR</t>
  </si>
  <si>
    <t>Sector according to NACE classification</t>
  </si>
  <si>
    <t>issuer_nace_sector</t>
  </si>
  <si>
    <t>LT002_INSTRUMENT.ISSR_NACE_SCTR
‣ Necessário criar novas parametrizaçôes nas tabelas lt829_regras_conversao e lt830_conversoes, podendo as mesmas ser consultadas neste documento nas sheets:
     ‣ LT829 - filtrando por campo_conceito = 'ISSR_NACE_SCTR' e regra_conversao = '1';
     ‣ LT830 - filtrando por segmento = 'Debt securities' e campo_conceito = 'ISSR_NACE_SCTR'.</t>
  </si>
  <si>
    <t>d_loan_tapes_bce.lt003_entity</t>
  </si>
  <si>
    <t>ecnmc_actvty</t>
  </si>
  <si>
    <t>V_65</t>
  </si>
  <si>
    <t>Issuer data</t>
  </si>
  <si>
    <t xml:space="preserve"> Issuer Rating(s)</t>
  </si>
  <si>
    <t>Rating of counterparty as of cut-off date. In the event of multiple ratings, these should be separated by comma, and the order should be the same that relating to the rating thresholds that are reported in field XYZ. If not rated, enter ‘NR’.</t>
  </si>
  <si>
    <t>Rating da contraparte na data de corte. No caso de múltiplas classificações, estas devem ser separadas por vírgula, e a ordem deve ser a mesma relativa aos limites de classificação que são reportados no campo XYZ. Se não for classificado, insira ‘NR’.</t>
  </si>
  <si>
    <t>INSTRUMENT-ISSR_RTNG</t>
  </si>
  <si>
    <t>Issuer Rating(s)</t>
  </si>
  <si>
    <t>Rating of the counterparty as of cut-off date.In the event of multiple ratings, these should be separated by comma, and the order should be the same that relating to the rating thresholds that are reported in field XYZ. If not rated, enter 'NR'.</t>
  </si>
  <si>
    <t>issuer_ratings</t>
  </si>
  <si>
    <t>LT002_INSTRUMENT.ISSR_RTNG</t>
  </si>
  <si>
    <t>V_66</t>
  </si>
  <si>
    <t>Issuer Rating(s) Sources</t>
  </si>
  <si>
    <t>The name of the agency providing the rating. Include only those ratings from rating agencies that are specified in the securitisation documentation. In the event of multiple ratings, the sources should be separated by commas and their order be the same as the thresholds and ratings provided in other fields.</t>
  </si>
  <si>
    <t>O nome da agência que fornece a classificação. Incluir apenas as classificações das agências de classificação especificadas na documentação de securitização. No caso de classificações múltiplas, as fontes devem ser
separados por vírgulas e sua ordem será a mesma dos limites e classificações fornecidos em outros campos.</t>
  </si>
  <si>
    <t>INSTRUMENT-ISSR_RTNG_SRC</t>
  </si>
  <si>
    <t>Issuer Rating(s) Source(s)</t>
  </si>
  <si>
    <t>issuer_ratings_sources</t>
  </si>
  <si>
    <t>LT002_INSTRUMENT.ISSR_RTNG_SRC
Nota: Atualmente este campo do Loan Tape apenas apresenta os valores: 'MISS' ou 'N/A'. Está a ser alimentado pela ct619_ratings, contudo,  esta tabela não está a ser aprovisionada. Portanto, no futuro terá de se identificar a fonte da verdade desta informação para se aprovisionar a tabela ct619_ratings.</t>
  </si>
  <si>
    <t>issr_rtng_src</t>
  </si>
  <si>
    <t>V_67</t>
  </si>
  <si>
    <t>Type of Issuer</t>
  </si>
  <si>
    <t>Other group entity refers to entities that are part of the same group as the bank (inter-affiliate exposures). Third party refers to external parties.
Options:
‣ Other group entity (1)
‣ Third party (2)</t>
  </si>
  <si>
    <t>Outra entidade do grupo refere-se a entidades que fazem parte do mesmo grupo do banco (exposições interafiliadas). Terceiro refere-se a partes externas.
Opções:
‣ Other group entity (1)
‣ Third party (2)</t>
  </si>
  <si>
    <t>INSTRUMENT-ISSR_TYP</t>
  </si>
  <si>
    <t>Other group entity refers to entities that are part of the same group as the bank (inter-affiliate exposures). Third party refers to external parties.</t>
  </si>
  <si>
    <t>issuer_type</t>
  </si>
  <si>
    <t>LT002_INSTRUMENT.ISSR_TYP
‣ Necessário criar novas parametrizaçôes nas tabelas lt829_regras_conversao e lt830_conversoes, podendo as mesmas ser consultadas neste documento nas sheets:
     ‣ LT829 - filtrando por campo_conceito = 'ISSR_TYP' e regra_conversao = '1';
     ‣ LT830 - filtrando por segmento = 'Debt securities' e campo_conceito = 'ISSR_TYP'.</t>
  </si>
  <si>
    <t>issr_typ</t>
  </si>
  <si>
    <t>V_68</t>
  </si>
  <si>
    <t>Currency of the value</t>
  </si>
  <si>
    <t>The currency used for the valuation of the security.
Options based on ECB’s Securities Holding Statistics (field CL_SHS_CURRENCY)</t>
  </si>
  <si>
    <t>A moeda utilizada para a avaliação do título.</t>
  </si>
  <si>
    <t>INSTRUMENT-VLTN_CRRNCY</t>
  </si>
  <si>
    <t>The currency used for the valuation of the security. (local accounting currency)</t>
  </si>
  <si>
    <t>currency_value</t>
  </si>
  <si>
    <t>LT002_INSTRUMENT.VLTN_CRRNCY
Este campo do Loan Tape é forçado a 'EUR', ou seja, já se encontra na formatação solicitada pelo SRB, não será necessário criar nenhuma parametrização para este campo.</t>
  </si>
  <si>
    <t>cd_captools.tat91_206</t>
  </si>
  <si>
    <t>tayd91c0_nelemc01</t>
  </si>
  <si>
    <t>V_69</t>
  </si>
  <si>
    <t>Valuation timestamp</t>
  </si>
  <si>
    <t>Date and time of the last valuation.</t>
  </si>
  <si>
    <t>Data e hora da última avaliação.</t>
  </si>
  <si>
    <t>INSTRUMENT-DT_VLTN</t>
  </si>
  <si>
    <t>Valuation date</t>
  </si>
  <si>
    <t>Date of the last valuation.</t>
  </si>
  <si>
    <t>val_timestamp</t>
  </si>
  <si>
    <t xml:space="preserve">LT002_INSTRUMENT.DT_VLTN
Nas tabelas do Loan Tape e no próprio ficheiro que é enviado para o BCE, as datas constam no formato YYYY-MM-DD.
Terá de se questionar a Corporação se se pode enviar no formato  YYYY-MM-DD (tal como hoje se envia no LT) ou se tem mesmo de ser nos formatos solicitados pelo SRB: 
DD/MM/AA, DD/MM/YY
Email Pedro Mendes (01/10/2024 12:21) com resposta da Corporação:
"Nosotros estamos haciendo la transformación para seguir el formato del SRB"
</t>
  </si>
  <si>
    <t>dt_vltn</t>
  </si>
  <si>
    <t>V_70</t>
  </si>
  <si>
    <t>Valuation type</t>
  </si>
  <si>
    <t>Indicate whether valuation was performed mark-to-market or markto- model.
Options:
‣ Mark-to-market (1)
‣ Mark-to-model (2)</t>
  </si>
  <si>
    <t>Indique se a avaliação foi realizada por marcação a mercado ou por modelo.
Opções:
‣ Mark-to-market (1)
‣ Mark-to-model (2)</t>
  </si>
  <si>
    <t>INSTRUMENT-VLTN_TYP</t>
  </si>
  <si>
    <t>Indicate whether valuation was performed mark-to-market or mark-to-model.</t>
  </si>
  <si>
    <t>val_type</t>
  </si>
  <si>
    <t>Mapeamento LT:
LT002_INSTRUMENT.VLTN_TYP
‣ Necessário criar novas parametrizaçôes nas tabelas lt829_regras_conversao e lt830_conversoes, podendo as mesmas ser consultadas neste documento nas sheets:
     ‣ LT829 - filtrando por campo_conceito = 'VLTN_TYP' e regra_conversao = '1';
     ‣ LT830 - filtrando por segmento = 'Debt securities' e campo_conceito = 'VLTN_TYP'.
Comentários IT:
O campo VLTN_TYP é obtido a partir do campo TIPO_AVAL da tabela CT610_TITULOS, os valores_origem possiveis podem ser consultados através da query:
SELECT DISTINCT TIPO_AVAL FROM cd_captools.CT610_TITULOS
Esta query retorna sempre: NULL
Os valores origem são posteriormente traduzidos pela tabela de parametrização LT803_CODIGOS_LT igualando o campo TIPO_AVAL ao  seu valor_origem, pode-se consultar a parametrização aplicada usando a query:
SELECT *  FROM cd_loan_tapes_bce.lt803_codigos_lt 
WHERE ref_date = (SELECT MAX(ref_date) FROM cd_loan_tapes_bce.lt803_codigos_lt ) 
AND campo_lt = 'VLTN_TYP'
Este acesso à tabela de parametrização retorna 0 resultados.
Segundo a análise feita acima, este campo não está corretamente implementado, será sempre Missing ou Not Applicable o que pode ser confirmado pela query:
SELECT DISTINCT VLTN_TYP FROM cd_loan_tapes_bce.lt002_instrument
É necessário perceber se este é o funcionamento esperado.</t>
  </si>
  <si>
    <t>‣dd_field_id = "70"</t>
  </si>
  <si>
    <t>‣ Tradução do campo "vltn_typ" através de uma ligação com o campo "dd_code" para obter o campo:
dd_value</t>
  </si>
  <si>
    <t>vltn_typ</t>
  </si>
  <si>
    <t>V_71</t>
  </si>
  <si>
    <t>Security characteristics</t>
  </si>
  <si>
    <t>Instrument class</t>
  </si>
  <si>
    <t>The class of the instrument according to ESA 2010.
Options based on ECB’s Securities Holding Statistics (field CL_SHS_INSTR_ESA2010)</t>
  </si>
  <si>
    <t>A classe do instrumento de acordo com SEC 2010.</t>
  </si>
  <si>
    <t>INSTRUMENT-INSTRMNT_CLSS</t>
  </si>
  <si>
    <t xml:space="preserve">The class of the instrument according to ESA 2010. </t>
  </si>
  <si>
    <t>instrument_class</t>
  </si>
  <si>
    <t>LT002_INSTRUMENT.INSTRMNT_CLSS
‣ Code-list igual ao pedido pelo BCE no Loan Tape Estrutural, pelo que não é necessário nenhuma parametrização adicional</t>
  </si>
  <si>
    <t xml:space="preserve">Alteração feita por Miguel Rodrigues: 03/12/2024  11:29:00 </t>
  </si>
  <si>
    <t>‣ dd_field_id = "71"</t>
  </si>
  <si>
    <t>‣ Tradução do campo "instrmnt_clss" através de uma ligação com o campo "dd_code" para obter o campo:
dd_value</t>
  </si>
  <si>
    <t>instrmnt_clss</t>
  </si>
  <si>
    <t>V_72</t>
  </si>
  <si>
    <t>Primary asset classification</t>
  </si>
  <si>
    <t>Type of instrument.
Options based on ECB’s Securities Holding Statistics (field CL_SHS_PRIMARY_ASSET_CLASS)</t>
  </si>
  <si>
    <t>Tipo de instrumento.</t>
  </si>
  <si>
    <t>INSTRUMENT-PRMRY_ASST_CLSSF</t>
  </si>
  <si>
    <t>Type of instrument.</t>
  </si>
  <si>
    <t>primary_asset_classification</t>
  </si>
  <si>
    <t>LT002_INSTRUMENT.PRMRY_ASST_CLSSF
‣ Parametrização igual à já existente na tabela LT803, não há necessidade de ações adicionais.</t>
  </si>
  <si>
    <t xml:space="preserve">Alteração feita por Miguel Rodrigues: 04/12/2024  11:12:00 </t>
  </si>
  <si>
    <t>‣ dd_field_id = "72"</t>
  </si>
  <si>
    <t>‣ Tradução do campo "prmry_asst_clssf" através de uma ligação com o campo "dd_code" para obter o campo:
dd_value</t>
  </si>
  <si>
    <t>prmry_asst_clssf</t>
  </si>
  <si>
    <t>V_73</t>
  </si>
  <si>
    <t>Asset securitisation class</t>
  </si>
  <si>
    <t>To be reported if the instrument is a securitisation or covered bond.
Options based on ECB’s Securities Holding Statistics (field CL_SHS_ASSET_SECURITISATION_TYP)</t>
  </si>
  <si>
    <t>A reportar se o instrumento for uma titularização ou uma obrigação coberta.</t>
  </si>
  <si>
    <t>INSTRUMENT-ASST_SCRT_CLSS</t>
  </si>
  <si>
    <t>To be reported if the instrument is a securitisation or covered bond.</t>
  </si>
  <si>
    <t>asset_scrty_class</t>
  </si>
  <si>
    <t>LT002_INSTRUMENT.ASST_SCRT_CLSS
‣ Parametrização igual à pedida pelo BCE no Loan Tape estrutural, houve necessidade de atualizar esta parametrização na tabela LT803. Esta parametrização atualizada pode ser consultada na sheet LT803 filtrando o campo 'campo_lt' por 'ASST_SCRT_CLSS'.</t>
  </si>
  <si>
    <t>‣ dd_field_id = "73"</t>
  </si>
  <si>
    <t>‣ Tradução do campo "asst_scrt_clss" através de uma ligação com o campo "dd_code" para obter o campo:
dd_value</t>
  </si>
  <si>
    <t>asst_scrt_clss</t>
  </si>
  <si>
    <t>V_74</t>
  </si>
  <si>
    <t>Type of placement</t>
  </si>
  <si>
    <t>Public or private. ‘Public’ refers to issuances in capital markets that have been allocated an ISIN. Private refers to securities structured for clients or other third parties that were sold bilaterally.
Options:
‣ Public (1)
‣ Private (2)</t>
  </si>
  <si>
    <t>Público ou privado. «Público» refere-se a emissões nos mercados de capitais às quais foi atribuído um ISIN. Privado refere-se a títulos estruturados para clientes ou outros terceiros que foram vendidos bilateralmente.
Opções:
‣ Public (1)
‣ Private (2)</t>
  </si>
  <si>
    <t>INSTRUMENT-TYPE_OF_PLCMNT</t>
  </si>
  <si>
    <t xml:space="preserve">Public or private. Public refers to issuances in capital markets that have been allocated an ISIN. Private refers to securities structured for clients or other third parties that were sold bilaterally </t>
  </si>
  <si>
    <t>placement_type</t>
  </si>
  <si>
    <t>LT002_INSTRUMENT.TYPE_OF_PLCMNT
‣ Necessário criar novas parametrizaçôes nas tabelas lt829_regras_conversao e lt830_conversoes, podendo as mesmas ser consultadas neste documento nas sheets:
     ‣ LT829 - filtrando por campo_conceito = 'TYPE_OF_PLCMNT' e regra_conversao = '1';
     ‣ LT830 - filtrando por segmento = 'Debt securities' e campo_conceito = 'TYPE_OF_PLCMNT'.</t>
  </si>
  <si>
    <t>Colocado  a 'Em desenvolvimento': 15/01/2025 (Miguel)</t>
  </si>
  <si>
    <t>tipo_oferta</t>
  </si>
  <si>
    <t>‣ Se o campo "tipo_oferta" for "Particular": 
     "Private (2)";
‣ Caso contrário:
     "Public (1)";</t>
  </si>
  <si>
    <t>V_75</t>
  </si>
  <si>
    <t>Issuance date</t>
  </si>
  <si>
    <t>Issuance date.</t>
  </si>
  <si>
    <t>Data de emissão.</t>
  </si>
  <si>
    <t>issuance_date</t>
  </si>
  <si>
    <t>dt_emissao</t>
  </si>
  <si>
    <t>V_76</t>
  </si>
  <si>
    <t>Maturity date</t>
  </si>
  <si>
    <t>Maturity date. Not applicable for perpetual instruments.</t>
  </si>
  <si>
    <t>Data de vencimento. Não aplicável para instrumentos perpétuos.</t>
  </si>
  <si>
    <t>dt_vencim</t>
  </si>
  <si>
    <t>V_77</t>
  </si>
  <si>
    <t>Guarantor ID</t>
  </si>
  <si>
    <t>Guarantor identifier if a guarantee has been provided.</t>
  </si>
  <si>
    <t>Identificador do fiador se tiver sido prestada uma garantia.</t>
  </si>
  <si>
    <t>INSTRUMENT-GRNTR_ID</t>
  </si>
  <si>
    <t>guarantor_id</t>
  </si>
  <si>
    <t>LT002_INSTRUMENT.GRNTR_ID
Nota: O input do campo do LT vai alterar no futuro</t>
  </si>
  <si>
    <t>‣ ref_date = data do report
‣ zcliente IS NOT NULL</t>
  </si>
  <si>
    <t>V_78</t>
  </si>
  <si>
    <t>Guarantor ID type</t>
  </si>
  <si>
    <t>Options based on ECB’s Securities Holding Statistics (field CL_SHS_ID_TYPE)</t>
  </si>
  <si>
    <t>INSTRUMENT-GRNTR_ID_TYP</t>
  </si>
  <si>
    <t>Type of guarantor identifier if a guarantee has been provided.</t>
  </si>
  <si>
    <t>guarantor_id_type</t>
  </si>
  <si>
    <t>LT002_INSTRUMENT.GRNTR_ID_TYP
Este campo é obtido a partir do campo ENTIDADE_GARANTE da tabela CT610_TITULOS e dos campos CNUM_DOC_IDENTIF2 e CTIPO_DOC_IDENTIF2 da tabela CT003_UNIV_CLI. O campo CTIPO_DOC_IDENTIF2 é traduzido pela tabela TAT91_TABELAS com acesso (tayd91c0_ctabela = '151') da qual se irá utilizar o campo TAYD91C0_CELEMTAB.
Numa primeira fase é calculada um campo intermédio TAX_ID através da regra:
CASE WHEN LENGTH(CAST(CAST(CNUM_DOC_IDENTIF2 AS INT) AS STRING)) = 9 AND TAYD91C0_CELEMTAB IS NOT NULL THEN CAST (CAST(CNUM_DOC_IDENTIF2 AS INT) AS STRING) ELSE 'MISS' END
Posteriormente serão utilizados os campos TAX_ID e ENTIDADE_GARANTE para calcular o campo GRNTR_ID_TYP segundo a regra:
CASE WHEN ENTIDADE_GARANTE &lt;&gt; 'N/A' AND TAX_ID &lt;&gt; 'MISS' THEN 'TAX' 
WHEN ENTIDADE_GARANTE &lt;&gt; 'N/A' AND TAX_ID = 'MISS' THEN 'OTHER'
Conclusão:
As unicas opcões que este campo pode tomar são "TAX" e "OTHER" (para além de ser Not Applicable ou Missing) que correspondem a duas das opções fornecidas pelo SRB, desta forma este campo deve ser dado como Concluído, sem necessidade de parametrização.</t>
  </si>
  <si>
    <t>grntr_id_typ</t>
  </si>
  <si>
    <t>V_79</t>
  </si>
  <si>
    <t>Rating of the security</t>
  </si>
  <si>
    <t>Credit rating of security. Rating of the security as of the cut-off date. In the event of multiple ratings, these should be separated by commas and the order should be the same as that relating to the rating thresholds that are reported in field XYZ. If not rated, enter ‘NR’.</t>
  </si>
  <si>
    <t>Classificação de crédito de segurança. Classificação do título na data de corte. No caso de classificações múltiplas, estas devem ser separadas por vírgulas e a ordem deve ser a mesma relativa aos limites de classificação que são reportados no campo XYZ. Se não for classificado, insira ‘NR’.</t>
  </si>
  <si>
    <t>INSTRUMENT-INTRNL_RTNG</t>
  </si>
  <si>
    <t>Internal rating grade at the reference date according to Regulation (EU) No 575/2013. Please also add in sheet "Code List" the list of values used for the bank-internal rating masterscale. If only the debtor is rated please report the debtor rating on all associated instruments.</t>
  </si>
  <si>
    <t>security_rating</t>
  </si>
  <si>
    <t>LT002_INSTRUMENT.INTRNL_RTNG</t>
  </si>
  <si>
    <t>V_80</t>
  </si>
  <si>
    <t>Instrument seniority type</t>
  </si>
  <si>
    <t>Instrument type according to its seniority.
Options based on ECB’s Securities Holding Statistics (field CL_SHS_SENIORITY_TYPE)</t>
  </si>
  <si>
    <t>Tipo de instrumento de acordo com sua antiguidade.</t>
  </si>
  <si>
    <t>INSTRUMENT-INSTR_SNRTY_CLSS</t>
  </si>
  <si>
    <t>Instrument type according to its seniority.</t>
  </si>
  <si>
    <t>instrument_seniority_type</t>
  </si>
  <si>
    <t>LT002_INSTRUMENT.INSTR_SNRTY_CLSS
Este campo não utiliza a tabela de parametrização LT803_CODIGOS_LT, e já é produzido com o detalhe que é pedido no mapeamento fornecido pelo SRB. A sua regra de preenchimento poderá ser consultada no documento de especificação do Loan Tape. 
Query para consultar os valores atribuidos a este campo ao dia de hoje:
SELECT DISTINCT INSTR_SNRTY_CLSS FROM cd_loan_tapes_bce.lt002_instrument
Conclusão: Este campo deve ser dado como Concluído.</t>
  </si>
  <si>
    <t>‣ dd_field_id = "80"</t>
  </si>
  <si>
    <t>‣ Tradução do campo "instr_snrty_clss" através de uma ligação com o campo "dd_code" para obter o campo:
dd_value</t>
  </si>
  <si>
    <t>instr_snrty_clss</t>
  </si>
  <si>
    <t>V_81</t>
  </si>
  <si>
    <t>Coupon type</t>
  </si>
  <si>
    <t>Type of coupon.
Options:
‣ Fixed (1)
‣ Floating (2)
‣ Zero coupon (3)
‣ Other (4)</t>
  </si>
  <si>
    <t>Tipo de cupom.
Opções:
‣ Fixed (1)
‣ Floating (2)
‣ Zero coupon (3)
‣ Other (4)</t>
  </si>
  <si>
    <t>coupon_type</t>
  </si>
  <si>
    <t>LT002_INSTRUMENT.TYP_INTRST_RT
‣ Necessário criar novas parametrizaçôes nas tabelas lt829_regras_conversao e lt830_conversoes, podendo as mesmas ser consultadas neste documento nas sheets:
     ‣ LT829 - filtrando por campo_conceito = 'TYP_INTRST_RT' e regra_conversao = '2';
     ‣ LT830 - filtrando por segmento = 'Exposures to natural persons' e campo_conceito = 'TYP_INTRST_RT'.</t>
  </si>
  <si>
    <t>tipo_tx</t>
  </si>
  <si>
    <t>‣  Se o campo "tipo_tx" for "FIXA":
     "Fixed";
‣  Se o campo "tipo_tx" for "VARIAVEL":
     "Floating";
‣  Se o campo "tx_fixa" for "0" e se o primeiro elemento do campo "sprd_tx_var" seprado por ";" for "0":
     "Zero coupon";
‣  Caso contrário:
     "Other";</t>
  </si>
  <si>
    <t>tx_fixa</t>
  </si>
  <si>
    <t>sprd_tx_var</t>
  </si>
  <si>
    <t>V_82</t>
  </si>
  <si>
    <t>Coupon frequency</t>
  </si>
  <si>
    <t>Frequency of coupon payment.
Options:
‣ Monthly (1)
‣ Semi-annual (2)
‣ Annual (3)
‣ Other (4)</t>
  </si>
  <si>
    <t>Frequência de pagamento do cupom.
Opções:
‣ Monthly (1)
‣ Semi-annual (2)
‣ Annual (3)
‣ Other (4)</t>
  </si>
  <si>
    <t>coupon_frequency</t>
  </si>
  <si>
    <t>LT002_INSTRUMENT.PYMNT_FRQNCY
‣ Necessário criar novas parametrizaçôes nas tabelas lt829_regras_conversao e lt830_conversoes, podendo as mesmas ser consultadas neste documento nas sheets:
     ‣ LT829 - filtrando por campo_conceito = 'PYMNT_FRQNCY' e regra_conversao = '2';
     ‣ LT830 - filtrando por segmento = 'Debt securities' e campo_conceito = 'PYMNT_FRQNCY'.</t>
  </si>
  <si>
    <t>frq_liq_jur</t>
  </si>
  <si>
    <t xml:space="preserve">‣ Se o primeiro caracter do campo "frq_liq_jur" for "M":
     "Monthly";
‣ Se o primeiro caracter do campo "frq_liq_jur" for "A":
     "Annual";
‣ Se o campo "frq_liq_jur" for "M06":
     "Semi-annual";
‣ Caso contrário:
     "Other";
</t>
  </si>
  <si>
    <t>V_83</t>
  </si>
  <si>
    <t>Coupon currency</t>
  </si>
  <si>
    <t>Currency in which the coupon is paid.
Options based on ISO 4217 Currency Codes</t>
  </si>
  <si>
    <t>Moeda em que o cupom é pago.</t>
  </si>
  <si>
    <t>INSTRUMENT-CPN_CRRNCY</t>
  </si>
  <si>
    <t xml:space="preserve">Coupon currency </t>
  </si>
  <si>
    <t>Currency in which the coupon is paid.</t>
  </si>
  <si>
    <t>coupon_currency</t>
  </si>
  <si>
    <t>LT002_INSTRUMENT.CPN_CRRNCY
Este campo lt é calculado a partir do campo CMOEDA_ACT da tabela AL029_CNT_CORE_M traduzido pelo campo tayd91c0_CELEMTAB da tabela tat91_tabelas filtrada para tayd91c0_ctabela = '206' ficando com o campo tayd91c0_nelemc01:
SELECT DISTINCT CMOEDA_ACT, TAYD91C0_NELEMC01
FROM
(
    SELECT DISTINCT TRIM(CMOEDA_ACT) as CMOEDA_ACT FROM cd_alm.AL029_CNT_CORE_M
) as a
LEFT JOIN 
(
    SELECT TAYD91C0_CELEMTAB, TAYD91C0_NELEMC01
    FROM cd_estruturais.tat91_tabelas
    WHERE data_date_part = (SELECT MAX(data_date_part) FROM cd_estruturais.tat91_tabelas)
    AND TAYD91C0_CTABELA = '206'
) as b
ON TRIM(TAYD91C0_CELEMTAB) = CMOEDA_ACT
Mas esta querie apenas apresenta os valores que já existiram em alguma altura no datalake e podem haver mais opções. A listagem total de valores possiveis de traduzir estão na tat91:
SELECT TAYD91C0_CELEMTAB, TAYD91C0_NELEMC01
FROM cd_estruturais.tat91_tabelas
WHERE data_date_part = (SELECT MAX(data_date_part) FROM cd_estruturais.tat91_tabelas)
AND TAYD91C0_CTABELA = '206'
Este acesso à tat91 dá-nos efetivamente o code list requisitado pelo SRB "ISO 4217 standard" ou seja a forma de ataque deste campo não tem de ser alterada nem se deverá inserir nada na tabela lt803 no que toca a este campo. 
Ou seja, este campo deve ser dado como concluído.</t>
  </si>
  <si>
    <t>‣  dd_field_id = "83"</t>
  </si>
  <si>
    <t>‣ Tradução do campo "tayd91c0_nelemc01" através de uma ligação com o campo "dd_code" para obter o campo:
dd_value</t>
  </si>
  <si>
    <t>V_84</t>
  </si>
  <si>
    <t>Coupon rate</t>
  </si>
  <si>
    <t>Coupon rate (if fixed).</t>
  </si>
  <si>
    <t>Taxa de cupom (se fixa).</t>
  </si>
  <si>
    <t>INSTRUMENT-CPN_RT</t>
  </si>
  <si>
    <t>coupon_rate</t>
  </si>
  <si>
    <t>LT002_INSTRUMENT.CPN_RT</t>
  </si>
  <si>
    <t>V_85</t>
  </si>
  <si>
    <t>Coupon rate (if floating).</t>
  </si>
  <si>
    <t>Taxa de cupom (se flutuante).</t>
  </si>
  <si>
    <t>INSTRUMENT-RFRNC_RT</t>
  </si>
  <si>
    <t>LT002_INSTRUMENT.RFRNC_RT</t>
  </si>
  <si>
    <t>tx_vigente</t>
  </si>
  <si>
    <t>V_86</t>
  </si>
  <si>
    <t>Spread</t>
  </si>
  <si>
    <t>Spread over the reference rate (if floating).</t>
  </si>
  <si>
    <t>Spread sobre a taxa de referência (se flutuante).</t>
  </si>
  <si>
    <t>INSTRUMENT-SPRD</t>
  </si>
  <si>
    <t>spread</t>
  </si>
  <si>
    <t>LT002_INSTRUMENT.SPRD
Nota: Este campo está mapeado com o mesmo que mapeamos para o V_149 da sheet Natural Person Instruments.(ou seja na realidade deveriam ter o mesmo id)</t>
  </si>
  <si>
    <t xml:space="preserve">‣ Traz apenas o primeiro elemento do campo "sprd_tx_var" seprado por ";" </t>
  </si>
  <si>
    <t>V_87</t>
  </si>
  <si>
    <t>Currency of the nominal amount</t>
  </si>
  <si>
    <t>Currency for expressing the nominal of the security.
Options based on ISO 4217 Currency Codes</t>
  </si>
  <si>
    <t>Moeda para expressar o nominal do título.</t>
  </si>
  <si>
    <t>nominal_amount_currency</t>
  </si>
  <si>
    <t>‣ dd_field_id = "87"</t>
  </si>
  <si>
    <t>V_88</t>
  </si>
  <si>
    <t>Use of security</t>
  </si>
  <si>
    <t>Purchased under resale agreement</t>
  </si>
  <si>
    <t>Indicate whether the security was purchased with an agreement to resell it at a later stage (e.g. reverse repo, collateral swap, etc.).
Options:
‣ Yes (1)
‣ No (2)</t>
  </si>
  <si>
    <t>Indique se o título foi adquirido com um acordo de revenda posterior (por exemplo, acordo de recompra inverso, swap de garantia, etc.).
Opções:
‣ Yes (1)
‣ No (2)</t>
  </si>
  <si>
    <t>INSTRUMENT-PRCH_UNDR_RSL_AGR</t>
  </si>
  <si>
    <t>Indicate weather the security was purchased with an agreement to resell it at a later stage (e.g. reverse repo, collateral swap, etc.).</t>
  </si>
  <si>
    <t>purchased_resale_agr</t>
  </si>
  <si>
    <t>LT002_INSTRUMENT.PRCH_UNDR_RSL_AGR
‣ Necessário criar novas parametrizaçôes nas tabelas lt829_regras_conversao e lt830_conversoes, podendo as mesmas ser consultadas neste documento nas sheets:
     ‣ LT829 - filtrando por campo_conceito = 'PRCH_UNDR_RSL_AGR' e regra_conversao = '1';
     ‣ LT830 - filtrando por segmento = 'Debt securities' e campo_conceito = 'PRCH_UNDR_RSL_AGR'.</t>
  </si>
  <si>
    <t>‣ dd_field_id = "88"</t>
  </si>
  <si>
    <t>‣ Tradução do campo "prch_undr_rsl_agr" através de uma ligação com o campo "dd_code" para obter o campo:
dd_value</t>
  </si>
  <si>
    <t>prch_undr_rsl_agr</t>
  </si>
  <si>
    <t>V_89</t>
  </si>
  <si>
    <t>Indicate the source of encumbrance for the security.
Options based on ECB’s Securities Holding Statistics (field CL_SHS_SRC_ENCMBRNC)</t>
  </si>
  <si>
    <t>Indique a fonte de oneração do título.</t>
  </si>
  <si>
    <t>INSTRUMENT-SRCS_ENCMBRNC</t>
  </si>
  <si>
    <t>Indicate the source of encumbrance for the security.</t>
  </si>
  <si>
    <t>sources_encumbrance</t>
  </si>
  <si>
    <t>Ver este campo em Natural Persons</t>
  </si>
  <si>
    <t>‣ dd_field_id = "89"</t>
  </si>
  <si>
    <t>‣ Tradução do campo "srcs_encmbrnc" através de uma ligação com o campo "dd_code" para obter o campo:
dd_value</t>
  </si>
  <si>
    <t>V_90</t>
  </si>
  <si>
    <t>Eligibility for standard central bank (ECB) operations</t>
  </si>
  <si>
    <t>Indicate whether the security meets the eligibility criteria for standard central bank (ECB) operations.
Options:
‣ Yes (1)
‣ No (2)</t>
  </si>
  <si>
    <t>Indique se o título cumpre os critérios de elegibilidade para operações normais do banco central (BCE).
Opções:
‣ Yes (1)
‣ No (2)</t>
  </si>
  <si>
    <t>INSTRUMENT-ELGBLTY_ECB</t>
  </si>
  <si>
    <t>Indicate whether the security meets the eligibility criteria for standard central bank (ECB) operations.</t>
  </si>
  <si>
    <t>eligibility_ecb</t>
  </si>
  <si>
    <t>LT002_INSTRUMENT.ELGBLTY_ECB
‣ Necessário criar novas parametrizaçôes nas tabelas lt829_regras_conversao e lt830_conversoes, podendo as mesmas ser consultadas neste documento nas sheets:
     ‣ LT829 - filtrando por campo_conceito = 'ELGBLTY_ECB' e regra_conversao = '1';
     ‣ LT830 - filtrando por segmento = 'Debt securities' e campo_conceito = 'ELGBLTY_ECB'.</t>
  </si>
  <si>
    <t>‣ dd_field_id = "91"</t>
  </si>
  <si>
    <t>‣ Tradução do campo "eleg_eurosistema" através de uma ligação com o campo "dd_code" para obter o campo:
dd_value</t>
  </si>
  <si>
    <t>eleg_eurosistema</t>
  </si>
  <si>
    <t>V_91</t>
  </si>
  <si>
    <t>Part of LCR buffer</t>
  </si>
  <si>
    <t>Indicate whether the security meets the eligibility criteria for standard central bank operations.
Options:
‣ Yes (1)
‣ No (2)</t>
  </si>
  <si>
    <t>Indique se o título atende aos critérios de elegibilidade para operações padrão do banco central.
Opções:
‣ Yes (1)
‣ No (2)</t>
  </si>
  <si>
    <t>INSTRUMENT-PRT_LCR_BFFR</t>
  </si>
  <si>
    <t>Indicate whether the security meets the eligibility criteria for LCR buffer.</t>
  </si>
  <si>
    <t>part_lcr_buffer</t>
  </si>
  <si>
    <t>LT002_INSTRUMENT.PRT_LCR_BFFR
‣ Necessário criar novas parametrizaçôes nas tabelas lt829_regras_conversao e lt830_conversoes, podendo as mesmas ser consultadas neste documento nas sheets:
     ‣ LT829 - filtrando por campo_conceito = 'PRT_LCR_BFFR' e regra_conversao = '1';
     ‣ LT830 - filtrando por segmento = 'Debt securities' e campo_conceito = 'PRT_LCR_BFFR'.</t>
  </si>
  <si>
    <t>V_92</t>
  </si>
  <si>
    <t>Category of LCR buffer</t>
  </si>
  <si>
    <t>Indicate which part of the LCR buffer the security was part of.
Options:
‣ L1 (1)
‣ L2A (2)
‣ L2B (3)</t>
  </si>
  <si>
    <t>Indique de qual parte do buffer LCR o título fazia parte.
Opções:
‣ L1 (1)
‣ L2A (2)
‣ L2B (3)</t>
  </si>
  <si>
    <t>INSTRUMENT-LCR_BFFR_CTGRY</t>
  </si>
  <si>
    <t>Indicate which part of the LCR buffer the security was part of.</t>
  </si>
  <si>
    <t>lcr_buffer_category</t>
  </si>
  <si>
    <t>LT002_INSTRUMENT.LCR_BFFR_CTGRY
‣ Necessário criar novas parametrizaçôes nas tabelas lt829_regras_conversao e lt830_conversoes, podendo as mesmas ser consultadas neste documento nas sheets:
     ‣ LT829 - filtrando por campo_conceito = 'LCR_BFFR_CTGRY' e regra_conversao = '1';
     ‣ LT830 - filtrando por segmento = 'Debt securities' e campo_conceito = 'LCR_BFFR_CTGRY'.</t>
  </si>
  <si>
    <t>grau_liquidez</t>
  </si>
  <si>
    <t>‣ Se o campo "grau_liquidez" tiver algum destes valores 'L1', 'L2A', 'L2B':
     grau_liquidez;
‣ Caso contrário:
     "";</t>
  </si>
  <si>
    <t>V_93</t>
  </si>
  <si>
    <t>Accounting classification of the instrument</t>
  </si>
  <si>
    <t>Accounting classification to the instrument according to the IFRS or national general accepted accounting principles (GAAP).
Options based on ECB’s Securities Holding Statistics (field CL_SHS_ACCNTNG_CLSSFCTN)</t>
  </si>
  <si>
    <t>Classificação contábil do instrumento de acordo com as IFRS ou princípios contábeis nacionais geralmente aceitos (GAAP).</t>
  </si>
  <si>
    <t>LT002_INSTRUMENT.ACCNTNG_CLSSFCTN
‣ Parametrização igual à já existente na tabela LT803, não há necessidade de ações adicionais.</t>
  </si>
  <si>
    <t xml:space="preserve">Alteração feita por Miguel Rodrigues: 08/01/2025  17:24:00 </t>
  </si>
  <si>
    <t>‣ dd_field_id = "93"</t>
  </si>
  <si>
    <t>V_94</t>
  </si>
  <si>
    <t>Performing status of the instrument: performing vs non-performing.
Options based on ECB’s Securities Holding Statistics (field CL_SHS_PRFRMNG_STTS)</t>
  </si>
  <si>
    <t>Status de execução do instrumento: em execução vs não em execução.</t>
  </si>
  <si>
    <t>perform_status</t>
  </si>
  <si>
    <t>Mapeamento LT:
LT002_INSTRUMENT.PRFRMNG_STTS
‣ Parametrização igual à já existente na tabela LT803, não há necessidade de ações adicionais.
Comentários IT:
O SRB dá uma opção para reportar Not Applicable, o valor '0', no entanto a corporação para o Valuation definiu valores genéricos para quando os campos são Not Applicable.
Confirmou-se com Pedro Mendes que se deve ignorar esta opção da code-list, valor '0',  reportando Not Applicables da forma que a corporação definiu e ficando alinhado com o resto dos campos do Loan Tapes.</t>
  </si>
  <si>
    <t xml:space="preserve">Alteração feita por Miguel Rodrigues: 11/12/2024  18:16:00 </t>
  </si>
  <si>
    <t>‣ Se o campo "stage" for '3':
     "NON-PERFORMING";
‣ Caso contrário:
     "PERFORMING";</t>
  </si>
  <si>
    <t>V_95</t>
  </si>
  <si>
    <t>Prudential portfolio of the instrument</t>
  </si>
  <si>
    <t>Indicate if the instrument is classified in the trading book or in the banking book for prudential purposes.
Options based on ECB’s Securities Holding Statistics (field CL_SHS_PRDNTL_PRTFL)</t>
  </si>
  <si>
    <t>Indicar se o instrumento está classificado na carteira de negociação ou na carteira bancária para efeitos prudenciais.</t>
  </si>
  <si>
    <t>INSTRUMENT-PRDNTL_PRTFL</t>
  </si>
  <si>
    <t xml:space="preserve">Indicate if the instrument is classified in the trading book or in the banking book for prudential purposes. </t>
  </si>
  <si>
    <t>Mapeamento LT:
LT002_INSTRUMENT.PRDNTL_PRTFL
‣ Parametrização igual à já existente na tabela LT803, não há necessidade de ações adicionais.
Comentários IT:
O SRB dá uma opção para reportar Not Applicable, o valor '0', no entanto a corporação para o Valuation definiu valores genéricos para quando os campos são Not Applicable.
Confirmou-se com Pedro Mendes que se deve ignorar esta opção da code-list, valor '0',  reportando Not Applicables da forma que a corporação definiu e ficando alinhado com o resto dos campos do Loan Tapes.</t>
  </si>
  <si>
    <t>‣ dd_field_id = "95"</t>
  </si>
  <si>
    <t>V_96</t>
  </si>
  <si>
    <t>ID do hedge se a posição fizer parte de um hedge econômico/contábil.</t>
  </si>
  <si>
    <t>INSTRUMENT-HEDGE_ID</t>
  </si>
  <si>
    <t>Hedge ID if the position is part of an economic/accounting hedge.</t>
  </si>
  <si>
    <t>The risk weight allocated to the instrument, calculated according to Articles 92(3) and 92(4) of Regulation (EU) No 575/2013 (CRR), where applicable.</t>
  </si>
  <si>
    <r>
      <rPr>
        <b/>
        <u/>
        <sz val="14"/>
        <color theme="1"/>
        <rFont val="Calibri"/>
        <family val="2"/>
        <scheme val="minor"/>
      </rPr>
      <t>SRB FINANCIAL ASSETS – EQUITY INSTRUMENTS DATA SET</t>
    </r>
    <r>
      <rPr>
        <b/>
        <sz val="11"/>
        <color theme="1"/>
        <rFont val="Calibri"/>
        <family val="2"/>
        <scheme val="minor"/>
      </rPr>
      <t xml:space="preserve">
The SRB Valuation Data Set for equity instruments covers data on participations in equity instruments issued by affiliates, subsidiaries or by other entities or corporations in which the reporting entity does not have a significant influence on its decisions. It combines data fields from the SHS Regulation and additional data points suitable for conducting valuations.
Será produzido o ficheiro:
‣  SRB FINANCIAL ASSETS – EQUITY INSTRUMENTS DATA SET (EQUITY_INSTRUMENTS);
</t>
    </r>
  </si>
  <si>
    <t>Implementação Deloitte (OLD) (OLD)</t>
  </si>
  <si>
    <t>Unique identifier for the equity investment security.</t>
  </si>
  <si>
    <t>Identificador exclusivo do título de investimento em ações.</t>
  </si>
  <si>
    <t>ISIN code.</t>
  </si>
  <si>
    <t>Código ISIN.</t>
  </si>
  <si>
    <t>Mapeamento LT:
Deverá ser usado o campo do Loan Tapes:
LT002_INSTRUMENT.ISIN
Com uma alteração na regra da N/A:
 - Se flag_inst_div = 0 (LT001_UNIV_OPER) AND flag_inst_cap = 0 (LT001_UNIV_OPER)
O campo 'flag_inst_cap' deverá ser adicionado à tabela LT001_UNIV_OPER para uso na lógica acima, com a seguinte regra: 
IF(cd_captools.fr802_pl_contas.instrumento_financeiro = 'instrumentos de capital', 1, 0)</t>
  </si>
  <si>
    <t>‣Direto</t>
  </si>
  <si>
    <t>Unique code (LEI where available) identifying the reporting counterparty (legal entity).</t>
  </si>
  <si>
    <t>Código único (LEI, quando disponível) que identifica a contraparte que reporta (entidade jurídica).</t>
  </si>
  <si>
    <t>Mapeamento LT:
Deverá ser usado o campo do Loan Tapes:
LT002_INSTRUMENT.ISSR_ID
Com uma alteração na regra da N/A:
 - Se flag_inst_div = 0 (LT001_UNIV_OPER) AND flag_inst_cap = 0 (LT001_UNIV_OPER)
O campo 'flag_inst_cap' deverá ser adicionado à tabela LT001_UNIV_OPER para uso na lógica acima, com a seguinte regra: 
IF(cd_captools.fr802_pl_contas.instrumento_financeiro = 'instrumentos de capital', 1, 0)</t>
  </si>
  <si>
    <t xml:space="preserve">12/11/2024: Dado como Concluído
09/12/2024: Revertido para Em desenvolvimento </t>
  </si>
  <si>
    <t>Type of code used to identify the issuer (legal entity).
Options based on ECB’s Securities Holding Statistics (field CL_SHS_ID_TYPE)</t>
  </si>
  <si>
    <t>Tipo de código utilizado para identificar o emissor (pessoa jurídica).</t>
  </si>
  <si>
    <t>type_issuer_id</t>
  </si>
  <si>
    <t>Mapeamento LT:
Deverá ser usado o campo do Loan Tapes:
LT002_INSTRUMENT.ISSR_ID_TYP
Com uma alteração na regra da N/A:
 - Se flag_inst_div = 0 (LT001_UNIV_OPER) AND flag_inst_cap = 0 (LT001_UNIV_OPER)
O campo 'flag_inst_cap' deverá ser adicionado à tabela LT001_UNIV_OPER para uso na lógica acima, com a seguinte regra: 
IF(cd_captools.fr802_pl_contas.instrumento_financeiro = 'instrumentos de capital', 1, 0)
Comentários IT:
Este campo é obtido aplicando a mesma metodologia de cruzamento aplicada ao campo ISSR_ID da tabela lt002_instrument e posteriormente verificando se o mesmo foi obtido a partir dos campos CLEI, CNUM_DOC_IDENTIF2 ou ZCLIENTE. Esta lógica está explicada no documento de especificação do Loan Tape onde também é indicado que este campo apenas pode tomar os valores 'LEI', 'TAX', 'OTHER' ou 'N/A', adicionalmente confirma-se este entendimento a partir da seguinte query:
SELECT DISTINCT ISSR_ID_TYP FROM cd_loan_tapes_bce.lt002_instrument
Os valores deste campo não passam pela tabela de parametrização LT803_CODIGOS_LT mas já vêm exatamente no formato pedido pelo SRB no documento 'ECB’s Securities Holding Statistics (field CL_SHS_ID_TYPE)'. 
Como tal é atribuído o estado Concluído.</t>
  </si>
  <si>
    <t>The country code of the country where the registered office of the issuer is located. To be completed only when no ISIN has been provided.
Options based on ECB’s Securities Holding Statistics (field CL_SHS_ISSUER_AREA)</t>
  </si>
  <si>
    <t>country_issuer</t>
  </si>
  <si>
    <t>Mapeamento LT:
Deverá ser usado o campo do Loan Tapes:
LT002_INSTRUMENT.ISSR_CNTRY
Com uma alteração na regra da N/A:
 - Se flag_inst_div = 0 (LT001_UNIV_OPER) AND flag_inst_cap = 0 (LT001_UNIV_OPER)
O campo 'flag_inst_cap' deverá ser adicionado à tabela LT001_UNIV_OPER para uso na lógica acima, com a seguinte regra: 
IF(cd_captools.fr802_pl_contas.instrumento_financeiro = 'instrumentos de capital', 1, 0)
Parametrização:
‣ Parametrização igual à pedida pelo BCE no Loan Tape estrutural;
‣ Pelos testes feitos, a parametrização que foi implementada na tabela LT803 mapeia o universo todo de contratos de DEBT_SECURITIES e EQUITY para os quais é possivel recuperar o 'cpais_residencia' da tabela ct003_univ_cli, pelo que esta parametrização se manterá inalterada;
‣ Nota 1: A parametrização que foi implementada na tabela LT803 não mapeia todos os códigos de pais que se encontram na tabela tat91_tabelas filtrando o campo tayd91c0_ctabela = '015', pelo que se a futuro passarem a vir valores a 'MISS' poderá ser necessário ajustar esta parametrização;
‣ Nota 2: No campo COUNTERPARTY_COUNTRY do universo DERIVATIVES é pedido exatamente o mesmo code-list que neste campo, e como é um campo novo a adicionar ao Loan Tape, foi feito o mapeamento de todos os códigos da tabela tat91_tabelas filtrando o campo tayd91c0_ctabela = '015', pelo que, caso venha a ser necessário atualizar esta parametrização, deve-se manter coerência com a parametrização aplicada no campo COUNTERPARTY_COUNTRY.</t>
  </si>
  <si>
    <t>ESA 2010 sector of the issuer.
Options based on ECB’s Securities Holding Statistics (field CL_SHS_ISSUER_ESA_2010)</t>
  </si>
  <si>
    <t>Setor SEC 2010 do emitente.</t>
  </si>
  <si>
    <t>Mapeamento LT:
Deverá ser usado o campo do Loan Tapes:
LT002_INSTRUMENT.ISSR_ESA_2010
Com uma alteração na regra da N/A:
 - Se flag_inst_div = 0 (LT001_UNIV_OPER) AND flag_inst_cap = 0 (LT001_UNIV_OPER)
O campo 'flag_inst_cap' deverá ser adicionado à tabela LT001_UNIV_OPER para uso na lógica acima, com a seguinte regra: 
IF(cd_captools.fr802_pl_contas.instrumento_financeiro = 'instrumentos de capital', 1, 0)
Parametrização:
‣ Parametrização igual à pedida pelo BCE no Loan Tape estrutural, houve necessidade de atualizar esta parametrização na tabela LT803. Esta parametrização atualizada pode ser consultada na sheet LT803 filtrando o campo 'campo_lt' por 'ISSR_ESA_2010'.</t>
  </si>
  <si>
    <t>Sector according to the NACE classification.
Options based on ECB’s Securities Holding Statistics (field CL_SHS_NACE)</t>
  </si>
  <si>
    <t xml:space="preserve">Mapeamento LT:
Deverá ser usado o campo do Loan Tapes:
LT002_INSTRUMENT.ISSR_NACE_SCTR
Com uma alteração na regra da N/A:
 - Se flag_inst_div = 0 (LT001_UNIV_OPER) AND flag_inst_cap = 0 (LT001_UNIV_OPER)
O campo 'flag_inst_cap' deverá ser adicionado à tabela LT001_UNIV_OPER para uso na lógica acima, com a seguinte regra: 
IF(cd_captools.fr802_pl_contas.instrumento_financeiro = 'instrumentos de capital', 1, 0)
Parametrização:
‣ Necessário criar novas parametrizaçôes nas tabelas lt829_regras_conversao e lt830_conversoes, podendo as mesmas ser consultadas neste documento nas sheets:
     ‣ LT829 - filtrando por campo_conceito = 'ISSR_NACE_SCTR' e regra_conversao = '1';
     ‣ LT830 - filtrando por segmento = 'Equity' e campo_conceito = 'ISSR_NACE_SCTR'.
</t>
  </si>
  <si>
    <t>Issuer characteristics</t>
  </si>
  <si>
    <t>Rating of counterparty as of the cut-off date. In the event of multiple ratings, these should be separated by commas and the order should be the same as that relating to the rating thresholds reported in field XYZ. If not rated, enter ‘NR’.</t>
  </si>
  <si>
    <t xml:space="preserve"> Rating da contraparte na data de corte. No caso de múltiplas classificações, estas devem ser separadas por vírgula, e a ordem deve ser a mesma relativa aos limites de classificação que são reportados no campo XYZ. Se não for classificado, insira ‘NR’.</t>
  </si>
  <si>
    <t>Mapeamento LT:
Deverá ser usado o campo do Loan Tapes:
LT002_INSTRUMENT.ISSR_RTNG
Com uma alteração na regra da N/A:
 - Se flag_inst_div = 0 (LT001_UNIV_OPER) AND flag_inst_cap = 0 (LT001_UNIV_OPER)
O campo 'flag_inst_cap' deverá ser adicionado à tabela LT001_UNIV_OPER para uso na lógica acima, com a seguinte regra: 
IF(cd_captools.fr802_pl_contas.instrumento_financeiro = 'instrumentos de capital', 1, 0)</t>
  </si>
  <si>
    <t>Issuer Rating(s) Source(S)</t>
  </si>
  <si>
    <t>The name of the agency providing the rating. In the event of multiple ratings, the sources should be separated by commas and their order should be the same as the thresholds and ratings provided in other fields.</t>
  </si>
  <si>
    <t>Mapeamento LT:
Deverá ser usado o campo do Loan Tapes:
LT002_INSTRUMENT.ISSR_RTNG_SRC
Com uma alteração na regra da N/A:
 - Se flag_inst_div = 0 (LT001_UNIV_OPER) AND flag_inst_cap = 0 (LT001_UNIV_OPER)
O campo 'flag_inst_cap' deverá ser adicionado à tabela LT001_UNIV_OPER para uso na lógica acima, com a seguinte regra: 
IF(cd_captools.fr802_pl_contas.instrumento_financeiro = 'instrumentos de capital', 1, 0)
Comentários IT:
Nota: Atualmente este campo do Loan Tape apenas apresenta os valores: 'MISS' ou 'N/A'. Está a ser alimentado pela ct619_ratings, contudo,  esta tabela não está a ser aprovisionada. Portanto, no futuro terá de se identificar a fonte da verdade desta informação para se aprovisionar a tabela ct619_ratings.</t>
  </si>
  <si>
    <t>Other group entity’ refers to entities which form part of the same group as the bank (inter-affiliate exposures). ‘Third party’ refers to external parties.
Options:
‣ Other group entity (1)
‣ Third party (2)</t>
  </si>
  <si>
    <t>type_issuer</t>
  </si>
  <si>
    <t xml:space="preserve">Mapeamento LT:
Deverá ser usado o campo do Loan Tapes:
LT002_INSTRUMENT.ISSR_TYP
Com uma alteração na regra da N/A:
 - Se flag_inst_div = 0 (LT001_UNIV_OPER) AND flag_inst_cap = 0 (LT001_UNIV_OPER)
O campo 'flag_inst_cap' deverá ser adicionado à tabela LT001_UNIV_OPER para uso na lógica acima, com a seguinte regra: 
IF(cd_captools.fr802_pl_contas.instrumento_financeiro = 'instrumentos de capital', 1, 0)
Parametrização:
‣ Necessário criar novas parametrizaçôes nas tabelas lt829_regras_conversao e lt830_conversoes, podendo as mesmas ser consultadas neste documento nas sheets:
     ‣ LT829 - filtrando por campo_conceito = 'ISSR_TYP' e regra_conversao = '1';
     ‣ LT830 - filtrando por segmento = 'Equity' e campo_conceito = 'ISSR_TYP'.
</t>
  </si>
  <si>
    <t>Mapeamento LT:
Deverá ser usado o campo do Loan Tapes:
LT002_INSTRUMENT.VLTN_CRRNCY
Com uma alteração na regra da N/A:
 - Se flag_inst_div = 0 (LT001_UNIV_OPER) AND flag_inst_cap = 0 (LT001_UNIV_OPER)
O campo 'flag_inst_cap' deverá ser adicionado à tabela LT001_UNIV_OPER para uso na lógica acima, com a seguinte regra: 
IF(cd_captools.fr802_pl_contas.instrumento_financeiro = 'instrumentos de capital', 1, 0)
Este campo do Loan Tape é forçado a 'EUR', ou seja, já se encontra na formatação solicitada pelo SRB, não será necessário criar nenhuma parametrização para este campo.</t>
  </si>
  <si>
    <t>Mapeamento LT:
Deverá ser usado o campo do Loan Tapes:
LT002_INSTRUMENT.DT_VLTN
Com uma alteração na regra da N/A:
 - Se flag_inst_div = 0 (LT001_UNIV_OPER) AND flag_inst_cap = 0 (LT001_UNIV_OPER)
O campo 'flag_inst_cap' deverá ser adicionado à tabela LT001_UNIV_OPER para uso na lógica acima, com a seguinte regra: 
IF(cd_captools.fr802_pl_contas.instrumento_financeiro = 'instrumentos de capital', 1, 0)
Nota: O campos será produzido com o formato de datas standard do Loan Tape (YYYY-MM-DD) mas deverá ser exporatdo no formato DD/MM/YY.
Comentários IT:
Nas tabelas do Loan Tape e no próprio ficheiro que é enviado para o BCE, as datas constam no fomato YYYY-MM-DD.
Terá de se questionar a Corporação se se pode enviar no formato  YYYY-MM-DD (tal como hoje se envia no LT) ou se tem mesmo de ser nos formatos solicitados pelo SRB: 
DD/MM/AA, DD/MM/YY
Email Pedro Mendes (01/10/2024 12:21) com resposta da Corporação:
"Nosotros estamos haciendo la transformación para seguir el formato del SRB"</t>
  </si>
  <si>
    <t>Indicate whether the valuation was performed mark-to-market or mark-to-model.
Options:
‣ Mark-to-market (1)
‣ Mark-to-model (2)</t>
  </si>
  <si>
    <t>Mapeamento LT:
Deverá ser usado o campo do Loan Tapes:
LT002_INSTRUMENT.VLTN_TYP
Com uma alteração na regra da N/A:
 - Se flag_inst_div = 0 (LT001_UNIV_OPER) AND flag_inst_cap = 0 (LT001_UNIV_OPER)
O campo 'flag_inst_cap' deverá ser adicionado à tabela LT001_UNIV_OPER para uso na lógica acima, com a seguinte regra: 
IF(cd_captools.fr802_pl_contas.instrumento_financeiro = 'instrumentos de capital', 1, 0)
Parametrização:
‣ Necessário criar novas parametrizaçôes nas tabelas lt829_regras_conversao e lt830_conversoes, podendo as mesmas ser consultadas neste documento nas sheets:
     ‣ LT829 - filtrando por campo_conceito = 'VLTN_TYP' e regra_conversao = '1';
     ‣ LT830 - filtrando por segmento = 'Equity' e campo_conceito = 'VLTN_TYP'.
Comentários IT:
O campo VLTN_TYP é obtido a partir do campo TIPO_AVAL da tabela CT610_TITULOS, os valores_origem possiveis podem ser consultados através da query:
SELECT DISTINCT TIPO_AVAL FROM cd_captools.CT610_TITULOS
Esta query retorna sempre: NULL
Os valores origem são posteriormente traduzidos pela tabela de parametrização LT803_CODIGOS_LT igualando o campo TIPO_AVAL ao  seu valor_origem, pode-se consultar a parametrização aplicada usando a query:
SELECT *  FROM cd_loan_tapes_bce.lt803_codigos_lt 
WHERE ref_date = (SELECT MAX(ref_date) FROM cd_loan_tapes_bce.lt803_codigos_lt ) 
AND campo_lt = 'VLTN_TYP'
Este acesso à tabela de parametrização retorna 0 resultados.
Segundo a análise feita acima, este campo não está corretamente implementado, será sempre Missing ou Not Applicable o que pode ser confirmado pela query:
SELECT DISTINCT VLTN_TYP FROM cd_loan_tapes_bce.lt002_instrument
É necessário perceber se este é o funcionamento esperado.</t>
  </si>
  <si>
    <t>‣ dd_field_id = "70"</t>
  </si>
  <si>
    <t>‣ Tradução do campo "vltn_typ" através de uma ligação com o campo "dd_code" para obter o campo:
     dd_value</t>
  </si>
  <si>
    <t>V_97</t>
  </si>
  <si>
    <t>Dividend yield</t>
  </si>
  <si>
    <t>Average expected yearly dividends over the next three years.
Options:
‣ Yes (1)
‣ No (2)</t>
  </si>
  <si>
    <t>Dividendos anuais médios esperados nos próximos três anos.
Opções:
‣ Yes (1)
‣ No (2)</t>
  </si>
  <si>
    <t>dividend_yield</t>
  </si>
  <si>
    <t>Mapeamento LT:
Novo campo: valor 'MISS' para Equity e 'N/A' os restantes. Ou seja, a regra a aplicar estará dependente da definição do Universo de Equity Instruments.
Comentário IT:
Único campo que não existe no ficheiro Debt Securities (todos os outros existem)</t>
  </si>
  <si>
    <t>Part of LCR
buffer</t>
  </si>
  <si>
    <t>Mapeamento LT:
Deverá ser usado o campo do Loan Tapes:
LT002_INSTRUMENT.PRT_LCR_BFFR
Com uma alteração na regra da N/A:
 - Se flag_inst_div = 0 (LT001_UNIV_OPER) AND flag_inst_cap = 0 (LT001_UNIV_OPER)
O campo 'flag_inst_cap' deverá ser adicionado à tabela LT001_UNIV_OPER para uso na lógica acima, com a seguinte regra: 
IF(cd_captools.fr802_pl_contas.instrumento_financeiro = 'instrumentos de capital', 1, 0)
‣ Necessário criar novas parametrizaçôes nas tabelas lt829_regras_conversao e lt830_conversoes, podendo as mesmas ser consultadas neste documento nas sheets:
     ‣ LT829 - filtrando por campo_conceito = 'PRT_LCR_BFFR' e regra_conversao = '1';
     ‣ LT830 - filtrando por segmento = 'Equity' e campo_conceito = 'PRT_LCR_BFFR'.</t>
  </si>
  <si>
    <t>Accounting classification of the instrument according to the IFRS or National GAAP.
Options based on ECB’s Securities Holding Statistics (field CL_SHS_ACCNTNG_CLSSFCTN)</t>
  </si>
  <si>
    <t>Prudential portfolio of the
instrument</t>
  </si>
  <si>
    <t>Mapeamento LT:
Deverá ser usado o campo do Loan Tapes:
LT002_INSTRUMENT.PRDNTL_PRTFL
Com uma alteração na regra da N/A:
 - Se flag_inst_div = 0 (LT001_UNIV_OPER) AND flag_inst_cap = 0 (LT001_UNIV_OPER)
O campo 'flag_inst_cap' deverá ser adicionado à tabela LT001_UNIV_OPER para uso na lógica acima, com a seguinte regra: 
IF(cd_captools.fr802_pl_contas.instrumento_financeiro = 'instrumentos de capital', 1, 0)
‣ Parametrização igual à já existente na tabela LT803, não há necessidade de ações adicionais.
Comentários IT:
O SRB dá uma opção para reportar Not Applicable, o valor '0', no entanto a corporação para o Valuation definiu valores genéricos para quando os campos são Not Applicable.
Confirmou-se com Pedro Mendes que se deve ignorar esta opção da code-list, valor '0',  reportando Not Applicables da forma que a corporação definiu e ficando alinhado com o resto dos campos do Loan Tapes.</t>
  </si>
  <si>
    <r>
      <rPr>
        <b/>
        <u/>
        <sz val="14"/>
        <color theme="1"/>
        <rFont val="Calibri"/>
        <family val="2"/>
        <scheme val="minor"/>
      </rPr>
      <t>SRB DATA SET FOR DEFERRED TAX ASSETS/CREDIT</t>
    </r>
    <r>
      <rPr>
        <b/>
        <sz val="11"/>
        <color theme="1"/>
        <rFont val="Calibri"/>
        <family val="2"/>
        <scheme val="minor"/>
      </rPr>
      <t xml:space="preserve">
An entity in resolution may have accumulated deferred tax assets and credit as a result of past losses. Therefore, institutions with material amounts of deferred tax assets or deferred tax credit should keep records of detailed information, as defined in the list below.
Será produzido o ficheiro:
‣  SRB DATA SET FOR DEFERRED TAX ASSETS/CREDIT ( DTA DTC );
</t>
    </r>
  </si>
  <si>
    <t>V_98</t>
  </si>
  <si>
    <t>DTA</t>
  </si>
  <si>
    <t>Tax group</t>
  </si>
  <si>
    <t>Group or tax group where the DTA/DTC is recognised.</t>
  </si>
  <si>
    <t>Campo produzido pela Contabilidade</t>
  </si>
  <si>
    <t>V_99</t>
  </si>
  <si>
    <t>Jurisdiction</t>
  </si>
  <si>
    <t>The tax jurisdiction in which the DTA/DTC is recognised.</t>
  </si>
  <si>
    <t>Campo produzido manualmente pela Contabilidade</t>
  </si>
  <si>
    <t>V_100</t>
  </si>
  <si>
    <t>Tax rate</t>
  </si>
  <si>
    <t>Current relevant tax rate.</t>
  </si>
  <si>
    <t>V_101</t>
  </si>
  <si>
    <t>Profit of relevant tax group</t>
  </si>
  <si>
    <t>Profit of relevant tax group as per last account reported.</t>
  </si>
  <si>
    <t>V_102</t>
  </si>
  <si>
    <t>Existence of a cap on DTA/DTC recognition</t>
  </si>
  <si>
    <t>Is tax group subject to a cap or limit (established in tax regulations) on the total value of DTA/DTC that it can recognise?
Opções:
‣ Yes (1)
‣ No (2)</t>
  </si>
  <si>
    <t>V_103</t>
  </si>
  <si>
    <t>Origin</t>
  </si>
  <si>
    <t>DTA/DTC due to losses</t>
  </si>
  <si>
    <t>Value of recognised DTA/DTC due to losses.</t>
  </si>
  <si>
    <t>V_104</t>
  </si>
  <si>
    <t>DTA/DTC due to temporary differences</t>
  </si>
  <si>
    <t>Value of recognised DTA/DTC due to temporary differences.</t>
  </si>
  <si>
    <t>V_105</t>
  </si>
  <si>
    <t>Conditions</t>
  </si>
  <si>
    <t>DTA/DTC conditional on future profitability</t>
  </si>
  <si>
    <t>Value of recognised DTA/DTC with a conditionality on future profitability of the tax group.</t>
  </si>
  <si>
    <t>V_106</t>
  </si>
  <si>
    <t>DTA/DTC not conditional on future profitability</t>
  </si>
  <si>
    <t>Value of recognised DTA/DTC without conditionality on future profitability of the tax group.</t>
  </si>
  <si>
    <t>V_107</t>
  </si>
  <si>
    <t>DTA/DTC subject to other conditions</t>
  </si>
  <si>
    <t>Value of recognised DTA/DTC subject to conditions other than future profitability of the tax group.</t>
  </si>
  <si>
    <t>V_108</t>
  </si>
  <si>
    <t>Expiry date of DTA</t>
  </si>
  <si>
    <t>DTA/DTC without an expiry date</t>
  </si>
  <si>
    <t>Value of recognised DTA/DTC without an expiry date.</t>
  </si>
  <si>
    <t>V_109</t>
  </si>
  <si>
    <t>DTA/DTC expiring within a year</t>
  </si>
  <si>
    <t>Value of recognised DTA/DTC with an expiry date of less than 1 year.</t>
  </si>
  <si>
    <t>V_110</t>
  </si>
  <si>
    <t>DTA/DTC expiring within one to two years</t>
  </si>
  <si>
    <t>Value of recognised DTA/DTC with an expiry date of more than 1 but less than 2 years.</t>
  </si>
  <si>
    <t>V_111</t>
  </si>
  <si>
    <t>DTA/DTC expiring within two to three years</t>
  </si>
  <si>
    <t>Value of recognised DTA/DTC with an expiry date of more than 2 but less than 3 years.</t>
  </si>
  <si>
    <t>V_112</t>
  </si>
  <si>
    <t>DTA/DTC expiring within three to four years</t>
  </si>
  <si>
    <t>Value of recognised DTA/DTC with an expiry date of more than 3 but less than 4 years.</t>
  </si>
  <si>
    <t>V_113</t>
  </si>
  <si>
    <t>DTA/DTC expiring within four to five years</t>
  </si>
  <si>
    <t>Value of recognised DTA/DTC with an expiry date of more than 4 but less than 5 years.</t>
  </si>
  <si>
    <t>V_114</t>
  </si>
  <si>
    <t>DTA/DTC expiring in more than five years</t>
  </si>
  <si>
    <t>Value of recognised DTA/DTC with an expiry date of more than 5 years.</t>
  </si>
  <si>
    <r>
      <rPr>
        <b/>
        <u/>
        <sz val="14"/>
        <color theme="1"/>
        <rFont val="Calibri"/>
        <family val="2"/>
        <scheme val="minor"/>
      </rPr>
      <t>SRB DATA SET FOR INTANGIBLE ASSETS</t>
    </r>
    <r>
      <rPr>
        <b/>
        <sz val="11"/>
        <color theme="1"/>
        <rFont val="Calibri"/>
        <family val="2"/>
        <scheme val="minor"/>
      </rPr>
      <t xml:space="preserve">
The data set below lists the data items to cover intangible assets. The SRB Valuation Data Set for intangible assets should be applicable for each individual credit institution based on the size of intangible assets in its balance sheet. It is important to note that intangibles (e.g. goodwill) usually arise in acquisition. Therefore, for certain types of intangibles, the consolidated view may be relevant.
Será produzido o ficheiro:
‣  SRB DATA SET FOR INTANGIBLE ASSETS ( INTANGIBLE ASSETS );
</t>
    </r>
  </si>
  <si>
    <t xml:space="preserve">             </t>
  </si>
  <si>
    <t>V_115</t>
  </si>
  <si>
    <t>Asset identifier ID</t>
  </si>
  <si>
    <t>Unique identifier for the asset.</t>
  </si>
  <si>
    <t>V_116</t>
  </si>
  <si>
    <t>Asset characteristics</t>
  </si>
  <si>
    <t>Intangible asset class</t>
  </si>
  <si>
    <t>Options:
‣ Brands (1)
‣ Tradenames (2)
‣ Internet domain names (3)
‣ Contracts (4)
‣ Customer contracts and related relationships (5)
‣ Customer lists (6)
‣ Investment management agreements (7)
‣ Internally developed software (8)
‣ Patented software and technology (9)
‣ Unpatented software and technology (10)
‣ Databases / developed information (11)
‣ Non-compete agreements (12)
‣ Other (please identify) (13)</t>
  </si>
  <si>
    <t>V_117</t>
  </si>
  <si>
    <t>Acquisition/capitalisation date</t>
  </si>
  <si>
    <t>Date on which the asset was originally acquired/capitalised.</t>
  </si>
  <si>
    <t>V_118</t>
  </si>
  <si>
    <t>Initial fair value</t>
  </si>
  <si>
    <t>Fair value estimated on acquisition / capitalisation date.</t>
  </si>
  <si>
    <t>V_119</t>
  </si>
  <si>
    <t>Cumulative amortisation</t>
  </si>
  <si>
    <t>Cumulative amortisation since acquisition/capitalisation date, where the asset is amortised.</t>
  </si>
  <si>
    <t>V_120</t>
  </si>
  <si>
    <t>Impairment amount</t>
  </si>
  <si>
    <t>Accumulated impairment where the asset is subject to an impairment test.
The amount of loss allowances that are held against or are allocated to financial assets or off balance sheet items on the cut off date. This data field applies to financial assets subject to impairment under the applied accounting standards (IFRS or national GAAP). If the instrument is not subject to impairment, put ‘not applicable’. If the impairment is ‘collectively assessed’, the accumulated impairment amount that is determined for the total pool is allocated to each financial asset of the pool in proportion to its gross carrying amount in line with the applied accounting standard. The accumulated impairment amount must be defined in line with paragraphs 11, 69, 71 and 110 of Part 2 of Annex V to Council Implementing Regulation (EU) No 680/2014 (FINREP).</t>
  </si>
  <si>
    <t>V_121</t>
  </si>
  <si>
    <t>Current carrying amount</t>
  </si>
  <si>
    <t>The carrying amount of the asset as of the cut-off date.</t>
  </si>
  <si>
    <t>V_122</t>
  </si>
  <si>
    <t>The currency in which the acquisition, costs, impairment and carrying amount are estimated.
Options:
ISO 4217 Currency Codes</t>
  </si>
  <si>
    <t>V_123</t>
  </si>
  <si>
    <t>Original accounting life</t>
  </si>
  <si>
    <t>The accounting life used for amortisation purposes (as of the acquisition date).</t>
  </si>
  <si>
    <t>V_125</t>
  </si>
  <si>
    <t>Remaining economic life</t>
  </si>
  <si>
    <t>The remaining useful economic life (until the asset is considered economically obsolete).</t>
  </si>
  <si>
    <t>V_126</t>
  </si>
  <si>
    <t>Approach to determining carrying amount</t>
  </si>
  <si>
    <t>The valuation approach or method used to determine the carrying amount of the asset.
Options:
‣ Full appraisal (1)
‣ Drive-by (2)
‣ Automated Valuation model (3)
‣ Indexed (4)
‣ Desktop (5)
‣ Managing or Estate agent (6)
‣ Purchase price (7)
‣ Hair cut (8)
‣ Mark to market (9)
‣ Counterparties valuation (10)
‣ Cost model (i.e. value equals cost minus depreciation) (11)
‣ Other (12)</t>
  </si>
  <si>
    <t>Valuation information</t>
  </si>
  <si>
    <t>V_127</t>
  </si>
  <si>
    <t>Internal/External Latest Valuation</t>
  </si>
  <si>
    <t>Indicate as to whether the latest valuation was performed internally or by an external appraiser.
Options:
(1) Internal
(2) External</t>
  </si>
  <si>
    <t>Valuation - Sheet</t>
  </si>
  <si>
    <t>Valuation - Campo</t>
  </si>
  <si>
    <t>campo_lt</t>
  </si>
  <si>
    <t>valor_origem</t>
  </si>
  <si>
    <t>valor_lt_proposto</t>
  </si>
  <si>
    <t>descritivo_lt</t>
  </si>
  <si>
    <t>Comentários</t>
  </si>
  <si>
    <t>Análise</t>
  </si>
  <si>
    <t>LEGALP_INSTRUMENTS; NATURALP_INSTRUMENT; OFFBAL_INSTRUMNT</t>
  </si>
  <si>
    <t>MISS ou N/A</t>
  </si>
  <si>
    <t>O que se deverá reportar quando o valor origem é vazio ''?</t>
  </si>
  <si>
    <t>Este campo é obtido a partir do campo CONTRAPARTE da tabela FR004_CTO. Os valores_origem possíveis podem ser consultados através da query:
SELECT DISTINCT CONTRAPARTE FROM cd_captools.FR004_CTO
Esta query tem as seguintes opções: '', 'bancos centrais', 'instituicoes de credito', 'outras empresas nao financeiras', 'outras instituicoes financeiras', 'particulares', 'resto setores / clientes', 'setor publico'
Estas opções não correspondem às pedidas pelo SRB, desta forma é feita aqui uma proposta de mapeamento a ser inserido na tabela LT803_CODIGOS_LT.
Preocupação: Este campo não passa pela tabela LT803_CODIGOS_LT, é necessário encontrar uma forma de contornar este problema.
Sugestões:
-Criar um campo novo na wallet do Loan Tapes que seja alimentado diretamente pelo campo INTRNL_SGMNT e que passe pela tabela LT803_CODIGOS_LT com o mapeamento proposto aqui.
- Alterar o cálculo do campo INTRNL_SGMNT de forma a passar pela tabela LT803_CODIGOS_LT, sendo que para os âmbitos já existentes o valor_lt será igual ao valor_origem, e para o âmbito do report Valuation nos segmentos 'LEGALP_INSTRUMENTS', 'NATURALP_INSTRUMENT', 'OFFBAL_INSTRUMNT' aplicar o mapeamento aqui proposto.</t>
  </si>
  <si>
    <t>outras instituicoes financeiras</t>
  </si>
  <si>
    <t>Other financial corporations</t>
  </si>
  <si>
    <t> </t>
  </si>
  <si>
    <t>outras empresas nao financeiras</t>
  </si>
  <si>
    <t>Non-financial corporations</t>
  </si>
  <si>
    <t>particulares</t>
  </si>
  <si>
    <t>Households</t>
  </si>
  <si>
    <t>bancos centrais</t>
  </si>
  <si>
    <t>Central banks</t>
  </si>
  <si>
    <t>instituicoes de credito</t>
  </si>
  <si>
    <t>Credit institutions</t>
  </si>
  <si>
    <t>setor publico</t>
  </si>
  <si>
    <t>Central governments</t>
  </si>
  <si>
    <t>resto setores / clientes</t>
  </si>
  <si>
    <t>???????????????</t>
  </si>
  <si>
    <t>O que se deverá reportar quando o valor origem é 'resto setores / clientes'?</t>
  </si>
  <si>
    <t>LEGALP_PROTECTIONS; NATURALP_PROTECTIONS; OFFBAL_PROTECTIONS</t>
  </si>
  <si>
    <t>Life insurance policies pledged</t>
  </si>
  <si>
    <t>Este valor_origem não existe na tabela fonte LT816_PARAM_PRT</t>
  </si>
  <si>
    <t>Este campo é obtido a partir do campo CFINBEM da tabela GT009_BENS_IMOV e do campo CTRATCTA da tabela GT003_TRZ_GT_FIN. Estes campos são usados como input da tabela LT816_PARAM_PRT da qual se traz o campo VALOR_LT que corresponde ao TYP_PRTCTN. Os valores que o campo TYP_PRTCTN pode tomar podem ser consultados a partir da query:
SELECT * FROM cd_loan_tapes_bce.lt816_param_prt
WHERE ref_date = (SELECT MAX(ref_date) FROM cd_loan_tapes_bce.lt816_param_prt  )
AND campo = 'TYP_PRTCTN'
Esta query retorna as seguintes opções: '5', '7', '8', '9', '10', '12', '15', '18'
Estas opções não correspondem às pedidas pelo SRB. Embora o cálculo deste campo não passe pela tabela LT803_CODIGOS_LT, esta tem um acesso onde campo_lt = 'TYP_PRTCTN'. Assim, com base nesse acesso, é feita uma proposta de mapeamento a ser inserido na tabela LT803_CODIGOS_LT. Ver query:
SELECT DISTINCT valor_lt, descritivo_lt FROM cd_loan_tapes_bce.lt803_codigos_lt
WHERE ref_date = (SELECT MAX(ref_date) FROM cd_loan_tapes_bce.lt803_codigos_lt )
AND campo_lt = 'TYP_PRTCTN'
Preocupação: Este campo não passa pela tabela LT803_CODIGOS_LT, é necessário encontra uma forma de contornar este problema.
Sugestões:
-Criar um campo novo na wallet do Loan Tapes que seja alimentado diretamente pelo campo TYP_PRTCTN e que passe pela tabela LT803_CODIGOS_LT com o mapeamento proposto aqui.
- Alterar o cálculo do campo TYP_PRTCTN de forma a passar pela tabela LT803_CODIGOS_LT, sendo que para os âmbitos já existentes o valor_lt será igual ao valor_origem, e para o âmbito do report Valuation nos segmentos 'LEGALP_PROTECTIONS', 'NATURALP_PROTECTIONS', 'OFFBAL_PROTECTIONS' aplicar o mapeamento aqui proposto.</t>
  </si>
  <si>
    <t>Other physical collateral</t>
  </si>
  <si>
    <t>Other physical collaterals</t>
  </si>
  <si>
    <t>Credit derivatives</t>
  </si>
  <si>
    <t>Financial guarantees other than credit derivatives</t>
  </si>
  <si>
    <t>Other protection</t>
  </si>
  <si>
    <t>Residential real estate collateral</t>
  </si>
  <si>
    <t>Offices and commercial premises</t>
  </si>
  <si>
    <t>Commercial real estate collateral</t>
  </si>
  <si>
    <t>Securities</t>
  </si>
  <si>
    <t>Gold</t>
  </si>
  <si>
    <t>Currency and deposits</t>
  </si>
  <si>
    <t>Loans</t>
  </si>
  <si>
    <t>Trade receivables</t>
  </si>
  <si>
    <t>Equity and investment fund shares or units</t>
  </si>
  <si>
    <t>Equity and investment funds shares</t>
  </si>
  <si>
    <t>Opções dadas pelo SRB para as quais não foram encontradas correspondências</t>
  </si>
  <si>
    <t>Hotels &amp; entertainment</t>
  </si>
  <si>
    <t>Infrastructure projects</t>
  </si>
  <si>
    <t>Factories – warehouses</t>
  </si>
  <si>
    <t>Equipment &amp; machinery</t>
  </si>
  <si>
    <t>Automotive</t>
  </si>
  <si>
    <t>Aircraft</t>
  </si>
  <si>
    <t>Shipping</t>
  </si>
  <si>
    <t>NATURALP_INSTRUMENT</t>
  </si>
  <si>
    <t>Overdraft</t>
  </si>
  <si>
    <t>Overdrafts</t>
  </si>
  <si>
    <t>Este campo é obtido a partir dos campos CPRODUTO e CSUBPRODUTO da tabela FR004_CTO cruzados com tabela TAT_91 com o campo TAYD91C0_CTABELA = '927' da qual se utiliza o campo TAYD91C0_NELEMC19. É também utilizado o campo INSTRUMENTO_FINANCEIRO da tabela LT001_UNIV_OPER. Estes campos são usados como intput da tabela LT809_TYP_INSTRUMENT de forma a obter o campo TYP_INSTRMNT. Os valores_origem que o campo TYP_INSTRMNT pode tomar podem ser consultados a partir da query:
SELECT * FROM cd_loan_tapes_bce.lt809_typ_instrmnt
WHERE ref_date = (SELECT MAX(ref_date) FROM cd_loan_tapes_bce.lt809_typ_instrmnt )
Esta query retorna as seguintes opções: '20', '51', '71', '80', '1000', '1001', '1002', '1003', '1004', '1005'
Estas opções não correspondem às pedidas pelo SRB. Embora o cálculo deste campo não passe pela tabela LT803_CODIGOS_LT, esta tem um acesso onde campo_lt = 'TYP_INSTRMNT'. Assim, com base nesse acesso, é feita aqui uma proposta de mapeamento a ser inserido na tabela LT803_CODIGOS_LT. Ver query:
SELECT DISTINCT valor_lt, descritivo_lt FROM cd_loan_tapes_bce.lt803_codigos_lt
WHERE ref_date = (SELECT MAX(ref_date) FROM cd_loan_tapes_bce.lt803_codigos_lt )
AND campo_lt = 'TYP_INSTRMNT'
Preocupação: Este campo não passa pela tabela LT803_CODIGOS_LT, é necessário encontra uma forma de contornar este problema.
Sugestões:
-Criar um campo novo na wallet do Loan Tapes que seja alimentado diretamente pelo campo TYP_INSTRMNT e que passe pela tabela LT803_CODIGOS_LT com o mapeamento proposto aqui.
- Alterar o cálculo do campo TYP_INSTRMNT de forma a passar pela tabela LT803_CODIGOS_LT, sendo que para os âmbitos já existentes o valor_lt será igual ao valor_origem, e para o âmbito do report Valuation no segmento 'NATURALP_INSTRUMENT' aplicar o mapeamento aqui proposto.
Preocupação:
- Os valor_origem usados neste mapeamento são as opções de TYP_INSTRMNT da tabela LT809_TYP_INSTRUMENT, que não batem certo com os valor_origem que se encontram na LT803_CODIGOS_LT.</t>
  </si>
  <si>
    <t>Credit card debt</t>
  </si>
  <si>
    <t>Other</t>
  </si>
  <si>
    <t>Financial lease</t>
  </si>
  <si>
    <t>Financial leases</t>
  </si>
  <si>
    <t>Deposits other than reverse repurchase agreements</t>
  </si>
  <si>
    <t>Revolving credit other than overdrafts and credit card debt</t>
  </si>
  <si>
    <t>Credit lines other than revolving credit</t>
  </si>
  <si>
    <t>Reverse repurchase agreements</t>
  </si>
  <si>
    <t>Loan</t>
  </si>
  <si>
    <t>Loans other than overdrafts, convenience credit, extended credit, credit card credit, revolving credit other than credit card credit, reverse repurchase agreements, trade receivables and financial leases</t>
  </si>
  <si>
    <t>French</t>
  </si>
  <si>
    <t>Este campo é obtido a partir do campo COD_TIPO_AMORTIZACAO da tabela AL029_CNT_CORE_M.  Os valores_origem que o campo TYP_AMRTSTN pode tomar podem ser consultados através da query:
SELECT DISTINCT COD_TIPO_AMORTIZACAO FROM cd_alm.AL029_CNT_CORE_M
Esta query retorna as seguintes opções: '', '*', '1', '2', '5', 'A', 'B', 'D', 'F', 'J', 'L', 'P', 'U'
Os valores_origem são posteriormente traduzidos pela tabela de parametrização LT803_CODIGOS_LT. A parametrização aplicada pode ser consultada através da query:
SELECT *  FROM cd_loan_tapes_bce.lt803_codigos_lt
WHERE ref_date = (SELECT MAX(ref_date) FROM cd_loan_tapes_bce.lt803_codigos_lt )
AND campo_lt = 'TYP_AMRTSTN'
Aqui é apresentada a proposta de mapeamento do campo TYP_AMRTSTN, para o âmbito do report Valuation no segmento 'NATURALP_INSTRUMENT'</t>
  </si>
  <si>
    <t>Fixed amortisation schedule</t>
  </si>
  <si>
    <t>Amortisation types other than French, German, Fixed amortisation schedule or bullet</t>
  </si>
  <si>
    <t>*</t>
  </si>
  <si>
    <t>A</t>
  </si>
  <si>
    <t>Bullet</t>
  </si>
  <si>
    <t>B</t>
  </si>
  <si>
    <t>D</t>
  </si>
  <si>
    <t>F</t>
  </si>
  <si>
    <t>J</t>
  </si>
  <si>
    <t>L</t>
  </si>
  <si>
    <t>NULL</t>
  </si>
  <si>
    <t>German</t>
  </si>
  <si>
    <t>P</t>
  </si>
  <si>
    <t>U</t>
  </si>
  <si>
    <t>NATURALP_INSTRUMENTS</t>
  </si>
  <si>
    <t>Other frequency</t>
  </si>
  <si>
    <t>Other than overnight, monthly, quarterly, half yearly, annually or at creditor discretion</t>
  </si>
  <si>
    <t>Este campo é obtido a partir do campo COD_FREQ_TAXA_ACT da tabela AL029_CNT_CORE_M. Os valores_origem que o campo INTRST_RT_RST_FRQNCY pode tomar podem ser consultados através da query:
SELECT DISTINCT COD_FREQ_TAXA_ACT FROM cd_alm.AL029_CNT_CORE_M
Os valores_origem são posteriormente traduzidos pela tabela de parametrização LT803_CODIGOS_LT. A parametrização aplicada pode ser consultada através da query:
SELECT * FROM cd_loan_tapes_bce.lt803_codigos_lt
WHERE ref_date = (SELECT MAX(ref_date) FROM cd_loan_tapes_bce.lt803_codigos_lt )
AND campo_lt = 'INTRST_RT_RST_FRQNCY'
Aqui é apresentada a proposta de mapeamento do campo INTRST_RT_RST_FRQNCY, para o âmbito do report Valuation no segmento 'NATURALP_INSTRUMENT'
Nota:
Para o cálculo deste campo a tabela lt803 é utilizada também com outro acesso campo_lt = 'INTRST_RT_RST_NA' para determinar quando o campo é 'Not Applicable'. Esta parametrização manter-se-á igual, mas terá de ser inserida para o nosso âmbito/segmento, para tal foi incluida neste documento de seguida.</t>
  </si>
  <si>
    <t>Monthly/quarterly/semiannual/annual</t>
  </si>
  <si>
    <t>Monthly</t>
  </si>
  <si>
    <t>Quarterly</t>
  </si>
  <si>
    <t>Semi-annually</t>
  </si>
  <si>
    <t>Annual</t>
  </si>
  <si>
    <t>A01</t>
  </si>
  <si>
    <t>D01</t>
  </si>
  <si>
    <t>D02</t>
  </si>
  <si>
    <t>D03</t>
  </si>
  <si>
    <t>D04</t>
  </si>
  <si>
    <t>D05</t>
  </si>
  <si>
    <t>D06</t>
  </si>
  <si>
    <t>D07</t>
  </si>
  <si>
    <t>D08</t>
  </si>
  <si>
    <t>D09</t>
  </si>
  <si>
    <t>D10</t>
  </si>
  <si>
    <t>D11</t>
  </si>
  <si>
    <t>D12</t>
  </si>
  <si>
    <t>D13</t>
  </si>
  <si>
    <t>D14</t>
  </si>
  <si>
    <t>D15</t>
  </si>
  <si>
    <t>D16</t>
  </si>
  <si>
    <t>D17</t>
  </si>
  <si>
    <t>D18</t>
  </si>
  <si>
    <t>D19</t>
  </si>
  <si>
    <t>D20</t>
  </si>
  <si>
    <t>D21</t>
  </si>
  <si>
    <t>D22</t>
  </si>
  <si>
    <t>D23</t>
  </si>
  <si>
    <t>D24</t>
  </si>
  <si>
    <t>D25</t>
  </si>
  <si>
    <t>D26</t>
  </si>
  <si>
    <t>D27</t>
  </si>
  <si>
    <t>D28</t>
  </si>
  <si>
    <t>D29</t>
  </si>
  <si>
    <t>D30</t>
  </si>
  <si>
    <t>D31</t>
  </si>
  <si>
    <t>D32</t>
  </si>
  <si>
    <t>D33</t>
  </si>
  <si>
    <t>D34</t>
  </si>
  <si>
    <t>D35</t>
  </si>
  <si>
    <t>D36</t>
  </si>
  <si>
    <t>D37</t>
  </si>
  <si>
    <t>D38</t>
  </si>
  <si>
    <t>D39</t>
  </si>
  <si>
    <t>D40</t>
  </si>
  <si>
    <t>D41</t>
  </si>
  <si>
    <t>D42</t>
  </si>
  <si>
    <t>D43</t>
  </si>
  <si>
    <t>D44</t>
  </si>
  <si>
    <t>D45</t>
  </si>
  <si>
    <t>D46</t>
  </si>
  <si>
    <t>D47</t>
  </si>
  <si>
    <t>D48</t>
  </si>
  <si>
    <t>D49</t>
  </si>
  <si>
    <t>D50</t>
  </si>
  <si>
    <t>D51</t>
  </si>
  <si>
    <t>D52</t>
  </si>
  <si>
    <t>D53</t>
  </si>
  <si>
    <t>D54</t>
  </si>
  <si>
    <t>D55</t>
  </si>
  <si>
    <t>D56</t>
  </si>
  <si>
    <t>D57</t>
  </si>
  <si>
    <t>D58</t>
  </si>
  <si>
    <t>D59</t>
  </si>
  <si>
    <t>D60</t>
  </si>
  <si>
    <t>D61</t>
  </si>
  <si>
    <t>D62</t>
  </si>
  <si>
    <t>D63</t>
  </si>
  <si>
    <t>D64</t>
  </si>
  <si>
    <t>D65</t>
  </si>
  <si>
    <t>D66</t>
  </si>
  <si>
    <t>D67</t>
  </si>
  <si>
    <t>D68</t>
  </si>
  <si>
    <t>D69</t>
  </si>
  <si>
    <t>D70</t>
  </si>
  <si>
    <t>D71</t>
  </si>
  <si>
    <t>D72</t>
  </si>
  <si>
    <t>D73</t>
  </si>
  <si>
    <t>D74</t>
  </si>
  <si>
    <t>D75</t>
  </si>
  <si>
    <t>D76</t>
  </si>
  <si>
    <t>D77</t>
  </si>
  <si>
    <t>D78</t>
  </si>
  <si>
    <t>D79</t>
  </si>
  <si>
    <t>D80</t>
  </si>
  <si>
    <t>D81</t>
  </si>
  <si>
    <t>D82</t>
  </si>
  <si>
    <t>D83</t>
  </si>
  <si>
    <t>D84</t>
  </si>
  <si>
    <t>D85</t>
  </si>
  <si>
    <t>D86</t>
  </si>
  <si>
    <t>D87</t>
  </si>
  <si>
    <t>D88</t>
  </si>
  <si>
    <t>D89</t>
  </si>
  <si>
    <t>D90</t>
  </si>
  <si>
    <t>D91</t>
  </si>
  <si>
    <t>D92</t>
  </si>
  <si>
    <t>D93</t>
  </si>
  <si>
    <t>D94</t>
  </si>
  <si>
    <t>D95</t>
  </si>
  <si>
    <t>D96</t>
  </si>
  <si>
    <t>D97</t>
  </si>
  <si>
    <t>D98</t>
  </si>
  <si>
    <t>D99</t>
  </si>
  <si>
    <t>E01</t>
  </si>
  <si>
    <t>E02</t>
  </si>
  <si>
    <t>E03</t>
  </si>
  <si>
    <t>E04</t>
  </si>
  <si>
    <t>E05</t>
  </si>
  <si>
    <t>E06</t>
  </si>
  <si>
    <t>E07</t>
  </si>
  <si>
    <t>E08</t>
  </si>
  <si>
    <t>E09</t>
  </si>
  <si>
    <t>E10</t>
  </si>
  <si>
    <t>E11</t>
  </si>
  <si>
    <t>E12</t>
  </si>
  <si>
    <t>E13</t>
  </si>
  <si>
    <t>E14</t>
  </si>
  <si>
    <t>E15</t>
  </si>
  <si>
    <t>E16</t>
  </si>
  <si>
    <t>E17</t>
  </si>
  <si>
    <t>E18</t>
  </si>
  <si>
    <t>E19</t>
  </si>
  <si>
    <t>E20</t>
  </si>
  <si>
    <t>E21</t>
  </si>
  <si>
    <t>E22</t>
  </si>
  <si>
    <t>E23</t>
  </si>
  <si>
    <t>E24</t>
  </si>
  <si>
    <t>E25</t>
  </si>
  <si>
    <t>E26</t>
  </si>
  <si>
    <t>E27</t>
  </si>
  <si>
    <t>E28</t>
  </si>
  <si>
    <t>E29</t>
  </si>
  <si>
    <t>E30</t>
  </si>
  <si>
    <t>E31</t>
  </si>
  <si>
    <t>M01</t>
  </si>
  <si>
    <t>M02</t>
  </si>
  <si>
    <t>M03</t>
  </si>
  <si>
    <t>M04</t>
  </si>
  <si>
    <t>M05</t>
  </si>
  <si>
    <t>M06</t>
  </si>
  <si>
    <t>M07</t>
  </si>
  <si>
    <t>M08</t>
  </si>
  <si>
    <t>M09</t>
  </si>
  <si>
    <t>M10</t>
  </si>
  <si>
    <t>M11</t>
  </si>
  <si>
    <t>M12</t>
  </si>
  <si>
    <t>M13</t>
  </si>
  <si>
    <t>M14</t>
  </si>
  <si>
    <t>M15</t>
  </si>
  <si>
    <t>M16</t>
  </si>
  <si>
    <t>M17</t>
  </si>
  <si>
    <t>M18</t>
  </si>
  <si>
    <t>M19</t>
  </si>
  <si>
    <t>M20</t>
  </si>
  <si>
    <t>M21</t>
  </si>
  <si>
    <t>M22</t>
  </si>
  <si>
    <t>M23</t>
  </si>
  <si>
    <t>M24</t>
  </si>
  <si>
    <t>M25</t>
  </si>
  <si>
    <t>M26</t>
  </si>
  <si>
    <t>M27</t>
  </si>
  <si>
    <t>M28</t>
  </si>
  <si>
    <t>M29</t>
  </si>
  <si>
    <t>M30</t>
  </si>
  <si>
    <t>M31</t>
  </si>
  <si>
    <t>M32</t>
  </si>
  <si>
    <t>M33</t>
  </si>
  <si>
    <t>M34</t>
  </si>
  <si>
    <t>M35</t>
  </si>
  <si>
    <t>M36</t>
  </si>
  <si>
    <t>M37</t>
  </si>
  <si>
    <t>M42</t>
  </si>
  <si>
    <t>M43</t>
  </si>
  <si>
    <t>M44</t>
  </si>
  <si>
    <t>M45</t>
  </si>
  <si>
    <t>M46</t>
  </si>
  <si>
    <t>M47</t>
  </si>
  <si>
    <t>M48</t>
  </si>
  <si>
    <t>M49</t>
  </si>
  <si>
    <t>M51</t>
  </si>
  <si>
    <t>M54</t>
  </si>
  <si>
    <t>M56</t>
  </si>
  <si>
    <t>M57</t>
  </si>
  <si>
    <t>M59</t>
  </si>
  <si>
    <t>M60</t>
  </si>
  <si>
    <t>M62</t>
  </si>
  <si>
    <t>M63</t>
  </si>
  <si>
    <t>M64</t>
  </si>
  <si>
    <t>M65</t>
  </si>
  <si>
    <t>M66</t>
  </si>
  <si>
    <t>M67</t>
  </si>
  <si>
    <t>M69</t>
  </si>
  <si>
    <t>M70</t>
  </si>
  <si>
    <t>M71</t>
  </si>
  <si>
    <t>M72</t>
  </si>
  <si>
    <t>M74</t>
  </si>
  <si>
    <t>M78</t>
  </si>
  <si>
    <t>M79</t>
  </si>
  <si>
    <t>M80</t>
  </si>
  <si>
    <t>M82</t>
  </si>
  <si>
    <t>M83</t>
  </si>
  <si>
    <t>M84</t>
  </si>
  <si>
    <t>M85</t>
  </si>
  <si>
    <t>M87</t>
  </si>
  <si>
    <t>M88</t>
  </si>
  <si>
    <t>M89</t>
  </si>
  <si>
    <t>M90</t>
  </si>
  <si>
    <t>M91</t>
  </si>
  <si>
    <t>M96</t>
  </si>
  <si>
    <t>M99</t>
  </si>
  <si>
    <t>N01</t>
  </si>
  <si>
    <t>N02</t>
  </si>
  <si>
    <t>N03</t>
  </si>
  <si>
    <t>N04</t>
  </si>
  <si>
    <t>N05</t>
  </si>
  <si>
    <t>N06</t>
  </si>
  <si>
    <t>N07</t>
  </si>
  <si>
    <t>N08</t>
  </si>
  <si>
    <t>N09</t>
  </si>
  <si>
    <t>N10</t>
  </si>
  <si>
    <t>N11</t>
  </si>
  <si>
    <t>N12</t>
  </si>
  <si>
    <t>N13</t>
  </si>
  <si>
    <t>N14</t>
  </si>
  <si>
    <t>N15</t>
  </si>
  <si>
    <t>N16</t>
  </si>
  <si>
    <t>N17</t>
  </si>
  <si>
    <t>N18</t>
  </si>
  <si>
    <t>N19</t>
  </si>
  <si>
    <t>N20</t>
  </si>
  <si>
    <t>N21</t>
  </si>
  <si>
    <t>N22</t>
  </si>
  <si>
    <t>N23</t>
  </si>
  <si>
    <t>N24</t>
  </si>
  <si>
    <t>N25</t>
  </si>
  <si>
    <t>N26</t>
  </si>
  <si>
    <t>N27</t>
  </si>
  <si>
    <t>N28</t>
  </si>
  <si>
    <t>N29</t>
  </si>
  <si>
    <t>N30</t>
  </si>
  <si>
    <t>N31</t>
  </si>
  <si>
    <t>N99</t>
  </si>
  <si>
    <t>At creditor discretion</t>
  </si>
  <si>
    <t>É por não ser aplicável?</t>
  </si>
  <si>
    <t>Overnight</t>
  </si>
  <si>
    <t>R01</t>
  </si>
  <si>
    <t>R02</t>
  </si>
  <si>
    <t>R03</t>
  </si>
  <si>
    <t>R04</t>
  </si>
  <si>
    <t>R05</t>
  </si>
  <si>
    <t>R06</t>
  </si>
  <si>
    <t>R07</t>
  </si>
  <si>
    <t>R08</t>
  </si>
  <si>
    <t>R09</t>
  </si>
  <si>
    <t>R10</t>
  </si>
  <si>
    <t>R11</t>
  </si>
  <si>
    <t>R12</t>
  </si>
  <si>
    <t>R13</t>
  </si>
  <si>
    <t>R14</t>
  </si>
  <si>
    <t>R15</t>
  </si>
  <si>
    <t>R16</t>
  </si>
  <si>
    <t>R17</t>
  </si>
  <si>
    <t>R18</t>
  </si>
  <si>
    <t>R19</t>
  </si>
  <si>
    <t>R20</t>
  </si>
  <si>
    <t>R21</t>
  </si>
  <si>
    <t>R22</t>
  </si>
  <si>
    <t>R23</t>
  </si>
  <si>
    <t>R24</t>
  </si>
  <si>
    <t>R25</t>
  </si>
  <si>
    <t>R26</t>
  </si>
  <si>
    <t>R27</t>
  </si>
  <si>
    <t>R28</t>
  </si>
  <si>
    <t>R29</t>
  </si>
  <si>
    <t>R30</t>
  </si>
  <si>
    <t>R31</t>
  </si>
  <si>
    <t>R32</t>
  </si>
  <si>
    <t>R33</t>
  </si>
  <si>
    <t>R34</t>
  </si>
  <si>
    <t>R35</t>
  </si>
  <si>
    <t>R36</t>
  </si>
  <si>
    <t>R37</t>
  </si>
  <si>
    <t>R38</t>
  </si>
  <si>
    <t>R39</t>
  </si>
  <si>
    <t>R40</t>
  </si>
  <si>
    <t>R41</t>
  </si>
  <si>
    <t>R42</t>
  </si>
  <si>
    <t>R43</t>
  </si>
  <si>
    <t>R44</t>
  </si>
  <si>
    <t>R45</t>
  </si>
  <si>
    <t>R46</t>
  </si>
  <si>
    <t>R47</t>
  </si>
  <si>
    <t>R48</t>
  </si>
  <si>
    <t>R49</t>
  </si>
  <si>
    <t>R50</t>
  </si>
  <si>
    <t>R51</t>
  </si>
  <si>
    <t>R52</t>
  </si>
  <si>
    <t>R53</t>
  </si>
  <si>
    <t>R54</t>
  </si>
  <si>
    <t>R55</t>
  </si>
  <si>
    <t>R56</t>
  </si>
  <si>
    <t>R57</t>
  </si>
  <si>
    <t>R58</t>
  </si>
  <si>
    <t>R59</t>
  </si>
  <si>
    <t>R60</t>
  </si>
  <si>
    <t>R61</t>
  </si>
  <si>
    <t>R62</t>
  </si>
  <si>
    <t>R63</t>
  </si>
  <si>
    <t>R64</t>
  </si>
  <si>
    <t>R65</t>
  </si>
  <si>
    <t>R66</t>
  </si>
  <si>
    <t>R67</t>
  </si>
  <si>
    <t>R68</t>
  </si>
  <si>
    <t>R69</t>
  </si>
  <si>
    <t>R70</t>
  </si>
  <si>
    <t>R71</t>
  </si>
  <si>
    <t>R72</t>
  </si>
  <si>
    <t>R73</t>
  </si>
  <si>
    <t>R74</t>
  </si>
  <si>
    <t>R75</t>
  </si>
  <si>
    <t>R76</t>
  </si>
  <si>
    <t>R77</t>
  </si>
  <si>
    <t>R78</t>
  </si>
  <si>
    <t>R79</t>
  </si>
  <si>
    <t>R80</t>
  </si>
  <si>
    <t>R81</t>
  </si>
  <si>
    <t>R82</t>
  </si>
  <si>
    <t>R83</t>
  </si>
  <si>
    <t>R84</t>
  </si>
  <si>
    <t>R85</t>
  </si>
  <si>
    <t>R86</t>
  </si>
  <si>
    <t>R87</t>
  </si>
  <si>
    <t>R88</t>
  </si>
  <si>
    <t>R89</t>
  </si>
  <si>
    <t>R90</t>
  </si>
  <si>
    <t>R91</t>
  </si>
  <si>
    <t>R92</t>
  </si>
  <si>
    <t>R93</t>
  </si>
  <si>
    <t>R94</t>
  </si>
  <si>
    <t>R95</t>
  </si>
  <si>
    <t>R96</t>
  </si>
  <si>
    <t>R97</t>
  </si>
  <si>
    <t>R98</t>
  </si>
  <si>
    <t>R99</t>
  </si>
  <si>
    <t>INTRST_RT_RST_NA</t>
  </si>
  <si>
    <t>Concept Not applicable</t>
  </si>
  <si>
    <t>Como foi referido na célula acima, esta parametrização também diz respeito ao campo_lt = 'INTRST_RT_RST_FRQNCY' mas serve para determinar quando é 'Not Applicable' e mater-se-á igual no âmbito do report Valuation com segmento 'NATURALP_INSTRUMENTS'</t>
  </si>
  <si>
    <t>Fixed</t>
  </si>
  <si>
    <t>Este campo é obtido a partir do campo COD_TIPO_TAXA_ACT da tabela AL029_CNT_CORE_M.  Os valores_origem que o campo TYP_INTRST_RT pode tomar podem ser consultados através da query:
SELECT DISTINCT COD_TIPO_TAXA_ACT FROM cd_alm.al029_cnt_core_m
Esta query retorna as seguintes opções: 'V', 'F', 'C', ''
Os valores_origem são posteriormente traduzidos pela tabela de parametrização LT803_CODIGOS_LT. A parametrização aplicada pode ser consultada através da query:
SELECT * FROM cd_loan_tapes_bce.lt803_codigos_lt
WHERE ref_date = (SELECT MAX(ref_date) FROM cd_loan_tapes_bce.lt803_codigos_lt )
AND campo_lt = 'TYP_INTRST_RT'
Aqui é apresentada a proposta de mapeamento do campo TYP_AMRTSTN, para o âmbito do report Valuation no segmento 'NATURALP_INSTRUMENT'
Preocupação: A tabela LT803_CODIGOS_LT apenas leva em consideração as opções ‘F’ e ‘V’ o que colocar quando é ‘C’?</t>
  </si>
  <si>
    <t>V</t>
  </si>
  <si>
    <t>Variable</t>
  </si>
  <si>
    <t>C</t>
  </si>
  <si>
    <t>????????????????????</t>
  </si>
  <si>
    <t>Será necessário confirmar qual o significado do valor "C"</t>
  </si>
  <si>
    <t>Mixed</t>
  </si>
  <si>
    <t>Opção dada pelo SRB sem nenhum mapeamento direto na al029 ou na lt803</t>
  </si>
  <si>
    <t>NATURALP_INSTRUMENTS; DEBT_SECURITIES</t>
  </si>
  <si>
    <t>Other than monthly, quarterly, half yearly, annually, bullet or zero coupon</t>
  </si>
  <si>
    <t>O campo_lt 'PYMNT_FRQNCY' utiliza a tabela de parametrização LT803_CODIGOS_LT de forma diferente aos outros campos vistos até aqui. Em vez de ser utilizada para definir os valores que iram constar na tabela lt002 a partir de um valor origem, é utilizada num passo intermédio para converter os campos COD_FREQ_LIQ_JUR_ACT e COD_FREQ_AMORT_CAPITAL_ACT da tabela AL029_CNT_CORE_M de forma separada obtendo dois campos intermédios:
a) FRQNCY_JUR:
VALOR_LT
WHERE CAMPO_LT = 'PYMNT_FRQNCY'
AND TRIM(COD_FREQ_LIQ_JUR_ACT) = VALOR_ORIGEM
b) FRQNCY_CAP:
VALOR_LT
WHERE CAMPO_LT = 'PYMNT_FRQNCY'
AND TRIM(COD_FREQ_AMORT_CAPITAL_ACT) = VALOR_ORIGEM
Os campos intermédios FRQNCY_JUR e FRQNCY_CAP são utilizados para fazer a ligação com uma segunda tabela de parametrização LT810_PYMNT_FRQNCY, retornando o campo PYMNT_FRQNCY da mesma, que será o valor introduzido na tabela final LT002_INSTRMNT.
Nota:
Para o cálculo deste campo a tabela LT803_CODIGOS_LT é utilizada também com outro acesso campo_lt = 'PYMNT_FRQNCY_NA' para determinar quando o campo é 'Not Applicable'. Esta parametrização manter-se-á igual, mas terá de ser inserida para o âmbito do report Valuation e para os segmentos ‘NATURALP_INSTRUMENTS’ e ‘DEBT_SECURITIES’, esta parametrização está definida de seguida.
Conclusão:
Para o campo PYMNT_FRQNCY a parametrização efetuada pela tabela LT803_CODIGOS_LT deverá manter-se igual para o âmbito do report Valuation nos segmentos ‘NATURALP_INSTRUMENTS’ e ‘DEBT_SECURITIES’, sendo que as alterações de output deverão ser refletidas na tabela LT810_PYMNT_FRQNCY, existe, contudo, um problema, a tabela LT810_PYMNT_FRQNCY não tem nenhum campo de âmbito/segmento, ou seja, não parece estar preparada para aplicar parametrizações diferentes consoante o âmbito. É necessário discutir possíveis soluções para este problema.</t>
  </si>
  <si>
    <t>Zero-coupon</t>
  </si>
  <si>
    <t>MISS</t>
  </si>
  <si>
    <t>PYMNT_FRQNCY_NA</t>
  </si>
  <si>
    <t>Como foi referido na célula acima, esta parametrização também diz respeito ao campo_lt = 'PYMNT_FRQNCY' mas serve para determinar quando é 'Not Applicable' e manter-se-á igual.</t>
  </si>
  <si>
    <t>NATURALP_INSTRUMENTS; OFFBAL_INSTRUMENTS</t>
  </si>
  <si>
    <t>Not in default</t>
  </si>
  <si>
    <t>Este campo é obtido diretamente do campo DFLT_STTS_INSTRMNT da tabela BCE_LT_INSTR_CAP que é uma tabela temporária do Loan Tapes, a sua definição encontra-se no documento BS_Tabelas_Temporárias_Loan_Tape.xlsx.
As opções resultantes para o campo DFLT_STTS_INSTRMNT não correspondem às pedidas pelo SRB.
Embora o cálculo deste campo não passe pela tabela LT803_CODIGOS_LT, esta tem um acesso onde campo_lt = ‘DFLT_STTS_INSTRMNT’. Assim, com base nesse acesso, é feita aqui uma proposta de mapeamento a ser inserido na tabela LT803_CODIGOS_LT. Ver query:
SELECT DISTINCT valor_lt, descritivo_lt FROM cd_loan_tapes_bce.lt803_codigos_lt
WHERE ref_date = (SELECT MAX(ref_date) FROM cd_loan_tapes_bce.lt803_codigos_lt )
AND campo_lt = ‘DFLT_STTS_INSTRMNT’
Preocupação: Este campo não passa pela tabela LT803_CODIGOS_LT, é necessário encontra uma forma de contornar este problema.
Sugestões:
-Criar um campo novo na wallet do Loan Tapes que seja alimentado diretamente pelo campo DFLT_STTS_INSTRMNT e que passe pela tabela LT803_CODIGOS_LT com o mapeamento proposto aqui.
- Alterar o cálculo do campo DFLT_STTS_INSTRMNT de forma a passar pela tabela LT803_CODIGOS_LT, sendo que para os âmbitos já existentes o valor_lt será igual ao valor_origem, e para o âmbito do report Valuation nos segmentos 'NATURALP_INSTRUMENT' e ‘OFFBAL_INSTRUMENTS’ aplicar o mapeamento aqui proposto.</t>
  </si>
  <si>
    <t>Default because both unlikely to pay and more than 90/180 days past due</t>
  </si>
  <si>
    <t>Default because unlikely to pay (not more than 90/180 days past due)</t>
  </si>
  <si>
    <t>Default because unlikely to pay</t>
  </si>
  <si>
    <t>Default because more than 90/180 days past due</t>
  </si>
  <si>
    <t>ATIVOS FINANCEIROS DETIDOS PARA NEGOCIACAO</t>
  </si>
  <si>
    <t>Financial assets held for trading (IFRS)</t>
  </si>
  <si>
    <t>IFRS: Financial assets held for trading</t>
  </si>
  <si>
    <t>Este campo é obtido através do campo CARTEIRA_CONTABILISTICA da tabela LT001_UNIV_OPER, convertido pela tabela de parametrização LT803_CODIGOS_LT, as opções possiveis podem ser consultadas através da query:
SELECT * FROM cd_loan_tapes_bce.lt803_codigos_lt
WHERE ref_date = (SELECT MAX(ref_date) FROM cd_loan_tapes_bce.lt803_codigos_lt )
AND campo_lt = 'ACCNTNG_CLSSFCTN'
AND ambito = 'PM'
Preocupação:
Todas as opções de National GAAP têm como valor origem NULL, ou seja, nunca será atribuido neste campo um valor de Nation GAAP. Este entendimento pode ser confirmado consultando todos os valores distintos de ACCNTNG_CLSSFCTN que se encontram na tabela LT002_INSTRUMENT através da query:
SELECT ACCNTNG_CLSSFCTN, descritivo_lt FROM
(
    SELECT DISTINCT ACCNTNG_CLSSFCTN FROM cd_loan_tapes_bce.lt002_instrument
) as lt002
LEFT JOIN
(
    SELECT *  FROM cd_loan_tapes_bce.lt803_codigos_lt
    WHERE ref_date = (SELECT MAX(ref_date) FROM cd_loan_tapes_bce.lt803_codigos_lt )
    AND campo_lt = 'ACCNTNG_CLSSFCTN'
    AND ambito = 'PM'
) as lt803
ON lt803.valor_lt = lt002.ACCNTNG_CLSSFCTN</t>
  </si>
  <si>
    <t>Trading Financial assets (GAAP)</t>
  </si>
  <si>
    <t>nGAAP: Trading Financial assets</t>
  </si>
  <si>
    <t>ATIVOS FINANCEIROS AO JUSTO VALOR  ATRAVES DE RESULTADOS</t>
  </si>
  <si>
    <t>Financial assets designated at fair value through profit or loss (IFRS)</t>
  </si>
  <si>
    <t>IFRS: Financial assets designated at fair value through profit or loss</t>
  </si>
  <si>
    <t>Available-for-sale financial assets (GAAP)</t>
  </si>
  <si>
    <t>nGAAP: Available-for-sale financial assets</t>
  </si>
  <si>
    <t>ATIVOS FINANCEIROS AO CUSTO AMORTIZADO</t>
  </si>
  <si>
    <t>Financial assets at amortised cost (IFRS)</t>
  </si>
  <si>
    <t>IFRS: Financial assets at amortised cost</t>
  </si>
  <si>
    <t>Non-trading non-derivative financial assets measured at fair value through profit or loss (GAAP)</t>
  </si>
  <si>
    <t>nGAAP: Non-trading non-derivative financial assets measured at fair value through profit or loss</t>
  </si>
  <si>
    <t>ATIVOS FINANCEIROS AO JUSTO VALOR ATRAVES DE OUTRO RENDIMENTO INTEGRAL</t>
  </si>
  <si>
    <t>Financial assets at fair value through other comprehensive income (IFRS)</t>
  </si>
  <si>
    <t>IFRS: Financial assets at fair value through other comprehensive income</t>
  </si>
  <si>
    <t>Non-trading non-derivative financial assets measured at fair value to equity (GAAP)</t>
  </si>
  <si>
    <t>nGAAP: Non-trading non-derivative financial assets measured at fair value to equity</t>
  </si>
  <si>
    <t>Loans and receivables (GAAP)</t>
  </si>
  <si>
    <t>nGAAP: Loans and receivables</t>
  </si>
  <si>
    <t>Held-to-maturity investments (GAAP)</t>
  </si>
  <si>
    <t>nGAAP: Held-to-maturity investments</t>
  </si>
  <si>
    <t>??????????</t>
  </si>
  <si>
    <t>nGAAP: Non-trading non-derivative financial instruments measured at a cost-based method</t>
  </si>
  <si>
    <t>Para esta descrição não exisita nenhuma correspondência direta entre as opções dadas pelo SRB</t>
  </si>
  <si>
    <t>DISPONIBILIDADES EM OUTRAS INSTITUICOES DE CREDITO</t>
  </si>
  <si>
    <t>Cash balances at central banks and other demand deposits (IFRS)</t>
  </si>
  <si>
    <t>IFRS: Cash balances at central banks and other demand deposits</t>
  </si>
  <si>
    <t>DISPONIBILIDADES EM BANCOS CENTRAIS</t>
  </si>
  <si>
    <t>Other non-trading nonderivative financial assets (GAAP)</t>
  </si>
  <si>
    <t>nGAAP: Other Non-trading Non-derivative Financial assets</t>
  </si>
  <si>
    <t>ATIVOS FINANCEIROS MANDATORIAMENTE AO JUSTO VALOR ATRAVES DE RESULTADOS</t>
  </si>
  <si>
    <t>Non-trading financial assets mandatorily at fair value through profit or loss (IFRS)</t>
  </si>
  <si>
    <t>IFRS: Non-trading financial assets mandatorily at fair value through profit or loss</t>
  </si>
  <si>
    <t>Cash balances at central banks and other demand deposits (GAAP)</t>
  </si>
  <si>
    <t>nGAAP: Cash balances at central banks and other demand deposits</t>
  </si>
  <si>
    <t>Financial assets held for trading (GAAP)</t>
  </si>
  <si>
    <t>nGAAP: Financial assets held for trading</t>
  </si>
  <si>
    <t>Financial assets designated at fair value through profit or loss (GAAP)</t>
  </si>
  <si>
    <t>nGAAP: Financial assets designated at fair value through profit or loss</t>
  </si>
  <si>
    <t>nGAAP: Non-trading financial assets mandatorily at fair value through profit or loss</t>
  </si>
  <si>
    <t>Non-trading debt instruments measured at a cost-based method (GAAP)</t>
  </si>
  <si>
    <t>garantias e compromissos concedidos</t>
  </si>
  <si>
    <t>Not Applicable</t>
  </si>
  <si>
    <t>provisoes para compromissos e garantias concedidas</t>
  </si>
  <si>
    <t>General allowances (GAAP)</t>
  </si>
  <si>
    <t>Não está mapeado</t>
  </si>
  <si>
    <t>Este campo é obtido a partir do campo STAGE_ATUAL da tabela FR004_CTO.  Os valores_origem que o campo IMPRMNT_STTS pode tomar podem ser consultados através da query:
SELECT DISTINCT STAGE_ATUAL FROM cd_captools.fr004_cto
Resultando nas opções: '', '1', '2', '3'
Os valores_origem são posteriormente traduzidos pela tabela de parametrização LT803_CODIGOS_LT. A parametrização aplicada pode ser consultada através da query:
SELECT * FROM cd_loan_tapes_bce.lt803_codigos_lt
WHERE ref_date = (SELECT MAX(ref_date) FROM cd_loan_tapes_bce.lt803_codigos_lt )
AND campo_lt = 'IMPRMNT_STTS'
AND ambito = 'PM'
Aqui é apresentada a proposta de mapeamento do campo IMPRMNT_STTS, para o âmbito do report Valuation nos segmentos 'NATURALP_INSTRUMENT' e 'OFFBAL_INSTRUMENTS'.
Preocupação: Esta parametrização apenas mapeia Stage 1, 2 e 3 as opções 'General allowances (GAAP)' e 'Specific allowances (GAAP)' são deixadas com valor_origem NULL.</t>
  </si>
  <si>
    <t>Stage 1 (IFRS)</t>
  </si>
  <si>
    <t>Stage 2 (IFRS)</t>
  </si>
  <si>
    <t>Stage 3 (IFRS)</t>
  </si>
  <si>
    <t>Specific allowances (GAAP)</t>
  </si>
  <si>
    <t>Collectively assessed</t>
  </si>
  <si>
    <t>Este campo é obtido através do campo TIPO_ANALISE_ATUAL da tabela FR004_CTO:
SELECT DISTINCT TIPO_ANALISE_ATUAL FROM cd_captools.fr004_cto
Resultando nas opções: '', 'I', 'C'
Este campo é convertido pela tabela de parametrização LT803_CODIGOS_LT:
SELECT * FROM cd_loan_tapes_bce.lt803_codigos_lt
WHERE ref_date = (SELECT MAX(ref_date) FROM cd_loan_tapes_bce.lt803_codigos_lt )
AND campo_lt = 'IMPRMNT_ASSSSMNT_MTHD'
Aqui é apresentada a proposta de mapeamento do campo IMPRMNT_ASSSSMNT_MTHD, para o âmbito do report Valuation nos segmentos 'NATURALP_INSTRUMENT' e 'OFFBAL_INSTRUMENTS'.
Preocupação:
Na especificação deste campo é aplicada a regra NVL( VALOR_LT, '1'), ou seja, quando a ligação com a tabela de parametrização falha, o valor deste campo é forçado a 1 que corresponde a 'Individually assessed' mas o SRB não aceita 1 como output. Segundo as opções presentes para o campo TIPO_ANALISE_ATUAL na tabela FR004_CTO a ligação com a tabela LT803_CODIGOS_LT apenas falharia quando TIPO_ANALISE_ATUAL = ''. Uma opção para contornar este tema seria adicionar uma linha extra à parametrização que converta vazio '' em Individually assessed.</t>
  </si>
  <si>
    <t>I</t>
  </si>
  <si>
    <t>Individually assessed</t>
  </si>
  <si>
    <t>Workaround para evitar a regra NVL( VALOR_LT, '1'), não tenho a certeza se quando '' é inserido por carregamento manual no front o campo fica a NULL, se for este o caso terá de se pensar numa solução alternativa.</t>
  </si>
  <si>
    <t>EMISSAO RETIDA NÃO UTILIZADA NEM PRESA EM POOLS</t>
  </si>
  <si>
    <t>No encumbrance</t>
  </si>
  <si>
    <t>Unencumbered/No encumbrance - Instrument which has not been pledged or it is not subject to any form of arrangement to secure, collateralise or credit enhance any instrument from which it cannot be freely withdrawn</t>
  </si>
  <si>
    <t>Na tabela AL014_ACT_PRIM esta opção não tem acento circunflexo, irá fazer a ligação falhar</t>
  </si>
  <si>
    <t>Este campo é obtido através do campo COD_PROP da tabela AL014_ACT_PRIM onde o campo MON_CONT&lt;0 :
SELECT DISTINCT COD_PROP FROM cd_alm.AL014_ACT_PRIM
Resultando nas opções: 'EMISSAO RETIDA NAO UTILIZADA NEM PRESA EM POOLS', 'POOL OBRIGACOES HIPOTECARIAS', 'SII', 'IM DERIVADOS', 'POOL DE CREDITOS DO EUROSISTEMA', 'FGD', 'VM DERIVADOS', 'VM REPOS', 'BEI', 'POOL TITULARIZACOES', 'REPOS', 'EUROSISTEMA', 'REVERSE REPOS'
Este campo é convertido pela tabela de parametrização LT803_CODIGOS_LT:
SELECT * FROM cd_loan_tapes_bce.lt803_codigos_lt
WHERE ref_date = (SELECT MAX(ref_date) FROM cd_loan_tapes_bce.lt803_codigos_lt )
AND campo_lt = 'SRCS_ENCMBRNC'
Aqui é apresentada a proposta de mapeamento do campo SRCS_ENCMBRNC, para o âmbito do report Valuation no segmento 'NATURALP_INSTRUMENT'.
Preocupações:
- É aplicado NVL(VALOR_LT, 1) ao output da tabela lt803_codigos_lt ou seja quando a ligação falha (o valor do campo COD_PROP não está refletido na lt803) é atribuido o valor 1 por default que não está entre as opções que o SRB pede. Poderá ser contornado adicionando à parametrização todos os casos possiveis de COD_PROP.
- Existem valores do campo COD_PROP que não estão refletidos na LT803 nomeadamente ('POOL OBRIGACOES HIPOTECARIAS', 'POOL TITULARIZACOES') Existe também uma diferença entre no valor de 'EMISSAO RETIDA NÃO UTILIZADA NEM PRESA EM POOLS' sendo que na tabela AL014_ACT_PRIM não tem acento circunflexo isto irá fazer com que a ligação falhe.</t>
  </si>
  <si>
    <t>EUROSISTEMA</t>
  </si>
  <si>
    <t>Central bank funding</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</si>
  <si>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</si>
  <si>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IM DERIVADOS</t>
  </si>
  <si>
    <t>Over-the-counter derivatives</t>
  </si>
  <si>
    <t>Over-the-counter derivatives - Over-the-counter derivatives in accordance with the EBA’s implementing technical standards on asset encumbrance reporting as referred to in Article 99(5) and Article 100 of Regulation (EU) No 575/2013.</t>
  </si>
  <si>
    <t>REVERSE REPOS</t>
  </si>
  <si>
    <t>Deposits – repurchase agreements other than to central banks</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</si>
  <si>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</si>
  <si>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REPOS</t>
  </si>
  <si>
    <t>BEI</t>
  </si>
  <si>
    <t>Other sources of encumbrance</t>
  </si>
  <si>
    <t>Other sources of encumbrance - Other sources of encumbrance in accordance with the EBA’s implementing technical standards on asset encumbrance reporting as referred to in Article 99(5) and Article 100 of Regulation (EU) No 575/2013.</t>
  </si>
  <si>
    <t>SII</t>
  </si>
  <si>
    <t>FGD</t>
  </si>
  <si>
    <t>Exchange traded derivatives</t>
  </si>
  <si>
    <t>Exchange traded derivatives in accordance with the EBA’s implementing technical standards on asset encumbrance reporting as referred to in Article 99(5) and Article 100 of Regulation (EU) No 575/2013.</t>
  </si>
  <si>
    <t>Deposits other than repurchase agreements</t>
  </si>
  <si>
    <t>Deposits other than repurchase agreements in accordance with the EBA’s implementing technical standards on asset encumbrance reporting as referred to in Article 99(5) and Article 100 of Regulation (EU) No 575/2013.</t>
  </si>
  <si>
    <t>Debt securities issued – covered bonds securities</t>
  </si>
  <si>
    <t>Covered bonds securities issued in accordance with the EBA’s implementing technical standards on asset encumbrance reporting as referred to in Article 99(5) and Article 100 of Regulation (EU) No 575/2013.</t>
  </si>
  <si>
    <t>Debt securities issued – assetbacked securities</t>
  </si>
  <si>
    <t>Asset-backed securities (ABS) issued in accordance with the EBA’s implementing technical standards on asset encumbrance reporting as referred to in Article 99(5) and Article 100 of Regulation (EU) No 575/2013.</t>
  </si>
  <si>
    <t>Debt securities issued – other than covered bonds and ABSs</t>
  </si>
  <si>
    <t>Debt securities issued other than covered bonds and ABSs in accordance with the EBA’s implementing technical standards on asset encumbrance reporting as referred to in Article 99(5) and Article 100 of Regulation (EU) No 575/2013.</t>
  </si>
  <si>
    <t>VM REPOS</t>
  </si>
  <si>
    <t>VM DERIVADOS</t>
  </si>
  <si>
    <t>Opções que existem na tabela AL014_ACT_PRIM para as quais não é feito qualquer mapeamento</t>
  </si>
  <si>
    <t>POOL DE CREDITOS DO EUROSISTEMA</t>
  </si>
  <si>
    <t>POOL OBRIGACOES HIPOTECARIAS</t>
  </si>
  <si>
    <t>POOL TITULARIZACOES</t>
  </si>
  <si>
    <t>Performing</t>
  </si>
  <si>
    <t>Segundo a especificação LT este campo é obtido através do campo STAGE_ATUAL da tabela FR004_CTO transformado, as opções de input possiveis podem ser consultadas na seguinte query:
SELECT DISTINCT CASE WHEN STAGE_ATUAL IN ('1','2') THEN '11' WHEN STAGE_ATUAL = '3' THEN '1' ELSE 'valor da coluna NULLABLE' END AS PRFRMNG_STTS FROM cd_captools.fr004_cto
Resultando nas opções: '1', '11', 'valor da coluna NULLABLE'
Este campo é convertido pela tabela de parametrização LT803_CODIGOS_LT:
SELECT * FROM cd_loan_tapes_bce.lt803_codigos_lt
WHERE ref_date = (SELECT MAX(ref_date) FROM cd_loan_tapes_bce.lt803_codigos_lt )
AND campo_lt = 'PRFRMNG_STTS'
AND ambito = 'PM'
Este query retorna como valor_origem as seguintes opções: '1', '2', '3'
Existe uma incoerência entre o que diz a expecificação e os valores_origem da tabela LT803_CODIGOS_LT. A query que está a ser utilizada para obter os valores_origem deve ser a seguinte:
SELECT DISTINCT STAGE_ATUAL AS PRFRMNG_STTS FROM cd_captools.fr004_cto 
Resultando nas opções: '1', '2', '3', ''
Aqui é apresentada a proposta de mapeamento do campo PRFRMNG_STTS, para o âmbito do report Valuation nos segmentos 'NATURALP_INSTRUMENT' e 'OFFBAL_INSTRUMENTS'.</t>
  </si>
  <si>
    <t>Non-performing</t>
  </si>
  <si>
    <t>Forborne: totally or partially refinanced debt</t>
  </si>
  <si>
    <t>Forborne: Refinanced debt</t>
  </si>
  <si>
    <t>Segundo a especificação LT este campo não passa pela tabela de parametrização LT803_CODIGOS_LT.
O campo é obtido do campo FRBRNC_STTS_INSTRMNT da tabela auxiliar do LT BCE_LT_SPRT_FRBRNC (tabela intermédia do Loan Tapes), que por sua vez produz o campo a partir do campo situacao_diferiment_reneg da tabela FR004_UNIV_CTO, seguinda a seguinte lógica:
CASE WHEN situacao_diferiment_reneg = '001' THEN '4' 
                    WHEN situacao_diferiment_reneg = '002' THEN '5' 
                    WHEN situacao_diferiment_reneg = '003' THEN '3' 
                    WHEN situacao_diferiment_reneg = '004' THEN '9'
                    WHEN situacao_diferiment_reneg IS NULL THEN '8'
                    END AS FRBRNC_STTS_INSTRMNT
O campo situacao_diferiment_reneg pode tomar os valores '001', '002', '003', '004' e NULL..
Mesmo assim a tabela lt803_codigos_lt contém uma parametrização para este campo, que pode ser consultada pela query:
SELECT * FROM cd_loan_tapes_bce.lt803_codigos_lt
WHERE ref_date = (SELECT MAX(ref_date) FROM cd_loan_tapes_bce.lt803_codigos_lt )
AND campo_lt = 'FRBRNC_STTS_INSTRMNT'
Com base neste acesso à tabela  lt803_codigos_lt, é apresentada aqui uma proposta de mapeamento do campo FRBRNC_STTS_INSTRMNT, para o âmbito do report Valuation nos segmentos 'NATURALP_INSTRUMENT' e 'OFFBAL_INSTRUMENTS'.
Preocupação:
Este campo não passa na tabela lt803_codigos_lt e não está claro neste ponto a sua forma de cálculo ou seja esta parametrização pode ser inútil, é necessário mais informação.</t>
  </si>
  <si>
    <t>Forborne: instruments with modified interest rate below market conditions</t>
  </si>
  <si>
    <t>Forborne: instruments with other modified terms and conditions</t>
  </si>
  <si>
    <t>Not forborne or renegotiated</t>
  </si>
  <si>
    <t>Renegotiated instrument without forbearance measures</t>
  </si>
  <si>
    <t>NATURALP_INSTRUMENTS, DERIVATIVES</t>
  </si>
  <si>
    <t>ativos financeiros detidos para negociacao</t>
  </si>
  <si>
    <t>Trading book</t>
  </si>
  <si>
    <t>Este campo é obtido apartir do campo CARTEIRA_CONTABILISTICA da tabela FR802_PL_CONTAS:
SELECT DISTINCT CARTEIRA_CONTABILISTICA FROM cd_captools.FR802_PL_CONTAS
Esta query retorna 108 valores possiveis.
Este campo é convertido pela tabela de parametrização LT803_CODIGOS_LT:
SELECT *  FROM cd_loan_tapes_bce.lt803_codigos_lt
WHERE ref_date = (SELECT MAX(ref_date) FROM cd_loan_tapes_bce.lt803_codigos_lt )
AND campo_lt = 'PRDNTL_PRTFL'
Aqui é apresentada a proposta de mapeamento do campo PRDNTL_PRTFL, para o âmbito do report Valuation nos segmentos 'NATURALP_INSTRUMENT' e 'DERIVATIVES'.
Preocupação:
- Ao output da ligação com a LT803_CODIGOS_LT é aplicado NVL (VALOR_LT, '2'), ou seja, não chega alterar a tabela LT803_CODIGOS_LT para replicar o output desejado pelo SRB. Uma possibilidade seria contabilizar todas as opções de CARTEIRA CONTABILISTICA nesta tabela de forma a que nunca tivesse de ser aplicada a regra NVL (VALOR_LT, '2'). Outra opção seria criar um novo campo na wallet Loan Tapes que utiliza-se o campo PRDNTL_PRTFL como input ligando-o à tabela LT803_CODIGOS_LT como uma parametrização que transformasse '1' em 'Trading book' e '2' em 'Non-Trading Book'.
- Na tabela LT002_INSTRUMENT o campo PRDNTL_PRTFL é sempre '2' - Non-trading book ou '11111111111' - Not Applicable, até ao momento nunca foi preenchida com '1'- Trading book:
SELECT DISTINCT PRDNTL_PRTFL FROM cd_loan_tapes_bce.lt002_instrument</t>
  </si>
  <si>
    <t>NATURALP_COUNTERPARTIES; OFFBAL_COUNTERPARTIES</t>
  </si>
  <si>
    <t>Segundo a especificação do LT este campo não passa na tabela LT803_CODIGOS_LT.
O seu cálculo na tabela LT003 é feito apenas para clientes que sejam 1º titulares em pelo menos um contrato, e será obtido apartir do campo DFLT_STTS_INSTRMNT da tabela LT002 segundo as regras:
Aplicar a seguinte metodologia por entidade: 
    a.Caso a entidade tenha pelo menos um contrato em Default  então: CASE WHEN COUNT(DISTINCT DFLT_STTS_INSTRMNT) &gt; 1 THEN '18' ELSE MIN(DFLT_STTS_INSTRMNT) END
        FROM
        a.1. Tratamento de ZCLIENTES com mais do que 1 DFLT_STTS_INSTRMNT (sobre este universo, desconsiderar DFLT_STTS_INSTRMNT = '14' (not in default))
        UNION ALL
        a.2. Tratamento de ZCLIENTES  com apenas 1 DFLT_STTS_INSTRMNT (sobre este universo trazer o status direto)
    b.Caso todos os contratos do mesmo cliente tenham o valor DFLT_STTS_INSTRMNT igual entre si, então DFLT_STTS = DFLT_STTS_INSTRMNT
Mesmo assim a tabela LT803_CODIGOS_LT contém uma parametrização para este campo, que pode ser consultada pela query:
SELECT * FROM cd_loan_tapes_bce.lt803_codigos_lt
WHERE ref_date = (SELECT MAX(ref_date) FROM cd_loan_tapes_bce.lt803_codigos_lt )
AND campo_lt = 'DFLT_STTS'
Com base neste acesso à tabela LT803_CODIGOS_LT, é apresentada aqui uma proposta de mapeamento do campo DFLT_STTS, para o âmbito do report Valuation nos segmentos 'NATURALP_COUNTERPARTIES' e 'OFFBAL_COUNTERPARTIES'.
Preocupação: Este campo não passa pela tabela LT803_CODIGOS_LT, é necessário encontra uma forma de contornar este problema.</t>
  </si>
  <si>
    <t>NATURALP_PROTECTIONS; OFFBAL_PROTECTIONS</t>
  </si>
  <si>
    <t>Fair value</t>
  </si>
  <si>
    <t>Este campo é obtido a partir do campo TYP_PRTCTN da tabela LT004_PROTECTION:
SELECT DISTINCT TYP_PRTCTN FROM cd_loan_tapes_bce.lt004_protection
Esta query retorna as seguintes opções '2', '3', '5', '7', '8', '9', '10', '12', '15', '18'
Este campo é convertido pela tabela de parametrização LT803_CODIGOS_LT:
SELECT *  FROM cd_loan_tapes_bce.lt803_codigos_lt
WHERE ref_date = (SELECT MAX(ref_date) FROM cd_loan_tapes_bce.lt803_codigos_lt )
AND campo_lt = 'TYP_PRTCTN_VL'
Notas sobre esta parametrização, no âmbito de PM o código 1 está associado tanto a 'Market Value' como a 'Fair value', isto não parece estar correto 
Aqui é apresentada a proposta de mapeamento do campo TYP_PRTCTN_VL, para o âmbito do report Valuation nos segmentos 'NATURALP_PROTECTIONS' e 'OFFBAL_PROTECTIONS'.</t>
  </si>
  <si>
    <t>Market value</t>
  </si>
  <si>
    <t>Market Value</t>
  </si>
  <si>
    <t>Notional amount</t>
  </si>
  <si>
    <t>Long-term sustainable value</t>
  </si>
  <si>
    <t>Other protection value</t>
  </si>
  <si>
    <t>Counterparty estimation</t>
  </si>
  <si>
    <t>Segundo a especificação do LT este campo não passa na tabela LT803_CODIGOS_LT.
Este campo é obtido a partir dos campos CFINBEM e CTRATCTA das tabelas GT009_BENS_IMOV e GT003_TRZ_GT_FIN respetivamente:
SELECT DISTINCT CFINBEM FROM cd_garantias.GT009_BENS_IMOV
SELECT DISTINCT CTRATCTA FROM cd_garantias.GT003_TRZ_GT_FIN
Os valores origem são posteriormente traduzidos pela tabela de parametrização cd_loan_tapes_bce.LT816_PARAM_PRT:
SELECT * FROM cd_loan_tapes_bce.LT816_PARAM_PRT
WHERE ref_date = (SELECT MAX(ref_date) FROM cd_loan_tapes_bce.LT816_PARAM_PRT )
AND campo = 'PRTCTN_VLTN_APPRCH'
A parametrização proposta neste documento é baseada na informação existente sobre este campo na tabela lt803_codigos_lt que pode ser consultada segundo a seguinte query:
SELECT *  FROM cd_loan_tapes_bce.lt803_codigos_lt
WHERE ref_date = (SELECT MAX(ref_date) FROM cd_loan_tapes_bce.lt803_codigos_lt )
AND campo_lt = 'PRTCTN_VLTN_APPRCH'
Preocupação: Este campo não passa pela tabela LT803_CODIGOS_LT, é necessário encontra uma forma de contornar este problema.</t>
  </si>
  <si>
    <t>Creditor valuation</t>
  </si>
  <si>
    <t>Mark-to-to-market valuation</t>
  </si>
  <si>
    <t>Mark-to-market</t>
  </si>
  <si>
    <t>Other type of valuation</t>
  </si>
  <si>
    <t>O SRB não fornece uma opção para 'Other type of valuation' nas suas opções</t>
  </si>
  <si>
    <t>Third party valuation</t>
  </si>
  <si>
    <t>Third-party valuation</t>
  </si>
  <si>
    <t>OFFBAL_COUNTERPARTIES</t>
  </si>
  <si>
    <t>Crop and animal production, hunting and related service activities</t>
  </si>
  <si>
    <t>Este campo é obtido a partir do campo CCAE da tabela CT003_UNIV_CLI:
SELECT DISTINCT TRIM(SUBSTR(CCAE,1,4)) AS CCAE FROM cd_captools.CT003_UNIV_CLI
Esta query retorna 1044 valores possíveis.
Este campo é convertido pela tabela de parametrização LT803_CODIGOS_LT:
SELECT *  FROM cd_loan_tapes_bce.lt803_codigos_lt
WHERE ref_date = (SELECT MAX(ref_date) FROM cd_loan_tapes_bce.lt803_codigos_lt )
AND campo_lt = 'ECNMC_ACTVTY'
A parametrização presente na tabela LT803_CODIGOS_LT para o ambito 'PM' é igual à pedida pelo SRB, aqui é apresentada essa parametrização.</t>
  </si>
  <si>
    <t>1.1</t>
  </si>
  <si>
    <t>Growing of non-perennial crops</t>
  </si>
  <si>
    <t>1.11</t>
  </si>
  <si>
    <t>Growing of cereals (except rice), leguminous crops and oil seeds</t>
  </si>
  <si>
    <t>1.12</t>
  </si>
  <si>
    <t>Growing of rice</t>
  </si>
  <si>
    <t>1.13</t>
  </si>
  <si>
    <t>Growing of vegetables and melons, roots and tubers</t>
  </si>
  <si>
    <t>1.14</t>
  </si>
  <si>
    <t>Growing of sugar cane</t>
  </si>
  <si>
    <t>1.15</t>
  </si>
  <si>
    <t>Growing of tobacco</t>
  </si>
  <si>
    <t>1.16</t>
  </si>
  <si>
    <t>Growing of fibre crops</t>
  </si>
  <si>
    <t>1.19</t>
  </si>
  <si>
    <t>Growing of other non-perennial crops</t>
  </si>
  <si>
    <t>1.2</t>
  </si>
  <si>
    <t>Growing of perennial crops</t>
  </si>
  <si>
    <t>1.21</t>
  </si>
  <si>
    <t>Growing of grapes</t>
  </si>
  <si>
    <t>1.22</t>
  </si>
  <si>
    <t>Growing of tropical and subtropical fruits</t>
  </si>
  <si>
    <t>1.23</t>
  </si>
  <si>
    <t>Growing of citrus fruits</t>
  </si>
  <si>
    <t>1.24</t>
  </si>
  <si>
    <t>Growing of pome fruits and stone fruits</t>
  </si>
  <si>
    <t>1.25</t>
  </si>
  <si>
    <t>Growing of other tree and bush fruits and nuts</t>
  </si>
  <si>
    <t>1.26</t>
  </si>
  <si>
    <t>Growing of oleaginous fruits</t>
  </si>
  <si>
    <t>1.27</t>
  </si>
  <si>
    <t>Growing of beverage crops</t>
  </si>
  <si>
    <t>1.28</t>
  </si>
  <si>
    <t>Growing of spices, aromatic, drug and pharmaceutical crops</t>
  </si>
  <si>
    <t>1.29</t>
  </si>
  <si>
    <t>Growing of other perennial crops</t>
  </si>
  <si>
    <t>1.3</t>
  </si>
  <si>
    <t>Plant propagation</t>
  </si>
  <si>
    <t>1.4</t>
  </si>
  <si>
    <t>Animal production</t>
  </si>
  <si>
    <t>1.41</t>
  </si>
  <si>
    <t>Raising of dairy cattle</t>
  </si>
  <si>
    <t>1.42</t>
  </si>
  <si>
    <t>Raising of other cattle and buffaloes</t>
  </si>
  <si>
    <t>1.43</t>
  </si>
  <si>
    <t>Raising of horses and other equines</t>
  </si>
  <si>
    <t>1.44</t>
  </si>
  <si>
    <t>Raising of camels and camelids</t>
  </si>
  <si>
    <t>1.45</t>
  </si>
  <si>
    <t>Raising of sheep and goats</t>
  </si>
  <si>
    <t>1.46</t>
  </si>
  <si>
    <t>Raising of swine/pigs</t>
  </si>
  <si>
    <t>1.47</t>
  </si>
  <si>
    <t>Raising of poultry</t>
  </si>
  <si>
    <t>1.49</t>
  </si>
  <si>
    <t>Raising of other animals</t>
  </si>
  <si>
    <t>1.5</t>
  </si>
  <si>
    <t>Mixed farming</t>
  </si>
  <si>
    <t>1.6</t>
  </si>
  <si>
    <t>Support activities to agriculture and post-harvest crop activities</t>
  </si>
  <si>
    <t>1.61</t>
  </si>
  <si>
    <t>Support activities for crop production</t>
  </si>
  <si>
    <t>1.62</t>
  </si>
  <si>
    <t>Support activities for animal production</t>
  </si>
  <si>
    <t>1.63</t>
  </si>
  <si>
    <t>Post-harvest crop activities</t>
  </si>
  <si>
    <t>1.64</t>
  </si>
  <si>
    <t>Seed processing for propagation</t>
  </si>
  <si>
    <t>1.7</t>
  </si>
  <si>
    <t>Hunting, trapping and related service activities</t>
  </si>
  <si>
    <t>Forestry and logging</t>
  </si>
  <si>
    <t>2.1</t>
  </si>
  <si>
    <t>Silviculture and other forestry activities</t>
  </si>
  <si>
    <t>2.2</t>
  </si>
  <si>
    <t>Logging</t>
  </si>
  <si>
    <t>2.3</t>
  </si>
  <si>
    <t>Gathering of wild growing non-wood products</t>
  </si>
  <si>
    <t>2.4</t>
  </si>
  <si>
    <t>Support services to forestry</t>
  </si>
  <si>
    <t>Fishing and aquaculture</t>
  </si>
  <si>
    <t>3.1</t>
  </si>
  <si>
    <t>Fishing</t>
  </si>
  <si>
    <t>3.11</t>
  </si>
  <si>
    <t>Marine fishing</t>
  </si>
  <si>
    <t>3.12</t>
  </si>
  <si>
    <t>Freshwater fishing</t>
  </si>
  <si>
    <t>3.2</t>
  </si>
  <si>
    <t>Aquaculture</t>
  </si>
  <si>
    <t>3.21</t>
  </si>
  <si>
    <t>Marine aquaculture</t>
  </si>
  <si>
    <t>3.22</t>
  </si>
  <si>
    <t>Freshwater aquaculture</t>
  </si>
  <si>
    <t>Mining of coal and lignite</t>
  </si>
  <si>
    <t>5.1</t>
  </si>
  <si>
    <t>Mining of hard coal</t>
  </si>
  <si>
    <t>5.2</t>
  </si>
  <si>
    <t>Mining of lignite</t>
  </si>
  <si>
    <t>Extraction of crude petroleum and natural gas</t>
  </si>
  <si>
    <t>6.1</t>
  </si>
  <si>
    <t>Extraction of crude petroleum</t>
  </si>
  <si>
    <t>6.2</t>
  </si>
  <si>
    <t>Extraction of natural gas</t>
  </si>
  <si>
    <t>Mining of metal ores</t>
  </si>
  <si>
    <t>7.1</t>
  </si>
  <si>
    <t>Mining of iron ores</t>
  </si>
  <si>
    <t>7.2</t>
  </si>
  <si>
    <t>Mining of non-ferrous metal ores</t>
  </si>
  <si>
    <t>7.21</t>
  </si>
  <si>
    <t>Mining of uranium and thorium ores</t>
  </si>
  <si>
    <t>7.29</t>
  </si>
  <si>
    <t>Mining of other non-ferrous metal ores</t>
  </si>
  <si>
    <t>Other mining and quarrying</t>
  </si>
  <si>
    <t>8.1</t>
  </si>
  <si>
    <t>Quarrying of stone, sand and clay</t>
  </si>
  <si>
    <t>8.11</t>
  </si>
  <si>
    <t>Quarrying of ornamental and building stone, limestone, gypsum, chalk and slate</t>
  </si>
  <si>
    <t>8.12</t>
  </si>
  <si>
    <t>Operation of gravel and sand pits; mining of clays and kaolin</t>
  </si>
  <si>
    <t>8.9</t>
  </si>
  <si>
    <t>Mining and quarrying n.e.c.</t>
  </si>
  <si>
    <t>8.91</t>
  </si>
  <si>
    <t>Mining of chemical and fertiliser minerals</t>
  </si>
  <si>
    <t>8.92</t>
  </si>
  <si>
    <t>Extraction of peat</t>
  </si>
  <si>
    <t>8.93</t>
  </si>
  <si>
    <t>Extraction of salt</t>
  </si>
  <si>
    <t>8.99</t>
  </si>
  <si>
    <t>Other mining and quarrying n.e.c.</t>
  </si>
  <si>
    <t>Mining support service activities</t>
  </si>
  <si>
    <t>9.1</t>
  </si>
  <si>
    <t>Support activities for petroleum and natural gas extraction</t>
  </si>
  <si>
    <t>9.9</t>
  </si>
  <si>
    <t>Support activities for other mining and quarrying</t>
  </si>
  <si>
    <t>Manufacture of food products</t>
  </si>
  <si>
    <t>10.1</t>
  </si>
  <si>
    <t>Processing and preserving of meat and production of meat products</t>
  </si>
  <si>
    <t>10.11</t>
  </si>
  <si>
    <t>Processing and preserving of meat</t>
  </si>
  <si>
    <t>10.12</t>
  </si>
  <si>
    <t>Processing and preserving of poultry meat</t>
  </si>
  <si>
    <t>10.13</t>
  </si>
  <si>
    <t>Production of meat and poultry meat products</t>
  </si>
  <si>
    <t>10.2</t>
  </si>
  <si>
    <t>Processing and preserving of fish, crustaceans and molluscs</t>
  </si>
  <si>
    <t>10.3</t>
  </si>
  <si>
    <t>Processing and preserving of fruit and vegetables</t>
  </si>
  <si>
    <t>10.31</t>
  </si>
  <si>
    <t>Processing and preserving of potatoes</t>
  </si>
  <si>
    <t>10.32</t>
  </si>
  <si>
    <t>Manufacture of fruit and vegetable juice</t>
  </si>
  <si>
    <t>10.39</t>
  </si>
  <si>
    <t>Other processing and preserving of fruit and vegetables</t>
  </si>
  <si>
    <t>10.4</t>
  </si>
  <si>
    <t>Manufacture of vegetable and animal oils and fats</t>
  </si>
  <si>
    <t>10.41</t>
  </si>
  <si>
    <t>Manufacture of oils and fats</t>
  </si>
  <si>
    <t>10.42</t>
  </si>
  <si>
    <t>Manufacture of margarine and similar edible fats</t>
  </si>
  <si>
    <t>10.5</t>
  </si>
  <si>
    <t>Manufacture of dairy products</t>
  </si>
  <si>
    <t>10.51</t>
  </si>
  <si>
    <t>Operation of dairies and cheese making</t>
  </si>
  <si>
    <t>10.52</t>
  </si>
  <si>
    <t>Manufacture of ice cream</t>
  </si>
  <si>
    <t>10.6</t>
  </si>
  <si>
    <t>Manufacture of grain mill products, starches and starch products</t>
  </si>
  <si>
    <t>10.61</t>
  </si>
  <si>
    <t>Manufacture of grain mill products</t>
  </si>
  <si>
    <t>10.62</t>
  </si>
  <si>
    <t>Manufacture of starches and starch products</t>
  </si>
  <si>
    <t>10.7</t>
  </si>
  <si>
    <t>Manufacture of bakery and farinaceous products</t>
  </si>
  <si>
    <t>10.71</t>
  </si>
  <si>
    <t>Manufacture of bread; manufacture of fresh pastry goods and cakes</t>
  </si>
  <si>
    <t>10.72</t>
  </si>
  <si>
    <t>Manufacture of rusks and biscuits; manufacture of preserved pastry goods and cakes</t>
  </si>
  <si>
    <t>10.73</t>
  </si>
  <si>
    <t>Manufacture of macaroni, noodles, couscous and similar farinaceous products</t>
  </si>
  <si>
    <t>10.8</t>
  </si>
  <si>
    <t>Manufacture of other food products</t>
  </si>
  <si>
    <t>10.81</t>
  </si>
  <si>
    <t>Manufacture of sugar</t>
  </si>
  <si>
    <t>10.82</t>
  </si>
  <si>
    <t>Manufacture of cocoa, chocolate and sugar confectionery</t>
  </si>
  <si>
    <t>10.83</t>
  </si>
  <si>
    <t>Processing of tea and coffee</t>
  </si>
  <si>
    <t>10.84</t>
  </si>
  <si>
    <t>Manufacture of condiments and seasonings</t>
  </si>
  <si>
    <t>10.85</t>
  </si>
  <si>
    <t>Manufacture of prepared meals and dishes</t>
  </si>
  <si>
    <t>10.86</t>
  </si>
  <si>
    <t>Manufacture of homogenised food preparations and dietetic food</t>
  </si>
  <si>
    <t>10.89</t>
  </si>
  <si>
    <t>Manufacture of other food products n.e.c.</t>
  </si>
  <si>
    <t>10.9</t>
  </si>
  <si>
    <t>Manufacture of prepared animal feeds</t>
  </si>
  <si>
    <t>10.91</t>
  </si>
  <si>
    <t>Manufacture of prepared feeds for farm animals</t>
  </si>
  <si>
    <t>10.92</t>
  </si>
  <si>
    <t>Manufacture of prepared pet foods</t>
  </si>
  <si>
    <t>Manufacture of beverages</t>
  </si>
  <si>
    <t>11.01</t>
  </si>
  <si>
    <t>Distilling, rectifying and blending of spirits</t>
  </si>
  <si>
    <t>11.02</t>
  </si>
  <si>
    <t>Manufacture of wine from grape</t>
  </si>
  <si>
    <t>11.03</t>
  </si>
  <si>
    <t>Manufacture of cider and other fruit wines</t>
  </si>
  <si>
    <t>11.04</t>
  </si>
  <si>
    <t>Manufacture of other non-distilled fermented beverages</t>
  </si>
  <si>
    <t>11.05</t>
  </si>
  <si>
    <t>Manufacture of beer</t>
  </si>
  <si>
    <t>11.06</t>
  </si>
  <si>
    <t>Manufacture of malt</t>
  </si>
  <si>
    <t>11.07</t>
  </si>
  <si>
    <t>Manufacture of soft drinks; production of mineral waters and other bottled waters</t>
  </si>
  <si>
    <t>Manufacture of tobacco products</t>
  </si>
  <si>
    <t>Manufacture of textiles</t>
  </si>
  <si>
    <t>13.1</t>
  </si>
  <si>
    <t>Preparation and spinning of textile fibres</t>
  </si>
  <si>
    <t>13.2</t>
  </si>
  <si>
    <t>Weaving of textiles</t>
  </si>
  <si>
    <t>13.3</t>
  </si>
  <si>
    <t>Finishing of textiles</t>
  </si>
  <si>
    <t>13.9</t>
  </si>
  <si>
    <t>Manufacture of other textiles</t>
  </si>
  <si>
    <t>13.91</t>
  </si>
  <si>
    <t>Manufacture of knitted and crocheted fabrics</t>
  </si>
  <si>
    <t>13.92</t>
  </si>
  <si>
    <t>Manufacture of made-up textile articles, except apparel</t>
  </si>
  <si>
    <t>13.93</t>
  </si>
  <si>
    <t>Manufacture of carpets and rugs</t>
  </si>
  <si>
    <t>13.94</t>
  </si>
  <si>
    <t>Manufacture of cordage, rope, twine and netting</t>
  </si>
  <si>
    <t>13.95</t>
  </si>
  <si>
    <t>Manufacture of non-wovens and articles made from non-wovens, except apparel</t>
  </si>
  <si>
    <t>13.96</t>
  </si>
  <si>
    <t>Manufacture of other technical and industrial textiles</t>
  </si>
  <si>
    <t>13.99</t>
  </si>
  <si>
    <t>Manufacture of other textiles n.e.c.</t>
  </si>
  <si>
    <t>Manufacture of wearing apparel</t>
  </si>
  <si>
    <t>14.1</t>
  </si>
  <si>
    <t>Manufacture of wearing apparel, except fur apparel</t>
  </si>
  <si>
    <t>14.11</t>
  </si>
  <si>
    <t>Manufacture of leather clothes</t>
  </si>
  <si>
    <t>14.12</t>
  </si>
  <si>
    <t>Manufacture of workwear</t>
  </si>
  <si>
    <t>14.13</t>
  </si>
  <si>
    <t>Manufacture of other outerwear</t>
  </si>
  <si>
    <t>14.14</t>
  </si>
  <si>
    <t>Manufacture of underwear</t>
  </si>
  <si>
    <t>14.19</t>
  </si>
  <si>
    <t>Manufacture of other wearing apparel and accessories</t>
  </si>
  <si>
    <t>14.2</t>
  </si>
  <si>
    <t>Manufacture of articles of fur</t>
  </si>
  <si>
    <t>14.3</t>
  </si>
  <si>
    <t>Manufacture of knitted and crocheted apparel</t>
  </si>
  <si>
    <t>14.31</t>
  </si>
  <si>
    <t>Manufacture of knitted and crocheted hosiery</t>
  </si>
  <si>
    <t>14.39</t>
  </si>
  <si>
    <t>Manufacture of other knitted and crocheted apparel</t>
  </si>
  <si>
    <t>Manufacture of leather and related products</t>
  </si>
  <si>
    <t>15.1</t>
  </si>
  <si>
    <t>Tanning and dressing of leather; manufacture of luggage, handbags, saddlery and harness; dressing and dyeing of fur</t>
  </si>
  <si>
    <t>15.11</t>
  </si>
  <si>
    <t>Tanning and dressing of leather; dressing and dyeing of fur</t>
  </si>
  <si>
    <t>15.12</t>
  </si>
  <si>
    <t>Manufacture of luggage, handbags and the like, saddlery and harness</t>
  </si>
  <si>
    <t>15.2</t>
  </si>
  <si>
    <t>Manufacture of footwear</t>
  </si>
  <si>
    <t>Manufacture of wood and of products of wood and cork, except furniture; manufacture of articles of straw and plaiting materials</t>
  </si>
  <si>
    <t>16.1</t>
  </si>
  <si>
    <t>Sawmilling and planing of wood</t>
  </si>
  <si>
    <t>16.2</t>
  </si>
  <si>
    <t>Manufacture of products of wood, cork, straw and plaiting materials</t>
  </si>
  <si>
    <t>16.21</t>
  </si>
  <si>
    <t>Manufacture of veneer sheets and wood-based panels</t>
  </si>
  <si>
    <t>16.22</t>
  </si>
  <si>
    <t>Manufacture of assembled parquet floors</t>
  </si>
  <si>
    <t>16.23</t>
  </si>
  <si>
    <t>Manufacture of other builders' carpentry and joinery</t>
  </si>
  <si>
    <t>16.24</t>
  </si>
  <si>
    <t>Manufacture of wooden containers</t>
  </si>
  <si>
    <t>16.29</t>
  </si>
  <si>
    <t>Manufacture of other products of wood; manufacture of articles of cork, straw and plaiting materials</t>
  </si>
  <si>
    <t>Manufacture of paper and paper products</t>
  </si>
  <si>
    <t>17.1</t>
  </si>
  <si>
    <t>Manufacture of pulp, paper and paperboard</t>
  </si>
  <si>
    <t>17.11</t>
  </si>
  <si>
    <t>Manufacture of pulp</t>
  </si>
  <si>
    <t>17.12</t>
  </si>
  <si>
    <t>Manufacture of paper and paperboard</t>
  </si>
  <si>
    <t>17.2</t>
  </si>
  <si>
    <t>Manufacture of articles of paper and paperboard</t>
  </si>
  <si>
    <t>17.21</t>
  </si>
  <si>
    <t>Manufacture of corrugated paper and paperboard and of containers of paper and paperboard</t>
  </si>
  <si>
    <t>17.22</t>
  </si>
  <si>
    <t>Manufacture of household and sanitary goods and of toilet requisites</t>
  </si>
  <si>
    <t>17.23</t>
  </si>
  <si>
    <t>Manufacture of paper stationery</t>
  </si>
  <si>
    <t>17.24</t>
  </si>
  <si>
    <t>Manufacture of wallpaper</t>
  </si>
  <si>
    <t>17.29</t>
  </si>
  <si>
    <t>Manufacture of other articles of paper and paperboard</t>
  </si>
  <si>
    <t>Printing and reproduction of recorded media</t>
  </si>
  <si>
    <t>18.1</t>
  </si>
  <si>
    <t>Printing and service activities related to printing</t>
  </si>
  <si>
    <t>18.11</t>
  </si>
  <si>
    <t>Printing of newspapers</t>
  </si>
  <si>
    <t>18.12</t>
  </si>
  <si>
    <t>Other printing</t>
  </si>
  <si>
    <t>18.13</t>
  </si>
  <si>
    <t>Pre-press and pre-media services</t>
  </si>
  <si>
    <t>18.14</t>
  </si>
  <si>
    <t>Binding and related services</t>
  </si>
  <si>
    <t>18.2</t>
  </si>
  <si>
    <t>Reproduction of recorded media</t>
  </si>
  <si>
    <t>Manufacture of coke and refined petroleum products</t>
  </si>
  <si>
    <t>19.1</t>
  </si>
  <si>
    <t>Manufacture of coke oven products</t>
  </si>
  <si>
    <t>19.2</t>
  </si>
  <si>
    <t>Manufacture of refined petroleum products</t>
  </si>
  <si>
    <t>Manufacture of chemicals and chemical products</t>
  </si>
  <si>
    <t>20.1</t>
  </si>
  <si>
    <t>Manufacture of basic chemicals, fertilisers and nitrogen compounds, plastics and synthetic rubber in primary forms</t>
  </si>
  <si>
    <t>20.11</t>
  </si>
  <si>
    <t>Manufacture of industrial gases</t>
  </si>
  <si>
    <t>20.12</t>
  </si>
  <si>
    <t>Manufacture of dyes and pigments</t>
  </si>
  <si>
    <t>20.13</t>
  </si>
  <si>
    <t>Manufacture of other inorganic basic chemicals</t>
  </si>
  <si>
    <t>20.14</t>
  </si>
  <si>
    <t>Manufacture of other organic basic chemicals</t>
  </si>
  <si>
    <t>20.15</t>
  </si>
  <si>
    <t>Manufacture of fertilisers and nitrogen compounds</t>
  </si>
  <si>
    <t>20.16</t>
  </si>
  <si>
    <t>Manufacture of plastics in primary forms</t>
  </si>
  <si>
    <t>20.17</t>
  </si>
  <si>
    <t>Manufacture of synthetic rubber in primary forms</t>
  </si>
  <si>
    <t>20.2</t>
  </si>
  <si>
    <t>Manufacture of pesticides and other agrochemical products</t>
  </si>
  <si>
    <t>20.3</t>
  </si>
  <si>
    <t>Manufacture of paints, varnishes and similar coatings, printing ink and mastics</t>
  </si>
  <si>
    <t>20.4</t>
  </si>
  <si>
    <t>Manufacture of soap and detergents, cleaning and polishing preparations, perfumes and toilet preparations</t>
  </si>
  <si>
    <t>20.41</t>
  </si>
  <si>
    <t>Manufacture of soap and detergents, cleaning and polishing preparations</t>
  </si>
  <si>
    <t>20.42</t>
  </si>
  <si>
    <t>Manufacture of perfumes and toilet preparations</t>
  </si>
  <si>
    <t>20.5</t>
  </si>
  <si>
    <t>Manufacture of other chemical products</t>
  </si>
  <si>
    <t>20.51</t>
  </si>
  <si>
    <t>Manufacture of explosives</t>
  </si>
  <si>
    <t>20.52</t>
  </si>
  <si>
    <t>Manufacture of glues</t>
  </si>
  <si>
    <t>20.53</t>
  </si>
  <si>
    <t>Manufacture of essential oils</t>
  </si>
  <si>
    <t>20.59</t>
  </si>
  <si>
    <t>Manufacture of other chemical products n.e.c.</t>
  </si>
  <si>
    <t>20.6</t>
  </si>
  <si>
    <t>Manufacture of man-made fibres</t>
  </si>
  <si>
    <t>Manufacture of basic pharmaceutical products and pharmaceutical preparations</t>
  </si>
  <si>
    <t>21.1</t>
  </si>
  <si>
    <t>Manufacture of basic pharmaceutical products</t>
  </si>
  <si>
    <t>21.2</t>
  </si>
  <si>
    <t>Manufacture of pharmaceutical preparations</t>
  </si>
  <si>
    <t>Manufacture of rubber and plastic products</t>
  </si>
  <si>
    <t>22.1</t>
  </si>
  <si>
    <t>Manufacture of rubber products</t>
  </si>
  <si>
    <t>22.11</t>
  </si>
  <si>
    <t>Manufacture of rubber tyres and tubes; retreading and rebuilding of rubber tyres</t>
  </si>
  <si>
    <t>22.19</t>
  </si>
  <si>
    <t>Manufacture of other rubber products</t>
  </si>
  <si>
    <t>22.2</t>
  </si>
  <si>
    <t>Manufacture of plastic products</t>
  </si>
  <si>
    <t>22.21</t>
  </si>
  <si>
    <t>Manufacture of plastic plates, sheets, tubes and profiles</t>
  </si>
  <si>
    <t>22.22</t>
  </si>
  <si>
    <t>Manufacture of plastic packing goods</t>
  </si>
  <si>
    <t>22.23</t>
  </si>
  <si>
    <t>Manufacture of builders' ware of plastic</t>
  </si>
  <si>
    <t>22.29</t>
  </si>
  <si>
    <t>Manufacture of other plastic products</t>
  </si>
  <si>
    <t>Manufacture of other non-metallic mineral products</t>
  </si>
  <si>
    <t>23.1</t>
  </si>
  <si>
    <t>Manufacture of glass and glass products</t>
  </si>
  <si>
    <t>23.11</t>
  </si>
  <si>
    <t>Manufacture of flat glass</t>
  </si>
  <si>
    <t>23.12</t>
  </si>
  <si>
    <t>Shaping and processing of flat glass</t>
  </si>
  <si>
    <t>23.13</t>
  </si>
  <si>
    <t>Manufacture of hollow glass</t>
  </si>
  <si>
    <t>23.14</t>
  </si>
  <si>
    <t>Manufacture of glass fibres</t>
  </si>
  <si>
    <t>23.19</t>
  </si>
  <si>
    <t>Manufacture and processing of other glass, including technical glassware</t>
  </si>
  <si>
    <t>23.2</t>
  </si>
  <si>
    <t>Manufacture of refractory products</t>
  </si>
  <si>
    <t>23.3</t>
  </si>
  <si>
    <t>Manufacture of clay building materials</t>
  </si>
  <si>
    <t>23.31</t>
  </si>
  <si>
    <t>Manufacture of ceramic tiles and flags</t>
  </si>
  <si>
    <t>23.32</t>
  </si>
  <si>
    <t>Manufacture of bricks, tiles and construction products, in baked clay</t>
  </si>
  <si>
    <t>23.4</t>
  </si>
  <si>
    <t>Manufacture of other porcelain and ceramic products</t>
  </si>
  <si>
    <t>23.41</t>
  </si>
  <si>
    <t>Manufacture of ceramic household and ornamental articles</t>
  </si>
  <si>
    <t>23.42</t>
  </si>
  <si>
    <t>Manufacture of ceramic sanitary fixtures</t>
  </si>
  <si>
    <t>23.43</t>
  </si>
  <si>
    <t>Manufacture of ceramic insulators and insulating fittings</t>
  </si>
  <si>
    <t>23.44</t>
  </si>
  <si>
    <t>Manufacture of other technical ceramic products</t>
  </si>
  <si>
    <t>23.49</t>
  </si>
  <si>
    <t>Manufacture of other ceramic products</t>
  </si>
  <si>
    <t>23.5</t>
  </si>
  <si>
    <t>Manufacture of cement, lime and plaster</t>
  </si>
  <si>
    <t>23.51</t>
  </si>
  <si>
    <t>Manufacture of cement</t>
  </si>
  <si>
    <t>23.52</t>
  </si>
  <si>
    <t>Manufacture of lime and plaster</t>
  </si>
  <si>
    <t>23.6</t>
  </si>
  <si>
    <t>Manufacture of articles of concrete, cement and plaster</t>
  </si>
  <si>
    <t>23.61</t>
  </si>
  <si>
    <t>Manufacture of concrete products for construction purposes</t>
  </si>
  <si>
    <t>23.62</t>
  </si>
  <si>
    <t>Manufacture of plaster products for construction purposes</t>
  </si>
  <si>
    <t>23.63</t>
  </si>
  <si>
    <t>Manufacture of ready-mixed concrete</t>
  </si>
  <si>
    <t>23.64</t>
  </si>
  <si>
    <t>Manufacture of mortars</t>
  </si>
  <si>
    <t>23.65</t>
  </si>
  <si>
    <t>Manufacture of fibre cement</t>
  </si>
  <si>
    <t>23.69</t>
  </si>
  <si>
    <t>Manufacture of other articles of concrete, plaster and cement</t>
  </si>
  <si>
    <t>23.7</t>
  </si>
  <si>
    <t>Cutting, shaping and finishing of stone</t>
  </si>
  <si>
    <t>23.9</t>
  </si>
  <si>
    <t>Manufacture of abrasive products and non-metallic mineral products n.e.c.</t>
  </si>
  <si>
    <t>23.91</t>
  </si>
  <si>
    <t>Production of abrasive products</t>
  </si>
  <si>
    <t>23.99</t>
  </si>
  <si>
    <t>Manufacture of other non-metallic mineral products n.e.c.</t>
  </si>
  <si>
    <t>Manufacture of basic metals</t>
  </si>
  <si>
    <t>24.1</t>
  </si>
  <si>
    <t>Manufacture of basic iron and steel and of ferro-alloys</t>
  </si>
  <si>
    <t>24.2</t>
  </si>
  <si>
    <t>Manufacture of tubes, pipes, hollow profiles and related fittings, of steel</t>
  </si>
  <si>
    <t>24.3</t>
  </si>
  <si>
    <t>Manufacture of other products of first processing of steel</t>
  </si>
  <si>
    <t>24.31</t>
  </si>
  <si>
    <t>Cold drawing of bars</t>
  </si>
  <si>
    <t>24.32</t>
  </si>
  <si>
    <t>Cold rolling of narrow strip</t>
  </si>
  <si>
    <t>24.33</t>
  </si>
  <si>
    <t>Cold forming or folding</t>
  </si>
  <si>
    <t>24.34</t>
  </si>
  <si>
    <t>Cold drawing of wire</t>
  </si>
  <si>
    <t>24.4</t>
  </si>
  <si>
    <t>Manufacture of basic precious and other non-ferrous metals</t>
  </si>
  <si>
    <t>24.41</t>
  </si>
  <si>
    <t>Precious metals production</t>
  </si>
  <si>
    <t>24.42</t>
  </si>
  <si>
    <t>Aluminium production</t>
  </si>
  <si>
    <t>24.43</t>
  </si>
  <si>
    <t>Lead, zinc and tin production</t>
  </si>
  <si>
    <t>24.44</t>
  </si>
  <si>
    <t>Copper production</t>
  </si>
  <si>
    <t>24.45</t>
  </si>
  <si>
    <t>Other non-ferrous metal production</t>
  </si>
  <si>
    <t>24.46</t>
  </si>
  <si>
    <t>Processing of nuclear fuel</t>
  </si>
  <si>
    <t>24.5</t>
  </si>
  <si>
    <t>Casting of metals</t>
  </si>
  <si>
    <t>24.51</t>
  </si>
  <si>
    <t>Casting of iron</t>
  </si>
  <si>
    <t>24.52</t>
  </si>
  <si>
    <t>Casting of steel</t>
  </si>
  <si>
    <t>24.53</t>
  </si>
  <si>
    <t>Casting of light metals</t>
  </si>
  <si>
    <t>24.54</t>
  </si>
  <si>
    <t>Casting of other non-ferrous metals</t>
  </si>
  <si>
    <t>Manufacture of fabricated metal products, except machinery and equipment</t>
  </si>
  <si>
    <t>25.1</t>
  </si>
  <si>
    <t>Manufacture of structural metal products</t>
  </si>
  <si>
    <t>25.11</t>
  </si>
  <si>
    <t>Manufacture of metal structures and parts of structures</t>
  </si>
  <si>
    <t>25.12</t>
  </si>
  <si>
    <t>Manufacture of doors and windows of metal</t>
  </si>
  <si>
    <t>25.2</t>
  </si>
  <si>
    <t>Manufacture of tanks, reservoirs and containers of metal</t>
  </si>
  <si>
    <t>25.21</t>
  </si>
  <si>
    <t>Manufacture of central heating radiators and boilers</t>
  </si>
  <si>
    <t>25.29</t>
  </si>
  <si>
    <t>Manufacture of other tanks, reservoirs and containers of metal</t>
  </si>
  <si>
    <t>25.3</t>
  </si>
  <si>
    <t>Manufacture of steam generators, except central heating hot water boilers</t>
  </si>
  <si>
    <t>25.4</t>
  </si>
  <si>
    <t>Manufacture of weapons and ammunition</t>
  </si>
  <si>
    <t>25.5</t>
  </si>
  <si>
    <t>Forging, pressing, stamping and roll-forming of metal; powder metallurgy</t>
  </si>
  <si>
    <t>25.6</t>
  </si>
  <si>
    <t>Treatment and coating of metals; machining</t>
  </si>
  <si>
    <t>25.61</t>
  </si>
  <si>
    <t>Treatment and coating of metals</t>
  </si>
  <si>
    <t>25.62</t>
  </si>
  <si>
    <t>Machining</t>
  </si>
  <si>
    <t>25.7</t>
  </si>
  <si>
    <t>Manufacture of cutlery, tools and general hardware</t>
  </si>
  <si>
    <t>25.71</t>
  </si>
  <si>
    <t>Manufacture of cutlery</t>
  </si>
  <si>
    <t>25.72</t>
  </si>
  <si>
    <t>Manufacture of locks and hinges</t>
  </si>
  <si>
    <t>25.73</t>
  </si>
  <si>
    <t>Manufacture of tools</t>
  </si>
  <si>
    <t>25.9</t>
  </si>
  <si>
    <t>Manufacture of other fabricated metal products</t>
  </si>
  <si>
    <t>25.91</t>
  </si>
  <si>
    <t>Manufacture of steel drums and similar containers</t>
  </si>
  <si>
    <t>25.92</t>
  </si>
  <si>
    <t>Manufacture of light metal packaging</t>
  </si>
  <si>
    <t>25.93</t>
  </si>
  <si>
    <t>Manufacture of wire products, chain and springs</t>
  </si>
  <si>
    <t>25.94</t>
  </si>
  <si>
    <t>Manufacture of fasteners and screw machine products</t>
  </si>
  <si>
    <t>Manufacture of other fabricated metal products n.e.c.</t>
  </si>
  <si>
    <t>25.99</t>
  </si>
  <si>
    <t>Manufacture of computer, electronic and optical products</t>
  </si>
  <si>
    <t>26.1</t>
  </si>
  <si>
    <t>Manufacture of electronic components and boards</t>
  </si>
  <si>
    <t>26.11</t>
  </si>
  <si>
    <t>Manufacture of electronic components</t>
  </si>
  <si>
    <t>26.12</t>
  </si>
  <si>
    <t>Manufacture of loaded electronic boards</t>
  </si>
  <si>
    <t>26.2</t>
  </si>
  <si>
    <t>Manufacture of computers and peripheral equipment</t>
  </si>
  <si>
    <t>26.3</t>
  </si>
  <si>
    <t>Manufacture of communication equipment</t>
  </si>
  <si>
    <t>26.4</t>
  </si>
  <si>
    <t>Manufacture of consumer electronics</t>
  </si>
  <si>
    <t>26.5</t>
  </si>
  <si>
    <t>Manufacture of instruments and appliances for measuring, testing and navigation; watches and clocks</t>
  </si>
  <si>
    <t>26.51</t>
  </si>
  <si>
    <t>Manufacture of instruments and appliances for measuring, testing and navigation</t>
  </si>
  <si>
    <t>26.52</t>
  </si>
  <si>
    <t>Manufacture of watches and clocks</t>
  </si>
  <si>
    <t>26.6</t>
  </si>
  <si>
    <t>Manufacture of irradiation, electromedical and electrotherapeutic equipment</t>
  </si>
  <si>
    <t>26.7</t>
  </si>
  <si>
    <t>Manufacture of optical instruments and photographic equipment</t>
  </si>
  <si>
    <t>26.8</t>
  </si>
  <si>
    <t>Manufacture of magnetic and optical media</t>
  </si>
  <si>
    <t>Manufacture of electrical equipment</t>
  </si>
  <si>
    <t>27.1</t>
  </si>
  <si>
    <t>Manufacture of electric motors, generators, transformers and electricity distribution and control apparatus</t>
  </si>
  <si>
    <t>27.11</t>
  </si>
  <si>
    <t>Manufacture of electric motors, generators and transformers</t>
  </si>
  <si>
    <t>27.12</t>
  </si>
  <si>
    <t>Manufacture of electricity distribution and control apparatus</t>
  </si>
  <si>
    <t>27.2</t>
  </si>
  <si>
    <t>Manufacture of batteries and accumulators</t>
  </si>
  <si>
    <t>27.3</t>
  </si>
  <si>
    <t>Manufacture of wiring and wiring devices</t>
  </si>
  <si>
    <t>27.31</t>
  </si>
  <si>
    <t>Manufacture of fibre optic cables</t>
  </si>
  <si>
    <t>27.32</t>
  </si>
  <si>
    <t>Manufacture of other electronic and electric wires and cables</t>
  </si>
  <si>
    <t>27.33</t>
  </si>
  <si>
    <t>Manufacture of wiring devices</t>
  </si>
  <si>
    <t>27.4</t>
  </si>
  <si>
    <t>Manufacture of electric lighting equipment</t>
  </si>
  <si>
    <t>27.5</t>
  </si>
  <si>
    <t>Manufacture of domestic appliances</t>
  </si>
  <si>
    <t>27.51</t>
  </si>
  <si>
    <t>Manufacture of electric domestic appliances</t>
  </si>
  <si>
    <t>27.52</t>
  </si>
  <si>
    <t>Manufacture of non-electric domestic appliances</t>
  </si>
  <si>
    <t>27.9</t>
  </si>
  <si>
    <t>Manufacture of other electrical equipment</t>
  </si>
  <si>
    <t>Manufacture of machinery and equipment n.e.c.</t>
  </si>
  <si>
    <t>28.1</t>
  </si>
  <si>
    <t>Manufacture of general-purpose machinery</t>
  </si>
  <si>
    <t>28.11</t>
  </si>
  <si>
    <t>Manufacture of engines and turbines, except aircraft, vehicle and cycle engines</t>
  </si>
  <si>
    <t>28.12</t>
  </si>
  <si>
    <t>Manufacture of fluid power equipment</t>
  </si>
  <si>
    <t>28.13</t>
  </si>
  <si>
    <t>Manufacture of other pumps and compressors</t>
  </si>
  <si>
    <t>28.14</t>
  </si>
  <si>
    <t>Manufacture of other taps and valves</t>
  </si>
  <si>
    <t>28.15</t>
  </si>
  <si>
    <t>Manufacture of bearings, gears, gearing and driving elements</t>
  </si>
  <si>
    <t>28.2</t>
  </si>
  <si>
    <t>Manufacture of other general-purpose machinery</t>
  </si>
  <si>
    <t>28.21</t>
  </si>
  <si>
    <t>Manufacture of ovens, furnaces and furnace burners</t>
  </si>
  <si>
    <t>28.22</t>
  </si>
  <si>
    <t>Manufacture of lifting and handling equipment</t>
  </si>
  <si>
    <t>28.23</t>
  </si>
  <si>
    <t>Manufacture of office machinery and equipment (except computers and peripheral equipment)</t>
  </si>
  <si>
    <t>28.24</t>
  </si>
  <si>
    <t>Manufacture of power-driven hand tools</t>
  </si>
  <si>
    <t>28.25</t>
  </si>
  <si>
    <t>Manufacture of non-domestic cooling and ventilation equipment</t>
  </si>
  <si>
    <t>28.29</t>
  </si>
  <si>
    <t>Manufacture of other general-purpose machinery n.e.c.</t>
  </si>
  <si>
    <t>28.3</t>
  </si>
  <si>
    <t>Manufacture of agricultural and forestry machinery</t>
  </si>
  <si>
    <t>28.4</t>
  </si>
  <si>
    <t>Manufacture of metal forming machinery and machine tools</t>
  </si>
  <si>
    <t>28.41</t>
  </si>
  <si>
    <t>Manufacture of metal forming machinery</t>
  </si>
  <si>
    <t>28.49</t>
  </si>
  <si>
    <t>Manufacture of other machine tools</t>
  </si>
  <si>
    <t>28.9</t>
  </si>
  <si>
    <t>Manufacture of other special-purpose machinery</t>
  </si>
  <si>
    <t>28.91</t>
  </si>
  <si>
    <t>Manufacture of machinery for metallurgy</t>
  </si>
  <si>
    <t>28.92</t>
  </si>
  <si>
    <t>Manufacture of machinery for mining, quarrying and construction</t>
  </si>
  <si>
    <t>28.93</t>
  </si>
  <si>
    <t>Manufacture of machinery for food, beverage and tobacco processing</t>
  </si>
  <si>
    <t>28.94</t>
  </si>
  <si>
    <t>Manufacture of machinery for textile, apparel and leather production</t>
  </si>
  <si>
    <t>28.95</t>
  </si>
  <si>
    <t>Manufacture of machinery for paper and paperboard production</t>
  </si>
  <si>
    <t>28.96</t>
  </si>
  <si>
    <t>Manufacture of plastics and rubber machinery</t>
  </si>
  <si>
    <t>28.99</t>
  </si>
  <si>
    <t>Manufacture of other special-purpose machinery n.e.c.</t>
  </si>
  <si>
    <t>Manufacture of motor vehicles, trailers and semi-trailers</t>
  </si>
  <si>
    <t>29.1</t>
  </si>
  <si>
    <t>Manufacture of motor vehicles</t>
  </si>
  <si>
    <t>29.2</t>
  </si>
  <si>
    <t>Manufacture of bodies (coachwork) for motor vehicles; manufacture of trailers and semi-trailers</t>
  </si>
  <si>
    <t>29.3</t>
  </si>
  <si>
    <t>Manufacture of parts and accessories for motor vehicles</t>
  </si>
  <si>
    <t>29.31</t>
  </si>
  <si>
    <t>Manufacture of electrical and electronic equipment for motor vehicles</t>
  </si>
  <si>
    <t>29.32</t>
  </si>
  <si>
    <t>Manufacture of other parts and accessories for motor vehicles</t>
  </si>
  <si>
    <t>Manufacture of other transport equipment</t>
  </si>
  <si>
    <t>30.1</t>
  </si>
  <si>
    <t>Building of ships and boats</t>
  </si>
  <si>
    <t>30.11</t>
  </si>
  <si>
    <t>Building of ships and floating structures</t>
  </si>
  <si>
    <t>30.12</t>
  </si>
  <si>
    <t>Building of pleasure and sporting boats</t>
  </si>
  <si>
    <t>30.2</t>
  </si>
  <si>
    <t>Manufacture of railway locomotives and rolling stock</t>
  </si>
  <si>
    <t>30.3</t>
  </si>
  <si>
    <t>Manufacture of air and spacecraft and related machinery</t>
  </si>
  <si>
    <t>30.4</t>
  </si>
  <si>
    <t>Manufacture of military fighting vehicles</t>
  </si>
  <si>
    <t>30.9</t>
  </si>
  <si>
    <t>Manufacture of transport equipment n.e.c.</t>
  </si>
  <si>
    <t>30.91</t>
  </si>
  <si>
    <t>Manufacture of motorcycles</t>
  </si>
  <si>
    <t>30.92</t>
  </si>
  <si>
    <t>Manufacture of bicycles and invalid carriages</t>
  </si>
  <si>
    <t>30.99</t>
  </si>
  <si>
    <t>Manufacture of other transport equipment n.e.c.</t>
  </si>
  <si>
    <t>Manufacture of furniture</t>
  </si>
  <si>
    <t>31.01</t>
  </si>
  <si>
    <t>Manufacture of office and shop furniture</t>
  </si>
  <si>
    <t>31.02</t>
  </si>
  <si>
    <t>Manufacture of kitchen furniture</t>
  </si>
  <si>
    <t>31.03</t>
  </si>
  <si>
    <t>Manufacture of mattresses</t>
  </si>
  <si>
    <t>31.09</t>
  </si>
  <si>
    <t>Manufacture of other furniture</t>
  </si>
  <si>
    <t>Other manufacturing</t>
  </si>
  <si>
    <t>32.1</t>
  </si>
  <si>
    <t>Manufacture of jewellery, bijouterie and related articles</t>
  </si>
  <si>
    <t>32.11</t>
  </si>
  <si>
    <t>Striking of coins</t>
  </si>
  <si>
    <t>32.12</t>
  </si>
  <si>
    <t>Manufacture of jewellery and related articles</t>
  </si>
  <si>
    <t>32.13</t>
  </si>
  <si>
    <t>Manufacture of imitation jewellery and related articles</t>
  </si>
  <si>
    <t>32.2</t>
  </si>
  <si>
    <t>Manufacture of musical instruments</t>
  </si>
  <si>
    <t>32.3</t>
  </si>
  <si>
    <t>Manufacture of sports goods</t>
  </si>
  <si>
    <t>32.4</t>
  </si>
  <si>
    <t>Manufacture of games and toys</t>
  </si>
  <si>
    <t>32.5</t>
  </si>
  <si>
    <t>Manufacture of medical and dental instruments and supplies</t>
  </si>
  <si>
    <t>32.9</t>
  </si>
  <si>
    <t>Manufacturing n.e.c.</t>
  </si>
  <si>
    <t>32.91</t>
  </si>
  <si>
    <t>Manufacture of brooms and brushes</t>
  </si>
  <si>
    <t>32.99</t>
  </si>
  <si>
    <t>Other manufacturing n.e.c.</t>
  </si>
  <si>
    <t>Repair and installation of machinery and equipment</t>
  </si>
  <si>
    <t>33.1</t>
  </si>
  <si>
    <t>Repair of fabricated metal products, machinery and equipment</t>
  </si>
  <si>
    <t>33.11</t>
  </si>
  <si>
    <t>Repair of fabricated metal products</t>
  </si>
  <si>
    <t>33.12</t>
  </si>
  <si>
    <t>Repair of machinery</t>
  </si>
  <si>
    <t>33.13</t>
  </si>
  <si>
    <t>Repair of electronic and optical equipment</t>
  </si>
  <si>
    <t>33.14</t>
  </si>
  <si>
    <t>Repair of electrical equipment</t>
  </si>
  <si>
    <t>33.15</t>
  </si>
  <si>
    <t>Repair and maintenance of ships and boats</t>
  </si>
  <si>
    <t>33.16</t>
  </si>
  <si>
    <t>Repair and maintenance of aircraft and spacecraft</t>
  </si>
  <si>
    <t>33.17</t>
  </si>
  <si>
    <t>Repair and maintenance of other transport equipment</t>
  </si>
  <si>
    <t>33.19</t>
  </si>
  <si>
    <t>Repair of other equipment</t>
  </si>
  <si>
    <t>33.2</t>
  </si>
  <si>
    <t>Installation of industrial machinery and equipment</t>
  </si>
  <si>
    <t>Electricity, gas, steam and air conditioning supply</t>
  </si>
  <si>
    <t>35.1</t>
  </si>
  <si>
    <t>Electric power generation, transmission and distribution</t>
  </si>
  <si>
    <t>35.11</t>
  </si>
  <si>
    <t>Production of electricity</t>
  </si>
  <si>
    <t>35.12</t>
  </si>
  <si>
    <t>Transmission of electricity</t>
  </si>
  <si>
    <t>35.13</t>
  </si>
  <si>
    <t>Distribution of electricity</t>
  </si>
  <si>
    <t>35.14</t>
  </si>
  <si>
    <t>Trade of electricity</t>
  </si>
  <si>
    <t>35.2</t>
  </si>
  <si>
    <t>Manufacture of gas; distribution of gaseous fuels through mains</t>
  </si>
  <si>
    <t>35.21</t>
  </si>
  <si>
    <t>Manufacture of gas</t>
  </si>
  <si>
    <t>35.22</t>
  </si>
  <si>
    <t>Distribution of gaseous fuels through mains</t>
  </si>
  <si>
    <t>35.23</t>
  </si>
  <si>
    <t>Trade of gas through mains</t>
  </si>
  <si>
    <t>35.3</t>
  </si>
  <si>
    <t>Steam and air conditioning supply</t>
  </si>
  <si>
    <t>Water collection, treatment and supply</t>
  </si>
  <si>
    <t>Sewerage</t>
  </si>
  <si>
    <t>Waste collection, treatment and disposal activities; materials recovery</t>
  </si>
  <si>
    <t>38.1</t>
  </si>
  <si>
    <t>Waste collection</t>
  </si>
  <si>
    <t>38.11</t>
  </si>
  <si>
    <t>Collection of non-hazardous waste</t>
  </si>
  <si>
    <t>38.12</t>
  </si>
  <si>
    <t>Collection of hazardous waste</t>
  </si>
  <si>
    <t>38.2</t>
  </si>
  <si>
    <t>Waste treatment and disposal</t>
  </si>
  <si>
    <t>38.21</t>
  </si>
  <si>
    <t>Treatment and disposal of non-hazardous waste</t>
  </si>
  <si>
    <t>38.22</t>
  </si>
  <si>
    <t>Treatment and disposal of hazardous waste</t>
  </si>
  <si>
    <t>38.3</t>
  </si>
  <si>
    <t>Materials recovery</t>
  </si>
  <si>
    <t>38.31</t>
  </si>
  <si>
    <t>Dismantling of wrecks</t>
  </si>
  <si>
    <t>38.32</t>
  </si>
  <si>
    <t>Recovery of sorted materials</t>
  </si>
  <si>
    <t>Remediation activities and other waste management services</t>
  </si>
  <si>
    <t>Construction of buildings</t>
  </si>
  <si>
    <t>41.1</t>
  </si>
  <si>
    <t>Development of building projects</t>
  </si>
  <si>
    <t>41.2</t>
  </si>
  <si>
    <t>Construction of residential and non-residential buildings</t>
  </si>
  <si>
    <t>Civil engineering</t>
  </si>
  <si>
    <t>42.1</t>
  </si>
  <si>
    <t>Construction of roads and railways</t>
  </si>
  <si>
    <t>42.11</t>
  </si>
  <si>
    <t>Construction of roads and motorways</t>
  </si>
  <si>
    <t>42.12</t>
  </si>
  <si>
    <t>Construction of railways and underground railways</t>
  </si>
  <si>
    <t>42.13</t>
  </si>
  <si>
    <t>Construction of bridges and tunnels</t>
  </si>
  <si>
    <t>42.2</t>
  </si>
  <si>
    <t>Construction of utility projects</t>
  </si>
  <si>
    <t>42.21</t>
  </si>
  <si>
    <t>Construction of utility projects for fluids</t>
  </si>
  <si>
    <t>42.22</t>
  </si>
  <si>
    <t>Construction of utility projects for electricity and telecommunications</t>
  </si>
  <si>
    <t>42.9</t>
  </si>
  <si>
    <t>Construction of other civil engineering projects</t>
  </si>
  <si>
    <t>42.91</t>
  </si>
  <si>
    <t>Construction of water projects</t>
  </si>
  <si>
    <t>42.99</t>
  </si>
  <si>
    <t>Construction of other civil engineering projects n.e.c.</t>
  </si>
  <si>
    <t>Specialised construction activities</t>
  </si>
  <si>
    <t>43.1</t>
  </si>
  <si>
    <t>Demolition and site preparation</t>
  </si>
  <si>
    <t>43.11</t>
  </si>
  <si>
    <t>Demolition</t>
  </si>
  <si>
    <t>43.12</t>
  </si>
  <si>
    <t>Site preparation</t>
  </si>
  <si>
    <t>43.13</t>
  </si>
  <si>
    <t>Test drilling and boring</t>
  </si>
  <si>
    <t>43.2</t>
  </si>
  <si>
    <t>Electrical, plumbing and other construction installation activities</t>
  </si>
  <si>
    <t>43.21</t>
  </si>
  <si>
    <t>Electrical installation</t>
  </si>
  <si>
    <t>43.22</t>
  </si>
  <si>
    <t>Plumbing, heat and air-conditioning installation</t>
  </si>
  <si>
    <t>43.29</t>
  </si>
  <si>
    <t>Other construction installation</t>
  </si>
  <si>
    <t>43.3</t>
  </si>
  <si>
    <t>Building completion and finishing</t>
  </si>
  <si>
    <t>43.31</t>
  </si>
  <si>
    <t>Plastering</t>
  </si>
  <si>
    <t>43.32</t>
  </si>
  <si>
    <t>Joinery installation</t>
  </si>
  <si>
    <t>43.33</t>
  </si>
  <si>
    <t>Floor and wall covering</t>
  </si>
  <si>
    <t>43.34</t>
  </si>
  <si>
    <t>Painting and glazing</t>
  </si>
  <si>
    <t>43.39</t>
  </si>
  <si>
    <t>Other building completion and finishing</t>
  </si>
  <si>
    <t>43.9</t>
  </si>
  <si>
    <t>Other specialised construction activities</t>
  </si>
  <si>
    <t>43.91</t>
  </si>
  <si>
    <t>Roofing activities</t>
  </si>
  <si>
    <t>43.99</t>
  </si>
  <si>
    <t>Other specialised construction activities n.e.c.</t>
  </si>
  <si>
    <t>Wholesale and retail trade and repair of motor vehicles and motorcycles</t>
  </si>
  <si>
    <t>45.1</t>
  </si>
  <si>
    <t>Sale of motor vehicles</t>
  </si>
  <si>
    <t>45.11</t>
  </si>
  <si>
    <t>Sale of cars and light motor vehicles</t>
  </si>
  <si>
    <t>45.19</t>
  </si>
  <si>
    <t>Sale of other motor vehicles</t>
  </si>
  <si>
    <t>45.2</t>
  </si>
  <si>
    <t>Maintenance and repair of motor vehicles</t>
  </si>
  <si>
    <t>45.3</t>
  </si>
  <si>
    <t>Sale of motor vehicle parts and accessories</t>
  </si>
  <si>
    <t>45.31</t>
  </si>
  <si>
    <t>Wholesale trade of motor vehicle parts and accessories</t>
  </si>
  <si>
    <t>45.32</t>
  </si>
  <si>
    <t>Retail trade of motor vehicle parts and accessories</t>
  </si>
  <si>
    <t>45.4</t>
  </si>
  <si>
    <t>Sale, maintenance and repair of motorcycles and related parts and accessories</t>
  </si>
  <si>
    <t>Wholesale trade, except of motor vehicles and motorcycles</t>
  </si>
  <si>
    <t>46.1</t>
  </si>
  <si>
    <t>Wholesale on a fee or contract basis</t>
  </si>
  <si>
    <t>46.11</t>
  </si>
  <si>
    <t>Agents involved in the sale of agricultural raw materials, live animals, textile raw materials and semi-finished goods</t>
  </si>
  <si>
    <t>46.12</t>
  </si>
  <si>
    <t>Agents involved in the sale of fuels, ores, metals and industrial chemicals</t>
  </si>
  <si>
    <t>46.13</t>
  </si>
  <si>
    <t>Agents involved in the sale of timber and building materials</t>
  </si>
  <si>
    <t>46.14</t>
  </si>
  <si>
    <t>Agents involved in the sale of machinery, industrial equipment, ships and aircraft</t>
  </si>
  <si>
    <t>46.15</t>
  </si>
  <si>
    <t>Agents involved in the sale of furniture, household goods, hardware and ironmongery</t>
  </si>
  <si>
    <t>46.16</t>
  </si>
  <si>
    <t>Agents involved in the sale of textiles, clothing, fur, footwear and leather goods</t>
  </si>
  <si>
    <t>46.17</t>
  </si>
  <si>
    <t>Agents involved in the sale of food, beverages and tobacco</t>
  </si>
  <si>
    <t>46.18</t>
  </si>
  <si>
    <t>Agents specialised in the sale of other particular products</t>
  </si>
  <si>
    <t>46.19</t>
  </si>
  <si>
    <t>Agents involved in the sale of a variety of goods</t>
  </si>
  <si>
    <t>46.2</t>
  </si>
  <si>
    <t>Wholesale of agricultural raw materials and live animals</t>
  </si>
  <si>
    <t>46.21</t>
  </si>
  <si>
    <t>Wholesale of grain, unmanufactured tobacco, seeds and animal feeds</t>
  </si>
  <si>
    <t>46.22</t>
  </si>
  <si>
    <t>Wholesale of flowers and plants</t>
  </si>
  <si>
    <t>46.23</t>
  </si>
  <si>
    <t>Wholesale of live animals</t>
  </si>
  <si>
    <t>46.24</t>
  </si>
  <si>
    <t>Wholesale of hides, skins and leather</t>
  </si>
  <si>
    <t>46.3</t>
  </si>
  <si>
    <t>Wholesale of food, beverages and tobacco</t>
  </si>
  <si>
    <t>46.31</t>
  </si>
  <si>
    <t>Wholesale of fruit and vegetables</t>
  </si>
  <si>
    <t>46.32</t>
  </si>
  <si>
    <t>Wholesale of meat and meat products</t>
  </si>
  <si>
    <t>46.33</t>
  </si>
  <si>
    <t>Wholesale of dairy products, eggs and edible oils and fats</t>
  </si>
  <si>
    <t>46.34</t>
  </si>
  <si>
    <t>Wholesale of beverages</t>
  </si>
  <si>
    <t>46.35</t>
  </si>
  <si>
    <t>Wholesale of tobacco products</t>
  </si>
  <si>
    <t>46.36</t>
  </si>
  <si>
    <t>Wholesale of sugar and chocolate and sugar confectionery</t>
  </si>
  <si>
    <t>46.37</t>
  </si>
  <si>
    <t>Wholesale of coffee, tea, cocoa and spices</t>
  </si>
  <si>
    <t>46.38</t>
  </si>
  <si>
    <t>Wholesale of other food, including fish, crustaceans and molluscs</t>
  </si>
  <si>
    <t>46.39</t>
  </si>
  <si>
    <t>Non-specialised wholesale of food, beverages and tobacco</t>
  </si>
  <si>
    <t>46.4</t>
  </si>
  <si>
    <t>Wholesale of household goods</t>
  </si>
  <si>
    <t>46.41</t>
  </si>
  <si>
    <t>Wholesale of textiles</t>
  </si>
  <si>
    <t>46.42</t>
  </si>
  <si>
    <t>Wholesale of clothing and footwear</t>
  </si>
  <si>
    <t>46.43</t>
  </si>
  <si>
    <t>Wholesale of electrical household appliances</t>
  </si>
  <si>
    <t>46.44</t>
  </si>
  <si>
    <t>Wholesale of china and glassware and cleaning materials</t>
  </si>
  <si>
    <t>46.45</t>
  </si>
  <si>
    <t>Wholesale of perfume and cosmetics</t>
  </si>
  <si>
    <t>46.46</t>
  </si>
  <si>
    <t>Wholesale of pharmaceutical goods</t>
  </si>
  <si>
    <t>46.47</t>
  </si>
  <si>
    <t>Wholesale of furniture, carpets and lighting equipment</t>
  </si>
  <si>
    <t>46.48</t>
  </si>
  <si>
    <t>Wholesale of watches and jewellery</t>
  </si>
  <si>
    <t>46.49</t>
  </si>
  <si>
    <t>Wholesale of other household goods</t>
  </si>
  <si>
    <t>46.5</t>
  </si>
  <si>
    <t>Wholesale of information and communication equipment</t>
  </si>
  <si>
    <t>46.51</t>
  </si>
  <si>
    <t>Wholesale of computers, computer peripheral equipment and software</t>
  </si>
  <si>
    <t>46.52</t>
  </si>
  <si>
    <t>Wholesale of electronic and telecommunications equipment and parts</t>
  </si>
  <si>
    <t>46.6</t>
  </si>
  <si>
    <t>Wholesale of other machinery, equipment and supplies</t>
  </si>
  <si>
    <t>46.61</t>
  </si>
  <si>
    <t>Wholesale of agricultural machinery, equipment and supplies</t>
  </si>
  <si>
    <t>46.62</t>
  </si>
  <si>
    <t>Wholesale of machine tools</t>
  </si>
  <si>
    <t>46.63</t>
  </si>
  <si>
    <t>Wholesale of mining, construction and civil engineering machinery</t>
  </si>
  <si>
    <t>46.64</t>
  </si>
  <si>
    <t>Wholesale of machinery for the textile industry and of sewing and knitting machines</t>
  </si>
  <si>
    <t>46.65</t>
  </si>
  <si>
    <t>Wholesale of office furniture</t>
  </si>
  <si>
    <t>46.66</t>
  </si>
  <si>
    <t>Wholesale of other office machinery and equipment</t>
  </si>
  <si>
    <t>46.69</t>
  </si>
  <si>
    <t>Wholesale of other machinery and equipment</t>
  </si>
  <si>
    <t>46.7</t>
  </si>
  <si>
    <t>Other specialised wholesale</t>
  </si>
  <si>
    <t>46.71</t>
  </si>
  <si>
    <t>Wholesale of solid, liquid and gaseous fuels and related products</t>
  </si>
  <si>
    <t>46.72</t>
  </si>
  <si>
    <t>Wholesale of metals and metal ores</t>
  </si>
  <si>
    <t>46.73</t>
  </si>
  <si>
    <t>Wholesale of wood, construction materials and sanitary equipment</t>
  </si>
  <si>
    <t>46.74</t>
  </si>
  <si>
    <t>Wholesale of hardware, plumbing and heating equipment and supplies</t>
  </si>
  <si>
    <t>46.75</t>
  </si>
  <si>
    <t>Wholesale of chemical products</t>
  </si>
  <si>
    <t>46.76</t>
  </si>
  <si>
    <t>Wholesale of other intermediate products</t>
  </si>
  <si>
    <t>46.77</t>
  </si>
  <si>
    <t>Wholesale of waste and scrap</t>
  </si>
  <si>
    <t>46.9</t>
  </si>
  <si>
    <t>Non-specialised wholesale trade</t>
  </si>
  <si>
    <t>Retail trade, except of motor vehicles and motorcycles</t>
  </si>
  <si>
    <t>47.1</t>
  </si>
  <si>
    <t>Retail sale in non-specialised stores</t>
  </si>
  <si>
    <t>47.11</t>
  </si>
  <si>
    <t>Retail sale in non-specialised stores with food, beverages or tobacco predominating</t>
  </si>
  <si>
    <t>47.19</t>
  </si>
  <si>
    <t>Other retail sale in non-specialised stores</t>
  </si>
  <si>
    <t>47.2</t>
  </si>
  <si>
    <t>Retail sale of food, beverages and tobacco in specialised stores</t>
  </si>
  <si>
    <t>47.21</t>
  </si>
  <si>
    <t>Retail sale of fruit and vegetables in specialised stores</t>
  </si>
  <si>
    <t>47.22</t>
  </si>
  <si>
    <t>Retail sale of meat and meat products in specialised stores</t>
  </si>
  <si>
    <t>47.23</t>
  </si>
  <si>
    <t>Retail sale of fish, crustaceans and molluscs in specialised stores</t>
  </si>
  <si>
    <t>47.24</t>
  </si>
  <si>
    <t>Retail sale of bread, cakes, flour confectionery and sugar confectionery in specialised stores</t>
  </si>
  <si>
    <t>47.25</t>
  </si>
  <si>
    <t>Retail sale of beverages in specialised stores</t>
  </si>
  <si>
    <t>47.26</t>
  </si>
  <si>
    <t>Retail sale of tobacco products in specialised stores</t>
  </si>
  <si>
    <t>47.29</t>
  </si>
  <si>
    <t>Other retail sale of food in specialised stores</t>
  </si>
  <si>
    <t>47.3</t>
  </si>
  <si>
    <t>Retail sale of automotive fuel in specialised stores</t>
  </si>
  <si>
    <t>47.4</t>
  </si>
  <si>
    <t>Retail sale of information and communication equipment in specialised stores</t>
  </si>
  <si>
    <t>47.41</t>
  </si>
  <si>
    <t>Retail sale of computers, peripheral units and software in specialised stores</t>
  </si>
  <si>
    <t>47.42</t>
  </si>
  <si>
    <t>Retail sale of telecommunications equipment in specialised stores</t>
  </si>
  <si>
    <t>47.43</t>
  </si>
  <si>
    <t>Retail sale of audio and video equipment in specialised stores</t>
  </si>
  <si>
    <t>47.5</t>
  </si>
  <si>
    <t>Retail sale of other household equipment in specialised stores</t>
  </si>
  <si>
    <t>47.51</t>
  </si>
  <si>
    <t>Retail sale of textiles in specialised stores</t>
  </si>
  <si>
    <t>47.52</t>
  </si>
  <si>
    <t>Retail sale of hardware, paints and glass in specialised stores</t>
  </si>
  <si>
    <t>47.53</t>
  </si>
  <si>
    <t>Retail sale of carpets, rugs, wall and floor coverings in specialised stores</t>
  </si>
  <si>
    <t>47.54</t>
  </si>
  <si>
    <t>Retail sale of electrical household appliances in specialised stores</t>
  </si>
  <si>
    <t>47.59</t>
  </si>
  <si>
    <t>Retail sale of furniture, lighting equipment and other household articles in specialised stores</t>
  </si>
  <si>
    <t>47.6</t>
  </si>
  <si>
    <t>Retail sale of cultural and recreation goods in specialised stores</t>
  </si>
  <si>
    <t>47.61</t>
  </si>
  <si>
    <t>Retail sale of books in specialised stores</t>
  </si>
  <si>
    <t>47.62</t>
  </si>
  <si>
    <t>Retail sale of newspapers and stationery in specialised stores</t>
  </si>
  <si>
    <t>47.63</t>
  </si>
  <si>
    <t>Retail sale of music and video recordings in specialised stores</t>
  </si>
  <si>
    <t>47.64</t>
  </si>
  <si>
    <t>Retail sale of sporting equipment in specialised stores</t>
  </si>
  <si>
    <t>47.65</t>
  </si>
  <si>
    <t>Retail sale of games and toys in specialised stores</t>
  </si>
  <si>
    <t>47.7</t>
  </si>
  <si>
    <t>Retail sale of other goods in specialised stores</t>
  </si>
  <si>
    <t>47.71</t>
  </si>
  <si>
    <t>Retail sale of clothing in specialised stores</t>
  </si>
  <si>
    <t>47.72</t>
  </si>
  <si>
    <t>Retail sale of footwear and leather goods in specialised stores</t>
  </si>
  <si>
    <t>47.73</t>
  </si>
  <si>
    <t>Dispensing chemist in specialised stores</t>
  </si>
  <si>
    <t>47.74</t>
  </si>
  <si>
    <t>Retail sale of medical and orthopaedic goods in specialised stores</t>
  </si>
  <si>
    <t>47.75</t>
  </si>
  <si>
    <t>Retail sale of cosmetic and toilet articles in specialised stores</t>
  </si>
  <si>
    <t>47.76</t>
  </si>
  <si>
    <t>Retail sale of flowers, plants, seeds, fertilisers, pet animals and pet food in specialised stores</t>
  </si>
  <si>
    <t>47.77</t>
  </si>
  <si>
    <t>Retail sale of watches and jewellery in specialised stores</t>
  </si>
  <si>
    <t>47.78</t>
  </si>
  <si>
    <t>Other retail sale of new goods in specialised stores</t>
  </si>
  <si>
    <t>47.79</t>
  </si>
  <si>
    <t>Retail sale of second-hand goods in stores</t>
  </si>
  <si>
    <t>47.8</t>
  </si>
  <si>
    <t>Retail sale via stalls and markets</t>
  </si>
  <si>
    <t>47.81</t>
  </si>
  <si>
    <t>Retail sale via stalls and markets of food, beverages and tobacco products</t>
  </si>
  <si>
    <t>47.82</t>
  </si>
  <si>
    <t>Retail sale via stalls and markets of textiles, clothing and footwear</t>
  </si>
  <si>
    <t>47.89</t>
  </si>
  <si>
    <t>Retail sale via stalls and markets of other goods</t>
  </si>
  <si>
    <t>47.9</t>
  </si>
  <si>
    <t>Retail trade not in stores, stalls or markets</t>
  </si>
  <si>
    <t>47.91</t>
  </si>
  <si>
    <t>Retail sale via mail order houses or via Internet</t>
  </si>
  <si>
    <t>47.99</t>
  </si>
  <si>
    <t>Other retail sale not in stores, stalls or markets</t>
  </si>
  <si>
    <t>Land transport and transport via pipelines</t>
  </si>
  <si>
    <t>49.1</t>
  </si>
  <si>
    <t>Passenger rail transport, interurban</t>
  </si>
  <si>
    <t>49.2</t>
  </si>
  <si>
    <t>Freight rail transport</t>
  </si>
  <si>
    <t>49.3</t>
  </si>
  <si>
    <t>Other passenger land transport</t>
  </si>
  <si>
    <t>49.31</t>
  </si>
  <si>
    <t>Urban and suburban passenger land transport</t>
  </si>
  <si>
    <t>49.32</t>
  </si>
  <si>
    <t>Taxi operation</t>
  </si>
  <si>
    <t>49.39</t>
  </si>
  <si>
    <t>Other passenger land transport n.e.c.</t>
  </si>
  <si>
    <t>49.4</t>
  </si>
  <si>
    <t>Freight transport by road and removal services</t>
  </si>
  <si>
    <t>49.41</t>
  </si>
  <si>
    <t>Freight transport by road</t>
  </si>
  <si>
    <t>49.42</t>
  </si>
  <si>
    <t>Removal services</t>
  </si>
  <si>
    <t>49.5</t>
  </si>
  <si>
    <t>Transport via pipeline</t>
  </si>
  <si>
    <t>Water transport</t>
  </si>
  <si>
    <t>50.1</t>
  </si>
  <si>
    <t>Sea and coastal passenger water transport</t>
  </si>
  <si>
    <t>50.2</t>
  </si>
  <si>
    <t>Sea and coastal freight water transport</t>
  </si>
  <si>
    <t>50.3</t>
  </si>
  <si>
    <t>Inland passenger water transport</t>
  </si>
  <si>
    <t>50.4</t>
  </si>
  <si>
    <t>Inland freight water transport</t>
  </si>
  <si>
    <t>Air transport</t>
  </si>
  <si>
    <t>51.1</t>
  </si>
  <si>
    <t>Passenger air transport</t>
  </si>
  <si>
    <t>51.2</t>
  </si>
  <si>
    <t>Freight air transport and space transport</t>
  </si>
  <si>
    <t>51.21</t>
  </si>
  <si>
    <t>Freight air transport</t>
  </si>
  <si>
    <t>51.22</t>
  </si>
  <si>
    <t>Space transport</t>
  </si>
  <si>
    <t>Warehousing and support activities for transportation</t>
  </si>
  <si>
    <t>52.1</t>
  </si>
  <si>
    <t>Warehousing and storage</t>
  </si>
  <si>
    <t>52.2</t>
  </si>
  <si>
    <t>Support activities for transportation</t>
  </si>
  <si>
    <t>52.21</t>
  </si>
  <si>
    <t>Service activities incidental to land transportation</t>
  </si>
  <si>
    <t>52.22</t>
  </si>
  <si>
    <t>Service activities incidental to water transportation</t>
  </si>
  <si>
    <t>52.23</t>
  </si>
  <si>
    <t>Service activities incidental to air transportation</t>
  </si>
  <si>
    <t>52.24</t>
  </si>
  <si>
    <t>Cargo handling</t>
  </si>
  <si>
    <t>52.29</t>
  </si>
  <si>
    <t>Other transportation support activities</t>
  </si>
  <si>
    <t>Postal and courier activities</t>
  </si>
  <si>
    <t>53.1</t>
  </si>
  <si>
    <t>Postal activities under universal service obligation</t>
  </si>
  <si>
    <t>53.2</t>
  </si>
  <si>
    <t>Other postal and courier activities</t>
  </si>
  <si>
    <t>Accommodation</t>
  </si>
  <si>
    <t>55.1</t>
  </si>
  <si>
    <t>Hotels and similar accommodation</t>
  </si>
  <si>
    <t>55.2</t>
  </si>
  <si>
    <t>Holiday and other short-stay accommodation</t>
  </si>
  <si>
    <t>55.3</t>
  </si>
  <si>
    <t>Camping grounds, recreational vehicle parks and trailer parks</t>
  </si>
  <si>
    <t>55.9</t>
  </si>
  <si>
    <t>Other accommodation</t>
  </si>
  <si>
    <t>Food and beverage service activities</t>
  </si>
  <si>
    <t>56.1</t>
  </si>
  <si>
    <t>Restaurants and mobile food service activities</t>
  </si>
  <si>
    <t>56.2</t>
  </si>
  <si>
    <t>Event catering and other food service activities</t>
  </si>
  <si>
    <t>56.21</t>
  </si>
  <si>
    <t>Event catering activities</t>
  </si>
  <si>
    <t>56.29</t>
  </si>
  <si>
    <t>Other food service activities</t>
  </si>
  <si>
    <t>56.3</t>
  </si>
  <si>
    <t>Beverage serving activities</t>
  </si>
  <si>
    <t>Publishing activities</t>
  </si>
  <si>
    <t>58.1</t>
  </si>
  <si>
    <t>Publishing of books, periodicals and other publishing activities</t>
  </si>
  <si>
    <t>58.11</t>
  </si>
  <si>
    <t>Book publishing</t>
  </si>
  <si>
    <t>58.12</t>
  </si>
  <si>
    <t>Publishing of directories and mailing lists</t>
  </si>
  <si>
    <t>58.13</t>
  </si>
  <si>
    <t>Publishing of newspapers</t>
  </si>
  <si>
    <t>58.14</t>
  </si>
  <si>
    <t>Publishing of journals and periodicals</t>
  </si>
  <si>
    <t>58.19</t>
  </si>
  <si>
    <t>Other publishing activities</t>
  </si>
  <si>
    <t>58.2</t>
  </si>
  <si>
    <t>Software publishing</t>
  </si>
  <si>
    <t>58.21</t>
  </si>
  <si>
    <t>Publishing of computer games</t>
  </si>
  <si>
    <t>58.29</t>
  </si>
  <si>
    <t>Other software publishing</t>
  </si>
  <si>
    <t>Motion picture, video and television programme production, sound recording and music publishing activities</t>
  </si>
  <si>
    <t>59.1</t>
  </si>
  <si>
    <t>Motion picture, video and television programme activities</t>
  </si>
  <si>
    <t>59.11</t>
  </si>
  <si>
    <t>Motion picture, video and television programme production activities</t>
  </si>
  <si>
    <t>59.12</t>
  </si>
  <si>
    <t>Motion picture, video and television programme post-production activities</t>
  </si>
  <si>
    <t>59.13</t>
  </si>
  <si>
    <t>Motion picture, video and television programme distribution activities</t>
  </si>
  <si>
    <t>59.14</t>
  </si>
  <si>
    <t>Motion picture projection activities</t>
  </si>
  <si>
    <t>59.2</t>
  </si>
  <si>
    <t>Sound recording and music publishing activities</t>
  </si>
  <si>
    <t>Programming and broadcasting activities</t>
  </si>
  <si>
    <t>60.1</t>
  </si>
  <si>
    <t>Radio broadcasting</t>
  </si>
  <si>
    <t>60.2</t>
  </si>
  <si>
    <t>Television programming and broadcasting activities</t>
  </si>
  <si>
    <t>Telecommunications</t>
  </si>
  <si>
    <t>61.1</t>
  </si>
  <si>
    <t>Wired telecommunications activities</t>
  </si>
  <si>
    <t>61.2</t>
  </si>
  <si>
    <t>Wireless telecommunications activities</t>
  </si>
  <si>
    <t>61.3</t>
  </si>
  <si>
    <t>Satellite telecommunications activities</t>
  </si>
  <si>
    <t>61.9</t>
  </si>
  <si>
    <t>Other telecommunications activities</t>
  </si>
  <si>
    <t>Computer programming, consultancy and related activities</t>
  </si>
  <si>
    <t>62.01</t>
  </si>
  <si>
    <t>Computer programming activities</t>
  </si>
  <si>
    <t>62.02</t>
  </si>
  <si>
    <t>Computer consultancy activities</t>
  </si>
  <si>
    <t>62.03</t>
  </si>
  <si>
    <t>Computer facilities management activities</t>
  </si>
  <si>
    <t>62.09</t>
  </si>
  <si>
    <t>Other information technology and computer service activities</t>
  </si>
  <si>
    <t>Information service activities</t>
  </si>
  <si>
    <t>63.1</t>
  </si>
  <si>
    <t>Data processing, hosting and related activities; web portals</t>
  </si>
  <si>
    <t>63.11</t>
  </si>
  <si>
    <t>Data processing, hosting and related activities</t>
  </si>
  <si>
    <t>63.12</t>
  </si>
  <si>
    <t>Web portals</t>
  </si>
  <si>
    <t>63.9</t>
  </si>
  <si>
    <t>Other information service activities</t>
  </si>
  <si>
    <t>63.91</t>
  </si>
  <si>
    <t>News agency activities</t>
  </si>
  <si>
    <t>63.99</t>
  </si>
  <si>
    <t>Other information service activities n.e.c.</t>
  </si>
  <si>
    <t>Financial service activities, except insurance and pension funding</t>
  </si>
  <si>
    <t>64.1</t>
  </si>
  <si>
    <t>Monetary intermediation</t>
  </si>
  <si>
    <t>64.11</t>
  </si>
  <si>
    <t>Central banking</t>
  </si>
  <si>
    <t>64.19</t>
  </si>
  <si>
    <t>Other monetary intermediation</t>
  </si>
  <si>
    <t>64.2</t>
  </si>
  <si>
    <t>Activities of holding companies</t>
  </si>
  <si>
    <t>64.3</t>
  </si>
  <si>
    <t>Trusts, funds and similar financial entities</t>
  </si>
  <si>
    <t>64.9</t>
  </si>
  <si>
    <t>Other financial service activities, except insurance and pension funding</t>
  </si>
  <si>
    <t>64.91</t>
  </si>
  <si>
    <t>Financial leasing</t>
  </si>
  <si>
    <t>64.92</t>
  </si>
  <si>
    <t>Other credit granting</t>
  </si>
  <si>
    <t>64.99</t>
  </si>
  <si>
    <t>Other financial service activities, except insurance and pension funding n.e.c.</t>
  </si>
  <si>
    <t>Insurance, reinsurance and pension funding, except compulsory social security</t>
  </si>
  <si>
    <t>65.1</t>
  </si>
  <si>
    <t>Insurance</t>
  </si>
  <si>
    <t>65.11</t>
  </si>
  <si>
    <t>Life insurance</t>
  </si>
  <si>
    <t>65.12</t>
  </si>
  <si>
    <t>Non-life insurance</t>
  </si>
  <si>
    <t>65.2</t>
  </si>
  <si>
    <t>Reinsurance</t>
  </si>
  <si>
    <t>65.3</t>
  </si>
  <si>
    <t>Pension funding</t>
  </si>
  <si>
    <t>Activities auxiliary to financial services and insurance activities</t>
  </si>
  <si>
    <t>66.1</t>
  </si>
  <si>
    <t>Activities auxiliary to financial services, except insurance and pension funding</t>
  </si>
  <si>
    <t>66.11</t>
  </si>
  <si>
    <t>Administration of financial markets</t>
  </si>
  <si>
    <t>66.12</t>
  </si>
  <si>
    <t>Security and commodity contracts brokerage</t>
  </si>
  <si>
    <t>66.19</t>
  </si>
  <si>
    <t>Other activities auxiliary to financial services, except insurance and pension funding</t>
  </si>
  <si>
    <t>66.2</t>
  </si>
  <si>
    <t>Activities auxiliary to insurance and pension funding</t>
  </si>
  <si>
    <t>66.21</t>
  </si>
  <si>
    <t>Risk and damage evaluation</t>
  </si>
  <si>
    <t>66.22</t>
  </si>
  <si>
    <t>Activities of insurance agents and brokers</t>
  </si>
  <si>
    <t>66.29</t>
  </si>
  <si>
    <t>Other activities auxiliary to insurance and pension funding</t>
  </si>
  <si>
    <t>66.3</t>
  </si>
  <si>
    <t>Fund management activities</t>
  </si>
  <si>
    <t>Real estate activities</t>
  </si>
  <si>
    <t>68.1</t>
  </si>
  <si>
    <t>Buying and selling of own real estate</t>
  </si>
  <si>
    <t>68.2</t>
  </si>
  <si>
    <t>Rental and operating of own or leased real estate</t>
  </si>
  <si>
    <t>68.3</t>
  </si>
  <si>
    <t>Real estate activities on a fee or contract basis</t>
  </si>
  <si>
    <t>68.31</t>
  </si>
  <si>
    <t>Real estate agencies</t>
  </si>
  <si>
    <t>68.32</t>
  </si>
  <si>
    <t>Management of real estate on a fee or contract basis</t>
  </si>
  <si>
    <t>Legal and accounting activities</t>
  </si>
  <si>
    <t>69.1</t>
  </si>
  <si>
    <t>Legal activities</t>
  </si>
  <si>
    <t>69.2</t>
  </si>
  <si>
    <t>Accounting, bookkeeping and auditing activities; tax consultancy</t>
  </si>
  <si>
    <t>Activities of head offices; management consultancy activities</t>
  </si>
  <si>
    <t>70.1</t>
  </si>
  <si>
    <t>Activities of head offices</t>
  </si>
  <si>
    <t>70.2</t>
  </si>
  <si>
    <t>Management consultancy activities</t>
  </si>
  <si>
    <t>70.21</t>
  </si>
  <si>
    <t>Public relations and communication activities</t>
  </si>
  <si>
    <t>70.22</t>
  </si>
  <si>
    <t>Business and other management consultancy activities</t>
  </si>
  <si>
    <t>Architectural and engineering activities; technical testing and analysis</t>
  </si>
  <si>
    <t>71.1</t>
  </si>
  <si>
    <t>Architectural and engineering activities and related technical consultancy</t>
  </si>
  <si>
    <t>71.11</t>
  </si>
  <si>
    <t>Architectural activities</t>
  </si>
  <si>
    <t>71.12</t>
  </si>
  <si>
    <t>Engineering activities and related technical consultancy</t>
  </si>
  <si>
    <t>71.2</t>
  </si>
  <si>
    <t>Technical testing and analysis</t>
  </si>
  <si>
    <t>Scientific research and development</t>
  </si>
  <si>
    <t>72.1</t>
  </si>
  <si>
    <t>Research and experimental development on natural sciences and engineering</t>
  </si>
  <si>
    <t>72.11</t>
  </si>
  <si>
    <t>Research and experimental development on biotechnology</t>
  </si>
  <si>
    <t>72.19</t>
  </si>
  <si>
    <t>Other research and experimental development on natural sciences and engineering</t>
  </si>
  <si>
    <t>72.2</t>
  </si>
  <si>
    <t>Research and experimental development on social sciences and humanities</t>
  </si>
  <si>
    <t>Advertising and market research</t>
  </si>
  <si>
    <t>73.1</t>
  </si>
  <si>
    <t>Advertising</t>
  </si>
  <si>
    <t>73.11</t>
  </si>
  <si>
    <t>Advertising agencies</t>
  </si>
  <si>
    <t>73.12</t>
  </si>
  <si>
    <t>Media representation</t>
  </si>
  <si>
    <t>73.2</t>
  </si>
  <si>
    <t>Market research and public opinion polling</t>
  </si>
  <si>
    <t>Other professional, scientific and technical activities</t>
  </si>
  <si>
    <t>74.1</t>
  </si>
  <si>
    <t>Specialised design activities</t>
  </si>
  <si>
    <t>74.2</t>
  </si>
  <si>
    <t>Photographic activities</t>
  </si>
  <si>
    <t>74.3</t>
  </si>
  <si>
    <t>Translation and interpretation activities</t>
  </si>
  <si>
    <t>74.9</t>
  </si>
  <si>
    <t>Other professional, scientific and technical activities n.e.c.</t>
  </si>
  <si>
    <t>Veterinary activities</t>
  </si>
  <si>
    <t>Rental and leasing activities</t>
  </si>
  <si>
    <t>77.1</t>
  </si>
  <si>
    <t>Rental and leasing of motor vehicles</t>
  </si>
  <si>
    <t>77.11</t>
  </si>
  <si>
    <t>Rental and leasing of cars and light motor vehicles</t>
  </si>
  <si>
    <t>77.12</t>
  </si>
  <si>
    <t>Rental and leasing of trucks</t>
  </si>
  <si>
    <t>77.2</t>
  </si>
  <si>
    <t>Rental and leasing of personal and household goods</t>
  </si>
  <si>
    <t>77.21</t>
  </si>
  <si>
    <t>Rental and leasing of recreational and sports goods</t>
  </si>
  <si>
    <t>77.22</t>
  </si>
  <si>
    <t>Rental of video tapes and disks</t>
  </si>
  <si>
    <t>77.29</t>
  </si>
  <si>
    <t>Rental and leasing of other personal and household goods</t>
  </si>
  <si>
    <t>77.3</t>
  </si>
  <si>
    <t>Rental and leasing of other machinery, equipment and tangible goods</t>
  </si>
  <si>
    <t>77.31</t>
  </si>
  <si>
    <t>Rental and leasing of agricultural machinery and equipment</t>
  </si>
  <si>
    <t>77.32</t>
  </si>
  <si>
    <t>Rental and leasing of construction and civil engineering machinery and equipment</t>
  </si>
  <si>
    <t>77.33</t>
  </si>
  <si>
    <t>Rental and leasing of office machinery and equipment (including computers)</t>
  </si>
  <si>
    <t>77.34</t>
  </si>
  <si>
    <t>Rental and leasing of water transport equipment</t>
  </si>
  <si>
    <t>77.35</t>
  </si>
  <si>
    <t>Rental and leasing of air transport equipment</t>
  </si>
  <si>
    <t>77.39</t>
  </si>
  <si>
    <t>Rental and leasing of other machinery, equipment and tangible goods n.e.c.</t>
  </si>
  <si>
    <t>77.4</t>
  </si>
  <si>
    <t>Leasing of intellectual property and similar products, except copyrighted works</t>
  </si>
  <si>
    <t>Employment activities</t>
  </si>
  <si>
    <t>78.1</t>
  </si>
  <si>
    <t>Activities of employment placement agencies</t>
  </si>
  <si>
    <t>78.2</t>
  </si>
  <si>
    <t>Temporary employment agency activities</t>
  </si>
  <si>
    <t>78.3</t>
  </si>
  <si>
    <t>Other human resources provision</t>
  </si>
  <si>
    <t>Travel agency, tour operator and other reservation service and related activities</t>
  </si>
  <si>
    <t>79.1</t>
  </si>
  <si>
    <t>Travel agency and tour operator activities</t>
  </si>
  <si>
    <t>79.11</t>
  </si>
  <si>
    <t>Travel agency activities</t>
  </si>
  <si>
    <t>79.12</t>
  </si>
  <si>
    <t>Tour operator activities</t>
  </si>
  <si>
    <t>79.9</t>
  </si>
  <si>
    <t>Other reservation service and related activities</t>
  </si>
  <si>
    <t>Security and investigation activities</t>
  </si>
  <si>
    <t>80.1</t>
  </si>
  <si>
    <t>Private security activities</t>
  </si>
  <si>
    <t>80.2</t>
  </si>
  <si>
    <t>Security systems service activities</t>
  </si>
  <si>
    <t>80.3</t>
  </si>
  <si>
    <t>Investigation activities</t>
  </si>
  <si>
    <t>Services to buildings and landscape activities</t>
  </si>
  <si>
    <t>81.1</t>
  </si>
  <si>
    <t>Combined facilities support activities</t>
  </si>
  <si>
    <t>81.2</t>
  </si>
  <si>
    <t>Cleaning activities</t>
  </si>
  <si>
    <t>81.21</t>
  </si>
  <si>
    <t>General cleaning of buildings</t>
  </si>
  <si>
    <t>81.22</t>
  </si>
  <si>
    <t>Other building and industrial cleaning activities</t>
  </si>
  <si>
    <t>81.29</t>
  </si>
  <si>
    <t>Other cleaning activities</t>
  </si>
  <si>
    <t>81.3</t>
  </si>
  <si>
    <t>Landscape service activities</t>
  </si>
  <si>
    <t>Office administrative, office support and other business support activities</t>
  </si>
  <si>
    <t>82.1</t>
  </si>
  <si>
    <t>Office administrative and support activities</t>
  </si>
  <si>
    <t>82.11</t>
  </si>
  <si>
    <t>Combined office administrative service activities</t>
  </si>
  <si>
    <t>82.19</t>
  </si>
  <si>
    <t>Photocopying, document preparation and other specialised office support activities</t>
  </si>
  <si>
    <t>82.2</t>
  </si>
  <si>
    <t>Activities of call centres</t>
  </si>
  <si>
    <t>82.3</t>
  </si>
  <si>
    <t>Organisation of conventions and trade shows</t>
  </si>
  <si>
    <t>82.9</t>
  </si>
  <si>
    <t>Business support service activities n.e.c.</t>
  </si>
  <si>
    <t>82.91</t>
  </si>
  <si>
    <t>Activities of collection agencies and credit bureaus</t>
  </si>
  <si>
    <t>82.92</t>
  </si>
  <si>
    <t>Packaging activities</t>
  </si>
  <si>
    <t>82.99</t>
  </si>
  <si>
    <t>Other business support service activities n.e.c.</t>
  </si>
  <si>
    <t>Public administration and defence; compulsory social security</t>
  </si>
  <si>
    <t>84.1</t>
  </si>
  <si>
    <t>Administration of the State and the economic and social policy of the community</t>
  </si>
  <si>
    <t>84.11</t>
  </si>
  <si>
    <t>General public administration activities</t>
  </si>
  <si>
    <t>84.12</t>
  </si>
  <si>
    <t>Regulation of the activities of providing health care, education, cultural services and other social services, excluding social security</t>
  </si>
  <si>
    <t>84.13</t>
  </si>
  <si>
    <t>Regulation of and contribution to more efficient operation of businesses</t>
  </si>
  <si>
    <t>84.2</t>
  </si>
  <si>
    <t>Provision of services to the community as a whole</t>
  </si>
  <si>
    <t>84.21</t>
  </si>
  <si>
    <t>Foreign affairs</t>
  </si>
  <si>
    <t>84.22</t>
  </si>
  <si>
    <t>Defence activities</t>
  </si>
  <si>
    <t>84.23</t>
  </si>
  <si>
    <t>Justice and judicial activities</t>
  </si>
  <si>
    <t>84.24</t>
  </si>
  <si>
    <t>Public order and safety activities</t>
  </si>
  <si>
    <t>84.25</t>
  </si>
  <si>
    <t>Fire service activities</t>
  </si>
  <si>
    <t>84.3</t>
  </si>
  <si>
    <t>Compulsory social security activities</t>
  </si>
  <si>
    <t>Education</t>
  </si>
  <si>
    <t>85.1</t>
  </si>
  <si>
    <t>Pre-primary education</t>
  </si>
  <si>
    <t>85.2</t>
  </si>
  <si>
    <t>Primary education</t>
  </si>
  <si>
    <t>85.3</t>
  </si>
  <si>
    <t>Secondary education</t>
  </si>
  <si>
    <t>85.31</t>
  </si>
  <si>
    <t>General secondary education</t>
  </si>
  <si>
    <t>85.32</t>
  </si>
  <si>
    <t>Technical and vocational secondary education</t>
  </si>
  <si>
    <t>85.4</t>
  </si>
  <si>
    <t>Higher education</t>
  </si>
  <si>
    <t>85.41</t>
  </si>
  <si>
    <t>Post-secondary non-tertiary education</t>
  </si>
  <si>
    <t>85.42</t>
  </si>
  <si>
    <t>Tertiary education</t>
  </si>
  <si>
    <t>85.5</t>
  </si>
  <si>
    <t>Other education</t>
  </si>
  <si>
    <t>85.51</t>
  </si>
  <si>
    <t>Sports and recreation education</t>
  </si>
  <si>
    <t>85.52</t>
  </si>
  <si>
    <t>Cultural education</t>
  </si>
  <si>
    <t>85.53</t>
  </si>
  <si>
    <t>Driving school activities</t>
  </si>
  <si>
    <t>85.59</t>
  </si>
  <si>
    <t>Other education n.e.c.</t>
  </si>
  <si>
    <t>85.6</t>
  </si>
  <si>
    <t>Educational support activities</t>
  </si>
  <si>
    <t>Human health activities</t>
  </si>
  <si>
    <t>86.1</t>
  </si>
  <si>
    <t>Hospital activities</t>
  </si>
  <si>
    <t>86.2</t>
  </si>
  <si>
    <t>Medical and dental practice activities</t>
  </si>
  <si>
    <t>86.21</t>
  </si>
  <si>
    <t>General medical practice activities</t>
  </si>
  <si>
    <t>86.22</t>
  </si>
  <si>
    <t>Specialist medical practice activities</t>
  </si>
  <si>
    <t>86.23</t>
  </si>
  <si>
    <t>Dental practice activities</t>
  </si>
  <si>
    <t>86.9</t>
  </si>
  <si>
    <t>Other human health activities</t>
  </si>
  <si>
    <t>Residential care activities</t>
  </si>
  <si>
    <t>87.1</t>
  </si>
  <si>
    <t>Residential nursing care activities</t>
  </si>
  <si>
    <t>87.2</t>
  </si>
  <si>
    <t>Residential care activities for mental retardation, mental health and substance abuse</t>
  </si>
  <si>
    <t>87.3</t>
  </si>
  <si>
    <t>Residential care activities for the elderly and disabled</t>
  </si>
  <si>
    <t>87.9</t>
  </si>
  <si>
    <t>Other residential care activities</t>
  </si>
  <si>
    <t>Social work activities without accommodation</t>
  </si>
  <si>
    <t>88.1</t>
  </si>
  <si>
    <t>Social work activities without accommodation for the elderly and disabled</t>
  </si>
  <si>
    <t>88.9</t>
  </si>
  <si>
    <t>Other social work activities without accommodation</t>
  </si>
  <si>
    <t>88.91</t>
  </si>
  <si>
    <t>Child day-care activities</t>
  </si>
  <si>
    <t>88.99</t>
  </si>
  <si>
    <t>Other social work activities without accommodation n.e.c.</t>
  </si>
  <si>
    <t>Creative, arts and entertainment activities</t>
  </si>
  <si>
    <t>90.01</t>
  </si>
  <si>
    <t>Performing arts</t>
  </si>
  <si>
    <t>90.02</t>
  </si>
  <si>
    <t>Support activities to performing arts</t>
  </si>
  <si>
    <t>90.03</t>
  </si>
  <si>
    <t>Artistic creation</t>
  </si>
  <si>
    <t>90.04</t>
  </si>
  <si>
    <t>Operation of arts facilities</t>
  </si>
  <si>
    <t>Libraries, archives, museums and other cultural activities</t>
  </si>
  <si>
    <t>91.01</t>
  </si>
  <si>
    <t>Library and archives activities</t>
  </si>
  <si>
    <t>91.02</t>
  </si>
  <si>
    <t>Museums activities</t>
  </si>
  <si>
    <t>91.03</t>
  </si>
  <si>
    <t>Operation of historical sites and buildings and similar visitor attractions</t>
  </si>
  <si>
    <t>91.04</t>
  </si>
  <si>
    <t>Botanical and zoological gardens and nature reserves activities</t>
  </si>
  <si>
    <t>Gambling and betting activities</t>
  </si>
  <si>
    <t>Sports activities and amusement and recreation activities</t>
  </si>
  <si>
    <t>93.1</t>
  </si>
  <si>
    <t>Sports activities</t>
  </si>
  <si>
    <t>93.11</t>
  </si>
  <si>
    <t>Operation of sports facilities</t>
  </si>
  <si>
    <t>93.12</t>
  </si>
  <si>
    <t>Activities of sports clubs</t>
  </si>
  <si>
    <t>93.13</t>
  </si>
  <si>
    <t>Fitness facilities</t>
  </si>
  <si>
    <t>93.19</t>
  </si>
  <si>
    <t>Other sports activities</t>
  </si>
  <si>
    <t>93.2</t>
  </si>
  <si>
    <t>Amusement and recreation activities</t>
  </si>
  <si>
    <t>93.21</t>
  </si>
  <si>
    <t>Activities of amusement parks and theme parks</t>
  </si>
  <si>
    <t>93.29</t>
  </si>
  <si>
    <t>Other amusement and recreation activities</t>
  </si>
  <si>
    <t>Activities of membership organisations</t>
  </si>
  <si>
    <t>94.1</t>
  </si>
  <si>
    <t>Activities of business, employers and professional membership organisations</t>
  </si>
  <si>
    <t>94.11</t>
  </si>
  <si>
    <t>Activities of business and employers membership organisations</t>
  </si>
  <si>
    <t>94.12</t>
  </si>
  <si>
    <t>Activities of professional membership organisations</t>
  </si>
  <si>
    <t>94.2</t>
  </si>
  <si>
    <t>Activities of trade unions</t>
  </si>
  <si>
    <t>94.9</t>
  </si>
  <si>
    <t>Activities of other membership organisations</t>
  </si>
  <si>
    <t>94.91</t>
  </si>
  <si>
    <t>Activities of religious organisations</t>
  </si>
  <si>
    <t>94.92</t>
  </si>
  <si>
    <t>Activities of political organisations</t>
  </si>
  <si>
    <t>94.99</t>
  </si>
  <si>
    <t>Activities of other membership organisations n.e.c.</t>
  </si>
  <si>
    <t>Repair of computers and personal and household goods</t>
  </si>
  <si>
    <t>95.1</t>
  </si>
  <si>
    <t>Repair of computers and communication equipment</t>
  </si>
  <si>
    <t>95.11</t>
  </si>
  <si>
    <t>Repair of computers and peripheral equipment</t>
  </si>
  <si>
    <t>95.12</t>
  </si>
  <si>
    <t>Repair of communication equipment</t>
  </si>
  <si>
    <t>95.2</t>
  </si>
  <si>
    <t>Repair of personal and household goods</t>
  </si>
  <si>
    <t>95.21</t>
  </si>
  <si>
    <t>Repair of consumer electronics</t>
  </si>
  <si>
    <t>95.22</t>
  </si>
  <si>
    <t>Repair of household appliances and home and garden equipment</t>
  </si>
  <si>
    <t>95.23</t>
  </si>
  <si>
    <t>Repair of footwear and leather goods</t>
  </si>
  <si>
    <t>95.24</t>
  </si>
  <si>
    <t>Repair of furniture and home furnishings</t>
  </si>
  <si>
    <t>95.25</t>
  </si>
  <si>
    <t>Repair of watches, clocks and jewellery</t>
  </si>
  <si>
    <t>95.29</t>
  </si>
  <si>
    <t>Repair of other personal and household goods</t>
  </si>
  <si>
    <t>Other personal service activities</t>
  </si>
  <si>
    <t>96.01</t>
  </si>
  <si>
    <t>Washing and (dry-)cleaning of textile and fur products</t>
  </si>
  <si>
    <t>96.02</t>
  </si>
  <si>
    <t>Hairdressing and other beauty treatment</t>
  </si>
  <si>
    <t>96.03</t>
  </si>
  <si>
    <t>Funeral and related activities</t>
  </si>
  <si>
    <t>96.04</t>
  </si>
  <si>
    <t>Physical well-being activities</t>
  </si>
  <si>
    <t>96.09</t>
  </si>
  <si>
    <t>Other personal service activities n.e.c.</t>
  </si>
  <si>
    <t>Activities of households as employers of domestic personnel</t>
  </si>
  <si>
    <t>Undifferentiated goods- and services-producing activities of private households for own use</t>
  </si>
  <si>
    <t>98.1</t>
  </si>
  <si>
    <t>Undifferentiated goods-producing activities of private households for own use</t>
  </si>
  <si>
    <t>98.2</t>
  </si>
  <si>
    <t>Undifferentiated service-producing activities of private households for own use</t>
  </si>
  <si>
    <t>Activities of extraterritorial organisations and bodies</t>
  </si>
  <si>
    <t>No legal actions taken</t>
  </si>
  <si>
    <t>Segundo a especificação do LT este campo não passa na tabela LT803_CODIGOS_LT.
Este campo é obtido através da tabela BCE_LT_LGL_PRCDNG_STTS que é uma tabela temporária do Loan Tapes, a sua definição encontra-se no documento BS_Tabelas_Temporárias_Loan_Tape.xlsx.
A proposta de mapeamento apresentado neste documento baseia-se nas opções para este campo presentes no documento de especificação do LT assim como na tabela LT803_CODIGOS_LT com capo_lt = 'LGL_PRCDNG_STTS':
SELECT * FROM cd_loan_tapes_bce.lt803_codigos_lt
WHERE ref_date = (SELECT MAX(ref_date) FROM cd_loan_tapes_bce.lt803_codigos_lt )
AND campo_lt = 'LGL_PRCDNG_STTS'
Preocupação: Este campo não passa pela tabela LT803_CODIGOS_LT, é necessário encontra uma forma de contornar este problema.</t>
  </si>
  <si>
    <t>Under judicial administration, receivership or similar measures</t>
  </si>
  <si>
    <t>Bankruptcy/insolvency</t>
  </si>
  <si>
    <t>Bankruptcy / insolvency</t>
  </si>
  <si>
    <t>Other legal measures</t>
  </si>
  <si>
    <t>Large enterprise</t>
  </si>
  <si>
    <t>Este campo é obtido a partir do campo COD_EMPR_PME da tabela CT063_UNIV_PME:
SELECT DISTINCT COD_EMPR_PME FROM cd_captools.CT063_UNIV_PME
Esta query retorna as seguintes opções: '0', '1', '2', '3'
Este campo é convertido pela tabela de parametrização LT803_CODIGOS_LT:
SELECT *  FROM cd_loan_tapes_bce.lt803_codigos_lt
WHERE ref_date = (SELECT MAX(ref_date) FROM cd_loan_tapes_bce.lt803_codigos_lt )
AND campo_lt = 'ENTRPRS_SZ_LE'
Aqui é apresentada a proposta de mapeamento do campo ENTRPRS_SZ_LE, para o âmbito do report Valuation no segmento 'OFFBAL_COUNTERPARTIES'.</t>
  </si>
  <si>
    <t>Microenterprise</t>
  </si>
  <si>
    <t>Micro enterprise</t>
  </si>
  <si>
    <t>Small enterprise</t>
  </si>
  <si>
    <t>Medium enterprise</t>
  </si>
  <si>
    <t>IFRS</t>
  </si>
  <si>
    <t>Este campo é obtido a partir do campo A_TQ02A da tabela DWT557_CERTIFIC_CONTAS_SNC:
SELECT DISTINCT A_TQ02A FROM
(
SELECT ROW_NUMBER() OVER (PARTITION BY CNIF ORDER BY  CANO, DATA_DATE_PART DESC) AS ORDEM,
       *
FROM cd_clientes.DWT557_CERTIFIC_CONTAS_SNC
) as a
WHERE ORDEM = 1
AND DATA_DATE_PART &gt; '2022-08'
Esta query retorna as seguintes opções: '1', '2', '3', '4'. Nota foi efetuado o filtro data_date_part &gt; '2022-08' pois para datas anteriores, esta injesta vinha com o campo A_TQ02A preenchido com o htimestamp, contaminando as opções.
Este campo é convertido pela tabela de parametrização LT803_CODIGOS_LT:
SELECT *  FROM cd_loan_tapes_bce.lt803_codigos_lt
WHERE ref_date = (SELECT MAX(ref_date) FROM cd_loan_tapes_bce.lt803_codigos_lt )
AND campo_lt = 'ACCNTNG_FRMWRK_SL'
Aqui é apresentada a proposta de mapeamento do campo ACCNTNG_FRMWRK_SL, para o âmbito do report Valuation no segmento 'OFFBAL_COUNTERPARTIES'.</t>
  </si>
  <si>
    <t>National GAAP consistent with IFRS</t>
  </si>
  <si>
    <t>National GAAP not consistent with IFRS</t>
  </si>
  <si>
    <t>DERIVATIVES; DEBT_SECURITIES; EQUITY_INSTRUMENTS</t>
  </si>
  <si>
    <t>AD</t>
  </si>
  <si>
    <t>Andorra</t>
  </si>
  <si>
    <t>Este campo é obtido a partir do campo CPAIS_RESIDENCIA da tabela CT003_UNIV_CLI:
SELECT DISTINCT CPAIS_RESIDENCIA FROM cd_captools.CT003_UNIV_CLI
Esta query retorna as 238 opções distintas.
Este campo é convertido pela tabela de parametrização LT803_CODIGOS_LT:
SELECT *  FROM cd_loan_tapes_bce.lt803_codigos_lt
WHERE ref_date = (SELECT MAX(ref_date) FROM cd_loan_tapes_bce.lt803_codigos_lt )
AND campo_lt = 'CNTRY'
Aqui é apresentada a proposta de mapeamento do campo ISSR_CNTRY, para o âmbito do report Valuation nos segmentos 'Derivatives', 'Debt securities' e 'Equity'.
Preocupações:
- A codelist dada pelo SRB para os campos CNTRY (usada para o ISSR_CNTRY) e para o ISSR_CNTRY não é igual
- Existem alguns códigos que o banco reconhece que não estão na listagem do SRB;
- Existem alguns códigos reconhecidos pelo SRB, mas não pelo banco;
- No campo utilizado para obter o valor_origem não é guardada informação de Organizações Internacionais Europeias e Não Europeias, mas o SRB pede este detalhe.
Atenuante:
Segundo a query:
SELECT ISSR_CNTRY, COUNT(*) FROM cd_loan_tapes_bce.lt002_instrument GROUP BY ISSR_CNTRY
Apenas estão a sair os paises 'DE', 'LU', 'NL', 'IT', 'PT', 'ES', 'IE' e desde 2023 apenas existem 8 'MISS', tudo o resto é N/A embora também seja um pouco preocupante pois é numa proporção muito superior aos valores preenchidos, após uma análise confirmou-se que estes N/A se devem a um regra que faz com que este campo apenas seja prrenchido para Debt Securities.
Proposta:
Verificando-se que as preocupações acima não são tema, dever-se-ia replicar a parametrização já existente para o ambito do report Valuation</t>
  </si>
  <si>
    <t>AE</t>
  </si>
  <si>
    <t>United Arab Emirates (the)</t>
  </si>
  <si>
    <t>AF</t>
  </si>
  <si>
    <t>Afghanistan</t>
  </si>
  <si>
    <t>AG</t>
  </si>
  <si>
    <t>Antigua and Barbuda</t>
  </si>
  <si>
    <t>AI</t>
  </si>
  <si>
    <t>Anguilla</t>
  </si>
  <si>
    <t>AL</t>
  </si>
  <si>
    <t>Albania</t>
  </si>
  <si>
    <t>AM</t>
  </si>
  <si>
    <t>Armenia</t>
  </si>
  <si>
    <t>AO</t>
  </si>
  <si>
    <t>Angola</t>
  </si>
  <si>
    <t>AQ</t>
  </si>
  <si>
    <t>Antarctica</t>
  </si>
  <si>
    <t>AR</t>
  </si>
  <si>
    <t>Argentina</t>
  </si>
  <si>
    <t>AS</t>
  </si>
  <si>
    <t>American Samoa</t>
  </si>
  <si>
    <t>AT</t>
  </si>
  <si>
    <t>Austria</t>
  </si>
  <si>
    <t>AU</t>
  </si>
  <si>
    <t>Australia</t>
  </si>
  <si>
    <t>AW</t>
  </si>
  <si>
    <t>Aruba</t>
  </si>
  <si>
    <t>AX</t>
  </si>
  <si>
    <t>Aland Islands</t>
  </si>
  <si>
    <t>AZ</t>
  </si>
  <si>
    <t>Azerbaijan</t>
  </si>
  <si>
    <t>BA</t>
  </si>
  <si>
    <t>Bosnia and Herzegovina</t>
  </si>
  <si>
    <t>BB</t>
  </si>
  <si>
    <t>Barbados</t>
  </si>
  <si>
    <t>BD</t>
  </si>
  <si>
    <t>Bangladesh</t>
  </si>
  <si>
    <t>BE</t>
  </si>
  <si>
    <t>Belgium</t>
  </si>
  <si>
    <t>BF</t>
  </si>
  <si>
    <t>Burkina Faso</t>
  </si>
  <si>
    <t>BG</t>
  </si>
  <si>
    <t>Bulgaria</t>
  </si>
  <si>
    <t>BH</t>
  </si>
  <si>
    <t>Bahrain</t>
  </si>
  <si>
    <t>BI</t>
  </si>
  <si>
    <t>Burundi</t>
  </si>
  <si>
    <t>BJ</t>
  </si>
  <si>
    <t>Benin</t>
  </si>
  <si>
    <t>BL</t>
  </si>
  <si>
    <t>Saint Barthélemy</t>
  </si>
  <si>
    <t>BM</t>
  </si>
  <si>
    <t>Bermuda</t>
  </si>
  <si>
    <t>BN</t>
  </si>
  <si>
    <t>Brunei Darussalam</t>
  </si>
  <si>
    <t>BO</t>
  </si>
  <si>
    <t>Bolivia (Plurinational State of)</t>
  </si>
  <si>
    <t>BQ</t>
  </si>
  <si>
    <t>Bonaire, Saint Eustatius and Saba</t>
  </si>
  <si>
    <t>BR</t>
  </si>
  <si>
    <t>Brazil</t>
  </si>
  <si>
    <t>BS</t>
  </si>
  <si>
    <t>Bahamas (the)</t>
  </si>
  <si>
    <t>BT</t>
  </si>
  <si>
    <t>Bhutan</t>
  </si>
  <si>
    <t>BV</t>
  </si>
  <si>
    <t>Bouvet Island</t>
  </si>
  <si>
    <t>BW</t>
  </si>
  <si>
    <t>Botswana</t>
  </si>
  <si>
    <t>BY</t>
  </si>
  <si>
    <t>Belarus</t>
  </si>
  <si>
    <t>BZ</t>
  </si>
  <si>
    <t>Belize</t>
  </si>
  <si>
    <t>CA</t>
  </si>
  <si>
    <t>Canada</t>
  </si>
  <si>
    <t>CC</t>
  </si>
  <si>
    <t>Cocos (Keeling) Islands (the)</t>
  </si>
  <si>
    <t>CD</t>
  </si>
  <si>
    <t>Congo (the Democratic Republic of the)</t>
  </si>
  <si>
    <t>CF</t>
  </si>
  <si>
    <t>Central African Republic (the)</t>
  </si>
  <si>
    <t>CG</t>
  </si>
  <si>
    <t>Congo (the)</t>
  </si>
  <si>
    <t>CH</t>
  </si>
  <si>
    <t>Switzerland</t>
  </si>
  <si>
    <t>CI</t>
  </si>
  <si>
    <t>Cote d'Ivoire</t>
  </si>
  <si>
    <t>CK</t>
  </si>
  <si>
    <t>Cook Islands (the)</t>
  </si>
  <si>
    <t>CL</t>
  </si>
  <si>
    <t>Chile</t>
  </si>
  <si>
    <t>CM</t>
  </si>
  <si>
    <t>Cameroon</t>
  </si>
  <si>
    <t>CN</t>
  </si>
  <si>
    <t>China</t>
  </si>
  <si>
    <t>CO</t>
  </si>
  <si>
    <t>Colombia</t>
  </si>
  <si>
    <t>CR</t>
  </si>
  <si>
    <t>Costa Rica</t>
  </si>
  <si>
    <t>CU</t>
  </si>
  <si>
    <t>Cuba</t>
  </si>
  <si>
    <t>CV</t>
  </si>
  <si>
    <t>Cabo Verde</t>
  </si>
  <si>
    <t>CW</t>
  </si>
  <si>
    <t>Curacao</t>
  </si>
  <si>
    <t>CX</t>
  </si>
  <si>
    <t>Christmas Island</t>
  </si>
  <si>
    <t>CY</t>
  </si>
  <si>
    <t>Cyprus</t>
  </si>
  <si>
    <t>CZ</t>
  </si>
  <si>
    <t>Czechia</t>
  </si>
  <si>
    <t>DE</t>
  </si>
  <si>
    <t>Germany</t>
  </si>
  <si>
    <t>DJ</t>
  </si>
  <si>
    <t>Djibouti</t>
  </si>
  <si>
    <t>DK</t>
  </si>
  <si>
    <t>Denmark</t>
  </si>
  <si>
    <t>DM</t>
  </si>
  <si>
    <t>Dominica</t>
  </si>
  <si>
    <t>DO</t>
  </si>
  <si>
    <t>Dominican Republic (the)</t>
  </si>
  <si>
    <t>DZ</t>
  </si>
  <si>
    <t>Algeria</t>
  </si>
  <si>
    <t>EC</t>
  </si>
  <si>
    <t>Ecuador</t>
  </si>
  <si>
    <t>EE</t>
  </si>
  <si>
    <t>Estonia</t>
  </si>
  <si>
    <t>EG</t>
  </si>
  <si>
    <t>Egypt</t>
  </si>
  <si>
    <t>EH</t>
  </si>
  <si>
    <t>Western Sahara</t>
  </si>
  <si>
    <t>ER</t>
  </si>
  <si>
    <t>Eritrea</t>
  </si>
  <si>
    <t>ES</t>
  </si>
  <si>
    <t>Spain</t>
  </si>
  <si>
    <t>ET</t>
  </si>
  <si>
    <t>Ethiopia</t>
  </si>
  <si>
    <t>FI</t>
  </si>
  <si>
    <t>Finland</t>
  </si>
  <si>
    <t>FJ</t>
  </si>
  <si>
    <t>Fiji</t>
  </si>
  <si>
    <t>FK</t>
  </si>
  <si>
    <t>Falkland Islands (the) [Malvinas]</t>
  </si>
  <si>
    <t>FM</t>
  </si>
  <si>
    <t>Micronesia (Federated States of)</t>
  </si>
  <si>
    <t>FO</t>
  </si>
  <si>
    <t>Faroe Islands (the)</t>
  </si>
  <si>
    <t>FR</t>
  </si>
  <si>
    <t>France</t>
  </si>
  <si>
    <t>GA</t>
  </si>
  <si>
    <t>Gabon</t>
  </si>
  <si>
    <t>GB</t>
  </si>
  <si>
    <t>United Kingdom of Great Britain and Northern Ireland (the)</t>
  </si>
  <si>
    <t>GD</t>
  </si>
  <si>
    <t>Grenada</t>
  </si>
  <si>
    <t>GE</t>
  </si>
  <si>
    <t>Georgia</t>
  </si>
  <si>
    <t>GG</t>
  </si>
  <si>
    <t>Guernsey</t>
  </si>
  <si>
    <t>GH</t>
  </si>
  <si>
    <t>Ghana</t>
  </si>
  <si>
    <t>GI</t>
  </si>
  <si>
    <t>Gibraltar</t>
  </si>
  <si>
    <t>GL</t>
  </si>
  <si>
    <t>Greenland</t>
  </si>
  <si>
    <t>GM</t>
  </si>
  <si>
    <t>Gambia (the)</t>
  </si>
  <si>
    <t>GN</t>
  </si>
  <si>
    <t>Guinea</t>
  </si>
  <si>
    <t>GQ</t>
  </si>
  <si>
    <t>Equatorial Guinea</t>
  </si>
  <si>
    <t>GR</t>
  </si>
  <si>
    <t>Greece</t>
  </si>
  <si>
    <t>GS</t>
  </si>
  <si>
    <t>South Georgia and the South Sandwich Islands</t>
  </si>
  <si>
    <t>GT</t>
  </si>
  <si>
    <t>Guatemala</t>
  </si>
  <si>
    <t>GU</t>
  </si>
  <si>
    <t>Guam</t>
  </si>
  <si>
    <t>GW</t>
  </si>
  <si>
    <t>Guinea-Bissau</t>
  </si>
  <si>
    <t>GY</t>
  </si>
  <si>
    <t>Guyana</t>
  </si>
  <si>
    <t>HK</t>
  </si>
  <si>
    <t>Hong Kong</t>
  </si>
  <si>
    <t>HM</t>
  </si>
  <si>
    <t>Heard Island and McDonald Islands</t>
  </si>
  <si>
    <t>HN</t>
  </si>
  <si>
    <t>Honduras</t>
  </si>
  <si>
    <t>HR</t>
  </si>
  <si>
    <t>Croatia</t>
  </si>
  <si>
    <t>HT</t>
  </si>
  <si>
    <t>Haiti</t>
  </si>
  <si>
    <t>HU</t>
  </si>
  <si>
    <t>Hungary</t>
  </si>
  <si>
    <t>Indonesia</t>
  </si>
  <si>
    <t>IE</t>
  </si>
  <si>
    <t>Ireland</t>
  </si>
  <si>
    <t>IL</t>
  </si>
  <si>
    <t>Israel</t>
  </si>
  <si>
    <t>IM</t>
  </si>
  <si>
    <t>Isle of Man</t>
  </si>
  <si>
    <t>IN</t>
  </si>
  <si>
    <t>India</t>
  </si>
  <si>
    <t>IO</t>
  </si>
  <si>
    <t>British Indian Ocean Territory (the)</t>
  </si>
  <si>
    <t>IQ</t>
  </si>
  <si>
    <t>Iraq</t>
  </si>
  <si>
    <t>IR</t>
  </si>
  <si>
    <t>Iran (Islamic Republic of)</t>
  </si>
  <si>
    <t>IS</t>
  </si>
  <si>
    <t>Iceland</t>
  </si>
  <si>
    <t>IT</t>
  </si>
  <si>
    <t>Italy</t>
  </si>
  <si>
    <t>JE</t>
  </si>
  <si>
    <t>Jersey</t>
  </si>
  <si>
    <t>JM</t>
  </si>
  <si>
    <t>Jamaica</t>
  </si>
  <si>
    <t>JO</t>
  </si>
  <si>
    <t>Jordan</t>
  </si>
  <si>
    <t>JP</t>
  </si>
  <si>
    <t>Japan</t>
  </si>
  <si>
    <t>KE</t>
  </si>
  <si>
    <t>Kenya</t>
  </si>
  <si>
    <t>KG</t>
  </si>
  <si>
    <t>Kyrgyzstan</t>
  </si>
  <si>
    <t>KH</t>
  </si>
  <si>
    <t>Cambodia</t>
  </si>
  <si>
    <t>KI</t>
  </si>
  <si>
    <t>Kiribati</t>
  </si>
  <si>
    <t>KM</t>
  </si>
  <si>
    <t>Comoros (the)</t>
  </si>
  <si>
    <t>KN</t>
  </si>
  <si>
    <t>Saint Kitts and Nevis</t>
  </si>
  <si>
    <t>KP</t>
  </si>
  <si>
    <t>Korea (the Democratic People's Republic of)</t>
  </si>
  <si>
    <t>KR</t>
  </si>
  <si>
    <t>Korea (the Republic of)</t>
  </si>
  <si>
    <t>KW</t>
  </si>
  <si>
    <t>Kuwait</t>
  </si>
  <si>
    <t>KY</t>
  </si>
  <si>
    <t>Cayman Islands (the)</t>
  </si>
  <si>
    <t>KZ</t>
  </si>
  <si>
    <t>Kazakhstan</t>
  </si>
  <si>
    <t>LA</t>
  </si>
  <si>
    <t>Lao People's Democratic Republic (the)</t>
  </si>
  <si>
    <t>LB</t>
  </si>
  <si>
    <t>Lebanon</t>
  </si>
  <si>
    <t>LC</t>
  </si>
  <si>
    <t>Saint Lucia</t>
  </si>
  <si>
    <t>LI</t>
  </si>
  <si>
    <t>Liechtenstein</t>
  </si>
  <si>
    <t>LK</t>
  </si>
  <si>
    <t>Sri Lanka</t>
  </si>
  <si>
    <t>LR</t>
  </si>
  <si>
    <t>Liberia</t>
  </si>
  <si>
    <t>LS</t>
  </si>
  <si>
    <t>Lesotho</t>
  </si>
  <si>
    <t>LT</t>
  </si>
  <si>
    <t>Lithuania</t>
  </si>
  <si>
    <t>LU</t>
  </si>
  <si>
    <t>Luxembourg</t>
  </si>
  <si>
    <t>LV</t>
  </si>
  <si>
    <t>Latvia</t>
  </si>
  <si>
    <t>LY</t>
  </si>
  <si>
    <t>Libya</t>
  </si>
  <si>
    <t>MA</t>
  </si>
  <si>
    <t>Morocco</t>
  </si>
  <si>
    <t>MD</t>
  </si>
  <si>
    <t>Moldova (the Republic of)</t>
  </si>
  <si>
    <t>ME</t>
  </si>
  <si>
    <t>Montenegro</t>
  </si>
  <si>
    <t>MF</t>
  </si>
  <si>
    <t>Saint Martin (French part)</t>
  </si>
  <si>
    <t>MG</t>
  </si>
  <si>
    <t>Madagascar</t>
  </si>
  <si>
    <t>MH</t>
  </si>
  <si>
    <t>Marshall Islands (the)</t>
  </si>
  <si>
    <t>MK</t>
  </si>
  <si>
    <t>Macedonia (the former Yugoslav Republic of)</t>
  </si>
  <si>
    <t>ML</t>
  </si>
  <si>
    <t>Mali</t>
  </si>
  <si>
    <t>MM</t>
  </si>
  <si>
    <t>Myanmar</t>
  </si>
  <si>
    <t>MN</t>
  </si>
  <si>
    <t>Mongolia</t>
  </si>
  <si>
    <t>MO</t>
  </si>
  <si>
    <t>Macao</t>
  </si>
  <si>
    <t>MP</t>
  </si>
  <si>
    <t>Northern Mariana Islands (the)</t>
  </si>
  <si>
    <t>MR</t>
  </si>
  <si>
    <t>Mauritania</t>
  </si>
  <si>
    <t>MS</t>
  </si>
  <si>
    <t>Montserrat</t>
  </si>
  <si>
    <t>MT</t>
  </si>
  <si>
    <t>Malta</t>
  </si>
  <si>
    <t>MU</t>
  </si>
  <si>
    <t>Mauritius</t>
  </si>
  <si>
    <t>MV</t>
  </si>
  <si>
    <t>Maldives</t>
  </si>
  <si>
    <t>MW</t>
  </si>
  <si>
    <t>Malawi</t>
  </si>
  <si>
    <t>MX</t>
  </si>
  <si>
    <t>Mexico</t>
  </si>
  <si>
    <t>MY</t>
  </si>
  <si>
    <t>Malaysia</t>
  </si>
  <si>
    <t>MZ</t>
  </si>
  <si>
    <t>Mozambique</t>
  </si>
  <si>
    <t>NA</t>
  </si>
  <si>
    <t>Namibia</t>
  </si>
  <si>
    <t>NC</t>
  </si>
  <si>
    <t>New Caledonia</t>
  </si>
  <si>
    <t>NE</t>
  </si>
  <si>
    <t>Niger (the)</t>
  </si>
  <si>
    <t>NF</t>
  </si>
  <si>
    <t>Norfolk Island</t>
  </si>
  <si>
    <t>NG</t>
  </si>
  <si>
    <t>Nigeria</t>
  </si>
  <si>
    <t>NI</t>
  </si>
  <si>
    <t>Nicaragua</t>
  </si>
  <si>
    <t>NL</t>
  </si>
  <si>
    <t>Netherlands (the)</t>
  </si>
  <si>
    <t>NO</t>
  </si>
  <si>
    <t>Norway</t>
  </si>
  <si>
    <t>NP</t>
  </si>
  <si>
    <t>Nepal</t>
  </si>
  <si>
    <t>NR</t>
  </si>
  <si>
    <t>Nauru</t>
  </si>
  <si>
    <t>NU</t>
  </si>
  <si>
    <t>Niue</t>
  </si>
  <si>
    <t>NZ</t>
  </si>
  <si>
    <t>New Zealand</t>
  </si>
  <si>
    <t>OM</t>
  </si>
  <si>
    <t>Oman</t>
  </si>
  <si>
    <t>PA</t>
  </si>
  <si>
    <t>Panama</t>
  </si>
  <si>
    <t>PE</t>
  </si>
  <si>
    <t>Peru</t>
  </si>
  <si>
    <t>PF</t>
  </si>
  <si>
    <t>French Polynesia</t>
  </si>
  <si>
    <t>PG</t>
  </si>
  <si>
    <t>Papua New Guinea</t>
  </si>
  <si>
    <t>PH</t>
  </si>
  <si>
    <t>Philippines (the)</t>
  </si>
  <si>
    <t>PK</t>
  </si>
  <si>
    <t>Pakistan</t>
  </si>
  <si>
    <t>PL</t>
  </si>
  <si>
    <t>Poland</t>
  </si>
  <si>
    <t>PN</t>
  </si>
  <si>
    <t>Pitcairn</t>
  </si>
  <si>
    <t>PR</t>
  </si>
  <si>
    <t>Puerto Rico</t>
  </si>
  <si>
    <t>PS</t>
  </si>
  <si>
    <t>Palestine, State of</t>
  </si>
  <si>
    <t>PT</t>
  </si>
  <si>
    <t>Portugal</t>
  </si>
  <si>
    <t>PW</t>
  </si>
  <si>
    <t>Palau</t>
  </si>
  <si>
    <t>PY</t>
  </si>
  <si>
    <t>Paraguay</t>
  </si>
  <si>
    <t>QA</t>
  </si>
  <si>
    <t>Qatar</t>
  </si>
  <si>
    <t>RO</t>
  </si>
  <si>
    <t>Romania</t>
  </si>
  <si>
    <t>RS</t>
  </si>
  <si>
    <t>Serbia</t>
  </si>
  <si>
    <t>RU</t>
  </si>
  <si>
    <t>Russian Federation (the)</t>
  </si>
  <si>
    <t>RW</t>
  </si>
  <si>
    <t>Rwanda</t>
  </si>
  <si>
    <t>SA</t>
  </si>
  <si>
    <t>Saudi Arabia</t>
  </si>
  <si>
    <t>SB</t>
  </si>
  <si>
    <t>Solomon Islands</t>
  </si>
  <si>
    <t>SC</t>
  </si>
  <si>
    <t>Seychelles</t>
  </si>
  <si>
    <t>SD</t>
  </si>
  <si>
    <t>Sudan (the)</t>
  </si>
  <si>
    <t>SE</t>
  </si>
  <si>
    <t>Sweden</t>
  </si>
  <si>
    <t>SG</t>
  </si>
  <si>
    <t>Singapore</t>
  </si>
  <si>
    <t>SH</t>
  </si>
  <si>
    <t>Saint Helena, Ascension and Tristan da Cunha</t>
  </si>
  <si>
    <t>SI</t>
  </si>
  <si>
    <t>Slovenia</t>
  </si>
  <si>
    <t>SJ</t>
  </si>
  <si>
    <t>Svalbard and Jan Mayen</t>
  </si>
  <si>
    <t>SK</t>
  </si>
  <si>
    <t>Slovakia</t>
  </si>
  <si>
    <t>SL</t>
  </si>
  <si>
    <t>Sierra Leone</t>
  </si>
  <si>
    <t>SM</t>
  </si>
  <si>
    <t>San Marino</t>
  </si>
  <si>
    <t>SN</t>
  </si>
  <si>
    <t>Senegal</t>
  </si>
  <si>
    <t>SO</t>
  </si>
  <si>
    <t>Somalia</t>
  </si>
  <si>
    <t>SR</t>
  </si>
  <si>
    <t>Suriname</t>
  </si>
  <si>
    <t>SS</t>
  </si>
  <si>
    <t>South Sudan</t>
  </si>
  <si>
    <t>ST</t>
  </si>
  <si>
    <t>Sao Tome and Principe</t>
  </si>
  <si>
    <t>SV</t>
  </si>
  <si>
    <t>El Salvador</t>
  </si>
  <si>
    <t>SX</t>
  </si>
  <si>
    <t>Sint Maarten (Dutch part)</t>
  </si>
  <si>
    <t>SY</t>
  </si>
  <si>
    <t>Syrian Arab Republic</t>
  </si>
  <si>
    <t>SZ</t>
  </si>
  <si>
    <t>Swaziland</t>
  </si>
  <si>
    <t>TC</t>
  </si>
  <si>
    <t>Turks and Caicos Islands (the)</t>
  </si>
  <si>
    <t>TD</t>
  </si>
  <si>
    <t>Chad</t>
  </si>
  <si>
    <t>TF</t>
  </si>
  <si>
    <t>French Southern Territories (the)</t>
  </si>
  <si>
    <t>TG</t>
  </si>
  <si>
    <t>Togo</t>
  </si>
  <si>
    <t>TH</t>
  </si>
  <si>
    <t>Thailand</t>
  </si>
  <si>
    <t>TJ</t>
  </si>
  <si>
    <t>Tajikistan</t>
  </si>
  <si>
    <t>TK</t>
  </si>
  <si>
    <t>Tokelau</t>
  </si>
  <si>
    <t>TL</t>
  </si>
  <si>
    <t>Timor-Leste</t>
  </si>
  <si>
    <t>TM</t>
  </si>
  <si>
    <t>Turkmenistan</t>
  </si>
  <si>
    <t>TN</t>
  </si>
  <si>
    <t>Tunisia</t>
  </si>
  <si>
    <t>TO</t>
  </si>
  <si>
    <t>Tonga</t>
  </si>
  <si>
    <t>TR</t>
  </si>
  <si>
    <t>Turkey</t>
  </si>
  <si>
    <t>TT</t>
  </si>
  <si>
    <t>Trinidad and Tobago</t>
  </si>
  <si>
    <t>TV</t>
  </si>
  <si>
    <t>Tuvalu</t>
  </si>
  <si>
    <t>TW</t>
  </si>
  <si>
    <t>Taiwan (Province of China)</t>
  </si>
  <si>
    <t>TZ</t>
  </si>
  <si>
    <t>Tanzania, United Republic of</t>
  </si>
  <si>
    <t>UA</t>
  </si>
  <si>
    <t>Ukraine</t>
  </si>
  <si>
    <t>UG</t>
  </si>
  <si>
    <t>Uganda</t>
  </si>
  <si>
    <t>UM</t>
  </si>
  <si>
    <t>United States Minor Outlying Islands (the)</t>
  </si>
  <si>
    <t>US</t>
  </si>
  <si>
    <t>United States of America (the)</t>
  </si>
  <si>
    <t>UY</t>
  </si>
  <si>
    <t>Uruguay</t>
  </si>
  <si>
    <t>UZ</t>
  </si>
  <si>
    <t>Uzbekistan</t>
  </si>
  <si>
    <t>VA</t>
  </si>
  <si>
    <t>Holy See (the)</t>
  </si>
  <si>
    <t>VC</t>
  </si>
  <si>
    <t>Saint Vincent and the Grenadines</t>
  </si>
  <si>
    <t>VE</t>
  </si>
  <si>
    <t>Venezuela (Bolivarian Republic of)</t>
  </si>
  <si>
    <t>VG</t>
  </si>
  <si>
    <t>Virgin Islands (British)</t>
  </si>
  <si>
    <t>VI</t>
  </si>
  <si>
    <t>Virgin Islands (U.S.)</t>
  </si>
  <si>
    <t>VN</t>
  </si>
  <si>
    <t>Viet Nam</t>
  </si>
  <si>
    <t>VU</t>
  </si>
  <si>
    <t>Vanuatu</t>
  </si>
  <si>
    <t>WF</t>
  </si>
  <si>
    <t>Wallis and Futuna</t>
  </si>
  <si>
    <t>WS</t>
  </si>
  <si>
    <t>Samoa</t>
  </si>
  <si>
    <t>YE</t>
  </si>
  <si>
    <t>Yemen</t>
  </si>
  <si>
    <t>ZA</t>
  </si>
  <si>
    <t>South Africa</t>
  </si>
  <si>
    <t>ZM</t>
  </si>
  <si>
    <t>Zambia</t>
  </si>
  <si>
    <t>ZW</t>
  </si>
  <si>
    <t>Zimbabwe</t>
  </si>
  <si>
    <t>GF</t>
  </si>
  <si>
    <t>French Guiana</t>
  </si>
  <si>
    <t>O SRB não considera estas opções</t>
  </si>
  <si>
    <t>GP</t>
  </si>
  <si>
    <t>Guadeloupe</t>
  </si>
  <si>
    <t>MC</t>
  </si>
  <si>
    <t>Monaco</t>
  </si>
  <si>
    <t>MQ</t>
  </si>
  <si>
    <t>Martinique</t>
  </si>
  <si>
    <t>PM</t>
  </si>
  <si>
    <t>Saint Pierre and Miquelon</t>
  </si>
  <si>
    <t>RE</t>
  </si>
  <si>
    <t>Réunion</t>
  </si>
  <si>
    <t>YT</t>
  </si>
  <si>
    <t>Mayotte</t>
  </si>
  <si>
    <t>__</t>
  </si>
  <si>
    <t>Not assigned yet</t>
  </si>
  <si>
    <t>E$</t>
  </si>
  <si>
    <t>European International Organisations</t>
  </si>
  <si>
    <t>O entendimento que resulta desta linha é que o banco não guarda registo no campo  CPAIS_RESIDENCIA da tabela CT003_UNIC_CLI informação de organizações internacionais europeias, isto é um problema pois o SRB pede esse detalhe</t>
  </si>
  <si>
    <t>N$</t>
  </si>
  <si>
    <t>Non-European International Organisations</t>
  </si>
  <si>
    <t>AN</t>
  </si>
  <si>
    <t>Netherlands Antilles</t>
  </si>
  <si>
    <t xml:space="preserve">O SRB tem 'AN' como opção mas nós não temos nenhum código associado a esta opção </t>
  </si>
  <si>
    <t>XK</t>
  </si>
  <si>
    <t>Kosovo</t>
  </si>
  <si>
    <t xml:space="preserve">O SRB tem 'XK' como opção mas nós não temos nenhum código associado a esta opção </t>
  </si>
  <si>
    <t>1C</t>
  </si>
  <si>
    <t>IMF (International Monetary Fund)</t>
  </si>
  <si>
    <t>Segundo as linhas 3777 e 3778 o banco não guarda registo de organizações internacionais no campo  CPAIS_RESIDENCIA da tabela CT003_UNIC_CLI</t>
  </si>
  <si>
    <t>1D</t>
  </si>
  <si>
    <t>WTO (World Trade Organisation)</t>
  </si>
  <si>
    <t>1E</t>
  </si>
  <si>
    <t>IBRD (International Bank for Reconstruction and Development)</t>
  </si>
  <si>
    <t>1F</t>
  </si>
  <si>
    <t>IDA (International Development Association)</t>
  </si>
  <si>
    <t>1G</t>
  </si>
  <si>
    <t xml:space="preserve">ICSID (International Centre for Settlement of Investment Disputes) </t>
  </si>
  <si>
    <t>1H</t>
  </si>
  <si>
    <t>UNESCO (United Nations Educational, Scientific and Cultural Organisation)</t>
  </si>
  <si>
    <t>1J</t>
  </si>
  <si>
    <t>FAO (Food and Agriculture Organisation)</t>
  </si>
  <si>
    <t>1K</t>
  </si>
  <si>
    <t>WHO (World Health Organisation)</t>
  </si>
  <si>
    <t>1L</t>
  </si>
  <si>
    <t>IFAD (International Fund for Agricultural Development)</t>
  </si>
  <si>
    <t>1M</t>
  </si>
  <si>
    <t>IFC (International Finance Corporation)</t>
  </si>
  <si>
    <t>1N</t>
  </si>
  <si>
    <t>MIGA (Multilateral Investment Guarantee Agency)</t>
  </si>
  <si>
    <t>1O</t>
  </si>
  <si>
    <t>UNICEF (United Nations Children Fund)</t>
  </si>
  <si>
    <t>1P</t>
  </si>
  <si>
    <t>UNHCR (United Nations High Commissioner for Refugees)</t>
  </si>
  <si>
    <t>1Q</t>
  </si>
  <si>
    <t>UNRWA (United Nations Relief and Works Agency for Palestine)</t>
  </si>
  <si>
    <t>1R</t>
  </si>
  <si>
    <t>IAEA (International Atomic Energy Agency)</t>
  </si>
  <si>
    <t>1S</t>
  </si>
  <si>
    <t>ILO (International Labour Organisation)</t>
  </si>
  <si>
    <t>1T</t>
  </si>
  <si>
    <t>ITU (International Telecommunication Union)</t>
  </si>
  <si>
    <t>1U</t>
  </si>
  <si>
    <t>Rest of UN Organisations n.i.e.</t>
  </si>
  <si>
    <t>1W</t>
  </si>
  <si>
    <t>World Bank Group</t>
  </si>
  <si>
    <t>4A</t>
  </si>
  <si>
    <t>All the European Union Institutions excluding the institutions of the euro area (changing composition)</t>
  </si>
  <si>
    <t>4B</t>
  </si>
  <si>
    <t>EMS (European Monetary System)</t>
  </si>
  <si>
    <t>4C</t>
  </si>
  <si>
    <t>EIB (European Investment Bank)</t>
  </si>
  <si>
    <t>4D</t>
  </si>
  <si>
    <t>European Commission</t>
  </si>
  <si>
    <t>4E</t>
  </si>
  <si>
    <t>EDF (European Development Fund)</t>
  </si>
  <si>
    <t>4F</t>
  </si>
  <si>
    <t xml:space="preserve">ECB (European Central Bank) </t>
  </si>
  <si>
    <t>4G</t>
  </si>
  <si>
    <t>EIF (European Investment Fund)</t>
  </si>
  <si>
    <t>4H</t>
  </si>
  <si>
    <t>European Coal and Steel Community</t>
  </si>
  <si>
    <t>4I</t>
  </si>
  <si>
    <t>Neighbourhood Investment Facility</t>
  </si>
  <si>
    <t>4M</t>
  </si>
  <si>
    <t>SRB (Single Resolution Board)</t>
  </si>
  <si>
    <t>4R</t>
  </si>
  <si>
    <t>EU-Africa Infrastructure Trust Fund</t>
  </si>
  <si>
    <t>4S</t>
  </si>
  <si>
    <t>ESM (European Stability Mechanism)</t>
  </si>
  <si>
    <t>4U</t>
  </si>
  <si>
    <t>EURATOM</t>
  </si>
  <si>
    <t>4V</t>
  </si>
  <si>
    <t>FEMIP (Facility for Euro-Mediterranean Investment and Partnership)</t>
  </si>
  <si>
    <t>4W</t>
  </si>
  <si>
    <t>EFSF (European Financial Stability Facility)</t>
  </si>
  <si>
    <t>5B</t>
  </si>
  <si>
    <t>BIS (Bank for International Settlements)</t>
  </si>
  <si>
    <t>5C</t>
  </si>
  <si>
    <t>IADB (Inter-American Development Bank)</t>
  </si>
  <si>
    <t>5D</t>
  </si>
  <si>
    <t>AfDB (African Development Bank)</t>
  </si>
  <si>
    <t>5E</t>
  </si>
  <si>
    <t>AsDB (Asian Development Bank)</t>
  </si>
  <si>
    <t>5F</t>
  </si>
  <si>
    <t>EBRD (European Bank for Reconstruction and Development)</t>
  </si>
  <si>
    <t>5G</t>
  </si>
  <si>
    <t>IIC (Inter-American Investment Corporation)</t>
  </si>
  <si>
    <t>5H</t>
  </si>
  <si>
    <t>NIB (Nordic Investment Bank)</t>
  </si>
  <si>
    <t>5I</t>
  </si>
  <si>
    <t>ECCB (Eastern Caribbean Central Bank)</t>
  </si>
  <si>
    <t>5J</t>
  </si>
  <si>
    <t>IBEC (International Bank for Economic Co-operation)</t>
  </si>
  <si>
    <t>5K</t>
  </si>
  <si>
    <t>IIB (International Investment Bank)</t>
  </si>
  <si>
    <t>5L</t>
  </si>
  <si>
    <t>CDB (Caribbean Development Bank)</t>
  </si>
  <si>
    <t>5M</t>
  </si>
  <si>
    <t>AMF (Arab Monetary Fund)</t>
  </si>
  <si>
    <t>5N</t>
  </si>
  <si>
    <t>BADEA (Banque arabe pour le développement économique en Afrique)</t>
  </si>
  <si>
    <t>5O</t>
  </si>
  <si>
    <t>BCEAO (Banque Centrale des Etats de l`Afrique de l`Ouest)</t>
  </si>
  <si>
    <t>5P</t>
  </si>
  <si>
    <t>CASDB (Central African States Development Bank)</t>
  </si>
  <si>
    <t>5Q</t>
  </si>
  <si>
    <t>African Development Fund</t>
  </si>
  <si>
    <t>5R</t>
  </si>
  <si>
    <t>Asian Development Fund</t>
  </si>
  <si>
    <t>5S</t>
  </si>
  <si>
    <t>Fonds spécial unifié de développement</t>
  </si>
  <si>
    <t>5T</t>
  </si>
  <si>
    <t>CABEI (Central American Bank for Economic Integration)</t>
  </si>
  <si>
    <t>5U</t>
  </si>
  <si>
    <t>ADC (Andean Development Corporation)</t>
  </si>
  <si>
    <t>5W</t>
  </si>
  <si>
    <t>BEAC (Banque des Etats de l`Afrique Centrale)</t>
  </si>
  <si>
    <t>5X</t>
  </si>
  <si>
    <t>AIIB (Asian Infrastructure Investment Bank)</t>
  </si>
  <si>
    <t>6B</t>
  </si>
  <si>
    <t>NATO (North Atlantic Treaty Organisation)</t>
  </si>
  <si>
    <t>6C</t>
  </si>
  <si>
    <t>Council of Europe</t>
  </si>
  <si>
    <t>6D</t>
  </si>
  <si>
    <t>ICRC (International Committee of the Red Cross)</t>
  </si>
  <si>
    <t>6E</t>
  </si>
  <si>
    <t>ESA (European Space Agency)</t>
  </si>
  <si>
    <t>6F</t>
  </si>
  <si>
    <t>EPO (European Patent Office)</t>
  </si>
  <si>
    <t>6G</t>
  </si>
  <si>
    <t>EUROCONTROL (European Organisation for the Safety of Air Navigation)</t>
  </si>
  <si>
    <t>6H</t>
  </si>
  <si>
    <t>EUTELSAT (European Telecommunications Satellite Organisation)</t>
  </si>
  <si>
    <t>6I</t>
  </si>
  <si>
    <t>EMBL (European Molecular Biology Laboratory)</t>
  </si>
  <si>
    <t>6J</t>
  </si>
  <si>
    <t>INTELSAT (International Telecommunications Satellite Organisation)</t>
  </si>
  <si>
    <t>6K</t>
  </si>
  <si>
    <t>EBU/UER (European Broadcasting Union/Union européenne de radio-télévision)</t>
  </si>
  <si>
    <t>6L</t>
  </si>
  <si>
    <t>EUMETSAT (European Organisation for the Exploitation of Meteorological Satellites)</t>
  </si>
  <si>
    <t>6M</t>
  </si>
  <si>
    <t>ESO (European Southern Observatory)</t>
  </si>
  <si>
    <t>6N</t>
  </si>
  <si>
    <t>ECMWF (European Centre for Medium-Range Weather Forecasts)</t>
  </si>
  <si>
    <t>6O</t>
  </si>
  <si>
    <t>OECD (Organisation for Economic Co-operation and Development)</t>
  </si>
  <si>
    <t>6P</t>
  </si>
  <si>
    <t>CERN (European Organisation for Nuclear Research)</t>
  </si>
  <si>
    <t>6Q</t>
  </si>
  <si>
    <t>IOM (International Organisation for Migration)</t>
  </si>
  <si>
    <t>7B</t>
  </si>
  <si>
    <t>IDB (Islamic Development Bank)</t>
  </si>
  <si>
    <t>7C</t>
  </si>
  <si>
    <t>EDB (Eurasian Development Bank )</t>
  </si>
  <si>
    <t>7D</t>
  </si>
  <si>
    <t>Paris Club Creditor Institutions</t>
  </si>
  <si>
    <t>7E</t>
  </si>
  <si>
    <t>CEB (Council of Europe Development Bank)</t>
  </si>
  <si>
    <t>7F</t>
  </si>
  <si>
    <t>International Union of Credit and Investment Insurers</t>
  </si>
  <si>
    <t>7G</t>
  </si>
  <si>
    <t>Black Sea Trade and Development Banks</t>
  </si>
  <si>
    <t>7H</t>
  </si>
  <si>
    <t>AFREXIMBANK (African Export-Import Bank)</t>
  </si>
  <si>
    <t>7I</t>
  </si>
  <si>
    <t>BLADEX (Banco Latino Americano De Comercio Exterior)</t>
  </si>
  <si>
    <t>7J</t>
  </si>
  <si>
    <t>FLAR (Fondo Latino Americano de Reservas)</t>
  </si>
  <si>
    <t>7K</t>
  </si>
  <si>
    <t>Fonds Belgo-Congolais d'Amortissement et de Gestion</t>
  </si>
  <si>
    <t>7L</t>
  </si>
  <si>
    <t>IFFIm (International finance Facility for Immunisation)</t>
  </si>
  <si>
    <t>7M</t>
  </si>
  <si>
    <t>EUROFIMA (European Company for the Financing of Railroad Rolling Stock)</t>
  </si>
  <si>
    <t>DERIVATIVES</t>
  </si>
  <si>
    <t>Este campo é obtido através do campo CARTEIRA_CONTABILISTICA da tabela LT001_UNIV_OPER, convertido pela tabela de parametrização LT803_CODIGOS_LT:
SELECT * FROM cd_loan_tapes_bce.lt803_codigos_lt
WHERE ref_date = (SELECT MAX(ref_date) FROM cd_loan_tapes_bce.lt803_codigos_lt )
AND campo_lt = 'ACCNTNG_CLSSFCTN'
AND ambito = 'PM'
Aqui é apresentada a proposta de mapeamento do campo ACCNTNG_CLSSFCTN, para o âmbito do report Valuation no segmento 'DERIVATIVES'.
Preocupação:
Todas as opções de National GAAP têm como valor origem NULL, ou seja, nunca será atribuido neste campo um valor de Nation GAAP. Este entendimento pode ser confirmado consultando todos os valores distintos de ACCNTNG_CLSSFCTN que se encontram na tabela LT002_INSTRUMENT através da query:
SELECT ACCNTNG_CLSSFCTN, descritivo_lt FROM
(
    SELECT DISTINCT ACCNTNG_CLSSFCTN FROM cd_loan_tapes_bce.lt002_instrument
) as lt002
LEFT JOIN
(
    SELECT *  FROM cd_loan_tapes_bce.lt803_codigos_lt
    WHERE ref_date = (SELECT MAX(ref_date) FROM cd_loan_tapes_bce.lt803_codigos_lt )
    AND campo_lt = 'ACCNTNG_CLSSFCTN'
    AND ambito = 'PM'
) as lt803
ON lt803.valor_lt = lt002.ACCNTNG_CLSSFCTN</t>
  </si>
  <si>
    <t>National GAAP</t>
  </si>
  <si>
    <t>DEBT_SECURITIES; EQUITY_INSTRUMENTS</t>
  </si>
  <si>
    <t>S11</t>
  </si>
  <si>
    <t>S_11</t>
  </si>
  <si>
    <t xml:space="preserve">Este campo é obtido a partir do campo CSECTOR_INST da tabela CT003_UNIV_CLI:
SELECT DISTINCT CSECTOR_INST FROM cd_captools.CT003_UNIV_CLI
Esta query retorna as 72 opções distintas.
Este campo é convertido pela tabela de parametrização LT803_CODIGOS_LT:
SELECT *  FROM cd_loan_tapes_bce.lt803_codigos_lt
WHERE ref_date = (SELECT MAX(ref_date) FROM cd_loan_tapes_bce.lt803_codigos_lt )
AND campo_lt = 'ISSR_ESA_2010'
Problemas identificados na parmaterização atual:
     - Existem vários códigos reconhecidos pelo Banco que não foram mapeados;
     - Foram mapeados valores de output que não se encontram no code-list do BCE nem no do SRB.
Aqui é apresentada a proposta de mapeamento do campo ISSR_ESA_2010.
</t>
  </si>
  <si>
    <t>S121</t>
  </si>
  <si>
    <t>S_121</t>
  </si>
  <si>
    <t>The central bank</t>
  </si>
  <si>
    <t>S122</t>
  </si>
  <si>
    <t>S_122</t>
  </si>
  <si>
    <t>Deposit-taking corporations except the central bank</t>
  </si>
  <si>
    <t>S1220001</t>
  </si>
  <si>
    <t>S1220002</t>
  </si>
  <si>
    <t>S1220003</t>
  </si>
  <si>
    <t>S1220004</t>
  </si>
  <si>
    <t>S123</t>
  </si>
  <si>
    <t>S_123</t>
  </si>
  <si>
    <t>Money market funds (MMFs)</t>
  </si>
  <si>
    <t>S124</t>
  </si>
  <si>
    <t>S_124</t>
  </si>
  <si>
    <t>Non-MMF investment funds</t>
  </si>
  <si>
    <t>S1240001</t>
  </si>
  <si>
    <t>S1240002</t>
  </si>
  <si>
    <t>S1240003</t>
  </si>
  <si>
    <t>S125</t>
  </si>
  <si>
    <t>S_125</t>
  </si>
  <si>
    <t>Other financial intermediaries, except ICPFs</t>
  </si>
  <si>
    <t>S1250001</t>
  </si>
  <si>
    <t>S1250002</t>
  </si>
  <si>
    <t>S1250003</t>
  </si>
  <si>
    <t>S1250004</t>
  </si>
  <si>
    <t>S1250005</t>
  </si>
  <si>
    <t>S1250006</t>
  </si>
  <si>
    <t>S1250007</t>
  </si>
  <si>
    <t>S1250008</t>
  </si>
  <si>
    <t>S1250009</t>
  </si>
  <si>
    <t>S1250010</t>
  </si>
  <si>
    <t>S1250011</t>
  </si>
  <si>
    <t>S1250012</t>
  </si>
  <si>
    <t>S1250013</t>
  </si>
  <si>
    <t>S1250014</t>
  </si>
  <si>
    <t>S1250015</t>
  </si>
  <si>
    <t>S1250019</t>
  </si>
  <si>
    <t>S126</t>
  </si>
  <si>
    <t>S_126</t>
  </si>
  <si>
    <t>Financial auxiliaries</t>
  </si>
  <si>
    <t>S1260001</t>
  </si>
  <si>
    <t>S1260002</t>
  </si>
  <si>
    <t>S1260003</t>
  </si>
  <si>
    <t>S1260004</t>
  </si>
  <si>
    <t>S1260005</t>
  </si>
  <si>
    <t>S1260006</t>
  </si>
  <si>
    <t>S1260007</t>
  </si>
  <si>
    <t>S1260008</t>
  </si>
  <si>
    <t>S1260009</t>
  </si>
  <si>
    <t>S1260010</t>
  </si>
  <si>
    <t>S1260011</t>
  </si>
  <si>
    <t>S1260012</t>
  </si>
  <si>
    <t>S127</t>
  </si>
  <si>
    <t>S_127</t>
  </si>
  <si>
    <t>Captive financial institutions and money lenders</t>
  </si>
  <si>
    <t>S1270001</t>
  </si>
  <si>
    <t>S1270002</t>
  </si>
  <si>
    <t>S1270003</t>
  </si>
  <si>
    <t>S1270004</t>
  </si>
  <si>
    <t>S1270005</t>
  </si>
  <si>
    <t>S1270006</t>
  </si>
  <si>
    <t>S128</t>
  </si>
  <si>
    <t>S_128</t>
  </si>
  <si>
    <t>Insurance corporations (ICs)</t>
  </si>
  <si>
    <t>S1280001</t>
  </si>
  <si>
    <t>S1280002</t>
  </si>
  <si>
    <t>S129</t>
  </si>
  <si>
    <t>S_129</t>
  </si>
  <si>
    <t>Pension funds (PFs)</t>
  </si>
  <si>
    <t>S13</t>
  </si>
  <si>
    <t>S_13</t>
  </si>
  <si>
    <t>General government</t>
  </si>
  <si>
    <t>S1311</t>
  </si>
  <si>
    <t>S_1311</t>
  </si>
  <si>
    <t>Central government</t>
  </si>
  <si>
    <t>S1311201</t>
  </si>
  <si>
    <t>S1311202</t>
  </si>
  <si>
    <t>S1311203</t>
  </si>
  <si>
    <t>S1311204</t>
  </si>
  <si>
    <t>S1312</t>
  </si>
  <si>
    <t>S_1312</t>
  </si>
  <si>
    <t>State government</t>
  </si>
  <si>
    <t>S1312121000</t>
  </si>
  <si>
    <t>S1312122000</t>
  </si>
  <si>
    <t>S1312201</t>
  </si>
  <si>
    <t>S1312202</t>
  </si>
  <si>
    <t>S1312203</t>
  </si>
  <si>
    <t>S1312204</t>
  </si>
  <si>
    <t>S1313</t>
  </si>
  <si>
    <t>S_1313</t>
  </si>
  <si>
    <t>Local government</t>
  </si>
  <si>
    <t>S1313131000</t>
  </si>
  <si>
    <t>S1313132000</t>
  </si>
  <si>
    <t>S1313133000</t>
  </si>
  <si>
    <t>S1313201</t>
  </si>
  <si>
    <t>S1313202</t>
  </si>
  <si>
    <t>S1313203</t>
  </si>
  <si>
    <t>S1313204</t>
  </si>
  <si>
    <t>S1313205</t>
  </si>
  <si>
    <t>S1313206</t>
  </si>
  <si>
    <t>S1314</t>
  </si>
  <si>
    <t>S_1314</t>
  </si>
  <si>
    <t>Social security funds</t>
  </si>
  <si>
    <t>S14</t>
  </si>
  <si>
    <t>S_14</t>
  </si>
  <si>
    <t>S141</t>
  </si>
  <si>
    <t>S142</t>
  </si>
  <si>
    <t>S143</t>
  </si>
  <si>
    <t>S144</t>
  </si>
  <si>
    <t>S1441</t>
  </si>
  <si>
    <t>S1442</t>
  </si>
  <si>
    <t>S1443</t>
  </si>
  <si>
    <t>S15</t>
  </si>
  <si>
    <t>S_15</t>
  </si>
  <si>
    <t>Non-profit insitutions serving households</t>
  </si>
  <si>
    <t>S16</t>
  </si>
  <si>
    <t>S201</t>
  </si>
  <si>
    <t>S2021</t>
  </si>
  <si>
    <t>S2022</t>
  </si>
  <si>
    <t>S20221</t>
  </si>
  <si>
    <t>S202221</t>
  </si>
  <si>
    <t>S202222</t>
  </si>
  <si>
    <t>S2023</t>
  </si>
  <si>
    <t>S20231</t>
  </si>
  <si>
    <t>S20232</t>
  </si>
  <si>
    <t>S2024</t>
  </si>
  <si>
    <t>S2025</t>
  </si>
  <si>
    <t>S2025001</t>
  </si>
  <si>
    <t>S2025002</t>
  </si>
  <si>
    <t>S2025003</t>
  </si>
  <si>
    <t>S2025004</t>
  </si>
  <si>
    <t>S2025009</t>
  </si>
  <si>
    <t>S2026</t>
  </si>
  <si>
    <t>S2027</t>
  </si>
  <si>
    <t>S2028</t>
  </si>
  <si>
    <t>S2029</t>
  </si>
  <si>
    <t>S203</t>
  </si>
  <si>
    <t>S20311</t>
  </si>
  <si>
    <t>S20312</t>
  </si>
  <si>
    <t>S20313</t>
  </si>
  <si>
    <t>S20314</t>
  </si>
  <si>
    <t>S204</t>
  </si>
  <si>
    <t>S2041</t>
  </si>
  <si>
    <t>S2042</t>
  </si>
  <si>
    <t>S205</t>
  </si>
  <si>
    <t>S401100</t>
  </si>
  <si>
    <t>S401311</t>
  </si>
  <si>
    <t>S401341</t>
  </si>
  <si>
    <t>S4013511</t>
  </si>
  <si>
    <t>S4013512</t>
  </si>
  <si>
    <t>A.01</t>
  </si>
  <si>
    <t>IMPORTANTE: Esta parametrização é referente ao campo ISSR_NACE_SCTR do Loan Tapes, mas no 'campo_lt' preenchemos 'ECNMC_ACTVTY' isto deve-se ao facto de o campo 'ISSR_NACE_SCTR' usar a parametrização do campo 'ECNMC_ACTVTY' presente na tabela LT803_CODIGOS_LT.
Este campo é obtido a partir do campo CCAE da tabela CT003_UNIV_CLI:
SELECT DISTINCT TRIM(SUBSTR(CCAE,1,4)) AS CCAE FROM cd_captools.CT003_UNIV_CLI
Esta query retorna 1044 valores possíveis.
Este campo é convertido pela tabela de parametrização LT803_CODIGOS_LT:
SELECT *  FROM cd_loan_tapes_bce.lt803_codigos_lt
WHERE ref_date = (SELECT MAX(ref_date) FROM cd_loan_tapes_bce.lt803_codigos_lt )
AND campo_lt = 'ECNMC_ACTVTY'
Aqui é apresentada a proposta de mapeamento do campo ISSR_NACE_SCTR, para o âmbito do report Valuation nos segmentos 'DEBT_SECURITIES' e 'EQUITY_INSTRUMENTS'.</t>
  </si>
  <si>
    <t>A.01.1</t>
  </si>
  <si>
    <t>A.01.11</t>
  </si>
  <si>
    <t>A.01.12</t>
  </si>
  <si>
    <t>A.01.13</t>
  </si>
  <si>
    <t>A.01.14</t>
  </si>
  <si>
    <t>A.01.15</t>
  </si>
  <si>
    <t>A.01.16</t>
  </si>
  <si>
    <t>A.01.19</t>
  </si>
  <si>
    <t>A.01.2</t>
  </si>
  <si>
    <t>A.01.21</t>
  </si>
  <si>
    <t>A.01.22</t>
  </si>
  <si>
    <t>A.01.23</t>
  </si>
  <si>
    <t>A.01.24</t>
  </si>
  <si>
    <t>A.01.25</t>
  </si>
  <si>
    <t>A.01.26</t>
  </si>
  <si>
    <t>A.01.27</t>
  </si>
  <si>
    <t>A.01.28</t>
  </si>
  <si>
    <t>A.01.29</t>
  </si>
  <si>
    <t>A.01.3</t>
  </si>
  <si>
    <t>A.01.4</t>
  </si>
  <si>
    <t>A.01.41</t>
  </si>
  <si>
    <t>A.01.42</t>
  </si>
  <si>
    <t>A.01.43</t>
  </si>
  <si>
    <t>A.01.44</t>
  </si>
  <si>
    <t>A.01.45</t>
  </si>
  <si>
    <t>A.01.46</t>
  </si>
  <si>
    <t>A.01.47</t>
  </si>
  <si>
    <t>A.01.49</t>
  </si>
  <si>
    <t>A.01.5</t>
  </si>
  <si>
    <t>A.01.6</t>
  </si>
  <si>
    <t>A.01.61</t>
  </si>
  <si>
    <t>A.01.62</t>
  </si>
  <si>
    <t>A.01.63</t>
  </si>
  <si>
    <t>A.01.64</t>
  </si>
  <si>
    <t>A.01.7</t>
  </si>
  <si>
    <t>A.02</t>
  </si>
  <si>
    <t>A.02.1</t>
  </si>
  <si>
    <t>A.02.2</t>
  </si>
  <si>
    <t>A.02.3</t>
  </si>
  <si>
    <t>A.02.4</t>
  </si>
  <si>
    <t>A.03</t>
  </si>
  <si>
    <t>A.03.1</t>
  </si>
  <si>
    <t>A.03.11</t>
  </si>
  <si>
    <t>A.03.12</t>
  </si>
  <si>
    <t>A.03.2</t>
  </si>
  <si>
    <t>A.03.21</t>
  </si>
  <si>
    <t>A.03.22</t>
  </si>
  <si>
    <t>B.05</t>
  </si>
  <si>
    <t>B.05.1</t>
  </si>
  <si>
    <t>B.05.2</t>
  </si>
  <si>
    <t>B.06</t>
  </si>
  <si>
    <t>B.06.1</t>
  </si>
  <si>
    <t>B.06.2</t>
  </si>
  <si>
    <t>B.07</t>
  </si>
  <si>
    <t>B.07.1</t>
  </si>
  <si>
    <t>B.07.2</t>
  </si>
  <si>
    <t>B.07.21</t>
  </si>
  <si>
    <t>B.07.29</t>
  </si>
  <si>
    <t>B.08</t>
  </si>
  <si>
    <t>B.08.1</t>
  </si>
  <si>
    <t>B.08.11</t>
  </si>
  <si>
    <t>B.08.12</t>
  </si>
  <si>
    <t>B.08.9</t>
  </si>
  <si>
    <t>B.08.91</t>
  </si>
  <si>
    <t>B.08.92</t>
  </si>
  <si>
    <t>B.08.93</t>
  </si>
  <si>
    <t>B.08.99</t>
  </si>
  <si>
    <t>B.09</t>
  </si>
  <si>
    <t>B.09.1</t>
  </si>
  <si>
    <t>B.09.9</t>
  </si>
  <si>
    <t>C.10</t>
  </si>
  <si>
    <t>C.10.1</t>
  </si>
  <si>
    <t>C.10.11</t>
  </si>
  <si>
    <t>C.10.12</t>
  </si>
  <si>
    <t>C.10.13</t>
  </si>
  <si>
    <t>C.10.2</t>
  </si>
  <si>
    <t>C.10.3</t>
  </si>
  <si>
    <t>C.10.31</t>
  </si>
  <si>
    <t>C.10.32</t>
  </si>
  <si>
    <t>C.10.39</t>
  </si>
  <si>
    <t>C.10.4</t>
  </si>
  <si>
    <t>C.10.41</t>
  </si>
  <si>
    <t>C.10.42</t>
  </si>
  <si>
    <t>C.10.5</t>
  </si>
  <si>
    <t>C.10.51</t>
  </si>
  <si>
    <t>C.10.52</t>
  </si>
  <si>
    <t>C.10.6</t>
  </si>
  <si>
    <t>C.10.61</t>
  </si>
  <si>
    <t>C.10.62</t>
  </si>
  <si>
    <t>C.10.7</t>
  </si>
  <si>
    <t>C.10.71</t>
  </si>
  <si>
    <t>C.10.72</t>
  </si>
  <si>
    <t>C.10.73</t>
  </si>
  <si>
    <t>C.10.8</t>
  </si>
  <si>
    <t>C.10.81</t>
  </si>
  <si>
    <t>C.10.82</t>
  </si>
  <si>
    <t>C.10.83</t>
  </si>
  <si>
    <t>C.10.84</t>
  </si>
  <si>
    <t>C.10.85</t>
  </si>
  <si>
    <t>C.10.86</t>
  </si>
  <si>
    <t>C.10.89</t>
  </si>
  <si>
    <t>C.10.9</t>
  </si>
  <si>
    <t>C.10.91</t>
  </si>
  <si>
    <t>C.10.92</t>
  </si>
  <si>
    <t>C.11</t>
  </si>
  <si>
    <t>C.11.01</t>
  </si>
  <si>
    <t>C.11.02</t>
  </si>
  <si>
    <t>C.11.03</t>
  </si>
  <si>
    <t>C.11.04</t>
  </si>
  <si>
    <t>C.11.05</t>
  </si>
  <si>
    <t>C.11.06</t>
  </si>
  <si>
    <t>C.11.07</t>
  </si>
  <si>
    <t>C.12</t>
  </si>
  <si>
    <t>C.13</t>
  </si>
  <si>
    <t>C.13.1</t>
  </si>
  <si>
    <t>C.13.2</t>
  </si>
  <si>
    <t>C.13.3</t>
  </si>
  <si>
    <t>C.13.9</t>
  </si>
  <si>
    <t>C.13.91</t>
  </si>
  <si>
    <t>C.13.92</t>
  </si>
  <si>
    <t>C.13.93</t>
  </si>
  <si>
    <t>C.13.94</t>
  </si>
  <si>
    <t>C.13.95</t>
  </si>
  <si>
    <t>C.13.96</t>
  </si>
  <si>
    <t>C.13.99</t>
  </si>
  <si>
    <t>C.14</t>
  </si>
  <si>
    <t>C.14.1</t>
  </si>
  <si>
    <t>C.14.11</t>
  </si>
  <si>
    <t>C.14.12</t>
  </si>
  <si>
    <t>C.14.13</t>
  </si>
  <si>
    <t>C.14.14</t>
  </si>
  <si>
    <t>C.14.19</t>
  </si>
  <si>
    <t>C.14.2</t>
  </si>
  <si>
    <t>C.14.3</t>
  </si>
  <si>
    <t>C.14.31</t>
  </si>
  <si>
    <t>C.14.39</t>
  </si>
  <si>
    <t>C.15</t>
  </si>
  <si>
    <t>C.15.1</t>
  </si>
  <si>
    <t>C.15.11</t>
  </si>
  <si>
    <t>C.15.12</t>
  </si>
  <si>
    <t>C.15.2</t>
  </si>
  <si>
    <t>C.16</t>
  </si>
  <si>
    <t>C.16.1</t>
  </si>
  <si>
    <t>C.16.2</t>
  </si>
  <si>
    <t>C.16.21</t>
  </si>
  <si>
    <t>C.16.22</t>
  </si>
  <si>
    <t>C.16.23</t>
  </si>
  <si>
    <t>C.16.24</t>
  </si>
  <si>
    <t>C.16.29</t>
  </si>
  <si>
    <t>C.17</t>
  </si>
  <si>
    <t>C.17.1</t>
  </si>
  <si>
    <t>C.17.11</t>
  </si>
  <si>
    <t>C.17.12</t>
  </si>
  <si>
    <t>C.17.2</t>
  </si>
  <si>
    <t>C.17.21</t>
  </si>
  <si>
    <t>C.17.22</t>
  </si>
  <si>
    <t>C.17.23</t>
  </si>
  <si>
    <t>C.17.24</t>
  </si>
  <si>
    <t>C.17.29</t>
  </si>
  <si>
    <t>C.18</t>
  </si>
  <si>
    <t>C.18.1</t>
  </si>
  <si>
    <t>C.18.11</t>
  </si>
  <si>
    <t>C.18.12</t>
  </si>
  <si>
    <t>C.18.13</t>
  </si>
  <si>
    <t>C.18.14</t>
  </si>
  <si>
    <t>C.18.2</t>
  </si>
  <si>
    <t>C.19</t>
  </si>
  <si>
    <t>C.19.1</t>
  </si>
  <si>
    <t>C.19.2</t>
  </si>
  <si>
    <t>C.20</t>
  </si>
  <si>
    <t>C.20.1</t>
  </si>
  <si>
    <t>C.20.11</t>
  </si>
  <si>
    <t>C.20.12</t>
  </si>
  <si>
    <t>C.20.13</t>
  </si>
  <si>
    <t>C.20.14</t>
  </si>
  <si>
    <t>C.20.15</t>
  </si>
  <si>
    <t>C.20.16</t>
  </si>
  <si>
    <t>C.20.17</t>
  </si>
  <si>
    <t>C.20.2</t>
  </si>
  <si>
    <t>C.20.3</t>
  </si>
  <si>
    <t>C.20.4</t>
  </si>
  <si>
    <t>C.20.41</t>
  </si>
  <si>
    <t>C.20.42</t>
  </si>
  <si>
    <t>C.20.5</t>
  </si>
  <si>
    <t>C.20.51</t>
  </si>
  <si>
    <t>C.20.52</t>
  </si>
  <si>
    <t>C.20.53</t>
  </si>
  <si>
    <t>C.20.59</t>
  </si>
  <si>
    <t>C.20.6</t>
  </si>
  <si>
    <t>C.21</t>
  </si>
  <si>
    <t>C.21.1</t>
  </si>
  <si>
    <t>C.21.2</t>
  </si>
  <si>
    <t>C.22</t>
  </si>
  <si>
    <t>C.22.1</t>
  </si>
  <si>
    <t>C.22.11</t>
  </si>
  <si>
    <t>C.22.19</t>
  </si>
  <si>
    <t>C.22.2</t>
  </si>
  <si>
    <t>C.22.21</t>
  </si>
  <si>
    <t>C.22.22</t>
  </si>
  <si>
    <t>C.22.23</t>
  </si>
  <si>
    <t>C.22.29</t>
  </si>
  <si>
    <t>C.23</t>
  </si>
  <si>
    <t>C.23.1</t>
  </si>
  <si>
    <t>C.23.11</t>
  </si>
  <si>
    <t>C.23.12</t>
  </si>
  <si>
    <t>C.23.13</t>
  </si>
  <si>
    <t>C.23.14</t>
  </si>
  <si>
    <t>C.23.19</t>
  </si>
  <si>
    <t>C.23.2</t>
  </si>
  <si>
    <t>C.23.3</t>
  </si>
  <si>
    <t>C.23.31</t>
  </si>
  <si>
    <t>C.23.32</t>
  </si>
  <si>
    <t>C.23.4</t>
  </si>
  <si>
    <t>C.23.41</t>
  </si>
  <si>
    <t>C.23.42</t>
  </si>
  <si>
    <t>C.23.43</t>
  </si>
  <si>
    <t>C.23.44</t>
  </si>
  <si>
    <t>C.23.49</t>
  </si>
  <si>
    <t>C.23.5</t>
  </si>
  <si>
    <t>C.23.51</t>
  </si>
  <si>
    <t>C.23.52</t>
  </si>
  <si>
    <t>C.23.6</t>
  </si>
  <si>
    <t>C.23.61</t>
  </si>
  <si>
    <t>C.23.62</t>
  </si>
  <si>
    <t>C.23.63</t>
  </si>
  <si>
    <t>C.23.64</t>
  </si>
  <si>
    <t>C.23.65</t>
  </si>
  <si>
    <t>C.23.69</t>
  </si>
  <si>
    <t>C.23.7</t>
  </si>
  <si>
    <t>C.23.9</t>
  </si>
  <si>
    <t>C.23.91</t>
  </si>
  <si>
    <t>C.23.99</t>
  </si>
  <si>
    <t>C.24</t>
  </si>
  <si>
    <t>C.24.1</t>
  </si>
  <si>
    <t>C.24.2</t>
  </si>
  <si>
    <t>C.24.3</t>
  </si>
  <si>
    <t>C.24.31</t>
  </si>
  <si>
    <t>C.24.32</t>
  </si>
  <si>
    <t>C.24.33</t>
  </si>
  <si>
    <t>C.24.34</t>
  </si>
  <si>
    <t>C.24.4</t>
  </si>
  <si>
    <t>C.24.41</t>
  </si>
  <si>
    <t>C.24.42</t>
  </si>
  <si>
    <t>C.24.43</t>
  </si>
  <si>
    <t>C.24.44</t>
  </si>
  <si>
    <t>C.24.45</t>
  </si>
  <si>
    <t>C.24.46</t>
  </si>
  <si>
    <t>C.24.5</t>
  </si>
  <si>
    <t>C.24.51</t>
  </si>
  <si>
    <t>C.24.52</t>
  </si>
  <si>
    <t>C.24.53</t>
  </si>
  <si>
    <t>C.24.54</t>
  </si>
  <si>
    <t>C.25</t>
  </si>
  <si>
    <t>C.25.1</t>
  </si>
  <si>
    <t>C.25.11</t>
  </si>
  <si>
    <t>C.25.12</t>
  </si>
  <si>
    <t>C.25.2</t>
  </si>
  <si>
    <t>C.25.21</t>
  </si>
  <si>
    <t>C.25.29</t>
  </si>
  <si>
    <t>C.25.3</t>
  </si>
  <si>
    <t>C.25.4</t>
  </si>
  <si>
    <t>C.25.5</t>
  </si>
  <si>
    <t>C.25.6</t>
  </si>
  <si>
    <t>C.25.61</t>
  </si>
  <si>
    <t>C.25.62</t>
  </si>
  <si>
    <t>C.25.7</t>
  </si>
  <si>
    <t>C.25.71</t>
  </si>
  <si>
    <t>C.25.72</t>
  </si>
  <si>
    <t>C.25.73</t>
  </si>
  <si>
    <t>C.25.9</t>
  </si>
  <si>
    <t>C.25.91</t>
  </si>
  <si>
    <t>C.25.92</t>
  </si>
  <si>
    <t>C.25.93</t>
  </si>
  <si>
    <t>C.25.94</t>
  </si>
  <si>
    <t>C.25.99</t>
  </si>
  <si>
    <t>C.26</t>
  </si>
  <si>
    <t>C.26.1</t>
  </si>
  <si>
    <t>C.26.11</t>
  </si>
  <si>
    <t>C.26.12</t>
  </si>
  <si>
    <t>C.26.2</t>
  </si>
  <si>
    <t>C.26.3</t>
  </si>
  <si>
    <t>C.26.4</t>
  </si>
  <si>
    <t>C.26.5</t>
  </si>
  <si>
    <t>C.26.51</t>
  </si>
  <si>
    <t>C.26.52</t>
  </si>
  <si>
    <t>C.26.6</t>
  </si>
  <si>
    <t>C.26.7</t>
  </si>
  <si>
    <t>C.26.8</t>
  </si>
  <si>
    <t>C.27</t>
  </si>
  <si>
    <t>C.27.1</t>
  </si>
  <si>
    <t>C.27.11</t>
  </si>
  <si>
    <t>C.27.12</t>
  </si>
  <si>
    <t>C.27.2</t>
  </si>
  <si>
    <t>C.27.3</t>
  </si>
  <si>
    <t>C.27.31</t>
  </si>
  <si>
    <t>C.27.32</t>
  </si>
  <si>
    <t>C.27.33</t>
  </si>
  <si>
    <t>C.27.4</t>
  </si>
  <si>
    <t>C.27.5</t>
  </si>
  <si>
    <t>C.27.51</t>
  </si>
  <si>
    <t>C.27.52</t>
  </si>
  <si>
    <t>C.27.9</t>
  </si>
  <si>
    <t>C.28</t>
  </si>
  <si>
    <t>C.28.1</t>
  </si>
  <si>
    <t>C.28.11</t>
  </si>
  <si>
    <t>C.28.12</t>
  </si>
  <si>
    <t>C.28.13</t>
  </si>
  <si>
    <t>C.28.14</t>
  </si>
  <si>
    <t>C.28.15</t>
  </si>
  <si>
    <t>C.28.2</t>
  </si>
  <si>
    <t>C.28.21</t>
  </si>
  <si>
    <t>C.28.22</t>
  </si>
  <si>
    <t>C.28.23</t>
  </si>
  <si>
    <t>C.28.24</t>
  </si>
  <si>
    <t>C.28.25</t>
  </si>
  <si>
    <t>C.28.29</t>
  </si>
  <si>
    <t>C.28.3</t>
  </si>
  <si>
    <t>C.28.4</t>
  </si>
  <si>
    <t>C.28.41</t>
  </si>
  <si>
    <t>C.28.49</t>
  </si>
  <si>
    <t>C.28.9</t>
  </si>
  <si>
    <t>C.28.91</t>
  </si>
  <si>
    <t>C.28.92</t>
  </si>
  <si>
    <t>C.28.93</t>
  </si>
  <si>
    <t>C.28.94</t>
  </si>
  <si>
    <t>C.28.95</t>
  </si>
  <si>
    <t>C.28.96</t>
  </si>
  <si>
    <t>C.28.99</t>
  </si>
  <si>
    <t>C.29</t>
  </si>
  <si>
    <t>C.29.1</t>
  </si>
  <si>
    <t>C.29.2</t>
  </si>
  <si>
    <t>C.29.3</t>
  </si>
  <si>
    <t>C.29.31</t>
  </si>
  <si>
    <t>C.29.32</t>
  </si>
  <si>
    <t>C.30</t>
  </si>
  <si>
    <t>C.30.1</t>
  </si>
  <si>
    <t>C.30.11</t>
  </si>
  <si>
    <t>C.30.12</t>
  </si>
  <si>
    <t>C.30.2</t>
  </si>
  <si>
    <t>C.30.3</t>
  </si>
  <si>
    <t>C.30.4</t>
  </si>
  <si>
    <t>C.30.9</t>
  </si>
  <si>
    <t>C.30.91</t>
  </si>
  <si>
    <t>C.30.92</t>
  </si>
  <si>
    <t>C.30.99</t>
  </si>
  <si>
    <t>C.31</t>
  </si>
  <si>
    <t>C.31.01</t>
  </si>
  <si>
    <t>C.31.02</t>
  </si>
  <si>
    <t>C.31.03</t>
  </si>
  <si>
    <t>C.31.09</t>
  </si>
  <si>
    <t>C.32</t>
  </si>
  <si>
    <t>C.32.1</t>
  </si>
  <si>
    <t>C.32.11</t>
  </si>
  <si>
    <t>C.32.12</t>
  </si>
  <si>
    <t>C.32.13</t>
  </si>
  <si>
    <t>C.32.2</t>
  </si>
  <si>
    <t>C.32.3</t>
  </si>
  <si>
    <t>C.32.4</t>
  </si>
  <si>
    <t>C.32.5</t>
  </si>
  <si>
    <t>C.32.9</t>
  </si>
  <si>
    <t>C.32.91</t>
  </si>
  <si>
    <t>C.32.92</t>
  </si>
  <si>
    <t>C.33</t>
  </si>
  <si>
    <t>C.33.1</t>
  </si>
  <si>
    <t>C.33.11</t>
  </si>
  <si>
    <t>C.33.12</t>
  </si>
  <si>
    <t>C.33.13</t>
  </si>
  <si>
    <t>C.33.14</t>
  </si>
  <si>
    <t>C.33.15</t>
  </si>
  <si>
    <t>C.33.16</t>
  </si>
  <si>
    <t>C.33.17</t>
  </si>
  <si>
    <t>C.33.19</t>
  </si>
  <si>
    <t>C.33.2</t>
  </si>
  <si>
    <t>D.35</t>
  </si>
  <si>
    <t>D.35.1</t>
  </si>
  <si>
    <t>D.35.11</t>
  </si>
  <si>
    <t>D.35.12</t>
  </si>
  <si>
    <t>D.35.13</t>
  </si>
  <si>
    <t>D.35.14</t>
  </si>
  <si>
    <t>D.35.2</t>
  </si>
  <si>
    <t>D.35.21</t>
  </si>
  <si>
    <t>D.35.22</t>
  </si>
  <si>
    <t>D.35.23</t>
  </si>
  <si>
    <t>D.35.3</t>
  </si>
  <si>
    <t>E.36</t>
  </si>
  <si>
    <t>E.37</t>
  </si>
  <si>
    <t>E.38</t>
  </si>
  <si>
    <t>E.38.1</t>
  </si>
  <si>
    <t>E.38.11</t>
  </si>
  <si>
    <t>E.38.12</t>
  </si>
  <si>
    <t>E.38.2</t>
  </si>
  <si>
    <t>E.38.21</t>
  </si>
  <si>
    <t>E.38.22</t>
  </si>
  <si>
    <t>E.38.3</t>
  </si>
  <si>
    <t>E.38.31</t>
  </si>
  <si>
    <t>E.38.32</t>
  </si>
  <si>
    <t>E.39</t>
  </si>
  <si>
    <t>F.41</t>
  </si>
  <si>
    <t>F.41.1</t>
  </si>
  <si>
    <t>F.41.2</t>
  </si>
  <si>
    <t>F.42</t>
  </si>
  <si>
    <t>F.42.1</t>
  </si>
  <si>
    <t>F.42.11</t>
  </si>
  <si>
    <t>F.42.12</t>
  </si>
  <si>
    <t>F.42.13</t>
  </si>
  <si>
    <t>F.42.2</t>
  </si>
  <si>
    <t>F.42.21</t>
  </si>
  <si>
    <t>F.42.22</t>
  </si>
  <si>
    <t>F.42.9</t>
  </si>
  <si>
    <t>F.42.91</t>
  </si>
  <si>
    <t>F.42.99</t>
  </si>
  <si>
    <t>F.43</t>
  </si>
  <si>
    <t>F.43.1</t>
  </si>
  <si>
    <t>F.43.11</t>
  </si>
  <si>
    <t>F.43.12</t>
  </si>
  <si>
    <t>F.43.13</t>
  </si>
  <si>
    <t>F.43.2</t>
  </si>
  <si>
    <t>F.43.21</t>
  </si>
  <si>
    <t>F.43.22</t>
  </si>
  <si>
    <t>F.43.29</t>
  </si>
  <si>
    <t>F.43.3</t>
  </si>
  <si>
    <t>F.43.31</t>
  </si>
  <si>
    <t>F.43.32</t>
  </si>
  <si>
    <t>F.43.33</t>
  </si>
  <si>
    <t>F.43.34</t>
  </si>
  <si>
    <t>F.43.39</t>
  </si>
  <si>
    <t>F.43.9</t>
  </si>
  <si>
    <t>F.43.91</t>
  </si>
  <si>
    <t>F.43.99</t>
  </si>
  <si>
    <t>G.45</t>
  </si>
  <si>
    <t>G.45.1</t>
  </si>
  <si>
    <t>G.45.11</t>
  </si>
  <si>
    <t>G.45.19</t>
  </si>
  <si>
    <t>G.45.2</t>
  </si>
  <si>
    <t>G.45.3</t>
  </si>
  <si>
    <t>G.45.31</t>
  </si>
  <si>
    <t>G.45.32</t>
  </si>
  <si>
    <t>G.45.4</t>
  </si>
  <si>
    <t>G.46</t>
  </si>
  <si>
    <t>G.46.1</t>
  </si>
  <si>
    <t>G.46.11</t>
  </si>
  <si>
    <t>G.46.12</t>
  </si>
  <si>
    <t>G.46.13</t>
  </si>
  <si>
    <t>G.46.14</t>
  </si>
  <si>
    <t>G.46.15</t>
  </si>
  <si>
    <t>G.46.16</t>
  </si>
  <si>
    <t>G.46.17</t>
  </si>
  <si>
    <t>G.46.18</t>
  </si>
  <si>
    <t>G.46.19</t>
  </si>
  <si>
    <t>G.46.2</t>
  </si>
  <si>
    <t>G.46.21</t>
  </si>
  <si>
    <t>G.46.22</t>
  </si>
  <si>
    <t>G.46.23</t>
  </si>
  <si>
    <t>G.46.24</t>
  </si>
  <si>
    <t>G.46.3</t>
  </si>
  <si>
    <t>G.46.31</t>
  </si>
  <si>
    <t>G.46.32</t>
  </si>
  <si>
    <t>G.46.33</t>
  </si>
  <si>
    <t>G.46.34</t>
  </si>
  <si>
    <t>G.46.35</t>
  </si>
  <si>
    <t>G.46.36</t>
  </si>
  <si>
    <t>G.46.37</t>
  </si>
  <si>
    <t>G.46.38</t>
  </si>
  <si>
    <t>G.46.39</t>
  </si>
  <si>
    <t>G.46.4</t>
  </si>
  <si>
    <t>G.46.41</t>
  </si>
  <si>
    <t>G.46.42</t>
  </si>
  <si>
    <t>G.46.43</t>
  </si>
  <si>
    <t>G.46.44</t>
  </si>
  <si>
    <t>G.46.45</t>
  </si>
  <si>
    <t>G.46.46</t>
  </si>
  <si>
    <t>G.46.47</t>
  </si>
  <si>
    <t>G.46.48</t>
  </si>
  <si>
    <t>G.46.49</t>
  </si>
  <si>
    <t>G.46.5</t>
  </si>
  <si>
    <t>G.46.51</t>
  </si>
  <si>
    <t>G.46.52</t>
  </si>
  <si>
    <t>G.46.6</t>
  </si>
  <si>
    <t>G.46.61</t>
  </si>
  <si>
    <t>G.46.62</t>
  </si>
  <si>
    <t>G.46.63</t>
  </si>
  <si>
    <t>G.46.64</t>
  </si>
  <si>
    <t>G.46.65</t>
  </si>
  <si>
    <t>G.46.66</t>
  </si>
  <si>
    <t>G.46.69</t>
  </si>
  <si>
    <t>G.46.7</t>
  </si>
  <si>
    <t>G.46.71</t>
  </si>
  <si>
    <t>G.46.72</t>
  </si>
  <si>
    <t>G.46.73</t>
  </si>
  <si>
    <t>G.46.74</t>
  </si>
  <si>
    <t>G.46.75</t>
  </si>
  <si>
    <t>G.46.76</t>
  </si>
  <si>
    <t>G.46.77</t>
  </si>
  <si>
    <t>G.46.9</t>
  </si>
  <si>
    <t>G.47</t>
  </si>
  <si>
    <t>G.47.1</t>
  </si>
  <si>
    <t>G.47.11</t>
  </si>
  <si>
    <t>G.47.19</t>
  </si>
  <si>
    <t>G.47.2</t>
  </si>
  <si>
    <t>G.47.21</t>
  </si>
  <si>
    <t>G.47.22</t>
  </si>
  <si>
    <t>G.47.23</t>
  </si>
  <si>
    <t>G.47.24</t>
  </si>
  <si>
    <t>G.47.25</t>
  </si>
  <si>
    <t>G.47.26</t>
  </si>
  <si>
    <t>G.47.29</t>
  </si>
  <si>
    <t>G.47.3</t>
  </si>
  <si>
    <t>G.47.4</t>
  </si>
  <si>
    <t>G.47.41</t>
  </si>
  <si>
    <t>G.47.42</t>
  </si>
  <si>
    <t>G.47.43</t>
  </si>
  <si>
    <t>G.47.5</t>
  </si>
  <si>
    <t>G.47.51</t>
  </si>
  <si>
    <t>G.47.52</t>
  </si>
  <si>
    <t>G.47.53</t>
  </si>
  <si>
    <t>G.47.54</t>
  </si>
  <si>
    <t>G.47.59</t>
  </si>
  <si>
    <t>G.47.6</t>
  </si>
  <si>
    <t>G.47.61</t>
  </si>
  <si>
    <t>G.47.62</t>
  </si>
  <si>
    <t>G.47.63</t>
  </si>
  <si>
    <t>G.47.64</t>
  </si>
  <si>
    <t>G.47.65</t>
  </si>
  <si>
    <t>G.47.7</t>
  </si>
  <si>
    <t>G.47.71</t>
  </si>
  <si>
    <t>G.47.72</t>
  </si>
  <si>
    <t>G.47.73</t>
  </si>
  <si>
    <t>G.47.74</t>
  </si>
  <si>
    <t>G.47.75</t>
  </si>
  <si>
    <t>G.47.76</t>
  </si>
  <si>
    <t>G.47.77</t>
  </si>
  <si>
    <t>G.47.78</t>
  </si>
  <si>
    <t>G.47.79</t>
  </si>
  <si>
    <t>G.47.8</t>
  </si>
  <si>
    <t>G.47.81</t>
  </si>
  <si>
    <t>G.47.82</t>
  </si>
  <si>
    <t>G.47.89</t>
  </si>
  <si>
    <t>G.47.9</t>
  </si>
  <si>
    <t>G.47.91</t>
  </si>
  <si>
    <t>G.47.99</t>
  </si>
  <si>
    <t>H.49</t>
  </si>
  <si>
    <t>H.49.1</t>
  </si>
  <si>
    <t>H.49.2</t>
  </si>
  <si>
    <t>H.49.3</t>
  </si>
  <si>
    <t>H.49.31</t>
  </si>
  <si>
    <t>H.49.32</t>
  </si>
  <si>
    <t>H.49.39</t>
  </si>
  <si>
    <t>H.49.4</t>
  </si>
  <si>
    <t>H.49.41</t>
  </si>
  <si>
    <t>H.49.42</t>
  </si>
  <si>
    <t>H.49.5</t>
  </si>
  <si>
    <t>H.50</t>
  </si>
  <si>
    <t>H.50.1</t>
  </si>
  <si>
    <t>H.50.2</t>
  </si>
  <si>
    <t>H.50.3</t>
  </si>
  <si>
    <t>H.50.4</t>
  </si>
  <si>
    <t>H.51</t>
  </si>
  <si>
    <t>H.51.1</t>
  </si>
  <si>
    <t>H.51.2</t>
  </si>
  <si>
    <t>H.51.21</t>
  </si>
  <si>
    <t>H.51.22</t>
  </si>
  <si>
    <t>H.52</t>
  </si>
  <si>
    <t>H.52.1</t>
  </si>
  <si>
    <t>H.52.2</t>
  </si>
  <si>
    <t>H.52.21</t>
  </si>
  <si>
    <t>H.52.22</t>
  </si>
  <si>
    <t>H.52.23</t>
  </si>
  <si>
    <t>H.52.24</t>
  </si>
  <si>
    <t>H.52.29</t>
  </si>
  <si>
    <t>H.53</t>
  </si>
  <si>
    <t>H.53.1</t>
  </si>
  <si>
    <t>H.53.2</t>
  </si>
  <si>
    <t>I.55</t>
  </si>
  <si>
    <t>I.55.1</t>
  </si>
  <si>
    <t>I.55.2</t>
  </si>
  <si>
    <t>I.55.3</t>
  </si>
  <si>
    <t>I.55.9</t>
  </si>
  <si>
    <t>I.56</t>
  </si>
  <si>
    <t>I.56.1</t>
  </si>
  <si>
    <t>I.56.2</t>
  </si>
  <si>
    <t>I.56.21</t>
  </si>
  <si>
    <t>I.56.29</t>
  </si>
  <si>
    <t>I.56.3</t>
  </si>
  <si>
    <t>J.58</t>
  </si>
  <si>
    <t>J.58.1</t>
  </si>
  <si>
    <t>J.58.11</t>
  </si>
  <si>
    <t>J.58.12</t>
  </si>
  <si>
    <t>J.58.13</t>
  </si>
  <si>
    <t>J.58.14</t>
  </si>
  <si>
    <t>J.58.19</t>
  </si>
  <si>
    <t>J.58.2</t>
  </si>
  <si>
    <t>J.58.21</t>
  </si>
  <si>
    <t>J.58.29</t>
  </si>
  <si>
    <t>J.59</t>
  </si>
  <si>
    <t>J.59.1</t>
  </si>
  <si>
    <t>J.59.11</t>
  </si>
  <si>
    <t>J.59.12</t>
  </si>
  <si>
    <t>J.59.13</t>
  </si>
  <si>
    <t>J.59.14</t>
  </si>
  <si>
    <t>J.59.2</t>
  </si>
  <si>
    <t>J.60</t>
  </si>
  <si>
    <t>J.60.1</t>
  </si>
  <si>
    <t>J.60.2</t>
  </si>
  <si>
    <t>J.61</t>
  </si>
  <si>
    <t>J.61.1</t>
  </si>
  <si>
    <t>J.61.2</t>
  </si>
  <si>
    <t>J.61.3</t>
  </si>
  <si>
    <t>J.61.9</t>
  </si>
  <si>
    <t>J.62</t>
  </si>
  <si>
    <t>J.62.01</t>
  </si>
  <si>
    <t>J.62.02</t>
  </si>
  <si>
    <t>J.62.03</t>
  </si>
  <si>
    <t>J.62.09</t>
  </si>
  <si>
    <t>J.63</t>
  </si>
  <si>
    <t>J.63.1</t>
  </si>
  <si>
    <t>J.63.11</t>
  </si>
  <si>
    <t>J.63.12</t>
  </si>
  <si>
    <t>J.63.9</t>
  </si>
  <si>
    <t>J.63.91</t>
  </si>
  <si>
    <t>J.63.99</t>
  </si>
  <si>
    <t>K.64</t>
  </si>
  <si>
    <t>K.64.1</t>
  </si>
  <si>
    <t>K.64.11</t>
  </si>
  <si>
    <t>K.64.19</t>
  </si>
  <si>
    <t>K.64.2</t>
  </si>
  <si>
    <t>K.64.3</t>
  </si>
  <si>
    <t>K.64.9</t>
  </si>
  <si>
    <t>K.64.91</t>
  </si>
  <si>
    <t>K.64.92</t>
  </si>
  <si>
    <t>K.64.99</t>
  </si>
  <si>
    <t>K.65</t>
  </si>
  <si>
    <t>K.65.1</t>
  </si>
  <si>
    <t>K.65.11</t>
  </si>
  <si>
    <t>K.65.12</t>
  </si>
  <si>
    <t>K.65.2</t>
  </si>
  <si>
    <t>K.65.3</t>
  </si>
  <si>
    <t>K.66</t>
  </si>
  <si>
    <t>K.66.1</t>
  </si>
  <si>
    <t>K.66.11</t>
  </si>
  <si>
    <t>K.66.12</t>
  </si>
  <si>
    <t>K.66.19</t>
  </si>
  <si>
    <t>K.66.2</t>
  </si>
  <si>
    <t>K.66.21</t>
  </si>
  <si>
    <t>K.66.22</t>
  </si>
  <si>
    <t>K.66.29</t>
  </si>
  <si>
    <t>K.66.3</t>
  </si>
  <si>
    <t>L.68</t>
  </si>
  <si>
    <t>L.68.1</t>
  </si>
  <si>
    <t>L.68.2</t>
  </si>
  <si>
    <t>L.68.3</t>
  </si>
  <si>
    <t>L.68.31</t>
  </si>
  <si>
    <t>L.68.32</t>
  </si>
  <si>
    <t>M.69</t>
  </si>
  <si>
    <t>M.69.1</t>
  </si>
  <si>
    <t>M.69.2</t>
  </si>
  <si>
    <t>M.70</t>
  </si>
  <si>
    <t>M.70.1</t>
  </si>
  <si>
    <t>M.70.2</t>
  </si>
  <si>
    <t>M.70.21</t>
  </si>
  <si>
    <t>M.70.22</t>
  </si>
  <si>
    <t>M.71</t>
  </si>
  <si>
    <t>M.71.1</t>
  </si>
  <si>
    <t>M.71.11</t>
  </si>
  <si>
    <t>M.71.12</t>
  </si>
  <si>
    <t>M.71.2</t>
  </si>
  <si>
    <t>M.72</t>
  </si>
  <si>
    <t>M.72.1</t>
  </si>
  <si>
    <t>M.72.11</t>
  </si>
  <si>
    <t>M.72.19</t>
  </si>
  <si>
    <t>M.72.2</t>
  </si>
  <si>
    <t>M.73</t>
  </si>
  <si>
    <t>M.73.1</t>
  </si>
  <si>
    <t>M.73.11</t>
  </si>
  <si>
    <t>M.73.12</t>
  </si>
  <si>
    <t>M.73.2</t>
  </si>
  <si>
    <t>M.74</t>
  </si>
  <si>
    <t>M.74.1</t>
  </si>
  <si>
    <t>M.74.2</t>
  </si>
  <si>
    <t>M.74.3</t>
  </si>
  <si>
    <t>M.74.9</t>
  </si>
  <si>
    <t>M.75</t>
  </si>
  <si>
    <t>N.77</t>
  </si>
  <si>
    <t>N.77.1</t>
  </si>
  <si>
    <t>N.77.11</t>
  </si>
  <si>
    <t>N.77.12</t>
  </si>
  <si>
    <t>N.77.2</t>
  </si>
  <si>
    <t>N.77.21</t>
  </si>
  <si>
    <t>N.77.22</t>
  </si>
  <si>
    <t>N.77.29</t>
  </si>
  <si>
    <t>N.77.3</t>
  </si>
  <si>
    <t>N.77.31</t>
  </si>
  <si>
    <t>N.77.32</t>
  </si>
  <si>
    <t>N.77.33</t>
  </si>
  <si>
    <t>N.77.34</t>
  </si>
  <si>
    <t>N.77.35</t>
  </si>
  <si>
    <t>N.77.39</t>
  </si>
  <si>
    <t>N.77.4</t>
  </si>
  <si>
    <t>N.78</t>
  </si>
  <si>
    <t>N.78.1</t>
  </si>
  <si>
    <t>N.78.2</t>
  </si>
  <si>
    <t>N.78.3</t>
  </si>
  <si>
    <t>N.79</t>
  </si>
  <si>
    <t>N.79.1</t>
  </si>
  <si>
    <t>N.79.11</t>
  </si>
  <si>
    <t>N.79.12</t>
  </si>
  <si>
    <t>N.79.9</t>
  </si>
  <si>
    <t>N.80</t>
  </si>
  <si>
    <t>N.80.1</t>
  </si>
  <si>
    <t>N.80.2</t>
  </si>
  <si>
    <t>N.80.3</t>
  </si>
  <si>
    <t>N.81</t>
  </si>
  <si>
    <t>N.81.1</t>
  </si>
  <si>
    <t>N.81.2</t>
  </si>
  <si>
    <t>N.81.21</t>
  </si>
  <si>
    <t>N.81.22</t>
  </si>
  <si>
    <t>N.81.29</t>
  </si>
  <si>
    <t>N.81.3</t>
  </si>
  <si>
    <t>N.82</t>
  </si>
  <si>
    <t>N.82.1</t>
  </si>
  <si>
    <t>N.82.11</t>
  </si>
  <si>
    <t>N.82.19</t>
  </si>
  <si>
    <t>N.82.2</t>
  </si>
  <si>
    <t>N.82.3</t>
  </si>
  <si>
    <t>N.82.9</t>
  </si>
  <si>
    <t>N.82.91</t>
  </si>
  <si>
    <t>N.82.92</t>
  </si>
  <si>
    <t>N.82.99</t>
  </si>
  <si>
    <t>O.84</t>
  </si>
  <si>
    <t>O.84.1</t>
  </si>
  <si>
    <t>O.84.11</t>
  </si>
  <si>
    <t>O.84.12</t>
  </si>
  <si>
    <t>O.84.13</t>
  </si>
  <si>
    <t>O.84.2</t>
  </si>
  <si>
    <t>O.84.21</t>
  </si>
  <si>
    <t>O.84.22</t>
  </si>
  <si>
    <t>O.84.23</t>
  </si>
  <si>
    <t>O.84.24</t>
  </si>
  <si>
    <t>O.84.25</t>
  </si>
  <si>
    <t>O.84.3</t>
  </si>
  <si>
    <t>P.85</t>
  </si>
  <si>
    <t>P.85.1</t>
  </si>
  <si>
    <t>P.85.2</t>
  </si>
  <si>
    <t>P.85.3</t>
  </si>
  <si>
    <t>P.85.31</t>
  </si>
  <si>
    <t>P.85.32</t>
  </si>
  <si>
    <t>P.85.4</t>
  </si>
  <si>
    <t>P.85.41</t>
  </si>
  <si>
    <t>P.85.42</t>
  </si>
  <si>
    <t>P.85.5</t>
  </si>
  <si>
    <t>P.85.51</t>
  </si>
  <si>
    <t>P.85.52</t>
  </si>
  <si>
    <t>P.85.53</t>
  </si>
  <si>
    <t>P.85.59</t>
  </si>
  <si>
    <t>P.85.6</t>
  </si>
  <si>
    <t>Q.86</t>
  </si>
  <si>
    <t>Q.86.1</t>
  </si>
  <si>
    <t>Q.86.2</t>
  </si>
  <si>
    <t>Q.86.21</t>
  </si>
  <si>
    <t>Q.86.22</t>
  </si>
  <si>
    <t>Q.86.23</t>
  </si>
  <si>
    <t>Q.86.9</t>
  </si>
  <si>
    <t>Q.87</t>
  </si>
  <si>
    <t>Q.87.1</t>
  </si>
  <si>
    <t>Q.87.2</t>
  </si>
  <si>
    <t>Q.87.3</t>
  </si>
  <si>
    <t>Q.87.9</t>
  </si>
  <si>
    <t>Q.88</t>
  </si>
  <si>
    <t>Q.88.1</t>
  </si>
  <si>
    <t>Q.88.9</t>
  </si>
  <si>
    <t>Q.88.91</t>
  </si>
  <si>
    <t>Q.88.99</t>
  </si>
  <si>
    <t>R.90</t>
  </si>
  <si>
    <t>R.90.01</t>
  </si>
  <si>
    <t>R.90.02</t>
  </si>
  <si>
    <t>R.90.03</t>
  </si>
  <si>
    <t>R.90.04</t>
  </si>
  <si>
    <t>R.91</t>
  </si>
  <si>
    <t>R.91.01</t>
  </si>
  <si>
    <t>R.91.02</t>
  </si>
  <si>
    <t>R.91.03</t>
  </si>
  <si>
    <t>R.91.04</t>
  </si>
  <si>
    <t>R.92</t>
  </si>
  <si>
    <t>R.93</t>
  </si>
  <si>
    <t>R.93.1</t>
  </si>
  <si>
    <t>R.93.11</t>
  </si>
  <si>
    <t>R.93.12</t>
  </si>
  <si>
    <t>R.93.13</t>
  </si>
  <si>
    <t>R.93.19</t>
  </si>
  <si>
    <t>R.93.2</t>
  </si>
  <si>
    <t>R.93.21</t>
  </si>
  <si>
    <t>R.93.29</t>
  </si>
  <si>
    <t>S.94</t>
  </si>
  <si>
    <t>S.94.1</t>
  </si>
  <si>
    <t>S.94.11</t>
  </si>
  <si>
    <t>S.94.12</t>
  </si>
  <si>
    <t>S.94.2</t>
  </si>
  <si>
    <t>S.94.9</t>
  </si>
  <si>
    <t>S.94.91</t>
  </si>
  <si>
    <t>S.94.92</t>
  </si>
  <si>
    <t>S.94.99</t>
  </si>
  <si>
    <t>S.95</t>
  </si>
  <si>
    <t>S.95.1</t>
  </si>
  <si>
    <t>S.95.11</t>
  </si>
  <si>
    <t>S.95.12</t>
  </si>
  <si>
    <t>S.95.2</t>
  </si>
  <si>
    <t>S.95.21</t>
  </si>
  <si>
    <t>S.95.22</t>
  </si>
  <si>
    <t>S.95.23</t>
  </si>
  <si>
    <t>S.95.24</t>
  </si>
  <si>
    <t>S.95.25</t>
  </si>
  <si>
    <t>S.95.29</t>
  </si>
  <si>
    <t>S.96</t>
  </si>
  <si>
    <t>S.96.01</t>
  </si>
  <si>
    <t>S.96.02</t>
  </si>
  <si>
    <t>S.96.03</t>
  </si>
  <si>
    <t>S.96.04</t>
  </si>
  <si>
    <t>S.96.09</t>
  </si>
  <si>
    <t>T.97</t>
  </si>
  <si>
    <t>T.98</t>
  </si>
  <si>
    <t>T.98.1</t>
  </si>
  <si>
    <t>T.98.2</t>
  </si>
  <si>
    <t>U.99</t>
  </si>
  <si>
    <t>Third party</t>
  </si>
  <si>
    <t>Este campo é obtido a partir do campo ESPANHA_IFRS da tabela PERIMETRO:
SELECT DISTINCT ESPANHA_IFRS FROM cd_captools.PERIMETRO
Esta query retorna as seguintes opções: '', 'x', 'E', 'M'
Este campo é convertido pela tabela de parametrização LT803_CODIGOS_LT:
SELECT *  FROM cd_loan_tapes_bce.lt803_codigos_lt
WHERE ref_date = (SELECT MAX(ref_date) FROM cd_loan_tapes_bce.lt803_codigos_lt )
AND campo_lt = 'ISSR_TYP'
Aqui é apresentada a proposta de mapeamento do campo ISSR_TYP, para o âmbito do report Valuation nos segmentos 'DEBT_SECURITIES' e 'EQUITY_INSTRUMENTS'.
Preocupação:
Na especificação deste campo é aplicada a regra NVL(VALOR_LT, 2), ou seja, quando a ligação com a tabela de parametrização falha, o valor deste campo é forçado a 2 que corresponde a 'Third party' mas o SRB não aceita 2 como output. Segundo as opções presentes para o campo ESPANHA_IFRS na tabela FR004_CTO a ligação com a tabela LT803_CODIGOS_LT apenas falharia quando ESPANHA_IFRS = '' ou 'M'. Assim solução possível seria adicionar uma linha extra à parametrização que converta vazio '' e 'M' em 'Third party'. Desta forma nunca será aplicado o NVL().</t>
  </si>
  <si>
    <t>Other group entity</t>
  </si>
  <si>
    <t>E</t>
  </si>
  <si>
    <t>M</t>
  </si>
  <si>
    <t>DEBT_SECURITIES</t>
  </si>
  <si>
    <t>F_31</t>
  </si>
  <si>
    <t>Short-term debt securities</t>
  </si>
  <si>
    <t>Segundo a especificação do LT este campo não passa na tabela LT803_CODIGOS_LT.
Este campo é obtido a partir dos campos DT_LGL_FNL_MTRTY e DT_INCPTN da tabela LT002_INSTRUMENT através da regra:
CASE WHEN DATEDIFF(DT_LGL_FNL_MTRTY, DT_INCPTN) &lt;= 365 AND DT_LGL_FNL_MTRTY &lt;&gt; 'Valor da coluna NOT APPLICABLE' THEN F_31
          WHEN DATEDIFF(DT_LGL_FNL_MTRTY, DT_INCPTN) &gt; 365 OR DT_LGL_FNL_MTRTY = 'Valor da coluna NOT APPLICABLE' THEN F_32
Observando esta regra torna-se obvio que este campo pode tomar dois valores 'F_31' e 'F_32'.
Embora este campo não utilize a tabela LT803_CODIGOS_LT, esta tem um acesso com campo_lt = 'INSTRMNT_CLSS' que reflete as opções mencionadas acima:
SELECT *  FROM cd_loan_tapes_bce.lt803_codigos_lt
WHERE ref_date = (SELECT MAX(ref_date) FROM cd_loan_tapes_bce.lt803_codigos_lt )
AND campo_lt = 'INSTRMNT_CLSS'
Aqui é apresentada a proposta de mapeamento do campo INSTRMNT_CLSS, para o âmbito do report Valuation no segmento 'DEBT_SECURITIES'.
- Este campo não passa pela tabela LT803_CODIGOS_LT, mas os códigos de output parecem vir já no formato pedido pelo SRB, ou seja não será necessária nenhuma parametrização.</t>
  </si>
  <si>
    <t>F_32</t>
  </si>
  <si>
    <t>Long-term debt securities</t>
  </si>
  <si>
    <t>Debt - Debt securities are negotiable financial instruments serving as evidence of a debt. They are covered by the financial assets and liabilities (financial instrument) category “debt securities” (F.3) in ESA 2010.</t>
  </si>
  <si>
    <t>Este campo é obtido a partir do campo TIPO_TITULO da tabela CT610_TITULOS:
SELECT DISTINCT TIPO_TITULO FROM cd_captools.CT610_TITULOS
Esta query retorna as seguintes opções: "Titularizacao Sintetica", "Acao Ordinaria", "Obrigacao Subordinada", "UP_FIM", "UP_FII", "Obrigacao Hipotecaria", "Prestacao Suplementar", "UP_FCR", "Acao Preferencial", "Suprimento", "Instrumento Fundos Proprios Adicionais Nivel 1 (AT1)", "Obrigacao Senior", "Emprestimo Subordinado", "Titularizacao".
Este campo é convertido pela tabela de parametrização LT803_CODIGOS_LT:
SELECT *  FROM cd_loan_tapes_bce.lt803_codigos_lt
WHERE ref_date = (SELECT MAX(ref_date) FROM cd_loan_tapes_bce.lt803_codigos_lt )
AND campo_lt = 'PRMRY_ASST_CLSSF'
A parametrização presente na tabela LT803_CODIGOS_LT para o âmbito 'PM' é igual à pedida pelo SRB, ou seja, apenas será necessário replicar esta parametrização para o âmbito do report Valuation no segmento 'DEBT_SECURITIES'.</t>
  </si>
  <si>
    <t>Obrigacao Senior</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</si>
  <si>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</si>
  <si>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</si>
  <si>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Obrigacao Subordinada</t>
  </si>
  <si>
    <t>D.11</t>
  </si>
  <si>
    <t>Straight bond - A bond without any further special characteristics listed separately.</t>
  </si>
  <si>
    <t>D.12</t>
  </si>
  <si>
    <t>Securitisation bond - Securitisation is the issuance of debt securities for which coupon or principal payments are backed by specified assets or by future income streams.</t>
  </si>
  <si>
    <t>Titularizacao</t>
  </si>
  <si>
    <t>D.121</t>
  </si>
  <si>
    <t>Traditional securitisation - In case of traditional securitisation, the transfer of credit risk takes place by transferring the assets subject to that risk.</t>
  </si>
  <si>
    <t>Titularizacao Sintetica</t>
  </si>
  <si>
    <t>D.122</t>
  </si>
  <si>
    <t>Synthetic securitisation - In case of synthetic securitisation, the transfer of credit risk takes place by means of instruments that provide insurance against credit losses, without an actual transfer of assets taking place.</t>
  </si>
  <si>
    <t>D.129</t>
  </si>
  <si>
    <t>Other securitisation - A securitisation that is of a type not listed separately.</t>
  </si>
  <si>
    <t>Obrigacao Hipotecaria</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</si>
  <si>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</si>
  <si>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</si>
  <si>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</si>
  <si>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</si>
  <si>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D.139</t>
  </si>
  <si>
    <t>Other covered bond - Covered bonds other than jumbo covered bonds.</t>
  </si>
  <si>
    <t>D.14</t>
  </si>
  <si>
    <t>Medium-term note - A debt security issued at fixed or floating rates of interest, as part of an overall medium-term note programme. Used by institutions as a source for medium-term funding.</t>
  </si>
  <si>
    <t>D.141</t>
  </si>
  <si>
    <t>Euro medium term notes (EMTN)  - A medium-term note denominated in Euro.</t>
  </si>
  <si>
    <t>D.149</t>
  </si>
  <si>
    <t>Other MTN - A medium-term note denominated in a currency other than Euro.</t>
  </si>
  <si>
    <t>D.15</t>
  </si>
  <si>
    <t>Perpetual bond - A debt security that has no stated maturity date.</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</si>
  <si>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</si>
  <si>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</si>
  <si>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D.161</t>
  </si>
  <si>
    <t>Inflation-linked bond - Detailed breakdowns by type in accordance with definitions laid down in Handbook of Securities Statistics.</t>
  </si>
  <si>
    <t>D.162</t>
  </si>
  <si>
    <t>Interest rate-linked bond - Detailed breakdowns by type in accordance with definitions laid down in Handbook of Securities Statistics.</t>
  </si>
  <si>
    <t>D.163</t>
  </si>
  <si>
    <t>Asset-linked bond - Detailed breakdowns by type in accordance with definitions laid down in Handbook of Securities Statistics.</t>
  </si>
  <si>
    <t>D.164</t>
  </si>
  <si>
    <t>Currency-linked bond - Detailed breakdowns by type in accordance with definitions laid down in Handbook of Securities Statistics.</t>
  </si>
  <si>
    <t>D.165</t>
  </si>
  <si>
    <t>Credit-linked bond - Detailed breakdowns by type in accordance with definitions laid down in Handbook of Securities Statistics.</t>
  </si>
  <si>
    <t>D.166</t>
  </si>
  <si>
    <t>Exchange traded notes (ETN) - Detailed breakdowns by type in accordance with definitions laid down in Handbook of Securities Statistics.</t>
  </si>
  <si>
    <t>D.167</t>
  </si>
  <si>
    <t>Exchange traded commodities (ETC) - Detailed breakdowns by type in accordance with definitions laid down in Handbook of Securities Statistics.</t>
  </si>
  <si>
    <t>D.169</t>
  </si>
  <si>
    <t>Other linked bond - Detailed breakdowns by type in accordance with definitions laid down in Handbook of Securities Statistics.</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</si>
  <si>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</si>
  <si>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</si>
  <si>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D.171</t>
  </si>
  <si>
    <t>Principal strip - A strip bond created for the part of the principal amount.</t>
  </si>
  <si>
    <t>D.172</t>
  </si>
  <si>
    <t>Coupon strip - A strip bond created for the part of the coupons.</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</si>
  <si>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</si>
  <si>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</si>
  <si>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</si>
  <si>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</si>
  <si>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D.1811</t>
  </si>
  <si>
    <t>Capital protection product - Detailed breakdowns of upper category in accordance with categoristion of European Structured Investment Products Association (EUSIPA).</t>
  </si>
  <si>
    <t>D.1812</t>
  </si>
  <si>
    <t>Yield enhancement product - Detailed breakdowns of upper category in accordance with categoristion of European Structured Investment Products Association (EUSIPA).</t>
  </si>
  <si>
    <t>D.1813</t>
  </si>
  <si>
    <t>Participation product - Detailed breakdowns of upper category in accordance with categoristion of European Structured Investment Products Association (EUSIPA).</t>
  </si>
  <si>
    <t>D.1819</t>
  </si>
  <si>
    <t>Other investment product - Detailed breakdowns of upper category in accordance with categoristion of European Structured Investment Products Association (EUSIPA).</t>
  </si>
  <si>
    <t>D.182</t>
  </si>
  <si>
    <t>Leverage Product - The leverage product category of Structured debt securities covers securities with a large risk compared with the initial investment and that combine an investment in an underlying security with a future or option.</t>
  </si>
  <si>
    <t>D.1821</t>
  </si>
  <si>
    <t>Leverage product with knock-out - Detailed breakdowns of upper category in accordance with categoristion of European Structured Investment Products Association (EUSIPA).</t>
  </si>
  <si>
    <t>D.1822</t>
  </si>
  <si>
    <t>Leverage product without knock-out - Detailed breakdowns of upper category in accordance with categoristion of European Structured Investment Products Association (EUSIPA).</t>
  </si>
  <si>
    <t>D.1823</t>
  </si>
  <si>
    <t>Constant leverage product - Detailed breakdowns of upper category in accordance with categoristion of European Structured Investment Products Association (EUSIPA).</t>
  </si>
  <si>
    <t>D.1829</t>
  </si>
  <si>
    <t>Other leverage product - Detailed breakdowns of upper category in accordance with categoristion of European Structured Investment Products Association (EUSIPA).</t>
  </si>
  <si>
    <t>D.19</t>
  </si>
  <si>
    <t>Other bond - A bond that is of a type not listed separately.</t>
  </si>
  <si>
    <t>D.2</t>
  </si>
  <si>
    <t>Money market instrument - Money market instruments in accordance with Directive 2009/65/EC comprise transferable instruments which are normally dealt in on the money market rather than on the regulated markets.</t>
  </si>
  <si>
    <t>D.21</t>
  </si>
  <si>
    <t>Bankers acceptance - A negotiable order to pay a specified amount of money on a future date, accepted and guaranteed by a bank and drawn on a deposit at a bank.</t>
  </si>
  <si>
    <t>D.22</t>
  </si>
  <si>
    <t>Certificate of deposit - Usually a negotiable certificate issued by a bank acknowledging a deposit in that bank for a specified period of time at a specified interest rate.</t>
  </si>
  <si>
    <t>D.23</t>
  </si>
  <si>
    <t>Commercial paper - A discounted and unsecured debt security issued by a corporation whose name appears on the front of the security and who promises to pay to the security holder a certain amount on a stated maturity date.</t>
  </si>
  <si>
    <t>D.231</t>
  </si>
  <si>
    <t>Euro commercial paper (ECP)  - A commercial paper denominated in Euro.</t>
  </si>
  <si>
    <t>D.232</t>
  </si>
  <si>
    <t>Pagares - Specific type of commercial paper commonly known in Spain.</t>
  </si>
  <si>
    <t>D.239</t>
  </si>
  <si>
    <t>Other CP - A commercial paper that is of a type not listed separately.</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</si>
  <si>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</si>
  <si>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</si>
  <si>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D.29</t>
  </si>
  <si>
    <t>Other money market instrument - A money market instrument that is of a type not listed separately.</t>
  </si>
  <si>
    <t>D.3</t>
  </si>
  <si>
    <t>Hybrid debt instrument - Instrument with characteristics of debt and equity which are classified as debt according to their main characteristics.</t>
  </si>
  <si>
    <t>D.31</t>
  </si>
  <si>
    <t>Convertible bond - A fixed interest rate bond that the investor has the option of converting into the equity of the borrower or its parent.</t>
  </si>
  <si>
    <t>D.311</t>
  </si>
  <si>
    <t>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</si>
  <si>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</si>
  <si>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</si>
  <si>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</si>
  <si>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</si>
  <si>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D.34</t>
  </si>
  <si>
    <t>Non-participating (preferred) share - Holders are entitled to receive a fixed dividend, but do not participate in the distribution of the residual value of a corporation on dissolution.</t>
  </si>
  <si>
    <t>D.39</t>
  </si>
  <si>
    <t>Other hybrid debt Instrument - A hybrid debt instrument that is of a type not listed separately.</t>
  </si>
  <si>
    <t>Emprestimo subordinado</t>
  </si>
  <si>
    <t>D.9</t>
  </si>
  <si>
    <t>Other debt - A debt instrument that is of a type not listed separately.</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</si>
  <si>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</si>
  <si>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Acao Ordinaria</t>
  </si>
  <si>
    <t>E.1</t>
  </si>
  <si>
    <t>Ordinary / Common share - Ordinary shares (or “common” shares) usually give holders the right to the following:</t>
  </si>
  <si>
    <t>Acao Preferencial</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</si>
  <si>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</si>
  <si>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</si>
  <si>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E.21</t>
  </si>
  <si>
    <t>Cumulative preferred share - Holders are entitled to receive a fixed dividend ahead of ordinary shares and retain the right to any accumulated preferred dividends that may have built up.</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</si>
  <si>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</si>
  <si>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</si>
  <si>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E.23</t>
  </si>
  <si>
    <t>Cumulative, participating preferred share - A preferred share that fulfils the criteria of cumulative and participating preferred shares at the same time.</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</si>
  <si>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</si>
  <si>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</si>
  <si>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E.29</t>
  </si>
  <si>
    <t>Other preferred share - A prefered share that is of a type not listed separately.</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</si>
  <si>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</si>
  <si>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</si>
  <si>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E.31</t>
  </si>
  <si>
    <t>American depository receipt (ADR) - American depository receipts (ADR) are liabilities of the non-U.S. institutional units whose securities underlie the ADR, not of the U.S. financial institutions issuing the ADR.</t>
  </si>
  <si>
    <t>E.32</t>
  </si>
  <si>
    <t>Global depository receipt (GDR) - Global depository receipts (GDR) are securities available in one or more markets outside the corporation’s country of residence.</t>
  </si>
  <si>
    <t>Other depository receipt - A depository receipt that is of a type not listed separately.</t>
  </si>
  <si>
    <t>E.4</t>
  </si>
  <si>
    <t>Hybrid equity instrument - Instrument with characteristics of debt and equity which are classified as equity according to their main characteristics.</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</si>
  <si>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</si>
  <si>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</si>
  <si>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E.42</t>
  </si>
  <si>
    <t>Convertible (preferred) share - Holders are allowed to convert preferred shares into a specified amount of ordinary shares.</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</si>
  <si>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</si>
  <si>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</si>
  <si>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E.49</t>
  </si>
  <si>
    <t>Other hybrid equity instrument - A hybrid equity instrument that is of a type not listed separately.</t>
  </si>
  <si>
    <t>Prestacao Suplementar</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</si>
  <si>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</si>
  <si>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</si>
  <si>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</si>
  <si>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</si>
  <si>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</si>
  <si>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F.2</t>
  </si>
  <si>
    <t>Alternative investment fund (AIF) - Alternative investment fund (AIF) as defined in Directive 2011/61/EU on Alternative Investment Fund Managers.</t>
  </si>
  <si>
    <t>UP_FII</t>
  </si>
  <si>
    <t>F.9</t>
  </si>
  <si>
    <t>Other fund - A fund that is of a type not listed separately.</t>
  </si>
  <si>
    <t>UP_FCR</t>
  </si>
  <si>
    <t>UP_FIM</t>
  </si>
  <si>
    <t>Instrumento Fundos Proprios Adicionais Nivel 1 (AT1)</t>
  </si>
  <si>
    <t>Suprimento</t>
  </si>
  <si>
    <t>Commercial mortgages</t>
  </si>
  <si>
    <t>Commercial mortgage-backed security (CMBS) - with definitions of European and American Securitisation Forum.</t>
  </si>
  <si>
    <t/>
  </si>
  <si>
    <t>Este campo é obtido a partir do campo SUB_TIP_TITUL da tabela TI601_TITULARIZ:
SELECT DISTINCT SUB_TIP_TITUL FROM cd_alm.TI601_TITULARIZ
Nota: Embora a especificação do LT indique que a tabela TI601_TITULARIZ se encontra na área CD_LOAN_TAPES_BCE ela realmente está na CD_ALM.
Esta query retorna as seguintes opções: "Commercial mortgages", "Loans to SMEs", "Residential mortgages", "Loans to corporates", "Consumer loans", "Other retail exposures", "Other Assets"
Este campo é convertido pela tabela de parametrização LT803_CODIGOS_LT:
SELECT *  FROM cd_loan_tapes_bce.lt803_codigos_lt
WHERE ref_date = (SELECT MAX(ref_date) FROM cd_loan_tapes_bce.lt803_codigos_lt )
AND campo_lt = 'ASST_SCRT_CLSS'
Problemas identificados na parmaterização atual:
     - Existem vários códigos reconhecidos pelo Banco que não foram mapeados.
Aqui é apresentada a proposta de mapeamento do campo ASST_SCRT_CLSS.</t>
  </si>
  <si>
    <t>Consumer loans</t>
  </si>
  <si>
    <t>Consumer loans ABS - Detailed asset type breakdown of ABSs mainly in accordance with definitions of European and American Securitisation Forum.</t>
  </si>
  <si>
    <t>Loans to corporates</t>
  </si>
  <si>
    <t>Small and medium-sized enterprises (SME) loans ABS - Detailed asset type breakdown of ABSs mainly in accordance with definitions of European and American Securitisation Forum.</t>
  </si>
  <si>
    <t>Loans to SMEs</t>
  </si>
  <si>
    <t>Other Assets</t>
  </si>
  <si>
    <t>Other Assets ABS - An ABS that is of a type not listed separately.</t>
  </si>
  <si>
    <t>Other retail exposures</t>
  </si>
  <si>
    <t>Residential mortgages</t>
  </si>
  <si>
    <t>Residential mortgage-backed security (RMBS) - Detailed asset type breakdown of MBSs mainly in accordance</t>
  </si>
  <si>
    <t>Publica</t>
  </si>
  <si>
    <t>Public</t>
  </si>
  <si>
    <t>Este campo é obtido a partir do campo TIPO_OFERTA da tabela CT610_TITULOS:
SELECT DISTINCT TIPO_OFERTA FROM cd_captools.CT610_TITULOS
Esta query retorna as seguintes opções: "Publica", "Particular"
Este campo é convertido pela tabela de parametrização LT803_CODIGOS_LT:
SELECT *  FROM cd_loan_tapes_bce.lt803_codigos_lt
WHERE ref_date = (SELECT MAX(ref_date) FROM cd_loan_tapes_bce.lt803_codigos_lt )
AND campo_lt = 'TYPE_OF_PLCMNT'
Aqui é apresentada a proposta de mapeamento do campo TYPE_OF_PLCMNT, para o âmbito do report Valuation no segmento 'DEBT_SECURITIES'.
Preocupação:
Na especificação do LT é referido:
"Se flag_int_div = 1 e o contrato não pertencer ao dicionário de títulos (CT610), assumir o valor "2" da code list"
Ou seja, se o contrato não estiver no dicionário de títulos mas mesmo assim seja necessário preencher este campo, ele é forçado a "2" da codelist original. Em outras palavras é aplicado um NVL(valor_lt, '2').
Visto que para o âmbito do report Valuation se irá utilizar um mapeamento diferente ('1' -&gt; 'Public', '2' -&gt; 'Private') há que ter em atenção este tema, pois para estes casos se irá reportar o valor '2' da code list antiga.</t>
  </si>
  <si>
    <t>Particular</t>
  </si>
  <si>
    <t>Private</t>
  </si>
  <si>
    <t>Este campo é obtido a partir do campo COD_TIPO_TAXA_ACT da tabela AL029_CNT_CORE_M.  Os valores_origem que o campo TYP_INTRST_RT pode tomar podem ser consultados através da query:
SELECT DISTINCT COD_TIPO_TAXA_ACT FROM cd_alm.al029_cnt_core_m
Esta query retorna as seguintes opções: 'V', 'F', 'C', ''
Os valores_origem são posteriormente traduzidos pela tabela de parametrização LT803_CODIGOS_LT. A parametrização aplicada pode ser consultada através da query:
SELECT * FROM cd_loan_tapes_bce.lt803_codigos_lt
WHERE ref_date = (SELECT MAX(ref_date) FROM cd_loan_tapes_bce.lt803_codigos_lt )
AND campo_lt = 'TYP_INTRST_RT'
Aqui é apresentada a proposta de mapeamento do campo TYP_INTRST_RT, para o âmbito do report Valuation no segmento 'DEBT_SECURITIES'
Preocupação: A tabela LT803_CODIGOS_LT apenas leva em consideração as opções ‘F’ e ‘V’ o que colocar quando é ‘C’?</t>
  </si>
  <si>
    <t>Zero coupon</t>
  </si>
  <si>
    <t>Opção dada pelo SRB sem nenhum mapeamento direto na al029 ou na lt804</t>
  </si>
  <si>
    <t>Este campo é obtido através do campo COD_PROP da tabela AL014_ACT_PRIM onde o campo MON_CONT&lt;0 :
SELECT DISTINCT COD_PROP FROM cd_alm.AL014_ACT_PRIM
Resultando nas opções: 'EMISSAO RETIDA NAO UTILIZADA NEM PRESA EM POOLS', 'POOL OBRIGACOES HIPOTECARIAS', 'SII', 'IM DERIVADOS', 'POOL DE CREDITOS DO EUROSISTEMA', 'FGD', 'VM DERIVADOS', 'VM REPOS', 'BEI', 'POOL TITULARIZACOES', 'REPOS', 'EUROSISTEMA', 'REVERSE REPOS'
Este campo é convertido pela tabela de parametrização LT803_CODIGOS_LT:
SELECT * FROM cd_loan_tapes_bce.lt803_codigos_lt
WHERE ref_date = (SELECT MAX(ref_date) FROM cd_loan_tapes_bce.lt803_codigos_lt )
AND campo_lt = 'SRCS_ENCMBRNC'
Aqui é apresentada a proposta de mapeamento do campo SRCS_ENCMBRNC, para o âmbito do report Valuation no segmento 'Debt securities'. Nota que o mapeamento pedido pelo SRB é exatamente igual ao já existente, fora as opções pedidas pelo SRB que não estão mapeadas ou seja caso se confirme que isto não é tema, então esta parametrização adicional é desnecessária. O codelist pedido pelo SRB é igual ao apresentado no documento de especificação BCE Loan Tapes mesmo os códigos que não estão mapeados na LT803 (excepto o código 0 - Not applicable)
Preocupações:
- Existem valores do campo COD_PROP que não estão refletidos na LT803 nomeadamente ('POOL OBRIGACOES HIPOTECARIAS', 'POOL TITULARIZACOES').
- Existe também uma diferença no valor de 'EMISSAO RETIDA NÃO UTILIZADA NEM PRESA EM POOLS' sendo que na tabela AL014_ACT_PRIM não tem acento circunflexo isto irá fazer com que a ligação falhe.
- Existem opções pedidas pelo SRB que não têm mapeamento na LT803, necessário validar se faz ou não sentido mapear estas opções, e se sim definir com o quê.</t>
  </si>
  <si>
    <t>Not applicable   Notes: Usage of this code is only allowed in case of intra-group holdings (prudential scope) and “pure” short positions (i.e. those where no positive amount is held and recorded on the asset side), subject to the discretion of the NCBs, or for Pre-Stage 4 input (i.e. data relating to the reference period end-September 2018).</t>
  </si>
  <si>
    <t>L1</t>
  </si>
  <si>
    <t>L1 (1)</t>
  </si>
  <si>
    <t>Este campo é obtido a partir do campo GRAU_LIQUIDEZ da tabela CT610_TITULOS:
SELECT DISTINCT GRAU_LIQUIDEZ FROM cd_captools.CT610_TITULOS
Esta query retorna as seguintes opções: "L1", "IL1", "IL2", "IL3", "N/A" ou NULL
Este campo é convertido pela tabela de parametrização LT803_CODIGOS_LT:
SELECT *  FROM cd_loan_tapes_bce.lt803_codigos_lt
WHERE ref_date = (SELECT MAX(ref_date) FROM cd_loan_tapes_bce.lt803_codigos_lt )
AND campo_lt = 'LCR_BFFR_CTGRY'
Aqui é apresentada a proposta de mapeamento do campo LCR_BFFR_CTGRY, para o âmbito do report Valuation no segmento 'DEBT_SECURITIES'.
Preocupação:
- Alguns dos valor_origem do mapeamento original da tabela LT803_CODIGOS_LT nunca aparecem no campo GRAU_LIQUIDEZ da tabela CT610_TITULOS;
- Existem valores de GRAU_LIQUIDEZ da tabela CT610_TITULOS que não têm relação direta com nenhuma das opções dadas pelo SRB.</t>
  </si>
  <si>
    <t>L2A</t>
  </si>
  <si>
    <t>L2A (2)</t>
  </si>
  <si>
    <t>Este valor_origem, que está na tabela de parametrização LT803_CODIGOS_LT, não é uma das opções que o campo GRAU_LIQUIDEZ toma.</t>
  </si>
  <si>
    <t>L2B</t>
  </si>
  <si>
    <t>L2B (3)</t>
  </si>
  <si>
    <t>IL1</t>
  </si>
  <si>
    <t>Opção existente na tabela CT610_TITULOS mas que não está respresentada nem na listagem fornecida pelo SRB nem na parametrização atual na lt803</t>
  </si>
  <si>
    <t>IL2</t>
  </si>
  <si>
    <t>IL3</t>
  </si>
  <si>
    <t>Este campo é obtido através do campo CARTEIRA_CONTABILISTICA da tabela LT001_UNIV_OPER, convertido pela tabela de parametrização LT803_CODIGOS_LT:
SELECT * FROM cd_loan_tapes_bce.lt803_codigos_lt
WHERE ref_date = (SELECT MAX(ref_date) FROM cd_loan_tapes_bce.lt803_codigos_lt )
AND campo_lt = 'ACCNTNG_CLSSFCTN'
AND ambito = 'PM'
Aqui é apresentada a proposta de mapeamento do campo ACCNTNG_CLSSFCTN, para o âmbito do report Valuation nos segmentos 'DEBT_SECURITIES' e 'EQUITY_INSTRUMENTS'. Nota que os códigos do codelist pedido pelo SRB são iguais aos pedidos no documento de especificação BCE Loan Tapes, mas existem algumas diferenças, há códigos pedidos pelo SRB e não pelo BCE e vice versa, é necessário confirmar se se pode utilizar esta mesma parametrização, até porque as diferenças são em códigos mapeados com valor_origem NULL, por outras palavras, nunca são aplicadas. A unica excepção é o código 14 ver com atenção.
Preocupação:
- Existem opções dadas pelo SRB para as quais não foram encontradas correspondências;
- Irá sair o código 14 que não é uma das opções dadas pelo SRB;
- O código 0 está associado ao N/A mas tem uma nota de quando pode ou não ser utilizado, é necessário confirmar se temos de reportar sempre 0 o que não for aplicavel (definir na tabela parametrização dos valor N/A) ou se só em alguns casos (pode envolver adicionar *info à parametrização e pode chegar a obrigar a criar um novo campo)
- Todas as opções de National GAAP têm como valor origem NULL, ou seja, nunca será atribuido neste campo um valor de Nation GAAP. Este entendimento pode ser confirmado consultando todos os valores distintos de ACCNTNG_CLSSFCTN que se encontram na tabela LT002_INSTRUMENT através da query:
SELECT ACCNTNG_CLSSFCTN, descritivo_lt FROM
(
    SELECT DISTINCT ACCNTNG_CLSSFCTN FROM cd_loan_tapes_bce.lt002_instrument
) as lt002
LEFT JOIN
(
    SELECT *  FROM cd_loan_tapes_bce.lt803_codigos_lt
    WHERE ref_date = (SELECT MAX(ref_date) FROM cd_loan_tapes_bce.lt803_codigos_lt )
    AND campo_lt = 'ACCNTNG_CLSSFCTN'
    AND ambito = 'PM'
) as lt803
ON lt803.valor_lt = lt002.ACCNTNG_CLSSFCTN
Embora haja alguns códigos em falta entre o code-list dado pelo BCE, o code-list dado pelo SRB e a parametrização implementada na LT803, os códigos em comum referem-se exatamente aos mesmos conceitos, desta forma foi definido na reunião de 08/01/2025 com Pedro Mendes que para o campo 'ACCNTNG_CLSSFCTN' nas sheets 'DEBT_SECURITIES' e 'EQUITY_INSTRUMENTS' se deve usar a parametrização já existente na tabela LT803.</t>
  </si>
  <si>
    <t>Opção existente no mapeamento original da tabela LT803, mas não consta no mapeamento do SRB.</t>
  </si>
  <si>
    <t>Not applicable  
1 Usage of this code is only allowed in case of intra-group holdings (prudential scope) and “pure” short positions (i.e. those where no positive amount is held and recorded on the asset side), subject to the discretion of the NCBs, or for Pre-Stage 4 input (i.e. data relating to the reference period end-September 2018).</t>
  </si>
  <si>
    <t>Investments in subsidiaries, joint ventures and associates</t>
  </si>
  <si>
    <t>Not applicable - balance sheet derecognition</t>
  </si>
  <si>
    <t>Segundo a especificação LT este campo é obtido através do campo STAGE_ATUAL da tabela FR004_CTO transformado, as opções de input possiveis podem ser consultadas na seguinte query:
SELECT DISTINCT CASE WHEN STAGE_ATUAL IN ('1','2') THEN '11' WHEN STAGE_ATUAL = '3' THEN '1' ELSE 'valor da coluna NULLABLE' END AS PRFRMNG_STTS FROM cd_captools.fr004_cto
Resultando nas opções: '1', '11', 'valor da coluna NULLABLE'
Este campo é convertido pela tabela de parametrização LT803_CODIGOS_LT:
SELECT * FROM cd_loan_tapes_bce.lt803_codigos_lt
WHERE ref_date = (SELECT MAX(ref_date) FROM cd_loan_tapes_bce.lt803_codigos_lt )
AND campo_lt = 'PRFRMNG_STTS'
AND ambito = 'PM'
Este query retorna como valor_origem as seguintes opções: '1', '2', '3'
Existe uma incoerência entre o que diz a expecificação e os valores_origem da tabela LT803_CODIGOS_LT. A query que está a ser utilizada para obter os valores_origem deve ser a seguinte:
SELECT DISTINCT STAGE_ATUAL AS PRFRMNG_STTS FROM cd_captools.fr004_cto 
Resultando nas opções: '1', '2', '3', ''
Aqui é apresentada a proposta de mapeamento do campo PRFRMNG_STTS, para o âmbito do report Valuation no segmento 'DEBT_SECURITIES'. Nota que a parametrização pedida pelo SRB é exatamente igual ao já existente na tabela LT803, ou seja não será necessária nenhuma parametrização adicional.
Preocupação: O SRB dá uma opção para reportar Not Applicable, o valor '0', no entanto a corporação para o Valuation definiu valores genéricos para quando os campos são Not Applicable.
Solução: Confirmou-se com Pedro Mendes que se deve ignorar esta opção da code-list, valor '0',  reportando Not Applicables da forma que a corporação definiu e ficando alinhado com o resto dos campos do Loan Tapes.</t>
  </si>
  <si>
    <t>Este campo é obtido apartir do campo CARTEIRA_CONTABILISTICA da tabela FR802_PL_CONTAS:
SELECT DISTINCT CARTEIRA_CONTABILISTICA FROM cd_captools.FR802_PL_CONTAS
Esta query retorna 108 valores possiveis.
Este campo é convertido pela tabela de parametrização LT803_CODIGOS_LT:
SELECT *  FROM cd_loan_tapes_bce.lt803_codigos_lt
WHERE ref_date = (SELECT MAX(ref_date) FROM cd_loan_tapes_bce.lt803_codigos_lt )
AND campo_lt = 'PRDNTL_PRTFL'
- Ao output da ligação com a LT803_CODIGOS_LT é aplicado NVL (VALOR_LT, '2'), que é uma das opções pedida pelo SRB referente aos casos "Non-trading book"
Aqui é apresentada a proposta de mapeamento do campo PRDNTL_PRTFL, para o âmbito do report Valuation nos segmentos 'DEBT_SECURITIES' e 'EQUITY_INSTRUMENTS'.  Nota que a parametrização pedida pelo SRB é exatamente igual ao já existente na tabela LT803, ou seja não será necessária nenhuma parametrização adicional.
Preocupação: O SRB dá uma opção para reportar Not Applicable, o valor '0', no entanto a corporação para o Valuation definiu valores genéricos para quando os campos são Not Applicable.
Solução: Confirmou-se com Pedro Mendes que se deve ignorar esta opção da code-list, valor '0',  reportando Not Applicables da forma que a corporação definiu e ficando alinhado com o resto dos campos do Loan Tapes.</t>
  </si>
  <si>
    <t>LT829 &amp; LT830</t>
  </si>
  <si>
    <t>LT829</t>
  </si>
  <si>
    <t>Campos de análise IT</t>
  </si>
  <si>
    <t>tabela</t>
  </si>
  <si>
    <t>campo_conceito</t>
  </si>
  <si>
    <t>regra_conversao</t>
  </si>
  <si>
    <t>valor_conceito</t>
  </si>
  <si>
    <t>valor_final_proposto</t>
  </si>
  <si>
    <t>descritivo_valor_final</t>
  </si>
  <si>
    <t>análise</t>
  </si>
  <si>
    <t>comentários</t>
  </si>
  <si>
    <t>Estado</t>
  </si>
  <si>
    <t>LT002_INSTRUMENT</t>
  </si>
  <si>
    <t>Este campo é obtido através do campo CARTEIRA_CONTABILISTICA da tabela LT001_UNIV_OPER, convertido pela tabela de parametrização LT803_CODIGOS_LT, as opções possiveis podem ser consultadas através da query:
SELECT * FROM cd_loan_tapes_bce.lt803_codigos_lt
WHERE ref_date = (SELECT MAX(ref_date) FROM cd_loan_tapes_bce.lt803_codigos_lt )
AND campo_lt = 'ACCNTNG_CLSSFCTN'
AND ambito = 'PM'
Preocupação:
Todas as opções de National GAAP têm como valor origem NULL, ou seja, nunca será atribuido neste campo um valor de Nation GAAP. Este entendimento pode ser confirmado consultando todos os valores distintos de ACCNTNG_CLSSFCTN que se encontram na tabela LT002_INSTRUMENT através da query:
SELECT ACCNTNG_CLSSFCTN, descritivo_lt FROM
(
    SELECT DISTINCT ACCNTNG_CLSSFCTN FROM cd_loan_tapes_bce.lt002_instrument
) as lt002
LEFT JOIN
(
    SELECT *  FROM cd_loan_tapes_bce.lt803_codigos_lt
    WHERE ref_date = (SELECT MAX(ref_date) FROM cd_loan_tapes_bce.lt803_codigos_lt )
    AND campo_lt = 'ACCNTNG_CLSSFCTN'
    AND ambito = 'PM'
) as lt803
ON lt803.valor_lt = lt002.ACCNTNG_CLSSFCTN
Aqui é apresentada a proposta de mapeamento do campo ACCNTNG_CLSSFCTN, para o âmbito do report Valuation no segmento 'Exposures to natural persons'. Esta definição foi confirmada com Pedro Mendes numa reunião a 08/01/2025, em que se definiu que a opção '13' do code-list dado pelo BCE (Loan Tapes estrutural) corresponde à opção 'Non-trading debt instruments measured at a cost-based method (GAAP)' dada no code-list do SRB, definiu-se também que o código '48' que está presente na tabela LT803 mas que não tem relação direta com os code-lists nem do BCE nem do SRB deverá ser mapeado com 'N/A'.</t>
  </si>
  <si>
    <t>Este campo é obtido através do campo CARTEIRA_CONTABILISTICA da tabela LT001_UNIV_OPER, convertido pela tabela de parametrização LT803_CODIGOS_LT, as opções possiveis podem ser consultadas através da query:
SELECT * FROM cd_loan_tapes_bce.lt803_codigos_lt
WHERE ref_date = (SELECT MAX(ref_date) FROM cd_loan_tapes_bce.lt803_codigos_lt )
AND campo_lt = 'ACCNTNG_CLSSFCTN'
AND ambito = 'PM'
Aqui é apresentada a proposta de mapeamento do campo ACCNTNG_CLSSFCTN, para o âmbito do report Valuation no segmento 'Derivatives'.
Preocupação:
Todas as opções de National GAAP têm como valor origem NULL, ou seja, nunca será atribuido neste campo um valor de Nation GAAP. Este entendimento pode ser confirmado consultando todos os valores distintos de ACCNTNG_CLSSFCTN que se encontram na tabela LT002_INSTRUMENT através da query:
SELECT ACCNTNG_CLSSFCTN, descritivo_lt FROM
(
    SELECT DISTINCT ACCNTNG_CLSSFCTN FROM cd_loan_tapes_bce.lt002_instrument
) as lt002
LEFT JOIN
(
    SELECT *  FROM cd_loan_tapes_bce.lt803_codigos_lt
    WHERE ref_date = (SELECT MAX(ref_date) FROM cd_loan_tapes_bce.lt803_codigos_lt )
    AND campo_lt = 'ACCNTNG_CLSSFCTN'
    AND ambito = 'PM'
) as lt803
ON lt803.valor_lt = lt002.ACCNTNG_CLSSFCTN</t>
  </si>
  <si>
    <t>LT003_ENTITY</t>
  </si>
  <si>
    <t>Opções dadas pelo SRB e BCE, mas sem mapeamento direto na LT803</t>
  </si>
  <si>
    <t>Este campo é obtido a partir do campo A_TQ02A da tabela DWT557_CERTIFIC_CONTAS_SNC:
SELECT DISTINCT A_TQ02A FROM
(
SELECT ROW_NUMBER() OVER (PARTITION BY CNIF ORDER BY  CANO, DATA_DATE_PART DESC) AS ORDEM,
       *
FROM cd_clientes.DWT557_CERTIFIC_CONTAS_SNC
) as a
WHERE ORDEM = 1
AND DATA_DATE_PART &gt; '2022-08'
Esta query retorna as seguintes opções: '1', '2', '3', '4'. Nota foi efetuado o filtro data_date_part &gt; '2022-08' pois para datas anteriores, esta injesta vinha com o campo A_TQ02A preenchido com o htimestamp, contaminando as opções.
Este campo é convertido pela tabela de parametrização LT803_CODIGOS_LT:
SELECT *  FROM cd_loan_tapes_bce.lt803_codigos_lt
WHERE ref_date = (SELECT MAX(ref_date) FROM cd_loan_tapes_bce.lt803_codigos_lt )
AND campo_lt = 'ACCNTNG_FRMWRK_SL'
Aqui é apresentada a proposta de mapeamento do campo ACCNTNG_FRMWRK_SL, para o âmbito do report Valuation no segmento 'Off-balance sheet exposures'.</t>
  </si>
  <si>
    <t> Segundo a especificação do LT este campo não passa na tabela LT803_CODIGOS_LT.
O seu cálculo na tabela LT003 é feito apenas para clientes que sejam 1º titulares em pelo menos um contrato, e será obtido apartir do campo DFLT_STTS_INSTRMNT da tabela LT002 segundo as regras:
Aplicar a seguinte metodologia por entidade: 
    a.Caso a entidade tenha pelo menos um contrato em Default  então: CASE WHEN COUNT(DISTINCT DFLT_STTS_INSTRMNT) &gt; 1 THEN '18' ELSE MIN(DFLT_STTS_INSTRMNT) END
        FROM
        a.1. Tratamento de ZCLIENTES com mais do que 1 DFLT_STTS_INSTRMNT (sobre este universo, desconsiderar DFLT_STTS_INSTRMNT = '14' (not in default))
        UNION ALL
        a.2. Tratamento de ZCLIENTES  com apenas 1 DFLT_STTS_INSTRMNT (sobre este universo trazer o status direto)
    b.Caso todos os contratos do mesmo cliente tenham o valor DFLT_STTS_INSTRMNT igual entre si, então DFLT_STTS = DFLT_STTS_INSTRMNT
Mesmo assim a tabela LT803_CODIGOS_LT contém uma parametrização para este campo, que pode ser consultada pela query:
SELECT * FROM cd_loan_tapes_bce.lt803_codigos_lt
WHERE ref_date = (SELECT MAX(ref_date) FROM cd_loan_tapes_bce.lt803_codigos_lt )
AND campo_lt = 'DFLT_STTS'
Com base neste acesso à tabela LT803_CODIGOS_LT, é apresentada aqui uma proposta de mapeamento do campo DFLT_STTS, para o âmbito do report Valuation nos segmentos 'Exposures to natural persons' e 'Off-balance sheet exposures'.</t>
  </si>
  <si>
    <t>Este campo é obtido diretamente do campo DFLT_STTS_INSTRMNT da tabela BCE_LT_INSTR_CAP que é uma tabela temporária do Loan Tapes, a sua definição encontra-se no documento BS_Tabelas_Temporárias_Loan_Tape.xlsx.
As opções resultantes para o campo DFLT_STTS_INSTRMNT não correspondem às pedidas pelo SRB.
Embora o cálculo deste campo não passe pela tabela LT803_CODIGOS_LT, esta tem um acesso onde campo_lt = ‘DFLT_STTS_INSTRMNT’. Assim, com base nesse acesso, é feita aqui uma proposta de mapeamento a ser inserido na tabela LT803_CODIGOS_LT. Ver query:
SELECT DISTINCT valor_lt, descritivo_lt FROM cd_loan_tapes_bce.lt803_codigos_lt
WHERE ref_date = (SELECT MAX(ref_date) FROM cd_loan_tapes_bce.lt803_codigos_lt )
AND campo_lt = ‘DFLT_STTS_INSTRMNT’
Aqui é apresentada a proposta de mapeamento do campo DFLT_STTS_INSTRMNT, para o âmbito do report Valuation nos segmentos 'Exposures to natural persons' e 'Off-balance sheet exposures'.</t>
  </si>
  <si>
    <t>Este campo é obtido a partir do campo CCAE da tabela CT003_UNIV_CLI:
SELECT DISTINCT TRIM(SUBSTR(CCAE,1,4)) AS CCAE FROM cd_captools.CT003_UNIV_CLI
Esta query retorna 1044 valores possíveis.
Este campo é convertido pela tabela de parametrização LT803_CODIGOS_LT:
SELECT *  FROM cd_loan_tapes_bce.lt803_codigos_lt
WHERE ref_date = (SELECT MAX(ref_date) FROM cd_loan_tapes_bce.lt803_codigos_lt )
AND campo_lt = 'ECNMC_ACTVTY'
Aqui é apresentada a proposta de mapeamento do campo ISSR_NACE_SCTR, para o âmbito do report Valuation nos segmentos 'Debt securities' e 'Equity'.</t>
  </si>
  <si>
    <t>Y</t>
  </si>
  <si>
    <t>Yes</t>
  </si>
  <si>
    <t>A regra de criação deste campo pode ser consultada no documento 'Especificação - BCE Loan Tapes, sendo que resulta nas opções de output 'Y' ou 'N'.
Confirmado por:
SELECT DISTINCT ELGBLTY_ECB FROM cd_loan_tapes_bce.lt002_instrument WHERE ref_date = '2024-11-30'
Aqui é apresentada a proposta de mapeamento do campo ELGBLTY_ECB, para o âmbito do report Valuation nos segmentos 'Debt securities'.</t>
  </si>
  <si>
    <t>N</t>
  </si>
  <si>
    <t>No</t>
  </si>
  <si>
    <t>Este campo é obtido a partir do campo COD_EMPR_PME da tabela CT063_UNIV_PME:
SELECT DISTINCT COD_EMPR_PME FROM cd_captools.CT063_UNIV_PME
Esta query retorna as seguintes opções: '0', '1', '2', '3'
Este campo é convertido pela tabela de parametrização LT803_CODIGOS_LT:
SELECT *  FROM cd_loan_tapes_bce.lt803_codigos_lt
WHERE ref_date = (SELECT MAX(ref_date) FROM cd_loan_tapes_bce.lt803_codigos_lt )
AND campo_lt = 'ENTRPRS_SZ_LE'
Aqui é apresentada a proposta de mapeamento do campo ENTRPRS_SZ_LE, para o âmbito do report Valuation no segmento 'Off-balance sheet exposures'.</t>
  </si>
  <si>
    <t>Segundo a especificação LT este campo não passa pela tabela de parametrização LT803_CODIGOS_LT.
O campo é obtido do campo FRBRNC_STTS_INSTRMNT da tabela auxiliar do LT BCE_LT_SPRT_FRBRNC (tabela intermédia do Loan Tapes), que por sua vez produz o campo a partir do campo situacao_diferiment_reneg da tabela FR004_UNIV_CTO, seguinda a seguinte lógica:
CASE WHEN situacao_diferiment_reneg = '001' THEN '4' 
                    WHEN situacao_diferiment_reneg = '002' THEN '5' 
                    WHEN situacao_diferiment_reneg = '003' THEN '3' 
                    WHEN situacao_diferiment_reneg = '004' THEN '9'
                    WHEN situacao_diferiment_reneg IS NULL THEN '8'
                    END AS FRBRNC_STTS_INSTRMNT
O campo situacao_diferiment_reneg pode tomar os valores '001', '002', '003', '004' e NULL..
Mesmo assim a tabela lt803_codigos_lt contém uma parametrização para este campo, que pode ser consultada pela query:
SELECT * FROM cd_loan_tapes_bce.lt803_codigos_lt
WHERE ref_date = (SELECT MAX(ref_date) FROM cd_loan_tapes_bce.lt803_codigos_lt )
AND campo_lt = 'FRBRNC_STTS_INSTRMNT'
Com base neste acesso à tabela  lt803_codigos_lt, é apresentada aqui uma proposta de mapeamento do campo FRBRNC_STTS_INSTRMNT, para o âmbito do report Valuation nos segmentos 'Exposures to natural persons' e 'Off-balance sheet exposures'.</t>
  </si>
  <si>
    <t>Este campo é obtido através do campo TIPO_ANALISE_ATUAL da tabela FR004_CTO:
SELECT DISTINCT TIPO_ANALISE_ATUAL FROM cd_captools.fr004_cto
Resultando nas opções: '', 'I', 'C'
Este campo é convertido pela tabela de parametrização LT803_CODIGOS_LT:
SELECT * FROM cd_loan_tapes_bce.lt803_codigos_lt
WHERE ref_date = (SELECT MAX(ref_date) FROM cd_loan_tapes_bce.lt803_codigos_lt )
AND campo_lt = 'ACCNTNG_CLSSFCTN'
Aqui é apresentada a proposta de mapeamento do campo IMPRMNT_ASSSSMNT_MTHD, para o âmbito do report Valuation nos segmentos 'Exposures to natural persons' e 'Off-balance sheet exposures'.</t>
  </si>
  <si>
    <t>Este campo é obtido a partir do campo STAGE_ATUAL da tabela FR004_CTO.  Os valores_origem que o campo IMPRMNT_STTS pode tomar podem ser consultados através da query:
SELECT DISTINCT STAGE_ATUAL FROM cd_captools.fr004_cto
Resultando nas opções: '', '1', '2', '3'
Os valores_origem são posteriormente traduzidos pela tabela de parametrização LT803_CODIGOS_LT. A parametrização aplicada pode ser consultada através da query:
SELECT * FROM cd_loan_tapes_bce.lt803_codigos_lt
WHERE ref_date = (SELECT MAX(ref_date) FROM cd_loan_tapes_bce.lt803_codigos_lt )
AND campo_lt = 'IMPRMNT_STTS'
AND ambito = 'PM'
Aqui é apresentada a proposta de mapeamento do campo IMPRMNT_STTS, para o âmbito do report Valuation nos segmentos 'Exposures to natural persons' e 'Off-balance sheet exposures'.
Nota: Não iram sair as opções 'General allowances (GAAP)' e 'Specific allowances (GAAP)' pois na tabela LT803 não há nenhum valor_origem mapeado para estas opções, de todas as formas esta parametrização fica já preparada caso sejam mapeadas.</t>
  </si>
  <si>
    <t>Este campo é obtido a partir do campo CONTRAPARTE da tabela FR004_CTO. Os valores_origem possíveis podem ser consultados através da query:
SELECT DISTINCT CONTRAPARTE FROM cd_captools.FR004_CTO
Esta query tem as seguintes opções: '', 'bancos centrais', 'instituicoes de credito', 'outras empresas nao financeiras', 'outras instituicoes financeiras', 'particulares', 'resto setores / clientes', 'setor publico'
Preocupação: Existe uma opção no campo CONTRAPARTE, 'resto setores / clientes', para a qual não há um mapeamento direto com nenhuma das opções do code-list dado pelo SRB. No entanto existe um email do Luís Capitão-Mor onde é indicado que isto apenas surge em ST_SGPS (este report é sobre BST_IND) e como tal não será contabilisada como uma opção válida de saida para o Valuation.
Aqui é apresentada a proposta de mapeamento do campo INTRNL_SGMNT, para o âmbito do report Valuation nos segmentos 'Exposures to legal persons', 'Exposures to natural persons' e 'Off-balance sheet exposures'. Esta definição foi confirmada com Pedro Mendes numa reunião a 08/01/2025.</t>
  </si>
  <si>
    <t>resto setores / clientes</t>
  </si>
  <si>
    <t>Este caso apenas existe para ST_SGPS e não deveria sair, email Luis Capitão-Mor 29-11-2022</t>
  </si>
  <si>
    <t>Este campo é obtido a partir do campo COD_FREQ_TAXA_ACT da tabela AL029_CNT_CORE_M. Os valores_origem que o campo INTRST_RT_RST_FRQNCY pode tomar podem ser consultados através da query:
SELECT DISTINCT COD_FREQ_TAXA_ACT FROM cd_alm.AL029_CNT_CORE_M
Os valores_origem são posteriormente traduzidos pela tabela de parametrização LT803_CODIGOS_LT. A parametrização aplicada pode ser consultada através da query:
SELECT * FROM cd_loan_tapes_bce.lt803_codigos_lt
WHERE ref_date = (SELECT MAX(ref_date) FROM cd_loan_tapes_bce.lt803_codigos_lt )
AND campo_lt = 'INTRST_RT_RST_FRQNCY'
Aqui é apresentada a proposta de mapeamento do campo INTRST_RT_RST_FRQNCY, para o âmbito do report Valuation no segmento 'NATURALP_INSTRUMENT'
Nota:
Para o cálculo deste campo a tabela lt803 é utilizada também com outro acesso campo_lt = 'INTRST_RT_RST_NA' para determinar quando o campo é 'Not Applicable'. Esta parametrização manter-se-á igual, e já não será necessário replicar na tabela LT829.</t>
  </si>
  <si>
    <t>Other group entity (1)</t>
  </si>
  <si>
    <t>Este campo é obtido a partir do campo ESPANHA_IFRS da tabela PERIMETRO:
SELECT DISTINCT ESPANHA_IFRS FROM cd_captools.PERIMETRO
Esta query retorna as seguintes opções: '', 'x', 'E', 'M'
Este campo é convertido pela tabela de parametrização LT803_CODIGOS_LT:
SELECT *  FROM cd_loan_tapes_bce.lt803_codigos_lt
WHERE ref_date = (SELECT MAX(ref_date) FROM cd_loan_tapes_bce.lt803_codigos_lt )
AND campo_lt = 'ISSR_TYP'
Na especificação deste campo, ao output da ligação com a tabela LT803 é aplicada a regra NVL(VALOR_LT, 2), ou seja, quando a ligação com a tabela de parametrização falha, o valor deste campo é forçado a 2 que corresponde a 'Third party'. Ou seja este campo pode tomar os valores '1' ou '2'
Aqui é apresentada a proposta de mapeamento do campo ISSR_TYP, para o âmbito do report Valuation nos segmentos 'Debt securities' e 'Equity'.</t>
  </si>
  <si>
    <t>Third party (2)</t>
  </si>
  <si>
    <t xml:space="preserve">Este campo é obtido a partir do campo GRAU_LIQUIDEZ da tabela CT610_TITULOS:
SELECT DISTINCT GRAU_LIQUIDEZ FROM cd_captools.CT610_TITULOS
Esta query retorna as seguintes opções: "L1", "IL1", "IL2", "IL3", "N/A" ou NULL
Este campo é convertido pela tabela de parametrização LT803_CODIGOS_LT:
SELECT *  FROM cd_loan_tapes_bce.lt803_codigos_lt
WHERE ref_date = (SELECT MAX(ref_date) FROM cd_loan_tapes_bce.lt803_codigos_lt )
AND campo_lt = 'LCR_BFFR_CTGRY'
Aqui é apresentada a proposta de mapeamento do campo LCR_BFFR_CTGRY, para o âmbito do report Valuation no segmento 'Debt securities'.
</t>
  </si>
  <si>
    <t>Segundo a especificação do LT este campo não passa diretamente na tabela LT803_CODIGOS_LT.
Este campo é obtido através do campo LGL_PRCDNG_STTS da tabela BCE_LT_LGL_PRCDNG_STTS que é uma tabela temporária do Loan Tapes, a sua definição encontra-se no documento BS_Tabelas_Temporárias_Loan_Tape.xlsx. O campo LGL_PRCDNG_STTS passa na tabela LT803 mas ainda é aplicada a seguinte lógica após esta conversão:
CASE 
WHEN INTRNL_SGMNT IS NULL e a entidade não existe na tabela de suporte CLLCTN_MD nem na LGL_PRCDNG_STTS THEN '1'
WHEN INTRNL_SGMNT IS NULL e a entidade existe e está marcada em pelo menos uma das tabelas de suporte CLLCTN_MD e/ou LGL_PRCDNG_STTS THEN Valor da coluna NULLABLE
WHEN INTRNL_SGMNT = 'particulares' AND CLLCTN_MD = '1' THEN '4'
WHEN INTRNL_SGMNT = 'particulares' AND CLLCTN_MD &lt;&gt; '1' THEN '1'
WHEN  INTRNL_SGMNT &lt;&gt; 'particulares'  THEN NVL(LGL_PRCDNG_STTS, '1')
ELSE LGL_PRCDNG_STTS
A proposta de mapeamento apresentado neste documento baseia-se nas opções para este campo presentes no documento de especificação BCR do Loan Tapes assim como na tabela LT803_CODIGOS_LT com capo_lt = 'LGL_PRCDNG_STTS':
SELECT * FROM cd_loan_tapes_bce.lt803_codigos_lt
WHERE ref_date = (SELECT MAX(ref_date) FROM cd_loan_tapes_bce.lt803_codigos_lt )
AND campo_lt = 'LGL_PRCDNG_STTS'
Aqui é apresentada a proposta de mapeamento do campo LGL_PRCDNG_STTS_LE, para o âmbito do report Valuation nos segmentos 'Off-balance sheet exposures'.</t>
  </si>
  <si>
    <t>Este campo é obtido a partir dos campos "PRODUTO", "FLAG_ATIVO", "DT_INICIO", "DT_FIM" e "REF_DATE" da tabela cd_alm.AL602_REPOS_ALM através da regra:
CASE WHEN PRODUTO = 'Reverse REPO' AND FLAG_ATIVO = 1 AND DT_INICIO &lt; REF_DATE AND DT_FIM &gt; REF_DATE THEN 'Y' ELSE 'N'
Ou seja o campo terá sempre os valores: "Y", "N"
Aqui é apresentada a proposta de mapeamento do campo PRCH_UNDR_RSL_AGR, para o âmbito do report Valuation nos segmentos 'Debt securities'.</t>
  </si>
  <si>
    <t>Este campo é obtido apartir do campo CARTEIRA_CONTABILISTICA da tabela FR802_PL_CONTAS:
SELECT DISTINCT CARTEIRA_CONTABILISTICA FROM cd_captools.FR802_PL_CONTAS
Esta query retorna 108 valores possiveis.
Este campo é convertido pela tabela de parametrização LT803_CODIGOS_LT:
SELECT *  FROM cd_loan_tapes_bce.lt803_codigos_lt
WHERE ref_date = (SELECT MAX(ref_date) FROM cd_loan_tapes_bce.lt803_codigos_lt )
AND campo_lt = 'PRDNTL_PRTFL'
Na tabela LT803 apenas está como valor_lt uma opção '1', mas ao output da ligação com esta tabela é aplicado um NVL(valor_lt, '2'), ou seja efetivamente este campo pode sair com dois códigos '1' e '2'.
Aqui é apresentada a proposta de mapeamento do campo PRDNTL_PRTFL, para o âmbito do report Valuation nos segmentos 'Exposures to natural persons' e 'Derivatives'.</t>
  </si>
  <si>
    <t>Non-trading book</t>
  </si>
  <si>
    <t>Segundo a especificação LT este campo é obtido através do campo STAGE_ATUAL da tabela FR004_CTO transformado, as opções de input possiveis podem ser consultadas na seguinte query:
SELECT DISTINCT CASE WHEN STAGE_ATUAL IN ('1','2') THEN '11' WHEN STAGE_ATUAL = '3' THEN '1' ELSE 'valor da coluna NULLABLE' END AS PRFRMNG_STTS FROM cd_captools.fr004_cto
Resultando nas opções: '1', '11', 'valor da coluna NULLABLE'
Este campo é convertido pela tabela de parametrização LT803_CODIGOS_LT:
SELECT * FROM cd_loan_tapes_bce.lt803_codigos_lt
WHERE ref_date = (SELECT MAX(ref_date) FROM cd_loan_tapes_bce.lt803_codigos_lt )
AND campo_lt = 'PRFRMNG_STTS'
AND ambito = 'PM'
Este query retorna como valor_origem as seguintes opções: '1', '2', '3'
Existe uma incoerência entre o que diz a expecificação e os valores_origem da tabela LT803_CODIGOS_LT. A query que está a ser utilizada para obter os valores_origem deve ser a seguinte:
SELECT DISTINCT STAGE_ATUAL AS PRFRMNG_STTS FROM cd_captools.fr004_cto 
Resultando nas opções: '1', '2', '3', ''
Aqui é apresentada a proposta de mapeamento do campo PRFRMNG_STTS, para o âmbito do report Valuation nos segmentos 'Exposures to natural persons' e 'Off-balance sheet exposures'.</t>
  </si>
  <si>
    <t xml:space="preserve">	Performing</t>
  </si>
  <si>
    <t>Este campo é obtido a partir do campo FLAG_BUFFER_LIQ da tabela CT610_TITULOS, através da regra:
CASE WHEN FLAG_BUFFER_LIQ = '1' THEN 'Y'
           WHEN FLAG_BUFFER_LIQ = '0' THEN 'N'
Ou seja o campo terá sempre os valores: "Y", "N"
Aqui é apresentada a proposta de mapeamento do campo PRT_LCR_BFFR, para o âmbito do report Valuation nos segmentos 'Debt securities' e 'Equity'.</t>
  </si>
  <si>
    <t>LT004_PROTECTION</t>
  </si>
  <si>
    <t>Segundo a especificação do LT este campo não passa na tabela LT803_CODIGOS_LT.
Este campo é obtido a partir dos campos CFINBEM e CTRATCTA das tabelas GT009_BENS_IMOV e GT003_TRZ_GT_FIN respetivamente:
SELECT DISTINCT CFINBEM FROM cd_garantias.GT009_BENS_IMOV
SELECT DISTINCT CTRATCTA FROM cd_garantias.GT003_TRZ_GT_FIN
Os valores origem são posteriormente traduzidos pela tabela de parametrização cd_loan_tapes_bce.LT816_PARAM_PRT:
SELECT * FROM cd_loan_tapes_bce.LT816_PARAM_PRT
WHERE ref_date = (SELECT MAX(ref_date) FROM cd_loan_tapes_bce.LT816_PARAM_PRT )
AND campo = 'PRTCTN_VLTN_APPRCH'
A parametrização proposta neste documento é baseada na informação existente sobre este campo na tabela lt803_codigos_lt que pode ser consultada segundo a seguinte query:
SELECT *  FROM cd_loan_tapes_bce.lt803_codigos_lt
WHERE ref_date = (SELECT MAX(ref_date) FROM cd_loan_tapes_bce.lt803_codigos_lt )
AND campo_lt = 'PRTCTN_VLTN_APPRCH'
Preocupação: Existe uma opção no codelist do BCE que não tem relação na codelist do SRB.
Aqui é apresentada a proposta de mapeamento do campo PRTCTN_VLTN_APPRCH, para o âmbito do report Valuation nos segmentos 'Exposures to natural persons' e 'Off-balance sheet exposures', que foi definida na reunião com Luís Capitão-Mor e Pedro Mendes de 12/05/2024 em que se confirmou que havia um erro na opção 'Mark-to-to-market valuation' dada pelo SRB, tinha um '-to' a mais, e que para os casos onde o valor conceito é '4' iremos dar como output 'Other type of valuation' mesmo não sendo uma das opções pedidas pelo SRB.</t>
  </si>
  <si>
    <t>Mark-to-market valuation</t>
  </si>
  <si>
    <t>Nas opções dadas pelo SRB, esta opção está como 'Mark-to-to-market valuation', isto não parece correto, deveria ser 'Mark-to-market valuation'.</t>
  </si>
  <si>
    <t>O SRB não fornece uma opção para 'Other type of valuation' nas suas opções, mas definiu-se com Luis Capitão-Mor e Pedro Mendes na reunião de 12/05/2024 que iriamos assumir o 'Other type of valuation' neste caso</t>
  </si>
  <si>
    <t>O campo_lt 'PYMNT_FRQNCY' utiliza a tabela de parametrização LT803_CODIGOS_LT de forma diferente aos outros campos vistos até aqui. Em vez de ser utilizada para definir os valores que iram constar na tabela lt002 a partir de um valor origem, é utilizada num passo intermédio para converter os campos COD_FREQ_LIQ_JUR_ACT e COD_FREQ_AMORT_CAPITAL_ACT da tabela AL029_CNT_CORE_M de forma separada obtendo dois campos intermédios:
a) FRQNCY_JUR:
VALOR_LT
WHERE CAMPO_LT = 'PYMNT_FRQNCY'
AND TRIM(COD_FREQ_LIQ_JUR_ACT) = VALOR_ORIGEM
b) FRQNCY_CAP:
VALOR_LT
WHERE CAMPO_LT = 'PYMNT_FRQNCY'
AND TRIM(COD_FREQ_AMORT_CAPITAL_ACT) = VALOR_ORIGEM
Os campos intermédios FRQNCY_JUR e FRQNCY_CAP são utilizados para fazer a ligação com uma segunda tabela de parametrização LT810_PYMNT_FRQNCY, retornando o campo PYMNT_FRQNCY da mesma, que será o valor introduzido na tabela final LT002_INSTRMNT.
Nota:
Para o cálculo deste campo a tabela LT803_CODIGOS_LT é utilizada também com outro acesso campo_lt = 'PYMNT_FRQNCY_NA' para determinar quando o campo é 'Not Applicable'. Esta parametrização manter-se-á igual, e já não será necessário replicar na tabela LT829.
Aqui é apresentada a proposta de mapeamento do campo PYMNT_FRQNCY, para o âmbito do report Valuation no segmento 'Exposures to natural persons'</t>
  </si>
  <si>
    <t>Annual (3)</t>
  </si>
  <si>
    <t>O campo_lt 'PYMNT_FRQNCY' utiliza a tabela de parametrização LT803_CODIGOS_LT de forma diferente aos outros campos vistos até aqui. Em vez de ser utilizada para definir os valores que iram constar na tabela lt002 a partir de um valor origem, é utilizada num passo intermédio para converter os campos COD_FREQ_LIQ_JUR_ACT e COD_FREQ_AMORT_CAPITAL_ACT da tabela AL029_CNT_CORE_M de forma separada obtendo dois campos intermédios:
a) FRQNCY_JUR:
VALOR_LT
WHERE CAMPO_LT = 'PYMNT_FRQNCY'
AND TRIM(COD_FREQ_LIQ_JUR_ACT) = VALOR_ORIGEM
b) FRQNCY_CAP:
VALOR_LT
WHERE CAMPO_LT = 'PYMNT_FRQNCY'
AND TRIM(COD_FREQ_AMORT_CAPITAL_ACT) = VALOR_ORIGEM
Os campos intermédios FRQNCY_JUR e FRQNCY_CAP são utilizados para fazer a ligação com uma segunda tabela de parametrização LT810_PYMNT_FRQNCY, retornando o campo PYMNT_FRQNCY da mesma, que será o valor introduzido na tabela final LT002_INSTRMNT.
Nota:
Para o cálculo deste campo a tabela LT803_CODIGOS_LT é utilizada também com outro acesso campo_lt = 'PYMNT_FRQNCY_NA' para determinar quando o campo é 'Not Applicable'. Esta parametrização manter-se-á igual, e já não será necessário replicar na tabela LT829.
Aqui é apresentada a proposta de mapeamento do campo PYMNT_FRQNCY, para o âmbito do report Valuation no segmento 'Debt securities'</t>
  </si>
  <si>
    <t>Other (4)</t>
  </si>
  <si>
    <t>Monthly (1)</t>
  </si>
  <si>
    <t>Semi-annual (2)</t>
  </si>
  <si>
    <t>Este campo é obtido através do campo COD_PROP da tabela AL014_ACT_PRIM onde o campo MON_CONT&lt;0 :
SELECT DISTINCT COD_PROP FROM cd_alm.AL014_ACT_PRIM
Resultando nas opções: 'EMISSAO RETIDA NAO UTILIZADA NEM PRESA EM POOLS', 'POOL OBRIGACOES HIPOTECARIAS', 'SII', 'IM DERIVADOS', 'POOL DE CREDITOS DO EUROSISTEMA', 'FGD', 'VM DERIVADOS', 'VM REPOS', 'BEI', 'POOL TITULARIZACOES', 'REPOS', 'EUROSISTEMA', 'REVERSE REPOS'
Este campo é convertido pela tabela de parametrização LT803_CODIGOS_LT:
SELECT * FROM cd_loan_tapes_bce.lt803_codigos_lt
WHERE ref_date = (SELECT MAX(ref_date) FROM cd_loan_tapes_bce.lt803_codigos_lt )
AND campo_lt = 'SRCS_ENCMBRNC'
Aqui é apresentada a proposta de mapeamento do campo SRCS_ENCMBRNC, para o âmbito do report Valuation no segmento 'Exposures to natural persons'.
Preocupações:
- Existem valores do campo COD_PROP que não estão refletidos na LT803, nomeadamente (VM REPOS; VM DERIVADOS; POOL DE CREDITOS DO EUROSISTEMA; POOL OBRIGACOES HIPOTECARIAS;POOL TITULARIZACOES).
- Existem opções pedidas pelo SRB, necessário validar se faz ou não sentido mapear estas opções, e se sim definir com o quê.
Aqui é apresentada a proposta de mapeamento do campo SRCS_ENCMBRNC, para o âmbito do report Valuation nos segmentos 'Exposures to natural persons'. Esta definição foi confirmada com Pedro Mendes numa reunião a 08/01/2025.</t>
  </si>
  <si>
    <t>Deposits - repurchase agreements other than to central banks</t>
  </si>
  <si>
    <t>Deposits other than repurchase agreements - Deposits other than repurchase agreements in accordance with the EBA’s implementing technical standards on asset encumbrance reporting as referred to in Article 99(5) and Article 100 of Regulation (EU) No 575/2013.</t>
  </si>
  <si>
    <t>Opções dadas pelo SRB e BCE mas que não está presente na tabela de parametrização LT803</t>
  </si>
  <si>
    <t>Debt securities issued - covered bonds securities</t>
  </si>
  <si>
    <t>Debt securities issued - covered bonds securities  - Covered bonds securities issued in accordance with the EBA’s implementing technical standards on asset encumbrance reporting as referred to in Article 99(5) and Article 100 of Regulation (EU) No 575/2013.</t>
  </si>
  <si>
    <t>Debt securities issued - assetbacked securities</t>
  </si>
  <si>
    <t>Debt securities issued - asset-backed securities  - Asset-backed securities (ABS) issued in accordance with the EBA’s implementing technical standards on asset encumbrance reporting as referred to in Article 99(5) and Article 100 of Regulation (EU) No 575/2013.</t>
  </si>
  <si>
    <t>Debt securities issued - other than covered bonds and ABSs</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</si>
  <si>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</si>
  <si>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Este campo é obtido a partir do campo COD_TIPO_AMORTIZACAO da tabela AL029_CNT_CORE_M.  Os valores_origem que o campo TYP_AMRTSTN pode tomar podem ser consultados através da query:
SELECT DISTINCT COD_TIPO_AMORTIZACAO FROM cd_alm.AL029_CNT_CORE_M
Esta query retorna as seguintes opções: '', '*', '1', '2', '5', 'A', 'B', 'D', 'F', 'J', 'L', 'P', 'U'
Os valores_origem são posteriormente traduzidos pela tabela de parametrização LT803_CODIGOS_LT. A parametrização aplicada pode ser consultada através da query:
SELECT *  FROM cd_loan_tapes_bce.lt803_codigos_lt
WHERE ref_date = (SELECT MAX(ref_date) FROM cd_loan_tapes_bce.lt803_codigos_lt )
AND campo_lt = 'TYP_AMRTSTN'
Aqui é apresentada a proposta de mapeamento do campo TYP_AMRTSTN, para o âmbito do report Valuation no segmento 'Exposures to natural persons'</t>
  </si>
  <si>
    <t>Este campo é obtido a partir dos campos CPRODUTO e CSUBPRODUTO da tabela FR004_CTO cruzados com tabela TAT_91 com o campo TAYD91C0_CTABELA = '927' da qual se utiliza o campo TAYD91C0_NELEMC19. É também utilizado o campo INSTRUMENTO_FINANCEIRO da tabela LT001_UNIV_OPER. Estes campos são usados como intput da tabela LT809_TYP_INSTRUMENT de forma a obter o campo TYP_INSTRMNT. Os valores_origem que o campo TYP_INSTRMNT pode tomar podem ser consultados a partir da query:
SELECT * FROM cd_loan_tapes_bce.lt809_typ_instrmnt
WHERE ref_date = (SELECT MAX(ref_date) FROM cd_loan_tapes_bce.lt809_typ_instrmnt )
Esta query retorna as seguintes opções: '20', '51', '71', '80', '1000', '1001', '1002', '1003', '1004', '1005'
Estas opções não correspondem às pedidas pelo SRB. Embora o cálculo deste campo não passe pela tabela LT803_CODIGOS_LT, esta tem um acesso onde campo_lt = 'TYP_INSTRMNT'. Assim, com base nesse acesso, é feita aqui uma proposta de mapeamento a ser inserido na tabela LT803_CODIGOS_LT. Ver query:
SELECT DISTINCT valor_lt, descritivo_lt FROM cd_loan_tapes_bce.lt803_codigos_lt
WHERE ref_date = (SELECT MAX(ref_date) FROM cd_loan_tapes_bce.lt803_codigos_lt )
AND campo_lt = 'TYP_INSTRMNT'
Preocupação: Embora todas as opções dadas pelo SRB fiquem mapeadas deve-se confirmar com negócio se os Others estão bem atribuidos ou se aqueles códigos deviam mapear com alguma das outras opções
Aqui é apresentada a proposta de mapeamento do campo TYP_PRTCTN, para o âmbito do report Valuation nos segmentos 'Exposures to legal persons', 'Exposures to natural persons' e 'Off-balance sheet exposures'. Esta definição foi confirmada com Pedro Mendes numa reunião a 08/01/2025, em que se confirmou que as opções do code list do BCE/LT803 para as quais não existe uma correspondência direta no code-list do SRB devem vir mapeadas com a opção genérica 'Others'.</t>
  </si>
  <si>
    <t>Guarantees</t>
  </si>
  <si>
    <t>FX</t>
  </si>
  <si>
    <t>Security Lending</t>
  </si>
  <si>
    <t>Structured Product</t>
  </si>
  <si>
    <t>Fixed Income</t>
  </si>
  <si>
    <t>Repo</t>
  </si>
  <si>
    <t>Cash Flow Matching</t>
  </si>
  <si>
    <t>Commodity</t>
  </si>
  <si>
    <t>Securities Depository / Custody</t>
  </si>
  <si>
    <t>Exchange-traded securities</t>
  </si>
  <si>
    <t>Correspondents</t>
  </si>
  <si>
    <t>Collateral</t>
  </si>
  <si>
    <t>Securitization</t>
  </si>
  <si>
    <t>Spot</t>
  </si>
  <si>
    <t>Collateral Related with global markets business</t>
  </si>
  <si>
    <t>Este campo é obtido a partir do campo COD_TIPO_TAXA_ACT da tabela AL029_CNT_CORE_M.  Os valores_origem que o campo TYP_INTRST_RT pode tomar podem ser consultados através da query:
SELECT DISTINCT COD_TIPO_TAXA_ACT FROM cd_alm.al029_cnt_core_m
Esta query retorna as seguintes opções: 'V', 'F', 'C', ''
Os valores_origem são posteriormente traduzidos pela tabela de parametrização LT803_CODIGOS_LT. A parametrização aplicada pode ser consultada através da query:
SELECT * FROM cd_loan_tapes_bce.lt803_codigos_lt
WHERE ref_date = (SELECT MAX(ref_date) FROM cd_loan_tapes_bce.lt803_codigos_lt )
AND campo_lt = 'TYP_INTRST_RT'
Aqui é apresentada a proposta de mapeamento do campo TYP_INTRST_RT, para o âmbito do report Valuation no segmento 'Exposures to natural persons'
Preocupação: A tabela LT803_CODIGOS_LT apenas leva em consideração as opções ‘F’ e ‘V’, o que se deve atribuir quando o campo COD_TIPO_TAXA_ACT da tabela AL029_CNT_CORE_M é ‘C’?</t>
  </si>
  <si>
    <t>Opção pedida pelo BCE e SRB sem nenhum mapeamento direto na al029, contudo, à imagem do que se fez na LT803, deve ser mapeado para o caso de eventualmente passar a existir</t>
  </si>
  <si>
    <t>Fixed (1)</t>
  </si>
  <si>
    <t xml:space="preserve">Este campo é obtido a partir do campo COD_TIPO_TAXA_ACT da tabela AL029_CNT_CORE_M.  Os valores_origem que o campo TYP_INTRST_RT pode tomar podem ser consultados através da query:
SELECT DISTINCT COD_TIPO_TAXA_ACT FROM cd_alm.al029_cnt_core_m
Esta query retorna as seguintes opções: 'V', 'F', 'C', ''
Os valores_origem são posteriormente traduzidos pela tabela de parametrização LT803_CODIGOS_LT. A parametrização aplicada pode ser consultada através da query:
SELECT * FROM cd_loan_tapes_bce.lt803_codigos_lt
WHERE ref_date = (SELECT MAX(ref_date) FROM cd_loan_tapes_bce.lt803_codigos_lt )
AND campo_lt = 'TYP_INTRST_RT'
Preocupação: Existem códigos dados pelo SRB que não são opções de output da LT803 e vice-versa, necessário confirmar se é necessário complementar esta parametrização com mais informação nomeadamente um campo que nos permita perceber se é 'Zero coupon'
Aqui é apresentada a proposta de mapeamento do campo TYP_INTRST_RT, para o âmbito do report Valuation no segmento 'Debt securities', que foi definida na reunião com Luís Capitão-Mor e Pedro Mendes de 12/05/2024 em que se definiu uma solução para a preocupação acima, a opção dada pelo BCE '3' ('Mixed') deve ser ignorada e as opções dadas pelo SRB 'Zero coupon (3)' e 'Other (4)' ficarão por mapear nesta fase.
</t>
  </si>
  <si>
    <t>Floating (2)</t>
  </si>
  <si>
    <t>Opção presente na LT803 mas sem mapeamento direto dado pelo SRB</t>
  </si>
  <si>
    <t>Para algumas datas este valor_origem não existe na tabela fonte LT816_PARAM_PRT</t>
  </si>
  <si>
    <t>Este campo é obtido a partir do campo CFINBEM da tabela GT009_BENS_IMOV e do campo CTRATCTA da tabela GT003_TRZ_GT_FIN. Estes campos são usados como input da tabela LT816_PARAM_PRT da qual se traz o campo VALOR_LT que corresponde ao TYP_PRTCTN. Os valores que o campo TYP_PRTCTN pode tomar podem ser consultados a partir da query:
SELECT * FROM cd_loan_tapes_bce.lt816_param_prt
WHERE ref_date = (SELECT MAX(ref_date) FROM cd_loan_tapes_bce.lt816_param_prt  )
AND campo = 'TYP_PRTCTN'
Esta query retorna as seguintes opções: '2', '3', '5', '7', '8', '9', '10', '12', '15', '18'
Estas opções não correspondem às pedidas pelo SRB. Embora o cálculo deste campo não passe pela tabela LT803_CODIGOS_LT, esta tem um acesso onde campo_lt = 'TYP_PRTCTN'. Assim, com base nesse acesso, é feita uma proposta de mapeamento a ser inserido na tabela LT803_CODIGOS_LT. Ver query:
SELECT DISTINCT valor_lt, descritivo_lt FROM cd_loan_tapes_bce.lt803_codigos_lt
WHERE ref_date = (SELECT MAX(ref_date) FROM cd_loan_tapes_bce.lt803_codigos_lt )
AND campo_lt = 'TYP_PRTCTN'
Preocupação: Existe um conjunto de opções que o SRB pede ('Hotels &amp; entertainment', 'Infrastructure projects', 'Factories – warehouses', 'Equipment &amp; machinery') para as quais não existe uma correlação com nenhuma das opções dada no code-list do BCE para o Loan Tapes estrutural.
Aqui é apresentada a proposta de mapeamento do campo TYP_PRTCTN, para o âmbito do report Valuation nos segmentos 'Exposures to legal persons', 'Exposures to natural persons' e 'Off-balance sheet exposures'. Esta definição foi confirmada com Pedro Mendes numa reunião a 08/01/2025, em que se concordou, nesta fase, não mapear as opções dadas no code-list do SRB 'Hotels &amp; entertainment', 'Infrastructure projects', 'Factories – warehouses', 'Equipment &amp; machinery'.</t>
  </si>
  <si>
    <t>Auto collateral</t>
  </si>
  <si>
    <t>Este campo é obtido a partir do campo TYP_PRTCTN da tabela LT004_PROTECTION:
SELECT DISTINCT TYP_PRTCTN FROM cd_loan_tapes_bce.lt004_protection
Esta query retorna as seguintes opções '2', '3', '5', '7', '8', '9', '10', '12', '15', '18'
Este campo é convertido pela tabela de parametrização LT803_CODIGOS_LT:
SELECT *  FROM cd_loan_tapes_bce.lt803_codigos_lt
WHERE ref_date = (SELECT MAX(ref_date) FROM cd_loan_tapes_bce.lt803_codigos_lt )
AND campo_lt = 'TYP_PRTCTN_VL'
Nota: 
- Sobre esta parametrização, no âmbito de PM o código 1 está associado tanto a 'Market Value' como a 'Fair value', isto não parece estar correto, aqui assumimos o apresentado pela code list do documento de especificação do BCE Loan Tapes;
- Os valor_conceito '2' e '5' estão presentes na code list do documento de especificação do BCE Loan Tapes mas não têm mapeamento na LT803.
Aqui é apresentada a proposta de mapeamento do campo TYP_PRTCTN_VL, para o âmbito do report Valuation nos segmentos 'Exposures to natural persons' e 'Off-balance sheet exposures'.</t>
  </si>
  <si>
    <t>Opções dadas pelo SRB para as quais não há correspondência na LT803</t>
  </si>
  <si>
    <t>Types of protection values other than notional amount, market value, fair value or long-term sustainable value</t>
  </si>
  <si>
    <t>Public (1)</t>
  </si>
  <si>
    <t>Este campo é obtido a partir do campo TIPO_OFERTA da tabela CT610_TITULOS:
SELECT DISTINCT TIPO_OFERTA FROM cd_captools.CT610_TITULOS
Esta query retorna as seguintes opções: "Publica", "Particular"
Este campo é convertido pela tabela de parametrização LT803_CODIGOS_LT:
SELECT *  FROM cd_loan_tapes_bce.lt803_codigos_lt
WHERE ref_date = (SELECT MAX(ref_date) FROM cd_loan_tapes_bce.lt803_codigos_lt )
AND campo_lt = 'TYPE_OF_PLCMNT'
Aqui é apresentada a proposta de mapeamento do campo TYPE_OF_PLCMNT, para o âmbito do report Valuation no segmento 'Debt securities'.</t>
  </si>
  <si>
    <t>Private (2)</t>
  </si>
  <si>
    <t>Mark-to-market (1)</t>
  </si>
  <si>
    <t xml:space="preserve">Este campo é obtido a partir do campo TIPO_AVAL da tabela CT610_TITULOS:
SELECT DISTINCT TIPO_AVAL FROM cd_captools.CT610_TITULOS
Esta query retorna sempre NULL
Este campo não passa pela tabela de parametrização LT803_CODIGOS_LT
No entanto este campo já é pedido no âmbito do Loan Tape Estrutural, para o qual é dado um code-list (1 -&gt; Mark-to-market; 2 -&gt; Mark-to-model), ou seja, caso o campo TIPO_AVAL passe a vir preenchido, então no âmbito do Loan Tape Estrutural terá de se garantir que o campo segue o code-list pedido. Desta forma a parametrização aqui apresentada assenta no code-list pedido pelo BCE no âmbito do Loan Tape Estrutural.
</t>
  </si>
  <si>
    <t>Mark-to-model (2)</t>
  </si>
  <si>
    <t>Mark-to-model</t>
  </si>
  <si>
    <t>EURIBOR</t>
  </si>
  <si>
    <t>TAXA MISTA FIXA 3 ANOS - 2,60%</t>
  </si>
  <si>
    <t>Preencher</t>
  </si>
  <si>
    <t>TAXA MISTA FIXA 2 ANOS - 2,65%</t>
  </si>
  <si>
    <t>TAXA MISTA FIXA 4 ANOS - 2,70%</t>
  </si>
  <si>
    <t>TAXA MISTA FIXA 4 ANOS - 2,75%</t>
  </si>
  <si>
    <t>TAXA MISTA FIXA 4 ANOS - 2,80%</t>
  </si>
  <si>
    <t>TAXA MISTA FIXA 4 ANOS - 2,85%</t>
  </si>
  <si>
    <t>TAXA MISTA FIXA 4 ANOS - 2,90%</t>
  </si>
  <si>
    <t>TAXA MISTA FIXA A 3 ANOS - 3,00%</t>
  </si>
  <si>
    <t>TAXA MISTA FIXA 4 ANOS - 3,20%</t>
  </si>
  <si>
    <t>TAXA MISTA FIXA 3 ANOS - 3.25%</t>
  </si>
  <si>
    <t>TAXA MISTA FIXA 2 ANOS - 3,45%</t>
  </si>
  <si>
    <t>TAXA MISTA FIXA 3 ANOS - 3,50%</t>
  </si>
  <si>
    <t>TAXA MISTA FIXA 4 ANOS - 3,55%</t>
  </si>
  <si>
    <t>TAXA MISTA FIXA 2 ANOS - 3,60%</t>
  </si>
  <si>
    <t>TAXA MISTA FIXA 4 ANOS - 3,65%</t>
  </si>
  <si>
    <t>TAXA MISTA FIXA 3 ANOS - 3,65%</t>
  </si>
  <si>
    <t>TAXA MISTA FIXA 3 ANOS - 3,79%</t>
  </si>
  <si>
    <t>01F</t>
  </si>
  <si>
    <t>EURIBOR1M MEDIA FINAL 24M (AR.MILESIMA)</t>
  </si>
  <si>
    <t>02L</t>
  </si>
  <si>
    <t>OTHER SINGLE REFERENCE RATES</t>
  </si>
  <si>
    <t>LIBOR A 2 MESES</t>
  </si>
  <si>
    <t>04E</t>
  </si>
  <si>
    <t>EURIBOR A 4 MESES</t>
  </si>
  <si>
    <t>04I</t>
  </si>
  <si>
    <t>IRS (INTEREST RATE SWAP) A 4 ANOS</t>
  </si>
  <si>
    <t>04L</t>
  </si>
  <si>
    <t>LIBOR A 4 MESES</t>
  </si>
  <si>
    <t>05E</t>
  </si>
  <si>
    <t>EURIBOR A 5 MESES</t>
  </si>
  <si>
    <t>05I</t>
  </si>
  <si>
    <t>IRS (INTEREST RATE SWAP) A 5 ANOS</t>
  </si>
  <si>
    <t>05L</t>
  </si>
  <si>
    <t>LIBOR A 5 MESES</t>
  </si>
  <si>
    <t>07E</t>
  </si>
  <si>
    <t>EURIBOR A 7 MESES</t>
  </si>
  <si>
    <t>07L</t>
  </si>
  <si>
    <t>LIBOR A 7 MESES</t>
  </si>
  <si>
    <t>08E</t>
  </si>
  <si>
    <t>EURIBOR A 8 MESES</t>
  </si>
  <si>
    <t>08L</t>
  </si>
  <si>
    <t>LIBOR A 8 MESES</t>
  </si>
  <si>
    <t>09E</t>
  </si>
  <si>
    <t>EURIBOR A 9 MESES</t>
  </si>
  <si>
    <t>09L</t>
  </si>
  <si>
    <t>LIBOR A 9 MESES</t>
  </si>
  <si>
    <t>10E</t>
  </si>
  <si>
    <t>EURIBOR A 10 MESES</t>
  </si>
  <si>
    <t>10L</t>
  </si>
  <si>
    <t>LIBOR A 10 MESES</t>
  </si>
  <si>
    <t>10T</t>
  </si>
  <si>
    <t>SWAP 10 ANOS(INDEX.INTERNO)-AMORT. TRIM</t>
  </si>
  <si>
    <t>11E</t>
  </si>
  <si>
    <t>EURIBOR A 11 MESES</t>
  </si>
  <si>
    <t>11L</t>
  </si>
  <si>
    <t>LIBOR A 11 MESES</t>
  </si>
  <si>
    <t>11T</t>
  </si>
  <si>
    <t>SWAP 11 ANOS(INDEX.INTERNO)-AMORT. TRIM</t>
  </si>
  <si>
    <t>12A</t>
  </si>
  <si>
    <t>EURIBOR 12M ACT365(ARRED.MILESIMA)</t>
  </si>
  <si>
    <t>12E</t>
  </si>
  <si>
    <t>EURIBOR ANUAL(AR. MILESIMA)</t>
  </si>
  <si>
    <t>12M</t>
  </si>
  <si>
    <t>EURIBOR ANUAL (AR. MIL)-FLOOR ZERO</t>
  </si>
  <si>
    <t>12T</t>
  </si>
  <si>
    <t>SWAP 12 ANOS(INDEX.INTERNO)-AMORT. TRIM</t>
  </si>
  <si>
    <t>12W</t>
  </si>
  <si>
    <t>SWAP 12 ANOS(INDEX.INTERNO)-AMORT.MENSAL</t>
  </si>
  <si>
    <t>1AE</t>
  </si>
  <si>
    <t>EURIBOR 1M ACT365 (ARRED.MILESIMA)-FLOOR</t>
  </si>
  <si>
    <t>1CP</t>
  </si>
  <si>
    <t>CONSTRUCAO PARTICULAR 1 ANO</t>
  </si>
  <si>
    <t>1EA</t>
  </si>
  <si>
    <t>EURIBOR 1M ACT365(ARRED.MILESIMA)</t>
  </si>
  <si>
    <t>1EM</t>
  </si>
  <si>
    <t>EURIBOR MENSAL (AR. MILESIMA)</t>
  </si>
  <si>
    <t>1ME</t>
  </si>
  <si>
    <t>EURIBOR MENSAL (AR. MIL)-FLOOR ZERO</t>
  </si>
  <si>
    <t>2AE</t>
  </si>
  <si>
    <t>EURIBOR ANUAL(PENULT. DA UTIL)FLOOR ZERO</t>
  </si>
  <si>
    <t>2SC</t>
  </si>
  <si>
    <t>TAXA MISTA FIXA 2 ANOS - 2,75%</t>
  </si>
  <si>
    <t>2SE</t>
  </si>
  <si>
    <t>EURIBOR 90D B360(PEN. DIA UT.)FLOOR ZERO</t>
  </si>
  <si>
    <t>3AE</t>
  </si>
  <si>
    <t>EURIBOR 3M ACT365 (ARRED.MILESIMA)-FLOOR</t>
  </si>
  <si>
    <t>3EA</t>
  </si>
  <si>
    <t>EURIBOR 3M ACT365 (ARRED.MILESIMA)</t>
  </si>
  <si>
    <t>3EM</t>
  </si>
  <si>
    <t>EURIBOR TRIMESTRAL (AR.MILESIMA)</t>
  </si>
  <si>
    <t>3ME</t>
  </si>
  <si>
    <t>EURIBOR TRIMESTRAL (AR.MIL)-FLOOR ZERO</t>
  </si>
  <si>
    <t>6AE</t>
  </si>
  <si>
    <t>EURIBOR 6M ACT365(ARRED.MILESIMA)-FLOOR</t>
  </si>
  <si>
    <t>6EA</t>
  </si>
  <si>
    <t>EURIBOR 6M ACT365(ARRED.MILESIMA)</t>
  </si>
  <si>
    <t>6EM</t>
  </si>
  <si>
    <t>EURIBOR SEMESTRAL (AR.MILESIMA)</t>
  </si>
  <si>
    <t>6LM</t>
  </si>
  <si>
    <t>LISBOR DIARIA ( 6 MESES )</t>
  </si>
  <si>
    <t>6ME</t>
  </si>
  <si>
    <t>EURIBOR SEMESTRAL (AR.MIL)-FLOOR ZERO</t>
  </si>
  <si>
    <t>6ML</t>
  </si>
  <si>
    <t>8ME</t>
  </si>
  <si>
    <t>EURIBOR 1M (PENULT. DIA UTIL) FLOOR ZERO</t>
  </si>
  <si>
    <t>9ME</t>
  </si>
  <si>
    <t>EURIBOR 180D (PENULT. DA UTIL)FLOOR ZERO</t>
  </si>
  <si>
    <t>A00</t>
  </si>
  <si>
    <t>TAXA CREDORA STANDARD - EMPRESAS</t>
  </si>
  <si>
    <t>TAXA CREDORA STANDARD - PARTICULARES</t>
  </si>
  <si>
    <t>A12</t>
  </si>
  <si>
    <t>EURIBOR 12M ACT365(ARRED.MILESIMA)-FLOOR</t>
  </si>
  <si>
    <t>A98</t>
  </si>
  <si>
    <t>D. O. - ESPECIAL (A98)</t>
  </si>
  <si>
    <t>AF1</t>
  </si>
  <si>
    <t>TAXA MAXIMA PLANO AFORRO</t>
  </si>
  <si>
    <t>AFR</t>
  </si>
  <si>
    <t>PRODUTOS AFORRO</t>
  </si>
  <si>
    <t>AP1</t>
  </si>
  <si>
    <t>TX.INDICATIVA APB (90 DIAS)</t>
  </si>
  <si>
    <t>AP2</t>
  </si>
  <si>
    <t>TX.INDICATIVA APB (180 DIAS)</t>
  </si>
  <si>
    <t>B1M</t>
  </si>
  <si>
    <t>BBSW 1M</t>
  </si>
  <si>
    <t>B1Y</t>
  </si>
  <si>
    <t>BBSW 1Y</t>
  </si>
  <si>
    <t>B2M</t>
  </si>
  <si>
    <t>BBSW 2M</t>
  </si>
  <si>
    <t>B3M</t>
  </si>
  <si>
    <t>BBSW 3M</t>
  </si>
  <si>
    <t>B6M</t>
  </si>
  <si>
    <t>BBSW 6M</t>
  </si>
  <si>
    <t>BCE</t>
  </si>
  <si>
    <t>TAXA MARGINAL DO BCE</t>
  </si>
  <si>
    <t>BN0</t>
  </si>
  <si>
    <t>TAXA REF. EMPR. BON SEM BONIFICACAO(QRE)</t>
  </si>
  <si>
    <t>BT0</t>
  </si>
  <si>
    <t>REMUNERAÇÃO CREDORA - BT (19.00)</t>
  </si>
  <si>
    <t>C00</t>
  </si>
  <si>
    <t>TAXA CREDORA STANDARD</t>
  </si>
  <si>
    <t>C01</t>
  </si>
  <si>
    <t>TAXA CREDORA - CONDOMINIOS</t>
  </si>
  <si>
    <t>C02</t>
  </si>
  <si>
    <t>CONTAS C/ PRE AVISO</t>
  </si>
  <si>
    <t>C03</t>
  </si>
  <si>
    <t>TAXA CREDORA D.O. REMUNERADA</t>
  </si>
  <si>
    <t>C04</t>
  </si>
  <si>
    <t>TAXA CREDORA D.O. OVERNIGHT</t>
  </si>
  <si>
    <t>C05</t>
  </si>
  <si>
    <t>TAXA CREDORA D.O. CONTACTIVA</t>
  </si>
  <si>
    <t>C06</t>
  </si>
  <si>
    <t>TAXA CREDORA D.O. NEGOCIO</t>
  </si>
  <si>
    <t>C08</t>
  </si>
  <si>
    <t>TAXA MENSAL DO-IBCA</t>
  </si>
  <si>
    <t>C10</t>
  </si>
  <si>
    <t>TAXA CREDORA D.O PARTIC. (TRIMESTRAL)</t>
  </si>
  <si>
    <t>C12</t>
  </si>
  <si>
    <t>TAXA CREDORA D.O. EMPRESAS (LIQ ESPECIAL</t>
  </si>
  <si>
    <t>C14</t>
  </si>
  <si>
    <t>TAXA CREDORA D.O. OVERNIGHT (TRIMESTRAL)</t>
  </si>
  <si>
    <t>C15</t>
  </si>
  <si>
    <t>BCI JUNIOR</t>
  </si>
  <si>
    <t>C18</t>
  </si>
  <si>
    <t>TAXA TRIMESTRAL DO-IBCA</t>
  </si>
  <si>
    <t>C1M</t>
  </si>
  <si>
    <t>CIBOR MENSAL</t>
  </si>
  <si>
    <t>C1Y</t>
  </si>
  <si>
    <t>CIBOR 1Y</t>
  </si>
  <si>
    <t>C21</t>
  </si>
  <si>
    <t>TAXA CREDORA D.O. 1. CARTAO</t>
  </si>
  <si>
    <t>C24</t>
  </si>
  <si>
    <t>TAXA CREDORA D.O. MOEDA ESTRANGEIRA</t>
  </si>
  <si>
    <t>C29</t>
  </si>
  <si>
    <t>TAXA CREDORA CONTA INTERNA</t>
  </si>
  <si>
    <t>C2M</t>
  </si>
  <si>
    <t>CIBOR 2M</t>
  </si>
  <si>
    <t>C3M</t>
  </si>
  <si>
    <t>CIBOR 3M</t>
  </si>
  <si>
    <t>C50</t>
  </si>
  <si>
    <t>CADERNETA BCI</t>
  </si>
  <si>
    <t>C55</t>
  </si>
  <si>
    <t>D.O. CONTA EMIGRANTE</t>
  </si>
  <si>
    <t>C56</t>
  </si>
  <si>
    <t>D.O. PRIVATE</t>
  </si>
  <si>
    <t>C6M</t>
  </si>
  <si>
    <t>CIBOR 6M</t>
  </si>
  <si>
    <t>C71</t>
  </si>
  <si>
    <t>TIPIFICADA 1</t>
  </si>
  <si>
    <t>C73</t>
  </si>
  <si>
    <t>CONDOMINIOS</t>
  </si>
  <si>
    <t>C9M</t>
  </si>
  <si>
    <t>CIBOR 9M</t>
  </si>
  <si>
    <t>CCE</t>
  </si>
  <si>
    <t>CREDITO CORRENTE EMPREGADOS</t>
  </si>
  <si>
    <t>CEM</t>
  </si>
  <si>
    <t>TAXA BASE EMIGRANTES E N/RESIDENTES</t>
  </si>
  <si>
    <t>CO4</t>
  </si>
  <si>
    <t>EUR TRIMESTRAL + 0.4 - COFINOGA</t>
  </si>
  <si>
    <t>CO6</t>
  </si>
  <si>
    <t>EUR TRIMESTRAL + 0.6 - COFINOGA</t>
  </si>
  <si>
    <t>COF</t>
  </si>
  <si>
    <t>COST OF FUNDS</t>
  </si>
  <si>
    <t>CRT</t>
  </si>
  <si>
    <t>TAXAS DE CARTAO (CRT)</t>
  </si>
  <si>
    <t>CSN</t>
  </si>
  <si>
    <t>TAXA CREDORA D.O. BSN</t>
  </si>
  <si>
    <t>D00</t>
  </si>
  <si>
    <t>TAXA DEVEDORA STANDARD - EMPRESAS</t>
  </si>
  <si>
    <t>DEVEDORES 20.01</t>
  </si>
  <si>
    <t>DESCOBERTOS AUTORIZADOS-PARTICULARES</t>
  </si>
  <si>
    <t>DESCOBERTOS AUTORIZADOS-EMPRESAS</t>
  </si>
  <si>
    <t>D1M</t>
  </si>
  <si>
    <t>CDOR 1M</t>
  </si>
  <si>
    <t>D1Y</t>
  </si>
  <si>
    <t>CDOR 1Y</t>
  </si>
  <si>
    <t>TAXA DEVEDORA D.O. MOEDA ESTRANGEIRA</t>
  </si>
  <si>
    <t>TAXA D.O.M/E -( PLANO ISENTO )</t>
  </si>
  <si>
    <t>D2M</t>
  </si>
  <si>
    <t>CDOR 2M</t>
  </si>
  <si>
    <t>D3M</t>
  </si>
  <si>
    <t>CDOR 3M</t>
  </si>
  <si>
    <t>SUPER CONTA SANTANDER</t>
  </si>
  <si>
    <t>D6M</t>
  </si>
  <si>
    <t>CDOR 6M</t>
  </si>
  <si>
    <t>DAA</t>
  </si>
  <si>
    <t>TAXA DEVEDORA 20.05/20.06</t>
  </si>
  <si>
    <t>DBB</t>
  </si>
  <si>
    <t>TX.DEV.CORRESPONDENTES</t>
  </si>
  <si>
    <t>DBN</t>
  </si>
  <si>
    <t>TAXA DEVEDORA -BANCOS NACIONAIS</t>
  </si>
  <si>
    <t>DBP</t>
  </si>
  <si>
    <t>TAXA DESCONTO BP/REFI</t>
  </si>
  <si>
    <t>DCC</t>
  </si>
  <si>
    <t>TAXA DEVEDORA CRED.CAUCIONADOS</t>
  </si>
  <si>
    <t>DCI</t>
  </si>
  <si>
    <t>TAXA DEVEDORA CONTA INTERNA</t>
  </si>
  <si>
    <t>DEO</t>
  </si>
  <si>
    <t>TAXA DEVEDORA PRODUTO 20.24</t>
  </si>
  <si>
    <t>DFA</t>
  </si>
  <si>
    <t>TAXA DEVEDORA C/C PROTOCOLO F. AEREA</t>
  </si>
  <si>
    <t>DMM</t>
  </si>
  <si>
    <t>TAXA DEVEDORA D.O. (MENSAL)</t>
  </si>
  <si>
    <t>DNZ</t>
  </si>
  <si>
    <t>TAXA MISTA FIXA 2 ANOS - 2,90%</t>
  </si>
  <si>
    <t>DP1</t>
  </si>
  <si>
    <t>TAXA DEVEDORA - PROTOCOLO FORÇA AEREA</t>
  </si>
  <si>
    <t>DS0</t>
  </si>
  <si>
    <t>TAXA MISTA FIXA 4 ANOS - 2,60%</t>
  </si>
  <si>
    <t>DS5</t>
  </si>
  <si>
    <t>TAXA MISTA FIXA 4 ANOS - 2,65%</t>
  </si>
  <si>
    <t>DSC</t>
  </si>
  <si>
    <t>TAXA MISTA FIXA 3 ANOS - 2,75%</t>
  </si>
  <si>
    <t>DSE</t>
  </si>
  <si>
    <t>DESCONTO S/ESTRANGEIRO</t>
  </si>
  <si>
    <t>DSN</t>
  </si>
  <si>
    <t>TAXA DEVEDORA BSN</t>
  </si>
  <si>
    <t>DSP</t>
  </si>
  <si>
    <t>DESCONTO S/PAIS</t>
  </si>
  <si>
    <t>DSZ</t>
  </si>
  <si>
    <t>DTT</t>
  </si>
  <si>
    <t>TAXA DEVEDORA D.O. (TRIMESTRAL)</t>
  </si>
  <si>
    <t>TAXA DE EMPREGADO</t>
  </si>
  <si>
    <t>CD EURO STOXX50 SETEMBRO 1 ANOS</t>
  </si>
  <si>
    <t>CD EURO STOXX50 SETEMBRO 98 2 ANOS</t>
  </si>
  <si>
    <t>CD EURO STOXX50 SETEMBRO 98 3 ANOS</t>
  </si>
  <si>
    <t>TAXA DO 69.14</t>
  </si>
  <si>
    <t>TAXA 69.15</t>
  </si>
  <si>
    <t>TAXA 69.16</t>
  </si>
  <si>
    <t>TAXA 69.17</t>
  </si>
  <si>
    <t>TAXA DO 69.18</t>
  </si>
  <si>
    <t>TAXA PRODUTO 69.19</t>
  </si>
  <si>
    <t>E1A</t>
  </si>
  <si>
    <t>EURIBOR A 1 ANO (B360)</t>
  </si>
  <si>
    <t>E1D</t>
  </si>
  <si>
    <t>EURIBOR 6M(B360)-1.DIA UTIL CADA MES</t>
  </si>
  <si>
    <t>TAXA PRODUTO 69.20</t>
  </si>
  <si>
    <t>EMP.C/CAUCAO (MENSAL</t>
  </si>
  <si>
    <t>TAXA 69.23</t>
  </si>
  <si>
    <t>TAXA 69.24</t>
  </si>
  <si>
    <t>TAXA 69.25</t>
  </si>
  <si>
    <t>TAXA 69.26</t>
  </si>
  <si>
    <t>TAXA 69.27</t>
  </si>
  <si>
    <t>TAXA 69.28</t>
  </si>
  <si>
    <t>TAXA 69.29</t>
  </si>
  <si>
    <t xml:space="preserve">E3 </t>
  </si>
  <si>
    <t>EURIBOR TRIMESTRAL 2005</t>
  </si>
  <si>
    <t>PRODUTO 069.030</t>
  </si>
  <si>
    <t>TAXA 069.031</t>
  </si>
  <si>
    <t>E32</t>
  </si>
  <si>
    <t>TAXA 069.032</t>
  </si>
  <si>
    <t>E33</t>
  </si>
  <si>
    <t>TAXA 069.033</t>
  </si>
  <si>
    <t>E34</t>
  </si>
  <si>
    <t>TAXA 069.034</t>
  </si>
  <si>
    <t>E35</t>
  </si>
  <si>
    <t>TAXA 069.035</t>
  </si>
  <si>
    <t>E36</t>
  </si>
  <si>
    <t>TAXA CRED.CONST.PROFISSIONAL</t>
  </si>
  <si>
    <t>E38</t>
  </si>
  <si>
    <t>CRED.PROMOTOR - S</t>
  </si>
  <si>
    <t>E3A</t>
  </si>
  <si>
    <t>EURIBOR DIARIA 12 MESES(BASE 365)</t>
  </si>
  <si>
    <t>E3B</t>
  </si>
  <si>
    <t>EURIBOR DIARIA 2 MESES (BASE 365)</t>
  </si>
  <si>
    <t>E3D</t>
  </si>
  <si>
    <t>EURIBOR DIARIA 1 MES (BASE 365)</t>
  </si>
  <si>
    <t>E3H</t>
  </si>
  <si>
    <t>EURIBOR TRIMESTRAL 2005-ACT365</t>
  </si>
  <si>
    <t>E3M</t>
  </si>
  <si>
    <t>EURIBOR TRIMESTRAL-MEDIA MOVEL A 20 DIAS</t>
  </si>
  <si>
    <t>E3P</t>
  </si>
  <si>
    <t>EURIBOR 6M(B365)-PEN.DIA UTIL FINAL MES</t>
  </si>
  <si>
    <t>E3S</t>
  </si>
  <si>
    <t>EURIBOR DIARIA 6 MESES(BASE 365)</t>
  </si>
  <si>
    <t>E3T</t>
  </si>
  <si>
    <t>EURIBOR DIARIA 3 MESES(BASE 365)</t>
  </si>
  <si>
    <t>E42</t>
  </si>
  <si>
    <t>EMP.EMPREG.BCI - DIV.</t>
  </si>
  <si>
    <t>E43</t>
  </si>
  <si>
    <t>EMP.EMPREG.BCI - HPP</t>
  </si>
  <si>
    <t>E51</t>
  </si>
  <si>
    <t>TAXA EMP.GESTAO VALORES</t>
  </si>
  <si>
    <t xml:space="preserve">E6 </t>
  </si>
  <si>
    <t>EURIBOR SEMESTRAL 2005</t>
  </si>
  <si>
    <t>E6H</t>
  </si>
  <si>
    <t>EURIBOR SEMESTRAL 2005 - ACT365</t>
  </si>
  <si>
    <t>E6M</t>
  </si>
  <si>
    <t>EURIBOR 6M-B365(ULTIMO DIA UTIL)</t>
  </si>
  <si>
    <t>EA2</t>
  </si>
  <si>
    <t>EURIBOR ANUAL - PEN DIA UTIL (MUTUOS</t>
  </si>
  <si>
    <t>EA3</t>
  </si>
  <si>
    <t>EURIBOR A 3 MESES - ACT365</t>
  </si>
  <si>
    <t>EA6</t>
  </si>
  <si>
    <t>EURIBOR A 6 MESES - ACT365</t>
  </si>
  <si>
    <t>EAM</t>
  </si>
  <si>
    <t>EURIBOR 12M (B.365)-MED MOVEL</t>
  </si>
  <si>
    <t>EB1</t>
  </si>
  <si>
    <t>EURIBOR A 30 DIAS (B360)</t>
  </si>
  <si>
    <t>EB2</t>
  </si>
  <si>
    <t>EB3</t>
  </si>
  <si>
    <t>EURIBOR DIARIA ( 3 MESES )</t>
  </si>
  <si>
    <t>EB6</t>
  </si>
  <si>
    <t>EURIBOR A 180 DIAS (B360)</t>
  </si>
  <si>
    <t>ECC</t>
  </si>
  <si>
    <t>TOTTA ECONOMICO C/CONSUMO</t>
  </si>
  <si>
    <t>EDP</t>
  </si>
  <si>
    <t>TAXA EDP</t>
  </si>
  <si>
    <t>EM0</t>
  </si>
  <si>
    <t>EURIBOR 6M(MEDIA ULT.3 DIAS UTEIS)</t>
  </si>
  <si>
    <t>EM1</t>
  </si>
  <si>
    <t>EM2</t>
  </si>
  <si>
    <t>EURIBOR 3M (PENULTIMO DIA UTIL)</t>
  </si>
  <si>
    <t>EM3</t>
  </si>
  <si>
    <t>EURIBOR 6M (PENULTIMO DIA UTIL)</t>
  </si>
  <si>
    <t>EM4</t>
  </si>
  <si>
    <t>EURIBOR 3M (ULTIMO DIA UTIL)</t>
  </si>
  <si>
    <t>EM5</t>
  </si>
  <si>
    <t>EURIBOR 6M (ULTIMO DIA UTIL + 1%)</t>
  </si>
  <si>
    <t>EM6</t>
  </si>
  <si>
    <t>EURIBOR 6M (ULTIMO DIA UTIL)</t>
  </si>
  <si>
    <t>EM7</t>
  </si>
  <si>
    <t>EURIBOR 1M (ULTIMO DIA UTIL)</t>
  </si>
  <si>
    <t>EM8</t>
  </si>
  <si>
    <t>EURIBOR 1M (PENULTIMO DIA)</t>
  </si>
  <si>
    <t>EM9</t>
  </si>
  <si>
    <t>EURIBOR 6M(ANTEPENULTIMO DIA UTIL)</t>
  </si>
  <si>
    <t>EMA</t>
  </si>
  <si>
    <t>EURIBOR 12M(MEDIA MENSAL,ARRED.1/8 SUP)</t>
  </si>
  <si>
    <t>EMM</t>
  </si>
  <si>
    <t>EURIBOR 1 MES (ULTIMO DIA)</t>
  </si>
  <si>
    <t>EMS</t>
  </si>
  <si>
    <t>EURIBOR MEDIA SEMESTRAL</t>
  </si>
  <si>
    <t>EMT</t>
  </si>
  <si>
    <t>EURIBOR MEDIA TRIMESTRAL</t>
  </si>
  <si>
    <t>EOM</t>
  </si>
  <si>
    <t>EONIA MEDIA</t>
  </si>
  <si>
    <t>EON</t>
  </si>
  <si>
    <t>TAXA EONIA - BASE 365</t>
  </si>
  <si>
    <t>ES2</t>
  </si>
  <si>
    <t>EURIBOR 3M (ANTEPENULTIMO DIA UTIL)</t>
  </si>
  <si>
    <t>ESA</t>
  </si>
  <si>
    <t>EURIBOR 6M MEDIA MENSAL CH2002 B365</t>
  </si>
  <si>
    <t>ESC</t>
  </si>
  <si>
    <t>TOTTA ECONOMICO S/CONSUMO</t>
  </si>
  <si>
    <t>ESD</t>
  </si>
  <si>
    <t>EURIB.6M(2 DIA UTIL,C/BASE MED.10D)-B365</t>
  </si>
  <si>
    <t>ESH</t>
  </si>
  <si>
    <t>EURIBOR SEMESTRAL-MEDIA MENSAL CH 2002</t>
  </si>
  <si>
    <t>ESM</t>
  </si>
  <si>
    <t>EURIBOR 6M (B365)-MED MOV</t>
  </si>
  <si>
    <t>ESS</t>
  </si>
  <si>
    <t>EURIB.6M(2 DIA UTIL) - BASE 365</t>
  </si>
  <si>
    <t>EST</t>
  </si>
  <si>
    <t>ESTER</t>
  </si>
  <si>
    <t>ESW</t>
  </si>
  <si>
    <t>EURIBOR SPOT WEEK</t>
  </si>
  <si>
    <t>ET2</t>
  </si>
  <si>
    <t>EURIB.3M(2 DIA UTIL) - BASE 365</t>
  </si>
  <si>
    <t>ETA</t>
  </si>
  <si>
    <t>EURIBOR TRIM MEDIA MENSAL CH2002 ACT365</t>
  </si>
  <si>
    <t>ETD</t>
  </si>
  <si>
    <t>ETH</t>
  </si>
  <si>
    <t>EURIBOR TRIMESTRAL-MEDIA MENSAL CH 2002</t>
  </si>
  <si>
    <t>ETM</t>
  </si>
  <si>
    <t>EURIBOR 3M (B.365)- MEDIA MOVEL</t>
  </si>
  <si>
    <t>ETP</t>
  </si>
  <si>
    <t>EMP.C/C MULTINEG</t>
  </si>
  <si>
    <t>EU1</t>
  </si>
  <si>
    <t>EURIBOR MES - MEDIA MENSAL</t>
  </si>
  <si>
    <t>EU3</t>
  </si>
  <si>
    <t>EURIBOR 3 MESES - MEDIA MENSAL</t>
  </si>
  <si>
    <t>EU6</t>
  </si>
  <si>
    <t>EURIBOR 6 MESES - MEDIA MENSAL</t>
  </si>
  <si>
    <t>EU9</t>
  </si>
  <si>
    <t>EURIBOR 9 MESES ( DIARIA</t>
  </si>
  <si>
    <t>EUA</t>
  </si>
  <si>
    <t>EURIBOR 12 MESES</t>
  </si>
  <si>
    <t>EUB</t>
  </si>
  <si>
    <t>EURIBOR 2 MESES (DIARIA)</t>
  </si>
  <si>
    <t>EUD</t>
  </si>
  <si>
    <t>EURIBOR 1 MÊS</t>
  </si>
  <si>
    <t>EUR</t>
  </si>
  <si>
    <t>EUROBOR ANUAL (MEDIA MENSAL)</t>
  </si>
  <si>
    <t>EUS</t>
  </si>
  <si>
    <t>EURIBOR 6 MESES</t>
  </si>
  <si>
    <t>EUT</t>
  </si>
  <si>
    <t>EURIBOR 3 MESES ( DIARIA )</t>
  </si>
  <si>
    <t>F01</t>
  </si>
  <si>
    <t>TAXA FINANC JUROS ANTECIPADOS</t>
  </si>
  <si>
    <t>F02</t>
  </si>
  <si>
    <t>TAXA FINANC.JUROS POSTECIPADOS</t>
  </si>
  <si>
    <t>F03</t>
  </si>
  <si>
    <t>FINANC.JUROS POR DENTRO</t>
  </si>
  <si>
    <t>F10</t>
  </si>
  <si>
    <t>TAX SWAP 10 ANOS-2 DIAS UTEIS FLOOR ZERO</t>
  </si>
  <si>
    <t>F11</t>
  </si>
  <si>
    <t>TAXA LETRAS JUROS ANTECIPADOS</t>
  </si>
  <si>
    <t>F12</t>
  </si>
  <si>
    <t>TAX SWAP 15 ANOS-2 DIAS UTEIS FLOOR ZERO</t>
  </si>
  <si>
    <t>F13</t>
  </si>
  <si>
    <t>TAX SWAP 20 ANOS-2 DIAS UTEIS FLOOR ZERO</t>
  </si>
  <si>
    <t>F14</t>
  </si>
  <si>
    <t>TAX SWAP 30 ANOS-2 DIAS UTEIS FLOOR ZERO</t>
  </si>
  <si>
    <t>F21</t>
  </si>
  <si>
    <t>TAXA CONTA ALHEIA - RENDAS</t>
  </si>
  <si>
    <t>F22</t>
  </si>
  <si>
    <t>TAXA CONTA ALHEIA - REC.OUT.TIPO PAGAM.</t>
  </si>
  <si>
    <t>F99</t>
  </si>
  <si>
    <t>TAXA CONVERSAO EFEITOS</t>
  </si>
  <si>
    <t>FCB</t>
  </si>
  <si>
    <t>FC - TAXA BASICA NOMINAL</t>
  </si>
  <si>
    <t>FCC</t>
  </si>
  <si>
    <t>FC - FINANCIAMENTO A CONSTRUCAO</t>
  </si>
  <si>
    <t>FM0</t>
  </si>
  <si>
    <t>PROD. FINANC. MISTO - 392</t>
  </si>
  <si>
    <t>FM1</t>
  </si>
  <si>
    <t>PROD.FINANC.MISTO - 840</t>
  </si>
  <si>
    <t>FMO</t>
  </si>
  <si>
    <t>MORA CONFIRMING</t>
  </si>
  <si>
    <t>FPM</t>
  </si>
  <si>
    <t>FINANC.S/PAIS - NIVEL MINIMO</t>
  </si>
  <si>
    <t>FS1</t>
  </si>
  <si>
    <t>TAXA SWAP 1 ANO -2 DIAS UTEIS FLOOR ZERO</t>
  </si>
  <si>
    <t>FS2</t>
  </si>
  <si>
    <t>TAXA SWAP 2 ANOS-2 DIAS UTEIS FLOOR ZERO</t>
  </si>
  <si>
    <t>FS3</t>
  </si>
  <si>
    <t>TAXA SWAP 3 ANOS-2 DIAS UTEIS FLOOR ZERO</t>
  </si>
  <si>
    <t>FS4</t>
  </si>
  <si>
    <t>TAXA SWAP 4 ANOS-2 DIAS UTEIS FLOOR ZERO</t>
  </si>
  <si>
    <t>FS5</t>
  </si>
  <si>
    <t>TAXA SWAP 5 ANOS-2 DIAS UTEIS FLOOR ZERO</t>
  </si>
  <si>
    <t>FS6</t>
  </si>
  <si>
    <t>TAXA SWAP 6 ANOS-2 DIAS UTEIS FLOOR ZERO</t>
  </si>
  <si>
    <t>FS7</t>
  </si>
  <si>
    <t>TAXA SWAP 7 ANOS-2 DIAS UTEIS FLOOR ZERO</t>
  </si>
  <si>
    <t>FS8</t>
  </si>
  <si>
    <t>TAXA SWAP 8 ANOS-2 DIAS UTEIS FLOOR ZERO</t>
  </si>
  <si>
    <t>FS9</t>
  </si>
  <si>
    <t>TAXA SWAP 9 ANOS-2 DIAS UTEIS FLOOR ZERO</t>
  </si>
  <si>
    <t>FSP</t>
  </si>
  <si>
    <t>FINANCIAMENTO S/PAIS</t>
  </si>
  <si>
    <t>FX5</t>
  </si>
  <si>
    <t>TAXA FIXA 5 ANOS - SUPER TRANQUILO</t>
  </si>
  <si>
    <t>G05</t>
  </si>
  <si>
    <t>TX REF EMP C/TX.GARANT 5A CPP</t>
  </si>
  <si>
    <t>G10</t>
  </si>
  <si>
    <t>TX REF EMP C/T GARANT 10A CPP</t>
  </si>
  <si>
    <t>G20</t>
  </si>
  <si>
    <t>TX REF EMP C/T GARANT 20A CPP</t>
  </si>
  <si>
    <t>HPP</t>
  </si>
  <si>
    <t>HABITACAO EMPREGADOS</t>
  </si>
  <si>
    <t>I.S</t>
  </si>
  <si>
    <t>IMP.SELO CONFIRMING</t>
  </si>
  <si>
    <t>I01</t>
  </si>
  <si>
    <t>TAXA DE USURA - FINALIDADE AA01</t>
  </si>
  <si>
    <t>I02</t>
  </si>
  <si>
    <t>TAXA DE USURA - FINALIDADE AA02</t>
  </si>
  <si>
    <t>I03</t>
  </si>
  <si>
    <t>TAXA DE USURA - FINALIDADE AA03</t>
  </si>
  <si>
    <t>I04</t>
  </si>
  <si>
    <t>TAXA DE USURA - FINALIDADE AA04</t>
  </si>
  <si>
    <t>I05</t>
  </si>
  <si>
    <t>TAXA DE USURA - FINALIDADE AA05</t>
  </si>
  <si>
    <t>I06</t>
  </si>
  <si>
    <t>TAXA DE USURA - FINALIDADE AA06</t>
  </si>
  <si>
    <t>I07</t>
  </si>
  <si>
    <t>TAXA DE USURA - FINALIDADE AA07</t>
  </si>
  <si>
    <t>I08</t>
  </si>
  <si>
    <t>TAXA DE USURA - FINALIDADE AA08</t>
  </si>
  <si>
    <t>I09</t>
  </si>
  <si>
    <t>TAXA DE USURA - FINALIDADE AA09</t>
  </si>
  <si>
    <t>I10</t>
  </si>
  <si>
    <t>TAXA DE USURA - FINALIDADE AA10</t>
  </si>
  <si>
    <t>I11</t>
  </si>
  <si>
    <t>TAXA DE USURA - FINALIDADE AA11</t>
  </si>
  <si>
    <t>I12</t>
  </si>
  <si>
    <t>TAXA DE USURA - FINALIDADE AA12</t>
  </si>
  <si>
    <t>I13</t>
  </si>
  <si>
    <t>TAXA DE USURA - FINALIDADE AA13</t>
  </si>
  <si>
    <t>I14</t>
  </si>
  <si>
    <t>TAXA DE USURA - FINALIDADE AA14</t>
  </si>
  <si>
    <t>I15</t>
  </si>
  <si>
    <t>TAXA DE USURA - FINALIDADE AA15</t>
  </si>
  <si>
    <t>I16</t>
  </si>
  <si>
    <t>TAXA DE USURA - FINALIDADE AA16</t>
  </si>
  <si>
    <t>I17</t>
  </si>
  <si>
    <t>TAXA DE USURA - FINALIDADE AA17</t>
  </si>
  <si>
    <t>I18</t>
  </si>
  <si>
    <t>TAXA DE USURA - FINALIDADE AA18</t>
  </si>
  <si>
    <t>I19</t>
  </si>
  <si>
    <t>TAXA DE USURA - FINALIDADE AA19</t>
  </si>
  <si>
    <t>I1A</t>
  </si>
  <si>
    <t>GBMBO-FR_AONIA_1M</t>
  </si>
  <si>
    <t>I1B</t>
  </si>
  <si>
    <t>GBMBO-FR_AONIA_2M</t>
  </si>
  <si>
    <t>I1C</t>
  </si>
  <si>
    <t>GBMBO-FR_AONIA_3M</t>
  </si>
  <si>
    <t>I1D</t>
  </si>
  <si>
    <t>GBMBO-FR_AONIA_4M</t>
  </si>
  <si>
    <t>I1E</t>
  </si>
  <si>
    <t>GBMBO-FR_AONIA_5M</t>
  </si>
  <si>
    <t>I1F</t>
  </si>
  <si>
    <t>GBMBO-FR_AONIA_6M</t>
  </si>
  <si>
    <t>I1G</t>
  </si>
  <si>
    <t>GBMBO-FR_ESTR_BISL-ON</t>
  </si>
  <si>
    <t>I1H</t>
  </si>
  <si>
    <t>GBMBO-FR_ESTR_BISL-1W</t>
  </si>
  <si>
    <t>I1I</t>
  </si>
  <si>
    <t>GBMBO-FR_ESTR_BISL-1M</t>
  </si>
  <si>
    <t>I1J</t>
  </si>
  <si>
    <t>GBMBO-FR_ESTR_BISL-2M</t>
  </si>
  <si>
    <t>I1K</t>
  </si>
  <si>
    <t>GBMBO-FR_ESTR_BISL-3M</t>
  </si>
  <si>
    <t>I1L</t>
  </si>
  <si>
    <t>GBMBO-FR_ESTR_BISL-6M</t>
  </si>
  <si>
    <t>I1M</t>
  </si>
  <si>
    <t>GBMBO-FR_ESTR_BISL-1Y</t>
  </si>
  <si>
    <t>I1N</t>
  </si>
  <si>
    <t>GBMBO-FR_SARON_BISL-SN</t>
  </si>
  <si>
    <t>I1O</t>
  </si>
  <si>
    <t>GBMBO-FR_SARON_BISL-1W</t>
  </si>
  <si>
    <t>I1P</t>
  </si>
  <si>
    <t>GBMBO-FR_SARON_BISL-1M</t>
  </si>
  <si>
    <t>I1Q</t>
  </si>
  <si>
    <t>GBMBO-FR_SARON_BISL-2M</t>
  </si>
  <si>
    <t>I1R</t>
  </si>
  <si>
    <t>GBMBO-FR_SARON_BISL-3M</t>
  </si>
  <si>
    <t>I1S</t>
  </si>
  <si>
    <t>GBMBO-FR_SARON_BISL-6M</t>
  </si>
  <si>
    <t>I1T</t>
  </si>
  <si>
    <t>GBMBO-FR_SARON_BISL-1Y</t>
  </si>
  <si>
    <t>I1U</t>
  </si>
  <si>
    <t>GBMBO-FR_CORRA_BISL-1M</t>
  </si>
  <si>
    <t>I1V</t>
  </si>
  <si>
    <t>GBMBO-FR_CORRA_BISL-2M</t>
  </si>
  <si>
    <t>I1X</t>
  </si>
  <si>
    <t>GBMBO-FR_CORRA_BISL-3M</t>
  </si>
  <si>
    <t>I1Z</t>
  </si>
  <si>
    <t>GBMBO-FR_CORRA_BISL-6M</t>
  </si>
  <si>
    <t>I20</t>
  </si>
  <si>
    <t>TAXA DE USURA - FINALIDADE AA20</t>
  </si>
  <si>
    <t>I21</t>
  </si>
  <si>
    <t>TAXA DE USURA - FINALIDADE AA21</t>
  </si>
  <si>
    <t>I22</t>
  </si>
  <si>
    <t>TAXA DE USURA - FINALIDADE AA22</t>
  </si>
  <si>
    <t>I23</t>
  </si>
  <si>
    <t>TAXA DE USURA - FINALIDADE AA23</t>
  </si>
  <si>
    <t>I2A</t>
  </si>
  <si>
    <t>GBMBO-FR_CORRA_BISL-1Y</t>
  </si>
  <si>
    <t>I2B</t>
  </si>
  <si>
    <t>GBMBO-FR_AUD_BBSW_FALL_1M</t>
  </si>
  <si>
    <t>I2C</t>
  </si>
  <si>
    <t>GBMBO-FR_AUD_BBSW_FALL_2M</t>
  </si>
  <si>
    <t>I2D</t>
  </si>
  <si>
    <t>GBMBO-FR_AUD_BBSW_FALL_3M</t>
  </si>
  <si>
    <t>I2E</t>
  </si>
  <si>
    <t>GBMBO-FR_AUD_BBSW_FALL_4M</t>
  </si>
  <si>
    <t>I2F</t>
  </si>
  <si>
    <t>GBMBO-FR_AUD_BBSW_FALL_5M</t>
  </si>
  <si>
    <t>I2G</t>
  </si>
  <si>
    <t>GBMBO-FR_AUD_BBSW_FALL_6M</t>
  </si>
  <si>
    <t>I2H</t>
  </si>
  <si>
    <t>GBMBO-FR_GBP_LIBOR_FALL-1W</t>
  </si>
  <si>
    <t>I2I</t>
  </si>
  <si>
    <t>GBMBO-FR_GBP_LIBOR_FALL-1M</t>
  </si>
  <si>
    <t>I2J</t>
  </si>
  <si>
    <t>GBMBO-FR_GBP_LIBOR_FALL-2M</t>
  </si>
  <si>
    <t>I2K</t>
  </si>
  <si>
    <t>GBMBO-FR_GBP_LIBOR_FALL-3M</t>
  </si>
  <si>
    <t>I2L</t>
  </si>
  <si>
    <t>GBMBO-FR_GBP_LIBOR_FALL-6M</t>
  </si>
  <si>
    <t>I2M</t>
  </si>
  <si>
    <t>GBMBO-FR_GBP_LIBOR_FALL-12M</t>
  </si>
  <si>
    <t>I2N</t>
  </si>
  <si>
    <t>GBMBO-FR_EUR_LIBOR_FALL-ON</t>
  </si>
  <si>
    <t>I2O</t>
  </si>
  <si>
    <t>GBMBO-FR_EUR_LIBOR_FALL-1M</t>
  </si>
  <si>
    <t>I2P</t>
  </si>
  <si>
    <t>GBMBO-FR_EUR_LIBOR_FALL-1W</t>
  </si>
  <si>
    <t>I2Q</t>
  </si>
  <si>
    <t>GBMBO-FR_EUR_LIBOR_FALL-2M</t>
  </si>
  <si>
    <t>I2R</t>
  </si>
  <si>
    <t>GBMBO-FR_EUR_LIBOR_FALL-3M</t>
  </si>
  <si>
    <t>I2S</t>
  </si>
  <si>
    <t>GBMBO-FR_EUR_LIBOR_FALL-6M</t>
  </si>
  <si>
    <t>I2T</t>
  </si>
  <si>
    <t>GBMBO-FR_EUR_LIBOR_FALL-12M</t>
  </si>
  <si>
    <t>I2U</t>
  </si>
  <si>
    <t>GBMBO-FR_EUR_EURIBOR_FALL-1W</t>
  </si>
  <si>
    <t>I2V</t>
  </si>
  <si>
    <t>GBMBO-FR_EUR_EURIBOR_FALL-1M</t>
  </si>
  <si>
    <t>I2X</t>
  </si>
  <si>
    <t>GBMBO-FR_EUR_EURIBOR_FALL-3M</t>
  </si>
  <si>
    <t>I2Z</t>
  </si>
  <si>
    <t>GBMBO-FR_EUR_EURIBOR_FALL-6M</t>
  </si>
  <si>
    <t>I3A</t>
  </si>
  <si>
    <t>GBMBO-FR_EUR_EURIBOR_FALL-12M</t>
  </si>
  <si>
    <t>I3B</t>
  </si>
  <si>
    <t>GBMBO-FR_HKD_HIBOR_FALL-ON</t>
  </si>
  <si>
    <t>I3C</t>
  </si>
  <si>
    <t>GBMBO-FR_HKD_HIBOR_FALL-1W</t>
  </si>
  <si>
    <t>I3D</t>
  </si>
  <si>
    <t>GBMBO-FR_HKD_HIBOR_FALL-2W</t>
  </si>
  <si>
    <t>I3E</t>
  </si>
  <si>
    <t>GBMBO-FR_HKD_HIBOR_FALL-1M</t>
  </si>
  <si>
    <t>I3F</t>
  </si>
  <si>
    <t>GBMBO-FR_HKD_HIBOR_FALL-2M</t>
  </si>
  <si>
    <t>I3G</t>
  </si>
  <si>
    <t>GBMBO-FR_HKD_HIBOR_FALL-3M</t>
  </si>
  <si>
    <t>I3H</t>
  </si>
  <si>
    <t>GBMBO-FR_HKD_HIBOR_FALL-6M</t>
  </si>
  <si>
    <t>I3I</t>
  </si>
  <si>
    <t>GBMBO-FR_HKD_HIBOR_FALL-12M</t>
  </si>
  <si>
    <t>I3J</t>
  </si>
  <si>
    <t>GBMBO-FR_JPY_LIBOR_FALL-SN</t>
  </si>
  <si>
    <t>I3K</t>
  </si>
  <si>
    <t>GBMBO-FR_JPY_LIBOR_FALL-1W</t>
  </si>
  <si>
    <t>I3L</t>
  </si>
  <si>
    <t>GBMBO-FR_JPY_LIBOR_FALL-1M</t>
  </si>
  <si>
    <t>I3M</t>
  </si>
  <si>
    <t>GBMBO-FR_JPY_LIBOR_FALL-2M</t>
  </si>
  <si>
    <t>I3N</t>
  </si>
  <si>
    <t>GBMBO-FR_JPY_LIBOR_FALL-3M</t>
  </si>
  <si>
    <t>I3O</t>
  </si>
  <si>
    <t>GBMBO-FR_JPY_LIBOR_FALL-6M</t>
  </si>
  <si>
    <t>I3P</t>
  </si>
  <si>
    <t>GBMBO-FR_JPY_LIBOR_FALL-12M</t>
  </si>
  <si>
    <t>I3Q</t>
  </si>
  <si>
    <t>GBMBO-FR_CHF_LIBOR_FALL-SN</t>
  </si>
  <si>
    <t>I3R</t>
  </si>
  <si>
    <t>GBMBO-FR_CHF_LIBOR_FALL-1W</t>
  </si>
  <si>
    <t>I3S</t>
  </si>
  <si>
    <t>GBMBO-FR_CHF_LIBOR_FALL-1M</t>
  </si>
  <si>
    <t>I3T</t>
  </si>
  <si>
    <t>GBMBO-FR_CHF_LIBOR_FALL-2M</t>
  </si>
  <si>
    <t>I3U</t>
  </si>
  <si>
    <t>GBMBO-FR_CHF_LIBOR_FALL-3M</t>
  </si>
  <si>
    <t>I3V</t>
  </si>
  <si>
    <t>GBMBO-FR_CHF_LIBOR_FALL-6M</t>
  </si>
  <si>
    <t>I3X</t>
  </si>
  <si>
    <t>GBMBO-FR_CHF_LIBOR_FALL-12M</t>
  </si>
  <si>
    <t>I3Z</t>
  </si>
  <si>
    <t>GBMBO-FR_USD_LIBOR_FALL-ON</t>
  </si>
  <si>
    <t>I4A</t>
  </si>
  <si>
    <t>GBMBO-FR_USD_LIBOR_FALL-1W</t>
  </si>
  <si>
    <t>I4B</t>
  </si>
  <si>
    <t>GBMBO-FR_USD_LIBOR_FALL-1M</t>
  </si>
  <si>
    <t>I4C</t>
  </si>
  <si>
    <t>GBMBO-FR_USD_LIBOR_FALL-2M</t>
  </si>
  <si>
    <t>I4D</t>
  </si>
  <si>
    <t>GBMBO-FR_USD_LIBOR_FALL-3M</t>
  </si>
  <si>
    <t>I4E</t>
  </si>
  <si>
    <t>GBMBO-FR_USD_LIBOR_FALL-6M</t>
  </si>
  <si>
    <t>I4F</t>
  </si>
  <si>
    <t>GBMBO-FR_USD_LIBOR_FALL-12M</t>
  </si>
  <si>
    <t>I4G</t>
  </si>
  <si>
    <t>GBMBO-FR_HONIA_BISL-ON</t>
  </si>
  <si>
    <t>I4H</t>
  </si>
  <si>
    <t>GBMBO-FR_HONIA_BISL-1W</t>
  </si>
  <si>
    <t>I4I</t>
  </si>
  <si>
    <t>GBMBO-FR_HONIA_BISL-2W</t>
  </si>
  <si>
    <t>I4J</t>
  </si>
  <si>
    <t>GBMBO-FR_HONIA_BISL-1M</t>
  </si>
  <si>
    <t>I4K</t>
  </si>
  <si>
    <t>GBMBO-FR_HONIA_BISL-2M</t>
  </si>
  <si>
    <t>I4L</t>
  </si>
  <si>
    <t>GBMBO-FR_HONIA_BISL-3M</t>
  </si>
  <si>
    <t>I4M</t>
  </si>
  <si>
    <t>GBMBO-FR_HONIA_BISL-6M</t>
  </si>
  <si>
    <t>I4N</t>
  </si>
  <si>
    <t>GBMBO-FR_HONIA_BISL-1Y</t>
  </si>
  <si>
    <t>I4O</t>
  </si>
  <si>
    <t>GBMBO-FR_SOFR _BISL-ON</t>
  </si>
  <si>
    <t>I4P</t>
  </si>
  <si>
    <t>GBMBO-FR_SOFR _BISL-1W</t>
  </si>
  <si>
    <t>I4Q</t>
  </si>
  <si>
    <t>GBMBO-FR_SOFR _BISL-1M</t>
  </si>
  <si>
    <t>I4R</t>
  </si>
  <si>
    <t>GBMBO-FR_SOFR _BISL-2M</t>
  </si>
  <si>
    <t>I4S</t>
  </si>
  <si>
    <t>GBMBO-FR_SOFR _BISL-3M</t>
  </si>
  <si>
    <t>I4T</t>
  </si>
  <si>
    <t>GBMBO-FR_SOFR _BISL-6M</t>
  </si>
  <si>
    <t>I4U</t>
  </si>
  <si>
    <t>GBMBO-FR_SOFR _BISL-1Y</t>
  </si>
  <si>
    <t>I4V</t>
  </si>
  <si>
    <t>GBMBO-FR_SONIA _BISL-ON</t>
  </si>
  <si>
    <t>I4X</t>
  </si>
  <si>
    <t>GBMBO-FR_SONIA _BISL-1W</t>
  </si>
  <si>
    <t>I4Z</t>
  </si>
  <si>
    <t>GBMBO-FR_SONIA _BISL-1M</t>
  </si>
  <si>
    <t>I5A</t>
  </si>
  <si>
    <t>GBMBO-FR_SONIA _BISL-2M</t>
  </si>
  <si>
    <t>I5B</t>
  </si>
  <si>
    <t>GBMBO-FR_SONIA _BISL-3M</t>
  </si>
  <si>
    <t>I5C</t>
  </si>
  <si>
    <t>GBMBO-FR_SONIA _BISL-6M</t>
  </si>
  <si>
    <t>I5D</t>
  </si>
  <si>
    <t>GBMBO-FR_SONIA _BISL-1Y</t>
  </si>
  <si>
    <t>I5E</t>
  </si>
  <si>
    <t>GBMBO-FR_TONAR_D360_ON</t>
  </si>
  <si>
    <t>I5F</t>
  </si>
  <si>
    <t>GBMBO-FR_TONAR_D360_1W</t>
  </si>
  <si>
    <t>I5G</t>
  </si>
  <si>
    <t>GBMBO-FR_TONAR_D360_1M</t>
  </si>
  <si>
    <t>I5H</t>
  </si>
  <si>
    <t>GBMBO-FR_TONAR_D360_2M</t>
  </si>
  <si>
    <t>I5I</t>
  </si>
  <si>
    <t>GBMBO-FR_TONAR_D360_3M</t>
  </si>
  <si>
    <t>I5J</t>
  </si>
  <si>
    <t>GBMBO-FR_TONAR_D360_6M</t>
  </si>
  <si>
    <t>I5K</t>
  </si>
  <si>
    <t>GBMBO-FR_TONAR_D360_1Y</t>
  </si>
  <si>
    <t>I5L</t>
  </si>
  <si>
    <t>GBMBO-FR_CAD_CDOR_FALL-1M</t>
  </si>
  <si>
    <t>I5M</t>
  </si>
  <si>
    <t>GBMBO-FR_CAD_CDOR_FALL-2M</t>
  </si>
  <si>
    <t>I5N</t>
  </si>
  <si>
    <t>GBMBO-FR_CAD_CDOR_FALL-3M</t>
  </si>
  <si>
    <t>I5O</t>
  </si>
  <si>
    <t>GBMBO-FR_CAD_CDOR_FALL-6M</t>
  </si>
  <si>
    <t>I5P</t>
  </si>
  <si>
    <t>GBMBO-FR_CAD_CDOR_FALL-12M</t>
  </si>
  <si>
    <t>I5Q</t>
  </si>
  <si>
    <t>GBMBO-TSRR-GBP-1M_RT</t>
  </si>
  <si>
    <t>I5R</t>
  </si>
  <si>
    <t>GBMBO-TSRR-GBP-3M_RT</t>
  </si>
  <si>
    <t>I5S</t>
  </si>
  <si>
    <t>GBMBO-TSRR-GBP-6M_RT</t>
  </si>
  <si>
    <t>I5T</t>
  </si>
  <si>
    <t>GBMBO-TSRR-GBP-1Y_RT</t>
  </si>
  <si>
    <t>I5U</t>
  </si>
  <si>
    <t>GBMBO-IR-CHF-SARON-3M</t>
  </si>
  <si>
    <t>I5V</t>
  </si>
  <si>
    <t>GBMBO-IR-CHF-SARON-6M</t>
  </si>
  <si>
    <t>I5X</t>
  </si>
  <si>
    <t>GBMBO-IR-CHF-SARON-12M</t>
  </si>
  <si>
    <t>I5Z</t>
  </si>
  <si>
    <t>GBMBO-IR-CHF-SARON-9M</t>
  </si>
  <si>
    <t>I68</t>
  </si>
  <si>
    <t>DEP. TX.FX. 30MESES</t>
  </si>
  <si>
    <t>I6A</t>
  </si>
  <si>
    <t>GBMBO-IR-CHF-SARON-1M</t>
  </si>
  <si>
    <t>I6B</t>
  </si>
  <si>
    <t>GBMBO-IR-CHF-SARON-1W</t>
  </si>
  <si>
    <t>I6C</t>
  </si>
  <si>
    <t>GBMBO-IR-JPY-TOFR-1M</t>
  </si>
  <si>
    <t>I6D</t>
  </si>
  <si>
    <t>GBMBO-IR-JPY-TOFR-3M</t>
  </si>
  <si>
    <t>I6E</t>
  </si>
  <si>
    <t>GBMBO-IR-JPY-TOFR-6M</t>
  </si>
  <si>
    <t>I6F</t>
  </si>
  <si>
    <t>GBMBO-IR-USD-SOFR-1M</t>
  </si>
  <si>
    <t>I6G</t>
  </si>
  <si>
    <t>GBMBO-IR-USD-SOFR-3M</t>
  </si>
  <si>
    <t>I6H</t>
  </si>
  <si>
    <t>GBMBO-IR-USD-SOFR-6M</t>
  </si>
  <si>
    <t>I6I</t>
  </si>
  <si>
    <t>GBMBO-IR-USD-SOFR-12M</t>
  </si>
  <si>
    <t>I6O</t>
  </si>
  <si>
    <t>MEDIA MENSALCOMPOUNDED CHF 1M</t>
  </si>
  <si>
    <t>I6P</t>
  </si>
  <si>
    <t>MEDIA MENSALCOMPOUNDED CHF 3M</t>
  </si>
  <si>
    <t>I6Q</t>
  </si>
  <si>
    <t>MEDIA MENSALCOMPOUNDED CHF 6M</t>
  </si>
  <si>
    <t>I6R</t>
  </si>
  <si>
    <t>MEDIA MENSALCOMPOUNDED CHF 12M</t>
  </si>
  <si>
    <t>I6S</t>
  </si>
  <si>
    <t>MEDIA MENSALFALLBACK CHF 1M</t>
  </si>
  <si>
    <t>I6T</t>
  </si>
  <si>
    <t>MEDIA MENSALFALLBACK CHF 3M</t>
  </si>
  <si>
    <t>I6U</t>
  </si>
  <si>
    <t>MEDIA MENSALFALLBACK CHF 6M</t>
  </si>
  <si>
    <t>I6V</t>
  </si>
  <si>
    <t>MEDIA MENSALFALLBACK CHF 12M</t>
  </si>
  <si>
    <t>I6X</t>
  </si>
  <si>
    <t>MEDIA MENSALFRD SARON 3M</t>
  </si>
  <si>
    <t>I6Z</t>
  </si>
  <si>
    <t>MEDIA MENSALFRD SARON 6M</t>
  </si>
  <si>
    <t>I7A</t>
  </si>
  <si>
    <t>MEDIA MENSALFRD SARON 12M</t>
  </si>
  <si>
    <t>I7B</t>
  </si>
  <si>
    <t>MEDIA MENSALFRD SARON 1M</t>
  </si>
  <si>
    <t>I7C</t>
  </si>
  <si>
    <t>MEDIAFALLBACK GBP 1M</t>
  </si>
  <si>
    <t>I7D</t>
  </si>
  <si>
    <t>MEDIAFALLBACK GBP 3M</t>
  </si>
  <si>
    <t>I7E</t>
  </si>
  <si>
    <t>MEDIAFALLBACK GBP 6M</t>
  </si>
  <si>
    <t>I7F</t>
  </si>
  <si>
    <t>MEDIAFALLBACK GBP 12M</t>
  </si>
  <si>
    <t>I7G</t>
  </si>
  <si>
    <t>MEDIACOMPOUNDED GBP 1M</t>
  </si>
  <si>
    <t>I7H</t>
  </si>
  <si>
    <t>MEDIACOMPOUNDED GBP 3M</t>
  </si>
  <si>
    <t>I7I</t>
  </si>
  <si>
    <t>MEDIACOMPOUNDED GBP 6M</t>
  </si>
  <si>
    <t>I7J</t>
  </si>
  <si>
    <t>MEDIACOMPOUNDED GBP 12M</t>
  </si>
  <si>
    <t>I7K</t>
  </si>
  <si>
    <t>MEDIAFRD SONIA 1M</t>
  </si>
  <si>
    <t>I7L</t>
  </si>
  <si>
    <t>MEDIAFRD SONIA 3M</t>
  </si>
  <si>
    <t>I7M</t>
  </si>
  <si>
    <t>MEDIAFRD SONIA 6M</t>
  </si>
  <si>
    <t>I7N</t>
  </si>
  <si>
    <t>MEDIAFALLBACK JPY 1M</t>
  </si>
  <si>
    <t>I7O</t>
  </si>
  <si>
    <t>MEDIAFALLBACK JPY 3M</t>
  </si>
  <si>
    <t>I7P</t>
  </si>
  <si>
    <t>MEDIAFALLBACK JPY 6M</t>
  </si>
  <si>
    <t>I7Q</t>
  </si>
  <si>
    <t>MEDIAFALLBACK JPY 12M</t>
  </si>
  <si>
    <t>I7R</t>
  </si>
  <si>
    <t>MEDIACOMPOUNDED JPY 1M</t>
  </si>
  <si>
    <t>I7S</t>
  </si>
  <si>
    <t>MEDIACOMPOUNDED JPY 3M</t>
  </si>
  <si>
    <t>I7T</t>
  </si>
  <si>
    <t>MEDIACOMPOUNDED JPY 6M</t>
  </si>
  <si>
    <t>I7U</t>
  </si>
  <si>
    <t>MEDIACOMPOUNDED JPY 12M</t>
  </si>
  <si>
    <t>I7V</t>
  </si>
  <si>
    <t>MEDIAFRD TORF 1M</t>
  </si>
  <si>
    <t>I7X</t>
  </si>
  <si>
    <t>MEDIAFRD TORF 3M</t>
  </si>
  <si>
    <t>I7Z</t>
  </si>
  <si>
    <t>MEDIAFRD TORF 6M</t>
  </si>
  <si>
    <t>I8A</t>
  </si>
  <si>
    <t>MEDIAFALLBACK USD 1M</t>
  </si>
  <si>
    <t>I8B</t>
  </si>
  <si>
    <t>MEDIAFALLBACK USD 3M</t>
  </si>
  <si>
    <t>I8C</t>
  </si>
  <si>
    <t>MEDIAFALLBACK USD 6M</t>
  </si>
  <si>
    <t>I8D</t>
  </si>
  <si>
    <t>MEDIAFALLBACK USD 12M</t>
  </si>
  <si>
    <t>I8E</t>
  </si>
  <si>
    <t>MEDIACOMPOUNDED USD 1M</t>
  </si>
  <si>
    <t>I8F</t>
  </si>
  <si>
    <t>MEDIACOMPOUNDED USD 3M</t>
  </si>
  <si>
    <t>I8G</t>
  </si>
  <si>
    <t>MEDIACOMPOUNDED USD 6M</t>
  </si>
  <si>
    <t>I8H</t>
  </si>
  <si>
    <t>MEDIACOMPOUNDED USD 12M</t>
  </si>
  <si>
    <t>I8I</t>
  </si>
  <si>
    <t>MEDIAFRD SOFR 1M</t>
  </si>
  <si>
    <t>I8J</t>
  </si>
  <si>
    <t>MEDIAFRD SOFR 3M</t>
  </si>
  <si>
    <t>I8K</t>
  </si>
  <si>
    <t>MEDIAFRD SOFR 6M</t>
  </si>
  <si>
    <t>I8L</t>
  </si>
  <si>
    <t>MEDIAFRD SOFR 12M</t>
  </si>
  <si>
    <t>I8M</t>
  </si>
  <si>
    <t>MEDIAFRD SONIA 1Y</t>
  </si>
  <si>
    <t>I8O</t>
  </si>
  <si>
    <t>RFR JPY ON</t>
  </si>
  <si>
    <t>I8P</t>
  </si>
  <si>
    <t>RFR GBP ON</t>
  </si>
  <si>
    <t>I8Q</t>
  </si>
  <si>
    <t>RFR USD ON</t>
  </si>
  <si>
    <t>I8R</t>
  </si>
  <si>
    <t>RFR CHF ON</t>
  </si>
  <si>
    <t>IDL</t>
  </si>
  <si>
    <t>TAXA IDL</t>
  </si>
  <si>
    <t>IFF</t>
  </si>
  <si>
    <t>TAXA IFFRU</t>
  </si>
  <si>
    <t>IMO</t>
  </si>
  <si>
    <t>TAXA DE IMOBILIZADO</t>
  </si>
  <si>
    <t>INE</t>
  </si>
  <si>
    <t>INFLAÇÃO MEDIA ANUAL</t>
  </si>
  <si>
    <t>INZ</t>
  </si>
  <si>
    <t>TAXA CREDORA D.O. INDEXADAS</t>
  </si>
  <si>
    <t>ISP</t>
  </si>
  <si>
    <t>INDICE ISP</t>
  </si>
  <si>
    <t>J1A</t>
  </si>
  <si>
    <t>CORRA REFERENCE RATE 1M</t>
  </si>
  <si>
    <t>J1B</t>
  </si>
  <si>
    <t>CORRA REFERENCE RATE 3M</t>
  </si>
  <si>
    <t>J1C</t>
  </si>
  <si>
    <t>CORRA REFERENCE RATE 1M FLOOR ZERO</t>
  </si>
  <si>
    <t>J1D</t>
  </si>
  <si>
    <t>CORRA REFERENCE RATE 3M FLOOR ZERO</t>
  </si>
  <si>
    <t>J1M</t>
  </si>
  <si>
    <t>JIBAR 1M</t>
  </si>
  <si>
    <t>J1Y</t>
  </si>
  <si>
    <t>JIBAR IY</t>
  </si>
  <si>
    <t>J21</t>
  </si>
  <si>
    <t>TAXA 69.21</t>
  </si>
  <si>
    <t>J3M</t>
  </si>
  <si>
    <t>JIBAR 3M</t>
  </si>
  <si>
    <t>J65</t>
  </si>
  <si>
    <t>TAXA MISTA FIXA 3 ANOS - 2,65%</t>
  </si>
  <si>
    <t>J6M</t>
  </si>
  <si>
    <t>JIBAR 6M</t>
  </si>
  <si>
    <t>J9M</t>
  </si>
  <si>
    <t>JIBAR 9M</t>
  </si>
  <si>
    <t>L00</t>
  </si>
  <si>
    <t>TAXA LIQ. NULA-DP OFFSHORE MADEIRA</t>
  </si>
  <si>
    <t>L01</t>
  </si>
  <si>
    <t>LISBOR 1M DIARIA</t>
  </si>
  <si>
    <t>L03</t>
  </si>
  <si>
    <t>LISBOR 3 MESES</t>
  </si>
  <si>
    <t>L06</t>
  </si>
  <si>
    <t>LISBOR 6 MESES</t>
  </si>
  <si>
    <t>L12</t>
  </si>
  <si>
    <t>LISBOR 12 MESES</t>
  </si>
  <si>
    <t>L1A</t>
  </si>
  <si>
    <t>LISBOR DIARIA ( 12 MESES )</t>
  </si>
  <si>
    <t>L1M</t>
  </si>
  <si>
    <t>LIBOR 1M ( DIARIA)</t>
  </si>
  <si>
    <t>L1W</t>
  </si>
  <si>
    <t>LIBOR WEEK</t>
  </si>
  <si>
    <t>L21</t>
  </si>
  <si>
    <t>LIQ 69.21</t>
  </si>
  <si>
    <t>L2M</t>
  </si>
  <si>
    <t>LIBOR 2M ( DIARIA)</t>
  </si>
  <si>
    <t>L30</t>
  </si>
  <si>
    <t>LISBOR 1 MES</t>
  </si>
  <si>
    <t>L3M</t>
  </si>
  <si>
    <t>LIBOR 3 MESES</t>
  </si>
  <si>
    <t>L50</t>
  </si>
  <si>
    <t>LIQ.ANT.PLANO AFORRO</t>
  </si>
  <si>
    <t>L60</t>
  </si>
  <si>
    <t>REMUNERACAO LIQUIDACAO CONTA 15 DIAS</t>
  </si>
  <si>
    <t>L61</t>
  </si>
  <si>
    <t>REMUNERACAO LIQUIDACAO DEPOSITO 60 DIAS</t>
  </si>
  <si>
    <t>L62</t>
  </si>
  <si>
    <t>TAXA LIQ.ANTECIPADA D.P.</t>
  </si>
  <si>
    <t>L65</t>
  </si>
  <si>
    <t>DP TX.FIXA 30M - LIQ.ANTECIPADA</t>
  </si>
  <si>
    <t>L69</t>
  </si>
  <si>
    <t>LIQUID. PSI20</t>
  </si>
  <si>
    <t>L6A</t>
  </si>
  <si>
    <t>LISBOR 6 MESES - ACT365</t>
  </si>
  <si>
    <t>L6M</t>
  </si>
  <si>
    <t>LISBOR 6 MESES - MEDIA MENSAL</t>
  </si>
  <si>
    <t>L71</t>
  </si>
  <si>
    <t>LIQUIDACAO CONTA POUPANCA HABITACAO</t>
  </si>
  <si>
    <t>L73</t>
  </si>
  <si>
    <t>PRODUTO 67.03</t>
  </si>
  <si>
    <t>L75</t>
  </si>
  <si>
    <t>PRODUTO 67.05</t>
  </si>
  <si>
    <t>L90</t>
  </si>
  <si>
    <t>LISBOR 3 MESES - MEDIA MENSAL</t>
  </si>
  <si>
    <t>LAM</t>
  </si>
  <si>
    <t>LISBOR 12M- TX MEDIA MOVEL</t>
  </si>
  <si>
    <t>LB1</t>
  </si>
  <si>
    <t>LISBOR DIARIA ( 1 MES )</t>
  </si>
  <si>
    <t>LB3</t>
  </si>
  <si>
    <t>LISBOR DIARIA ( 3 MESES )</t>
  </si>
  <si>
    <t>LB6</t>
  </si>
  <si>
    <t>LIBOR 6M ( DIARIA)</t>
  </si>
  <si>
    <t>LB9</t>
  </si>
  <si>
    <t>LIBOR 9M ( DIARIA)</t>
  </si>
  <si>
    <t>LBA</t>
  </si>
  <si>
    <t>LIBOR 12 MESES</t>
  </si>
  <si>
    <t>LDE</t>
  </si>
  <si>
    <t>LONDON BRANCH BASE RATE EUR</t>
  </si>
  <si>
    <t>LDG</t>
  </si>
  <si>
    <t>LONDON BRANCH BASE RATE GBP</t>
  </si>
  <si>
    <t>LF0</t>
  </si>
  <si>
    <t>DEP.FIN.-NULO</t>
  </si>
  <si>
    <t>LF1</t>
  </si>
  <si>
    <t>DEP.FINANCEIRO BCI</t>
  </si>
  <si>
    <t>LF2</t>
  </si>
  <si>
    <t>DEP.FINANC.BCI - PERS.</t>
  </si>
  <si>
    <t>LF3</t>
  </si>
  <si>
    <t>LISFRA3M</t>
  </si>
  <si>
    <t>LF6</t>
  </si>
  <si>
    <t>LISFRA6M ( DIARIA)</t>
  </si>
  <si>
    <t>LF9</t>
  </si>
  <si>
    <t>LISFRA9M ( DIARIA)</t>
  </si>
  <si>
    <t>LFA</t>
  </si>
  <si>
    <t>LISFRA12M ( DIARIA)</t>
  </si>
  <si>
    <t>LI1</t>
  </si>
  <si>
    <t>TAXA LIBID (1 MES)</t>
  </si>
  <si>
    <t>LI3</t>
  </si>
  <si>
    <t>TAXA LIBID - 3MESES</t>
  </si>
  <si>
    <t>LI6</t>
  </si>
  <si>
    <t>LIBOR 6 MESES (MEDIA MENSAL)</t>
  </si>
  <si>
    <t>LIA</t>
  </si>
  <si>
    <t>LIBOR 12 MESES (MEDIA MENSAL)</t>
  </si>
  <si>
    <t>LIB</t>
  </si>
  <si>
    <t>LIBOR 1 MES (MEDIA MENSAL)</t>
  </si>
  <si>
    <t>LID</t>
  </si>
  <si>
    <t>TAXA LIBID - RESERVAS DE CAIXA</t>
  </si>
  <si>
    <t>LIS</t>
  </si>
  <si>
    <t>LISBOR 12 MESES - MEDIA MENSAL</t>
  </si>
  <si>
    <t>LIT</t>
  </si>
  <si>
    <t>LIBOR 3 MESES (MEDIA MENSAL)</t>
  </si>
  <si>
    <t>LON</t>
  </si>
  <si>
    <t>LIBOR OVERNIGHT</t>
  </si>
  <si>
    <t>LSM</t>
  </si>
  <si>
    <t>LISBOR 6M TX MEDIA MOVEL 20 DIAS UTEIS</t>
  </si>
  <si>
    <t>LTN</t>
  </si>
  <si>
    <t>LISBORTN ( DIARIA)</t>
  </si>
  <si>
    <t>SWAP 10 ANOS MENSAL</t>
  </si>
  <si>
    <t>SWAP 11 ANOS(INDEX.INTERNO)-AMORT.MENSAL</t>
  </si>
  <si>
    <t>EURIBOR ANUAL B30/360 (AR.MILESIMA)</t>
  </si>
  <si>
    <t>MB1</t>
  </si>
  <si>
    <t>MIBOR 1M ( DIARIA)</t>
  </si>
  <si>
    <t>MB3</t>
  </si>
  <si>
    <t>MIBOR 3M ( DIARIA)</t>
  </si>
  <si>
    <t>MB6</t>
  </si>
  <si>
    <t>MIBOR 6M ( DIARIA)</t>
  </si>
  <si>
    <t>MB9</t>
  </si>
  <si>
    <t>MIBOR 9M</t>
  </si>
  <si>
    <t>MBA</t>
  </si>
  <si>
    <t>MIBOR 12M</t>
  </si>
  <si>
    <t>MBO</t>
  </si>
  <si>
    <t>MIBOR ( DIARIA)</t>
  </si>
  <si>
    <t>ME1</t>
  </si>
  <si>
    <t>EURIBOR MENSAL B30/360 (AR.MILESIMA)</t>
  </si>
  <si>
    <t>ME3</t>
  </si>
  <si>
    <t>EURIBOR TRIMESTRAL B30/360 (AR.MILESIMA)</t>
  </si>
  <si>
    <t>ME6</t>
  </si>
  <si>
    <t>EURIBOR SEMESTRAL B30/360 (AR.MILESIMA)</t>
  </si>
  <si>
    <t>MEA</t>
  </si>
  <si>
    <t>EURIBOR 12M - MEDIA MOVEL</t>
  </si>
  <si>
    <t>MES</t>
  </si>
  <si>
    <t>EURIBOR 6M - MEDIA MOVEL</t>
  </si>
  <si>
    <t>MF1</t>
  </si>
  <si>
    <t>MIFRA 1M ( DIARIA)</t>
  </si>
  <si>
    <t>MF3</t>
  </si>
  <si>
    <t>MIFRA 3M ( DIARIA)</t>
  </si>
  <si>
    <t>MF6</t>
  </si>
  <si>
    <t>MIFRA 6M ( DIARIA)</t>
  </si>
  <si>
    <t>MF9</t>
  </si>
  <si>
    <t>MIFRA 9M ( DIARIA)</t>
  </si>
  <si>
    <t>MFA</t>
  </si>
  <si>
    <t>MIFRA 12M ( DIARIA)</t>
  </si>
  <si>
    <t>MIC</t>
  </si>
  <si>
    <t>MERCADO MONETARIO INTERBANCARIO CREDOR</t>
  </si>
  <si>
    <t>MID</t>
  </si>
  <si>
    <t>MERCADO MONETARIO INTERBANCARIO DEVEDOR</t>
  </si>
  <si>
    <t>MMI</t>
  </si>
  <si>
    <t>MOR</t>
  </si>
  <si>
    <t>EMP</t>
  </si>
  <si>
    <t>MPR</t>
  </si>
  <si>
    <t>MEDIA DAS PRIME RATE (PROCOM)</t>
  </si>
  <si>
    <t>MTD</t>
  </si>
  <si>
    <t>TAXA MISTA FIXA 2 ANOS - 3,20%</t>
  </si>
  <si>
    <t>MTU</t>
  </si>
  <si>
    <t>TAXA MISTA FIXA 3 ANOS - 3,10%</t>
  </si>
  <si>
    <t>NUL</t>
  </si>
  <si>
    <t>TAXA DE REFERENCIA NULA</t>
  </si>
  <si>
    <t>OTN</t>
  </si>
  <si>
    <t>OIBOR TOMORROW - NEXT</t>
  </si>
  <si>
    <t>P01</t>
  </si>
  <si>
    <t>TAXA DE PERIODIFICAÇÃO - 2,625</t>
  </si>
  <si>
    <t>P02</t>
  </si>
  <si>
    <t>P03</t>
  </si>
  <si>
    <t>DESCONTO S/ ESTRANGEIRO</t>
  </si>
  <si>
    <t>P04</t>
  </si>
  <si>
    <t>P05</t>
  </si>
  <si>
    <t>TX. REF. PROTEGIDA - 5A</t>
  </si>
  <si>
    <t>P06</t>
  </si>
  <si>
    <t>P07</t>
  </si>
  <si>
    <t>TX REF OBRIGACOES</t>
  </si>
  <si>
    <t>P08</t>
  </si>
  <si>
    <t>TRCB-E/D TX.CALC BONIF</t>
  </si>
  <si>
    <t>P18</t>
  </si>
  <si>
    <t>TRNB-TX.REF.NOMINAL BONIF</t>
  </si>
  <si>
    <t>P19</t>
  </si>
  <si>
    <t>TX</t>
  </si>
  <si>
    <t>P21</t>
  </si>
  <si>
    <t>P30</t>
  </si>
  <si>
    <t>P31</t>
  </si>
  <si>
    <t>P32</t>
  </si>
  <si>
    <t>TX.CREDITO RECHEIO</t>
  </si>
  <si>
    <t>P33</t>
  </si>
  <si>
    <t>TRN-TX REFERENCIA NOMINAL</t>
  </si>
  <si>
    <t>P34</t>
  </si>
  <si>
    <t>TPN-TX PREFERENCIA NOMINAL</t>
  </si>
  <si>
    <t>P35</t>
  </si>
  <si>
    <t>PRIME-RATE/CPP</t>
  </si>
  <si>
    <t>P36</t>
  </si>
  <si>
    <t>FC-TX.BASICA NOMINAL</t>
  </si>
  <si>
    <t>P37</t>
  </si>
  <si>
    <t>FC-FINANCIAM.CONSTRUCAO</t>
  </si>
  <si>
    <t>P38</t>
  </si>
  <si>
    <t>P39</t>
  </si>
  <si>
    <t>TX.EMPREGADOS-HPS REF.TCF/BP</t>
  </si>
  <si>
    <t>P41</t>
  </si>
  <si>
    <t>TRCB-TX REF.P/CALC.BON.ATE 8/10/97</t>
  </si>
  <si>
    <t>P42</t>
  </si>
  <si>
    <t>TX EMP</t>
  </si>
  <si>
    <t>P43</t>
  </si>
  <si>
    <t>TRCB-TX REF.CALC.BON.POST 8/10/97</t>
  </si>
  <si>
    <t>P44</t>
  </si>
  <si>
    <t>P45</t>
  </si>
  <si>
    <t>TAXA INDICATIVA APB - 90 DIAS</t>
  </si>
  <si>
    <t>P46</t>
  </si>
  <si>
    <t>P47</t>
  </si>
  <si>
    <t>PRIME-RATE/PROCOM</t>
  </si>
  <si>
    <t>P48</t>
  </si>
  <si>
    <t>TRCB-PORTARIA 964/98</t>
  </si>
  <si>
    <t>P50</t>
  </si>
  <si>
    <t>TOTTA URBE-LOJAS E ESCRIT.</t>
  </si>
  <si>
    <t>P57</t>
  </si>
  <si>
    <t>LISBOR 6 MESES-MEDIA MOVEL ULT.20D UTEI</t>
  </si>
  <si>
    <t>P58</t>
  </si>
  <si>
    <t>P59</t>
  </si>
  <si>
    <t>EURIBOR 6 MESES(B.365)-MEDIA MOVEL</t>
  </si>
  <si>
    <t>P60</t>
  </si>
  <si>
    <t>EURIBOR 12 MESES(B.365)-MEDIA MOVEL</t>
  </si>
  <si>
    <t>P61</t>
  </si>
  <si>
    <t>FINANCIAMENTO S/PAIS-NIVEL MINIMO</t>
  </si>
  <si>
    <t>P62</t>
  </si>
  <si>
    <t>P65</t>
  </si>
  <si>
    <t>TRETG05-TAXA GARANTIDA 5 ANOS</t>
  </si>
  <si>
    <t>P66</t>
  </si>
  <si>
    <t>TRETG10-TAXA GARANTIDA A 10 ANOS</t>
  </si>
  <si>
    <t>P68</t>
  </si>
  <si>
    <t>TRETG20-TAXA GARANTIDA A 20 ANOS</t>
  </si>
  <si>
    <t>P75</t>
  </si>
  <si>
    <t>TX REF PROTEGIDA 5A</t>
  </si>
  <si>
    <t>P91</t>
  </si>
  <si>
    <t>EURIBOR 1 MES - BASE 365</t>
  </si>
  <si>
    <t>P92</t>
  </si>
  <si>
    <t>EURIBOR 3 MESES - BASE 365</t>
  </si>
  <si>
    <t>P93</t>
  </si>
  <si>
    <t>EURIBOR 6 MESES - BASE 365</t>
  </si>
  <si>
    <t>P94</t>
  </si>
  <si>
    <t>EURIBOR 12 MESES - BASE 365</t>
  </si>
  <si>
    <t>PMR</t>
  </si>
  <si>
    <t>PRIME RATE</t>
  </si>
  <si>
    <t>PR1</t>
  </si>
  <si>
    <t>PRI</t>
  </si>
  <si>
    <t>PRIVATIZAÇOES 97</t>
  </si>
  <si>
    <t>PRM</t>
  </si>
  <si>
    <t>QR3</t>
  </si>
  <si>
    <t>QR3 - QREN 3-INDEXANTE TX MINIMA</t>
  </si>
  <si>
    <t>QRE</t>
  </si>
  <si>
    <t>QRM</t>
  </si>
  <si>
    <t>R00</t>
  </si>
  <si>
    <t>D.O. RESIDUAL 750 CTS. - R00</t>
  </si>
  <si>
    <t>REMUN.DEP.BCI MAIS</t>
  </si>
  <si>
    <t>TAXA DO 69.06</t>
  </si>
  <si>
    <t>CD PSI20 SETEMBRO 98 1 ANO</t>
  </si>
  <si>
    <t>CR PSI20 SETEMBRO 98 2 ANOS</t>
  </si>
  <si>
    <t>CR PSI20 SETEMBRO 98 3 ANOS</t>
  </si>
  <si>
    <t>D.O. - RESIDUAL 1000 CTS - R10</t>
  </si>
  <si>
    <t>POUP.CONDOMINIO BCI</t>
  </si>
  <si>
    <t>D.O. - RESIDUAL 1000 CTS - R12</t>
  </si>
  <si>
    <t>D.O. - RESIDUAL 1000 CTS - R13</t>
  </si>
  <si>
    <t>D.O. - RESIDUAL 1000 CTS - R14</t>
  </si>
  <si>
    <t>D.O. - RESIDUAL 1000 CTS - R15</t>
  </si>
  <si>
    <t>D.O. - RESIDUAL 1000 CTS - R16</t>
  </si>
  <si>
    <t>D.O. - RESIDUAL 1000 CTS - R17</t>
  </si>
  <si>
    <t>D.O. - RESIDUAL 1000 CTS - R18</t>
  </si>
  <si>
    <t>TAXA PSI20 - 69.03</t>
  </si>
  <si>
    <t>D.O. - RESIDUAL 1000 CTS - R20</t>
  </si>
  <si>
    <t>TAXA PSI20 - 69.04</t>
  </si>
  <si>
    <t>TX. D.P. M/E</t>
  </si>
  <si>
    <t>TX.PLANO AFORRO I</t>
  </si>
  <si>
    <t>REMUNERACAO DA CONTA 15 DIAS</t>
  </si>
  <si>
    <t>REMUNERACAO DEPOSITO 60 DIAS</t>
  </si>
  <si>
    <t>TAXA BASE DEPOSITO A PRAZO (31 A 732)</t>
  </si>
  <si>
    <t>TAXA REFERENCIA ANUAL BCI</t>
  </si>
  <si>
    <t>TAXA DEP.PRAZO M.E.</t>
  </si>
  <si>
    <t>DEP. TAXA FIXA 30M</t>
  </si>
  <si>
    <t>D.P. - INDICES EUROPEUS</t>
  </si>
  <si>
    <t>REMUNERACAO CONTA POUPANCA REFORMADO</t>
  </si>
  <si>
    <t>REMUNERACAO CONTA POUPANCA HABITACAO</t>
  </si>
  <si>
    <t>TAXA BASE DEPOSITO A PRAZO EMIGRANTE</t>
  </si>
  <si>
    <t>TAXA 69.05</t>
  </si>
  <si>
    <t>RAC</t>
  </si>
  <si>
    <t>TAXA D.P. EMPREGADOS/ACCOES</t>
  </si>
  <si>
    <t>RBM</t>
  </si>
  <si>
    <t>DEPOSITO BCI MAIS</t>
  </si>
  <si>
    <t>REF</t>
  </si>
  <si>
    <t>TAXA REFI\CEE</t>
  </si>
  <si>
    <t>RF1</t>
  </si>
  <si>
    <t>REM.FINANC.</t>
  </si>
  <si>
    <t>RF2</t>
  </si>
  <si>
    <t>DEP.FIANNA</t>
  </si>
  <si>
    <t>RF3</t>
  </si>
  <si>
    <t>DEP.FINAN</t>
  </si>
  <si>
    <t>RF4</t>
  </si>
  <si>
    <t>RF5</t>
  </si>
  <si>
    <t>DEP.TRIMESTRAL BCI</t>
  </si>
  <si>
    <t>RF6</t>
  </si>
  <si>
    <t>DEP.TRIMESTRAL BCI (BONIF.</t>
  </si>
  <si>
    <t>RF7</t>
  </si>
  <si>
    <t>RF8</t>
  </si>
  <si>
    <t>DEP.ANUAL ESPECIAL</t>
  </si>
  <si>
    <t>RF9</t>
  </si>
  <si>
    <t>BCI MAIS       (TIL)</t>
  </si>
  <si>
    <t>RNP</t>
  </si>
  <si>
    <t>REFORMAS NAO PREVISTAS</t>
  </si>
  <si>
    <t>RPT</t>
  </si>
  <si>
    <t>TAXA PRODUTO 69.13</t>
  </si>
  <si>
    <t>RTD</t>
  </si>
  <si>
    <t>RENDIMENTO TRABALHO DEPENDENTE</t>
  </si>
  <si>
    <t>SUPER CONTA 15 DIAS</t>
  </si>
  <si>
    <t>S1M</t>
  </si>
  <si>
    <t>STIBOR MENSAL</t>
  </si>
  <si>
    <t>S1T</t>
  </si>
  <si>
    <t>SWAP 1 ANO TRIM</t>
  </si>
  <si>
    <t>S1Y</t>
  </si>
  <si>
    <t>TAXA SWAP 1 ANO</t>
  </si>
  <si>
    <t>S27</t>
  </si>
  <si>
    <t>S28</t>
  </si>
  <si>
    <t>TAXA MISTA FIXA 2 ANOS - 2,85%</t>
  </si>
  <si>
    <t>S29</t>
  </si>
  <si>
    <t>TAXA MISTA FIXA 3 ANOS - 2,90%</t>
  </si>
  <si>
    <t>S2A</t>
  </si>
  <si>
    <t>SWAP 2 ANOS(INDEX.INTERNO)-AMORT. ANUAL</t>
  </si>
  <si>
    <t>S2M</t>
  </si>
  <si>
    <t>STIBOR 2M</t>
  </si>
  <si>
    <t>S2T</t>
  </si>
  <si>
    <t>SWAP 2 ANOS(INDEX.INTERNO)-AMORT. TRIM</t>
  </si>
  <si>
    <t>S2Y</t>
  </si>
  <si>
    <t>TAXA SWAP 2 ANOS</t>
  </si>
  <si>
    <t>S30</t>
  </si>
  <si>
    <t>TAXA MISTA FIXA 2 ANOS - 3,00%</t>
  </si>
  <si>
    <t>S3A</t>
  </si>
  <si>
    <t>SWAP 3 ANOS(INDEX-INTERNO)-AMORT. ANUAL</t>
  </si>
  <si>
    <t>S3M</t>
  </si>
  <si>
    <t>STIBOR 3M</t>
  </si>
  <si>
    <t>S3T</t>
  </si>
  <si>
    <t>SWAP 3 ANOS TRIM</t>
  </si>
  <si>
    <t>S3Y</t>
  </si>
  <si>
    <t>TAXA SWAP 3 ANOS</t>
  </si>
  <si>
    <t>S4T</t>
  </si>
  <si>
    <t>SWAP 4 ANOS TRIM</t>
  </si>
  <si>
    <t>S4Y</t>
  </si>
  <si>
    <t>TAXA SWAP 4 ANOS</t>
  </si>
  <si>
    <t>S5T</t>
  </si>
  <si>
    <t>SWAP 5 ANOS TRIM</t>
  </si>
  <si>
    <t>S6M</t>
  </si>
  <si>
    <t>STIBOR 6M</t>
  </si>
  <si>
    <t>S6T</t>
  </si>
  <si>
    <t>SWAP 6 ANOS TRIM</t>
  </si>
  <si>
    <t>S6Y</t>
  </si>
  <si>
    <t>TAXA SWAP 6 ANOS</t>
  </si>
  <si>
    <t>S7T</t>
  </si>
  <si>
    <t>SWAP 7 ANOS(INDEX.INTERNO)-AMORT. TRIM</t>
  </si>
  <si>
    <t>S7Y</t>
  </si>
  <si>
    <t>TAXA SWAP 7 ANOS</t>
  </si>
  <si>
    <t>S8T</t>
  </si>
  <si>
    <t>SWAP 8 ANOS(INDEX.INTERNO)-AMORT. TRIM</t>
  </si>
  <si>
    <t>S8Y</t>
  </si>
  <si>
    <t>TAXA SWAP 8 ANOS</t>
  </si>
  <si>
    <t>S9M</t>
  </si>
  <si>
    <t>STIBOR 9M</t>
  </si>
  <si>
    <t>S9T</t>
  </si>
  <si>
    <t>SWAP 9 ANOS TRIM</t>
  </si>
  <si>
    <t>S9Y</t>
  </si>
  <si>
    <t>TAXA SWAP 9 ANOS</t>
  </si>
  <si>
    <t>SBE</t>
  </si>
  <si>
    <t>TAXA DO D.P.-VISA</t>
  </si>
  <si>
    <t>SCT</t>
  </si>
  <si>
    <t>SUPER CREDITO TOTTA</t>
  </si>
  <si>
    <t>SHP</t>
  </si>
  <si>
    <t>SUPERHIPOTECA</t>
  </si>
  <si>
    <t>SM1</t>
  </si>
  <si>
    <t>SWAP 1 ANO MENSAL</t>
  </si>
  <si>
    <t>SM2</t>
  </si>
  <si>
    <t>SWAP 2 ANOS(INDEX.INTERNO)-AMORT.MENSAL</t>
  </si>
  <si>
    <t>SM3</t>
  </si>
  <si>
    <t>SWAP 3 ANOS MENSAL</t>
  </si>
  <si>
    <t>SM4</t>
  </si>
  <si>
    <t>SWAP 4 ANOS MENSAL</t>
  </si>
  <si>
    <t>SM5</t>
  </si>
  <si>
    <t>SWAP 5 ANOS MENSAL</t>
  </si>
  <si>
    <t>SM6</t>
  </si>
  <si>
    <t>SWAP 6 ANOS MENSAL</t>
  </si>
  <si>
    <t>SM7</t>
  </si>
  <si>
    <t>SWAP 7 ANOS(INDEX.INTERNO)-AMORT.MENSAL</t>
  </si>
  <si>
    <t>SM8</t>
  </si>
  <si>
    <t>SWAP 8 ANOS(INDEX.INTERNO)-AMORT.MENSAL</t>
  </si>
  <si>
    <t>SM9</t>
  </si>
  <si>
    <t>SWAP 9 ANOS(INDEX.INTERNO)-AMORT.MENSAL</t>
  </si>
  <si>
    <t>SOG</t>
  </si>
  <si>
    <t>TAXA DA SOGIMO</t>
  </si>
  <si>
    <t>ST1</t>
  </si>
  <si>
    <t>STIBOR 1Y</t>
  </si>
  <si>
    <t>ST5</t>
  </si>
  <si>
    <t>TAXA SWAP 5 ANOS</t>
  </si>
  <si>
    <t>STJ</t>
  </si>
  <si>
    <t>SEGURANCA TOTAL E JOVEM</t>
  </si>
  <si>
    <t>STN</t>
  </si>
  <si>
    <t>STIBOR TOMORROW - NEXT</t>
  </si>
  <si>
    <t>STU</t>
  </si>
  <si>
    <t>TAXA MISTA FIXA 2 ANOS - 3,10%</t>
  </si>
  <si>
    <t>STZ</t>
  </si>
  <si>
    <t>TAXA MISTA FIXA 3 ANOS - 3,00%</t>
  </si>
  <si>
    <t>SW1</t>
  </si>
  <si>
    <t>TAXA SWAP 1 ANO DIF. -2 DIAS UTEIS</t>
  </si>
  <si>
    <t>SW2</t>
  </si>
  <si>
    <t>TAXA SWAP 2 ANOS DIF. -2 DIAS UTEIS</t>
  </si>
  <si>
    <t>SW3</t>
  </si>
  <si>
    <t>TAXA SWAP 3 ANOS DIF. -2 DIAS UTEIS</t>
  </si>
  <si>
    <t>SW4</t>
  </si>
  <si>
    <t>TAXA SWAP 4 ANOS DIF. -2 DIAS UTEIS</t>
  </si>
  <si>
    <t>SW5</t>
  </si>
  <si>
    <t>TAXA SWAP 5 ANOS DIF. -2 DIAS UTEIS</t>
  </si>
  <si>
    <t>SW6</t>
  </si>
  <si>
    <t>TAXA SWAP 6 ANOS DIF. -2 DIAS UTEIS</t>
  </si>
  <si>
    <t>SW7</t>
  </si>
  <si>
    <t>TAXA SWAP 7 ANOS DIF. -2 DIAS UTEIS</t>
  </si>
  <si>
    <t>SW8</t>
  </si>
  <si>
    <t>TAXA SWAP 8 ANOS DIF. -2 DIAS UTEIS</t>
  </si>
  <si>
    <t>SW9</t>
  </si>
  <si>
    <t>TAXA SWAP 9 ANOS DIF. -2 DIAS UTEIS</t>
  </si>
  <si>
    <t>SWA</t>
  </si>
  <si>
    <t>TAXA SWAP 10 ANOS DIF. -2 DIAS UTEIS</t>
  </si>
  <si>
    <t>SWB</t>
  </si>
  <si>
    <t>TAXA SWAP 12 ANOS  DIF. -2 DIAS UTEIS</t>
  </si>
  <si>
    <t>SWC</t>
  </si>
  <si>
    <t>TAXA SWAP 15 ANOS  DIF. -2 DIAS UTEIS</t>
  </si>
  <si>
    <t>SWD</t>
  </si>
  <si>
    <t>TAXA SWAP 20 ANOS  DIF. -2 DIAS UTEIS</t>
  </si>
  <si>
    <t>SWE</t>
  </si>
  <si>
    <t>TAXA SWAP 30 ANOS  DIF. -2 DIAS UTEIS</t>
  </si>
  <si>
    <t>SY1</t>
  </si>
  <si>
    <t>TAXA SWAP 1 ANOS C/FLOOR ZERO</t>
  </si>
  <si>
    <t>SY2</t>
  </si>
  <si>
    <t>TAXA SWAP 2 ANOS C/FLOOR ZERO</t>
  </si>
  <si>
    <t>SY3</t>
  </si>
  <si>
    <t>TAXA SWAP 3 ANOS C/FLOOR ZERO</t>
  </si>
  <si>
    <t>SY4</t>
  </si>
  <si>
    <t>TAXA SWAP 4 ANOS C/FLOOR ZERO</t>
  </si>
  <si>
    <t>SY5</t>
  </si>
  <si>
    <t>TAXA SWAP 5 ANOS C/FLOOR ZERO</t>
  </si>
  <si>
    <t>SY6</t>
  </si>
  <si>
    <t>TAXA SWAP 6 ANOS C/FLOOR ZERO</t>
  </si>
  <si>
    <t>SY7</t>
  </si>
  <si>
    <t>TAXA SWAP 7 ANOS C/FLOOR ZERO</t>
  </si>
  <si>
    <t>SY8</t>
  </si>
  <si>
    <t>TAXA SWAP 8 ANOS C/FLOOR ZERO</t>
  </si>
  <si>
    <t>SY9</t>
  </si>
  <si>
    <t>TAXA SWAP 9 ANOS C/FLOOR ZERO</t>
  </si>
  <si>
    <t>T03</t>
  </si>
  <si>
    <t>BTA 90 DIAS</t>
  </si>
  <si>
    <t>T06</t>
  </si>
  <si>
    <t>BTA 180 DIAS</t>
  </si>
  <si>
    <t>T10</t>
  </si>
  <si>
    <t>D.O. - SEM SALDO RESIDUAL - T10</t>
  </si>
  <si>
    <t>T11</t>
  </si>
  <si>
    <t>BTA 90 DIAS - PARTICULARES</t>
  </si>
  <si>
    <t>T12</t>
  </si>
  <si>
    <t>D.O. - SEM SALDO RESIDUAL - T12</t>
  </si>
  <si>
    <t>T13</t>
  </si>
  <si>
    <t>D.O. - SEM SALDO RESIDUAL - T13</t>
  </si>
  <si>
    <t>T14</t>
  </si>
  <si>
    <t>BTA 90 DIAS - EMPRESAS</t>
  </si>
  <si>
    <t>T15</t>
  </si>
  <si>
    <t>BTA 180 DIAS - EMPRESAS</t>
  </si>
  <si>
    <t>T16</t>
  </si>
  <si>
    <t>BTA &gt; 180 DIAS - EMPRESAS</t>
  </si>
  <si>
    <t>T17</t>
  </si>
  <si>
    <t>NIVELAMENTO</t>
  </si>
  <si>
    <t>T18</t>
  </si>
  <si>
    <t>TOTTA ESTUDANTE MEIOS INFORMATICOS</t>
  </si>
  <si>
    <t>T19</t>
  </si>
  <si>
    <t>T24</t>
  </si>
  <si>
    <t>T25</t>
  </si>
  <si>
    <t>T26</t>
  </si>
  <si>
    <t>PRIME-RATE/BTA</t>
  </si>
  <si>
    <t>T35</t>
  </si>
  <si>
    <t>INDEXADA TBA</t>
  </si>
  <si>
    <t>T36</t>
  </si>
  <si>
    <t>TAXA MEDIA DAS PRIME RATE(PROCOM)</t>
  </si>
  <si>
    <t>T37</t>
  </si>
  <si>
    <t>T38</t>
  </si>
  <si>
    <t>TAXA TOTTA</t>
  </si>
  <si>
    <t>T39</t>
  </si>
  <si>
    <t>LISBOR 180 DIAS (ULTIMOS 3 DIAS)</t>
  </si>
  <si>
    <t>T40</t>
  </si>
  <si>
    <t>T41</t>
  </si>
  <si>
    <t>TAXA ESPECIAL PARA PARTICULARES</t>
  </si>
  <si>
    <t>T43</t>
  </si>
  <si>
    <t>LISBOR 3 MESES (PENULTIMO DIA UTIL)</t>
  </si>
  <si>
    <t>T44</t>
  </si>
  <si>
    <t>LISBOR 6 MESES /( PENULTIMO DIA UTIL)</t>
  </si>
  <si>
    <t>T46</t>
  </si>
  <si>
    <t>LISBOR A MAIS DE 1 ANO</t>
  </si>
  <si>
    <t>T47</t>
  </si>
  <si>
    <t>LISBOR 3 MESES ( ULTIMO DIA UTIL)</t>
  </si>
  <si>
    <t>T48</t>
  </si>
  <si>
    <t>LISBOR 6 MESES ( ULTIMO DIA DO MES)</t>
  </si>
  <si>
    <t>T49</t>
  </si>
  <si>
    <t>LISBOR 6 MESES ( ULTIMO DIA UTIL)</t>
  </si>
  <si>
    <t>T52</t>
  </si>
  <si>
    <t>EURIBOR 6 MESES BASE 365 ( -1 DIA UTIL)</t>
  </si>
  <si>
    <t>T53</t>
  </si>
  <si>
    <t>TAXA DE MORA</t>
  </si>
  <si>
    <t>T54</t>
  </si>
  <si>
    <t>TAXA DE INCREMENTO DE MORA</t>
  </si>
  <si>
    <t>T56</t>
  </si>
  <si>
    <t>LISBOR 1 MES (ULTIMO DIA UTIL)</t>
  </si>
  <si>
    <t>T57</t>
  </si>
  <si>
    <t>LISBOR 1 MES ( SEGUNDO DIA UTIL )</t>
  </si>
  <si>
    <t>T58</t>
  </si>
  <si>
    <t>EURIBOR 180 DIAS (SEGUNDO DIA UTIL)</t>
  </si>
  <si>
    <t>T70</t>
  </si>
  <si>
    <t>TPN - REFERENCIA NOMINAL</t>
  </si>
  <si>
    <t>T71</t>
  </si>
  <si>
    <t>TRIP NOMINAL</t>
  </si>
  <si>
    <t>T72</t>
  </si>
  <si>
    <t>TRN - REFERENCIA NOMINAL</t>
  </si>
  <si>
    <t>T73</t>
  </si>
  <si>
    <t>AFBP-ABSORCAO DE FUNDOS DO BP</t>
  </si>
  <si>
    <t>T74</t>
  </si>
  <si>
    <t>TAXA EMIGRANTES</t>
  </si>
  <si>
    <t>T75</t>
  </si>
  <si>
    <t>TAXA UNICA DE REFORMAS</t>
  </si>
  <si>
    <t>T76</t>
  </si>
  <si>
    <t>CFBP-CEDENCIAS DE FUNDOS DO BP</t>
  </si>
  <si>
    <t>T77</t>
  </si>
  <si>
    <t>MARINHA</t>
  </si>
  <si>
    <t>T78</t>
  </si>
  <si>
    <t>TRIP - PREFERENCIAL</t>
  </si>
  <si>
    <t>T79</t>
  </si>
  <si>
    <t>TPN - PREFERENCIA NOMINAL - MARINHA</t>
  </si>
  <si>
    <t>T80</t>
  </si>
  <si>
    <t>TAXA DESCONTO BP</t>
  </si>
  <si>
    <t>T82</t>
  </si>
  <si>
    <t>LISBOR MEDIA TRIMESTRAL</t>
  </si>
  <si>
    <t>T83</t>
  </si>
  <si>
    <t>LISBOR MEDIA SEMESTRAL</t>
  </si>
  <si>
    <t>T84</t>
  </si>
  <si>
    <t>LISBOR 12M</t>
  </si>
  <si>
    <t>T85</t>
  </si>
  <si>
    <t>LISBOR A 1 MES (ULTIMO DIA)</t>
  </si>
  <si>
    <t>T86</t>
  </si>
  <si>
    <t>120% LISBOR A 1 MES</t>
  </si>
  <si>
    <t>T87</t>
  </si>
  <si>
    <t>140,42% LISBOR A 1 MES</t>
  </si>
  <si>
    <t>T88</t>
  </si>
  <si>
    <t>EURIBOR A 30 DIAS (B365)</t>
  </si>
  <si>
    <t>T89</t>
  </si>
  <si>
    <t>EURIBOR A 60 DIAS (B365)</t>
  </si>
  <si>
    <t>T90</t>
  </si>
  <si>
    <t>EURIBOR A 90 DIAS-BASE 365</t>
  </si>
  <si>
    <t>T91</t>
  </si>
  <si>
    <t>EURIBOR A 180 DIAS (B365)</t>
  </si>
  <si>
    <t>T92</t>
  </si>
  <si>
    <t>EURIBOR A 1 ANO - BASE 365</t>
  </si>
  <si>
    <t>T94</t>
  </si>
  <si>
    <t>EURIBOR A 60 DIAS - BASE 360</t>
  </si>
  <si>
    <t>T98</t>
  </si>
  <si>
    <t>EURIBOR A 3 MESES-BASE 360(2 DIA UTIL)</t>
  </si>
  <si>
    <t>T99</t>
  </si>
  <si>
    <t>EURIBOR A 6 MESES - MEDIA ULT.20 D.UTEIS</t>
  </si>
  <si>
    <t>TBA</t>
  </si>
  <si>
    <t>TAXA BASICA ANUAL</t>
  </si>
  <si>
    <t>TBN</t>
  </si>
  <si>
    <t>HP-TAXA BASICA NOMINAL</t>
  </si>
  <si>
    <t>TBP</t>
  </si>
  <si>
    <t>TAXA BASICA DESCONTO BP</t>
  </si>
  <si>
    <t>TCB</t>
  </si>
  <si>
    <t>TAXAS TITULOS CAMBIARIOS (TCB)</t>
  </si>
  <si>
    <t>TCE</t>
  </si>
  <si>
    <t>TX REG CRED H EMPREG.BANC- CPP</t>
  </si>
  <si>
    <t>TCN</t>
  </si>
  <si>
    <t>TX ACTV BANCARIOS - CPP</t>
  </si>
  <si>
    <t>TCS</t>
  </si>
  <si>
    <t>TAXA CPP EMP HAB N PERMANENTE</t>
  </si>
  <si>
    <t>TCU</t>
  </si>
  <si>
    <t>TX EMPREG.FINS SOC UTEIS - CPP</t>
  </si>
  <si>
    <t>TDC</t>
  </si>
  <si>
    <t>TAXA MISTA FIXA 2 ANOS - 3,25%</t>
  </si>
  <si>
    <t>TDP</t>
  </si>
  <si>
    <t>TAXA BASE D.P.</t>
  </si>
  <si>
    <t>TDZ</t>
  </si>
  <si>
    <t>TAXA MISTA FIXA 3 ANOS - 3,20%</t>
  </si>
  <si>
    <t>TEM</t>
  </si>
  <si>
    <t>TER</t>
  </si>
  <si>
    <t>TAXA JURO P/CRED.HABITACAO</t>
  </si>
  <si>
    <t>TF1</t>
  </si>
  <si>
    <t>TAXA FIXA A 1 ANO</t>
  </si>
  <si>
    <t>TF3</t>
  </si>
  <si>
    <t>TAXA FIXA 3 ANOS</t>
  </si>
  <si>
    <t>TF5</t>
  </si>
  <si>
    <t>TAXA FIXA A 5 ANOS</t>
  </si>
  <si>
    <t>TFC</t>
  </si>
  <si>
    <t>TAXA FIXA - ACCAO CARTEIRA CH</t>
  </si>
  <si>
    <t>TIM</t>
  </si>
  <si>
    <t>TMC</t>
  </si>
  <si>
    <t>TAXA MAXIMA CREDORA</t>
  </si>
  <si>
    <t>TMI</t>
  </si>
  <si>
    <t>ESTUDANTE MEIOS INFORMATICOS</t>
  </si>
  <si>
    <t>TMM</t>
  </si>
  <si>
    <t>TMO</t>
  </si>
  <si>
    <t>TAXA MORA FICTICIA CONFIRMING ESP</t>
  </si>
  <si>
    <t>TNC</t>
  </si>
  <si>
    <t>TAXAS TITULOS NAO CAMBIARIOS (TNC)</t>
  </si>
  <si>
    <t>TNG</t>
  </si>
  <si>
    <t>TAXA 20.NG</t>
  </si>
  <si>
    <t>TNL</t>
  </si>
  <si>
    <t>LIBOR TOMORROW - NEXT</t>
  </si>
  <si>
    <t>TOA</t>
  </si>
  <si>
    <t>TAXAS DE OPERACOES ACTIVAS (TOA)</t>
  </si>
  <si>
    <t>TOS</t>
  </si>
  <si>
    <t>TAXA DE OPERACOES DE CREDITO</t>
  </si>
  <si>
    <t>TOT</t>
  </si>
  <si>
    <t>TP2</t>
  </si>
  <si>
    <t>TAXA PREFERENCIAL NOMINAL 2</t>
  </si>
  <si>
    <t>TPN</t>
  </si>
  <si>
    <t>TAXA PREFERENCIA NOMINAL</t>
  </si>
  <si>
    <t>TPO</t>
  </si>
  <si>
    <t>TAXA BASE DEP.POUPANCA</t>
  </si>
  <si>
    <t>TRB</t>
  </si>
  <si>
    <t>TRB-TAXA REF.CALCULO BONIF DEFICIENTES</t>
  </si>
  <si>
    <t>TRC</t>
  </si>
  <si>
    <t>TAXA REF CRED BONIFICADO E EMIGRANTES</t>
  </si>
  <si>
    <t>TRD</t>
  </si>
  <si>
    <t>TRCB PARA DESMPREGADOS - PORT. 384/09</t>
  </si>
  <si>
    <t>TRH</t>
  </si>
  <si>
    <t>TAXA REFERENCIA HIPOTECARIA BCI</t>
  </si>
  <si>
    <t>TRI</t>
  </si>
  <si>
    <t>TRN</t>
  </si>
  <si>
    <t>TRN - TAXA REFERENCIA NOMINAL</t>
  </si>
  <si>
    <t>TRO</t>
  </si>
  <si>
    <t>TX.REFERENCIA OBRIGACOES</t>
  </si>
  <si>
    <t>TSC</t>
  </si>
  <si>
    <t>TAXA MISTA FIXA 2 ANOS - 3,70%</t>
  </si>
  <si>
    <t>TSN</t>
  </si>
  <si>
    <t>TAXA NEGOCIO</t>
  </si>
  <si>
    <t>TTB</t>
  </si>
  <si>
    <t>TOTTA BOLSA</t>
  </si>
  <si>
    <t>TTN</t>
  </si>
  <si>
    <t>TTT</t>
  </si>
  <si>
    <t>TESTE PARTENON</t>
  </si>
  <si>
    <t>TUR</t>
  </si>
  <si>
    <t>TOTTA URBE LOJAS/ESCRITORIOS</t>
  </si>
  <si>
    <t>TUZ</t>
  </si>
  <si>
    <t>TAXA MISTA FIXA 4 ANOS - 3,10%</t>
  </si>
  <si>
    <t>TX0</t>
  </si>
  <si>
    <t>TAXA X-SELLING CONSUMO</t>
  </si>
  <si>
    <t>TX1</t>
  </si>
  <si>
    <t>TX2</t>
  </si>
  <si>
    <t>TX3</t>
  </si>
  <si>
    <t>TX4</t>
  </si>
  <si>
    <t>TX5</t>
  </si>
  <si>
    <t>TX6</t>
  </si>
  <si>
    <t>TX7</t>
  </si>
  <si>
    <t>TX8</t>
  </si>
  <si>
    <t>TX9</t>
  </si>
  <si>
    <t>TXA</t>
  </si>
  <si>
    <t>TXB</t>
  </si>
  <si>
    <t>TXC</t>
  </si>
  <si>
    <t>TXD</t>
  </si>
  <si>
    <t>TXE</t>
  </si>
  <si>
    <t>TXF</t>
  </si>
  <si>
    <t>TXG</t>
  </si>
  <si>
    <t>TXH</t>
  </si>
  <si>
    <t>TXI</t>
  </si>
  <si>
    <t>TXJ</t>
  </si>
  <si>
    <t>TXL</t>
  </si>
  <si>
    <t>TZZ</t>
  </si>
  <si>
    <t>TAXA MISTA FIXA 4 ANOS - 3,00%</t>
  </si>
  <si>
    <t>U01</t>
  </si>
  <si>
    <t>TAXA DE USURA - FINALIDADE A01</t>
  </si>
  <si>
    <t>U02</t>
  </si>
  <si>
    <t>TAXA DE USURA - FINALIDADE A02</t>
  </si>
  <si>
    <t>U03</t>
  </si>
  <si>
    <t>TAXA DE USURA - FINALIDADE A03</t>
  </si>
  <si>
    <t>U04</t>
  </si>
  <si>
    <t>TAXA DE USURA - FINALIDADE A04</t>
  </si>
  <si>
    <t>U05</t>
  </si>
  <si>
    <t>TAXA DE USURA - FINALIDADE A05</t>
  </si>
  <si>
    <t>U06</t>
  </si>
  <si>
    <t>TAXA DE USURA - FINALIDADE A06</t>
  </si>
  <si>
    <t>U07</t>
  </si>
  <si>
    <t>TAXA DE USURA - FINALIDADE A07</t>
  </si>
  <si>
    <t>U08</t>
  </si>
  <si>
    <t>TAXA DE USURA - FINALIDADE A08</t>
  </si>
  <si>
    <t>U09</t>
  </si>
  <si>
    <t>TAXA DE USURA - FINALIDADE A09</t>
  </si>
  <si>
    <t>U10</t>
  </si>
  <si>
    <t>TAXA DE USURA - FINALIDADE A10</t>
  </si>
  <si>
    <t>U11</t>
  </si>
  <si>
    <t>TAXA DE USURA - FINALIDADE A11</t>
  </si>
  <si>
    <t>U12</t>
  </si>
  <si>
    <t>TAXA DE USURA - FINALIDADE A12</t>
  </si>
  <si>
    <t>U13</t>
  </si>
  <si>
    <t>TAXA DE USURA - FINALIDADE A13</t>
  </si>
  <si>
    <t>U14</t>
  </si>
  <si>
    <t>TAXA DE USURA - FINALIDADE A14</t>
  </si>
  <si>
    <t>U15</t>
  </si>
  <si>
    <t>TAXA DE USURA - FINALIDADE A15</t>
  </si>
  <si>
    <t>U16</t>
  </si>
  <si>
    <t>TAXA DE USURA - FINALIDADE A16</t>
  </si>
  <si>
    <t>U17</t>
  </si>
  <si>
    <t>TAXA DE USURA - FINALIDADE A17</t>
  </si>
  <si>
    <t>U18</t>
  </si>
  <si>
    <t>TAXA DE USURA - FINALIDADE A18</t>
  </si>
  <si>
    <t>U63</t>
  </si>
  <si>
    <t>TX LIQUID CERT POUPANCA</t>
  </si>
  <si>
    <t>U65</t>
  </si>
  <si>
    <t>DP.TX.FIXA 30M - ULT.PERIODO</t>
  </si>
  <si>
    <t>U68</t>
  </si>
  <si>
    <t>DEP TX FIXA 30 MESES</t>
  </si>
  <si>
    <t>U98</t>
  </si>
  <si>
    <t>U99</t>
  </si>
  <si>
    <t>W10</t>
  </si>
  <si>
    <t>TAXA SWAP 10 ANOS</t>
  </si>
  <si>
    <t>W12</t>
  </si>
  <si>
    <t>TAXA SWAP 12 ANOS</t>
  </si>
  <si>
    <t>W15</t>
  </si>
  <si>
    <t>TAXA SWAP 15 ANOS</t>
  </si>
  <si>
    <t>W20</t>
  </si>
  <si>
    <t>TAXA SWAP 20 ANOS</t>
  </si>
  <si>
    <t>W30</t>
  </si>
  <si>
    <t>TAXA SWAP 30 ANOS</t>
  </si>
  <si>
    <t>WF0</t>
  </si>
  <si>
    <t>TAXA SWAP 10 ANOS C/FLOOR ZERO</t>
  </si>
  <si>
    <t>WF1</t>
  </si>
  <si>
    <t>TAXA SWAP 12 ANOS C/FLOOR ZERO</t>
  </si>
  <si>
    <t>WF2</t>
  </si>
  <si>
    <t>TAXA SWAP 15 ANOS C/FLOOR ZERO</t>
  </si>
  <si>
    <t>WF3</t>
  </si>
  <si>
    <t>TAXA SWAP 20 ANOS C/FLOOR ZERO</t>
  </si>
  <si>
    <t>WF4</t>
  </si>
  <si>
    <t>TAXA SWAP 30 ANOS C/FLOOR ZERO</t>
  </si>
  <si>
    <t>X01</t>
  </si>
  <si>
    <t>TAXA MOBILIZACAO ANTECIPADA (081)</t>
  </si>
  <si>
    <t>X02</t>
  </si>
  <si>
    <t>TAXA MOBILIZACAO ANTECIPADA (093)</t>
  </si>
  <si>
    <t>X03</t>
  </si>
  <si>
    <t>TAXA MOBILIZACAO ANTECIPADA (096)</t>
  </si>
  <si>
    <t>X04</t>
  </si>
  <si>
    <t>TAXA MOBILIZACAO ANTECIPADA (200)</t>
  </si>
  <si>
    <t>X05</t>
  </si>
  <si>
    <t>TAXA MOBILIZACAO ANTECIPADA (196)</t>
  </si>
  <si>
    <t>X06</t>
  </si>
  <si>
    <t>TAXA MOBILIZACAO ANTECIPADA (195)</t>
  </si>
  <si>
    <t>X07</t>
  </si>
  <si>
    <t>TAXA MOBILIZACAO ANTECIPADA (202)</t>
  </si>
  <si>
    <t>X08</t>
  </si>
  <si>
    <t>TAXA MOBILIZACAO ANTECIPADA (203)</t>
  </si>
  <si>
    <t>X09</t>
  </si>
  <si>
    <t>TAXA MOBILIZACAO ANTECIPADA (205)</t>
  </si>
  <si>
    <t>X10</t>
  </si>
  <si>
    <t>TAXA MOBILIZACAO ANTECIPADA (152)</t>
  </si>
  <si>
    <t>X11</t>
  </si>
  <si>
    <t>TAXA MOBILIZACAO ANTECIPADA (002)</t>
  </si>
  <si>
    <t>X12</t>
  </si>
  <si>
    <t>TAXA MOBILIZACAO ANTECIPADA (280)</t>
  </si>
  <si>
    <t>X13</t>
  </si>
  <si>
    <t>TAXA MOBILIZACAO ANTECIPADA (290)</t>
  </si>
  <si>
    <t>X14</t>
  </si>
  <si>
    <t>TAXA MOBILIZACAO ANTECIPADA (322)</t>
  </si>
  <si>
    <t>X15</t>
  </si>
  <si>
    <t>TAXA MOBILIZACAO ANTECIPADA (332)</t>
  </si>
  <si>
    <t>X16</t>
  </si>
  <si>
    <t>TAXA MOBILIZACAO ANTECIPADA (333)</t>
  </si>
  <si>
    <t>X17</t>
  </si>
  <si>
    <t>TAXA MOBILIZACAO ANTECIPADA (354)</t>
  </si>
  <si>
    <t>X18</t>
  </si>
  <si>
    <t>TAXA MOBILIZACAO ANTECIPADA (370)</t>
  </si>
  <si>
    <t>X19</t>
  </si>
  <si>
    <t>TAXA MOBILIZACAO ANTECIPADA (369)</t>
  </si>
  <si>
    <t>X1A</t>
  </si>
  <si>
    <t>NIBOR  TN</t>
  </si>
  <si>
    <t>X1B</t>
  </si>
  <si>
    <t>NIBOR  1W</t>
  </si>
  <si>
    <t>X1C</t>
  </si>
  <si>
    <t>NIBOR  1M</t>
  </si>
  <si>
    <t>X1D</t>
  </si>
  <si>
    <t>NIBOR  2M</t>
  </si>
  <si>
    <t>X1E</t>
  </si>
  <si>
    <t>NIBOR  3M</t>
  </si>
  <si>
    <t>X1F</t>
  </si>
  <si>
    <t>NIBOR  6M</t>
  </si>
  <si>
    <t>X1G</t>
  </si>
  <si>
    <t>NOK SWAP 1Y</t>
  </si>
  <si>
    <t>X1I</t>
  </si>
  <si>
    <t>STIBOR  1W</t>
  </si>
  <si>
    <t>X1J</t>
  </si>
  <si>
    <t>STIBOR  1M</t>
  </si>
  <si>
    <t>X1K</t>
  </si>
  <si>
    <t>STIBOR  2M</t>
  </si>
  <si>
    <t>X1L</t>
  </si>
  <si>
    <t>STIBOR  3M</t>
  </si>
  <si>
    <t>X1M</t>
  </si>
  <si>
    <t>STIBOR  6M</t>
  </si>
  <si>
    <t>X1N</t>
  </si>
  <si>
    <t>SEK SWAP 1Y</t>
  </si>
  <si>
    <t>X1O</t>
  </si>
  <si>
    <t>CIBOR-  1W</t>
  </si>
  <si>
    <t>X1P</t>
  </si>
  <si>
    <t>CIBOR-  2W</t>
  </si>
  <si>
    <t>X1Q</t>
  </si>
  <si>
    <t>CIBOR 1M</t>
  </si>
  <si>
    <t>X1R</t>
  </si>
  <si>
    <t>X1S</t>
  </si>
  <si>
    <t>X1T</t>
  </si>
  <si>
    <t>CIBOR 4M</t>
  </si>
  <si>
    <t>X1U</t>
  </si>
  <si>
    <t>CIBOR 5M</t>
  </si>
  <si>
    <t>X1V</t>
  </si>
  <si>
    <t>X1X</t>
  </si>
  <si>
    <t>CIBOR 7M</t>
  </si>
  <si>
    <t>X1Z</t>
  </si>
  <si>
    <t>CIBOR 8M</t>
  </si>
  <si>
    <t>X20</t>
  </si>
  <si>
    <t>TAXA MOBILIZACAO ANTECIPADA (403)</t>
  </si>
  <si>
    <t>X21</t>
  </si>
  <si>
    <t>TAXA MOBILIZACAO ANTECIPADA (402)</t>
  </si>
  <si>
    <t>X22</t>
  </si>
  <si>
    <t>TAXA MOBILIZACAO ANTECIPADA (414)</t>
  </si>
  <si>
    <t>X29</t>
  </si>
  <si>
    <t>TAXA MOBILIZACAO ANTECIPADA (500)</t>
  </si>
  <si>
    <t>X2A</t>
  </si>
  <si>
    <t>X2B</t>
  </si>
  <si>
    <t>X39</t>
  </si>
  <si>
    <t>TAXA MOBILIZACAO ANTECIPADA (545)</t>
  </si>
  <si>
    <t>X43</t>
  </si>
  <si>
    <t>COMISSAO DE MOBILIZACAO ANTECIPADA (561)</t>
  </si>
  <si>
    <t>X44</t>
  </si>
  <si>
    <t>COMISSAO DE MOBILIZACAO ANTECIPADA (563)</t>
  </si>
  <si>
    <t>X45</t>
  </si>
  <si>
    <t>COMISSAO DE MOBILIZACAO ANTECIPADA (567)</t>
  </si>
  <si>
    <t>X46</t>
  </si>
  <si>
    <t>COMISSAO DE MOBILIZACAO ANTECIPADA (568)</t>
  </si>
  <si>
    <t>X47</t>
  </si>
  <si>
    <t>COMISSAO DE MOBILIZACAO ANTECIPADA (569)</t>
  </si>
  <si>
    <t>X48</t>
  </si>
  <si>
    <t>COMISSAO DE MOBILIZACAO ANTECIPADA (571)</t>
  </si>
  <si>
    <t>X49</t>
  </si>
  <si>
    <t>COMISSAO DE MOBILIZACAO ANTECIPADA (572)</t>
  </si>
  <si>
    <t>X50</t>
  </si>
  <si>
    <t>COMISSAO DE MOBILIZACAO ANTECIPADA (801)</t>
  </si>
  <si>
    <t>X51</t>
  </si>
  <si>
    <t>COMISSAO DE MOBILIZACAO ANTECIPADA (802)</t>
  </si>
  <si>
    <t>X55</t>
  </si>
  <si>
    <t>COMISSAO DE MOBILIZACAO ANTECIPADA (807)</t>
  </si>
  <si>
    <t>X59</t>
  </si>
  <si>
    <t>COMISSAO DE MOBILIZACAO ANTECIPADA (811)</t>
  </si>
  <si>
    <t>X60</t>
  </si>
  <si>
    <t>COMISSAO DE MOBILIZACAO ANTECIPADA (812)</t>
  </si>
  <si>
    <t>X61</t>
  </si>
  <si>
    <t>COMISSAO DE MOBILIZACAO ANTECIPADA (575)</t>
  </si>
  <si>
    <t>X62</t>
  </si>
  <si>
    <t>COMISSAO DE MOBILIZACAO ANTECIPADA (576)</t>
  </si>
  <si>
    <t>X63</t>
  </si>
  <si>
    <t>COMISSAO DE MOBILIZACAO ANTECIPADA (580)</t>
  </si>
  <si>
    <t>X64</t>
  </si>
  <si>
    <t>COMISSAO DE MOBILIZACAO ANTECIPADA (581)</t>
  </si>
  <si>
    <t>X65</t>
  </si>
  <si>
    <t>COMISSAO DE MOBILIZACAO ANTECIPADA (582)</t>
  </si>
  <si>
    <t>X66</t>
  </si>
  <si>
    <t>COMISSAO DE MOBILIZACAO ANTECIPADA (583)</t>
  </si>
  <si>
    <t>X67</t>
  </si>
  <si>
    <t>COMISSAO DE MOBILIZACAO ANTECIPADA (584)</t>
  </si>
  <si>
    <t>X68</t>
  </si>
  <si>
    <t>COMISSAO DE MOBILIZACAO ANTECIPADA (585)</t>
  </si>
  <si>
    <t>X69</t>
  </si>
  <si>
    <t>COMISSAO DE MOBILIZACAO ANTECIPADA (586)</t>
  </si>
  <si>
    <t>X70</t>
  </si>
  <si>
    <t>COMISSAO DE MOBILIZACAO ANTECIPADA(587)</t>
  </si>
  <si>
    <t>X71</t>
  </si>
  <si>
    <t>COMISSAO MOBILIZACAO ANTECIPADA (588)</t>
  </si>
  <si>
    <t>X72</t>
  </si>
  <si>
    <t>COMISSAO MOBILIZACAO ANTECIPADA (589)</t>
  </si>
  <si>
    <t>X73</t>
  </si>
  <si>
    <t>COMISSAO MOBILIZACAO ANTECIPADA (590)</t>
  </si>
  <si>
    <t>X74</t>
  </si>
  <si>
    <t>COMISSAO MOBILIZACAO ANTECIPADA (591)</t>
  </si>
  <si>
    <t>X75</t>
  </si>
  <si>
    <t>COMISSAO MOBILIZACAO ANTECIPADA (592)</t>
  </si>
  <si>
    <t>X76</t>
  </si>
  <si>
    <t>COMISSAO MOBILIZACAO ANTECIPADA (593)</t>
  </si>
  <si>
    <t>X77</t>
  </si>
  <si>
    <t>COMISSAO MOBILIZACAO ANTECIPADA (594)</t>
  </si>
  <si>
    <t>X78</t>
  </si>
  <si>
    <t>COMISSAO MOBILIZACAO ANTECIPADA (579)</t>
  </si>
  <si>
    <t>X79</t>
  </si>
  <si>
    <t>X80</t>
  </si>
  <si>
    <t>COMISSAO MOBILIZACAO ANTECIPADA (700)</t>
  </si>
  <si>
    <t>X81</t>
  </si>
  <si>
    <t>COMISSAO MOBILIZACAO ANTECIPADA (701)</t>
  </si>
  <si>
    <t>XXX</t>
  </si>
  <si>
    <t>XXXX</t>
  </si>
  <si>
    <t>Y01</t>
  </si>
  <si>
    <t>TAXA COMISSAO MOBILIZACAO (081)</t>
  </si>
  <si>
    <t>Y02</t>
  </si>
  <si>
    <t>TAXA COMISSAO MOBILIZACAO (093)</t>
  </si>
  <si>
    <t>Y03</t>
  </si>
  <si>
    <t>TAXA COMISSAO MOBILIZACAO (096)</t>
  </si>
  <si>
    <t>Y04</t>
  </si>
  <si>
    <t>TAXA COMISSAO MOBILIZACAO (200)</t>
  </si>
  <si>
    <t>Y05</t>
  </si>
  <si>
    <t>TAXA COMISSAO MOBILIZACAO (196)</t>
  </si>
  <si>
    <t>Y06</t>
  </si>
  <si>
    <t>TAXA COMISSAO MOBILIZACAO (195)</t>
  </si>
  <si>
    <t>Y07</t>
  </si>
  <si>
    <t>TAXA COMISSAO MOBILIZACAO (202)</t>
  </si>
  <si>
    <t>Y08</t>
  </si>
  <si>
    <t>TAXA COMISSAO MOBILIZACAO (203)</t>
  </si>
  <si>
    <t>Y09</t>
  </si>
  <si>
    <t>TAXA COMISSAO MOBILIZACAO (205)</t>
  </si>
  <si>
    <t>Y10</t>
  </si>
  <si>
    <t>TAXA COMISSAO MOBILIZACAO (152)</t>
  </si>
  <si>
    <t>Y11</t>
  </si>
  <si>
    <t>TAXA COMISSAO MOBILIZACAO (002)</t>
  </si>
  <si>
    <t>Y12</t>
  </si>
  <si>
    <t>TAXA COMISSAO MOBILIZACAO (280)</t>
  </si>
  <si>
    <t>Y13</t>
  </si>
  <si>
    <t>TAXA COMISSAO MOBILIZACAO (290)</t>
  </si>
  <si>
    <t>Y14</t>
  </si>
  <si>
    <t>TAXA COMISSAO MOBILIZACAO (322)</t>
  </si>
  <si>
    <t>Y15</t>
  </si>
  <si>
    <t>TAXA COMISSAO MOBILIZACAO (332)</t>
  </si>
  <si>
    <t>Y16</t>
  </si>
  <si>
    <t>TAXA COMISSAO MOBILIZACAO (333)</t>
  </si>
  <si>
    <t>Y17</t>
  </si>
  <si>
    <t>TAXA COMISSAO MOBILIZACAO (354)</t>
  </si>
  <si>
    <t>Y18</t>
  </si>
  <si>
    <t>TAXA COMISSAO MOBILIZACAO (370)</t>
  </si>
  <si>
    <t>Y19</t>
  </si>
  <si>
    <t>TAXA COMISSAO MOBILIZACAO (369)</t>
  </si>
  <si>
    <t>Y20</t>
  </si>
  <si>
    <t>TAXA COMISSAO MOBILIZACAO (403)</t>
  </si>
  <si>
    <t>Y21</t>
  </si>
  <si>
    <t>TAXA COMISSAO MOBILIZACAO (402)</t>
  </si>
  <si>
    <t>Y22</t>
  </si>
  <si>
    <t>TAXA COMISSAO MOBILIZACAO (414)</t>
  </si>
  <si>
    <t>Y29</t>
  </si>
  <si>
    <t>COMISSAO MOBILIZACAO (500)</t>
  </si>
  <si>
    <t>Y39</t>
  </si>
  <si>
    <t>COMISSAO MOBILIZACAO (545)</t>
  </si>
  <si>
    <t>Y43</t>
  </si>
  <si>
    <t>COMISSAO DE MOBILIZACAO (561)</t>
  </si>
  <si>
    <t>Y44</t>
  </si>
  <si>
    <t>COMISSAO DE MOBILIZACAO</t>
  </si>
  <si>
    <t>Y45</t>
  </si>
  <si>
    <t>Y46</t>
  </si>
  <si>
    <t>Y47</t>
  </si>
  <si>
    <t>Y48</t>
  </si>
  <si>
    <t>Y49</t>
  </si>
  <si>
    <t>Y50</t>
  </si>
  <si>
    <t>Y51</t>
  </si>
  <si>
    <t>Y55</t>
  </si>
  <si>
    <t>Y59</t>
  </si>
  <si>
    <t>Y60</t>
  </si>
  <si>
    <t>COMISSAO DE MOBILIZACAO ANTECIPADA(812)</t>
  </si>
  <si>
    <t>Y61</t>
  </si>
  <si>
    <t>COMISSAO DE MOBILIZACAO ANTECIPADA(575)</t>
  </si>
  <si>
    <t>Y62</t>
  </si>
  <si>
    <t>COMISSAO DE MOBILIZACAO ANTECIPADA(576)</t>
  </si>
  <si>
    <t>Y63</t>
  </si>
  <si>
    <t>COMISSAO DE MOBILIZACAO ANTECIPADA(580)</t>
  </si>
  <si>
    <t>Y64</t>
  </si>
  <si>
    <t>COMISSAO DE MOBILIZACAO ANTECIPADA(581)</t>
  </si>
  <si>
    <t>Y65</t>
  </si>
  <si>
    <t>COMISSAO DE MOBILIZACAO ANTECIPADA(582)</t>
  </si>
  <si>
    <t>Y66</t>
  </si>
  <si>
    <t>Y67</t>
  </si>
  <si>
    <t>Y68</t>
  </si>
  <si>
    <t>Y69</t>
  </si>
  <si>
    <t>Y70</t>
  </si>
  <si>
    <t>Y71</t>
  </si>
  <si>
    <t>Y72</t>
  </si>
  <si>
    <t>Y73</t>
  </si>
  <si>
    <t>Y74</t>
  </si>
  <si>
    <t>Y75</t>
  </si>
  <si>
    <t>Y76</t>
  </si>
  <si>
    <t>Y77</t>
  </si>
  <si>
    <t>Y78</t>
  </si>
  <si>
    <t>Y79</t>
  </si>
  <si>
    <t>Y80</t>
  </si>
  <si>
    <t>Y81</t>
  </si>
  <si>
    <t>Z03</t>
  </si>
  <si>
    <t>LISBOR\365  1 MES</t>
  </si>
  <si>
    <t>Z10</t>
  </si>
  <si>
    <t>TAXA EURIBOR/1M/365</t>
  </si>
  <si>
    <t>Z11</t>
  </si>
  <si>
    <t>TAXA MMI/ON</t>
  </si>
  <si>
    <t>Z12</t>
  </si>
  <si>
    <t>EONIA / MENSAL</t>
  </si>
  <si>
    <t>Z13</t>
  </si>
  <si>
    <t>LISBOR\365 3M</t>
  </si>
  <si>
    <t>Z14</t>
  </si>
  <si>
    <t>LISBOR\365 6M</t>
  </si>
  <si>
    <t>Z15</t>
  </si>
  <si>
    <t>TAXA EURIBOR/3M/365</t>
  </si>
  <si>
    <t>Z16</t>
  </si>
  <si>
    <t>LISBOR\365 1 ANO</t>
  </si>
  <si>
    <t>Z1M</t>
  </si>
  <si>
    <t>WIBOR MENSAL</t>
  </si>
  <si>
    <t>Z1Y</t>
  </si>
  <si>
    <t>WIBOR UM ANO</t>
  </si>
  <si>
    <t>Z20</t>
  </si>
  <si>
    <t>TAXA LIBOR 1 MES N/ RESIDENTES</t>
  </si>
  <si>
    <t>Z21</t>
  </si>
  <si>
    <t>TAXA LIBOR 3 MESES N/RESIDENTE</t>
  </si>
  <si>
    <t>Z22</t>
  </si>
  <si>
    <t>TAXA LIBOR 6 MESES N/RESIDENTE</t>
  </si>
  <si>
    <t>Z23</t>
  </si>
  <si>
    <t>TAXA LIBOR MENSAL</t>
  </si>
  <si>
    <t>Z24</t>
  </si>
  <si>
    <t>TAXA LIBOR MENSAL DIARIA</t>
  </si>
  <si>
    <t>Z26</t>
  </si>
  <si>
    <t>TAXA LIBOR 3MESES</t>
  </si>
  <si>
    <t>Z27</t>
  </si>
  <si>
    <t>TAXA LIBOR 6MESES</t>
  </si>
  <si>
    <t>Z2W</t>
  </si>
  <si>
    <t>WIBOR TWO WEEKS</t>
  </si>
  <si>
    <t>Z3M</t>
  </si>
  <si>
    <t>WIBOR TRIMESTRAL</t>
  </si>
  <si>
    <t>Z40</t>
  </si>
  <si>
    <t>TAXA EURIBOR/1M/360</t>
  </si>
  <si>
    <t>Z41</t>
  </si>
  <si>
    <t>TAXA EURIBOR/3M/360</t>
  </si>
  <si>
    <t>Z42</t>
  </si>
  <si>
    <t>TAXA EURIBOR/6M/360</t>
  </si>
  <si>
    <t>Z43</t>
  </si>
  <si>
    <t>TAXA EURIBOR/12M/360</t>
  </si>
  <si>
    <t>Z44</t>
  </si>
  <si>
    <t>LISBOR\360 1M</t>
  </si>
  <si>
    <t>Z45</t>
  </si>
  <si>
    <t>LISBOR\360 3M</t>
  </si>
  <si>
    <t>Z46</t>
  </si>
  <si>
    <t>LISBOR\360 6M</t>
  </si>
  <si>
    <t>Z47</t>
  </si>
  <si>
    <t>LISBOR\360 12M</t>
  </si>
  <si>
    <t>Z48</t>
  </si>
  <si>
    <t>TAXA EURIBOR/6M/365</t>
  </si>
  <si>
    <t>Z49</t>
  </si>
  <si>
    <t>TAXA EURIBOR/12M/365</t>
  </si>
  <si>
    <t>Z51</t>
  </si>
  <si>
    <t>EONIA  DIÁRIA</t>
  </si>
  <si>
    <t>Z6M</t>
  </si>
  <si>
    <t>WIBOR SEMESTRAL</t>
  </si>
  <si>
    <t>Z9M</t>
  </si>
  <si>
    <t>WIBOR NOVE MESES</t>
  </si>
  <si>
    <t>ZB6</t>
  </si>
  <si>
    <t>TAXA LIBOR-6 MESES USD</t>
  </si>
  <si>
    <t>ZON</t>
  </si>
  <si>
    <t>WIBOR OVERNIGHT</t>
  </si>
  <si>
    <t>ZSW</t>
  </si>
  <si>
    <t>WIBOR SEMANAL</t>
  </si>
  <si>
    <t>ZTN</t>
  </si>
  <si>
    <t>WIBOR TOMORROW - NEXT</t>
  </si>
  <si>
    <t>LT830</t>
  </si>
  <si>
    <t>ambito</t>
  </si>
  <si>
    <t>segmento</t>
  </si>
  <si>
    <t>SRB_VALUATION</t>
  </si>
  <si>
    <t>tabela_conceito</t>
  </si>
  <si>
    <t>valor_destino</t>
  </si>
  <si>
    <t>atributo_origem_1</t>
  </si>
  <si>
    <t>valor_origem_1</t>
  </si>
  <si>
    <t>atributo_origem_2</t>
  </si>
  <si>
    <t>valor_origem_2</t>
  </si>
  <si>
    <t>atributo_origem_3</t>
  </si>
  <si>
    <t>valor_origem_3</t>
  </si>
  <si>
    <t>atributo_origem_4</t>
  </si>
  <si>
    <t>valor_origem_4</t>
  </si>
  <si>
    <t>atributo_origem_5</t>
  </si>
  <si>
    <t>valor_origem_5</t>
  </si>
  <si>
    <t>atributo_origem_6</t>
  </si>
  <si>
    <t>valor_origem_6</t>
  </si>
  <si>
    <t>atributo_origem_7</t>
  </si>
  <si>
    <t>valor_origem_7</t>
  </si>
  <si>
    <t>atributo_origem_8</t>
  </si>
  <si>
    <t>valor_origem_8</t>
  </si>
  <si>
    <t>atributo_origem_9</t>
  </si>
  <si>
    <t>valor_origem_9</t>
  </si>
  <si>
    <t>atributo_origem_10</t>
  </si>
  <si>
    <t>valor_origem_10</t>
  </si>
  <si>
    <t>ordem</t>
  </si>
  <si>
    <t xml:space="preserve"> Campo novo
Parametrizaçao definida reunião de 08/04/2024 com Pedro Mendes, Sandra Brito, Rafael Pessoa e Claudia Correia para os distintos códigos da tat91 ("H01","Y86") partindo do campo "csector_inst" da tabela cd_captools.ct003_univ_cli. Ver documento Sector Institucional mapeamento.xlsx</t>
  </si>
  <si>
    <t>S12</t>
  </si>
  <si>
    <t>Central Bank</t>
  </si>
  <si>
    <t>Deposit-taking corporations other than credit institutions</t>
  </si>
  <si>
    <t>Money market funds (MMF)</t>
  </si>
  <si>
    <t>Non-MMF Investment funds</t>
  </si>
  <si>
    <t>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t>
  </si>
  <si>
    <t>Insurance corporations</t>
  </si>
  <si>
    <t>Pension funds</t>
  </si>
  <si>
    <t>Non-profit institutions serving households</t>
  </si>
  <si>
    <t>S202</t>
  </si>
  <si>
    <t>S3</t>
  </si>
  <si>
    <t>S401201</t>
  </si>
  <si>
    <t>S401510</t>
  </si>
  <si>
    <t>S402510</t>
  </si>
  <si>
    <t>Financial guarantees given</t>
  </si>
  <si>
    <t>produto</t>
  </si>
  <si>
    <t>garantias financeiras prestadas</t>
  </si>
  <si>
    <t>Campo novo
Parametrização validada com Luisa Quendera no mail de 24/10/2024 19:18</t>
  </si>
  <si>
    <t>Loan commitments given</t>
  </si>
  <si>
    <t>compromissos perante terceiros</t>
  </si>
  <si>
    <t>compromissos de credito concedidos</t>
  </si>
  <si>
    <t>Other commitments given</t>
  </si>
  <si>
    <t>outras responsabilidades perante terceiros</t>
  </si>
  <si>
    <t>garantias prestadas</t>
  </si>
  <si>
    <t>Central governments and central banks (ICENGOV)</t>
  </si>
  <si>
    <t>I_1.0</t>
  </si>
  <si>
    <t xml:space="preserve">Campo Novo
Parametrização definida em relação ao conteúdo da tabela ct010_dim_valor filtrando o campo 'id_dimensao' = 19. Este acesso retorna os descritivos associados aos códigos que o campo 'segmento_corep_final' da tabela ct013_rwa_princ pode tomar (coluna descritivo_lt). A parametrização foi posteriormente revista com Pedro Mendes. </t>
  </si>
  <si>
    <t>I_1.1</t>
  </si>
  <si>
    <t>I_1.2</t>
  </si>
  <si>
    <t>Institutions (IINSTIT)</t>
  </si>
  <si>
    <t>I_2.0</t>
  </si>
  <si>
    <t>I_2.1</t>
  </si>
  <si>
    <t>I_2.2</t>
  </si>
  <si>
    <t>Corporates (ICORPOR)</t>
  </si>
  <si>
    <t>I_3.0</t>
  </si>
  <si>
    <t>I_3.1</t>
  </si>
  <si>
    <t>I_3.2</t>
  </si>
  <si>
    <t>I_4.0</t>
  </si>
  <si>
    <t>I_4.1</t>
  </si>
  <si>
    <t>I_4.2</t>
  </si>
  <si>
    <t>I_5.0</t>
  </si>
  <si>
    <t>I_5.1</t>
  </si>
  <si>
    <t>I_5.2</t>
  </si>
  <si>
    <t>Retail (IRETAIL)</t>
  </si>
  <si>
    <t>I_6.0</t>
  </si>
  <si>
    <t>I_6.1</t>
  </si>
  <si>
    <t>I_6.2</t>
  </si>
  <si>
    <t>I_6.3</t>
  </si>
  <si>
    <t>I_6.4</t>
  </si>
  <si>
    <t>I_6.5</t>
  </si>
  <si>
    <t>Equity (IEQUITY)</t>
  </si>
  <si>
    <t>I_7.0</t>
  </si>
  <si>
    <t>Items representing securitisation positions</t>
  </si>
  <si>
    <t>I_8.0</t>
  </si>
  <si>
    <t>Other non-credit-obligation assets (IOTHERC)</t>
  </si>
  <si>
    <t>I_9.0</t>
  </si>
  <si>
    <t>Central governments or central banks (SCENGOV)</t>
  </si>
  <si>
    <t>S_1.0</t>
  </si>
  <si>
    <t>Regional governments or local authorities (SREGGOV)</t>
  </si>
  <si>
    <t>S_2.0</t>
  </si>
  <si>
    <t>Public sector entities (SPUBSEC)</t>
  </si>
  <si>
    <t>S_3.0</t>
  </si>
  <si>
    <t>Multilateral development banks (SDEVBAN)</t>
  </si>
  <si>
    <t>S_4.0</t>
  </si>
  <si>
    <t>International organisation (SINTORG)</t>
  </si>
  <si>
    <t>S_5.0</t>
  </si>
  <si>
    <t>Institutions (SINSTIT)</t>
  </si>
  <si>
    <t>S_6.0</t>
  </si>
  <si>
    <t>Corporates (SCORPOR)</t>
  </si>
  <si>
    <t>S_7.0</t>
  </si>
  <si>
    <t>Retail (SRETAIL)</t>
  </si>
  <si>
    <t>S_8.0</t>
  </si>
  <si>
    <t>Secured by mortgages and immovable property (SSECMOR)</t>
  </si>
  <si>
    <t>S_9.0</t>
  </si>
  <si>
    <t>Defaulted (SDEFAUL)</t>
  </si>
  <si>
    <t>S_10.0</t>
  </si>
  <si>
    <t>High risk (SHIGHRI)</t>
  </si>
  <si>
    <t>S_11.0</t>
  </si>
  <si>
    <t>Covered bonds (SCOVBON)</t>
  </si>
  <si>
    <t>S_12.0</t>
  </si>
  <si>
    <t>Institutions and corporates with a short term credit assessment (SSHOTER)</t>
  </si>
  <si>
    <t>S_13.0</t>
  </si>
  <si>
    <t>Collective investment undertakings (SCOLINV)</t>
  </si>
  <si>
    <t>S_14.0</t>
  </si>
  <si>
    <t>Equity (SEQUITY)</t>
  </si>
  <si>
    <t>S_15.0</t>
  </si>
  <si>
    <t>Other (SOTHERI)</t>
  </si>
  <si>
    <t>S_16.0</t>
  </si>
  <si>
    <t>S_17.0</t>
  </si>
  <si>
    <t>LT005_INSTR_ENT</t>
  </si>
  <si>
    <t>Debtor</t>
  </si>
  <si>
    <t>tipo_conta</t>
  </si>
  <si>
    <t>Campo Novo
Parametrização definida de forma a implementar a lógica discutida na reunião com Pedro Mendes, Luís Capitão-Mor a 05-11-2024</t>
  </si>
  <si>
    <t>EA</t>
  </si>
  <si>
    <t>Creditor</t>
  </si>
  <si>
    <t>EP</t>
  </si>
  <si>
    <t>NDF (4.2)</t>
  </si>
  <si>
    <t>caract_mx</t>
  </si>
  <si>
    <t>CURR_FXD_FXD</t>
  </si>
  <si>
    <t>instrumento</t>
  </si>
  <si>
    <t>FX Non Delivery Forward</t>
  </si>
  <si>
    <t>Campo Novo
Parametrização validada com Luis Capitão-Mor, Pedro Mendes, Luís Henrriques, Rogério Sacadura, Pedro Henrriques, António Santos na reunião de 11-12-2024 16:45</t>
  </si>
  <si>
    <t>Spot (4.1)</t>
  </si>
  <si>
    <t>ctipo_oper</t>
  </si>
  <si>
    <t>SPT</t>
  </si>
  <si>
    <t>Forward (4.4)</t>
  </si>
  <si>
    <t>FWD</t>
  </si>
  <si>
    <t>CURR_FXD_XSW</t>
  </si>
  <si>
    <t>Simple Exotic (4.6)</t>
  </si>
  <si>
    <t>CURR_OPT_ASN</t>
  </si>
  <si>
    <t>CURR_OPT_BAR</t>
  </si>
  <si>
    <t>CURR_OPT_FLEX</t>
  </si>
  <si>
    <t>Vanilla Option (4.5)</t>
  </si>
  <si>
    <t>CURR_OPT_SMP</t>
  </si>
  <si>
    <t>Option (5.4)</t>
  </si>
  <si>
    <t>EQD_OPT_FLEX</t>
  </si>
  <si>
    <t>CapFloor (2.3)</t>
  </si>
  <si>
    <t>IRD_CF</t>
  </si>
  <si>
    <t>IRD:CF:-</t>
  </si>
  <si>
    <t>IR Swap (2.1)</t>
  </si>
  <si>
    <t>IRD_IRS</t>
  </si>
  <si>
    <t>IRD:IRS:-</t>
  </si>
  <si>
    <t>Cross Currency (2.4)</t>
  </si>
  <si>
    <t>IRD_CS</t>
  </si>
  <si>
    <t>FRA (2.2)</t>
  </si>
  <si>
    <t>IRD_FRA</t>
  </si>
  <si>
    <t>Not securitised</t>
  </si>
  <si>
    <t>titu_tip</t>
  </si>
  <si>
    <t>00</t>
  </si>
  <si>
    <t>Campo Novo
Parametrização validada no Email Pedro Inacio (19:44 12-03-2024): 
"Essa informação pode ser obtida no campo “Tipo de Titulización” da tabela SPV da BDR (E0691_TITU_TIP), com o seguinte detalhe:
      00 - 'No informado'
      01 - 'Tradicional'
      02 - 'Sintética'
99999 - 'No aplica' "</t>
  </si>
  <si>
    <t>Traditional securitisation</t>
  </si>
  <si>
    <t>01</t>
  </si>
  <si>
    <t>Synthetic securitisation</t>
  </si>
  <si>
    <t>02</t>
  </si>
  <si>
    <t>99999</t>
  </si>
  <si>
    <t>cpais_residencia</t>
  </si>
  <si>
    <t>004</t>
  </si>
  <si>
    <t xml:space="preserve">Campo Novo
Parametrização definida em relação ao conteúdo da tabela tat91_tabelas filtrando o campo tayd91c0_ctabela = '015'. Este acesso retorna todos os códigos de país reconhecidos pelo Banco e que poderão aparecer no campo 'cpais_residencia' da tabela ct003_univ_cli. A parametrização foi posteriormente revista com Pedro Mendes. </t>
  </si>
  <si>
    <t>248</t>
  </si>
  <si>
    <t>008</t>
  </si>
  <si>
    <t>012</t>
  </si>
  <si>
    <t>900</t>
  </si>
  <si>
    <t>016</t>
  </si>
  <si>
    <t>020</t>
  </si>
  <si>
    <t>024</t>
  </si>
  <si>
    <t>660</t>
  </si>
  <si>
    <t>010</t>
  </si>
  <si>
    <t>028</t>
  </si>
  <si>
    <t>032</t>
  </si>
  <si>
    <t>051</t>
  </si>
  <si>
    <t>533</t>
  </si>
  <si>
    <t>036</t>
  </si>
  <si>
    <t>040</t>
  </si>
  <si>
    <t>031</t>
  </si>
  <si>
    <t>044</t>
  </si>
  <si>
    <t>048</t>
  </si>
  <si>
    <t>050</t>
  </si>
  <si>
    <t>052</t>
  </si>
  <si>
    <t>112</t>
  </si>
  <si>
    <t>056</t>
  </si>
  <si>
    <t>084</t>
  </si>
  <si>
    <t>204</t>
  </si>
  <si>
    <t>060</t>
  </si>
  <si>
    <t>064</t>
  </si>
  <si>
    <t>068</t>
  </si>
  <si>
    <t>535</t>
  </si>
  <si>
    <t>070</t>
  </si>
  <si>
    <t>072</t>
  </si>
  <si>
    <t>074</t>
  </si>
  <si>
    <t>076</t>
  </si>
  <si>
    <t>086</t>
  </si>
  <si>
    <t>096</t>
  </si>
  <si>
    <t>100</t>
  </si>
  <si>
    <t>854</t>
  </si>
  <si>
    <t>108</t>
  </si>
  <si>
    <t>116</t>
  </si>
  <si>
    <t>120</t>
  </si>
  <si>
    <t>124</t>
  </si>
  <si>
    <t>132</t>
  </si>
  <si>
    <t>136</t>
  </si>
  <si>
    <t>140</t>
  </si>
  <si>
    <t>148</t>
  </si>
  <si>
    <t>152</t>
  </si>
  <si>
    <t>156</t>
  </si>
  <si>
    <t>162</t>
  </si>
  <si>
    <t>166</t>
  </si>
  <si>
    <t>170</t>
  </si>
  <si>
    <t>174</t>
  </si>
  <si>
    <t>178</t>
  </si>
  <si>
    <t>180</t>
  </si>
  <si>
    <t>184</t>
  </si>
  <si>
    <t>188</t>
  </si>
  <si>
    <t>384</t>
  </si>
  <si>
    <t>191</t>
  </si>
  <si>
    <t>192</t>
  </si>
  <si>
    <t>531</t>
  </si>
  <si>
    <t>196</t>
  </si>
  <si>
    <t>203</t>
  </si>
  <si>
    <t>208</t>
  </si>
  <si>
    <t>262</t>
  </si>
  <si>
    <t>212</t>
  </si>
  <si>
    <t>214</t>
  </si>
  <si>
    <t>950</t>
  </si>
  <si>
    <t>218</t>
  </si>
  <si>
    <t>818</t>
  </si>
  <si>
    <t>918</t>
  </si>
  <si>
    <t>222</t>
  </si>
  <si>
    <t>226</t>
  </si>
  <si>
    <t>232</t>
  </si>
  <si>
    <t>233</t>
  </si>
  <si>
    <t>231</t>
  </si>
  <si>
    <t>928</t>
  </si>
  <si>
    <t>238</t>
  </si>
  <si>
    <t>234</t>
  </si>
  <si>
    <t>242</t>
  </si>
  <si>
    <t>246</t>
  </si>
  <si>
    <t>250</t>
  </si>
  <si>
    <t>666</t>
  </si>
  <si>
    <t>638</t>
  </si>
  <si>
    <t>175</t>
  </si>
  <si>
    <t>474</t>
  </si>
  <si>
    <t>312</t>
  </si>
  <si>
    <t>254</t>
  </si>
  <si>
    <t>258</t>
  </si>
  <si>
    <t>260</t>
  </si>
  <si>
    <t>266</t>
  </si>
  <si>
    <t>270</t>
  </si>
  <si>
    <t>268</t>
  </si>
  <si>
    <t>276</t>
  </si>
  <si>
    <t>288</t>
  </si>
  <si>
    <t>292</t>
  </si>
  <si>
    <t>300</t>
  </si>
  <si>
    <t>304</t>
  </si>
  <si>
    <t>308</t>
  </si>
  <si>
    <t>316</t>
  </si>
  <si>
    <t>320</t>
  </si>
  <si>
    <t>831</t>
  </si>
  <si>
    <t>324</t>
  </si>
  <si>
    <t>624</t>
  </si>
  <si>
    <t>328</t>
  </si>
  <si>
    <t>332</t>
  </si>
  <si>
    <t>334</t>
  </si>
  <si>
    <t>336</t>
  </si>
  <si>
    <t>340</t>
  </si>
  <si>
    <t>344</t>
  </si>
  <si>
    <t>348</t>
  </si>
  <si>
    <t>352</t>
  </si>
  <si>
    <t>356</t>
  </si>
  <si>
    <t>360</t>
  </si>
  <si>
    <t>364</t>
  </si>
  <si>
    <t>368</t>
  </si>
  <si>
    <t>372</t>
  </si>
  <si>
    <t>833</t>
  </si>
  <si>
    <t>376</t>
  </si>
  <si>
    <t>380</t>
  </si>
  <si>
    <t>388</t>
  </si>
  <si>
    <t>392</t>
  </si>
  <si>
    <t>832</t>
  </si>
  <si>
    <t>400</t>
  </si>
  <si>
    <t>398</t>
  </si>
  <si>
    <t>404</t>
  </si>
  <si>
    <t>296</t>
  </si>
  <si>
    <t>408</t>
  </si>
  <si>
    <t>410</t>
  </si>
  <si>
    <t>999</t>
  </si>
  <si>
    <t>414</t>
  </si>
  <si>
    <t>417</t>
  </si>
  <si>
    <t>418</t>
  </si>
  <si>
    <t>428</t>
  </si>
  <si>
    <t>422</t>
  </si>
  <si>
    <t>426</t>
  </si>
  <si>
    <t>430</t>
  </si>
  <si>
    <t>434</t>
  </si>
  <si>
    <t>438</t>
  </si>
  <si>
    <t>440</t>
  </si>
  <si>
    <t>442</t>
  </si>
  <si>
    <t>446</t>
  </si>
  <si>
    <t>807</t>
  </si>
  <si>
    <t>450</t>
  </si>
  <si>
    <t>454</t>
  </si>
  <si>
    <t>458</t>
  </si>
  <si>
    <t>462</t>
  </si>
  <si>
    <t>466</t>
  </si>
  <si>
    <t>470</t>
  </si>
  <si>
    <t>584</t>
  </si>
  <si>
    <t>478</t>
  </si>
  <si>
    <t>480</t>
  </si>
  <si>
    <t>484</t>
  </si>
  <si>
    <t>583</t>
  </si>
  <si>
    <t>498</t>
  </si>
  <si>
    <t>496</t>
  </si>
  <si>
    <t>499</t>
  </si>
  <si>
    <t>500</t>
  </si>
  <si>
    <t>504</t>
  </si>
  <si>
    <t>508</t>
  </si>
  <si>
    <t>104</t>
  </si>
  <si>
    <t>516</t>
  </si>
  <si>
    <t>924</t>
  </si>
  <si>
    <t>520</t>
  </si>
  <si>
    <t>524</t>
  </si>
  <si>
    <t>528</t>
  </si>
  <si>
    <t>540</t>
  </si>
  <si>
    <t>554</t>
  </si>
  <si>
    <t>558</t>
  </si>
  <si>
    <t>562</t>
  </si>
  <si>
    <t>566</t>
  </si>
  <si>
    <t>570</t>
  </si>
  <si>
    <t>574</t>
  </si>
  <si>
    <t>580</t>
  </si>
  <si>
    <t>578</t>
  </si>
  <si>
    <t>512</t>
  </si>
  <si>
    <t>586</t>
  </si>
  <si>
    <t>585</t>
  </si>
  <si>
    <t>275</t>
  </si>
  <si>
    <t>591</t>
  </si>
  <si>
    <t>598</t>
  </si>
  <si>
    <t>600</t>
  </si>
  <si>
    <t>604</t>
  </si>
  <si>
    <t>608</t>
  </si>
  <si>
    <t>612</t>
  </si>
  <si>
    <t>616</t>
  </si>
  <si>
    <t>620</t>
  </si>
  <si>
    <t>216</t>
  </si>
  <si>
    <t>630</t>
  </si>
  <si>
    <t>634</t>
  </si>
  <si>
    <t>642</t>
  </si>
  <si>
    <t>643</t>
  </si>
  <si>
    <t>646</t>
  </si>
  <si>
    <t>652</t>
  </si>
  <si>
    <t>654</t>
  </si>
  <si>
    <t>659</t>
  </si>
  <si>
    <t>662</t>
  </si>
  <si>
    <t>663</t>
  </si>
  <si>
    <t>670</t>
  </si>
  <si>
    <t>882</t>
  </si>
  <si>
    <t>674</t>
  </si>
  <si>
    <t>678</t>
  </si>
  <si>
    <t>682</t>
  </si>
  <si>
    <t>686</t>
  </si>
  <si>
    <t>688</t>
  </si>
  <si>
    <t>690</t>
  </si>
  <si>
    <t>694</t>
  </si>
  <si>
    <t>702</t>
  </si>
  <si>
    <t>534</t>
  </si>
  <si>
    <t>703</t>
  </si>
  <si>
    <t>705</t>
  </si>
  <si>
    <t>090</t>
  </si>
  <si>
    <t>706</t>
  </si>
  <si>
    <t>710</t>
  </si>
  <si>
    <t>239</t>
  </si>
  <si>
    <t>728</t>
  </si>
  <si>
    <t>724</t>
  </si>
  <si>
    <t>976</t>
  </si>
  <si>
    <t>144</t>
  </si>
  <si>
    <t>729</t>
  </si>
  <si>
    <t>740</t>
  </si>
  <si>
    <t>744</t>
  </si>
  <si>
    <t>748</t>
  </si>
  <si>
    <t>752</t>
  </si>
  <si>
    <t>756</t>
  </si>
  <si>
    <t>760</t>
  </si>
  <si>
    <t>158</t>
  </si>
  <si>
    <t>762</t>
  </si>
  <si>
    <t>834</t>
  </si>
  <si>
    <t>764</t>
  </si>
  <si>
    <t>626</t>
  </si>
  <si>
    <t>768</t>
  </si>
  <si>
    <t>772</t>
  </si>
  <si>
    <t>776</t>
  </si>
  <si>
    <t>780</t>
  </si>
  <si>
    <t>788</t>
  </si>
  <si>
    <t>792</t>
  </si>
  <si>
    <t>795</t>
  </si>
  <si>
    <t>796</t>
  </si>
  <si>
    <t>798</t>
  </si>
  <si>
    <t>800</t>
  </si>
  <si>
    <t>804</t>
  </si>
  <si>
    <t>784</t>
  </si>
  <si>
    <t>826</t>
  </si>
  <si>
    <t>840</t>
  </si>
  <si>
    <t>302</t>
  </si>
  <si>
    <t>725</t>
  </si>
  <si>
    <t>405</t>
  </si>
  <si>
    <t>307</t>
  </si>
  <si>
    <t>581</t>
  </si>
  <si>
    <t>858</t>
  </si>
  <si>
    <t>860</t>
  </si>
  <si>
    <t>548</t>
  </si>
  <si>
    <t>862</t>
  </si>
  <si>
    <t>704</t>
  </si>
  <si>
    <t>092</t>
  </si>
  <si>
    <t>850</t>
  </si>
  <si>
    <t>876</t>
  </si>
  <si>
    <t>732</t>
  </si>
  <si>
    <t>887</t>
  </si>
  <si>
    <t>894</t>
  </si>
  <si>
    <t>716</t>
  </si>
  <si>
    <t>nom_util_lcr</t>
  </si>
  <si>
    <t>IS NULL</t>
  </si>
  <si>
    <t>Campo já existente:
Foi identificada a necessidade de se redefinir a regra de produção do campo e a sua parametrização. A parametrização apresentada aqui é a versão atualizada, revista com Claudia Correia.</t>
  </si>
  <si>
    <t>&lt;&gt; 0</t>
  </si>
  <si>
    <t>cod_prop</t>
  </si>
  <si>
    <t>EMISSAO EM MERCADO</t>
  </si>
  <si>
    <t>sub_cod_prop</t>
  </si>
  <si>
    <t>&lt;&gt; 'L'</t>
  </si>
  <si>
    <t>NO (1)</t>
  </si>
  <si>
    <t>cod_tip_contrato_compl</t>
  </si>
  <si>
    <t>&lt;&gt; 'ISDA'</t>
  </si>
  <si>
    <t>Campo Novo</t>
  </si>
  <si>
    <t>= 'ISDA'</t>
  </si>
  <si>
    <t>dt_fim</t>
  </si>
  <si>
    <t>&lt; '2022-10-01'</t>
  </si>
  <si>
    <t>YES (1)</t>
  </si>
  <si>
    <t>&gt;= '2022-10-01'</t>
  </si>
  <si>
    <t>3M</t>
  </si>
  <si>
    <t>taxa_var_1</t>
  </si>
  <si>
    <t>B.BANKERS ASSOC-EUR-5IBOR-3M</t>
  </si>
  <si>
    <t>B.BANKERS ASSOC-LIBOR-GBP-3M</t>
  </si>
  <si>
    <t>B.BANKERS ASSOC-LIBOR-GBP-6M</t>
  </si>
  <si>
    <t>B.BANKERS ASSOC-LIBOR-USD-3M</t>
  </si>
  <si>
    <t>B.BANKERS ASSOC-LIBOR-USD-6M</t>
  </si>
  <si>
    <t>10Y</t>
  </si>
  <si>
    <t>ECB FIXING-CMS_EONIA-10Y</t>
  </si>
  <si>
    <t>2Y</t>
  </si>
  <si>
    <t>ECB FIXING-CMS_EONIA-2Y</t>
  </si>
  <si>
    <t>ECB FIXING-EURIBORCOL-12M</t>
  </si>
  <si>
    <t>ECB FIXING-EURIBORCOL-3M</t>
  </si>
  <si>
    <t>ECB FIXING-EURIBORCOL-6M</t>
  </si>
  <si>
    <t>EURIBOR-EURIBOR-1M</t>
  </si>
  <si>
    <t>1Y</t>
  </si>
  <si>
    <t>EURIBOR-EURIBOR-1Y</t>
  </si>
  <si>
    <t>EURIBOR-EURIBOR-3M</t>
  </si>
  <si>
    <t>EURIBOR-EURIBOR-6M</t>
  </si>
  <si>
    <t>FEDN-SOFR FB3M-SPT</t>
  </si>
  <si>
    <t>FEDN-USDSOFR3M-3M</t>
  </si>
  <si>
    <t>LONDON CLOSING-SONIA FB3M-SPT</t>
  </si>
  <si>
    <t>LONDON CLOSING-SONIA FB6M-SPT</t>
  </si>
  <si>
    <t>taxa_var_2</t>
  </si>
  <si>
    <t>AGRUPAMENTO COMPLEMENTAR DE EMPRESAS</t>
  </si>
  <si>
    <t>tayd91c0_gelemtab</t>
  </si>
  <si>
    <t>AGRUPAMENTO C/ PERSONALIDADE JURIDICA</t>
  </si>
  <si>
    <t>Campo Novo: Parametrização definida em reunião 2025-05-09 com Luís Capitão-Mor / Luísa Sousa /Pedro Mendes</t>
  </si>
  <si>
    <t>SETOR EMPRESARIAL DO ESTADO</t>
  </si>
  <si>
    <t>EMPRESA PUBLICA</t>
  </si>
  <si>
    <t>INSTITUTO PÚBLICO</t>
  </si>
  <si>
    <t>ORGANISMO PUBLICO</t>
  </si>
  <si>
    <t>SOCIEDADE ANÓNIMA</t>
  </si>
  <si>
    <t>SOCIEDADE ANONIMA</t>
  </si>
  <si>
    <t>SOCIEDADE EM COMANDITA (SIMPLES E POR AÇÕES)</t>
  </si>
  <si>
    <t>SOCIEDADE EM COMANDITA POR ACCOES</t>
  </si>
  <si>
    <t>SOCIEDADE EM COMANDITA SIMPLES</t>
  </si>
  <si>
    <t>SOCIEDADE EM NOME COLETIVO</t>
  </si>
  <si>
    <t>SOCIEDADE EM NOME COLECTIVO</t>
  </si>
  <si>
    <t>SOCIEDADE POR QUOTAS</t>
  </si>
  <si>
    <t>SOCIEDADE UNIPESSOAL POR QUOTAS</t>
  </si>
  <si>
    <t>SOCIEDADE UNIPESSOAL</t>
  </si>
  <si>
    <t>gnatureza_juri</t>
  </si>
  <si>
    <t>Agrupamento Complementar de Empresas</t>
  </si>
  <si>
    <t>ASSOCIAÇÃO</t>
  </si>
  <si>
    <t>Associação</t>
  </si>
  <si>
    <t>AUTARQUIA LOCAL</t>
  </si>
  <si>
    <t>Autarquia</t>
  </si>
  <si>
    <t>COOPERATIVA</t>
  </si>
  <si>
    <t>Cooperativa</t>
  </si>
  <si>
    <t>Empresário em Nome Individual</t>
  </si>
  <si>
    <t>OUTRAS</t>
  </si>
  <si>
    <t>Entidade Equiparada a Pessoa Coletiva</t>
  </si>
  <si>
    <t>Entidade Estrangeira</t>
  </si>
  <si>
    <t xml:space="preserve">FUNDAÇÃO </t>
  </si>
  <si>
    <t>Fundação</t>
  </si>
  <si>
    <t>FUNDO (DE INVESTIMENTO E DE PENSÕES)</t>
  </si>
  <si>
    <t>Fundo</t>
  </si>
  <si>
    <t>HERANÇA INDIVISA</t>
  </si>
  <si>
    <t>Herança Indivisa</t>
  </si>
  <si>
    <t>ESTADO PORTUGUÊS / ADMINISTRAÇÃO PÚBLICA</t>
  </si>
  <si>
    <t>Organismo de Administração Pública</t>
  </si>
  <si>
    <t>PESSOA COLETIVA RELIGIOSA</t>
  </si>
  <si>
    <t>Pessoa Coletiva Religiosa</t>
  </si>
  <si>
    <t>Setor Empresarial do Estado</t>
  </si>
  <si>
    <t>SETOR EMPRESARIAL LOCAL</t>
  </si>
  <si>
    <t>Setor Empresarial Local</t>
  </si>
  <si>
    <t>SETOR EMPRESARIAL REGIONAL</t>
  </si>
  <si>
    <t>Setor Empresarial Regional</t>
  </si>
  <si>
    <t>Sociedade Anónima</t>
  </si>
  <si>
    <t>Sociedade Anónima Desportiva</t>
  </si>
  <si>
    <t>SOCIEDADE CIVIL SOB A FORMA COMERCIAL</t>
  </si>
  <si>
    <t>Sociedade Civil</t>
  </si>
  <si>
    <t>Sociedade de Advogados</t>
  </si>
  <si>
    <t>Sociedade de Revisores Oficiais de Contas</t>
  </si>
  <si>
    <t>Sociedade em Nome Coletivo</t>
  </si>
  <si>
    <t>Sociedade Irregular</t>
  </si>
  <si>
    <t>Sociedade por Quotas</t>
  </si>
  <si>
    <t>Sociedade Unipessoal por Quotas</t>
  </si>
  <si>
    <t>Level 3</t>
  </si>
  <si>
    <t>gportfolio</t>
  </si>
  <si>
    <t xml:space="preserve">in ('ST_FINCORP_TIT', 'GM_FINCORP_TIT', 'GMFCTITCE', 'STFCTITCE') </t>
  </si>
  <si>
    <t>Level 2</t>
  </si>
  <si>
    <t>not in ('ST_FINCORP_TIT', 'GM_FINCORP_TIT', 'GMFCTITCE', 'STFCTITCE')</t>
  </si>
  <si>
    <t>0</t>
  </si>
  <si>
    <t>cproduto</t>
  </si>
  <si>
    <t>in ('020','021','024','025','028','029','030','043','061','062','064','069','070','071','075','220','224','261','264','269','320','324')</t>
  </si>
  <si>
    <t>11111111111.000000</t>
  </si>
  <si>
    <t xml:space="preserve">in ('038', '048', '0V0', '110') </t>
  </si>
  <si>
    <t>in ('000','007','011','022','035','074','090','091','096','097','107','TTL')</t>
  </si>
  <si>
    <t>intrst_indxng</t>
  </si>
  <si>
    <t>in ('01F','02L','04E','04I','04L','05E','05I','05L','07E','07L','08E','08L','09E','09L','10E','10L','10T','10T','11E','11L','11T','11T','12A','12E','12E','12T','12T','12W','12W','1CP','1EA','1EM','1EM','240','250','260','265','270','275','280','285','290','2SC','300','320','325','345','350','355','360','365','365','375','375','379','379','3EA','3EM','3EM','6EA','6EM','6LM','6ML','6ML','A00','A01','A98','A98','AF1','AFR','AP1','AP2','B1M','B1Y','B2M','B3M','B6M','BCE','BN0','BT0','C00','C00','C01','C01','C01','C02','C02','C02','C03','C03','C04','C05','C06','C08','C10','C12','C14','C15','C18','C1M','C1Y','C21','C24','C29','C2M','C3M','C50','C55','C56','C6M','C71','C73','C9M','CCE','CEM','CO4','CO6','COF','CRT','CSN','D00','D01','D01','D01','D02','D02','D03','D1M','D1Y','D24','D25','D2M','D3M','D54','D56','D65','D6M','D75','DAA','DBB','DBN','DBP','DBP','DCC','DCI','DEO','DFA','DMM','DNZ','DP1','DS0','DS5','DSC','DSE','DSN','DSP','DSZ','DTT','E01','E01','E01','E10','E11','E12','E14','E15','E16','E17','E18','E19','E1A','E1A','E1A','E1D','E20','E21','E23','E24','E25','E26','E27','E28','E29','E3','E30','E31','E32','E33','E33','E34','E35','E36','E38','E3A','E3B','E3D','E3D','E3H','E3M','E3P','E3S','E3T','E42','E43','E51','E6','E6H','E6M','EA2','EA2','EA3','EA6','EAM','EAM','EAM','EB1','EB1','EB2','EB2','EB2','EB3','EB3','EB6','EB6','ECC','EDP','EM0','EM1','EM1','EM2','EM3','EM4','EM5','EM6','EM7','EM8','EM9','EM9','EMA','EMM','EMS','EMT','EOM','EON','EON','EON','ES2','ES2','ESA','ESC','ESD','ESH','ESM','ESM','ESM','ESS','EST','ESW','ET2','ETA','ETD','ETH','ETM','ETM','ETM','ETP','EU1','EU1','EU1','EU3','EU3','EU3','EU6','EU6','EU9','EUA','EUA','EUA','EUB','EUB','EUD','EUD','EUD','EUR','EUR','EUR','EUS','EUS','EUS','EUT','EUT','EUT','F01','F01','F02','F03','F11','F21','F22','F99','FCB','FCC','FCC','FM0','FM1','FMO','FPM','FSP','FX5','G05','G05','G10','G10','G20','HPP','I.S','I.S','I01','I02','I03','I04','I05','I06','I07','I08','I09','I10','I11','I12','I13','I14','I15','I16','I17','I18','I19','I1A','I1B','I1C','I1D','I1E','I1F','I1G','I1H','I1I','I1J','I1K','I1L','I1M','I1N','I1O','I1P','I1Q','I1R','I1S','I1T','I1U','I1V','I1X','I1Z','I20','I21','I22','I23','I2A','I2B','I2C','I2D','I2E','I2F','I2G','I2H','I2I','I2J','I2K','I2L','I2M','I2N','I2O','I2P','I2Q','I2R','I2S','I2T','I2U','I2V','I2X','I2Z','I3A','I3B','I3C','I3D','I3E','I3F','I3G','I3H','I3I','I3J','I3K','I3L','I3M','I3N','I3O','I3P','I3Q','I3R','I3S','I3T','I3U','I3V','I3X','I3Z','I4A','I4B','I4C','I4D','I4E','I4F','I4G','I4H','I4I','I4J','I4K','I4L','I4M','I4N','I4O','I4P','I4Q','I4R','I4S','I4T','I4U','I4V','I4X','I4Z','I5A','I5B','I5C','I5D','I5E','I5F','I5G','I5H','I5I','I5J','I5K','I5L','I5M','I5N','I5O','I5P','I5Q','I5R','I5S','I5T','I5U','I5V','I5X','I5Z','I68','I6A','I6B','I6C','I6D','I6E','I6F','I6G','I6H','I6I','I6O','I6P','I6Q','I6R','I6S','I6T','I6U','I6V','I6X','I6Z','I7A','I7B','I7C','I7D','I7E','I7F','I7G','I7H','I7I','I7J','I7K','I7L','I7M','I7N','I7O','I7P','I7Q','I7R','I7S','I7T','I7U','I7V','I7X','I7Z','I8A','I8B','I8C','I8D','I8E','I8F','I8G','I8H','I8I','I8J','I8K','I8L','I8M','I8O','I8P','I8Q','I8R','IDL','IFF','IMO','INE','INZ','ISP','J1A','J1B','J1M','J1Y','J21','J3M','J65','J6M','J9M','L00','L00','L00','L01','L03','L03','L06','L06','L12','L12','L1A','L1M','L1M','L1M','L1W','L21','L2M','L30','L3M','L3M','L3M','L50','L60','L61','L62','L65','L69','L6A','L6M','L6M','L71','L73','L75','L90','LAM','LAM','LB1','LB3','LB6','LB6','LB6','LB6','LB9','LBA','LBA','LBA','LDE','LDG','LF0','LF1','LF2','LF3','LF6','LF9','LFA','LI1','LI3','LI6','LIA','LIB','LID','LIS','LIS','LIT','LON','LSM','LSM','LSM','LTN','M10','M10','M11','M11','M12','M28','MB1','MB3','MB6','MB9','MBA','MBO','ME1','ME3','ME6','MEA','MES','MF1','MF3','MF6','MF9','MFA','MIC','MID','MMI','MMI','MOR','MOR','MOR','MPR','MTD','MTU','NUL','NUL','OTN','P01','P02','P02','P03','P03','P03','P04','P05','P05','P06','P06','P07','P07','P08','P18','P19','P19','P21','P30','P31','P31','P32','P32','P33','P34','P35','P35','P36','P37','P38','P39','P39','P41','P42','P42','P43','P44','P44','P45','P45','P46','P46','P46','P47','P47','P48','P50','P57','P58','P58','P59','P59','P60','P60','P61','P61','P61','P62','P62','P65','P66','P68','P75','P75','P91','P92','P93','P94','PMR','PR1','PRI','PRM','QR3','QRE','QRM','R00','R00','R00','R01','R02','R06','R07','R08','R09','R10','R10','R11','R11','R12','R12','R13','R13','R14','R14','R15','R16','R16','R17','R18','R18','R19','R20','R20','R21','R21','R40','R50','R60','R61','R61','R61','R61','R62','R63','R64','R65','R69','R70','R71','R72','R73','R91','RAC','RBM','REF','RF1','RF2','RF3','RF4','RF5','RF6','RF7','RF8','RF9','RNP','RPT','RTD','S15','S1M','S1T','S1T','S1Y','S27','S28','S29','S2A','S2M','S2T','S2T','S2Y','S30','S3A','S3M','S3T','S3T','S3Y','S4T','S4T','S4Y','S5T','S5T','S6M','S6T','S6T','S6Y','S7T','S7T','S7Y','S7Y','S8T','S8T','S8Y','S9M','S9T','S9T','S9Y','SBE','SCT','SHP','SM1','SM1','SM2','SM2','SM3','SM3','SM4','SM4','SM5','SM5','SM6','SM6','SM7','SM7','SM8','SM8','SM9','SM9','SOG','ST1','ST5','STJ','STJ','STN','STU','STZ','SW1','SW2','SW3','SW4','SW5','SW6','SW7','SW8','SW9','SWA','SWB','SWC','SWD','SWE','T03','T06','T10','T11','T11','T12','T12','T13','T13','T14','T15','T16','T17','T18','T19','T24','T25','T26','T26','T35','T36','T36','T37','T38','T39','T39','T39','T40','T41','T43','T43','T44','T44','T46','T47','T47','T48','T48','T48','T49','T49','T52','T52','T52','T53','T54','T56','T56','T57','T57','T58','T58','T58','T70','T71','T71','T71','T72','T73','T74','T75','T76','T77','T78','T79','T80','T82','T83','T84','T84','T84','T85','T85','T85','T86','T87','T88','T88','T88','T89','T89','T89','T90','T90','T90','T91','T91','T91','T92','T92','T94','T98','T98','T98','T99','T99','T99','TBA','TBN','TBN','TBP','TCB','TCE','TCE','TCN','TCN','TCS','TCS','TCU','TCU','TCU','TDC','TDP','TDP','TDZ','TEM','TER','TER','TF1','TF3','TF5','TF5','TFC','TIM','TMC','TMI','TMM','TMM','TMO','TNC','TNG','TNL','TOA','TOS','TOT','TP2','TPN','TPO','TPO','TPO','TRB','TRB','TRB','TRC','TRD','TRH','TRH','TRI','TRN','TRN','TRN','TRO','TSC','TSN','TTB','TTN','TTN','TTT','TUR','TUR','TUZ','TX0','TX1','TX2','TX3','TX4','TX5','TX6','TX7','TX8','TX9','TXA','TXB','TXC','TXD','TXE','TXF','TXG','TXH','TXI','TXJ','TXL','TZZ','U01','U02','U03','U04','U05','U06','U07','U08','U09','U10','U11','U12','U13','U14','U15','U16','U17','U18','U63','U63','U65','U65','U68','U68','U98','U99','V24','W10','W12','W15','W20','W30','X01','X02','X03','X04','X05','X06','X07','X08','X09','X10','X11','X12','X13','X14','X15','X16','X17','X18','X19','X1A','X1B','X1C','X1D','X1E','X1F','X1G','X1I','X1J','X1K','X1L','X1M','X1N','X1O','X1P','X1Q','X1R','X1S','X1T','X1U','X1V','X1X','X1Z','X20','X21','X22','X23','X24','X25','X26','X27','X28','X29','X2A','X2B','X30','X31','X32','X33','X34','X35','X36','X37','X38','X39','X40','X41','X42','X43','X44','X45','X46','X47','X48','X49','X50','X51','X52','X53','X54','X55','X56','X57','X58','X59','X60','X61','X62','X63','X64','X65','X66','X67','X68','X69','X70','X71','X72','X73','X74','X75','X76','X77','X78','X79','X80','X81','XXX','Y01','Y02','Y03','Y04','Y05','Y06','Y07','Y08','Y09','Y10','Y11','Y12','Y13','Y14','Y15','Y16','Y17','Y18','Y19','Y20','Y21','Y22','Y23','Y24','Y25','Y26','Y27','Y28','Y29','Y30','Y31','Y32','Y33','Y34','Y35','Y36','Y37','Y38','Y39','Y40','Y41','Y42','Y43','Y44','Y45','Y46','Y47','Y48','Y49','Y50','Y51','Y52','Y53','Y54','Y55','Y56','Y57','Y58','Y59','Y60','Y61','Y62','Y63','Y64','Y65','Y66','Y67','Y68','Y69','Y70','Y71','Y72','Y73','Y74','Y75','Y76','Y77','Y78','Y79','Y80','Y81','Z03','Z10','Z11','Z12','Z13','Z14','Z15','Z16','Z1M','Z1Y','Z20','Z21','Z22','Z23','Z24','Z26','Z27','Z2W','Z3M','Z40','Z41','Z42','Z43','Z44','Z45','Z46','Z47','Z48','Z49','Z51','Z6M','Z9M','ZB6','ZON','ZSW','ZTN')</t>
  </si>
  <si>
    <t>CALCULA_SPREAD</t>
  </si>
  <si>
    <t>in ('12M','1AE','1ME','2AE','2SE','3AE','3ME','6AE','6ME','8ME','9ME','A12','F10','F11','F12','F13','F14','FS1','FS2','FS3','FS4','FS5','FS6','FS7','FS8','FS9','J1C','J1D','SY1','SY2','SY3','SY4','SY5','SY6','SY7','SY8','SY9','WF0','WF1','WF2','WF3','WF4')</t>
  </si>
  <si>
    <t>typ_intrst_rt</t>
  </si>
  <si>
    <t>not in ('2')</t>
  </si>
  <si>
    <t>segmentos</t>
  </si>
  <si>
    <t>SRB_Valuation</t>
  </si>
  <si>
    <t>Exposures to natural persons; Off-balance sheet exposures</t>
  </si>
  <si>
    <t>Debt securities; Equity</t>
  </si>
  <si>
    <t>Exposures to legal persons; Exposures to natural persons; Off-balance sheet exposures</t>
  </si>
  <si>
    <t>Exposures to natural persons; Derivatives</t>
  </si>
  <si>
    <t>Valor LT</t>
  </si>
  <si>
    <t>aux1</t>
  </si>
  <si>
    <t>aux2</t>
  </si>
  <si>
    <t>aux3</t>
  </si>
  <si>
    <t>aux4</t>
  </si>
  <si>
    <t>aux5</t>
  </si>
  <si>
    <t>aux6</t>
  </si>
  <si>
    <t>Param1</t>
  </si>
  <si>
    <t>param2</t>
  </si>
  <si>
    <t>intrnl_sgmnt</t>
  </si>
  <si>
    <t>Legal_P</t>
  </si>
  <si>
    <t>Mapeamento</t>
  </si>
  <si>
    <t>LT002</t>
  </si>
  <si>
    <t>1º - Como filtrar o universo de títulos? Pelo plano de contas (fr802_pl_contas), pela ct610_titulos, ou outro?</t>
  </si>
  <si>
    <t>2º - Para o campo 'INTRNL_SGMNT', devemos ir buscar o zcliente à tabela ct610, ou à fr004? Se sim devemos usar o zcliente_emitente ou o zcliente_investidor?</t>
  </si>
  <si>
    <t>3º - Qual a prioridade para o caso do valor_conceito = 'Non identified, not listed on an exchange platform', deve ser aplicado antes do resto das parametrizações, ou após.</t>
  </si>
  <si>
    <t>1º - O campo contraparte por vez toma o valor 'resto setores / clientes' , que não mapeamos, e é uma das opções que sai neste momento no Loan Tapes Estrutural.Qual o valor conceito a aplicar?</t>
  </si>
  <si>
    <t>camplo_conceito</t>
  </si>
  <si>
    <t>var1 - ordem</t>
  </si>
  <si>
    <t>var2 - zcliente (de títulos passivos)</t>
  </si>
  <si>
    <t>var3 - SME_FNRP18</t>
  </si>
  <si>
    <t>var4 - contraparte</t>
  </si>
  <si>
    <t>General governments</t>
  </si>
  <si>
    <t>Non-financial corporations (SMEs)</t>
  </si>
  <si>
    <t>Non-financial corporations (non-SMEs)</t>
  </si>
  <si>
    <t>?</t>
  </si>
  <si>
    <t>0000000000</t>
  </si>
  <si>
    <t>Non identified, not listed on an exchange platform</t>
  </si>
  <si>
    <t>?????????????????</t>
  </si>
  <si>
    <t>contraparte</t>
  </si>
  <si>
    <t>LT002
LEFT JOIN
fr004
LEFT JOIN
(
SELECT val1
FROM lt899
WHERE ordem = 1
AND campo_conceito = 'INTRNL_SGMNT'
) as lig1
ON va1 = contraparte
LEFT JOIN
(
SELECT val2
FROM lt899
WHERE ordem = 1
AND campo_conceito = 'INTRNL_SGMNT'
) as lig1
ON va1 = contraparte</t>
  </si>
  <si>
    <t>IF(contraparte = 'outras empresas nao financeiras', SME_FNRP18, '') as flag_pme</t>
  </si>
  <si>
    <t>Estados possiveis</t>
  </si>
  <si>
    <t>Estados de desenvolvimento possiveis</t>
  </si>
  <si>
    <t>Concluido</t>
  </si>
  <si>
    <t>Alterações ao Motor LT - Novos Campos: Definição Fechada / Dados não existem no Datalake -&gt; Ingesta</t>
  </si>
  <si>
    <t xml:space="preserve">Alterações ao Motor LT - Novos Campos: Definição Fechada / Dados não existem no Datalake -&gt; Ingesta + Dev Datalake (tabelas intermédias) </t>
  </si>
  <si>
    <t>Alterações ao Motor LT - Novos Campos: Definição Fechada / Dados não existem no Datalake -&gt; Ingesta + Dev Datalake (tabelas intermédias) + Dev Aplicação Origem Origem</t>
  </si>
  <si>
    <t>Total 
(%)</t>
  </si>
  <si>
    <t>Casos em que a dt_trade é inferior à dt_fim</t>
  </si>
  <si>
    <t>SWP</t>
  </si>
  <si>
    <r>
      <t xml:space="preserve">Mapeamento LT:
LT002_INSTRUMENT.OFF_BLNC_SHT_AMNT_INSTRMNT
Comentários IT:
O SRB solicita o Total nominal amount of off-balance-sheet exposure </t>
    </r>
    <r>
      <rPr>
        <u/>
        <sz val="11"/>
        <color rgb="FF000000"/>
        <rFont val="Calibri"/>
      </rPr>
      <t xml:space="preserve">de </t>
    </r>
    <r>
      <rPr>
        <b/>
        <u/>
        <sz val="11"/>
        <color rgb="FF000000"/>
        <rFont val="Calibri"/>
      </rPr>
      <t>IFRS9</t>
    </r>
    <r>
      <rPr>
        <sz val="11"/>
        <color rgb="FF000000"/>
        <rFont val="Calibri"/>
      </rPr>
      <t>, contudo, no Loan Tape o campo OFF_BLNC_SHT_AMNT_INSTRMNT está a ser obtido da Contabilidade (fr004_cto/lt001_univ_oper), ou seja, não está a ser obtido de IFRS9.
Portanto, para utilizar o campo do Loan Tape indicado foi necessário confirmar com IFRS9 que o valor que IFRS9 tem é o da Contabilidade: Segundo David Texugo (Email 01/04/2024 17:23), "Os saldos que constam em IFRS9 são reconciliados pela Contabilidade, tratando-se de um subset de contas contabilísticas das carteiras IC que é definido pela Contabilidade."
PREOCUPAÇÃO: Não haverá a possibilidade de existirem contratos off balance na fr004 que não existem em IFRS9? Em caso afirmativo, significa que se iria preencher um valor que não seria o de IFRS9 para estes casos (mas sim o da Contabilidade).
Reunião com Luís Capitão-Mor 8 /11/2024 14:30: Nesta reunião foi discutida a preocupação acima, e foram vistos os contratos FINREP que não estavam presentes no tradutor de chaves de IFRS9. A maioria dos contratos vistos têm montante 0, estes contratos não serão tema pois o LT já trata de os remover. Havia também um conjunto de contratos que eram do Totta Ireland e como este report é relativo ao Santander Totta, SA estes contratos não iram constar no report. O resto do contratos são ajustes ('CMAH'), para os quais Luís Capitão-Mor comentou que no âmbito da OSI do Loan Tape Estrutural, existe uma parametrização que determina estes contratos de forma a serem tratados de forma minimalista, apenas são preenchidos alguns campos chave e o resto dos campos (incluindo este OFF_BLNC_SHT_AMNT_INSTRMNT) vem a N/A, esta informação é submetida à corporação mas depois é removida aquando da submissão do report ao BCE, sendo enviado posteriormente um excel com esses registos assim como uma justificação. Postos estes temas, ficou aprovado o uso do campo já previamente mapeado LT002_INSTRUMENT.OFF_BLNC_SHT_AMNT_INSTRMNT.
De forma a confirmar a preocupação acima fez-se a ligação entre o universo FINREP (fr004) e o universo IFRS9 (ifrs9_out_expected_loss_8_7 ) para comparar os montantes fora de balanço de ambos, na query: 
SELECT
    core_off_bal.contract_id_fr,
    core_off_bal.montante_fr,
    ifrs9_oel_8_7.montante_ifrs9 as sum_montante_ifrs9,
    core_off_bal.montante_fr+ifrs9_oel_8_7.montante_ifrs9 as dif--;
--SELECT COUNT(DISTINCT ifrs9_oel_8_7.contract_id_ifrs9)
--SELECT COUNT(DISTINCT core_off_bal.contract_id_fr)
FROM
(
    SELECT 
        fr004.contract_id as contract_id_fr,
        fr004.montante_fr
    FROM
    (
        SELECT
            CONCAT(cempresa, cbalcao, cnumecta, zdeposit) as contract_id,
            CAST(valor_bruto_off_a as DECIMAL(30,8)) as montante_fr
        FROM cd_captools.fr004_cto
        WHERE ref_date = '2024-09-30' 
    ) as fr004
    LEFT JOIN
    (
        SELECT
            CONCAT(cempresa, cbalcao, cnumecta, zdeposit) as contract_id,
            ccontab_final_ifrs
        FROM cd_captools.fr001_univ_saldo
        WHERE ref_date = '2024-09-30'
    ) as fr001
    ON fr001.contract_id = fr004.contract_id
    LEFT JOIN
    (
        SELECT
            conta, tipo_conta
        FROM cd_captools.fr802_pl_contas
        WHERE ref_date = '2024-09-30'
        AND cod_plano = 'BST_IND'
    ) as fr802
    ON fr802.conta = fr001.ccontab_final_ifrs
    WHERE TRIM(fr802.tipo_conta) = 'EA'
) as core_off_bal
LEFT JOIN
(
    SELECT 
        trad_fr.contract_id_fr, 
        trad_ifrs9.contract_id_ifrs9
    FROM 
    (
        SELECT
            CONCAT(cempresa_fr, cbalcao_fr, cnumecta_fr, zdeposit_fr) as contract_id_fr,
            CONCAT(cempresa, cbalcao, cnumecta, zdeposit) as contract_id_ct
        FROM cd_captools.kt_chaves_finrep
        WHERE ref_date = '2024-09-30'
    ) as trad_fr 
    INNER JOIN
    (
        SELECT
            contract_id as contract_id_ifrs9,
            CONCAT(cempresa, cbalcao, cnumecta, zdeposit) as contract_id_ct
        FROM cd_captools.kt_chaves_ifrs9
        WHERE ref_date = '2024-09-30'
    ) as trad_ifrs9
    ON trad_ifrs9.contract_id_ct = trad_fr.contract_id_ct
) as tradutor
ON tradutor.contract_id_fr = core_off_bal.contract_id_fr
--WHERE tradutor.contract_id_fr IS NULL -- Temos 69 contrato OFF_BALANCE que existem no universo FINREP mas não estão no universo IFRS9
LEFT JOIN
(
    SELECT
        contract_id as contract_id_ifrs9,
        CAST(undrawn_balance as DECIMAL(30,8)) as montante_ifrs9
    FROM cd_captools.ifrs9_out_expected_loss_8_7
    WHERE data_date_part = (SELECT MIN(data_date_part) FROM cd_captools.ifrs9_out_expected_loss_8_7 WHERE data_date_part &gt;= '2024-09-30')
) as ifrs9_oel_8_7
ON ifrs9_oel_8_7.contract_id_ifrs9 = tradutor.contract_id_ifrs9
-- Testar se todos os contratos ifrs9 do tradutor estão na ifrs9_out_expected_loss_8_7
-- WHERE tradutor.contract_id_fr IS NOT NULL
-- AND ifrs9_oel_8_7.contract_id_ifrs9 IS NULL -- Todos os contratos IFRS9 que estão no tradutor de chaves IFRS estão na tabela cd_captools.ifrs9_out_expected_loss_8_7
-- Ignorando os contratos FINREP para os quais não há contratos IFRS9 associados, ver se há diferenças entre os montantes 
-- WHERE tradutor.contract_id_fr IS NOT NULL
-- --GROUP BY core_off_bal.contract_id_fr, core_off_bal.montante_fr Não se pode agregar os montantes dos cntr IFRS9 estão duplicados para o mesmo contrato FINREP
-- HAVING dif != 0 -- Todos os montantes batem certo
-- Ver os casos em que contratos FINREP não têm contratos IFRS9 associados
WHERE tradutor.contract_id_fr IS NULL
Conclusões:
- Para a data de '2024-09-30' existem 69 contratos FINREP para os quais não existem contratos IFRS9 associado, ou seja os montantes que vêm destes contratos não são montantes IFRS9 e como tal não deviam ser reportados neste campo. Deste universo de contratos 51 têm valor_bruto_off_a igual a 0 ou muito baixo (~0.01), os 18 restantes têm valor_bruto_off_a muito elevado (na ordem das centenas de milhões);
- Para todos os contratos FINREP que têm contratos IFRS9 associados, os montantes de valor_bruto_off_a e undrawn_balance são exatamente iguais, confirmando o entendimento do David Texugo.
Query antiga (desatualizado):
- O campo "amount" da  tabela ifrs9_input_motor_8_7 filtrada para amount_type='#903' (off balance) bate certo com o campo valor_bruto_off_a da fr004_cto (query abaixo).
- O campo "undrawn_balance" da tabela ifrs9_out_expected_loss_8_7 bate certo com o campo valor_bruto_off_a da fr004_cto (query abaixo).
SELECT contract_id, montante_ifrs9, montante_fr, montante_fr+montante_ifrs9 as dif
FROM
-- (
-- select contract_id, CAST(replace(amount,'#','') as DECIMAL(30,8)) as montante_ifrs9 
-- from cd_captools.ifrs9_input_motor_8_7 where data_date_part='2023-10-31' and amount_type='#903'
-- ) as ifrs9
(
select contract_id, CAST(undrawn_balance as DECIMAL(30,8)) as montante_ifrs9
from cd_captools.ifrs9_out_expected_loss_8_7 where data_date_part='2023-11-03'
) as ifrs9
INNER JOIN
(
    SELECT 
    CONCAT(contract_id) as IFRS9_ID, 
    CONCAT(CEMPRESA_FR, CBALCAO_FR, CNUMECTA_FR, ZDEPOSIT_FR) as FR_ID
    FROM 
    (SELECT * FROM cd_captools.KT_CHAVES_FINREP where ref_date = '2023-10-31') as a 
    INNER JOIN
    (SELECT * FROM cd_captools.KT_CHAVES_IFRS9 where ref_date = '2023-10-31' ) as b
    ON a.CEMPRESA = b.CEMPRESA
    AND a.CBALCAO = b.CBALCAO
    AND a.CNUMECTA = b.CNUMECTA
    AND a.ZDEPOSIT = b.ZDEPOSIT
) as tradutor
on tradutor.IFRS9_ID = ifrs9.contract_id
INNER JOIN
(
select concat(cempresa, cbalcao, cnumecta, zdeposit) as contr_id, CAST(valor_bruto_off_a as DECIMAL(30,8)) as montante_fr
from cd_captools.fr004_cto where ref_date='2023-10-31' 
) as fr
ON fr.contr_id = tradutor.FR_ID
HAVING dif &lt;&gt; 0</t>
    </r>
  </si>
  <si>
    <r>
      <t xml:space="preserve">Mapeamento LT:
1º Passo - Calcular o ultimo dia util menor ou igual à data de referência (ref_date):
if (datetime.datetime.strptime(refDate, "%Y-%m-%d").date().weekday() == 5) &amp; (refDate_ld == lastday):
        refdate_diautil = datetime.datetime.strptime(refDate, "%Y-%m-%d").date() - datetime.timedelta(days=1)
elif (datetime.datetime.strptime(refDate, "%Y-%m-%d").date().weekday() == 6) &amp; (refDate_ld == lastday):
        refdate_diautil = datetime.datetime.strptime(refDate, "%Y-%m-%d").date() - datetime.timedelta(days=2)
else:
        refdate_diautil = refDate
2º Passo - Cruzar LT002_INSTRUMENT com as tabelas AL005_DET_SWAPC, AL011_DERIVADOS, AL611_DERIV_AUX, AL613_SWAPSC_AUX, de forma a obter o campo ZCLIENTE e DT_TRADE:
NOTA: Esta ligação já é feita nos campos de contract_recogn_..., e como tal deve ser reaproveitada para o campo governing_law. No entanto neste campo não deve ser aplicada a mesma regra de Not Applicable dos contract_recogn_... visto que não se aplica apenas a derivados.
SELECT
          lt002.INSTRMNT_ID,
          cntr_derv.zcliente,
          cntr_derv.dt_trade,
 cod_kgr
FROM
(
          SELECT
                    INSTRMNT_ID 
          FROM cd_loan_tapes_bce.lt002_instrument_srb
          WHERE ref_date = {data de referência}
          AND ambito = {ambito}
          AND nome_perimetro = {perimetro}
          AND segmento = {segmento}
          AND entidade = {entidade}
) as lt002
LEFT JOIN
(
          SELECT
                    CONCAT(cempresa_fr,cbalcao_fr,cnumecta_fr,zdeposit_fr) as INSTRMNT_ID,
                    CONCAT(cempresa,cbalcao,cnumecta,zdeposit) as INSTRMNT_ID_MASTER
          FROM cd_captools.kt_chaves_finrep
          WHERE ref_date = {data de referência}
) as kt_chaves_fr
ON lt002.INSTRMNT_ID = kt_chaves_fr.INSTRMNT_ID
LEFT JOIN
(
          SELECT
                    CONCAT(cempresa_master,cbalcao_master,cnumecta_master,zdeposit_master) as INSTRMNT_ID_MASTER,
                    CONCAT(cempresa,cbalcao,cnumecta,zdeposit) as INSTRMNT_ID_ALM
          FROM cd_alm.kt_chaves_alm_m
          WHERE ref_date = {data de referência}
) as kt_chaves_alm
ON kt_chaves_fr.INSTRMNT_ID_MASTER = kt_chaves_alm.INSTRMNT_ID_MASTER
LEFT JOIN
(
          SELECT
                    CONCAT(cempresa,cbalcao,cnumecta,zdeposit) as INSTRMNT_ID_ALM,
                    zcliente,
                    dt_trade,
          cod_kgr
          FROM cd_alm.al011_derivados
          WHERE ref_date = {data de referência}
          UNION
          SELECT
                    CONCAT(cempresa,cbalcao,cnumecta,zdeposit) as INSTRMNT_ID_ALM,
                    zcliente,
                    dt_trade,
          cod_kgr
          FROM cd_alm.al611_deriv_aux
          WHERE ref_date = {data de referência}
          UNION
          SELECT
            alm_fx.INSTRMNT_ID_ALM,
            alm_fx.zcliente,
            sigom_fx.dt_trade,
 alm_fx.cod_kgr
          FROM
          (
              SELECT
                        CONCAT(cempresa,cbalcao,cnumecta,zdeposit) as INSTRMNT_ID_ALM,
                        cod_ref_int,
                        ccliente_sagres as zcliente,
    cod_kgr
              FROM cd_alm.al005_det_swapc
              WHERE ref_date = {data de referência}
              UNION
              SELECT
                        CONCAT('6416 ',
                        CASE
                        WHEN substr(cid_sigom,1,4) = '+000' THEN rpad(concat(substr(coperacao,1,3),substr(cid_sigom,5,6)),15,'0')
                        WHEN substr(cid_sigom,1,3) = '+00' THEN rpad(concat(substr(coperacao,1,3),substr(cid_sigom,4,7)),15,'0')
                        WHEN substr(cid_sigom,1,2) = '+0' THEN rpad(concat(substr(coperacao,1,3),substr(cid_sigom,3,8)),15,'0')
                        WHEN ((substr(cid_sigom,1,2) != '+0')
                        OR (substr(cid_sigom,1,3) != '+00')
                        OR (substr(cid_sigom,1,4) != '+000'))
                        AND (coperacao IS NOT NULL) THEN concat(substr(coperacao,1,3),substr(cid_sigom,2,9),'00')
                        WHEN coperacao IS NULL THEN rpad(concat(coperacao, ' '),15,' ')
                        END
                        ) as INSTRMNT_ID_ALM,
                        cod_ref_int,
                        ccliente_sagres as zcliente,
    cod_kgr
              FROM cd_alm. al613_swapsc_aux
              WHERE ref_date = {data de referência}
          ) as alm_fx
          LEFT JOIN
          (
              SELECT
                        ref_interna,
                        CONCAT(substr(dcriacao,1,4),'-',substr(dcriacao,5,2),'-',substr(dcriacao,7,2)) as dt_trade,
                        ROW_NUMBER() OVER (PARTITION BY cid_sigom, data_date_part ORDER BY dfim ASC) AS row_num
              FROM cd_alm.sigom_fx
              WHERE data_date_part = {ultimo dia util menor ou igual à data de referência}
          ) as sigom_fx
          ON alm_fx.cod_ref_int = sigom_fx.ref_interna
          AND sigom_fx.row_num = 1
) as cntr_derv
ON cntr_derv.INSTRMNT_ID_ALM = kt_chaves_alm.INSTRMNT_ID_ALM
3º Passo - Cruzar o universo de contratos definido acima (UNIV) com a ingesta SIGOM de contratos Quadro/ISDA 'CQ_ISDA' de forma a obter o campo governing_law.
Note-se que aqui podem ocorrer 2 situações:
 1) Dt_trade&gt;=dt_fim
 2) Dt_trade&lt;dt_fim
UNIV
Caso 1:
LEFT JOIN
(
          SELECT
                    zcliente,
                    governing_law 
                    dt_fim,
                    ROW_NUMBER() OVER (PARTITION BY zcliente ORDER BY dt_fim DESC, case when
                    cod_tip_contrato='ISDA' then 1
                    when cod_tip_contrato='Contrato Quadro' then 2
                    when cod_tip_contrato='GMRA' then 3
                    else 4
                    end ASC) as row_num
          FROM
          (
                    SELECT
                              if(zcliente is NULL, ' ',lpad(zcliente,10,'0')) as zcliente,
                              if(cod_tip_contrato is NULL, ' ', cod_tip_contrato) as cod_tip_contrato,
                              concat(right(dt_fim,4),'-', substr(dt_fim,4,2), '-',left(dt_fim,2)) as dt_fim,
                              governing_law
                    FROM cd_alm.cq_isda
                    WHERE
                    1=1
                    and data_date_part = '${date_ultimo}'
                    AND operativa = 'Derivados'
                    AND (zcliente is NOT NULL OR NOT trim(zcliente)='')
                    AND (zcliente_sigom is NOT NULL OR NOT trim(zcliente_sigom)='')
                    AND (NOT trim(zcliente)='' OR NOT trim(zcliente_sigom)!='')
                    AND (NOT trim(zcliente)='' OR NOT trim(zcliente_sigom)='')
          ) as cq_isda_aux
          GROUP BY zcliente, governing_law, cod_tip_contrato, dt_fim
) as cq_isda
ON cq_isda.zcliente = UNIV.zcliente
AND UNIV.dt_trade &gt;= cq_isda.dt_fim
AND row_num = 1
Caso 2:
LEFT JOIN
(
          SELECT
                    zcliente,
                    governing_law 
                    dt_fim,
                    ROW_NUMBER() OVER (PARTITION BY zcliente ORDER BY dt_fim ASC, case when
                    cod_tip_contrato='ISDA' then 1
                    when cod_tip_contrato='Contrato Quadro' then 2
                    when cod_tip_contrato='GMRA' then 3
                    else 4
                    end ASC) as row_num
          FROM
          (
                    SELECT
                              if(zcliente is NULL, ' ',lpad(zcliente,10,'0')) as zcliente,
                              if(cod_tip_contrato is NULL, ' ', cod_tip_contrato) as cod_tip_contrato,
                              concat(right(dt_fim,4),'-', substr(dt_fim,4,2), '-',left(dt_fim,2)) as dt_fim,
                              governing_law
                    FROM cd_alm.cq_isda
                    WHERE
                    1=1
                    and data_date_part = '${date_ultimo}'
                    AND operativa = 'Derivados'
                    AND (zcliente is NOT NULL OR NOT trim(zcliente)='')
                    AND (zcliente_sigom is NOT NULL OR NOT trim(zcliente_sigom)='')
                    AND (NOT trim(zcliente)='' OR NOT trim(zcliente_sigom)!='')
                    AND (NOT trim(zcliente)='' OR NOT trim(zcliente_sigom)='')
          ) as cq_isda_aux
          GROUP BY zcliente, governing_law, cod_tip_contrato, dt_fim
) as cq_isda
ON cq_isda.zcliente = UNIV.zcliente
AND UNIV.dt_trade &lt; cq_isda.dt_fim
AND row_num = 1
4º Passo - Para os contratos de Títulos, ou seja, os contratos que existem na ct610_titulos, obter o campo lei_aplicavel (que representa o governing law) da mesma.
5ª Passo - Caso a entidade associada ao contrato não se encontre na tabela cd_alm.cq_isda, então é necessário ir buscar o ccli_grupo associado a essa entidade, bem como todos as entidades desse ccli_grupo:
left join
(
select zcliente, ccli_grupo as ccli_grupo_aux from cd_captools.CT003_UNIV_CLI
where
ref_date = '${data}'
)ct003
on ct003.zcliente=Univ.zcliente
6º Passo - Para as entidades associadas ao ccli_grupo, será feita a ligação com a tabela cd_alm.cq_isda, conforme apresentado no 3º Passo, sendo que a dt_trade utilizada trata-se da dt_trade do zcliente inicial (zcliente associado ao contrato).
7º Passo - Selecionar apenas a linha que tenha o campo governing_law preenchido para cada contrato.
8º Passo - Calcular a data mais recente da tabela cd_estruturais.tat91_tabelas:
max_tat_date = SELECT MAX(data_date_part) FROM cd_estruturais.tat91_tabelas
9º Passo - Cruzar o governing_law obtido nos passos anteriores com a tabela cd_estruturais.tat91_tabelas com tayd91c0_ctabela = '015' de forma a converter este campo no code-list pedido pelo SRB:
LEFT JOIN
(
    SELECT
        tayd91c0_nelemc01, -- Código de país com 3 caracteres (proveniente da ingesta SIGOM - Ex: PRT)
        tayd91c0_celemtab,  --Código de país com 3 caracteres (proveniente da ct610_titulos - Ex: 620)
        tayd91c0_nelemc09 -- Código de país com 2 caracteres (solicitado pelo SRB - Ex: PT)
    FROM cd_estruturais.tat91_tabelas
    WHERE data_date_part = {max_tat_date}
    AND tayd91c0_ctabela = '015'
    GROUP BY tayd91c0_nelemc01, tayd91c0_celemtab, tayd91c0_nelemc09
) as tat91
10º Passo - Criação do campo governing_law por contrato
 1) Caso o campo cod_kgr = '9CFL' então o campo governing_law para esse contrato é preenchido com 'PT';
 2) Caso contrário reportar o campo tayd91c0_nelemc09:
Case when cod_kgr = '9CFL' then 'PT'
Else tayd91c0_nelemc09 end as governing_law
Comentários IT:
‣ Este campo é comum com o Bail-In
Reunião 15/11/2024 Luís Capitão-Mor, Rogério Sacadura, Pedro Henriques, Luis Henriques, Sandra Santos: Nesta reunião foi questionado se o SIGOM tem informação de Lei Aplicável para as várias operativas que lá são registadas, a resposta é que de momento essa informação não é registada. Luís Capitão-Mor sugeriu, portanto, que se passe a adicionar esta informação, assim, foi definido o que seria necessário fazer para o SIGOM passar a ter esta informação nas suas várias operativas (Derivados, Titulos, REPOS, Papel Comercial, Loans and Depos). Após esta reunião ainda ficaram algumas duvidas sobre Papel Comercial, e foi pedido que se marcasse uma reunião adicional com Luis Gatinho, Luis Henriques e Pedro Henriques para se finalizar esta definição. De seguida terá de se fazer uma estimativa para endereçar os desenvolvimentos. Com o intuito de se poder ir implementando as regras do Loan Tapes para este campo, Luís Capitão-Mor concordou que fossem já adicionados os campos necessários nas tabelas do universo de ALM de Derivados, REPOS, Papel Comercial e Loans and Depos, numa fase inicial ficaram a vazio ou NULL e quando os desenvolvimentos do SIGOM estiverem concluídos e os ficheiros de input alterados aí se começaria a preencher estes campos.
Convesas antigas sobre este campo:
Agendar reunião com Luís Capitão-Mor (após análise)
Segundo Luís Capitão-Mor, terá de se criar uma Tabela de parametrização (definir se é uma tabela nova ou se encaixa em alguma tabela de parametrização já existente) com os seguintes campos:
</t>
    </r>
    <r>
      <rPr>
        <u/>
        <sz val="11"/>
        <color rgb="FF000000"/>
        <rFont val="Calibri"/>
      </rPr>
      <t xml:space="preserve">Derivados:
</t>
    </r>
    <r>
      <rPr>
        <sz val="11"/>
        <color rgb="FF000000"/>
        <rFont val="Calibri"/>
      </rPr>
      <t xml:space="preserve">- campo "cod_tip_contrato" da al012_cq_alm 
tem como valores "Contrato Quadro"  e "ISDA", sendo que os registos com "Contrato Quadro" são Lei Portuguesa e portanto serão 'PT'  e os  "ISDA" são tipicamente Lei Inglesa e portanto serão 'GB', mas tem de se confirmar estes "ISDA")
</t>
    </r>
    <r>
      <rPr>
        <u/>
        <sz val="11"/>
        <color rgb="FF000000"/>
        <rFont val="Calibri"/>
      </rPr>
      <t xml:space="preserve">Títulos:
</t>
    </r>
    <r>
      <rPr>
        <sz val="11"/>
        <color rgb="FF000000"/>
        <rFont val="Calibri"/>
      </rPr>
      <t xml:space="preserve">- campo "lei_aplicavel" (vem da cd_captools.ct610_titulos -&gt; dicionário de Títulos)
</t>
    </r>
    <r>
      <rPr>
        <u/>
        <sz val="11"/>
        <color rgb="FF000000"/>
        <rFont val="Calibri"/>
      </rPr>
      <t>Restantes Produtos (que não Derivados e Títulos)</t>
    </r>
    <r>
      <rPr>
        <sz val="11"/>
        <color rgb="FF000000"/>
        <rFont val="Calibri"/>
      </rPr>
      <t xml:space="preserve">:
- campo "cempresa" (se "cempresa"=31 então são Lei Portuguesa e portanto serão 'PT' ) 
- campo cproduto concatenado com o csubproduto
Nota: Tem de se aplicar a regra acima pela sequência 1) Derivados 2) Títulos e 3) Restantes Produtos. Se se aplicasse a regra 3 em primeiro lugar haveriam registos de Derivados com campo cempresa=31 e que portanto seriam classificados com Lei Portuguesa, contudo, como é referido acima os Derivados "ISDA" são tipicamente Lei Inglesa.
Nota 2: A regra pensada acima não permite que este campo fique definido para 100% dos universos contratos mas irá cobrir a nocessidade do report Valuation e mais alguns universos de contratos, mas não todos.
Soluções pensadas:
1)  Aplicar a lógica de seleção de campos antes da parametrização, criando um campo unico que passará pela LT803:
2) Criar uma parametrização combinada com todos os campos que entram nesta lógica assim como um campo de prioridade de aplicação de regras, ficando a lógica toda consentrada numa nova tabela de parametrização LT8__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</si>
</sst>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8">
    <font>
      <sz val="11"/>
      <color theme="1"/>
      <name val="Calibri"/>
      <family val="2"/>
      <scheme val="minor"/>
    </font>
    <font>
      <sz val="11"/>
      <color theme="1"/>
      <name val="Calibri"/>
      <scheme val="minor"/>
    </font>
    <font>
      <b/>
      <sz val="11"/>
      <color theme="1"/>
      <name val="Calibri"/>
      <family val="2"/>
      <scheme val="minor"/>
    </font>
    <font>
      <b/>
      <u/>
      <sz val="14"/>
      <color theme="1"/>
      <name val="Calibri"/>
      <family val="2"/>
      <scheme val="minor"/>
    </font>
    <font>
      <sz val="11"/>
      <color rgb="FF3C4043"/>
      <name val="Calibri"/>
      <family val="2"/>
      <scheme val="minor"/>
    </font>
    <font>
      <b/>
      <sz val="11"/>
      <color theme="0"/>
      <name val="Calibri"/>
      <family val="2"/>
      <scheme val="minor"/>
    </font>
    <font>
      <sz val="10"/>
      <name val="Arial"/>
      <family val="2"/>
    </font>
    <font>
      <sz val="11"/>
      <name val="Calibri"/>
      <family val="2"/>
      <scheme val="minor"/>
    </font>
    <font>
      <u/>
      <sz val="11"/>
      <color theme="10"/>
      <name val="Calibri"/>
      <family val="2"/>
      <scheme val="minor"/>
    </font>
    <font>
      <sz val="11"/>
      <color theme="0"/>
      <name val="Calibri"/>
      <family val="2"/>
      <scheme val="minor"/>
    </font>
    <font>
      <sz val="11"/>
      <color rgb="FF000000"/>
      <name val="Calibri"/>
      <family val="2"/>
      <scheme val="minor"/>
    </font>
    <font>
      <b/>
      <sz val="14"/>
      <color theme="0"/>
      <name val="Calibri"/>
      <family val="2"/>
      <scheme val="minor"/>
    </font>
    <font>
      <sz val="11"/>
      <color rgb="FF000000"/>
      <name val="Calibri"/>
      <family val="2"/>
    </font>
    <font>
      <sz val="11"/>
      <color rgb="FFFFFFFF"/>
      <name val="Calibri"/>
      <family val="2"/>
    </font>
    <font>
      <sz val="11"/>
      <name val="Calibri"/>
      <family val="2"/>
    </font>
    <font>
      <sz val="11"/>
      <color rgb="FF242424"/>
      <name val="Aptos Narrow"/>
      <charset val="1"/>
    </font>
    <font>
      <strike/>
      <sz val="11"/>
      <color rgb="FF000000"/>
      <name val="Calibri"/>
      <family val="2"/>
      <scheme val="minor"/>
    </font>
    <font>
      <b/>
      <sz val="14"/>
      <color theme="1"/>
      <name val="Calibri"/>
      <family val="2"/>
      <scheme val="minor"/>
    </font>
    <font>
      <sz val="11"/>
      <color rgb="FF000000"/>
      <name val="Calibri"/>
    </font>
    <font>
      <u/>
      <sz val="11"/>
      <color rgb="FF000000"/>
      <name val="Calibri"/>
    </font>
    <font>
      <b/>
      <u/>
      <sz val="11"/>
      <color rgb="FF000000"/>
      <name val="Calibri"/>
    </font>
    <font>
      <b/>
      <sz val="11"/>
      <color theme="0"/>
      <name val="Calibri"/>
      <family val="2"/>
      <charset val="1"/>
    </font>
    <font>
      <b/>
      <sz val="11"/>
      <color rgb="FF000000"/>
      <name val="Calibri"/>
      <scheme val="minor"/>
    </font>
    <font>
      <sz val="11"/>
      <color rgb="FF000000"/>
      <name val="Calibri"/>
      <scheme val="minor"/>
    </font>
    <font>
      <b/>
      <sz val="9"/>
      <color rgb="FFFFFFFF"/>
      <name val="Calibri"/>
      <family val="2"/>
    </font>
    <font>
      <sz val="9"/>
      <color rgb="FF000000"/>
      <name val="Calibri"/>
      <family val="2"/>
    </font>
    <font>
      <sz val="9"/>
      <color rgb="FF000000"/>
      <name val="Calibri"/>
    </font>
    <font>
      <sz val="11"/>
      <color rgb="FFFF0000"/>
      <name val="Calibri"/>
      <scheme val="minor"/>
    </font>
  </fonts>
  <fills count="42">
    <fill>
      <patternFill patternType="none"/>
    </fill>
    <fill>
      <patternFill patternType="gray125"/>
    </fill>
    <fill>
      <patternFill patternType="solid">
        <fgColor theme="2" tint="-9.9978637043366805E-2"/>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theme="0"/>
        <bgColor theme="4" tint="0.79998168889431442"/>
      </patternFill>
    </fill>
    <fill>
      <patternFill patternType="solid">
        <fgColor theme="4" tint="0.79998168889431442"/>
        <bgColor indexed="64"/>
      </patternFill>
    </fill>
    <fill>
      <patternFill patternType="solid">
        <fgColor rgb="FFFFFF00"/>
        <bgColor theme="4" tint="0.79998168889431442"/>
      </patternFill>
    </fill>
    <fill>
      <patternFill patternType="solid">
        <fgColor theme="9" tint="0.39997558519241921"/>
        <bgColor indexed="64"/>
      </patternFill>
    </fill>
    <fill>
      <patternFill patternType="solid">
        <fgColor theme="9" tint="0.39997558519241921"/>
        <bgColor theme="4" tint="0.79998168889431442"/>
      </patternFill>
    </fill>
    <fill>
      <patternFill patternType="solid">
        <fgColor theme="5" tint="0.79998168889431442"/>
        <bgColor theme="4" tint="0.79998168889431442"/>
      </patternFill>
    </fill>
    <fill>
      <patternFill patternType="solid">
        <fgColor theme="5" tint="0.79998168889431442"/>
        <bgColor indexed="64"/>
      </patternFill>
    </fill>
    <fill>
      <patternFill patternType="solid">
        <fgColor theme="7" tint="0.79998168889431442"/>
        <bgColor theme="4" tint="0.79998168889431442"/>
      </patternFill>
    </fill>
    <fill>
      <patternFill patternType="solid">
        <fgColor theme="9" tint="0.79998168889431442"/>
        <bgColor theme="4" tint="0.79998168889431442"/>
      </patternFill>
    </fill>
    <fill>
      <patternFill patternType="solid">
        <fgColor theme="9" tint="0.79998168889431442"/>
        <bgColor indexed="64"/>
      </patternFill>
    </fill>
    <fill>
      <patternFill patternType="solid">
        <fgColor theme="7"/>
        <bgColor indexed="64"/>
      </patternFill>
    </fill>
    <fill>
      <patternFill patternType="solid">
        <fgColor rgb="FFFFFF00"/>
        <bgColor indexed="64"/>
      </patternFill>
    </fill>
    <fill>
      <patternFill patternType="solid">
        <fgColor theme="0"/>
        <bgColor indexed="64"/>
      </patternFill>
    </fill>
    <fill>
      <patternFill patternType="solid">
        <fgColor theme="0"/>
        <bgColor theme="4"/>
      </patternFill>
    </fill>
    <fill>
      <patternFill patternType="solid">
        <fgColor theme="5"/>
        <bgColor theme="4"/>
      </patternFill>
    </fill>
    <fill>
      <patternFill patternType="solid">
        <fgColor theme="6" tint="0.79998168889431442"/>
        <bgColor theme="4" tint="0.79998168889431442"/>
      </patternFill>
    </fill>
    <fill>
      <patternFill patternType="solid">
        <fgColor theme="6"/>
        <bgColor theme="4"/>
      </patternFill>
    </fill>
    <fill>
      <patternFill patternType="solid">
        <fgColor theme="9"/>
        <bgColor theme="4"/>
      </patternFill>
    </fill>
    <fill>
      <patternFill patternType="solid">
        <fgColor theme="5"/>
        <bgColor indexed="64"/>
      </patternFill>
    </fill>
    <fill>
      <patternFill patternType="solid">
        <fgColor theme="5" tint="0.39997558519241921"/>
        <bgColor theme="4"/>
      </patternFill>
    </fill>
    <fill>
      <patternFill patternType="solid">
        <fgColor theme="6" tint="0.79998168889431442"/>
        <bgColor indexed="64"/>
      </patternFill>
    </fill>
    <fill>
      <patternFill patternType="solid">
        <fgColor theme="0" tint="-4.9989318521683403E-2"/>
        <bgColor theme="4" tint="0.79998168889431442"/>
      </patternFill>
    </fill>
    <fill>
      <patternFill patternType="solid">
        <fgColor theme="6"/>
        <bgColor indexed="64"/>
      </patternFill>
    </fill>
    <fill>
      <patternFill patternType="solid">
        <fgColor theme="9"/>
        <bgColor indexed="64"/>
      </patternFill>
    </fill>
    <fill>
      <patternFill patternType="solid">
        <fgColor theme="5"/>
        <bgColor theme="4" tint="0.79998168889431442"/>
      </patternFill>
    </fill>
    <fill>
      <patternFill patternType="solid">
        <fgColor theme="2"/>
        <bgColor indexed="64"/>
      </patternFill>
    </fill>
    <fill>
      <patternFill patternType="solid">
        <fgColor theme="2"/>
        <bgColor theme="4" tint="0.79998168889431442"/>
      </patternFill>
    </fill>
    <fill>
      <patternFill patternType="solid">
        <fgColor theme="4"/>
        <bgColor indexed="64"/>
      </patternFill>
    </fill>
    <fill>
      <patternFill patternType="solid">
        <fgColor rgb="FF0070C0"/>
        <bgColor rgb="FFDDEBF7"/>
      </patternFill>
    </fill>
    <fill>
      <patternFill patternType="solid">
        <fgColor rgb="FFED7D31"/>
        <bgColor rgb="FFDDEBF7"/>
      </patternFill>
    </fill>
    <fill>
      <patternFill patternType="solid">
        <fgColor rgb="FFFFFF00"/>
        <bgColor rgb="FF000000"/>
      </patternFill>
    </fill>
    <fill>
      <patternFill patternType="solid">
        <fgColor rgb="FFFFFFFF"/>
        <bgColor rgb="FF000000"/>
      </patternFill>
    </fill>
    <fill>
      <patternFill patternType="solid">
        <fgColor rgb="FF0070C0"/>
        <bgColor indexed="64"/>
      </patternFill>
    </fill>
    <fill>
      <patternFill patternType="solid">
        <fgColor rgb="FFFF0000"/>
        <bgColor indexed="64"/>
      </patternFill>
    </fill>
    <fill>
      <patternFill patternType="solid">
        <fgColor rgb="FF0EF20E"/>
        <bgColor indexed="64"/>
      </patternFill>
    </fill>
    <fill>
      <patternFill patternType="solid">
        <fgColor rgb="FF00B0F0"/>
        <bgColor indexed="64"/>
      </patternFill>
    </fill>
    <fill>
      <patternFill patternType="solid">
        <fgColor rgb="FFFF0000"/>
        <bgColor rgb="FF000000"/>
      </patternFill>
    </fill>
  </fills>
  <borders count="135">
    <border>
      <left/>
      <right/>
      <top/>
      <bottom/>
      <diagonal/>
    </border>
    <border>
      <left style="thin">
        <color indexed="64"/>
      </left>
      <right style="thin">
        <color indexed="64"/>
      </right>
      <top/>
      <bottom style="thin">
        <color indexed="64"/>
      </bottom>
      <diagonal/>
    </border>
    <border>
      <left/>
      <right/>
      <top/>
      <bottom style="medium">
        <color indexed="64"/>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medium">
        <color indexed="64"/>
      </right>
      <top style="medium">
        <color indexed="64"/>
      </top>
      <bottom style="thin">
        <color indexed="64"/>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style="medium">
        <color rgb="FF000000"/>
      </top>
      <bottom/>
      <diagonal/>
    </border>
    <border>
      <left style="thin">
        <color rgb="FF000000"/>
      </left>
      <right/>
      <top style="medium">
        <color rgb="FF000000"/>
      </top>
      <bottom style="thin">
        <color rgb="FF000000"/>
      </bottom>
      <diagonal/>
    </border>
    <border>
      <left/>
      <right/>
      <top/>
      <bottom style="medium">
        <color rgb="FF000000"/>
      </bottom>
      <diagonal/>
    </border>
    <border>
      <left/>
      <right style="medium">
        <color indexed="64"/>
      </right>
      <top/>
      <bottom style="medium">
        <color indexed="64"/>
      </bottom>
      <diagonal/>
    </border>
    <border>
      <left/>
      <right style="thin">
        <color indexed="64"/>
      </right>
      <top style="medium">
        <color indexed="64"/>
      </top>
      <bottom style="medium">
        <color indexed="64"/>
      </bottom>
      <diagonal/>
    </border>
    <border>
      <left/>
      <right style="medium">
        <color rgb="FF000000"/>
      </right>
      <top style="thin">
        <color rgb="FF000000"/>
      </top>
      <bottom style="thin">
        <color rgb="FF000000"/>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bottom style="medium">
        <color rgb="FF000000"/>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style="medium">
        <color rgb="FF000000"/>
      </left>
      <right style="thin">
        <color indexed="64"/>
      </right>
      <top style="medium">
        <color rgb="FF000000"/>
      </top>
      <bottom style="thin">
        <color indexed="64"/>
      </bottom>
      <diagonal/>
    </border>
    <border>
      <left/>
      <right style="thin">
        <color indexed="64"/>
      </right>
      <top style="medium">
        <color rgb="FF000000"/>
      </top>
      <bottom style="thin">
        <color indexed="64"/>
      </bottom>
      <diagonal/>
    </border>
    <border>
      <left style="thin">
        <color indexed="64"/>
      </left>
      <right style="medium">
        <color rgb="FF000000"/>
      </right>
      <top style="medium">
        <color rgb="FF000000"/>
      </top>
      <bottom/>
      <diagonal/>
    </border>
    <border>
      <left style="medium">
        <color rgb="FF000000"/>
      </left>
      <right style="thin">
        <color indexed="64"/>
      </right>
      <top/>
      <bottom style="thin">
        <color indexed="64"/>
      </bottom>
      <diagonal/>
    </border>
    <border>
      <left style="thin">
        <color indexed="64"/>
      </left>
      <right style="medium">
        <color rgb="FF000000"/>
      </right>
      <top/>
      <bottom/>
      <diagonal/>
    </border>
    <border>
      <left style="medium">
        <color rgb="FF000000"/>
      </left>
      <right style="thin">
        <color indexed="64"/>
      </right>
      <top/>
      <bottom style="medium">
        <color rgb="FF000000"/>
      </bottom>
      <diagonal/>
    </border>
    <border>
      <left/>
      <right style="thin">
        <color indexed="64"/>
      </right>
      <top/>
      <bottom style="medium">
        <color rgb="FF000000"/>
      </bottom>
      <diagonal/>
    </border>
    <border>
      <left style="thin">
        <color indexed="64"/>
      </left>
      <right style="medium">
        <color rgb="FF000000"/>
      </right>
      <top/>
      <bottom style="medium">
        <color rgb="FF000000"/>
      </bottom>
      <diagonal/>
    </border>
    <border>
      <left/>
      <right style="medium">
        <color rgb="FF000000"/>
      </right>
      <top style="thin">
        <color rgb="FF000000"/>
      </top>
      <bottom style="medium">
        <color rgb="FF000000"/>
      </bottom>
      <diagonal/>
    </border>
    <border>
      <left/>
      <right style="thin">
        <color rgb="FF000000"/>
      </right>
      <top style="medium">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right/>
      <top style="thin">
        <color rgb="FF000000"/>
      </top>
      <bottom style="thin">
        <color rgb="FF000000"/>
      </bottom>
      <diagonal/>
    </border>
    <border>
      <left/>
      <right/>
      <top style="thin">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thin">
        <color indexed="64"/>
      </top>
      <bottom style="thin">
        <color indexed="64"/>
      </bottom>
      <diagonal/>
    </border>
    <border>
      <left style="medium">
        <color rgb="FF000000"/>
      </left>
      <right style="medium">
        <color rgb="FF000000"/>
      </right>
      <top style="thin">
        <color indexed="64"/>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thin">
        <color indexed="64"/>
      </bottom>
      <diagonal/>
    </border>
    <border>
      <left style="thin">
        <color rgb="FF000000"/>
      </left>
      <right style="thin">
        <color rgb="FF000000"/>
      </right>
      <top style="thin">
        <color rgb="FF000000"/>
      </top>
      <bottom/>
      <diagonal/>
    </border>
    <border>
      <left style="medium">
        <color rgb="FF000000"/>
      </left>
      <right/>
      <top style="medium">
        <color rgb="FF000000"/>
      </top>
      <bottom/>
      <diagonal/>
    </border>
    <border>
      <left style="thin">
        <color indexed="64"/>
      </left>
      <right style="medium">
        <color rgb="FF000000"/>
      </right>
      <top/>
      <bottom style="thin">
        <color indexed="64"/>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right style="medium">
        <color rgb="FF000000"/>
      </right>
      <top style="medium">
        <color rgb="FF000000"/>
      </top>
      <bottom/>
      <diagonal/>
    </border>
    <border>
      <left style="thin">
        <color indexed="64"/>
      </left>
      <right style="medium">
        <color rgb="FF000000"/>
      </right>
      <top style="thin">
        <color indexed="64"/>
      </top>
      <bottom style="medium">
        <color rgb="FF000000"/>
      </bottom>
      <diagonal/>
    </border>
    <border>
      <left style="medium">
        <color rgb="FF000000"/>
      </left>
      <right/>
      <top style="medium">
        <color rgb="FF000000"/>
      </top>
      <bottom style="thin">
        <color rgb="FF000000"/>
      </bottom>
      <diagonal/>
    </border>
    <border>
      <left style="thin">
        <color rgb="FF000000"/>
      </left>
      <right style="medium">
        <color rgb="FF000000"/>
      </right>
      <top style="medium">
        <color rgb="FF000000"/>
      </top>
      <bottom/>
      <diagonal/>
    </border>
    <border>
      <left/>
      <right style="medium">
        <color rgb="FF000000"/>
      </right>
      <top/>
      <bottom style="medium">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style="thin">
        <color rgb="FF000000"/>
      </right>
      <top/>
      <bottom/>
      <diagonal/>
    </border>
    <border>
      <left style="medium">
        <color rgb="FF000000"/>
      </left>
      <right style="thin">
        <color indexed="64"/>
      </right>
      <top/>
      <bottom/>
      <diagonal/>
    </border>
    <border>
      <left style="thin">
        <color rgb="FF000000"/>
      </left>
      <right style="medium">
        <color rgb="FF000000"/>
      </right>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medium">
        <color rgb="FF000000"/>
      </left>
      <right style="thin">
        <color indexed="64"/>
      </right>
      <top style="medium">
        <color rgb="FF000000"/>
      </top>
      <bottom style="medium">
        <color rgb="FF000000"/>
      </bottom>
      <diagonal/>
    </border>
    <border>
      <left/>
      <right style="thin">
        <color indexed="64"/>
      </right>
      <top style="medium">
        <color rgb="FF000000"/>
      </top>
      <bottom style="medium">
        <color rgb="FF000000"/>
      </bottom>
      <diagonal/>
    </border>
    <border>
      <left style="thin">
        <color indexed="64"/>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thin">
        <color rgb="FF000000"/>
      </left>
      <right/>
      <top style="thin">
        <color rgb="FF000000"/>
      </top>
      <bottom/>
      <diagonal/>
    </border>
    <border>
      <left style="medium">
        <color rgb="FF000000"/>
      </left>
      <right style="medium">
        <color rgb="FF000000"/>
      </right>
      <top style="thin">
        <color rgb="FF000000"/>
      </top>
      <bottom style="thin">
        <color rgb="FF000000"/>
      </bottom>
      <diagonal/>
    </border>
    <border>
      <left/>
      <right style="thin">
        <color rgb="FF000000"/>
      </right>
      <top/>
      <bottom style="medium">
        <color rgb="FF000000"/>
      </bottom>
      <diagonal/>
    </border>
    <border>
      <left/>
      <right style="thin">
        <color rgb="FF000000"/>
      </right>
      <top style="medium">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style="medium">
        <color rgb="FF000000"/>
      </left>
      <right/>
      <top/>
      <bottom/>
      <diagonal/>
    </border>
    <border>
      <left style="medium">
        <color rgb="FF000000"/>
      </left>
      <right/>
      <top/>
      <bottom style="medium">
        <color rgb="FF000000"/>
      </bottom>
      <diagonal/>
    </border>
    <border>
      <left style="medium">
        <color rgb="FF000000"/>
      </left>
      <right style="medium">
        <color rgb="FF000000"/>
      </right>
      <top style="thin">
        <color rgb="FF000000"/>
      </top>
      <bottom/>
      <diagonal/>
    </border>
    <border>
      <left style="medium">
        <color rgb="FF000000"/>
      </left>
      <right style="medium">
        <color rgb="FF000000"/>
      </right>
      <top/>
      <bottom style="thin">
        <color rgb="FF000000"/>
      </bottom>
      <diagonal/>
    </border>
  </borders>
  <cellStyleXfs count="4">
    <xf numFmtId="0" fontId="0" fillId="0" borderId="0"/>
    <xf numFmtId="0" fontId="6" fillId="0" borderId="0"/>
    <xf numFmtId="0" fontId="8" fillId="0" borderId="0" applyNumberFormat="0" applyFill="0" applyBorder="0" applyAlignment="0" applyProtection="0"/>
    <xf numFmtId="0" fontId="6" fillId="0" borderId="0"/>
  </cellStyleXfs>
  <cellXfs count="1360">
    <xf numFmtId="0" fontId="0" fillId="0" borderId="0" xfId="0"/>
    <xf numFmtId="0" fontId="2" fillId="2" borderId="2" xfId="0" applyFont="1" applyFill="1" applyBorder="1" applyAlignment="1">
      <alignment horizontal="left" vertical="center" wrapText="1"/>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lignment horizontal="left" vertical="top" wrapText="1"/>
    </xf>
    <xf numFmtId="0" fontId="0" fillId="0" borderId="0" xfId="0" applyAlignment="1">
      <alignment wrapText="1"/>
    </xf>
    <xf numFmtId="0" fontId="0" fillId="0" borderId="0" xfId="0" applyAlignment="1">
      <alignment horizontal="left"/>
    </xf>
    <xf numFmtId="0" fontId="0" fillId="0" borderId="0" xfId="0" applyAlignment="1">
      <alignment horizontal="center" vertical="center"/>
    </xf>
    <xf numFmtId="0" fontId="5" fillId="18" borderId="0" xfId="0" applyFont="1" applyFill="1" applyAlignment="1">
      <alignment horizontal="center" vertical="center"/>
    </xf>
    <xf numFmtId="0" fontId="0" fillId="5" borderId="0" xfId="0" applyFill="1" applyAlignment="1">
      <alignment horizontal="left" vertical="center" wrapText="1"/>
    </xf>
    <xf numFmtId="0" fontId="0" fillId="17" borderId="0" xfId="0" applyFill="1" applyAlignment="1">
      <alignment horizontal="left" vertical="center" wrapText="1"/>
    </xf>
    <xf numFmtId="0" fontId="5" fillId="4" borderId="11" xfId="0" applyFont="1" applyFill="1" applyBorder="1" applyAlignment="1">
      <alignment horizontal="center" vertical="center"/>
    </xf>
    <xf numFmtId="0" fontId="0" fillId="0" borderId="17" xfId="0" applyBorder="1" applyAlignment="1">
      <alignment horizontal="left" vertical="center" wrapText="1"/>
    </xf>
    <xf numFmtId="0" fontId="0" fillId="3" borderId="17" xfId="0" applyFill="1" applyBorder="1" applyAlignment="1">
      <alignment horizontal="left" vertical="center" wrapText="1"/>
    </xf>
    <xf numFmtId="0" fontId="2" fillId="23" borderId="0" xfId="0" applyFont="1" applyFill="1" applyAlignment="1">
      <alignment horizontal="center" vertical="center"/>
    </xf>
    <xf numFmtId="0" fontId="0" fillId="16" borderId="24" xfId="0" applyFill="1" applyBorder="1" applyAlignment="1">
      <alignment horizontal="center" vertical="center" wrapText="1"/>
    </xf>
    <xf numFmtId="0" fontId="0" fillId="7" borderId="24" xfId="0" applyFill="1" applyBorder="1" applyAlignment="1">
      <alignment horizontal="center" vertical="center" wrapText="1"/>
    </xf>
    <xf numFmtId="0" fontId="0" fillId="11" borderId="24" xfId="0" applyFill="1" applyBorder="1" applyAlignment="1">
      <alignment horizontal="center" vertical="center" wrapText="1"/>
    </xf>
    <xf numFmtId="0" fontId="0" fillId="10" borderId="24" xfId="0" applyFill="1" applyBorder="1" applyAlignment="1">
      <alignment horizontal="center" vertical="center" wrapText="1"/>
    </xf>
    <xf numFmtId="0" fontId="0" fillId="10" borderId="24" xfId="0" applyFill="1" applyBorder="1" applyAlignment="1">
      <alignment horizontal="left" vertical="center" wrapText="1"/>
    </xf>
    <xf numFmtId="0" fontId="0" fillId="7" borderId="24" xfId="0" applyFill="1" applyBorder="1" applyAlignment="1">
      <alignment horizontal="left" vertical="center" wrapText="1"/>
    </xf>
    <xf numFmtId="0" fontId="0" fillId="16" borderId="24" xfId="0" applyFill="1" applyBorder="1" applyAlignment="1">
      <alignment horizontal="left" vertical="center" wrapText="1"/>
    </xf>
    <xf numFmtId="0" fontId="0" fillId="11" borderId="24" xfId="0" applyFill="1" applyBorder="1" applyAlignment="1">
      <alignment horizontal="left" vertical="center" wrapText="1"/>
    </xf>
    <xf numFmtId="0" fontId="2" fillId="24" borderId="29" xfId="0" applyFont="1" applyFill="1" applyBorder="1" applyAlignment="1">
      <alignment horizontal="center" vertical="center"/>
    </xf>
    <xf numFmtId="0" fontId="0" fillId="10" borderId="28" xfId="0" applyFill="1" applyBorder="1" applyAlignment="1">
      <alignment horizontal="center" vertical="center" wrapText="1"/>
    </xf>
    <xf numFmtId="0" fontId="0" fillId="11" borderId="28" xfId="0" applyFill="1" applyBorder="1" applyAlignment="1">
      <alignment horizontal="center" vertical="center" wrapText="1"/>
    </xf>
    <xf numFmtId="0" fontId="0" fillId="7" borderId="28" xfId="0" applyFill="1" applyBorder="1" applyAlignment="1">
      <alignment horizontal="center" vertical="center" wrapText="1"/>
    </xf>
    <xf numFmtId="0" fontId="0" fillId="10" borderId="30" xfId="0" applyFill="1" applyBorder="1" applyAlignment="1">
      <alignment horizontal="center" vertical="center" wrapText="1"/>
    </xf>
    <xf numFmtId="0" fontId="0" fillId="10" borderId="3" xfId="0" applyFill="1" applyBorder="1" applyAlignment="1">
      <alignment horizontal="center" vertical="center" wrapText="1"/>
    </xf>
    <xf numFmtId="0" fontId="0" fillId="10" borderId="29" xfId="0" applyFill="1" applyBorder="1" applyAlignment="1">
      <alignment horizontal="center" vertical="center" wrapText="1"/>
    </xf>
    <xf numFmtId="0" fontId="0" fillId="11" borderId="31" xfId="0" applyFill="1" applyBorder="1" applyAlignment="1">
      <alignment horizontal="center" vertical="center" wrapText="1"/>
    </xf>
    <xf numFmtId="0" fontId="2" fillId="24" borderId="24" xfId="0" applyFont="1" applyFill="1" applyBorder="1" applyAlignment="1">
      <alignment horizontal="center" vertical="center"/>
    </xf>
    <xf numFmtId="0" fontId="0" fillId="13" borderId="0" xfId="0" applyFill="1" applyAlignment="1">
      <alignment horizontal="left" vertical="center" wrapText="1"/>
    </xf>
    <xf numFmtId="0" fontId="0" fillId="5" borderId="0" xfId="0" applyFill="1" applyAlignment="1">
      <alignment horizontal="center" vertical="center" wrapText="1"/>
    </xf>
    <xf numFmtId="0" fontId="5" fillId="17" borderId="0" xfId="0" applyFont="1" applyFill="1" applyAlignment="1">
      <alignment horizontal="center" vertical="center"/>
    </xf>
    <xf numFmtId="0" fontId="5" fillId="18" borderId="0" xfId="0" applyFont="1" applyFill="1" applyAlignment="1">
      <alignment horizontal="center" vertical="center" wrapText="1"/>
    </xf>
    <xf numFmtId="0" fontId="0" fillId="17" borderId="0" xfId="0" applyFill="1" applyAlignment="1">
      <alignment horizontal="center" vertical="center" wrapText="1"/>
    </xf>
    <xf numFmtId="0" fontId="0" fillId="5" borderId="0" xfId="0" quotePrefix="1" applyFill="1" applyAlignment="1">
      <alignment horizontal="center" vertical="center" wrapText="1"/>
    </xf>
    <xf numFmtId="0" fontId="0" fillId="17" borderId="0" xfId="0" quotePrefix="1" applyFill="1" applyAlignment="1">
      <alignment horizontal="center" vertical="center" wrapText="1"/>
    </xf>
    <xf numFmtId="0" fontId="7" fillId="5" borderId="0" xfId="0" applyFont="1" applyFill="1" applyAlignment="1">
      <alignment horizontal="center" vertical="center" wrapText="1"/>
    </xf>
    <xf numFmtId="0" fontId="5" fillId="4" borderId="16" xfId="0" applyFont="1" applyFill="1" applyBorder="1" applyAlignment="1">
      <alignment horizontal="center" vertical="center"/>
    </xf>
    <xf numFmtId="0" fontId="0" fillId="3" borderId="32" xfId="0" applyFill="1" applyBorder="1" applyAlignment="1">
      <alignment horizontal="left" vertical="center" wrapText="1"/>
    </xf>
    <xf numFmtId="0" fontId="0" fillId="3" borderId="29" xfId="0" applyFill="1" applyBorder="1" applyAlignment="1">
      <alignment horizontal="left" vertical="center" wrapText="1"/>
    </xf>
    <xf numFmtId="0" fontId="0" fillId="3" borderId="28" xfId="0" applyFill="1" applyBorder="1" applyAlignment="1">
      <alignment horizontal="left" vertical="center" wrapText="1"/>
    </xf>
    <xf numFmtId="0" fontId="0" fillId="0" borderId="28" xfId="0" applyBorder="1" applyAlignment="1">
      <alignment horizontal="left" vertical="center" wrapText="1"/>
    </xf>
    <xf numFmtId="0" fontId="0" fillId="5" borderId="32" xfId="0" applyFill="1" applyBorder="1" applyAlignment="1">
      <alignment horizontal="left" vertical="center" wrapText="1"/>
    </xf>
    <xf numFmtId="0" fontId="0" fillId="0" borderId="32" xfId="0" applyBorder="1" applyAlignment="1">
      <alignment horizontal="left" vertical="center" wrapText="1"/>
    </xf>
    <xf numFmtId="0" fontId="5" fillId="18" borderId="0" xfId="0" applyFont="1" applyFill="1" applyAlignment="1">
      <alignment horizontal="left" vertical="center"/>
    </xf>
    <xf numFmtId="0" fontId="0" fillId="17" borderId="0" xfId="0" applyFill="1"/>
    <xf numFmtId="0" fontId="2" fillId="2" borderId="2" xfId="0" applyFont="1" applyFill="1" applyBorder="1" applyAlignment="1">
      <alignment horizontal="left" vertical="top" wrapText="1"/>
    </xf>
    <xf numFmtId="0" fontId="5" fillId="4" borderId="11" xfId="0" applyFont="1" applyFill="1" applyBorder="1" applyAlignment="1">
      <alignment horizontal="center" vertical="center" wrapText="1"/>
    </xf>
    <xf numFmtId="0" fontId="0" fillId="0" borderId="19" xfId="0" applyBorder="1"/>
    <xf numFmtId="0" fontId="9" fillId="27" borderId="33" xfId="0" applyFont="1" applyFill="1" applyBorder="1" applyAlignment="1">
      <alignment horizontal="center"/>
    </xf>
    <xf numFmtId="0" fontId="0" fillId="25" borderId="19" xfId="0" applyFill="1" applyBorder="1"/>
    <xf numFmtId="0" fontId="0" fillId="25" borderId="20" xfId="0" applyFill="1" applyBorder="1"/>
    <xf numFmtId="0" fontId="0" fillId="0" borderId="0" xfId="0" applyAlignment="1">
      <alignment horizontal="center"/>
    </xf>
    <xf numFmtId="0" fontId="2" fillId="0" borderId="0" xfId="0" applyFont="1" applyAlignment="1">
      <alignment horizontal="center" vertical="center"/>
    </xf>
    <xf numFmtId="0" fontId="2" fillId="30" borderId="24" xfId="0" applyFont="1" applyFill="1" applyBorder="1" applyAlignment="1">
      <alignment horizontal="center" vertical="center"/>
    </xf>
    <xf numFmtId="0" fontId="2" fillId="30" borderId="1" xfId="0" applyFont="1" applyFill="1" applyBorder="1" applyAlignment="1">
      <alignment horizontal="right"/>
    </xf>
    <xf numFmtId="0" fontId="2" fillId="30" borderId="22" xfId="0" applyFont="1" applyFill="1" applyBorder="1" applyAlignment="1">
      <alignment horizontal="center" vertical="center"/>
    </xf>
    <xf numFmtId="0" fontId="2" fillId="30" borderId="23" xfId="0" applyFont="1" applyFill="1" applyBorder="1" applyAlignment="1">
      <alignment horizontal="center" vertical="center"/>
    </xf>
    <xf numFmtId="0" fontId="0" fillId="0" borderId="5" xfId="0" applyBorder="1"/>
    <xf numFmtId="0" fontId="0" fillId="0" borderId="4" xfId="0" applyBorder="1" applyAlignment="1">
      <alignment horizontal="left"/>
    </xf>
    <xf numFmtId="0" fontId="0" fillId="0" borderId="6" xfId="0" applyBorder="1" applyAlignment="1">
      <alignment horizontal="left"/>
    </xf>
    <xf numFmtId="0" fontId="0" fillId="0" borderId="7" xfId="0" applyBorder="1"/>
    <xf numFmtId="0" fontId="2" fillId="30" borderId="17" xfId="0" applyFont="1" applyFill="1" applyBorder="1" applyAlignment="1">
      <alignment horizontal="center" vertical="center"/>
    </xf>
    <xf numFmtId="0" fontId="0" fillId="0" borderId="17" xfId="0" applyBorder="1"/>
    <xf numFmtId="0" fontId="2" fillId="30" borderId="34" xfId="0" applyFont="1" applyFill="1" applyBorder="1"/>
    <xf numFmtId="0" fontId="2" fillId="30" borderId="4" xfId="0" applyFont="1" applyFill="1" applyBorder="1" applyAlignment="1">
      <alignment horizontal="center" vertical="center"/>
    </xf>
    <xf numFmtId="0" fontId="2" fillId="30" borderId="5" xfId="0" applyFont="1" applyFill="1" applyBorder="1" applyAlignment="1">
      <alignment horizontal="center" vertical="center"/>
    </xf>
    <xf numFmtId="0" fontId="2" fillId="0" borderId="4" xfId="0" applyFont="1" applyBorder="1" applyAlignment="1">
      <alignment horizontal="center"/>
    </xf>
    <xf numFmtId="10" fontId="0" fillId="0" borderId="5" xfId="0" applyNumberFormat="1" applyBorder="1" applyAlignment="1">
      <alignment horizontal="center"/>
    </xf>
    <xf numFmtId="0" fontId="2" fillId="30" borderId="6" xfId="0" applyFont="1" applyFill="1" applyBorder="1" applyAlignment="1">
      <alignment horizontal="center"/>
    </xf>
    <xf numFmtId="10" fontId="2" fillId="30" borderId="7" xfId="0" applyNumberFormat="1" applyFont="1" applyFill="1" applyBorder="1" applyAlignment="1">
      <alignment horizontal="center"/>
    </xf>
    <xf numFmtId="0" fontId="0" fillId="0" borderId="4" xfId="0" applyBorder="1" applyAlignment="1">
      <alignment horizontal="center"/>
    </xf>
    <xf numFmtId="0" fontId="0" fillId="0" borderId="24" xfId="0" applyBorder="1" applyAlignment="1">
      <alignment horizontal="center"/>
    </xf>
    <xf numFmtId="0" fontId="2" fillId="30" borderId="37" xfId="0" applyFont="1" applyFill="1" applyBorder="1" applyAlignment="1">
      <alignment horizontal="center"/>
    </xf>
    <xf numFmtId="0" fontId="2" fillId="30" borderId="5" xfId="0" applyFont="1" applyFill="1" applyBorder="1" applyAlignment="1">
      <alignment horizontal="center" vertical="center" wrapText="1"/>
    </xf>
    <xf numFmtId="10" fontId="2" fillId="0" borderId="5" xfId="0" applyNumberFormat="1" applyFont="1" applyBorder="1" applyAlignment="1">
      <alignment horizontal="center"/>
    </xf>
    <xf numFmtId="0" fontId="0" fillId="0" borderId="39" xfId="0" applyBorder="1"/>
    <xf numFmtId="0" fontId="0" fillId="0" borderId="10" xfId="0" applyBorder="1" applyAlignment="1">
      <alignment horizontal="left"/>
    </xf>
    <xf numFmtId="0" fontId="0" fillId="14" borderId="4" xfId="0" applyFill="1" applyBorder="1" applyAlignment="1">
      <alignment horizontal="center"/>
    </xf>
    <xf numFmtId="0" fontId="0" fillId="17" borderId="19" xfId="0" applyFill="1" applyBorder="1" applyAlignment="1">
      <alignment horizontal="left" vertical="center" wrapText="1"/>
    </xf>
    <xf numFmtId="0" fontId="3" fillId="2" borderId="11" xfId="0" applyFont="1" applyFill="1" applyBorder="1" applyAlignment="1">
      <alignment vertical="center" wrapText="1"/>
    </xf>
    <xf numFmtId="0" fontId="3" fillId="17" borderId="13" xfId="0" applyFont="1" applyFill="1" applyBorder="1" applyAlignment="1">
      <alignment vertical="center" wrapText="1"/>
    </xf>
    <xf numFmtId="0" fontId="0" fillId="17" borderId="0" xfId="0" applyFill="1" applyAlignment="1">
      <alignment horizontal="left" vertical="center"/>
    </xf>
    <xf numFmtId="0" fontId="5" fillId="4" borderId="40" xfId="0" applyFont="1" applyFill="1" applyBorder="1" applyAlignment="1">
      <alignment horizontal="center" vertical="center"/>
    </xf>
    <xf numFmtId="0" fontId="0" fillId="3" borderId="40" xfId="0" applyFill="1" applyBorder="1" applyAlignment="1">
      <alignment horizontal="center" vertical="center" wrapText="1"/>
    </xf>
    <xf numFmtId="0" fontId="0" fillId="0" borderId="40" xfId="0" applyBorder="1" applyAlignment="1">
      <alignment horizontal="center" vertical="center" wrapText="1"/>
    </xf>
    <xf numFmtId="0" fontId="0" fillId="0" borderId="40" xfId="0" applyBorder="1" applyAlignment="1">
      <alignment horizontal="left" vertical="center" wrapText="1"/>
    </xf>
    <xf numFmtId="0" fontId="5" fillId="4" borderId="44" xfId="0" applyFont="1" applyFill="1" applyBorder="1" applyAlignment="1">
      <alignment horizontal="center" vertical="center"/>
    </xf>
    <xf numFmtId="0" fontId="5" fillId="4" borderId="45" xfId="0" applyFont="1" applyFill="1" applyBorder="1" applyAlignment="1">
      <alignment horizontal="center" vertical="center"/>
    </xf>
    <xf numFmtId="0" fontId="0" fillId="3" borderId="44" xfId="0" applyFill="1" applyBorder="1" applyAlignment="1">
      <alignment horizontal="center" vertical="center" wrapText="1"/>
    </xf>
    <xf numFmtId="0" fontId="0" fillId="3" borderId="45" xfId="0" applyFill="1" applyBorder="1" applyAlignment="1">
      <alignment horizontal="left" vertical="center" wrapText="1"/>
    </xf>
    <xf numFmtId="0" fontId="0" fillId="0" borderId="44" xfId="0" applyBorder="1" applyAlignment="1">
      <alignment horizontal="center" vertical="center" wrapText="1"/>
    </xf>
    <xf numFmtId="0" fontId="0" fillId="0" borderId="45" xfId="0" applyBorder="1" applyAlignment="1">
      <alignment horizontal="left" vertical="center" wrapText="1"/>
    </xf>
    <xf numFmtId="0" fontId="0" fillId="3" borderId="46" xfId="0" applyFill="1" applyBorder="1" applyAlignment="1">
      <alignment horizontal="center" vertical="center" wrapText="1"/>
    </xf>
    <xf numFmtId="0" fontId="0" fillId="3" borderId="47" xfId="0" applyFill="1" applyBorder="1" applyAlignment="1">
      <alignment horizontal="center" vertical="center" wrapText="1"/>
    </xf>
    <xf numFmtId="0" fontId="0" fillId="3" borderId="48" xfId="0" applyFill="1" applyBorder="1" applyAlignment="1">
      <alignment horizontal="left" vertical="center" wrapText="1"/>
    </xf>
    <xf numFmtId="0" fontId="5" fillId="19" borderId="40" xfId="0" applyFont="1" applyFill="1" applyBorder="1" applyAlignment="1">
      <alignment horizontal="center" vertical="center" wrapText="1"/>
    </xf>
    <xf numFmtId="0" fontId="0" fillId="10" borderId="40" xfId="0" applyFill="1" applyBorder="1" applyAlignment="1">
      <alignment horizontal="center" vertical="center" wrapText="1"/>
    </xf>
    <xf numFmtId="0" fontId="0" fillId="10" borderId="40" xfId="0" applyFill="1" applyBorder="1" applyAlignment="1">
      <alignment horizontal="left" vertical="center" wrapText="1"/>
    </xf>
    <xf numFmtId="0" fontId="0" fillId="17" borderId="40" xfId="0" applyFill="1" applyBorder="1" applyAlignment="1">
      <alignment horizontal="center" vertical="center" wrapText="1"/>
    </xf>
    <xf numFmtId="0" fontId="0" fillId="17" borderId="40" xfId="0" quotePrefix="1" applyFill="1" applyBorder="1" applyAlignment="1">
      <alignment horizontal="center" vertical="center" wrapText="1"/>
    </xf>
    <xf numFmtId="0" fontId="0" fillId="10" borderId="40" xfId="0" quotePrefix="1" applyFill="1" applyBorder="1" applyAlignment="1">
      <alignment horizontal="center" vertical="center" wrapText="1"/>
    </xf>
    <xf numFmtId="0" fontId="0" fillId="17" borderId="40" xfId="0" applyFill="1" applyBorder="1" applyAlignment="1">
      <alignment horizontal="left" vertical="center" wrapText="1"/>
    </xf>
    <xf numFmtId="0" fontId="5" fillId="19" borderId="44" xfId="0" applyFont="1" applyFill="1" applyBorder="1" applyAlignment="1">
      <alignment horizontal="center" vertical="center" wrapText="1"/>
    </xf>
    <xf numFmtId="0" fontId="5" fillId="19" borderId="45" xfId="0" applyFont="1" applyFill="1" applyBorder="1" applyAlignment="1">
      <alignment horizontal="center" vertical="center" wrapText="1"/>
    </xf>
    <xf numFmtId="0" fontId="0" fillId="10" borderId="44" xfId="0" applyFill="1" applyBorder="1" applyAlignment="1">
      <alignment horizontal="center" vertical="center" wrapText="1"/>
    </xf>
    <xf numFmtId="0" fontId="0" fillId="10" borderId="45" xfId="0" applyFill="1" applyBorder="1" applyAlignment="1">
      <alignment horizontal="left" vertical="center" wrapText="1"/>
    </xf>
    <xf numFmtId="0" fontId="0" fillId="17" borderId="44" xfId="0" applyFill="1" applyBorder="1" applyAlignment="1">
      <alignment horizontal="center" vertical="center" wrapText="1"/>
    </xf>
    <xf numFmtId="0" fontId="0" fillId="17" borderId="45" xfId="0" quotePrefix="1" applyFill="1" applyBorder="1" applyAlignment="1">
      <alignment horizontal="center" vertical="center" wrapText="1"/>
    </xf>
    <xf numFmtId="0" fontId="0" fillId="10" borderId="44" xfId="0" quotePrefix="1" applyFill="1" applyBorder="1" applyAlignment="1">
      <alignment horizontal="center" vertical="center" wrapText="1"/>
    </xf>
    <xf numFmtId="0" fontId="0" fillId="10" borderId="45" xfId="0" quotePrefix="1" applyFill="1" applyBorder="1" applyAlignment="1">
      <alignment horizontal="center" vertical="center" wrapText="1"/>
    </xf>
    <xf numFmtId="0" fontId="0" fillId="10" borderId="45" xfId="0" applyFill="1" applyBorder="1" applyAlignment="1">
      <alignment horizontal="center" vertical="center" wrapText="1"/>
    </xf>
    <xf numFmtId="0" fontId="0" fillId="17" borderId="45" xfId="0" applyFill="1" applyBorder="1" applyAlignment="1">
      <alignment horizontal="center" vertical="center" wrapText="1"/>
    </xf>
    <xf numFmtId="0" fontId="0" fillId="17" borderId="45" xfId="0" applyFill="1" applyBorder="1" applyAlignment="1">
      <alignment horizontal="left" vertical="center" wrapText="1"/>
    </xf>
    <xf numFmtId="0" fontId="0" fillId="10" borderId="46" xfId="0" applyFill="1" applyBorder="1" applyAlignment="1">
      <alignment horizontal="center" vertical="center" wrapText="1"/>
    </xf>
    <xf numFmtId="0" fontId="0" fillId="10" borderId="47" xfId="0" applyFill="1" applyBorder="1" applyAlignment="1">
      <alignment horizontal="left" vertical="center" wrapText="1"/>
    </xf>
    <xf numFmtId="0" fontId="0" fillId="10" borderId="48" xfId="0" applyFill="1" applyBorder="1" applyAlignment="1">
      <alignment horizontal="left" vertical="center" wrapText="1"/>
    </xf>
    <xf numFmtId="0" fontId="5" fillId="21" borderId="40" xfId="0" applyFont="1" applyFill="1" applyBorder="1" applyAlignment="1">
      <alignment horizontal="center" vertical="center"/>
    </xf>
    <xf numFmtId="0" fontId="0" fillId="20" borderId="40" xfId="0" applyFill="1" applyBorder="1" applyAlignment="1">
      <alignment horizontal="center" vertical="center" wrapText="1"/>
    </xf>
    <xf numFmtId="0" fontId="5" fillId="21" borderId="45" xfId="0" applyFont="1" applyFill="1" applyBorder="1" applyAlignment="1">
      <alignment horizontal="center" vertical="center"/>
    </xf>
    <xf numFmtId="0" fontId="0" fillId="20" borderId="44" xfId="0" applyFill="1" applyBorder="1" applyAlignment="1">
      <alignment horizontal="center" vertical="center" wrapText="1"/>
    </xf>
    <xf numFmtId="0" fontId="0" fillId="20" borderId="45" xfId="0" applyFill="1" applyBorder="1" applyAlignment="1">
      <alignment horizontal="center" vertical="center" wrapText="1"/>
    </xf>
    <xf numFmtId="0" fontId="0" fillId="20" borderId="46" xfId="0" applyFill="1" applyBorder="1" applyAlignment="1">
      <alignment horizontal="center" vertical="center" wrapText="1"/>
    </xf>
    <xf numFmtId="0" fontId="0" fillId="20" borderId="47" xfId="0" applyFill="1" applyBorder="1" applyAlignment="1">
      <alignment horizontal="center" vertical="center" wrapText="1"/>
    </xf>
    <xf numFmtId="0" fontId="0" fillId="20" borderId="48" xfId="0" applyFill="1" applyBorder="1" applyAlignment="1">
      <alignment horizontal="center" vertical="center" wrapText="1"/>
    </xf>
    <xf numFmtId="0" fontId="3" fillId="17" borderId="11" xfId="0" applyFont="1" applyFill="1" applyBorder="1" applyAlignment="1">
      <alignment vertical="center" wrapText="1"/>
    </xf>
    <xf numFmtId="0" fontId="5" fillId="22" borderId="40" xfId="0" applyFont="1" applyFill="1" applyBorder="1" applyAlignment="1">
      <alignment horizontal="center" vertical="center"/>
    </xf>
    <xf numFmtId="0" fontId="0" fillId="13" borderId="40" xfId="0" applyFill="1" applyBorder="1" applyAlignment="1">
      <alignment horizontal="left" vertical="center" wrapText="1"/>
    </xf>
    <xf numFmtId="0" fontId="0" fillId="13" borderId="40" xfId="0" applyFill="1" applyBorder="1" applyAlignment="1">
      <alignment vertical="center" wrapText="1"/>
    </xf>
    <xf numFmtId="0" fontId="0" fillId="13" borderId="40" xfId="0" applyFill="1" applyBorder="1" applyAlignment="1">
      <alignment horizontal="center" vertical="center" wrapText="1"/>
    </xf>
    <xf numFmtId="0" fontId="0" fillId="0" borderId="40" xfId="0" applyBorder="1" applyAlignment="1">
      <alignment vertical="center" wrapText="1"/>
    </xf>
    <xf numFmtId="0" fontId="0" fillId="5" borderId="40" xfId="0" applyFill="1" applyBorder="1" applyAlignment="1">
      <alignment horizontal="left" vertical="center" wrapText="1"/>
    </xf>
    <xf numFmtId="0" fontId="0" fillId="5" borderId="40" xfId="0" applyFill="1" applyBorder="1" applyAlignment="1">
      <alignment vertical="center" wrapText="1"/>
    </xf>
    <xf numFmtId="0" fontId="0" fillId="5" borderId="40" xfId="0" applyFill="1" applyBorder="1" applyAlignment="1">
      <alignment horizontal="center" vertical="center" wrapText="1"/>
    </xf>
    <xf numFmtId="0" fontId="5" fillId="22" borderId="44" xfId="0" applyFont="1" applyFill="1" applyBorder="1" applyAlignment="1">
      <alignment horizontal="center" vertical="center"/>
    </xf>
    <xf numFmtId="0" fontId="5" fillId="22" borderId="45" xfId="0" applyFont="1" applyFill="1" applyBorder="1" applyAlignment="1">
      <alignment horizontal="center" vertical="center"/>
    </xf>
    <xf numFmtId="0" fontId="0" fillId="13" borderId="44" xfId="0" applyFill="1" applyBorder="1" applyAlignment="1">
      <alignment horizontal="left" vertical="center" wrapText="1"/>
    </xf>
    <xf numFmtId="0" fontId="0" fillId="13" borderId="45" xfId="0" applyFill="1" applyBorder="1" applyAlignment="1">
      <alignment horizontal="left" vertical="center" wrapText="1"/>
    </xf>
    <xf numFmtId="0" fontId="0" fillId="0" borderId="44" xfId="0" applyBorder="1" applyAlignment="1">
      <alignment horizontal="left" vertical="center" wrapText="1"/>
    </xf>
    <xf numFmtId="0" fontId="0" fillId="13" borderId="45" xfId="0" applyFill="1" applyBorder="1" applyAlignment="1">
      <alignment horizontal="center" vertical="center" wrapText="1"/>
    </xf>
    <xf numFmtId="0" fontId="0" fillId="5" borderId="44" xfId="0" applyFill="1" applyBorder="1" applyAlignment="1">
      <alignment horizontal="left" vertical="center" wrapText="1"/>
    </xf>
    <xf numFmtId="0" fontId="0" fillId="0" borderId="45" xfId="0" applyBorder="1" applyAlignment="1">
      <alignment horizontal="center" vertical="center" wrapText="1"/>
    </xf>
    <xf numFmtId="0" fontId="0" fillId="13" borderId="46" xfId="0" applyFill="1" applyBorder="1" applyAlignment="1">
      <alignment horizontal="left" vertical="center" wrapText="1"/>
    </xf>
    <xf numFmtId="0" fontId="0" fillId="13" borderId="47" xfId="0" applyFill="1" applyBorder="1" applyAlignment="1">
      <alignment horizontal="center" vertical="center" wrapText="1"/>
    </xf>
    <xf numFmtId="0" fontId="0" fillId="13" borderId="47" xfId="0" applyFill="1" applyBorder="1" applyAlignment="1">
      <alignment horizontal="left" vertical="center" wrapText="1"/>
    </xf>
    <xf numFmtId="0" fontId="0" fillId="13" borderId="48" xfId="0" applyFill="1" applyBorder="1" applyAlignment="1">
      <alignment horizontal="left" vertical="center" wrapText="1"/>
    </xf>
    <xf numFmtId="0" fontId="3" fillId="17" borderId="12" xfId="0" applyFont="1" applyFill="1" applyBorder="1" applyAlignment="1">
      <alignment vertical="center" wrapText="1"/>
    </xf>
    <xf numFmtId="0" fontId="5" fillId="17" borderId="15" xfId="0" applyFont="1" applyFill="1" applyBorder="1" applyAlignment="1">
      <alignment horizontal="center" vertical="center"/>
    </xf>
    <xf numFmtId="0" fontId="0" fillId="17" borderId="0" xfId="0" applyFill="1" applyAlignment="1">
      <alignment horizontal="center" vertical="center"/>
    </xf>
    <xf numFmtId="0" fontId="3" fillId="17" borderId="0" xfId="0" applyFont="1" applyFill="1" applyAlignment="1">
      <alignment vertical="center" wrapText="1"/>
    </xf>
    <xf numFmtId="0" fontId="3" fillId="17" borderId="51" xfId="0" applyFont="1" applyFill="1" applyBorder="1" applyAlignment="1">
      <alignment vertical="center" wrapText="1"/>
    </xf>
    <xf numFmtId="0" fontId="0" fillId="5" borderId="53" xfId="0" applyFill="1" applyBorder="1" applyAlignment="1">
      <alignment horizontal="left" vertical="center" wrapText="1"/>
    </xf>
    <xf numFmtId="0" fontId="4" fillId="3" borderId="40" xfId="0" applyFont="1" applyFill="1" applyBorder="1" applyAlignment="1">
      <alignment horizontal="center" vertical="center" wrapText="1"/>
    </xf>
    <xf numFmtId="0" fontId="0" fillId="3" borderId="31" xfId="0" applyFill="1" applyBorder="1" applyAlignment="1">
      <alignment horizontal="left" vertical="center" wrapText="1"/>
    </xf>
    <xf numFmtId="0" fontId="0" fillId="3" borderId="48" xfId="0" applyFill="1" applyBorder="1" applyAlignment="1">
      <alignment horizontal="left" vertical="top" wrapText="1"/>
    </xf>
    <xf numFmtId="0" fontId="0" fillId="10" borderId="45" xfId="0" applyFill="1" applyBorder="1" applyAlignment="1">
      <alignment horizontal="left" vertical="top" wrapText="1"/>
    </xf>
    <xf numFmtId="0" fontId="0" fillId="0" borderId="45" xfId="0" applyBorder="1" applyAlignment="1">
      <alignment horizontal="left" vertical="top" wrapText="1"/>
    </xf>
    <xf numFmtId="0" fontId="0" fillId="10" borderId="46" xfId="0" quotePrefix="1" applyFill="1" applyBorder="1" applyAlignment="1">
      <alignment horizontal="center" vertical="center" wrapText="1"/>
    </xf>
    <xf numFmtId="0" fontId="0" fillId="10" borderId="47" xfId="0" quotePrefix="1" applyFill="1" applyBorder="1" applyAlignment="1">
      <alignment horizontal="center" vertical="center" wrapText="1"/>
    </xf>
    <xf numFmtId="0" fontId="0" fillId="10" borderId="48" xfId="0" quotePrefix="1" applyFill="1" applyBorder="1" applyAlignment="1">
      <alignment horizontal="center" vertical="center" wrapText="1"/>
    </xf>
    <xf numFmtId="0" fontId="0" fillId="30" borderId="40" xfId="0" applyFill="1" applyBorder="1" applyAlignment="1">
      <alignment horizontal="center" vertical="center" wrapText="1"/>
    </xf>
    <xf numFmtId="0" fontId="0" fillId="23" borderId="40" xfId="0" applyFill="1" applyBorder="1" applyAlignment="1">
      <alignment horizontal="center" vertical="center" wrapText="1"/>
    </xf>
    <xf numFmtId="0" fontId="0" fillId="31" borderId="40" xfId="0" applyFill="1" applyBorder="1" applyAlignment="1">
      <alignment horizontal="center" vertical="center" wrapText="1"/>
    </xf>
    <xf numFmtId="0" fontId="0" fillId="30" borderId="44" xfId="0" applyFill="1" applyBorder="1" applyAlignment="1">
      <alignment horizontal="center" vertical="center" wrapText="1"/>
    </xf>
    <xf numFmtId="0" fontId="0" fillId="23" borderId="44" xfId="0" applyFill="1" applyBorder="1" applyAlignment="1">
      <alignment horizontal="center" vertical="center" wrapText="1"/>
    </xf>
    <xf numFmtId="0" fontId="0" fillId="31" borderId="44" xfId="0" applyFill="1" applyBorder="1" applyAlignment="1">
      <alignment horizontal="center" vertical="center" wrapText="1"/>
    </xf>
    <xf numFmtId="0" fontId="0" fillId="31" borderId="46" xfId="0" applyFill="1" applyBorder="1" applyAlignment="1">
      <alignment horizontal="center" vertical="center" wrapText="1"/>
    </xf>
    <xf numFmtId="0" fontId="0" fillId="31" borderId="47" xfId="0" applyFill="1" applyBorder="1" applyAlignment="1">
      <alignment horizontal="center" vertical="center" wrapText="1"/>
    </xf>
    <xf numFmtId="0" fontId="0" fillId="31" borderId="48" xfId="0" applyFill="1" applyBorder="1" applyAlignment="1">
      <alignment horizontal="center" vertical="center" wrapText="1"/>
    </xf>
    <xf numFmtId="0" fontId="5" fillId="4" borderId="54" xfId="0" applyFont="1" applyFill="1" applyBorder="1" applyAlignment="1">
      <alignment horizontal="center" vertical="center" wrapText="1"/>
    </xf>
    <xf numFmtId="0" fontId="0" fillId="16" borderId="29" xfId="0" applyFill="1" applyBorder="1" applyAlignment="1">
      <alignment horizontal="left" vertical="center" wrapText="1"/>
    </xf>
    <xf numFmtId="0" fontId="0" fillId="11" borderId="28" xfId="0" applyFill="1" applyBorder="1" applyAlignment="1">
      <alignment horizontal="left" vertical="center" wrapText="1"/>
    </xf>
    <xf numFmtId="0" fontId="0" fillId="8" borderId="31" xfId="0" applyFill="1" applyBorder="1" applyAlignment="1">
      <alignment horizontal="left" vertical="center" wrapText="1"/>
    </xf>
    <xf numFmtId="0" fontId="5" fillId="22" borderId="40" xfId="0" applyFont="1" applyFill="1" applyBorder="1" applyAlignment="1">
      <alignment horizontal="center" vertical="center" wrapText="1"/>
    </xf>
    <xf numFmtId="0" fontId="5" fillId="22" borderId="44" xfId="0" applyFont="1" applyFill="1" applyBorder="1" applyAlignment="1">
      <alignment horizontal="center" vertical="center" wrapText="1"/>
    </xf>
    <xf numFmtId="0" fontId="5" fillId="22" borderId="45" xfId="0" applyFont="1" applyFill="1" applyBorder="1" applyAlignment="1">
      <alignment horizontal="center" vertical="center" wrapText="1"/>
    </xf>
    <xf numFmtId="0" fontId="0" fillId="13" borderId="46" xfId="0" applyFill="1" applyBorder="1" applyAlignment="1">
      <alignment horizontal="center" vertical="center" wrapText="1"/>
    </xf>
    <xf numFmtId="0" fontId="0" fillId="13" borderId="48" xfId="0" applyFill="1" applyBorder="1" applyAlignment="1">
      <alignment horizontal="center" vertical="center" wrapText="1"/>
    </xf>
    <xf numFmtId="0" fontId="5" fillId="4" borderId="55" xfId="0" applyFont="1" applyFill="1" applyBorder="1" applyAlignment="1">
      <alignment horizontal="center" vertical="center" wrapText="1"/>
    </xf>
    <xf numFmtId="0" fontId="0" fillId="3" borderId="24" xfId="0" applyFill="1" applyBorder="1" applyAlignment="1">
      <alignment horizontal="left" vertical="center" wrapText="1"/>
    </xf>
    <xf numFmtId="0" fontId="0" fillId="0" borderId="24" xfId="0" applyBorder="1" applyAlignment="1">
      <alignment horizontal="left" vertical="center" wrapText="1"/>
    </xf>
    <xf numFmtId="0" fontId="0" fillId="0" borderId="46" xfId="0" applyBorder="1" applyAlignment="1">
      <alignment horizontal="center" vertical="center" wrapText="1"/>
    </xf>
    <xf numFmtId="0" fontId="0" fillId="0" borderId="47" xfId="0" applyBorder="1" applyAlignment="1">
      <alignment horizontal="center" vertical="center" wrapText="1"/>
    </xf>
    <xf numFmtId="0" fontId="0" fillId="0" borderId="48" xfId="0" applyBorder="1" applyAlignment="1">
      <alignment horizontal="left" vertical="top" wrapText="1"/>
    </xf>
    <xf numFmtId="0" fontId="0" fillId="5" borderId="40" xfId="0" quotePrefix="1" applyFill="1" applyBorder="1" applyAlignment="1">
      <alignment horizontal="center" vertical="center" wrapText="1"/>
    </xf>
    <xf numFmtId="0" fontId="0" fillId="0" borderId="40" xfId="0" quotePrefix="1" applyBorder="1" applyAlignment="1">
      <alignment horizontal="center" vertical="center" wrapText="1"/>
    </xf>
    <xf numFmtId="0" fontId="0" fillId="5" borderId="44" xfId="0" applyFill="1" applyBorder="1" applyAlignment="1">
      <alignment horizontal="center" vertical="center" wrapText="1"/>
    </xf>
    <xf numFmtId="0" fontId="0" fillId="5" borderId="45" xfId="0" quotePrefix="1" applyFill="1" applyBorder="1" applyAlignment="1">
      <alignment horizontal="center" vertical="center" wrapText="1"/>
    </xf>
    <xf numFmtId="0" fontId="0" fillId="5" borderId="45" xfId="0" applyFill="1" applyBorder="1" applyAlignment="1">
      <alignment horizontal="center" vertical="center" wrapText="1"/>
    </xf>
    <xf numFmtId="0" fontId="0" fillId="0" borderId="44" xfId="0" quotePrefix="1" applyBorder="1" applyAlignment="1">
      <alignment horizontal="center" vertical="center" wrapText="1"/>
    </xf>
    <xf numFmtId="0" fontId="0" fillId="0" borderId="45" xfId="0" quotePrefix="1" applyBorder="1" applyAlignment="1">
      <alignment horizontal="center" vertical="center" wrapText="1"/>
    </xf>
    <xf numFmtId="0" fontId="0" fillId="0" borderId="46" xfId="0" quotePrefix="1" applyBorder="1" applyAlignment="1">
      <alignment horizontal="center" vertical="center" wrapText="1"/>
    </xf>
    <xf numFmtId="0" fontId="0" fillId="0" borderId="47" xfId="0" quotePrefix="1" applyBorder="1" applyAlignment="1">
      <alignment horizontal="center" vertical="center" wrapText="1"/>
    </xf>
    <xf numFmtId="0" fontId="0" fillId="0" borderId="48" xfId="0" quotePrefix="1" applyBorder="1" applyAlignment="1">
      <alignment horizontal="center" vertical="center" wrapText="1"/>
    </xf>
    <xf numFmtId="0" fontId="0" fillId="13" borderId="44" xfId="0" applyFill="1" applyBorder="1" applyAlignment="1">
      <alignment horizontal="center" vertical="center" wrapText="1"/>
    </xf>
    <xf numFmtId="0" fontId="0" fillId="31" borderId="45" xfId="0" applyFill="1" applyBorder="1" applyAlignment="1">
      <alignment horizontal="center" vertical="center" wrapText="1"/>
    </xf>
    <xf numFmtId="0" fontId="0" fillId="30" borderId="45" xfId="0" applyFill="1" applyBorder="1" applyAlignment="1">
      <alignment horizontal="center" vertical="center" wrapText="1"/>
    </xf>
    <xf numFmtId="0" fontId="0" fillId="12" borderId="28" xfId="0" applyFill="1" applyBorder="1" applyAlignment="1">
      <alignment horizontal="left" vertical="center" wrapText="1"/>
    </xf>
    <xf numFmtId="0" fontId="0" fillId="14" borderId="28" xfId="0" applyFill="1" applyBorder="1" applyAlignment="1">
      <alignment horizontal="left" vertical="center" wrapText="1"/>
    </xf>
    <xf numFmtId="0" fontId="0" fillId="5" borderId="45" xfId="0" applyFill="1" applyBorder="1" applyAlignment="1">
      <alignment horizontal="left" vertical="center" wrapText="1"/>
    </xf>
    <xf numFmtId="0" fontId="0" fillId="13" borderId="44" xfId="0" applyFill="1" applyBorder="1" applyAlignment="1">
      <alignment vertical="center" wrapText="1"/>
    </xf>
    <xf numFmtId="0" fontId="0" fillId="0" borderId="48" xfId="0" applyBorder="1" applyAlignment="1">
      <alignment horizontal="center" vertical="center" wrapText="1"/>
    </xf>
    <xf numFmtId="0" fontId="0" fillId="5" borderId="40" xfId="0" applyFill="1" applyBorder="1" applyAlignment="1">
      <alignment horizontal="center" vertical="center"/>
    </xf>
    <xf numFmtId="0" fontId="4" fillId="5" borderId="40" xfId="0" applyFont="1" applyFill="1" applyBorder="1" applyAlignment="1">
      <alignment horizontal="center" vertical="center"/>
    </xf>
    <xf numFmtId="0" fontId="5" fillId="4" borderId="55" xfId="0" applyFont="1" applyFill="1" applyBorder="1" applyAlignment="1">
      <alignment horizontal="center" vertical="center"/>
    </xf>
    <xf numFmtId="0" fontId="0" fillId="5" borderId="46" xfId="0" applyFill="1" applyBorder="1" applyAlignment="1">
      <alignment horizontal="center" vertical="center"/>
    </xf>
    <xf numFmtId="0" fontId="4" fillId="5" borderId="47" xfId="0" applyFont="1" applyFill="1" applyBorder="1" applyAlignment="1">
      <alignment horizontal="center" vertical="center"/>
    </xf>
    <xf numFmtId="0" fontId="0" fillId="5" borderId="47" xfId="0" applyFill="1" applyBorder="1" applyAlignment="1">
      <alignment horizontal="center" vertical="center" wrapText="1"/>
    </xf>
    <xf numFmtId="0" fontId="0" fillId="5" borderId="48" xfId="0" applyFill="1" applyBorder="1" applyAlignment="1">
      <alignment horizontal="left" vertical="center" wrapText="1"/>
    </xf>
    <xf numFmtId="0" fontId="0" fillId="5" borderId="46" xfId="0" applyFill="1" applyBorder="1" applyAlignment="1">
      <alignment horizontal="center" vertical="center" wrapText="1"/>
    </xf>
    <xf numFmtId="0" fontId="0" fillId="5" borderId="47" xfId="0" applyFill="1" applyBorder="1" applyAlignment="1">
      <alignment horizontal="left" vertical="center" wrapText="1"/>
    </xf>
    <xf numFmtId="0" fontId="0" fillId="5" borderId="48" xfId="0" applyFill="1" applyBorder="1" applyAlignment="1">
      <alignment horizontal="left" vertical="top" wrapText="1"/>
    </xf>
    <xf numFmtId="0" fontId="0" fillId="5" borderId="48" xfId="0" applyFill="1" applyBorder="1" applyAlignment="1">
      <alignment horizontal="center" vertical="center" wrapText="1"/>
    </xf>
    <xf numFmtId="0" fontId="0" fillId="5" borderId="40" xfId="0" applyFill="1" applyBorder="1" applyAlignment="1">
      <alignment horizontal="left" vertical="center"/>
    </xf>
    <xf numFmtId="0" fontId="5" fillId="4" borderId="54" xfId="0" applyFont="1" applyFill="1" applyBorder="1" applyAlignment="1">
      <alignment horizontal="center" vertical="center"/>
    </xf>
    <xf numFmtId="0" fontId="0" fillId="5" borderId="46" xfId="0" applyFill="1" applyBorder="1" applyAlignment="1">
      <alignment horizontal="left" vertical="center"/>
    </xf>
    <xf numFmtId="0" fontId="0" fillId="5" borderId="47" xfId="0" applyFill="1" applyBorder="1" applyAlignment="1">
      <alignment horizontal="left" vertical="center"/>
    </xf>
    <xf numFmtId="0" fontId="0" fillId="5" borderId="47" xfId="0" applyFill="1" applyBorder="1" applyAlignment="1">
      <alignment horizontal="center" vertical="center"/>
    </xf>
    <xf numFmtId="0" fontId="0" fillId="5" borderId="44" xfId="0" applyFill="1" applyBorder="1" applyAlignment="1">
      <alignment horizontal="center" vertical="center"/>
    </xf>
    <xf numFmtId="0" fontId="0" fillId="5" borderId="46" xfId="0" applyFill="1" applyBorder="1" applyAlignment="1">
      <alignment horizontal="left" vertical="center" wrapText="1"/>
    </xf>
    <xf numFmtId="0" fontId="0" fillId="0" borderId="40" xfId="0" applyBorder="1" applyAlignment="1">
      <alignment horizontal="center" vertical="top" wrapText="1"/>
    </xf>
    <xf numFmtId="0" fontId="0" fillId="3" borderId="40" xfId="0" applyFill="1" applyBorder="1" applyAlignment="1">
      <alignment horizontal="center" vertical="top" wrapText="1"/>
    </xf>
    <xf numFmtId="0" fontId="0" fillId="3" borderId="45" xfId="0" applyFill="1" applyBorder="1" applyAlignment="1">
      <alignment horizontal="left" vertical="top" wrapText="1"/>
    </xf>
    <xf numFmtId="0" fontId="0" fillId="11" borderId="40" xfId="0" quotePrefix="1" applyFill="1" applyBorder="1" applyAlignment="1">
      <alignment horizontal="center" vertical="center" wrapText="1"/>
    </xf>
    <xf numFmtId="0" fontId="0" fillId="11" borderId="40" xfId="0" applyFill="1" applyBorder="1" applyAlignment="1">
      <alignment horizontal="left" vertical="center" wrapText="1"/>
    </xf>
    <xf numFmtId="0" fontId="7" fillId="5" borderId="40" xfId="0" applyFont="1" applyFill="1" applyBorder="1" applyAlignment="1">
      <alignment horizontal="center" vertical="center" wrapText="1"/>
    </xf>
    <xf numFmtId="0" fontId="7" fillId="5" borderId="40" xfId="0" applyFont="1" applyFill="1" applyBorder="1" applyAlignment="1">
      <alignment horizontal="left" vertical="center" wrapText="1"/>
    </xf>
    <xf numFmtId="0" fontId="0" fillId="5" borderId="44" xfId="0" quotePrefix="1" applyFill="1" applyBorder="1" applyAlignment="1">
      <alignment horizontal="center" vertical="center" wrapText="1"/>
    </xf>
    <xf numFmtId="0" fontId="0" fillId="11" borderId="44" xfId="0" quotePrefix="1" applyFill="1" applyBorder="1" applyAlignment="1">
      <alignment horizontal="center" vertical="center" wrapText="1"/>
    </xf>
    <xf numFmtId="0" fontId="0" fillId="11" borderId="45" xfId="0" quotePrefix="1" applyFill="1" applyBorder="1" applyAlignment="1">
      <alignment horizontal="center" vertical="center" wrapText="1"/>
    </xf>
    <xf numFmtId="0" fontId="0" fillId="11" borderId="45" xfId="0" applyFill="1" applyBorder="1" applyAlignment="1">
      <alignment horizontal="left" vertical="top" wrapText="1"/>
    </xf>
    <xf numFmtId="0" fontId="0" fillId="5" borderId="45" xfId="0" applyFill="1" applyBorder="1" applyAlignment="1">
      <alignment horizontal="left" vertical="top" wrapText="1"/>
    </xf>
    <xf numFmtId="0" fontId="0" fillId="17" borderId="45" xfId="0" applyFill="1" applyBorder="1" applyAlignment="1">
      <alignment horizontal="left" vertical="top" wrapText="1"/>
    </xf>
    <xf numFmtId="0" fontId="7" fillId="5" borderId="44" xfId="0" applyFont="1" applyFill="1" applyBorder="1" applyAlignment="1">
      <alignment horizontal="center" vertical="center" wrapText="1"/>
    </xf>
    <xf numFmtId="0" fontId="7" fillId="5" borderId="45" xfId="0" applyFont="1" applyFill="1" applyBorder="1" applyAlignment="1">
      <alignment horizontal="left" vertical="top" wrapText="1"/>
    </xf>
    <xf numFmtId="0" fontId="0" fillId="10" borderId="44" xfId="0" applyFill="1" applyBorder="1" applyAlignment="1">
      <alignment horizontal="center" vertical="top" wrapText="1"/>
    </xf>
    <xf numFmtId="0" fontId="0" fillId="14" borderId="40" xfId="0" applyFill="1" applyBorder="1" applyAlignment="1">
      <alignment horizontal="center" vertical="center" wrapText="1"/>
    </xf>
    <xf numFmtId="0" fontId="0" fillId="30" borderId="40" xfId="0" quotePrefix="1" applyFill="1" applyBorder="1" applyAlignment="1">
      <alignment horizontal="center" vertical="center" wrapText="1"/>
    </xf>
    <xf numFmtId="0" fontId="0" fillId="29" borderId="40" xfId="0" applyFill="1" applyBorder="1" applyAlignment="1">
      <alignment horizontal="center" vertical="center" wrapText="1"/>
    </xf>
    <xf numFmtId="0" fontId="0" fillId="17" borderId="44" xfId="0" applyFill="1" applyBorder="1" applyAlignment="1">
      <alignment horizontal="left" vertical="center" wrapText="1"/>
    </xf>
    <xf numFmtId="0" fontId="0" fillId="14" borderId="40" xfId="0" applyFill="1" applyBorder="1" applyAlignment="1">
      <alignment horizontal="left" vertical="center" wrapText="1"/>
    </xf>
    <xf numFmtId="0" fontId="0" fillId="14" borderId="40" xfId="0" applyFill="1" applyBorder="1" applyAlignment="1">
      <alignment vertical="center" wrapText="1"/>
    </xf>
    <xf numFmtId="0" fontId="0" fillId="14" borderId="40" xfId="0" applyFill="1" applyBorder="1" applyAlignment="1">
      <alignment vertical="center"/>
    </xf>
    <xf numFmtId="0" fontId="5" fillId="21" borderId="54" xfId="0" applyFont="1" applyFill="1" applyBorder="1" applyAlignment="1">
      <alignment horizontal="center" vertical="center"/>
    </xf>
    <xf numFmtId="0" fontId="0" fillId="8" borderId="28" xfId="0" applyFill="1" applyBorder="1" applyAlignment="1">
      <alignment horizontal="left" vertical="center" wrapText="1"/>
    </xf>
    <xf numFmtId="0" fontId="0" fillId="9" borderId="28" xfId="0" applyFill="1" applyBorder="1" applyAlignment="1">
      <alignment horizontal="center" vertical="center" wrapText="1"/>
    </xf>
    <xf numFmtId="0" fontId="0" fillId="8" borderId="28" xfId="0" applyFill="1" applyBorder="1" applyAlignment="1">
      <alignment horizontal="center" vertical="center" wrapText="1"/>
    </xf>
    <xf numFmtId="0" fontId="0" fillId="13" borderId="28" xfId="0" applyFill="1" applyBorder="1" applyAlignment="1">
      <alignment horizontal="center" vertical="center" wrapText="1"/>
    </xf>
    <xf numFmtId="0" fontId="0" fillId="14" borderId="28" xfId="0" applyFill="1" applyBorder="1" applyAlignment="1">
      <alignment horizontal="center" vertical="center" wrapText="1"/>
    </xf>
    <xf numFmtId="0" fontId="0" fillId="20" borderId="28" xfId="0" applyFill="1" applyBorder="1" applyAlignment="1">
      <alignment horizontal="center" vertical="center" wrapText="1"/>
    </xf>
    <xf numFmtId="0" fontId="0" fillId="0" borderId="28" xfId="0" applyBorder="1" applyAlignment="1">
      <alignment horizontal="center" vertical="center" wrapText="1"/>
    </xf>
    <xf numFmtId="0" fontId="0" fillId="20" borderId="31" xfId="0" applyFill="1" applyBorder="1" applyAlignment="1">
      <alignment horizontal="center" vertical="center" wrapText="1"/>
    </xf>
    <xf numFmtId="0" fontId="0" fillId="14" borderId="45" xfId="0" applyFill="1" applyBorder="1" applyAlignment="1">
      <alignment horizontal="left" vertical="center" wrapText="1"/>
    </xf>
    <xf numFmtId="0" fontId="0" fillId="14" borderId="44" xfId="0" applyFill="1" applyBorder="1" applyAlignment="1">
      <alignment horizontal="left" vertical="center" wrapText="1"/>
    </xf>
    <xf numFmtId="0" fontId="7" fillId="5" borderId="44" xfId="0" applyFont="1" applyFill="1" applyBorder="1" applyAlignment="1">
      <alignment horizontal="left" vertical="center" wrapText="1"/>
    </xf>
    <xf numFmtId="0" fontId="7" fillId="5" borderId="45" xfId="0" applyFont="1" applyFill="1" applyBorder="1" applyAlignment="1">
      <alignment horizontal="left" vertical="center" wrapText="1"/>
    </xf>
    <xf numFmtId="0" fontId="0" fillId="0" borderId="31" xfId="0" applyBorder="1" applyAlignment="1">
      <alignment horizontal="left" vertical="center" wrapText="1"/>
    </xf>
    <xf numFmtId="0" fontId="0" fillId="0" borderId="47" xfId="0" applyBorder="1" applyAlignment="1">
      <alignment horizontal="left" vertical="center" wrapText="1"/>
    </xf>
    <xf numFmtId="0" fontId="0" fillId="13" borderId="40" xfId="0" applyFill="1" applyBorder="1" applyAlignment="1">
      <alignment horizontal="left" vertical="center"/>
    </xf>
    <xf numFmtId="0" fontId="0" fillId="13" borderId="40" xfId="0" applyFill="1" applyBorder="1" applyAlignment="1">
      <alignment horizontal="center" vertical="center"/>
    </xf>
    <xf numFmtId="0" fontId="0" fillId="0" borderId="40" xfId="0" applyBorder="1" applyAlignment="1">
      <alignment horizontal="left" vertical="center"/>
    </xf>
    <xf numFmtId="0" fontId="0" fillId="0" borderId="40" xfId="0" applyBorder="1" applyAlignment="1">
      <alignment horizontal="center" vertical="center"/>
    </xf>
    <xf numFmtId="0" fontId="0" fillId="13" borderId="44" xfId="0" applyFill="1" applyBorder="1" applyAlignment="1">
      <alignment horizontal="left" vertical="center"/>
    </xf>
    <xf numFmtId="0" fontId="0" fillId="0" borderId="44" xfId="0" applyBorder="1" applyAlignment="1">
      <alignment horizontal="left" vertical="center"/>
    </xf>
    <xf numFmtId="0" fontId="0" fillId="13" borderId="44" xfId="0" applyFill="1" applyBorder="1" applyAlignment="1">
      <alignment horizontal="center" vertical="center"/>
    </xf>
    <xf numFmtId="0" fontId="0" fillId="13" borderId="45" xfId="0" applyFill="1" applyBorder="1" applyAlignment="1">
      <alignment horizontal="left" vertical="center"/>
    </xf>
    <xf numFmtId="0" fontId="0" fillId="0" borderId="46" xfId="0" applyBorder="1" applyAlignment="1">
      <alignment horizontal="left" vertical="center" wrapText="1"/>
    </xf>
    <xf numFmtId="0" fontId="0" fillId="0" borderId="48" xfId="0" applyBorder="1" applyAlignment="1">
      <alignment horizontal="left" vertical="center" wrapText="1"/>
    </xf>
    <xf numFmtId="0" fontId="0" fillId="0" borderId="44" xfId="0" applyBorder="1" applyAlignment="1">
      <alignment horizontal="center" vertical="top" wrapText="1"/>
    </xf>
    <xf numFmtId="0" fontId="0" fillId="10" borderId="46" xfId="0" applyFill="1" applyBorder="1" applyAlignment="1">
      <alignment horizontal="center" vertical="top" wrapText="1"/>
    </xf>
    <xf numFmtId="0" fontId="0" fillId="29" borderId="47" xfId="0" applyFill="1" applyBorder="1" applyAlignment="1">
      <alignment horizontal="center" vertical="center" wrapText="1"/>
    </xf>
    <xf numFmtId="0" fontId="0" fillId="5" borderId="44" xfId="0" applyFill="1" applyBorder="1" applyAlignment="1">
      <alignment horizontal="left" vertical="center"/>
    </xf>
    <xf numFmtId="0" fontId="0" fillId="10" borderId="48" xfId="0" applyFill="1" applyBorder="1" applyAlignment="1">
      <alignment horizontal="left" vertical="top" wrapText="1"/>
    </xf>
    <xf numFmtId="0" fontId="5" fillId="22" borderId="40" xfId="0" applyFont="1" applyFill="1" applyBorder="1" applyAlignment="1">
      <alignment horizontal="left" vertical="center"/>
    </xf>
    <xf numFmtId="0" fontId="5" fillId="22" borderId="45" xfId="0" applyFont="1" applyFill="1" applyBorder="1" applyAlignment="1">
      <alignment horizontal="left" vertical="center"/>
    </xf>
    <xf numFmtId="0" fontId="5" fillId="28" borderId="40" xfId="0" applyFont="1" applyFill="1" applyBorder="1" applyAlignment="1">
      <alignment horizontal="center" vertical="center"/>
    </xf>
    <xf numFmtId="0" fontId="5" fillId="28" borderId="44" xfId="0" applyFont="1" applyFill="1" applyBorder="1" applyAlignment="1">
      <alignment horizontal="center" vertical="center"/>
    </xf>
    <xf numFmtId="0" fontId="5" fillId="28" borderId="45" xfId="0" applyFont="1" applyFill="1" applyBorder="1" applyAlignment="1">
      <alignment horizontal="center" vertical="center"/>
    </xf>
    <xf numFmtId="0" fontId="0" fillId="30" borderId="46" xfId="0" applyFill="1" applyBorder="1" applyAlignment="1">
      <alignment horizontal="center" vertical="center" wrapText="1"/>
    </xf>
    <xf numFmtId="0" fontId="0" fillId="30" borderId="47" xfId="0" applyFill="1" applyBorder="1" applyAlignment="1">
      <alignment horizontal="center" vertical="center" wrapText="1"/>
    </xf>
    <xf numFmtId="0" fontId="5" fillId="22" borderId="44" xfId="0" applyFont="1" applyFill="1" applyBorder="1" applyAlignment="1">
      <alignment horizontal="left" vertical="center"/>
    </xf>
    <xf numFmtId="0" fontId="0" fillId="13" borderId="45" xfId="0" applyFill="1" applyBorder="1" applyAlignment="1">
      <alignment vertical="center" wrapText="1"/>
    </xf>
    <xf numFmtId="0" fontId="0" fillId="0" borderId="45" xfId="0" applyBorder="1" applyAlignment="1">
      <alignment vertical="center" wrapText="1"/>
    </xf>
    <xf numFmtId="0" fontId="0" fillId="14" borderId="40" xfId="0" applyFill="1" applyBorder="1" applyAlignment="1">
      <alignment horizontal="center" vertical="center"/>
    </xf>
    <xf numFmtId="0" fontId="0" fillId="14" borderId="40" xfId="0" applyFill="1" applyBorder="1" applyAlignment="1">
      <alignment horizontal="left" vertical="center"/>
    </xf>
    <xf numFmtId="0" fontId="0" fillId="17" borderId="40" xfId="0" applyFill="1" applyBorder="1" applyAlignment="1">
      <alignment horizontal="left" vertical="center"/>
    </xf>
    <xf numFmtId="0" fontId="0" fillId="17" borderId="40" xfId="0" applyFill="1" applyBorder="1" applyAlignment="1">
      <alignment horizontal="center" vertical="center"/>
    </xf>
    <xf numFmtId="0" fontId="0" fillId="14" borderId="44" xfId="0" applyFill="1" applyBorder="1" applyAlignment="1">
      <alignment horizontal="left" vertical="center"/>
    </xf>
    <xf numFmtId="0" fontId="0" fillId="17" borderId="44" xfId="0" applyFill="1" applyBorder="1" applyAlignment="1">
      <alignment horizontal="left" vertical="center"/>
    </xf>
    <xf numFmtId="0" fontId="0" fillId="3" borderId="40" xfId="0" applyFill="1" applyBorder="1" applyAlignment="1">
      <alignment horizontal="center" vertical="center"/>
    </xf>
    <xf numFmtId="0" fontId="0" fillId="3" borderId="44" xfId="0" applyFill="1" applyBorder="1" applyAlignment="1">
      <alignment horizontal="center" vertical="center"/>
    </xf>
    <xf numFmtId="0" fontId="0" fillId="3" borderId="46" xfId="0" applyFill="1" applyBorder="1" applyAlignment="1">
      <alignment horizontal="center" vertical="center"/>
    </xf>
    <xf numFmtId="0" fontId="0" fillId="3" borderId="47" xfId="0" applyFill="1" applyBorder="1" applyAlignment="1">
      <alignment horizontal="center" vertical="center"/>
    </xf>
    <xf numFmtId="0" fontId="0" fillId="13" borderId="46" xfId="0" applyFill="1" applyBorder="1" applyAlignment="1">
      <alignment horizontal="left" vertical="center"/>
    </xf>
    <xf numFmtId="0" fontId="0" fillId="13" borderId="47" xfId="0" applyFill="1" applyBorder="1" applyAlignment="1">
      <alignment horizontal="left" vertical="center"/>
    </xf>
    <xf numFmtId="0" fontId="0" fillId="14" borderId="47" xfId="0" applyFill="1" applyBorder="1" applyAlignment="1">
      <alignment horizontal="center" vertical="center"/>
    </xf>
    <xf numFmtId="0" fontId="0" fillId="5" borderId="56" xfId="0" applyFill="1" applyBorder="1" applyAlignment="1">
      <alignment horizontal="center" vertical="center" wrapText="1"/>
    </xf>
    <xf numFmtId="0" fontId="0" fillId="17" borderId="44" xfId="0" quotePrefix="1" applyFill="1" applyBorder="1" applyAlignment="1">
      <alignment horizontal="center" vertical="center" wrapText="1"/>
    </xf>
    <xf numFmtId="0" fontId="0" fillId="17" borderId="17" xfId="0" applyFill="1" applyBorder="1" applyAlignment="1">
      <alignment horizontal="left" vertical="center" wrapText="1"/>
    </xf>
    <xf numFmtId="0" fontId="0" fillId="17" borderId="24" xfId="0" applyFill="1" applyBorder="1" applyAlignment="1">
      <alignment horizontal="center" vertical="center" wrapText="1"/>
    </xf>
    <xf numFmtId="0" fontId="0" fillId="25" borderId="40" xfId="0" applyFill="1" applyBorder="1" applyAlignment="1">
      <alignment horizontal="center" vertical="center" wrapText="1"/>
    </xf>
    <xf numFmtId="0" fontId="0" fillId="25" borderId="44" xfId="0" applyFill="1" applyBorder="1" applyAlignment="1">
      <alignment horizontal="center" vertical="center" wrapText="1"/>
    </xf>
    <xf numFmtId="0" fontId="14" fillId="0" borderId="27" xfId="0" applyFont="1" applyBorder="1"/>
    <xf numFmtId="0" fontId="14" fillId="0" borderId="61" xfId="0" applyFont="1" applyBorder="1"/>
    <xf numFmtId="0" fontId="14" fillId="35" borderId="61" xfId="0" applyFont="1" applyFill="1" applyBorder="1"/>
    <xf numFmtId="0" fontId="14" fillId="35" borderId="36" xfId="0" applyFont="1" applyFill="1" applyBorder="1"/>
    <xf numFmtId="0" fontId="14" fillId="35" borderId="27" xfId="0" applyFont="1" applyFill="1" applyBorder="1"/>
    <xf numFmtId="0" fontId="14" fillId="35" borderId="26" xfId="0" applyFont="1" applyFill="1" applyBorder="1"/>
    <xf numFmtId="0" fontId="6" fillId="0" borderId="27" xfId="0" applyFont="1" applyBorder="1"/>
    <xf numFmtId="0" fontId="6" fillId="0" borderId="26" xfId="0" applyFont="1" applyBorder="1"/>
    <xf numFmtId="0" fontId="13" fillId="33" borderId="55" xfId="0" applyFont="1" applyFill="1" applyBorder="1" applyAlignment="1">
      <alignment horizontal="center" vertical="center"/>
    </xf>
    <xf numFmtId="0" fontId="13" fillId="34" borderId="55" xfId="0" applyFont="1" applyFill="1" applyBorder="1" applyAlignment="1">
      <alignment horizontal="center" vertical="center"/>
    </xf>
    <xf numFmtId="0" fontId="0" fillId="0" borderId="0" xfId="0" applyAlignment="1">
      <alignment vertical="center"/>
    </xf>
    <xf numFmtId="0" fontId="11" fillId="21" borderId="50" xfId="0" applyFont="1" applyFill="1" applyBorder="1" applyAlignment="1">
      <alignment vertical="center"/>
    </xf>
    <xf numFmtId="0" fontId="0" fillId="20" borderId="56" xfId="0" applyFill="1" applyBorder="1" applyAlignment="1">
      <alignment horizontal="center" vertical="center" wrapText="1"/>
    </xf>
    <xf numFmtId="0" fontId="0" fillId="25" borderId="45" xfId="0" applyFill="1" applyBorder="1" applyAlignment="1">
      <alignment horizontal="center" vertical="center" wrapText="1"/>
    </xf>
    <xf numFmtId="0" fontId="0" fillId="31" borderId="56" xfId="0" applyFill="1" applyBorder="1" applyAlignment="1">
      <alignment horizontal="center" vertical="center" wrapText="1"/>
    </xf>
    <xf numFmtId="0" fontId="0" fillId="17" borderId="56" xfId="0" applyFill="1" applyBorder="1" applyAlignment="1">
      <alignment horizontal="center" vertical="center" wrapText="1"/>
    </xf>
    <xf numFmtId="0" fontId="0" fillId="23" borderId="45" xfId="0" applyFill="1" applyBorder="1" applyAlignment="1">
      <alignment horizontal="center" vertical="center" wrapText="1"/>
    </xf>
    <xf numFmtId="0" fontId="0" fillId="29" borderId="44" xfId="0" applyFill="1" applyBorder="1" applyAlignment="1">
      <alignment horizontal="center" vertical="center" wrapText="1"/>
    </xf>
    <xf numFmtId="0" fontId="0" fillId="17" borderId="74" xfId="0" applyFill="1" applyBorder="1" applyAlignment="1">
      <alignment horizontal="center" vertical="center" wrapText="1"/>
    </xf>
    <xf numFmtId="0" fontId="0" fillId="29" borderId="46" xfId="0" applyFill="1" applyBorder="1" applyAlignment="1">
      <alignment horizontal="center" vertical="center" wrapText="1"/>
    </xf>
    <xf numFmtId="0" fontId="0" fillId="0" borderId="56" xfId="0" applyBorder="1" applyAlignment="1">
      <alignment horizontal="center" vertical="center" wrapText="1"/>
    </xf>
    <xf numFmtId="0" fontId="0" fillId="30" borderId="56" xfId="0" applyFill="1" applyBorder="1" applyAlignment="1">
      <alignment horizontal="center" vertical="center" wrapText="1"/>
    </xf>
    <xf numFmtId="0" fontId="0" fillId="31" borderId="74" xfId="0" applyFill="1" applyBorder="1" applyAlignment="1">
      <alignment horizontal="center" vertical="center" wrapText="1"/>
    </xf>
    <xf numFmtId="0" fontId="0" fillId="29" borderId="45" xfId="0" applyFill="1" applyBorder="1" applyAlignment="1">
      <alignment horizontal="center" vertical="center" wrapText="1"/>
    </xf>
    <xf numFmtId="0" fontId="0" fillId="0" borderId="74" xfId="0" applyBorder="1" applyAlignment="1">
      <alignment horizontal="center" vertical="center" wrapText="1"/>
    </xf>
    <xf numFmtId="0" fontId="0" fillId="20" borderId="74" xfId="0" applyFill="1" applyBorder="1" applyAlignment="1">
      <alignment horizontal="center" vertical="center" wrapText="1"/>
    </xf>
    <xf numFmtId="0" fontId="5" fillId="21" borderId="56" xfId="0" applyFont="1" applyFill="1" applyBorder="1" applyAlignment="1">
      <alignment horizontal="center" vertical="center"/>
    </xf>
    <xf numFmtId="0" fontId="5" fillId="21" borderId="44" xfId="0" applyFont="1" applyFill="1" applyBorder="1" applyAlignment="1">
      <alignment horizontal="center" vertical="center" wrapText="1"/>
    </xf>
    <xf numFmtId="0" fontId="5" fillId="21" borderId="40" xfId="0" applyFont="1" applyFill="1" applyBorder="1" applyAlignment="1">
      <alignment horizontal="center" vertical="center" wrapText="1"/>
    </xf>
    <xf numFmtId="0" fontId="0" fillId="17" borderId="45" xfId="0" quotePrefix="1" applyFill="1" applyBorder="1" applyAlignment="1">
      <alignment horizontal="left" vertical="center" wrapText="1"/>
    </xf>
    <xf numFmtId="0" fontId="0" fillId="30" borderId="45" xfId="0" quotePrefix="1" applyFill="1" applyBorder="1" applyAlignment="1">
      <alignment horizontal="left" vertical="center" wrapText="1"/>
    </xf>
    <xf numFmtId="0" fontId="0" fillId="31" borderId="45" xfId="0" applyFill="1" applyBorder="1" applyAlignment="1">
      <alignment horizontal="left" vertical="center" wrapText="1"/>
    </xf>
    <xf numFmtId="0" fontId="11" fillId="21" borderId="49" xfId="0" applyFont="1" applyFill="1" applyBorder="1" applyAlignment="1">
      <alignment horizontal="center" vertical="center"/>
    </xf>
    <xf numFmtId="0" fontId="11" fillId="21" borderId="50" xfId="0" applyFont="1" applyFill="1" applyBorder="1" applyAlignment="1">
      <alignment horizontal="center" vertical="center"/>
    </xf>
    <xf numFmtId="0" fontId="0" fillId="30" borderId="44" xfId="0" quotePrefix="1" applyFill="1" applyBorder="1" applyAlignment="1">
      <alignment horizontal="center" vertical="center" wrapText="1"/>
    </xf>
    <xf numFmtId="0" fontId="5" fillId="21" borderId="81" xfId="0" applyFont="1" applyFill="1" applyBorder="1" applyAlignment="1">
      <alignment horizontal="center" vertical="center"/>
    </xf>
    <xf numFmtId="0" fontId="0" fillId="5" borderId="81" xfId="0" applyFill="1" applyBorder="1" applyAlignment="1">
      <alignment horizontal="center" vertical="center" wrapText="1"/>
    </xf>
    <xf numFmtId="0" fontId="0" fillId="30" borderId="82" xfId="0" applyFill="1" applyBorder="1" applyAlignment="1">
      <alignment horizontal="center" vertical="center" wrapText="1"/>
    </xf>
    <xf numFmtId="0" fontId="5" fillId="22" borderId="76" xfId="0" applyFont="1" applyFill="1" applyBorder="1" applyAlignment="1">
      <alignment horizontal="center" vertical="center"/>
    </xf>
    <xf numFmtId="0" fontId="0" fillId="5" borderId="76" xfId="0" applyFill="1" applyBorder="1" applyAlignment="1">
      <alignment horizontal="left" vertical="center"/>
    </xf>
    <xf numFmtId="0" fontId="0" fillId="13" borderId="77" xfId="0" applyFill="1" applyBorder="1" applyAlignment="1">
      <alignment horizontal="left" vertical="center" wrapText="1"/>
    </xf>
    <xf numFmtId="0" fontId="5" fillId="21" borderId="74" xfId="0" applyFont="1" applyFill="1" applyBorder="1" applyAlignment="1">
      <alignment horizontal="center" vertical="center"/>
    </xf>
    <xf numFmtId="0" fontId="0" fillId="5" borderId="74" xfId="0" applyFill="1" applyBorder="1" applyAlignment="1">
      <alignment horizontal="center" vertical="center" wrapText="1"/>
    </xf>
    <xf numFmtId="0" fontId="0" fillId="0" borderId="40" xfId="0" applyBorder="1" applyAlignment="1">
      <alignment horizontal="left" vertical="top" wrapText="1"/>
    </xf>
    <xf numFmtId="0" fontId="0" fillId="29" borderId="47" xfId="0" applyFill="1" applyBorder="1" applyAlignment="1">
      <alignment horizontal="left" vertical="top" wrapText="1"/>
    </xf>
    <xf numFmtId="0" fontId="0" fillId="20" borderId="40" xfId="0" applyFill="1" applyBorder="1" applyAlignment="1">
      <alignment horizontal="left" vertical="center" wrapText="1"/>
    </xf>
    <xf numFmtId="0" fontId="0" fillId="20" borderId="47" xfId="0" applyFill="1" applyBorder="1" applyAlignment="1">
      <alignment horizontal="left" vertical="center" wrapText="1"/>
    </xf>
    <xf numFmtId="0" fontId="0" fillId="30" borderId="40" xfId="0" applyFill="1" applyBorder="1" applyAlignment="1">
      <alignment horizontal="left" vertical="center" wrapText="1"/>
    </xf>
    <xf numFmtId="0" fontId="0" fillId="23" borderId="40" xfId="0" applyFill="1" applyBorder="1" applyAlignment="1">
      <alignment horizontal="left" vertical="top" wrapText="1"/>
    </xf>
    <xf numFmtId="0" fontId="0" fillId="31" borderId="40" xfId="0" applyFill="1" applyBorder="1" applyAlignment="1">
      <alignment horizontal="left" vertical="center" wrapText="1"/>
    </xf>
    <xf numFmtId="0" fontId="0" fillId="31" borderId="47" xfId="0" applyFill="1" applyBorder="1" applyAlignment="1">
      <alignment horizontal="left" vertical="center" wrapText="1"/>
    </xf>
    <xf numFmtId="0" fontId="0" fillId="30" borderId="40" xfId="0" applyFill="1" applyBorder="1" applyAlignment="1">
      <alignment horizontal="left" vertical="top" wrapText="1"/>
    </xf>
    <xf numFmtId="0" fontId="0" fillId="31" borderId="40" xfId="0" applyFill="1" applyBorder="1" applyAlignment="1">
      <alignment horizontal="left" vertical="top" wrapText="1"/>
    </xf>
    <xf numFmtId="0" fontId="0" fillId="25" borderId="40" xfId="0" applyFill="1" applyBorder="1" applyAlignment="1">
      <alignment horizontal="left" vertical="center" wrapText="1"/>
    </xf>
    <xf numFmtId="0" fontId="0" fillId="17" borderId="40" xfId="0" quotePrefix="1" applyFill="1" applyBorder="1" applyAlignment="1">
      <alignment horizontal="left" vertical="top" wrapText="1"/>
    </xf>
    <xf numFmtId="0" fontId="0" fillId="30" borderId="40" xfId="0" quotePrefix="1" applyFill="1" applyBorder="1" applyAlignment="1">
      <alignment horizontal="left" vertical="top" wrapText="1"/>
    </xf>
    <xf numFmtId="0" fontId="0" fillId="29" borderId="40" xfId="0" applyFill="1" applyBorder="1" applyAlignment="1">
      <alignment horizontal="left" vertical="top" wrapText="1"/>
    </xf>
    <xf numFmtId="0" fontId="0" fillId="17" borderId="40" xfId="0" applyFill="1" applyBorder="1" applyAlignment="1">
      <alignment horizontal="left" vertical="top" wrapText="1"/>
    </xf>
    <xf numFmtId="0" fontId="0" fillId="30" borderId="47" xfId="0" applyFill="1" applyBorder="1" applyAlignment="1">
      <alignment horizontal="left" vertical="center" wrapText="1"/>
    </xf>
    <xf numFmtId="0" fontId="0" fillId="25" borderId="40" xfId="0" applyFill="1" applyBorder="1" applyAlignment="1">
      <alignment horizontal="left" vertical="top" wrapText="1"/>
    </xf>
    <xf numFmtId="0" fontId="0" fillId="17" borderId="40" xfId="0" quotePrefix="1" applyFill="1" applyBorder="1" applyAlignment="1">
      <alignment horizontal="left" vertical="center" wrapText="1"/>
    </xf>
    <xf numFmtId="0" fontId="0" fillId="20" borderId="40" xfId="0" applyFill="1" applyBorder="1" applyAlignment="1">
      <alignment horizontal="left" vertical="top" wrapText="1"/>
    </xf>
    <xf numFmtId="0" fontId="0" fillId="20" borderId="86" xfId="0" applyFill="1" applyBorder="1" applyAlignment="1">
      <alignment horizontal="center" vertical="center" wrapText="1"/>
    </xf>
    <xf numFmtId="0" fontId="0" fillId="20" borderId="87" xfId="0" applyFill="1" applyBorder="1" applyAlignment="1">
      <alignment horizontal="center" vertical="center" wrapText="1"/>
    </xf>
    <xf numFmtId="0" fontId="0" fillId="20" borderId="87" xfId="0" applyFill="1" applyBorder="1" applyAlignment="1">
      <alignment horizontal="left" vertical="center" wrapText="1"/>
    </xf>
    <xf numFmtId="0" fontId="0" fillId="20" borderId="88" xfId="0" applyFill="1" applyBorder="1" applyAlignment="1">
      <alignment horizontal="center" vertical="center" wrapText="1"/>
    </xf>
    <xf numFmtId="0" fontId="0" fillId="25" borderId="92" xfId="0" applyFill="1" applyBorder="1"/>
    <xf numFmtId="0" fontId="0" fillId="0" borderId="92" xfId="0" applyBorder="1"/>
    <xf numFmtId="0" fontId="0" fillId="0" borderId="93" xfId="0" applyBorder="1"/>
    <xf numFmtId="0" fontId="9" fillId="27" borderId="94" xfId="0" applyFont="1" applyFill="1" applyBorder="1" applyAlignment="1">
      <alignment horizontal="center"/>
    </xf>
    <xf numFmtId="0" fontId="0" fillId="25" borderId="95" xfId="0" applyFill="1" applyBorder="1"/>
    <xf numFmtId="0" fontId="5" fillId="21" borderId="46" xfId="0" applyFont="1" applyFill="1" applyBorder="1" applyAlignment="1">
      <alignment horizontal="center" vertical="center" wrapText="1"/>
    </xf>
    <xf numFmtId="0" fontId="5" fillId="21" borderId="47" xfId="0" applyFont="1" applyFill="1" applyBorder="1" applyAlignment="1">
      <alignment horizontal="center" vertical="center" wrapText="1"/>
    </xf>
    <xf numFmtId="0" fontId="5" fillId="21" borderId="47" xfId="0" applyFont="1" applyFill="1" applyBorder="1" applyAlignment="1">
      <alignment horizontal="center" vertical="center"/>
    </xf>
    <xf numFmtId="0" fontId="5" fillId="21" borderId="48" xfId="0" applyFont="1" applyFill="1" applyBorder="1" applyAlignment="1">
      <alignment horizontal="center" vertical="center"/>
    </xf>
    <xf numFmtId="0" fontId="17" fillId="2" borderId="90" xfId="0" applyFont="1" applyFill="1" applyBorder="1" applyAlignment="1">
      <alignment vertical="center"/>
    </xf>
    <xf numFmtId="0" fontId="2" fillId="30" borderId="101" xfId="0" applyFont="1" applyFill="1" applyBorder="1" applyAlignment="1">
      <alignment horizontal="center"/>
    </xf>
    <xf numFmtId="0" fontId="2" fillId="30" borderId="40" xfId="0" applyFont="1" applyFill="1" applyBorder="1" applyAlignment="1">
      <alignment horizontal="center" vertical="center"/>
    </xf>
    <xf numFmtId="0" fontId="0" fillId="0" borderId="40" xfId="0" applyBorder="1" applyAlignment="1">
      <alignment horizontal="center"/>
    </xf>
    <xf numFmtId="10" fontId="0" fillId="0" borderId="40" xfId="0" applyNumberFormat="1" applyBorder="1" applyAlignment="1">
      <alignment horizontal="center"/>
    </xf>
    <xf numFmtId="0" fontId="2" fillId="30" borderId="45" xfId="0" applyFont="1" applyFill="1" applyBorder="1" applyAlignment="1">
      <alignment horizontal="center" vertical="center"/>
    </xf>
    <xf numFmtId="10" fontId="0" fillId="0" borderId="45" xfId="0" applyNumberFormat="1" applyBorder="1" applyAlignment="1">
      <alignment horizontal="center"/>
    </xf>
    <xf numFmtId="10" fontId="2" fillId="30" borderId="47" xfId="0" applyNumberFormat="1" applyFont="1" applyFill="1" applyBorder="1" applyAlignment="1">
      <alignment horizontal="center"/>
    </xf>
    <xf numFmtId="0" fontId="2" fillId="30" borderId="47" xfId="0" applyFont="1" applyFill="1" applyBorder="1" applyAlignment="1">
      <alignment horizontal="center"/>
    </xf>
    <xf numFmtId="10" fontId="2" fillId="30" borderId="48" xfId="0" applyNumberFormat="1" applyFont="1" applyFill="1" applyBorder="1" applyAlignment="1">
      <alignment horizontal="center"/>
    </xf>
    <xf numFmtId="0" fontId="2" fillId="30" borderId="76" xfId="0" applyFont="1" applyFill="1" applyBorder="1" applyAlignment="1">
      <alignment horizontal="center" vertical="center"/>
    </xf>
    <xf numFmtId="0" fontId="0" fillId="0" borderId="76" xfId="0" applyBorder="1" applyAlignment="1">
      <alignment horizontal="center"/>
    </xf>
    <xf numFmtId="0" fontId="2" fillId="30" borderId="77" xfId="0" applyFont="1" applyFill="1" applyBorder="1" applyAlignment="1">
      <alignment horizontal="center"/>
    </xf>
    <xf numFmtId="0" fontId="2" fillId="30" borderId="69" xfId="0" applyFont="1" applyFill="1" applyBorder="1" applyAlignment="1">
      <alignment horizontal="center" vertical="center"/>
    </xf>
    <xf numFmtId="0" fontId="2" fillId="30" borderId="98" xfId="0" applyFont="1" applyFill="1" applyBorder="1" applyAlignment="1">
      <alignment horizontal="center" vertical="center" wrapText="1"/>
    </xf>
    <xf numFmtId="0" fontId="2" fillId="0" borderId="99" xfId="0" applyFont="1" applyBorder="1" applyAlignment="1">
      <alignment horizontal="center"/>
    </xf>
    <xf numFmtId="10" fontId="2" fillId="0" borderId="100" xfId="0" applyNumberFormat="1" applyFont="1" applyBorder="1" applyAlignment="1">
      <alignment horizontal="center"/>
    </xf>
    <xf numFmtId="10" fontId="2" fillId="30" borderId="103" xfId="0" applyNumberFormat="1" applyFont="1" applyFill="1" applyBorder="1" applyAlignment="1">
      <alignment horizontal="center"/>
    </xf>
    <xf numFmtId="0" fontId="12" fillId="0" borderId="27" xfId="0" applyFont="1" applyBorder="1"/>
    <xf numFmtId="0" fontId="12" fillId="35" borderId="27" xfId="0" applyFont="1" applyFill="1" applyBorder="1"/>
    <xf numFmtId="0" fontId="12" fillId="0" borderId="61" xfId="0" applyFont="1" applyBorder="1"/>
    <xf numFmtId="0" fontId="12" fillId="35" borderId="61" xfId="0" applyFont="1" applyFill="1" applyBorder="1"/>
    <xf numFmtId="0" fontId="12" fillId="36" borderId="27" xfId="0" applyFont="1" applyFill="1" applyBorder="1"/>
    <xf numFmtId="0" fontId="12" fillId="0" borderId="26" xfId="0" applyFont="1" applyBorder="1"/>
    <xf numFmtId="0" fontId="12" fillId="35" borderId="26" xfId="0" applyFont="1" applyFill="1" applyBorder="1"/>
    <xf numFmtId="0" fontId="12" fillId="0" borderId="36" xfId="0" applyFont="1" applyBorder="1"/>
    <xf numFmtId="0" fontId="12" fillId="35" borderId="36" xfId="0" applyFont="1" applyFill="1" applyBorder="1"/>
    <xf numFmtId="0" fontId="12" fillId="0" borderId="67" xfId="0" applyFont="1" applyBorder="1"/>
    <xf numFmtId="0" fontId="12" fillId="35" borderId="67" xfId="0" applyFont="1" applyFill="1" applyBorder="1"/>
    <xf numFmtId="0" fontId="12" fillId="0" borderId="72" xfId="0" applyFont="1" applyBorder="1"/>
    <xf numFmtId="0" fontId="12" fillId="35" borderId="72" xfId="0" applyFont="1" applyFill="1" applyBorder="1"/>
    <xf numFmtId="0" fontId="12" fillId="0" borderId="65" xfId="0" applyFont="1" applyBorder="1"/>
    <xf numFmtId="0" fontId="0" fillId="0" borderId="40" xfId="0" applyBorder="1"/>
    <xf numFmtId="0" fontId="0" fillId="0" borderId="42" xfId="0" applyBorder="1"/>
    <xf numFmtId="0" fontId="0" fillId="0" borderId="47" xfId="0" applyBorder="1"/>
    <xf numFmtId="0" fontId="0" fillId="20" borderId="44" xfId="0" applyFill="1" applyBorder="1" applyAlignment="1">
      <alignment horizontal="center" vertical="center"/>
    </xf>
    <xf numFmtId="0" fontId="0" fillId="20" borderId="86" xfId="0" applyFill="1" applyBorder="1" applyAlignment="1">
      <alignment horizontal="center" vertical="center"/>
    </xf>
    <xf numFmtId="0" fontId="5" fillId="21" borderId="94" xfId="0" applyFont="1" applyFill="1" applyBorder="1" applyAlignment="1">
      <alignment horizontal="center" vertical="center"/>
    </xf>
    <xf numFmtId="0" fontId="5" fillId="21" borderId="89" xfId="0" applyFont="1" applyFill="1" applyBorder="1" applyAlignment="1">
      <alignment horizontal="center" vertical="center"/>
    </xf>
    <xf numFmtId="0" fontId="0" fillId="20" borderId="88" xfId="0" applyFill="1" applyBorder="1" applyAlignment="1">
      <alignment vertical="center" wrapText="1"/>
    </xf>
    <xf numFmtId="0" fontId="0" fillId="0" borderId="44" xfId="0" applyBorder="1" applyAlignment="1">
      <alignment horizontal="center" vertical="center"/>
    </xf>
    <xf numFmtId="0" fontId="0" fillId="0" borderId="88" xfId="0" applyBorder="1" applyAlignment="1">
      <alignment vertical="center" wrapText="1"/>
    </xf>
    <xf numFmtId="0" fontId="5" fillId="21" borderId="106" xfId="0" applyFont="1" applyFill="1" applyBorder="1" applyAlignment="1">
      <alignment horizontal="center" vertical="center"/>
    </xf>
    <xf numFmtId="0" fontId="12" fillId="0" borderId="40" xfId="0" applyFont="1" applyBorder="1"/>
    <xf numFmtId="0" fontId="0" fillId="0" borderId="96" xfId="0" applyBorder="1"/>
    <xf numFmtId="0" fontId="0" fillId="0" borderId="41" xfId="0" applyBorder="1"/>
    <xf numFmtId="0" fontId="12" fillId="0" borderId="42" xfId="0" applyFont="1" applyBorder="1"/>
    <xf numFmtId="0" fontId="0" fillId="0" borderId="44" xfId="0" applyBorder="1"/>
    <xf numFmtId="0" fontId="0" fillId="0" borderId="46" xfId="0" applyBorder="1"/>
    <xf numFmtId="0" fontId="0" fillId="0" borderId="107" xfId="0" applyBorder="1"/>
    <xf numFmtId="0" fontId="12" fillId="0" borderId="96" xfId="0" applyFont="1" applyBorder="1"/>
    <xf numFmtId="0" fontId="11" fillId="21" borderId="43" xfId="0" applyFont="1" applyFill="1" applyBorder="1" applyAlignment="1">
      <alignment horizontal="center" vertical="center"/>
    </xf>
    <xf numFmtId="0" fontId="0" fillId="25" borderId="46" xfId="0" applyFill="1" applyBorder="1" applyAlignment="1">
      <alignment horizontal="center" vertical="center" wrapText="1"/>
    </xf>
    <xf numFmtId="0" fontId="0" fillId="25" borderId="47" xfId="0" applyFill="1" applyBorder="1" applyAlignment="1">
      <alignment horizontal="center" vertical="center" wrapText="1"/>
    </xf>
    <xf numFmtId="0" fontId="0" fillId="25" borderId="47" xfId="0" applyFill="1" applyBorder="1" applyAlignment="1">
      <alignment horizontal="left" vertical="top" wrapText="1"/>
    </xf>
    <xf numFmtId="0" fontId="5" fillId="21" borderId="45" xfId="0" applyFont="1" applyFill="1" applyBorder="1" applyAlignment="1">
      <alignment horizontal="center" vertical="center" wrapText="1"/>
    </xf>
    <xf numFmtId="0" fontId="0" fillId="29" borderId="45" xfId="0" applyFill="1" applyBorder="1" applyAlignment="1">
      <alignment horizontal="left" vertical="top" wrapText="1"/>
    </xf>
    <xf numFmtId="0" fontId="0" fillId="25" borderId="45" xfId="0" applyFill="1" applyBorder="1" applyAlignment="1">
      <alignment horizontal="left" vertical="center" wrapText="1"/>
    </xf>
    <xf numFmtId="0" fontId="0" fillId="23" borderId="45" xfId="0" applyFill="1" applyBorder="1" applyAlignment="1">
      <alignment horizontal="left" vertical="top" wrapText="1"/>
    </xf>
    <xf numFmtId="0" fontId="0" fillId="15" borderId="45" xfId="0" applyFill="1" applyBorder="1" applyAlignment="1">
      <alignment horizontal="left" vertical="center" wrapText="1"/>
    </xf>
    <xf numFmtId="0" fontId="18" fillId="15" borderId="45" xfId="0" applyFont="1" applyFill="1" applyBorder="1" applyAlignment="1">
      <alignment horizontal="left" vertical="top" wrapText="1"/>
    </xf>
    <xf numFmtId="0" fontId="0" fillId="29" borderId="45" xfId="0" quotePrefix="1" applyFill="1" applyBorder="1" applyAlignment="1">
      <alignment horizontal="left" vertical="top" wrapText="1"/>
    </xf>
    <xf numFmtId="0" fontId="18" fillId="20" borderId="40" xfId="0" applyFont="1" applyFill="1" applyBorder="1" applyAlignment="1">
      <alignment horizontal="left" vertical="top" wrapText="1"/>
    </xf>
    <xf numFmtId="14" fontId="0" fillId="0" borderId="45" xfId="0" applyNumberFormat="1" applyBorder="1" applyAlignment="1">
      <alignment horizontal="center" vertical="center" wrapText="1"/>
    </xf>
    <xf numFmtId="14" fontId="0" fillId="20" borderId="45" xfId="0" applyNumberFormat="1" applyFill="1" applyBorder="1" applyAlignment="1">
      <alignment horizontal="left" vertical="center" wrapText="1"/>
    </xf>
    <xf numFmtId="14" fontId="0" fillId="30" borderId="40" xfId="0" applyNumberFormat="1" applyFill="1" applyBorder="1" applyAlignment="1">
      <alignment horizontal="left" vertical="center" wrapText="1"/>
    </xf>
    <xf numFmtId="14" fontId="0" fillId="17" borderId="40" xfId="0" applyNumberFormat="1" applyFill="1" applyBorder="1" applyAlignment="1">
      <alignment horizontal="left" vertical="top" wrapText="1"/>
    </xf>
    <xf numFmtId="14" fontId="0" fillId="31" borderId="40" xfId="0" applyNumberFormat="1" applyFill="1" applyBorder="1" applyAlignment="1">
      <alignment horizontal="left" vertical="center" wrapText="1"/>
    </xf>
    <xf numFmtId="14" fontId="0" fillId="31" borderId="47" xfId="0" applyNumberFormat="1" applyFill="1" applyBorder="1" applyAlignment="1">
      <alignment horizontal="left" vertical="center" wrapText="1"/>
    </xf>
    <xf numFmtId="14" fontId="0" fillId="5" borderId="47" xfId="0" applyNumberFormat="1" applyFill="1" applyBorder="1" applyAlignment="1">
      <alignment horizontal="center" vertical="center" wrapText="1"/>
    </xf>
    <xf numFmtId="14" fontId="0" fillId="17" borderId="40" xfId="0" applyNumberFormat="1" applyFill="1" applyBorder="1" applyAlignment="1">
      <alignment horizontal="center" vertical="center" wrapText="1"/>
    </xf>
    <xf numFmtId="14" fontId="0" fillId="20" borderId="40" xfId="0" applyNumberFormat="1" applyFill="1" applyBorder="1" applyAlignment="1">
      <alignment horizontal="center" vertical="center" wrapText="1"/>
    </xf>
    <xf numFmtId="14" fontId="0" fillId="20" borderId="87" xfId="0" applyNumberFormat="1" applyFill="1" applyBorder="1" applyAlignment="1">
      <alignment horizontal="center" vertical="center" wrapText="1"/>
    </xf>
    <xf numFmtId="14" fontId="0" fillId="0" borderId="40" xfId="0" applyNumberFormat="1" applyBorder="1" applyAlignment="1">
      <alignment horizontal="center" vertical="center" wrapText="1"/>
    </xf>
    <xf numFmtId="14" fontId="0" fillId="0" borderId="47" xfId="0" applyNumberFormat="1" applyBorder="1" applyAlignment="1">
      <alignment horizontal="center" vertical="center" wrapText="1"/>
    </xf>
    <xf numFmtId="14" fontId="0" fillId="0" borderId="0" xfId="0" applyNumberFormat="1"/>
    <xf numFmtId="14" fontId="0" fillId="20" borderId="45" xfId="0" applyNumberFormat="1" applyFill="1" applyBorder="1" applyAlignment="1">
      <alignment horizontal="center" vertical="center" wrapText="1"/>
    </xf>
    <xf numFmtId="14" fontId="0" fillId="17" borderId="45" xfId="0" applyNumberFormat="1" applyFill="1" applyBorder="1" applyAlignment="1">
      <alignment horizontal="center" vertical="center" wrapText="1"/>
    </xf>
    <xf numFmtId="14" fontId="0" fillId="25" borderId="48" xfId="0" applyNumberFormat="1" applyFill="1" applyBorder="1" applyAlignment="1">
      <alignment horizontal="center" vertical="center" wrapText="1"/>
    </xf>
    <xf numFmtId="14" fontId="0" fillId="5" borderId="45" xfId="0" applyNumberFormat="1" applyFill="1" applyBorder="1" applyAlignment="1">
      <alignment horizontal="center" vertical="center" wrapText="1"/>
    </xf>
    <xf numFmtId="14" fontId="0" fillId="31" borderId="45" xfId="0" applyNumberFormat="1" applyFill="1" applyBorder="1" applyAlignment="1">
      <alignment horizontal="center" vertical="center" wrapText="1"/>
    </xf>
    <xf numFmtId="14" fontId="0" fillId="0" borderId="48" xfId="0" applyNumberFormat="1" applyBorder="1" applyAlignment="1">
      <alignment horizontal="center" vertical="center" wrapText="1"/>
    </xf>
    <xf numFmtId="14" fontId="0" fillId="0" borderId="45" xfId="0" applyNumberFormat="1" applyBorder="1" applyAlignment="1">
      <alignment horizontal="left" vertical="center" wrapText="1"/>
    </xf>
    <xf numFmtId="14" fontId="0" fillId="17" borderId="45" xfId="0" applyNumberFormat="1" applyFill="1" applyBorder="1" applyAlignment="1">
      <alignment horizontal="left" vertical="center" wrapText="1"/>
    </xf>
    <xf numFmtId="14" fontId="0" fillId="31" borderId="45" xfId="0" applyNumberFormat="1" applyFill="1" applyBorder="1" applyAlignment="1">
      <alignment horizontal="left" vertical="center" wrapText="1"/>
    </xf>
    <xf numFmtId="14" fontId="0" fillId="20" borderId="48" xfId="0" applyNumberFormat="1" applyFill="1" applyBorder="1" applyAlignment="1">
      <alignment horizontal="left" vertical="center" wrapText="1"/>
    </xf>
    <xf numFmtId="14" fontId="0" fillId="30" borderId="45" xfId="0" applyNumberFormat="1" applyFill="1" applyBorder="1" applyAlignment="1">
      <alignment horizontal="center" vertical="center" wrapText="1"/>
    </xf>
    <xf numFmtId="14" fontId="0" fillId="29" borderId="45" xfId="0" applyNumberFormat="1" applyFill="1" applyBorder="1" applyAlignment="1">
      <alignment horizontal="center" vertical="center" wrapText="1"/>
    </xf>
    <xf numFmtId="14" fontId="0" fillId="23" borderId="45" xfId="0" applyNumberFormat="1" applyFill="1" applyBorder="1" applyAlignment="1">
      <alignment horizontal="center" vertical="center" wrapText="1"/>
    </xf>
    <xf numFmtId="14" fontId="0" fillId="29" borderId="48" xfId="0" applyNumberFormat="1" applyFill="1" applyBorder="1" applyAlignment="1">
      <alignment horizontal="center" vertical="center" wrapText="1"/>
    </xf>
    <xf numFmtId="14" fontId="0" fillId="5" borderId="45" xfId="0" applyNumberFormat="1" applyFill="1" applyBorder="1" applyAlignment="1">
      <alignment horizontal="left" vertical="center" wrapText="1"/>
    </xf>
    <xf numFmtId="14" fontId="0" fillId="30" borderId="48" xfId="0" applyNumberFormat="1" applyFill="1" applyBorder="1" applyAlignment="1">
      <alignment horizontal="left" vertical="center" wrapText="1"/>
    </xf>
    <xf numFmtId="14" fontId="0" fillId="5" borderId="48" xfId="0" applyNumberFormat="1" applyFill="1" applyBorder="1" applyAlignment="1">
      <alignment horizontal="center" vertical="center" wrapText="1"/>
    </xf>
    <xf numFmtId="14" fontId="0" fillId="25" borderId="45" xfId="0" applyNumberFormat="1" applyFill="1" applyBorder="1" applyAlignment="1">
      <alignment horizontal="left" vertical="top" wrapText="1"/>
    </xf>
    <xf numFmtId="14" fontId="0" fillId="17" borderId="45" xfId="0" quotePrefix="1" applyNumberFormat="1" applyFill="1" applyBorder="1" applyAlignment="1">
      <alignment horizontal="left" vertical="center" wrapText="1"/>
    </xf>
    <xf numFmtId="14" fontId="0" fillId="0" borderId="45" xfId="0" applyNumberFormat="1" applyBorder="1" applyAlignment="1">
      <alignment horizontal="left" vertical="top" wrapText="1"/>
    </xf>
    <xf numFmtId="14" fontId="0" fillId="25" borderId="45" xfId="0" applyNumberFormat="1" applyFill="1" applyBorder="1" applyAlignment="1">
      <alignment horizontal="center" vertical="center" wrapText="1"/>
    </xf>
    <xf numFmtId="14" fontId="0" fillId="17" borderId="45" xfId="0" applyNumberFormat="1" applyFill="1" applyBorder="1" applyAlignment="1">
      <alignment horizontal="left" vertical="top" wrapText="1"/>
    </xf>
    <xf numFmtId="0" fontId="13" fillId="23" borderId="55" xfId="0" applyFont="1" applyFill="1" applyBorder="1" applyAlignment="1">
      <alignment horizontal="center" vertical="center"/>
    </xf>
    <xf numFmtId="0" fontId="13" fillId="23" borderId="57" xfId="0" applyFont="1" applyFill="1" applyBorder="1" applyAlignment="1">
      <alignment horizontal="center" vertical="center"/>
    </xf>
    <xf numFmtId="0" fontId="0" fillId="0" borderId="42" xfId="0" applyBorder="1" applyAlignment="1">
      <alignment horizontal="center" vertical="top"/>
    </xf>
    <xf numFmtId="0" fontId="0" fillId="0" borderId="40" xfId="0" applyBorder="1" applyAlignment="1">
      <alignment horizontal="center" vertical="top"/>
    </xf>
    <xf numFmtId="0" fontId="0" fillId="16" borderId="96" xfId="0" applyFill="1" applyBorder="1" applyAlignment="1">
      <alignment horizontal="center" vertical="top"/>
    </xf>
    <xf numFmtId="0" fontId="0" fillId="0" borderId="0" xfId="0" applyAlignment="1">
      <alignment horizontal="center" vertical="top"/>
    </xf>
    <xf numFmtId="0" fontId="0" fillId="0" borderId="42" xfId="0" applyBorder="1" applyAlignment="1">
      <alignment horizontal="left" vertical="top"/>
    </xf>
    <xf numFmtId="0" fontId="0" fillId="0" borderId="40" xfId="0" applyBorder="1" applyAlignment="1">
      <alignment horizontal="left" vertical="top"/>
    </xf>
    <xf numFmtId="0" fontId="12" fillId="0" borderId="42" xfId="0" applyFont="1" applyBorder="1" applyAlignment="1">
      <alignment horizontal="left"/>
    </xf>
    <xf numFmtId="0" fontId="0" fillId="0" borderId="0" xfId="0" applyAlignment="1">
      <alignment horizontal="left" vertical="top"/>
    </xf>
    <xf numFmtId="0" fontId="0" fillId="0" borderId="0" xfId="0" applyAlignment="1">
      <alignment vertical="top"/>
    </xf>
    <xf numFmtId="0" fontId="12" fillId="0" borderId="42" xfId="0" applyFont="1" applyBorder="1" applyAlignment="1">
      <alignment horizontal="center"/>
    </xf>
    <xf numFmtId="0" fontId="12" fillId="0" borderId="40" xfId="0" applyFont="1" applyBorder="1" applyAlignment="1">
      <alignment horizontal="center"/>
    </xf>
    <xf numFmtId="0" fontId="0" fillId="0" borderId="42" xfId="0" applyBorder="1" applyAlignment="1">
      <alignment horizontal="center"/>
    </xf>
    <xf numFmtId="0" fontId="0" fillId="0" borderId="96" xfId="0" applyBorder="1" applyAlignment="1">
      <alignment horizontal="center"/>
    </xf>
    <xf numFmtId="0" fontId="0" fillId="0" borderId="47" xfId="0" applyBorder="1" applyAlignment="1">
      <alignment horizontal="center"/>
    </xf>
    <xf numFmtId="0" fontId="12" fillId="38" borderId="8" xfId="0" applyFont="1" applyFill="1" applyBorder="1"/>
    <xf numFmtId="0" fontId="12" fillId="38" borderId="60" xfId="0" applyFont="1" applyFill="1" applyBorder="1"/>
    <xf numFmtId="0" fontId="12" fillId="38" borderId="10" xfId="0" applyFont="1" applyFill="1" applyBorder="1"/>
    <xf numFmtId="0" fontId="12" fillId="38" borderId="22" xfId="0" applyFont="1" applyFill="1" applyBorder="1"/>
    <xf numFmtId="0" fontId="13" fillId="23" borderId="12" xfId="0" applyFont="1" applyFill="1" applyBorder="1" applyAlignment="1">
      <alignment horizontal="center" vertical="top" wrapText="1"/>
    </xf>
    <xf numFmtId="0" fontId="12" fillId="0" borderId="14" xfId="0" applyFont="1" applyBorder="1" applyAlignment="1">
      <alignment vertical="top" wrapText="1"/>
    </xf>
    <xf numFmtId="0" fontId="0" fillId="0" borderId="96" xfId="0" applyBorder="1" applyAlignment="1">
      <alignment horizontal="center" vertical="top"/>
    </xf>
    <xf numFmtId="0" fontId="0" fillId="0" borderId="96" xfId="0" applyBorder="1" applyAlignment="1">
      <alignment horizontal="left" vertical="top"/>
    </xf>
    <xf numFmtId="0" fontId="0" fillId="0" borderId="40" xfId="0" applyBorder="1" applyAlignment="1">
      <alignment horizontal="left"/>
    </xf>
    <xf numFmtId="14" fontId="0" fillId="23" borderId="45" xfId="0" applyNumberFormat="1" applyFill="1" applyBorder="1" applyAlignment="1">
      <alignment horizontal="left" vertical="top" wrapText="1"/>
    </xf>
    <xf numFmtId="14" fontId="0" fillId="23" borderId="45" xfId="0" applyNumberFormat="1" applyFill="1" applyBorder="1" applyAlignment="1">
      <alignment horizontal="left" vertical="center" wrapText="1"/>
    </xf>
    <xf numFmtId="0" fontId="0" fillId="0" borderId="96" xfId="0" applyBorder="1" applyAlignment="1">
      <alignment horizontal="left"/>
    </xf>
    <xf numFmtId="0" fontId="0" fillId="0" borderId="47" xfId="0" applyBorder="1" applyAlignment="1">
      <alignment horizontal="center" vertical="top"/>
    </xf>
    <xf numFmtId="0" fontId="0" fillId="0" borderId="47" xfId="0" applyBorder="1" applyAlignment="1">
      <alignment horizontal="left" vertical="top"/>
    </xf>
    <xf numFmtId="0" fontId="21" fillId="28" borderId="84" xfId="0" applyFont="1" applyFill="1" applyBorder="1" applyAlignment="1">
      <alignment horizontal="center"/>
    </xf>
    <xf numFmtId="0" fontId="0" fillId="0" borderId="86" xfId="0" applyBorder="1"/>
    <xf numFmtId="0" fontId="0" fillId="0" borderId="87" xfId="0" applyBorder="1"/>
    <xf numFmtId="0" fontId="0" fillId="0" borderId="87" xfId="0" applyBorder="1" applyAlignment="1">
      <alignment horizontal="center"/>
    </xf>
    <xf numFmtId="0" fontId="12" fillId="38" borderId="66" xfId="0" applyFont="1" applyFill="1" applyBorder="1"/>
    <xf numFmtId="0" fontId="12" fillId="38" borderId="69" xfId="0" applyFont="1" applyFill="1" applyBorder="1"/>
    <xf numFmtId="0" fontId="12" fillId="38" borderId="71" xfId="0" applyFont="1" applyFill="1" applyBorder="1"/>
    <xf numFmtId="0" fontId="12" fillId="38" borderId="64" xfId="0" applyFont="1" applyFill="1" applyBorder="1"/>
    <xf numFmtId="14" fontId="0" fillId="17" borderId="45" xfId="0" quotePrefix="1" applyNumberFormat="1" applyFill="1" applyBorder="1" applyAlignment="1">
      <alignment horizontal="center" vertical="center" wrapText="1"/>
    </xf>
    <xf numFmtId="0" fontId="5" fillId="21" borderId="47" xfId="0" applyFont="1" applyFill="1" applyBorder="1" applyAlignment="1">
      <alignment vertical="center"/>
    </xf>
    <xf numFmtId="0" fontId="0" fillId="16" borderId="40" xfId="0" applyFill="1" applyBorder="1" applyAlignment="1">
      <alignment horizontal="left" vertical="top"/>
    </xf>
    <xf numFmtId="22" fontId="0" fillId="0" borderId="45" xfId="0" applyNumberFormat="1" applyBorder="1" applyAlignment="1">
      <alignment horizontal="center" vertical="center" wrapText="1"/>
    </xf>
    <xf numFmtId="0" fontId="18" fillId="38" borderId="22" xfId="0" applyFont="1" applyFill="1" applyBorder="1"/>
    <xf numFmtId="0" fontId="18" fillId="38" borderId="8" xfId="0" applyFont="1" applyFill="1" applyBorder="1"/>
    <xf numFmtId="0" fontId="18" fillId="38" borderId="10" xfId="0" applyFont="1" applyFill="1" applyBorder="1"/>
    <xf numFmtId="0" fontId="12" fillId="38" borderId="112" xfId="0" applyFont="1" applyFill="1" applyBorder="1"/>
    <xf numFmtId="0" fontId="12" fillId="0" borderId="96" xfId="0" applyFont="1" applyBorder="1" applyAlignment="1">
      <alignment horizontal="center"/>
    </xf>
    <xf numFmtId="0" fontId="0" fillId="0" borderId="41" xfId="0" applyBorder="1" applyAlignment="1">
      <alignment horizontal="left"/>
    </xf>
    <xf numFmtId="0" fontId="0" fillId="0" borderId="42" xfId="0" applyBorder="1" applyAlignment="1">
      <alignment horizontal="left"/>
    </xf>
    <xf numFmtId="0" fontId="0" fillId="0" borderId="44" xfId="0" applyBorder="1" applyAlignment="1">
      <alignment horizontal="left"/>
    </xf>
    <xf numFmtId="0" fontId="0" fillId="0" borderId="107" xfId="0" applyBorder="1" applyAlignment="1">
      <alignment horizontal="left"/>
    </xf>
    <xf numFmtId="0" fontId="0" fillId="16" borderId="0" xfId="0" applyFill="1"/>
    <xf numFmtId="0" fontId="0" fillId="0" borderId="87" xfId="0" applyBorder="1" applyAlignment="1">
      <alignment horizontal="center" vertical="center"/>
    </xf>
    <xf numFmtId="0" fontId="0" fillId="0" borderId="114" xfId="0" applyBorder="1" applyAlignment="1">
      <alignment horizontal="center" vertical="center"/>
    </xf>
    <xf numFmtId="0" fontId="0" fillId="0" borderId="115" xfId="0" applyBorder="1" applyAlignment="1">
      <alignment horizontal="center" vertical="center"/>
    </xf>
    <xf numFmtId="0" fontId="0" fillId="16" borderId="115" xfId="0" applyFill="1" applyBorder="1" applyAlignment="1">
      <alignment horizontal="center" vertical="center"/>
    </xf>
    <xf numFmtId="0" fontId="0" fillId="0" borderId="83" xfId="0" applyBorder="1" applyAlignment="1">
      <alignment horizontal="center" vertical="center"/>
    </xf>
    <xf numFmtId="0" fontId="0" fillId="0" borderId="86" xfId="0" applyBorder="1" applyAlignment="1">
      <alignment horizontal="center" vertical="center"/>
    </xf>
    <xf numFmtId="0" fontId="0" fillId="16" borderId="87" xfId="0" applyFill="1" applyBorder="1" applyAlignment="1">
      <alignment horizontal="center" vertical="center"/>
    </xf>
    <xf numFmtId="0" fontId="0" fillId="0" borderId="88" xfId="0" applyBorder="1" applyAlignment="1">
      <alignment horizontal="center" vertical="center"/>
    </xf>
    <xf numFmtId="0" fontId="15" fillId="0" borderId="44" xfId="0" applyFont="1" applyBorder="1" applyAlignment="1">
      <alignment horizontal="center" vertical="center"/>
    </xf>
    <xf numFmtId="0" fontId="0" fillId="16" borderId="40" xfId="0" applyFill="1" applyBorder="1" applyAlignment="1">
      <alignment horizontal="center" vertical="center"/>
    </xf>
    <xf numFmtId="0" fontId="0" fillId="0" borderId="45" xfId="0" applyBorder="1" applyAlignment="1">
      <alignment horizontal="center" vertical="center"/>
    </xf>
    <xf numFmtId="0" fontId="15" fillId="0" borderId="46" xfId="0" applyFont="1" applyBorder="1" applyAlignment="1">
      <alignment horizontal="center" vertical="center"/>
    </xf>
    <xf numFmtId="0" fontId="0" fillId="0" borderId="47" xfId="0" applyBorder="1" applyAlignment="1">
      <alignment horizontal="center" vertical="center"/>
    </xf>
    <xf numFmtId="0" fontId="15" fillId="0" borderId="0" xfId="0" applyFont="1" applyAlignment="1">
      <alignment horizontal="center" vertical="center"/>
    </xf>
    <xf numFmtId="0" fontId="0" fillId="16" borderId="0" xfId="0" applyFill="1" applyAlignment="1">
      <alignment horizontal="center" vertical="top"/>
    </xf>
    <xf numFmtId="0" fontId="0" fillId="16" borderId="40" xfId="0" quotePrefix="1" applyFill="1" applyBorder="1" applyAlignment="1">
      <alignment horizontal="center" vertical="center"/>
    </xf>
    <xf numFmtId="0" fontId="0" fillId="0" borderId="47" xfId="0" quotePrefix="1" applyBorder="1" applyAlignment="1">
      <alignment horizontal="center" vertical="center"/>
    </xf>
    <xf numFmtId="0" fontId="10" fillId="40" borderId="48" xfId="0" applyFont="1" applyFill="1" applyBorder="1" applyAlignment="1">
      <alignment horizontal="center" vertical="center"/>
    </xf>
    <xf numFmtId="0" fontId="0" fillId="40" borderId="0" xfId="0" applyFill="1"/>
    <xf numFmtId="0" fontId="12" fillId="40" borderId="22" xfId="0" applyFont="1" applyFill="1" applyBorder="1"/>
    <xf numFmtId="0" fontId="12" fillId="40" borderId="8" xfId="0" applyFont="1" applyFill="1" applyBorder="1"/>
    <xf numFmtId="0" fontId="12" fillId="40" borderId="10" xfId="0" applyFont="1" applyFill="1" applyBorder="1"/>
    <xf numFmtId="0" fontId="12" fillId="40" borderId="66" xfId="0" applyFont="1" applyFill="1" applyBorder="1"/>
    <xf numFmtId="0" fontId="12" fillId="40" borderId="71" xfId="0" applyFont="1" applyFill="1" applyBorder="1"/>
    <xf numFmtId="0" fontId="21" fillId="15" borderId="85" xfId="0" applyFont="1" applyFill="1" applyBorder="1" applyAlignment="1">
      <alignment horizontal="center"/>
    </xf>
    <xf numFmtId="14" fontId="0" fillId="17" borderId="40" xfId="0" quotePrefix="1" applyNumberFormat="1" applyFill="1" applyBorder="1" applyAlignment="1">
      <alignment horizontal="left" vertical="center" wrapText="1"/>
    </xf>
    <xf numFmtId="14" fontId="0" fillId="17" borderId="40" xfId="0" applyNumberFormat="1" applyFill="1" applyBorder="1" applyAlignment="1">
      <alignment horizontal="left" vertical="center" wrapText="1"/>
    </xf>
    <xf numFmtId="0" fontId="5" fillId="21" borderId="45" xfId="0" applyFont="1" applyFill="1" applyBorder="1" applyAlignment="1">
      <alignment horizontal="left" vertical="center"/>
    </xf>
    <xf numFmtId="22" fontId="0" fillId="20" borderId="45" xfId="0" applyNumberFormat="1" applyFill="1" applyBorder="1" applyAlignment="1">
      <alignment horizontal="left" vertical="center" wrapText="1"/>
    </xf>
    <xf numFmtId="0" fontId="12" fillId="40" borderId="69" xfId="0" applyFont="1" applyFill="1" applyBorder="1"/>
    <xf numFmtId="0" fontId="12" fillId="40" borderId="117" xfId="0" applyFont="1" applyFill="1" applyBorder="1"/>
    <xf numFmtId="0" fontId="12" fillId="0" borderId="118" xfId="0" applyFont="1" applyBorder="1"/>
    <xf numFmtId="0" fontId="12" fillId="0" borderId="119" xfId="0" applyFont="1" applyBorder="1" applyAlignment="1">
      <alignment vertical="top" wrapText="1"/>
    </xf>
    <xf numFmtId="0" fontId="12" fillId="40" borderId="112" xfId="0" applyFont="1" applyFill="1" applyBorder="1"/>
    <xf numFmtId="0" fontId="0" fillId="0" borderId="47" xfId="0" applyBorder="1" applyAlignment="1">
      <alignment horizontal="left" vertical="top" wrapText="1"/>
    </xf>
    <xf numFmtId="0" fontId="5" fillId="37" borderId="84" xfId="0" applyFont="1" applyFill="1" applyBorder="1"/>
    <xf numFmtId="0" fontId="5" fillId="37" borderId="85" xfId="0" applyFont="1" applyFill="1" applyBorder="1"/>
    <xf numFmtId="0" fontId="5" fillId="37" borderId="105" xfId="0" applyFont="1" applyFill="1" applyBorder="1"/>
    <xf numFmtId="0" fontId="0" fillId="0" borderId="43" xfId="0" applyBorder="1"/>
    <xf numFmtId="0" fontId="0" fillId="0" borderId="45" xfId="0" applyBorder="1"/>
    <xf numFmtId="0" fontId="0" fillId="0" borderId="108" xfId="0" applyBorder="1"/>
    <xf numFmtId="0" fontId="10" fillId="0" borderId="40" xfId="0" quotePrefix="1" applyFont="1" applyBorder="1" applyAlignment="1">
      <alignment horizontal="left" vertical="top" wrapText="1"/>
    </xf>
    <xf numFmtId="0" fontId="0" fillId="0" borderId="47" xfId="0" quotePrefix="1" applyBorder="1" applyAlignment="1">
      <alignment horizontal="left" vertical="top" wrapText="1"/>
    </xf>
    <xf numFmtId="0" fontId="0" fillId="0" borderId="52" xfId="0" applyBorder="1"/>
    <xf numFmtId="0" fontId="0" fillId="0" borderId="123" xfId="0" applyBorder="1"/>
    <xf numFmtId="0" fontId="0" fillId="17" borderId="40" xfId="0" applyFill="1" applyBorder="1" applyAlignment="1">
      <alignment horizontal="center" vertical="top"/>
    </xf>
    <xf numFmtId="0" fontId="0" fillId="17" borderId="40" xfId="0" applyFill="1" applyBorder="1" applyAlignment="1">
      <alignment horizontal="left" vertical="top"/>
    </xf>
    <xf numFmtId="0" fontId="12" fillId="0" borderId="40" xfId="0" applyFont="1" applyBorder="1" applyAlignment="1">
      <alignment horizontal="left"/>
    </xf>
    <xf numFmtId="0" fontId="12" fillId="0" borderId="96" xfId="0" applyFont="1" applyBorder="1" applyAlignment="1">
      <alignment horizontal="left"/>
    </xf>
    <xf numFmtId="0" fontId="12" fillId="0" borderId="96" xfId="0" applyFont="1" applyBorder="1" applyAlignment="1">
      <alignment horizontal="left" vertical="top"/>
    </xf>
    <xf numFmtId="0" fontId="12" fillId="0" borderId="42" xfId="0" applyFont="1" applyBorder="1" applyAlignment="1">
      <alignment horizontal="center" vertical="top"/>
    </xf>
    <xf numFmtId="0" fontId="12" fillId="0" borderId="42" xfId="0" applyFont="1" applyBorder="1" applyAlignment="1">
      <alignment horizontal="left" vertical="top"/>
    </xf>
    <xf numFmtId="0" fontId="12" fillId="0" borderId="40" xfId="0" applyFont="1" applyBorder="1" applyAlignment="1">
      <alignment horizontal="center" vertical="top"/>
    </xf>
    <xf numFmtId="0" fontId="12" fillId="0" borderId="40" xfId="0" applyFont="1" applyBorder="1" applyAlignment="1">
      <alignment horizontal="left" vertical="top"/>
    </xf>
    <xf numFmtId="0" fontId="12" fillId="0" borderId="96" xfId="0" applyFont="1" applyBorder="1" applyAlignment="1">
      <alignment horizontal="center" vertical="top"/>
    </xf>
    <xf numFmtId="0" fontId="0" fillId="0" borderId="46" xfId="0" applyBorder="1" applyAlignment="1">
      <alignment horizontal="left"/>
    </xf>
    <xf numFmtId="0" fontId="0" fillId="25" borderId="123" xfId="0" applyFill="1" applyBorder="1" applyAlignment="1">
      <alignment horizontal="center" vertical="center" wrapText="1"/>
    </xf>
    <xf numFmtId="0" fontId="0" fillId="25" borderId="76" xfId="0" applyFill="1" applyBorder="1" applyAlignment="1">
      <alignment horizontal="center" vertical="center" wrapText="1"/>
    </xf>
    <xf numFmtId="0" fontId="0" fillId="17" borderId="87" xfId="0" applyFill="1" applyBorder="1" applyAlignment="1">
      <alignment horizontal="left" vertical="center" wrapText="1"/>
    </xf>
    <xf numFmtId="14" fontId="10" fillId="0" borderId="45" xfId="0" quotePrefix="1" applyNumberFormat="1" applyFont="1" applyBorder="1" applyAlignment="1">
      <alignment horizontal="left" vertical="top" wrapText="1"/>
    </xf>
    <xf numFmtId="14" fontId="0" fillId="29" borderId="45" xfId="0" applyNumberFormat="1" applyFill="1" applyBorder="1" applyAlignment="1">
      <alignment horizontal="left" vertical="top" wrapText="1"/>
    </xf>
    <xf numFmtId="0" fontId="0" fillId="0" borderId="125" xfId="0" applyBorder="1"/>
    <xf numFmtId="0" fontId="0" fillId="0" borderId="45" xfId="0" applyBorder="1" applyAlignment="1">
      <alignment horizontal="left" vertical="top"/>
    </xf>
    <xf numFmtId="0" fontId="0" fillId="0" borderId="108" xfId="0" applyBorder="1" applyAlignment="1">
      <alignment horizontal="left" vertical="top"/>
    </xf>
    <xf numFmtId="0" fontId="0" fillId="0" borderId="48" xfId="0" applyBorder="1" applyAlignment="1">
      <alignment horizontal="left" vertical="top"/>
    </xf>
    <xf numFmtId="0" fontId="21" fillId="15" borderId="116" xfId="0" applyFont="1" applyFill="1" applyBorder="1" applyAlignment="1">
      <alignment horizontal="center"/>
    </xf>
    <xf numFmtId="0" fontId="0" fillId="0" borderId="45" xfId="0" applyBorder="1" applyAlignment="1">
      <alignment horizontal="center" vertical="top"/>
    </xf>
    <xf numFmtId="0" fontId="12" fillId="0" borderId="47" xfId="0" applyFont="1" applyBorder="1"/>
    <xf numFmtId="0" fontId="12" fillId="0" borderId="87" xfId="0" applyFont="1" applyBorder="1" applyAlignment="1">
      <alignment horizontal="center"/>
    </xf>
    <xf numFmtId="0" fontId="12" fillId="0" borderId="87" xfId="0" applyFont="1" applyBorder="1"/>
    <xf numFmtId="0" fontId="12" fillId="0" borderId="43" xfId="0" applyFont="1" applyBorder="1"/>
    <xf numFmtId="0" fontId="12" fillId="0" borderId="45" xfId="0" applyFont="1" applyBorder="1"/>
    <xf numFmtId="0" fontId="12" fillId="0" borderId="75" xfId="0" applyFont="1" applyBorder="1"/>
    <xf numFmtId="0" fontId="12" fillId="0" borderId="76" xfId="0" applyFont="1" applyBorder="1"/>
    <xf numFmtId="0" fontId="0" fillId="0" borderId="129" xfId="0" applyBorder="1"/>
    <xf numFmtId="0" fontId="12" fillId="0" borderId="75" xfId="0" quotePrefix="1" applyFont="1" applyBorder="1"/>
    <xf numFmtId="0" fontId="0" fillId="0" borderId="76" xfId="0" applyBorder="1" applyAlignment="1">
      <alignment horizontal="left" vertical="top"/>
    </xf>
    <xf numFmtId="0" fontId="12" fillId="0" borderId="76" xfId="0" quotePrefix="1" applyFont="1" applyBorder="1"/>
    <xf numFmtId="0" fontId="12" fillId="0" borderId="88" xfId="0" applyFont="1" applyBorder="1"/>
    <xf numFmtId="0" fontId="12" fillId="0" borderId="130" xfId="0" applyFont="1" applyBorder="1"/>
    <xf numFmtId="0" fontId="12" fillId="0" borderId="130" xfId="0" quotePrefix="1" applyFont="1" applyBorder="1"/>
    <xf numFmtId="0" fontId="5" fillId="23" borderId="113" xfId="0" applyFont="1" applyFill="1" applyBorder="1" applyAlignment="1">
      <alignment horizontal="center" vertical="top"/>
    </xf>
    <xf numFmtId="0" fontId="5" fillId="23" borderId="79" xfId="0" applyFont="1" applyFill="1" applyBorder="1" applyAlignment="1">
      <alignment horizontal="center" vertical="center"/>
    </xf>
    <xf numFmtId="0" fontId="21" fillId="15" borderId="115" xfId="0" applyFont="1" applyFill="1" applyBorder="1" applyAlignment="1">
      <alignment horizontal="center"/>
    </xf>
    <xf numFmtId="0" fontId="21" fillId="37" borderId="115" xfId="0" applyFont="1" applyFill="1" applyBorder="1" applyAlignment="1">
      <alignment horizontal="center" vertical="top"/>
    </xf>
    <xf numFmtId="0" fontId="21" fillId="37" borderId="115" xfId="0" applyFont="1" applyFill="1" applyBorder="1" applyAlignment="1">
      <alignment horizontal="left" vertical="top"/>
    </xf>
    <xf numFmtId="0" fontId="5" fillId="37" borderId="83" xfId="0" applyFont="1" applyFill="1" applyBorder="1" applyAlignment="1">
      <alignment horizontal="left" vertical="top"/>
    </xf>
    <xf numFmtId="0" fontId="5" fillId="23" borderId="127" xfId="0" applyFont="1" applyFill="1" applyBorder="1" applyAlignment="1">
      <alignment horizontal="center"/>
    </xf>
    <xf numFmtId="0" fontId="12" fillId="0" borderId="108" xfId="0" applyFont="1" applyBorder="1"/>
    <xf numFmtId="0" fontId="0" fillId="0" borderId="43" xfId="0" applyBorder="1" applyAlignment="1">
      <alignment horizontal="left" vertical="top"/>
    </xf>
    <xf numFmtId="0" fontId="12" fillId="0" borderId="108" xfId="0" applyFont="1" applyBorder="1" applyAlignment="1">
      <alignment horizontal="left" vertical="top"/>
    </xf>
    <xf numFmtId="0" fontId="0" fillId="17" borderId="45" xfId="0" applyFill="1" applyBorder="1" applyAlignment="1">
      <alignment horizontal="left" vertical="top"/>
    </xf>
    <xf numFmtId="0" fontId="12" fillId="0" borderId="43" xfId="0" applyFont="1" applyBorder="1" applyAlignment="1">
      <alignment horizontal="left"/>
    </xf>
    <xf numFmtId="0" fontId="12" fillId="0" borderId="45" xfId="0" applyFont="1" applyBorder="1" applyAlignment="1">
      <alignment horizontal="left"/>
    </xf>
    <xf numFmtId="0" fontId="12" fillId="0" borderId="108" xfId="0" applyFont="1" applyBorder="1" applyAlignment="1">
      <alignment horizontal="left"/>
    </xf>
    <xf numFmtId="0" fontId="12" fillId="0" borderId="43" xfId="0" applyFont="1" applyBorder="1" applyAlignment="1">
      <alignment horizontal="left" vertical="top"/>
    </xf>
    <xf numFmtId="0" fontId="12" fillId="0" borderId="45" xfId="0" applyFont="1" applyBorder="1" applyAlignment="1">
      <alignment horizontal="left" vertical="top"/>
    </xf>
    <xf numFmtId="0" fontId="0" fillId="0" borderId="77" xfId="0" applyBorder="1"/>
    <xf numFmtId="0" fontId="12" fillId="0" borderId="129" xfId="0" quotePrefix="1" applyFont="1" applyBorder="1"/>
    <xf numFmtId="0" fontId="0" fillId="0" borderId="75" xfId="0" applyBorder="1"/>
    <xf numFmtId="0" fontId="0" fillId="0" borderId="76" xfId="0" applyBorder="1"/>
    <xf numFmtId="0" fontId="0" fillId="0" borderId="129" xfId="0" quotePrefix="1" applyBorder="1"/>
    <xf numFmtId="0" fontId="0" fillId="0" borderId="75" xfId="0" quotePrefix="1" applyBorder="1"/>
    <xf numFmtId="0" fontId="0" fillId="0" borderId="76" xfId="0" quotePrefix="1" applyBorder="1"/>
    <xf numFmtId="0" fontId="12" fillId="0" borderId="129" xfId="0" applyFont="1" applyBorder="1"/>
    <xf numFmtId="0" fontId="12" fillId="0" borderId="75" xfId="0" applyFont="1" applyBorder="1" applyAlignment="1">
      <alignment horizontal="left"/>
    </xf>
    <xf numFmtId="0" fontId="0" fillId="0" borderId="76" xfId="0" quotePrefix="1" applyBorder="1" applyAlignment="1">
      <alignment horizontal="left"/>
    </xf>
    <xf numFmtId="0" fontId="0" fillId="0" borderId="129" xfId="0" quotePrefix="1" applyBorder="1" applyAlignment="1">
      <alignment horizontal="left"/>
    </xf>
    <xf numFmtId="0" fontId="0" fillId="17" borderId="76" xfId="0" applyFill="1" applyBorder="1"/>
    <xf numFmtId="0" fontId="0" fillId="0" borderId="48" xfId="0" applyBorder="1"/>
    <xf numFmtId="0" fontId="0" fillId="0" borderId="88" xfId="0" applyBorder="1"/>
    <xf numFmtId="0" fontId="0" fillId="0" borderId="43" xfId="0" applyBorder="1" applyAlignment="1">
      <alignment horizontal="left"/>
    </xf>
    <xf numFmtId="0" fontId="0" fillId="0" borderId="45" xfId="0" applyBorder="1" applyAlignment="1">
      <alignment horizontal="left"/>
    </xf>
    <xf numFmtId="0" fontId="0" fillId="0" borderId="108" xfId="0" applyBorder="1" applyAlignment="1">
      <alignment horizontal="left"/>
    </xf>
    <xf numFmtId="0" fontId="21" fillId="15" borderId="128" xfId="0" applyFont="1" applyFill="1" applyBorder="1" applyAlignment="1">
      <alignment horizontal="center"/>
    </xf>
    <xf numFmtId="0" fontId="0" fillId="0" borderId="130" xfId="0" applyBorder="1"/>
    <xf numFmtId="0" fontId="0" fillId="0" borderId="75" xfId="0" applyBorder="1" applyAlignment="1">
      <alignment horizontal="left"/>
    </xf>
    <xf numFmtId="0" fontId="0" fillId="0" borderId="76" xfId="0" applyBorder="1" applyAlignment="1">
      <alignment horizontal="left"/>
    </xf>
    <xf numFmtId="0" fontId="0" fillId="0" borderId="129" xfId="0" applyBorder="1" applyAlignment="1">
      <alignment horizontal="left"/>
    </xf>
    <xf numFmtId="0" fontId="21" fillId="28" borderId="114" xfId="0" applyFont="1" applyFill="1" applyBorder="1" applyAlignment="1">
      <alignment horizontal="center"/>
    </xf>
    <xf numFmtId="0" fontId="21" fillId="28" borderId="83" xfId="0" applyFont="1" applyFill="1" applyBorder="1" applyAlignment="1">
      <alignment horizontal="center"/>
    </xf>
    <xf numFmtId="0" fontId="21" fillId="28" borderId="105" xfId="0" applyFont="1" applyFill="1" applyBorder="1" applyAlignment="1">
      <alignment horizontal="center"/>
    </xf>
    <xf numFmtId="0" fontId="0" fillId="0" borderId="43" xfId="0" applyBorder="1" applyAlignment="1">
      <alignment horizontal="center"/>
    </xf>
    <xf numFmtId="0" fontId="0" fillId="0" borderId="45" xfId="0" applyBorder="1" applyAlignment="1">
      <alignment horizontal="center"/>
    </xf>
    <xf numFmtId="0" fontId="0" fillId="0" borderId="48" xfId="0" applyBorder="1" applyAlignment="1">
      <alignment horizontal="center"/>
    </xf>
    <xf numFmtId="0" fontId="0" fillId="0" borderId="96" xfId="0" quotePrefix="1" applyBorder="1"/>
    <xf numFmtId="0" fontId="0" fillId="0" borderId="40" xfId="0" quotePrefix="1" applyBorder="1"/>
    <xf numFmtId="0" fontId="0" fillId="0" borderId="42" xfId="0" quotePrefix="1" applyBorder="1"/>
    <xf numFmtId="0" fontId="0" fillId="0" borderId="108" xfId="0" applyBorder="1" applyAlignment="1">
      <alignment horizontal="center"/>
    </xf>
    <xf numFmtId="0" fontId="25" fillId="0" borderId="40" xfId="0" applyFont="1" applyBorder="1"/>
    <xf numFmtId="0" fontId="25" fillId="0" borderId="44" xfId="0" applyFont="1" applyBorder="1"/>
    <xf numFmtId="0" fontId="25" fillId="0" borderId="45" xfId="0" applyFont="1" applyBorder="1"/>
    <xf numFmtId="0" fontId="25" fillId="0" borderId="46" xfId="0" applyFont="1" applyBorder="1"/>
    <xf numFmtId="0" fontId="25" fillId="0" borderId="47" xfId="0" applyFont="1" applyBorder="1"/>
    <xf numFmtId="0" fontId="24" fillId="41" borderId="114" xfId="0" applyFont="1" applyFill="1" applyBorder="1" applyAlignment="1">
      <alignment horizontal="center" vertical="center"/>
    </xf>
    <xf numFmtId="0" fontId="24" fillId="41" borderId="115" xfId="0" applyFont="1" applyFill="1" applyBorder="1" applyAlignment="1">
      <alignment horizontal="center" vertical="center"/>
    </xf>
    <xf numFmtId="0" fontId="24" fillId="41" borderId="115" xfId="0" applyFont="1" applyFill="1" applyBorder="1" applyAlignment="1">
      <alignment horizontal="center" vertical="center" wrapText="1"/>
    </xf>
    <xf numFmtId="0" fontId="24" fillId="41" borderId="83" xfId="0" applyFont="1" applyFill="1" applyBorder="1" applyAlignment="1">
      <alignment horizontal="center" vertical="center"/>
    </xf>
    <xf numFmtId="0" fontId="25" fillId="0" borderId="86" xfId="0" applyFont="1" applyBorder="1"/>
    <xf numFmtId="0" fontId="25" fillId="0" borderId="87" xfId="0" applyFont="1" applyBorder="1"/>
    <xf numFmtId="0" fontId="25" fillId="17" borderId="40" xfId="0" applyFont="1" applyFill="1" applyBorder="1"/>
    <xf numFmtId="0" fontId="25" fillId="0" borderId="45" xfId="0" applyFont="1" applyBorder="1" applyAlignment="1">
      <alignment wrapText="1"/>
    </xf>
    <xf numFmtId="0" fontId="12" fillId="17" borderId="27" xfId="0" applyFont="1" applyFill="1" applyBorder="1"/>
    <xf numFmtId="0" fontId="12" fillId="39" borderId="66" xfId="0" applyFont="1" applyFill="1" applyBorder="1"/>
    <xf numFmtId="0" fontId="12" fillId="17" borderId="67" xfId="0" applyFont="1" applyFill="1" applyBorder="1"/>
    <xf numFmtId="0" fontId="12" fillId="39" borderId="69" xfId="0" applyFont="1" applyFill="1" applyBorder="1"/>
    <xf numFmtId="0" fontId="12" fillId="39" borderId="71" xfId="0" applyFont="1" applyFill="1" applyBorder="1"/>
    <xf numFmtId="0" fontId="12" fillId="17" borderId="72" xfId="0" applyFont="1" applyFill="1" applyBorder="1"/>
    <xf numFmtId="0" fontId="26" fillId="0" borderId="45" xfId="0" applyFont="1" applyBorder="1" applyAlignment="1">
      <alignment wrapText="1"/>
    </xf>
    <xf numFmtId="0" fontId="26" fillId="0" borderId="45" xfId="0" applyFont="1" applyBorder="1"/>
    <xf numFmtId="0" fontId="0" fillId="0" borderId="77" xfId="0" quotePrefix="1" applyBorder="1"/>
    <xf numFmtId="0" fontId="0" fillId="0" borderId="87" xfId="0" applyBorder="1" applyAlignment="1">
      <alignment horizontal="center" vertical="top"/>
    </xf>
    <xf numFmtId="0" fontId="0" fillId="0" borderId="87" xfId="0" applyBorder="1" applyAlignment="1">
      <alignment horizontal="left" vertical="top"/>
    </xf>
    <xf numFmtId="0" fontId="0" fillId="0" borderId="88" xfId="0" applyBorder="1" applyAlignment="1">
      <alignment horizontal="left" vertical="top"/>
    </xf>
    <xf numFmtId="0" fontId="12" fillId="0" borderId="27" xfId="0" quotePrefix="1" applyFont="1" applyBorder="1"/>
    <xf numFmtId="0" fontId="12" fillId="0" borderId="72" xfId="0" quotePrefix="1" applyFont="1" applyBorder="1"/>
    <xf numFmtId="0" fontId="12" fillId="0" borderId="67" xfId="0" quotePrefix="1" applyFont="1" applyBorder="1"/>
    <xf numFmtId="0" fontId="0" fillId="0" borderId="42" xfId="0" applyBorder="1" applyAlignment="1">
      <alignment horizontal="center" vertical="center"/>
    </xf>
    <xf numFmtId="0" fontId="25" fillId="0" borderId="44" xfId="0" applyFont="1" applyBorder="1" applyAlignment="1">
      <alignment vertical="center"/>
    </xf>
    <xf numFmtId="0" fontId="25" fillId="0" borderId="40" xfId="0" applyFont="1" applyBorder="1" applyAlignment="1">
      <alignment vertical="center" wrapText="1"/>
    </xf>
    <xf numFmtId="0" fontId="25" fillId="0" borderId="40" xfId="0" applyFont="1" applyBorder="1" applyAlignment="1">
      <alignment vertical="center"/>
    </xf>
    <xf numFmtId="0" fontId="25" fillId="0" borderId="45" xfId="0" applyFont="1" applyBorder="1" applyAlignment="1">
      <alignment vertical="center"/>
    </xf>
    <xf numFmtId="0" fontId="25" fillId="0" borderId="87" xfId="0" applyFont="1" applyBorder="1" applyAlignment="1">
      <alignment horizontal="center" vertical="center"/>
    </xf>
    <xf numFmtId="0" fontId="25" fillId="0" borderId="40" xfId="0" applyFont="1" applyBorder="1" applyAlignment="1">
      <alignment horizontal="center" vertical="center"/>
    </xf>
    <xf numFmtId="0" fontId="26" fillId="0" borderId="40" xfId="0" applyFont="1" applyBorder="1" applyAlignment="1">
      <alignment horizontal="center" vertical="center"/>
    </xf>
    <xf numFmtId="0" fontId="25" fillId="0" borderId="47" xfId="0" applyFont="1" applyBorder="1" applyAlignment="1">
      <alignment horizontal="center" vertical="center"/>
    </xf>
    <xf numFmtId="0" fontId="14" fillId="0" borderId="67" xfId="0" applyFont="1" applyBorder="1"/>
    <xf numFmtId="0" fontId="0" fillId="0" borderId="47" xfId="0" applyBorder="1" applyAlignment="1">
      <alignment horizontal="left"/>
    </xf>
    <xf numFmtId="0" fontId="0" fillId="0" borderId="42" xfId="0" applyBorder="1" applyAlignment="1">
      <alignment horizontal="right"/>
    </xf>
    <xf numFmtId="0" fontId="0" fillId="0" borderId="40" xfId="0" applyBorder="1" applyAlignment="1">
      <alignment horizontal="right"/>
    </xf>
    <xf numFmtId="0" fontId="0" fillId="0" borderId="47" xfId="0" applyBorder="1" applyAlignment="1">
      <alignment horizontal="right"/>
    </xf>
    <xf numFmtId="0" fontId="0" fillId="0" borderId="40" xfId="0" quotePrefix="1" applyBorder="1" applyAlignment="1">
      <alignment horizontal="left"/>
    </xf>
    <xf numFmtId="0" fontId="12" fillId="30" borderId="44" xfId="0" applyFont="1" applyFill="1" applyBorder="1" applyAlignment="1">
      <alignment horizontal="center" vertical="center" wrapText="1"/>
    </xf>
    <xf numFmtId="0" fontId="12" fillId="30" borderId="40" xfId="0" applyFont="1" applyFill="1" applyBorder="1" applyAlignment="1">
      <alignment horizontal="center" vertical="center" wrapText="1"/>
    </xf>
    <xf numFmtId="0" fontId="10" fillId="0" borderId="48" xfId="0" applyFont="1" applyBorder="1" applyAlignment="1">
      <alignment horizontal="left" vertical="top" wrapText="1"/>
    </xf>
    <xf numFmtId="0" fontId="0" fillId="0" borderId="37" xfId="0" applyBorder="1" applyAlignment="1">
      <alignment horizontal="left" vertical="top" wrapText="1"/>
    </xf>
    <xf numFmtId="0" fontId="0" fillId="17" borderId="40" xfId="0" applyFill="1" applyBorder="1" applyAlignment="1">
      <alignment horizontal="center" vertical="top" wrapText="1"/>
    </xf>
    <xf numFmtId="0" fontId="0" fillId="17" borderId="45" xfId="0" applyFill="1" applyBorder="1" applyAlignment="1">
      <alignment vertical="center" wrapText="1"/>
    </xf>
    <xf numFmtId="0" fontId="0" fillId="0" borderId="96" xfId="0" applyBorder="1" applyAlignment="1">
      <alignment horizontal="right"/>
    </xf>
    <xf numFmtId="0" fontId="12" fillId="0" borderId="44" xfId="0" applyFont="1" applyBorder="1" applyAlignment="1">
      <alignment horizontal="center" vertical="center" wrapText="1"/>
    </xf>
    <xf numFmtId="0" fontId="12" fillId="0" borderId="40" xfId="0" applyFont="1" applyBorder="1" applyAlignment="1">
      <alignment horizontal="center" vertical="center" wrapText="1"/>
    </xf>
    <xf numFmtId="0" fontId="18" fillId="0" borderId="40" xfId="0" applyFont="1" applyBorder="1" applyAlignment="1">
      <alignment horizontal="left" vertical="top" wrapText="1"/>
    </xf>
    <xf numFmtId="0" fontId="12" fillId="0" borderId="45" xfId="0" applyFont="1" applyBorder="1" applyAlignment="1">
      <alignment horizontal="center" vertical="center" wrapText="1"/>
    </xf>
    <xf numFmtId="0" fontId="18" fillId="0" borderId="42" xfId="0" applyFont="1" applyBorder="1"/>
    <xf numFmtId="0" fontId="18" fillId="0" borderId="40" xfId="0" applyFont="1" applyBorder="1"/>
    <xf numFmtId="0" fontId="18" fillId="0" borderId="96" xfId="0" applyFont="1" applyBorder="1"/>
    <xf numFmtId="0" fontId="0" fillId="25" borderId="44" xfId="0" applyFill="1" applyBorder="1" applyAlignment="1">
      <alignment horizontal="left" vertical="top" wrapText="1"/>
    </xf>
    <xf numFmtId="0" fontId="25" fillId="17" borderId="40" xfId="0" applyFont="1" applyFill="1" applyBorder="1" applyAlignment="1">
      <alignment vertical="center" wrapText="1"/>
    </xf>
    <xf numFmtId="0" fontId="12" fillId="0" borderId="40" xfId="0" applyFont="1" applyBorder="1" applyAlignment="1">
      <alignment vertical="center" wrapText="1"/>
    </xf>
    <xf numFmtId="0" fontId="12" fillId="36" borderId="40" xfId="0" applyFont="1" applyFill="1" applyBorder="1" applyAlignment="1">
      <alignment vertical="center" wrapText="1"/>
    </xf>
    <xf numFmtId="0" fontId="0" fillId="0" borderId="40" xfId="0" applyBorder="1" applyAlignment="1">
      <alignment vertical="center"/>
    </xf>
    <xf numFmtId="0" fontId="12" fillId="0" borderId="41" xfId="0" applyFont="1" applyBorder="1" applyAlignment="1">
      <alignment vertical="center" wrapText="1"/>
    </xf>
    <xf numFmtId="0" fontId="12" fillId="0" borderId="42" xfId="0" applyFont="1" applyBorder="1" applyAlignment="1">
      <alignment vertical="center" wrapText="1"/>
    </xf>
    <xf numFmtId="0" fontId="12" fillId="36" borderId="42" xfId="0" applyFont="1" applyFill="1" applyBorder="1" applyAlignment="1">
      <alignment vertical="center" wrapText="1"/>
    </xf>
    <xf numFmtId="0" fontId="0" fillId="0" borderId="42" xfId="0" applyBorder="1" applyAlignment="1">
      <alignment vertical="center"/>
    </xf>
    <xf numFmtId="0" fontId="0" fillId="0" borderId="43" xfId="0" applyBorder="1" applyAlignment="1">
      <alignment vertical="center"/>
    </xf>
    <xf numFmtId="0" fontId="12" fillId="0" borderId="44" xfId="0" applyFont="1" applyBorder="1" applyAlignment="1">
      <alignment vertical="center" wrapText="1"/>
    </xf>
    <xf numFmtId="0" fontId="0" fillId="0" borderId="45" xfId="0" applyBorder="1" applyAlignment="1">
      <alignment vertical="center"/>
    </xf>
    <xf numFmtId="0" fontId="12" fillId="36" borderId="46" xfId="0" applyFont="1" applyFill="1" applyBorder="1" applyAlignment="1">
      <alignment vertical="center" wrapText="1"/>
    </xf>
    <xf numFmtId="0" fontId="12" fillId="36" borderId="47" xfId="0" applyFont="1" applyFill="1" applyBorder="1" applyAlignment="1">
      <alignment vertical="center" wrapText="1"/>
    </xf>
    <xf numFmtId="0" fontId="0" fillId="0" borderId="47" xfId="0" applyBorder="1" applyAlignment="1">
      <alignment vertical="center"/>
    </xf>
    <xf numFmtId="0" fontId="0" fillId="0" borderId="48" xfId="0" applyBorder="1" applyAlignment="1">
      <alignment vertical="center"/>
    </xf>
    <xf numFmtId="49" fontId="12" fillId="0" borderId="40" xfId="0" applyNumberFormat="1" applyFont="1" applyBorder="1" applyAlignment="1">
      <alignment horizontal="left" vertical="center" wrapText="1"/>
    </xf>
    <xf numFmtId="49" fontId="12" fillId="0" borderId="42" xfId="0" applyNumberFormat="1" applyFont="1" applyBorder="1" applyAlignment="1">
      <alignment horizontal="left" vertical="center" wrapText="1"/>
    </xf>
    <xf numFmtId="49" fontId="12" fillId="36" borderId="47" xfId="0" applyNumberFormat="1" applyFont="1" applyFill="1" applyBorder="1" applyAlignment="1">
      <alignment horizontal="left" vertical="center" wrapText="1"/>
    </xf>
    <xf numFmtId="0" fontId="0" fillId="29" borderId="40" xfId="0" applyFill="1" applyBorder="1" applyAlignment="1">
      <alignment horizontal="center" vertical="center" wrapText="1"/>
    </xf>
    <xf numFmtId="0" fontId="12" fillId="29" borderId="40" xfId="0" applyFont="1" applyFill="1" applyBorder="1" applyAlignment="1">
      <alignment horizontal="left" vertical="top" wrapText="1"/>
    </xf>
    <xf numFmtId="0" fontId="13" fillId="0" borderId="45" xfId="0" quotePrefix="1" applyFont="1" applyBorder="1" applyAlignment="1">
      <alignment horizontal="left" vertical="center" wrapText="1"/>
    </xf>
    <xf numFmtId="0" fontId="12" fillId="30" borderId="40" xfId="0" applyFont="1" applyFill="1" applyBorder="1" applyAlignment="1">
      <alignment horizontal="left" vertical="top" wrapText="1"/>
    </xf>
    <xf numFmtId="0" fontId="0" fillId="38" borderId="40" xfId="0" applyFill="1" applyBorder="1"/>
    <xf numFmtId="0" fontId="0" fillId="38" borderId="76" xfId="0" applyFill="1" applyBorder="1"/>
    <xf numFmtId="0" fontId="0" fillId="17" borderId="41" xfId="0" applyFill="1" applyBorder="1"/>
    <xf numFmtId="0" fontId="0" fillId="17" borderId="42" xfId="0" applyFill="1" applyBorder="1"/>
    <xf numFmtId="0" fontId="0" fillId="17" borderId="85" xfId="0" applyFill="1" applyBorder="1"/>
    <xf numFmtId="0" fontId="0" fillId="17" borderId="52" xfId="0" applyFill="1" applyBorder="1"/>
    <xf numFmtId="0" fontId="0" fillId="17" borderId="44" xfId="0" applyFill="1" applyBorder="1"/>
    <xf numFmtId="0" fontId="0" fillId="17" borderId="40" xfId="0" applyFill="1" applyBorder="1"/>
    <xf numFmtId="0" fontId="0" fillId="17" borderId="123" xfId="0" applyFill="1" applyBorder="1"/>
    <xf numFmtId="0" fontId="0" fillId="17" borderId="107" xfId="0" applyFill="1" applyBorder="1"/>
    <xf numFmtId="0" fontId="0" fillId="17" borderId="96" xfId="0" applyFill="1" applyBorder="1"/>
    <xf numFmtId="0" fontId="0" fillId="17" borderId="87" xfId="0" applyFill="1" applyBorder="1"/>
    <xf numFmtId="0" fontId="0" fillId="17" borderId="125" xfId="0" applyFill="1" applyBorder="1"/>
    <xf numFmtId="0" fontId="0" fillId="14" borderId="44" xfId="0" applyFill="1" applyBorder="1"/>
    <xf numFmtId="0" fontId="0" fillId="14" borderId="40" xfId="0" applyFill="1" applyBorder="1"/>
    <xf numFmtId="0" fontId="0" fillId="14" borderId="123" xfId="0" applyFill="1" applyBorder="1"/>
    <xf numFmtId="0" fontId="0" fillId="14" borderId="76" xfId="0" applyFill="1" applyBorder="1"/>
    <xf numFmtId="0" fontId="0" fillId="14" borderId="0" xfId="0" applyFill="1"/>
    <xf numFmtId="0" fontId="17" fillId="2" borderId="97" xfId="0" applyFont="1" applyFill="1" applyBorder="1" applyAlignment="1">
      <alignment horizontal="center" vertical="center"/>
    </xf>
    <xf numFmtId="0" fontId="17" fillId="2" borderId="51" xfId="0" applyFont="1" applyFill="1" applyBorder="1" applyAlignment="1">
      <alignment horizontal="center" vertical="center"/>
    </xf>
    <xf numFmtId="0" fontId="17" fillId="2" borderId="102" xfId="0" applyFont="1" applyFill="1" applyBorder="1" applyAlignment="1">
      <alignment horizontal="center" vertical="center"/>
    </xf>
    <xf numFmtId="0" fontId="17" fillId="2" borderId="89" xfId="0" applyFont="1" applyFill="1" applyBorder="1" applyAlignment="1">
      <alignment horizontal="center" vertical="center"/>
    </xf>
    <xf numFmtId="0" fontId="17" fillId="2" borderId="90" xfId="0" applyFont="1" applyFill="1" applyBorder="1" applyAlignment="1">
      <alignment horizontal="center" vertical="center"/>
    </xf>
    <xf numFmtId="0" fontId="17" fillId="2" borderId="91" xfId="0" applyFont="1" applyFill="1" applyBorder="1" applyAlignment="1">
      <alignment horizontal="center" vertical="center"/>
    </xf>
    <xf numFmtId="0" fontId="2" fillId="30" borderId="42" xfId="0" applyFont="1" applyFill="1" applyBorder="1" applyAlignment="1">
      <alignment horizontal="center" vertical="center" wrapText="1"/>
    </xf>
    <xf numFmtId="0" fontId="2" fillId="30" borderId="43" xfId="0" applyFont="1" applyFill="1" applyBorder="1" applyAlignment="1">
      <alignment horizontal="center" vertical="center" wrapText="1"/>
    </xf>
    <xf numFmtId="0" fontId="2" fillId="30" borderId="75" xfId="0" applyFont="1" applyFill="1" applyBorder="1" applyAlignment="1">
      <alignment horizontal="center" vertical="center" wrapText="1"/>
    </xf>
    <xf numFmtId="0" fontId="2" fillId="30" borderId="52" xfId="0" applyFont="1" applyFill="1" applyBorder="1" applyAlignment="1">
      <alignment horizontal="center" vertical="center" wrapText="1"/>
    </xf>
    <xf numFmtId="0" fontId="2" fillId="30" borderId="50" xfId="0" applyFont="1" applyFill="1" applyBorder="1" applyAlignment="1">
      <alignment horizontal="center" vertical="center" wrapText="1"/>
    </xf>
    <xf numFmtId="0" fontId="0" fillId="0" borderId="9" xfId="0" applyBorder="1" applyAlignment="1">
      <alignment horizontal="left" vertical="center"/>
    </xf>
    <xf numFmtId="0" fontId="0" fillId="0" borderId="10" xfId="0" applyBorder="1" applyAlignment="1">
      <alignment horizontal="left" vertical="center"/>
    </xf>
    <xf numFmtId="0" fontId="0" fillId="0" borderId="8" xfId="0" applyBorder="1" applyAlignment="1">
      <alignment horizontal="left" vertical="center"/>
    </xf>
    <xf numFmtId="0" fontId="2" fillId="30" borderId="89" xfId="0" applyFont="1" applyFill="1" applyBorder="1" applyAlignment="1">
      <alignment horizontal="center" vertical="center" wrapText="1"/>
    </xf>
    <xf numFmtId="0" fontId="2" fillId="30" borderId="91" xfId="0" applyFont="1" applyFill="1" applyBorder="1" applyAlignment="1">
      <alignment horizontal="center" vertical="center" wrapText="1"/>
    </xf>
    <xf numFmtId="0" fontId="2" fillId="30" borderId="104" xfId="0" applyFont="1" applyFill="1" applyBorder="1" applyAlignment="1">
      <alignment horizontal="center" vertical="center" wrapText="1"/>
    </xf>
    <xf numFmtId="0" fontId="22" fillId="0" borderId="97" xfId="0" applyFont="1" applyBorder="1" applyAlignment="1">
      <alignment horizontal="left" vertical="top" wrapText="1"/>
    </xf>
    <xf numFmtId="0" fontId="2" fillId="0" borderId="51" xfId="0" applyFont="1" applyBorder="1" applyAlignment="1">
      <alignment horizontal="left" vertical="top" wrapText="1"/>
    </xf>
    <xf numFmtId="0" fontId="2" fillId="0" borderId="102" xfId="0" applyFont="1" applyBorder="1" applyAlignment="1">
      <alignment horizontal="left" vertical="top" wrapText="1"/>
    </xf>
    <xf numFmtId="0" fontId="2" fillId="0" borderId="131" xfId="0" applyFont="1" applyBorder="1" applyAlignment="1">
      <alignment horizontal="left" vertical="top" wrapText="1"/>
    </xf>
    <xf numFmtId="0" fontId="2" fillId="0" borderId="0" xfId="0" applyFont="1" applyAlignment="1">
      <alignment horizontal="left" vertical="top" wrapText="1"/>
    </xf>
    <xf numFmtId="0" fontId="2" fillId="0" borderId="79" xfId="0" applyFont="1" applyBorder="1" applyAlignment="1">
      <alignment horizontal="left" vertical="top" wrapText="1"/>
    </xf>
    <xf numFmtId="0" fontId="2" fillId="0" borderId="132" xfId="0" applyFont="1" applyBorder="1" applyAlignment="1">
      <alignment horizontal="left" vertical="top" wrapText="1"/>
    </xf>
    <xf numFmtId="0" fontId="2" fillId="0" borderId="53" xfId="0" applyFont="1" applyBorder="1" applyAlignment="1">
      <alignment horizontal="left" vertical="top" wrapText="1"/>
    </xf>
    <xf numFmtId="0" fontId="2" fillId="0" borderId="106" xfId="0" applyFont="1" applyBorder="1" applyAlignment="1">
      <alignment horizontal="left" vertical="top" wrapText="1"/>
    </xf>
    <xf numFmtId="0" fontId="0" fillId="20" borderId="40" xfId="0" applyFill="1" applyBorder="1" applyAlignment="1">
      <alignment horizontal="center" vertical="center" wrapText="1"/>
    </xf>
    <xf numFmtId="0" fontId="0" fillId="17" borderId="40" xfId="0" applyFill="1" applyBorder="1" applyAlignment="1">
      <alignment horizontal="center" vertical="center" wrapText="1"/>
    </xf>
    <xf numFmtId="0" fontId="0" fillId="20" borderId="47" xfId="0" applyFill="1" applyBorder="1" applyAlignment="1">
      <alignment horizontal="center" vertical="center" wrapText="1"/>
    </xf>
    <xf numFmtId="0" fontId="0" fillId="0" borderId="40" xfId="0" applyBorder="1" applyAlignment="1">
      <alignment horizontal="left" vertical="center" wrapText="1"/>
    </xf>
    <xf numFmtId="0" fontId="0" fillId="17" borderId="18" xfId="0" applyFill="1" applyBorder="1" applyAlignment="1">
      <alignment horizontal="left" vertical="center" wrapText="1"/>
    </xf>
    <xf numFmtId="0" fontId="0" fillId="17" borderId="19" xfId="0" applyFill="1" applyBorder="1" applyAlignment="1">
      <alignment horizontal="left" vertical="center" wrapText="1"/>
    </xf>
    <xf numFmtId="0" fontId="0" fillId="17" borderId="20" xfId="0" applyFill="1" applyBorder="1" applyAlignment="1">
      <alignment horizontal="left" vertical="center" wrapText="1"/>
    </xf>
    <xf numFmtId="0" fontId="0" fillId="13" borderId="45" xfId="0" applyFill="1" applyBorder="1" applyAlignment="1">
      <alignment horizontal="left" vertical="center" wrapText="1"/>
    </xf>
    <xf numFmtId="0" fontId="0" fillId="13" borderId="48" xfId="0" applyFill="1" applyBorder="1" applyAlignment="1">
      <alignment horizontal="left" vertical="center" wrapText="1"/>
    </xf>
    <xf numFmtId="0" fontId="0" fillId="13" borderId="40" xfId="0" applyFill="1" applyBorder="1" applyAlignment="1">
      <alignment horizontal="left" vertical="center" wrapText="1"/>
    </xf>
    <xf numFmtId="0" fontId="0" fillId="13" borderId="47" xfId="0" applyFill="1" applyBorder="1" applyAlignment="1">
      <alignment horizontal="left" vertical="center" wrapText="1"/>
    </xf>
    <xf numFmtId="0" fontId="0" fillId="0" borderId="45" xfId="0" applyBorder="1" applyAlignment="1">
      <alignment horizontal="left" vertical="center" wrapText="1"/>
    </xf>
    <xf numFmtId="0" fontId="0" fillId="13" borderId="40" xfId="0" applyFill="1" applyBorder="1" applyAlignment="1">
      <alignment vertical="center" wrapText="1"/>
    </xf>
    <xf numFmtId="0" fontId="0" fillId="13" borderId="47" xfId="0" applyFill="1" applyBorder="1" applyAlignment="1">
      <alignment vertical="center" wrapText="1"/>
    </xf>
    <xf numFmtId="0" fontId="0" fillId="13" borderId="44" xfId="0" applyFill="1" applyBorder="1" applyAlignment="1">
      <alignment horizontal="left" vertical="center" wrapText="1"/>
    </xf>
    <xf numFmtId="0" fontId="0" fillId="13" borderId="46" xfId="0" applyFill="1" applyBorder="1" applyAlignment="1">
      <alignment horizontal="left" vertical="center" wrapText="1"/>
    </xf>
    <xf numFmtId="0" fontId="0" fillId="0" borderId="40" xfId="0" applyBorder="1" applyAlignment="1">
      <alignment vertical="center" wrapText="1"/>
    </xf>
    <xf numFmtId="0" fontId="0" fillId="0" borderId="44" xfId="0" applyBorder="1" applyAlignment="1">
      <alignment horizontal="left" vertical="center" wrapText="1"/>
    </xf>
    <xf numFmtId="14" fontId="0" fillId="20" borderId="45" xfId="0" applyNumberFormat="1" applyFill="1" applyBorder="1" applyAlignment="1">
      <alignment horizontal="left" vertical="center" wrapText="1"/>
    </xf>
    <xf numFmtId="0" fontId="0" fillId="20" borderId="45" xfId="0" applyFill="1" applyBorder="1" applyAlignment="1">
      <alignment horizontal="left" vertical="center" wrapText="1"/>
    </xf>
    <xf numFmtId="14" fontId="0" fillId="20" borderId="45" xfId="0" applyNumberFormat="1" applyFill="1" applyBorder="1" applyAlignment="1">
      <alignment horizontal="left" vertical="top" wrapText="1"/>
    </xf>
    <xf numFmtId="0" fontId="0" fillId="20" borderId="45" xfId="0" applyFill="1" applyBorder="1" applyAlignment="1">
      <alignment horizontal="left" vertical="top" wrapText="1"/>
    </xf>
    <xf numFmtId="14" fontId="7" fillId="0" borderId="45" xfId="2" quotePrefix="1" applyNumberFormat="1" applyFont="1" applyFill="1" applyBorder="1" applyAlignment="1">
      <alignment horizontal="left" vertical="center" wrapText="1"/>
    </xf>
    <xf numFmtId="0" fontId="7" fillId="0" borderId="45" xfId="2" quotePrefix="1" applyFont="1" applyFill="1" applyBorder="1" applyAlignment="1">
      <alignment horizontal="left" vertical="center" wrapText="1"/>
    </xf>
    <xf numFmtId="14" fontId="0" fillId="20" borderId="108" xfId="0" applyNumberFormat="1" applyFill="1" applyBorder="1" applyAlignment="1">
      <alignment horizontal="left" vertical="center" wrapText="1"/>
    </xf>
    <xf numFmtId="14" fontId="0" fillId="20" borderId="110" xfId="0" applyNumberFormat="1" applyFill="1" applyBorder="1" applyAlignment="1">
      <alignment horizontal="left" vertical="center" wrapText="1"/>
    </xf>
    <xf numFmtId="14" fontId="0" fillId="20" borderId="88" xfId="0" applyNumberFormat="1" applyFill="1" applyBorder="1" applyAlignment="1">
      <alignment horizontal="left" vertical="center" wrapText="1"/>
    </xf>
    <xf numFmtId="0" fontId="0" fillId="20" borderId="56" xfId="0" applyFill="1" applyBorder="1" applyAlignment="1">
      <alignment horizontal="center" vertical="center" wrapText="1"/>
    </xf>
    <xf numFmtId="0" fontId="0" fillId="20" borderId="74" xfId="0" applyFill="1" applyBorder="1" applyAlignment="1">
      <alignment horizontal="center" vertical="center" wrapText="1"/>
    </xf>
    <xf numFmtId="0" fontId="0" fillId="20" borderId="44" xfId="0" applyFill="1" applyBorder="1" applyAlignment="1">
      <alignment horizontal="center" vertical="center" wrapText="1"/>
    </xf>
    <xf numFmtId="0" fontId="0" fillId="20" borderId="46" xfId="0" applyFill="1" applyBorder="1" applyAlignment="1">
      <alignment horizontal="center" vertical="center" wrapText="1"/>
    </xf>
    <xf numFmtId="0" fontId="0" fillId="3" borderId="45" xfId="0" applyFill="1" applyBorder="1" applyAlignment="1">
      <alignment horizontal="left" vertical="center" wrapText="1"/>
    </xf>
    <xf numFmtId="0" fontId="0" fillId="3" borderId="17" xfId="0" applyFill="1" applyBorder="1" applyAlignment="1">
      <alignment horizontal="left" vertical="center" wrapText="1"/>
    </xf>
    <xf numFmtId="0" fontId="0" fillId="17" borderId="44" xfId="0" quotePrefix="1" applyFill="1" applyBorder="1" applyAlignment="1">
      <alignment horizontal="center" vertical="center" wrapText="1"/>
    </xf>
    <xf numFmtId="0" fontId="0" fillId="17" borderId="44" xfId="0" applyFill="1" applyBorder="1" applyAlignment="1">
      <alignment horizontal="center" vertical="center" wrapText="1"/>
    </xf>
    <xf numFmtId="0" fontId="0" fillId="0" borderId="17" xfId="0" applyBorder="1" applyAlignment="1">
      <alignment horizontal="left" vertical="center" wrapText="1"/>
    </xf>
    <xf numFmtId="0" fontId="7" fillId="0" borderId="40" xfId="2" quotePrefix="1" applyFont="1" applyFill="1" applyBorder="1" applyAlignment="1">
      <alignment horizontal="center" vertical="center" wrapText="1"/>
    </xf>
    <xf numFmtId="0" fontId="0" fillId="10" borderId="44" xfId="0" applyFill="1" applyBorder="1" applyAlignment="1">
      <alignment horizontal="center" vertical="center" wrapText="1"/>
    </xf>
    <xf numFmtId="0" fontId="0" fillId="17" borderId="46" xfId="0" applyFill="1" applyBorder="1" applyAlignment="1">
      <alignment horizontal="center" vertical="center" wrapText="1"/>
    </xf>
    <xf numFmtId="0" fontId="0" fillId="3" borderId="48" xfId="0" applyFill="1" applyBorder="1" applyAlignment="1">
      <alignment horizontal="left" vertical="center" wrapText="1"/>
    </xf>
    <xf numFmtId="0" fontId="0" fillId="20" borderId="40" xfId="0" applyFill="1" applyBorder="1" applyAlignment="1">
      <alignment horizontal="left" vertical="center" wrapText="1"/>
    </xf>
    <xf numFmtId="0" fontId="0" fillId="20" borderId="47" xfId="0" applyFill="1" applyBorder="1" applyAlignment="1">
      <alignment horizontal="left" vertical="center" wrapText="1"/>
    </xf>
    <xf numFmtId="0" fontId="0" fillId="10" borderId="87" xfId="0" applyFill="1" applyBorder="1" applyAlignment="1">
      <alignment horizontal="left" vertical="center" wrapText="1"/>
    </xf>
    <xf numFmtId="0" fontId="0" fillId="10" borderId="40" xfId="0" applyFill="1" applyBorder="1" applyAlignment="1">
      <alignment horizontal="left" vertical="center" wrapText="1"/>
    </xf>
    <xf numFmtId="0" fontId="0" fillId="10" borderId="47" xfId="0" applyFill="1" applyBorder="1" applyAlignment="1">
      <alignment horizontal="left" vertical="center" wrapText="1"/>
    </xf>
    <xf numFmtId="0" fontId="0" fillId="10" borderId="88" xfId="0" applyFill="1" applyBorder="1" applyAlignment="1">
      <alignment horizontal="left" vertical="center" wrapText="1"/>
    </xf>
    <xf numFmtId="0" fontId="0" fillId="10" borderId="45" xfId="0" applyFill="1" applyBorder="1" applyAlignment="1">
      <alignment horizontal="left" vertical="center" wrapText="1"/>
    </xf>
    <xf numFmtId="0" fontId="0" fillId="10" borderId="48" xfId="0" applyFill="1" applyBorder="1" applyAlignment="1">
      <alignment horizontal="left" vertical="center" wrapText="1"/>
    </xf>
    <xf numFmtId="0" fontId="0" fillId="17" borderId="56" xfId="0" applyFill="1" applyBorder="1" applyAlignment="1">
      <alignment horizontal="center" vertical="center" wrapText="1"/>
    </xf>
    <xf numFmtId="0" fontId="0" fillId="17" borderId="40" xfId="0" applyFill="1" applyBorder="1" applyAlignment="1">
      <alignment horizontal="left" vertical="center" wrapText="1"/>
    </xf>
    <xf numFmtId="0" fontId="0" fillId="17" borderId="47" xfId="0" applyFill="1" applyBorder="1" applyAlignment="1">
      <alignment horizontal="left" vertical="center" wrapText="1"/>
    </xf>
    <xf numFmtId="0" fontId="0" fillId="3" borderId="40" xfId="0" applyFill="1" applyBorder="1" applyAlignment="1">
      <alignment horizontal="center" vertical="center" wrapText="1"/>
    </xf>
    <xf numFmtId="0" fontId="0" fillId="3" borderId="44" xfId="0" applyFill="1" applyBorder="1" applyAlignment="1">
      <alignment horizontal="center" vertical="center" wrapText="1"/>
    </xf>
    <xf numFmtId="0" fontId="0" fillId="3" borderId="16" xfId="0" applyFill="1" applyBorder="1" applyAlignment="1">
      <alignment horizontal="left" vertical="center" wrapText="1"/>
    </xf>
    <xf numFmtId="0" fontId="0" fillId="3" borderId="46" xfId="0" applyFill="1" applyBorder="1" applyAlignment="1">
      <alignment horizontal="center" vertical="center" wrapText="1"/>
    </xf>
    <xf numFmtId="0" fontId="0" fillId="3" borderId="47" xfId="0" applyFill="1" applyBorder="1" applyAlignment="1">
      <alignment horizontal="center" vertical="center" wrapText="1"/>
    </xf>
    <xf numFmtId="0" fontId="0" fillId="3" borderId="21" xfId="0" applyFill="1" applyBorder="1" applyAlignment="1">
      <alignment horizontal="left" vertical="center" wrapText="1"/>
    </xf>
    <xf numFmtId="0" fontId="0" fillId="0" borderId="44" xfId="0" applyBorder="1" applyAlignment="1">
      <alignment horizontal="center" vertical="center" wrapText="1"/>
    </xf>
    <xf numFmtId="0" fontId="0" fillId="0" borderId="40" xfId="0" applyBorder="1" applyAlignment="1">
      <alignment horizontal="center" vertical="center" wrapText="1"/>
    </xf>
    <xf numFmtId="0" fontId="0" fillId="10" borderId="86" xfId="0" applyFill="1" applyBorder="1" applyAlignment="1">
      <alignment horizontal="center" vertical="center" wrapText="1"/>
    </xf>
    <xf numFmtId="0" fontId="0" fillId="10" borderId="46" xfId="0" applyFill="1" applyBorder="1" applyAlignment="1">
      <alignment horizontal="center" vertical="center" wrapText="1"/>
    </xf>
    <xf numFmtId="0" fontId="0" fillId="17" borderId="45" xfId="0" applyFill="1" applyBorder="1" applyAlignment="1">
      <alignment horizontal="left" vertical="center" wrapText="1"/>
    </xf>
    <xf numFmtId="0" fontId="0" fillId="17" borderId="48" xfId="0" applyFill="1" applyBorder="1" applyAlignment="1">
      <alignment horizontal="left" vertical="center" wrapText="1"/>
    </xf>
    <xf numFmtId="0" fontId="11" fillId="22" borderId="52" xfId="0" applyFont="1" applyFill="1" applyBorder="1" applyAlignment="1">
      <alignment horizontal="center" vertical="center"/>
    </xf>
    <xf numFmtId="0" fontId="11" fillId="22" borderId="49" xfId="0" applyFont="1" applyFill="1" applyBorder="1" applyAlignment="1">
      <alignment horizontal="center" vertical="center"/>
    </xf>
    <xf numFmtId="0" fontId="11" fillId="22" borderId="50" xfId="0" applyFont="1" applyFill="1" applyBorder="1" applyAlignment="1">
      <alignment horizontal="center" vertical="center"/>
    </xf>
    <xf numFmtId="0" fontId="0" fillId="31" borderId="56" xfId="0" quotePrefix="1" applyFill="1" applyBorder="1" applyAlignment="1">
      <alignment horizontal="center" vertical="center" wrapText="1"/>
    </xf>
    <xf numFmtId="0" fontId="7" fillId="17" borderId="56" xfId="2" quotePrefix="1" applyFont="1" applyFill="1" applyBorder="1" applyAlignment="1">
      <alignment horizontal="center" vertical="center" wrapText="1"/>
    </xf>
    <xf numFmtId="0" fontId="0" fillId="5" borderId="44" xfId="0" applyFill="1" applyBorder="1" applyAlignment="1">
      <alignment horizontal="left" vertical="center" wrapText="1"/>
    </xf>
    <xf numFmtId="0" fontId="0" fillId="0" borderId="45" xfId="0" applyBorder="1" applyAlignment="1">
      <alignment horizontal="center" vertical="center" wrapText="1"/>
    </xf>
    <xf numFmtId="0" fontId="0" fillId="5" borderId="40" xfId="0" applyFill="1" applyBorder="1" applyAlignment="1">
      <alignment vertical="center" wrapText="1"/>
    </xf>
    <xf numFmtId="0" fontId="0" fillId="13" borderId="45" xfId="0" applyFill="1" applyBorder="1" applyAlignment="1">
      <alignment horizontal="center" vertical="center" wrapText="1"/>
    </xf>
    <xf numFmtId="0" fontId="0" fillId="10" borderId="40" xfId="0" quotePrefix="1" applyFill="1" applyBorder="1" applyAlignment="1">
      <alignment horizontal="center" vertical="center" wrapText="1"/>
    </xf>
    <xf numFmtId="0" fontId="0" fillId="10" borderId="40" xfId="0" applyFill="1" applyBorder="1" applyAlignment="1">
      <alignment horizontal="center" vertical="center" wrapText="1"/>
    </xf>
    <xf numFmtId="0" fontId="0" fillId="10" borderId="45" xfId="0" quotePrefix="1" applyFill="1" applyBorder="1" applyAlignment="1">
      <alignment horizontal="center" vertical="center" wrapText="1"/>
    </xf>
    <xf numFmtId="0" fontId="0" fillId="10" borderId="45" xfId="0" applyFill="1" applyBorder="1" applyAlignment="1">
      <alignment horizontal="center" vertical="center" wrapText="1"/>
    </xf>
    <xf numFmtId="0" fontId="0" fillId="17" borderId="40" xfId="0" quotePrefix="1" applyFill="1" applyBorder="1" applyAlignment="1">
      <alignment horizontal="center" vertical="center" wrapText="1"/>
    </xf>
    <xf numFmtId="0" fontId="0" fillId="17" borderId="45" xfId="0" quotePrefix="1" applyFill="1" applyBorder="1" applyAlignment="1">
      <alignment horizontal="center" vertical="center" wrapText="1"/>
    </xf>
    <xf numFmtId="0" fontId="0" fillId="17" borderId="45" xfId="0" applyFill="1" applyBorder="1" applyAlignment="1">
      <alignment horizontal="center" vertical="center" wrapText="1"/>
    </xf>
    <xf numFmtId="0" fontId="0" fillId="20" borderId="40" xfId="0" applyFill="1" applyBorder="1" applyAlignment="1">
      <alignment horizontal="left" vertical="top" wrapText="1"/>
    </xf>
    <xf numFmtId="0" fontId="7" fillId="0" borderId="40" xfId="2" quotePrefix="1" applyFont="1" applyFill="1" applyBorder="1" applyAlignment="1">
      <alignment horizontal="left" vertical="top" wrapText="1"/>
    </xf>
    <xf numFmtId="14" fontId="0" fillId="17" borderId="108" xfId="0" applyNumberFormat="1" applyFill="1" applyBorder="1" applyAlignment="1">
      <alignment horizontal="left" vertical="center"/>
    </xf>
    <xf numFmtId="14" fontId="0" fillId="17" borderId="110" xfId="0" applyNumberFormat="1" applyFill="1" applyBorder="1" applyAlignment="1">
      <alignment horizontal="left" vertical="center"/>
    </xf>
    <xf numFmtId="14" fontId="0" fillId="17" borderId="88" xfId="0" applyNumberFormat="1" applyFill="1" applyBorder="1" applyAlignment="1">
      <alignment horizontal="left" vertical="center"/>
    </xf>
    <xf numFmtId="14" fontId="0" fillId="20" borderId="113" xfId="0" applyNumberFormat="1" applyFill="1" applyBorder="1" applyAlignment="1">
      <alignment horizontal="left" vertical="center" wrapText="1"/>
    </xf>
    <xf numFmtId="0" fontId="11" fillId="21" borderId="41" xfId="0" applyFont="1" applyFill="1" applyBorder="1" applyAlignment="1">
      <alignment horizontal="center" vertical="center"/>
    </xf>
    <xf numFmtId="0" fontId="11" fillId="21" borderId="42" xfId="0" applyFont="1" applyFill="1" applyBorder="1" applyAlignment="1">
      <alignment horizontal="center" vertical="center"/>
    </xf>
    <xf numFmtId="0" fontId="11" fillId="21" borderId="43" xfId="0" applyFont="1" applyFill="1" applyBorder="1" applyAlignment="1">
      <alignment horizontal="center" vertical="center"/>
    </xf>
    <xf numFmtId="0" fontId="0" fillId="10" borderId="44" xfId="0" quotePrefix="1" applyFill="1" applyBorder="1" applyAlignment="1">
      <alignment horizontal="center" vertical="center" wrapText="1"/>
    </xf>
    <xf numFmtId="0" fontId="7" fillId="0" borderId="44" xfId="2" quotePrefix="1" applyFont="1" applyFill="1" applyBorder="1" applyAlignment="1">
      <alignment horizontal="center" vertical="center" wrapText="1"/>
    </xf>
    <xf numFmtId="0" fontId="11" fillId="32" borderId="41" xfId="0" applyFont="1" applyFill="1" applyBorder="1" applyAlignment="1">
      <alignment horizontal="center" vertical="center"/>
    </xf>
    <xf numFmtId="0" fontId="11" fillId="32" borderId="42" xfId="0" applyFont="1" applyFill="1" applyBorder="1" applyAlignment="1">
      <alignment horizontal="center" vertical="center"/>
    </xf>
    <xf numFmtId="0" fontId="11" fillId="32" borderId="43" xfId="0" applyFont="1" applyFill="1" applyBorder="1" applyAlignment="1">
      <alignment horizontal="center" vertical="center"/>
    </xf>
    <xf numFmtId="0" fontId="11" fillId="23" borderId="41" xfId="0" applyFont="1" applyFill="1" applyBorder="1" applyAlignment="1">
      <alignment horizontal="center" vertical="center" wrapText="1"/>
    </xf>
    <xf numFmtId="0" fontId="11" fillId="23" borderId="42" xfId="0" applyFont="1" applyFill="1" applyBorder="1" applyAlignment="1">
      <alignment horizontal="center" vertical="center" wrapText="1"/>
    </xf>
    <xf numFmtId="0" fontId="11" fillId="23" borderId="43" xfId="0" applyFont="1" applyFill="1" applyBorder="1" applyAlignment="1">
      <alignment horizontal="center" vertical="center" wrapText="1"/>
    </xf>
    <xf numFmtId="0" fontId="7" fillId="0" borderId="40" xfId="2" applyFont="1" applyFill="1" applyBorder="1" applyAlignment="1">
      <alignment horizontal="center" vertical="center" wrapText="1"/>
    </xf>
    <xf numFmtId="0" fontId="0" fillId="11" borderId="28" xfId="0" applyFill="1" applyBorder="1" applyAlignment="1">
      <alignment horizontal="left" vertical="center" wrapText="1"/>
    </xf>
    <xf numFmtId="0" fontId="0" fillId="0" borderId="45" xfId="0" applyBorder="1" applyAlignment="1">
      <alignment horizontal="left" vertical="top" wrapText="1"/>
    </xf>
    <xf numFmtId="0" fontId="0" fillId="0" borderId="28" xfId="0" applyBorder="1" applyAlignment="1">
      <alignment horizontal="left" vertical="center" wrapText="1"/>
    </xf>
    <xf numFmtId="0" fontId="0" fillId="0" borderId="44" xfId="0" applyBorder="1" applyAlignment="1">
      <alignment horizontal="left" vertical="top" wrapText="1"/>
    </xf>
    <xf numFmtId="0" fontId="0" fillId="0" borderId="40" xfId="0" applyBorder="1" applyAlignment="1">
      <alignment horizontal="left" vertical="top" wrapText="1"/>
    </xf>
    <xf numFmtId="0" fontId="11" fillId="22" borderId="41" xfId="0" applyFont="1" applyFill="1" applyBorder="1" applyAlignment="1">
      <alignment horizontal="center" vertical="center"/>
    </xf>
    <xf numFmtId="0" fontId="11" fillId="22" borderId="42" xfId="0" applyFont="1" applyFill="1" applyBorder="1" applyAlignment="1">
      <alignment horizontal="center" vertical="center"/>
    </xf>
    <xf numFmtId="0" fontId="11" fillId="22" borderId="43" xfId="0" applyFont="1" applyFill="1" applyBorder="1" applyAlignment="1">
      <alignment horizontal="center" vertical="center"/>
    </xf>
    <xf numFmtId="0" fontId="0" fillId="5" borderId="40" xfId="0" applyFill="1" applyBorder="1" applyAlignment="1">
      <alignment horizontal="left" vertical="center" wrapText="1"/>
    </xf>
    <xf numFmtId="0" fontId="0" fillId="23" borderId="96" xfId="0" applyFill="1" applyBorder="1" applyAlignment="1">
      <alignment horizontal="left" vertical="top" wrapText="1"/>
    </xf>
    <xf numFmtId="0" fontId="0" fillId="23" borderId="109" xfId="0" applyFill="1" applyBorder="1" applyAlignment="1">
      <alignment horizontal="left" vertical="top" wrapText="1"/>
    </xf>
    <xf numFmtId="0" fontId="0" fillId="23" borderId="87" xfId="0" applyFill="1" applyBorder="1" applyAlignment="1">
      <alignment horizontal="left" vertical="top" wrapText="1"/>
    </xf>
    <xf numFmtId="0" fontId="0" fillId="5" borderId="40" xfId="0" quotePrefix="1" applyFill="1" applyBorder="1" applyAlignment="1">
      <alignment horizontal="center" vertical="center" wrapText="1"/>
    </xf>
    <xf numFmtId="0" fontId="0" fillId="5" borderId="40" xfId="0" applyFill="1" applyBorder="1" applyAlignment="1">
      <alignment horizontal="center" vertical="center" wrapText="1"/>
    </xf>
    <xf numFmtId="0" fontId="0" fillId="5" borderId="45" xfId="0" quotePrefix="1" applyFill="1" applyBorder="1" applyAlignment="1">
      <alignment horizontal="center" vertical="center" wrapText="1"/>
    </xf>
    <xf numFmtId="0" fontId="0" fillId="5" borderId="45" xfId="0" applyFill="1" applyBorder="1" applyAlignment="1">
      <alignment horizontal="center" vertical="center" wrapText="1"/>
    </xf>
    <xf numFmtId="0" fontId="0" fillId="31" borderId="86" xfId="0" applyFill="1" applyBorder="1" applyAlignment="1">
      <alignment horizontal="center" vertical="center" wrapText="1"/>
    </xf>
    <xf numFmtId="0" fontId="0" fillId="31" borderId="44" xfId="0" applyFill="1" applyBorder="1" applyAlignment="1">
      <alignment horizontal="center" vertical="center" wrapText="1"/>
    </xf>
    <xf numFmtId="0" fontId="0" fillId="5" borderId="44" xfId="0" applyFill="1" applyBorder="1" applyAlignment="1">
      <alignment horizontal="center" vertical="center" wrapText="1"/>
    </xf>
    <xf numFmtId="0" fontId="0" fillId="31" borderId="40" xfId="0" applyFill="1" applyBorder="1" applyAlignment="1">
      <alignment horizontal="center" vertical="center" wrapText="1"/>
    </xf>
    <xf numFmtId="0" fontId="0" fillId="31" borderId="87" xfId="0" applyFill="1" applyBorder="1" applyAlignment="1">
      <alignment horizontal="center" vertical="center" wrapText="1"/>
    </xf>
    <xf numFmtId="0" fontId="0" fillId="31" borderId="87" xfId="0" applyFill="1" applyBorder="1" applyAlignment="1">
      <alignment horizontal="left" vertical="center" wrapText="1"/>
    </xf>
    <xf numFmtId="0" fontId="0" fillId="31" borderId="40" xfId="0" applyFill="1" applyBorder="1" applyAlignment="1">
      <alignment horizontal="left" vertical="center" wrapText="1"/>
    </xf>
    <xf numFmtId="0" fontId="0" fillId="20" borderId="87" xfId="0" applyFill="1" applyBorder="1" applyAlignment="1">
      <alignment horizontal="center" vertical="center" wrapText="1"/>
    </xf>
    <xf numFmtId="14" fontId="0" fillId="31" borderId="87" xfId="0" applyNumberFormat="1" applyFill="1" applyBorder="1" applyAlignment="1">
      <alignment horizontal="left" vertical="center" wrapText="1"/>
    </xf>
    <xf numFmtId="14" fontId="0" fillId="5" borderId="40" xfId="0" applyNumberFormat="1" applyFill="1" applyBorder="1" applyAlignment="1">
      <alignment horizontal="left" vertical="center" wrapText="1"/>
    </xf>
    <xf numFmtId="14" fontId="0" fillId="31" borderId="40" xfId="0" applyNumberFormat="1" applyFill="1" applyBorder="1" applyAlignment="1">
      <alignment horizontal="left" vertical="center" wrapText="1"/>
    </xf>
    <xf numFmtId="0" fontId="0" fillId="20" borderId="88" xfId="0" applyFill="1" applyBorder="1" applyAlignment="1">
      <alignment horizontal="center" vertical="center" wrapText="1"/>
    </xf>
    <xf numFmtId="0" fontId="0" fillId="20" borderId="45" xfId="0" applyFill="1" applyBorder="1" applyAlignment="1">
      <alignment horizontal="center" vertical="center" wrapText="1"/>
    </xf>
    <xf numFmtId="0" fontId="0" fillId="31" borderId="45" xfId="0" applyFill="1" applyBorder="1" applyAlignment="1">
      <alignment horizontal="center" vertical="center" wrapText="1"/>
    </xf>
    <xf numFmtId="0" fontId="4" fillId="3" borderId="40" xfId="0" applyFont="1" applyFill="1" applyBorder="1" applyAlignment="1">
      <alignment horizontal="center" vertical="center" wrapText="1"/>
    </xf>
    <xf numFmtId="0" fontId="0" fillId="3" borderId="45" xfId="0" applyFill="1" applyBorder="1" applyAlignment="1">
      <alignment horizontal="left" vertical="top" wrapText="1"/>
    </xf>
    <xf numFmtId="0" fontId="0" fillId="5" borderId="45" xfId="0" applyFill="1" applyBorder="1" applyAlignment="1">
      <alignment horizontal="left" vertical="center" wrapText="1"/>
    </xf>
    <xf numFmtId="0" fontId="0" fillId="13" borderId="28" xfId="0" applyFill="1" applyBorder="1" applyAlignment="1">
      <alignment horizontal="left" vertical="center" wrapText="1"/>
    </xf>
    <xf numFmtId="0" fontId="0" fillId="13" borderId="29" xfId="0" applyFill="1" applyBorder="1" applyAlignment="1">
      <alignment horizontal="left" vertical="center" wrapText="1"/>
    </xf>
    <xf numFmtId="0" fontId="0" fillId="12" borderId="28" xfId="0" applyFill="1" applyBorder="1" applyAlignment="1">
      <alignment horizontal="left" vertical="center" wrapText="1"/>
    </xf>
    <xf numFmtId="0" fontId="0" fillId="3" borderId="27" xfId="0" applyFill="1" applyBorder="1" applyAlignment="1">
      <alignment horizontal="left" vertical="center" wrapText="1"/>
    </xf>
    <xf numFmtId="0" fontId="0" fillId="3" borderId="24" xfId="0" applyFill="1" applyBorder="1" applyAlignment="1">
      <alignment horizontal="left" vertical="center" wrapText="1"/>
    </xf>
    <xf numFmtId="0" fontId="0" fillId="0" borderId="24" xfId="0" applyBorder="1" applyAlignment="1">
      <alignment horizontal="left" vertical="center" wrapText="1"/>
    </xf>
    <xf numFmtId="0" fontId="0" fillId="13" borderId="14" xfId="0" applyFill="1" applyBorder="1" applyAlignment="1">
      <alignment horizontal="left" vertical="center" wrapText="1"/>
    </xf>
    <xf numFmtId="0" fontId="0" fillId="13" borderId="3" xfId="0" applyFill="1" applyBorder="1" applyAlignment="1">
      <alignment horizontal="left" vertical="center" wrapText="1"/>
    </xf>
    <xf numFmtId="0" fontId="0" fillId="10" borderId="45" xfId="0" applyFill="1" applyBorder="1" applyAlignment="1">
      <alignment horizontal="left" vertical="top" wrapText="1"/>
    </xf>
    <xf numFmtId="14" fontId="0" fillId="31" borderId="87" xfId="0" applyNumberFormat="1" applyFill="1" applyBorder="1" applyAlignment="1">
      <alignment horizontal="center" vertical="center" wrapText="1"/>
    </xf>
    <xf numFmtId="0" fontId="0" fillId="31" borderId="88" xfId="0" applyFill="1" applyBorder="1" applyAlignment="1">
      <alignment horizontal="center" vertical="center" wrapText="1"/>
    </xf>
    <xf numFmtId="0" fontId="0" fillId="5" borderId="46" xfId="0" applyFill="1" applyBorder="1" applyAlignment="1">
      <alignment horizontal="center" vertical="center" wrapText="1"/>
    </xf>
    <xf numFmtId="0" fontId="0" fillId="5" borderId="47" xfId="0" applyFill="1" applyBorder="1" applyAlignment="1">
      <alignment horizontal="left" vertical="center" wrapText="1"/>
    </xf>
    <xf numFmtId="14" fontId="0" fillId="5" borderId="40" xfId="0" applyNumberFormat="1" applyFill="1" applyBorder="1" applyAlignment="1">
      <alignment horizontal="center" vertical="center" wrapText="1"/>
    </xf>
    <xf numFmtId="0" fontId="0" fillId="5" borderId="47" xfId="0" applyFill="1" applyBorder="1" applyAlignment="1">
      <alignment horizontal="center" vertical="center" wrapText="1"/>
    </xf>
    <xf numFmtId="0" fontId="0" fillId="5" borderId="48" xfId="0" applyFill="1" applyBorder="1" applyAlignment="1">
      <alignment horizontal="left" vertical="center" wrapText="1"/>
    </xf>
    <xf numFmtId="0" fontId="0" fillId="5" borderId="48" xfId="0" applyFill="1" applyBorder="1" applyAlignment="1">
      <alignment horizontal="center" vertical="center" wrapText="1"/>
    </xf>
    <xf numFmtId="0" fontId="0" fillId="5" borderId="44" xfId="0" applyFill="1" applyBorder="1" applyAlignment="1">
      <alignment horizontal="center" vertical="center"/>
    </xf>
    <xf numFmtId="0" fontId="0" fillId="5" borderId="46" xfId="0" applyFill="1" applyBorder="1" applyAlignment="1">
      <alignment horizontal="center" vertical="center"/>
    </xf>
    <xf numFmtId="0" fontId="4" fillId="5" borderId="40" xfId="0" applyFont="1" applyFill="1" applyBorder="1" applyAlignment="1">
      <alignment horizontal="center" vertical="center" wrapText="1"/>
    </xf>
    <xf numFmtId="0" fontId="4" fillId="5" borderId="40" xfId="0" applyFont="1" applyFill="1" applyBorder="1" applyAlignment="1">
      <alignment horizontal="center" vertical="center"/>
    </xf>
    <xf numFmtId="0" fontId="4" fillId="5" borderId="47" xfId="0" applyFont="1" applyFill="1" applyBorder="1" applyAlignment="1">
      <alignment horizontal="center" vertical="center"/>
    </xf>
    <xf numFmtId="0" fontId="0" fillId="5" borderId="40" xfId="0" applyFill="1" applyBorder="1" applyAlignment="1">
      <alignment horizontal="center" vertical="center"/>
    </xf>
    <xf numFmtId="0" fontId="0" fillId="5" borderId="47" xfId="0" applyFill="1" applyBorder="1" applyAlignment="1">
      <alignment horizontal="center" vertical="center"/>
    </xf>
    <xf numFmtId="0" fontId="0" fillId="5" borderId="27" xfId="0" applyFill="1" applyBorder="1" applyAlignment="1">
      <alignment horizontal="left" vertical="center" wrapText="1"/>
    </xf>
    <xf numFmtId="0" fontId="0" fillId="5" borderId="24" xfId="0" applyFill="1" applyBorder="1" applyAlignment="1">
      <alignment horizontal="left" vertical="center" wrapText="1"/>
    </xf>
    <xf numFmtId="0" fontId="0" fillId="5" borderId="46" xfId="0" applyFill="1" applyBorder="1" applyAlignment="1">
      <alignment horizontal="left" vertical="center" wrapText="1"/>
    </xf>
    <xf numFmtId="14" fontId="0" fillId="31" borderId="40" xfId="0" applyNumberFormat="1" applyFill="1" applyBorder="1" applyAlignment="1">
      <alignment horizontal="center" vertical="center" wrapText="1"/>
    </xf>
    <xf numFmtId="0" fontId="0" fillId="0" borderId="40" xfId="0" quotePrefix="1" applyBorder="1" applyAlignment="1">
      <alignment horizontal="center" vertical="center" wrapText="1"/>
    </xf>
    <xf numFmtId="0" fontId="0" fillId="0" borderId="30" xfId="0" applyBorder="1" applyAlignment="1">
      <alignment horizontal="center" vertical="center" wrapText="1"/>
    </xf>
    <xf numFmtId="0" fontId="0" fillId="0" borderId="3" xfId="0" applyBorder="1" applyAlignment="1">
      <alignment horizontal="center" vertical="center" wrapText="1"/>
    </xf>
    <xf numFmtId="0" fontId="0" fillId="0" borderId="29" xfId="0" applyBorder="1" applyAlignment="1">
      <alignment horizontal="center" vertical="center" wrapText="1"/>
    </xf>
    <xf numFmtId="0" fontId="0" fillId="0" borderId="30" xfId="0" applyBorder="1" applyAlignment="1">
      <alignment horizontal="left" vertical="center" wrapText="1"/>
    </xf>
    <xf numFmtId="0" fontId="0" fillId="0" borderId="3" xfId="0" applyBorder="1" applyAlignment="1">
      <alignment horizontal="left" vertical="center" wrapText="1"/>
    </xf>
    <xf numFmtId="0" fontId="0" fillId="0" borderId="29" xfId="0" applyBorder="1" applyAlignment="1">
      <alignment horizontal="left" vertical="center" wrapText="1"/>
    </xf>
    <xf numFmtId="0" fontId="0" fillId="3" borderId="30" xfId="0" applyFill="1" applyBorder="1" applyAlignment="1">
      <alignment horizontal="left" vertical="center" wrapText="1"/>
    </xf>
    <xf numFmtId="0" fontId="0" fillId="3" borderId="3" xfId="0" applyFill="1" applyBorder="1" applyAlignment="1">
      <alignment horizontal="left" vertical="center" wrapText="1"/>
    </xf>
    <xf numFmtId="0" fontId="0" fillId="3" borderId="29" xfId="0" applyFill="1" applyBorder="1" applyAlignment="1">
      <alignment horizontal="left" vertical="center" wrapText="1"/>
    </xf>
    <xf numFmtId="0" fontId="0" fillId="11" borderId="40" xfId="0" quotePrefix="1" applyFill="1" applyBorder="1" applyAlignment="1">
      <alignment horizontal="center" vertical="center" wrapText="1"/>
    </xf>
    <xf numFmtId="0" fontId="0" fillId="11" borderId="45" xfId="0" quotePrefix="1" applyFill="1" applyBorder="1" applyAlignment="1">
      <alignment horizontal="center" vertical="center" wrapText="1"/>
    </xf>
    <xf numFmtId="0" fontId="0" fillId="11" borderId="40" xfId="0" applyFill="1" applyBorder="1" applyAlignment="1">
      <alignment horizontal="left" vertical="center" wrapText="1"/>
    </xf>
    <xf numFmtId="0" fontId="0" fillId="20" borderId="30" xfId="0" applyFill="1" applyBorder="1" applyAlignment="1">
      <alignment horizontal="center" vertical="center" wrapText="1"/>
    </xf>
    <xf numFmtId="0" fontId="0" fillId="20" borderId="29" xfId="0" applyFill="1" applyBorder="1" applyAlignment="1">
      <alignment horizontal="center" vertical="center" wrapText="1"/>
    </xf>
    <xf numFmtId="0" fontId="0" fillId="20" borderId="3" xfId="0" applyFill="1" applyBorder="1" applyAlignment="1">
      <alignment horizontal="center" vertical="center" wrapText="1"/>
    </xf>
    <xf numFmtId="0" fontId="0" fillId="10" borderId="30" xfId="0" applyFill="1" applyBorder="1" applyAlignment="1">
      <alignment horizontal="center" vertical="center" wrapText="1"/>
    </xf>
    <xf numFmtId="0" fontId="0" fillId="10" borderId="29" xfId="0" applyFill="1" applyBorder="1" applyAlignment="1">
      <alignment horizontal="center" vertical="center" wrapText="1"/>
    </xf>
    <xf numFmtId="0" fontId="0" fillId="11" borderId="30" xfId="0" applyFill="1" applyBorder="1" applyAlignment="1">
      <alignment horizontal="center" vertical="center" wrapText="1"/>
    </xf>
    <xf numFmtId="0" fontId="0" fillId="11" borderId="29" xfId="0" applyFill="1" applyBorder="1" applyAlignment="1">
      <alignment horizontal="center" vertical="center" wrapText="1"/>
    </xf>
    <xf numFmtId="0" fontId="0" fillId="15" borderId="30" xfId="0" applyFill="1" applyBorder="1" applyAlignment="1">
      <alignment horizontal="center" vertical="center" wrapText="1"/>
    </xf>
    <xf numFmtId="0" fontId="0" fillId="15" borderId="29" xfId="0" applyFill="1" applyBorder="1" applyAlignment="1">
      <alignment horizontal="center" vertical="center" wrapText="1"/>
    </xf>
    <xf numFmtId="0" fontId="0" fillId="14" borderId="30" xfId="0" applyFill="1" applyBorder="1" applyAlignment="1">
      <alignment horizontal="center" vertical="center" wrapText="1"/>
    </xf>
    <xf numFmtId="0" fontId="0" fillId="14" borderId="29" xfId="0" applyFill="1" applyBorder="1" applyAlignment="1">
      <alignment horizontal="center" vertical="center" wrapText="1"/>
    </xf>
    <xf numFmtId="0" fontId="0" fillId="13" borderId="30" xfId="0" applyFill="1" applyBorder="1" applyAlignment="1">
      <alignment horizontal="center" vertical="center" wrapText="1"/>
    </xf>
    <xf numFmtId="0" fontId="0" fillId="13" borderId="29" xfId="0" applyFill="1" applyBorder="1" applyAlignment="1">
      <alignment horizontal="center" vertical="center" wrapText="1"/>
    </xf>
    <xf numFmtId="0" fontId="0" fillId="7" borderId="14" xfId="0" applyFill="1" applyBorder="1" applyAlignment="1">
      <alignment horizontal="center" vertical="center" wrapText="1"/>
    </xf>
    <xf numFmtId="0" fontId="0" fillId="7" borderId="3" xfId="0" applyFill="1" applyBorder="1" applyAlignment="1">
      <alignment horizontal="center" vertical="center" wrapText="1"/>
    </xf>
    <xf numFmtId="0" fontId="0" fillId="7" borderId="29" xfId="0" applyFill="1" applyBorder="1" applyAlignment="1">
      <alignment horizontal="center" vertical="center" wrapText="1"/>
    </xf>
    <xf numFmtId="0" fontId="0" fillId="9" borderId="30" xfId="0" applyFill="1" applyBorder="1" applyAlignment="1">
      <alignment horizontal="center" vertical="center" wrapText="1"/>
    </xf>
    <xf numFmtId="0" fontId="0" fillId="9" borderId="3" xfId="0" applyFill="1" applyBorder="1" applyAlignment="1">
      <alignment horizontal="center" vertical="center" wrapText="1"/>
    </xf>
    <xf numFmtId="0" fontId="0" fillId="9" borderId="29" xfId="0" applyFill="1" applyBorder="1" applyAlignment="1">
      <alignment horizontal="center" vertical="center" wrapText="1"/>
    </xf>
    <xf numFmtId="0" fontId="0" fillId="8" borderId="30" xfId="0" applyFill="1" applyBorder="1" applyAlignment="1">
      <alignment horizontal="center" vertical="center" wrapText="1"/>
    </xf>
    <xf numFmtId="0" fontId="0" fillId="8" borderId="3" xfId="0" applyFill="1" applyBorder="1" applyAlignment="1">
      <alignment horizontal="center" vertical="center" wrapText="1"/>
    </xf>
    <xf numFmtId="0" fontId="0" fillId="8" borderId="29" xfId="0" applyFill="1" applyBorder="1" applyAlignment="1">
      <alignment horizontal="center" vertical="center" wrapText="1"/>
    </xf>
    <xf numFmtId="0" fontId="0" fillId="10" borderId="30" xfId="0" applyFill="1" applyBorder="1" applyAlignment="1">
      <alignment horizontal="left" vertical="center" wrapText="1"/>
    </xf>
    <xf numFmtId="0" fontId="0" fillId="10" borderId="3" xfId="0" applyFill="1" applyBorder="1" applyAlignment="1">
      <alignment horizontal="left" vertical="center" wrapText="1"/>
    </xf>
    <xf numFmtId="0" fontId="0" fillId="10" borderId="29" xfId="0" applyFill="1" applyBorder="1" applyAlignment="1">
      <alignment horizontal="left" vertical="center" wrapText="1"/>
    </xf>
    <xf numFmtId="0" fontId="0" fillId="11" borderId="30" xfId="0" applyFill="1" applyBorder="1" applyAlignment="1">
      <alignment horizontal="left" vertical="center" wrapText="1"/>
    </xf>
    <xf numFmtId="0" fontId="0" fillId="11" borderId="3" xfId="0" applyFill="1" applyBorder="1" applyAlignment="1">
      <alignment horizontal="left" vertical="center" wrapText="1"/>
    </xf>
    <xf numFmtId="0" fontId="0" fillId="11" borderId="29" xfId="0" applyFill="1" applyBorder="1" applyAlignment="1">
      <alignment horizontal="left" vertical="center" wrapText="1"/>
    </xf>
    <xf numFmtId="0" fontId="0" fillId="10" borderId="54" xfId="0" applyFill="1" applyBorder="1" applyAlignment="1">
      <alignment horizontal="left" vertical="center" wrapText="1"/>
    </xf>
    <xf numFmtId="0" fontId="0" fillId="9" borderId="14" xfId="0" applyFill="1" applyBorder="1" applyAlignment="1">
      <alignment horizontal="center" vertical="center" wrapText="1"/>
    </xf>
    <xf numFmtId="14" fontId="0" fillId="20" borderId="96" xfId="0" applyNumberFormat="1" applyFill="1" applyBorder="1" applyAlignment="1">
      <alignment horizontal="center" vertical="center" wrapText="1"/>
    </xf>
    <xf numFmtId="14" fontId="0" fillId="20" borderId="109" xfId="0" applyNumberFormat="1" applyFill="1" applyBorder="1" applyAlignment="1">
      <alignment horizontal="center" vertical="center" wrapText="1"/>
    </xf>
    <xf numFmtId="14" fontId="0" fillId="20" borderId="87" xfId="0" applyNumberFormat="1" applyFill="1" applyBorder="1" applyAlignment="1">
      <alignment horizontal="center" vertical="center" wrapText="1"/>
    </xf>
    <xf numFmtId="0" fontId="0" fillId="14" borderId="40" xfId="0" applyFill="1" applyBorder="1" applyAlignment="1">
      <alignment horizontal="left" vertical="center" wrapText="1"/>
    </xf>
    <xf numFmtId="0" fontId="0" fillId="13" borderId="40" xfId="0" applyFill="1" applyBorder="1" applyAlignment="1">
      <alignment horizontal="left" vertical="top" wrapText="1"/>
    </xf>
    <xf numFmtId="0" fontId="0" fillId="11" borderId="44" xfId="0" applyFill="1" applyBorder="1" applyAlignment="1">
      <alignment horizontal="center" vertical="center" wrapText="1"/>
    </xf>
    <xf numFmtId="0" fontId="0" fillId="14" borderId="44" xfId="0" applyFill="1" applyBorder="1" applyAlignment="1">
      <alignment horizontal="left" vertical="center" wrapText="1"/>
    </xf>
    <xf numFmtId="0" fontId="0" fillId="14" borderId="40" xfId="0" applyFill="1" applyBorder="1" applyAlignment="1">
      <alignment vertical="center" wrapText="1"/>
    </xf>
    <xf numFmtId="0" fontId="0" fillId="14" borderId="45" xfId="0" applyFill="1" applyBorder="1" applyAlignment="1">
      <alignment horizontal="left" vertical="center" wrapText="1"/>
    </xf>
    <xf numFmtId="0" fontId="0" fillId="25" borderId="40" xfId="0" applyFill="1" applyBorder="1" applyAlignment="1">
      <alignment horizontal="left" vertical="center" wrapText="1"/>
    </xf>
    <xf numFmtId="0" fontId="0" fillId="25" borderId="44" xfId="0" applyFill="1" applyBorder="1" applyAlignment="1">
      <alignment horizontal="center" vertical="center" wrapText="1"/>
    </xf>
    <xf numFmtId="14" fontId="0" fillId="25" borderId="40" xfId="0" applyNumberFormat="1" applyFill="1" applyBorder="1" applyAlignment="1">
      <alignment horizontal="center" vertical="center" wrapText="1"/>
    </xf>
    <xf numFmtId="0" fontId="0" fillId="25" borderId="40" xfId="0" applyFill="1" applyBorder="1" applyAlignment="1">
      <alignment horizontal="center" vertical="center" wrapText="1"/>
    </xf>
    <xf numFmtId="14" fontId="0" fillId="17" borderId="96" xfId="0" applyNumberFormat="1" applyFill="1" applyBorder="1" applyAlignment="1">
      <alignment horizontal="center" vertical="center" wrapText="1"/>
    </xf>
    <xf numFmtId="14" fontId="0" fillId="17" borderId="109" xfId="0" applyNumberFormat="1" applyFill="1" applyBorder="1" applyAlignment="1">
      <alignment horizontal="center" vertical="center" wrapText="1"/>
    </xf>
    <xf numFmtId="14" fontId="0" fillId="17" borderId="87" xfId="0" applyNumberFormat="1" applyFill="1" applyBorder="1" applyAlignment="1">
      <alignment horizontal="center" vertical="center" wrapText="1"/>
    </xf>
    <xf numFmtId="0" fontId="7" fillId="30" borderId="45" xfId="2" quotePrefix="1" applyFont="1" applyFill="1" applyBorder="1" applyAlignment="1">
      <alignment horizontal="center" vertical="center" wrapText="1"/>
    </xf>
    <xf numFmtId="0" fontId="0" fillId="30" borderId="45" xfId="0" applyFill="1" applyBorder="1" applyAlignment="1">
      <alignment horizontal="center" vertical="center" wrapText="1"/>
    </xf>
    <xf numFmtId="0" fontId="7" fillId="25" borderId="40" xfId="2" quotePrefix="1" applyFont="1" applyFill="1" applyBorder="1" applyAlignment="1">
      <alignment horizontal="center" vertical="center" wrapText="1"/>
    </xf>
    <xf numFmtId="0" fontId="0" fillId="3" borderId="14" xfId="0" applyFill="1" applyBorder="1" applyAlignment="1">
      <alignment horizontal="left" vertical="center" wrapText="1"/>
    </xf>
    <xf numFmtId="0" fontId="0" fillId="5" borderId="44" xfId="0" quotePrefix="1" applyFill="1" applyBorder="1" applyAlignment="1">
      <alignment horizontal="center" vertical="center" wrapText="1"/>
    </xf>
    <xf numFmtId="0" fontId="0" fillId="0" borderId="96" xfId="0" quotePrefix="1" applyBorder="1" applyAlignment="1">
      <alignment horizontal="center" vertical="center" wrapText="1"/>
    </xf>
    <xf numFmtId="0" fontId="0" fillId="0" borderId="109" xfId="0" quotePrefix="1" applyBorder="1" applyAlignment="1">
      <alignment horizontal="center" vertical="center" wrapText="1"/>
    </xf>
    <xf numFmtId="0" fontId="0" fillId="0" borderId="87" xfId="0" quotePrefix="1" applyBorder="1" applyAlignment="1">
      <alignment horizontal="center" vertical="center" wrapText="1"/>
    </xf>
    <xf numFmtId="0" fontId="0" fillId="0" borderId="45" xfId="0" quotePrefix="1" applyBorder="1" applyAlignment="1">
      <alignment horizontal="center" vertical="center" wrapText="1"/>
    </xf>
    <xf numFmtId="0" fontId="0" fillId="25" borderId="40" xfId="0" applyFill="1" applyBorder="1" applyAlignment="1">
      <alignment horizontal="left" vertical="top" wrapText="1"/>
    </xf>
    <xf numFmtId="0" fontId="0" fillId="0" borderId="40" xfId="0" quotePrefix="1" applyBorder="1" applyAlignment="1">
      <alignment horizontal="left" vertical="top" wrapText="1"/>
    </xf>
    <xf numFmtId="0" fontId="12" fillId="0" borderId="40" xfId="0" applyFont="1" applyBorder="1" applyAlignment="1">
      <alignment vertical="top" wrapText="1"/>
    </xf>
    <xf numFmtId="0" fontId="7" fillId="25" borderId="40" xfId="2" quotePrefix="1" applyFont="1" applyFill="1" applyBorder="1" applyAlignment="1">
      <alignment horizontal="left" vertical="top" wrapText="1"/>
    </xf>
    <xf numFmtId="0" fontId="0" fillId="11" borderId="44" xfId="0" quotePrefix="1" applyFill="1" applyBorder="1" applyAlignment="1">
      <alignment horizontal="center" vertical="center" wrapText="1"/>
    </xf>
    <xf numFmtId="0" fontId="0" fillId="11" borderId="45" xfId="0" applyFill="1" applyBorder="1" applyAlignment="1">
      <alignment horizontal="left" vertical="top" wrapText="1"/>
    </xf>
    <xf numFmtId="0" fontId="0" fillId="5" borderId="45" xfId="0" applyFill="1" applyBorder="1" applyAlignment="1">
      <alignment horizontal="left" vertical="top" wrapText="1"/>
    </xf>
    <xf numFmtId="0" fontId="7" fillId="25" borderId="40" xfId="2" applyFont="1" applyFill="1" applyBorder="1" applyAlignment="1">
      <alignment horizontal="center" vertical="center" wrapText="1"/>
    </xf>
    <xf numFmtId="0" fontId="0" fillId="30" borderId="40" xfId="0" applyFill="1" applyBorder="1" applyAlignment="1">
      <alignment horizontal="center" vertical="center" wrapText="1"/>
    </xf>
    <xf numFmtId="0" fontId="0" fillId="30" borderId="40" xfId="0" quotePrefix="1" applyFill="1" applyBorder="1" applyAlignment="1">
      <alignment horizontal="center" vertical="center" wrapText="1"/>
    </xf>
    <xf numFmtId="0" fontId="0" fillId="0" borderId="44" xfId="0" quotePrefix="1" applyBorder="1" applyAlignment="1">
      <alignment horizontal="center" vertical="center" wrapText="1"/>
    </xf>
    <xf numFmtId="0" fontId="7" fillId="25" borderId="44" xfId="2" quotePrefix="1" applyFont="1" applyFill="1" applyBorder="1" applyAlignment="1">
      <alignment horizontal="center" vertical="center" wrapText="1"/>
    </xf>
    <xf numFmtId="14" fontId="15" fillId="20" borderId="40" xfId="0" applyNumberFormat="1" applyFont="1" applyFill="1" applyBorder="1" applyAlignment="1">
      <alignment horizontal="center" vertical="center" wrapText="1"/>
    </xf>
    <xf numFmtId="0" fontId="0" fillId="23" borderId="40" xfId="0" applyFill="1" applyBorder="1" applyAlignment="1">
      <alignment horizontal="center" vertical="center" wrapText="1"/>
    </xf>
    <xf numFmtId="14" fontId="0" fillId="17" borderId="40" xfId="0" applyNumberFormat="1" applyFill="1" applyBorder="1" applyAlignment="1">
      <alignment horizontal="center" vertical="center" wrapText="1"/>
    </xf>
    <xf numFmtId="14" fontId="0" fillId="20" borderId="40" xfId="0" applyNumberFormat="1" applyFill="1" applyBorder="1" applyAlignment="1">
      <alignment horizontal="center" vertical="center" wrapText="1"/>
    </xf>
    <xf numFmtId="14" fontId="0" fillId="0" borderId="40" xfId="0" applyNumberFormat="1" applyBorder="1" applyAlignment="1">
      <alignment horizontal="center" vertical="center" wrapText="1"/>
    </xf>
    <xf numFmtId="0" fontId="11" fillId="21" borderId="104" xfId="0" applyFont="1" applyFill="1" applyBorder="1" applyAlignment="1">
      <alignment horizontal="center" vertical="center"/>
    </xf>
    <xf numFmtId="0" fontId="11" fillId="21" borderId="49" xfId="0" applyFont="1" applyFill="1" applyBorder="1" applyAlignment="1">
      <alignment horizontal="center" vertical="center"/>
    </xf>
    <xf numFmtId="0" fontId="11" fillId="21" borderId="50" xfId="0" applyFont="1" applyFill="1" applyBorder="1" applyAlignment="1">
      <alignment horizontal="center" vertical="center"/>
    </xf>
    <xf numFmtId="0" fontId="0" fillId="0" borderId="107" xfId="0" applyBorder="1" applyAlignment="1">
      <alignment horizontal="center" vertical="center" wrapText="1"/>
    </xf>
    <xf numFmtId="0" fontId="0" fillId="0" borderId="111" xfId="0" applyBorder="1" applyAlignment="1">
      <alignment horizontal="center" vertical="center" wrapText="1"/>
    </xf>
    <xf numFmtId="0" fontId="0" fillId="0" borderId="86" xfId="0" applyBorder="1" applyAlignment="1">
      <alignment horizontal="center" vertical="center" wrapText="1"/>
    </xf>
    <xf numFmtId="0" fontId="0" fillId="0" borderId="44" xfId="0" applyBorder="1" applyAlignment="1">
      <alignment horizontal="left" vertical="center"/>
    </xf>
    <xf numFmtId="0" fontId="0" fillId="0" borderId="96" xfId="0" applyBorder="1" applyAlignment="1">
      <alignment horizontal="left" vertical="center" wrapText="1"/>
    </xf>
    <xf numFmtId="0" fontId="0" fillId="0" borderId="109" xfId="0" applyBorder="1" applyAlignment="1">
      <alignment horizontal="left" vertical="center" wrapText="1"/>
    </xf>
    <xf numFmtId="0" fontId="0" fillId="0" borderId="87" xfId="0" applyBorder="1" applyAlignment="1">
      <alignment horizontal="left" vertical="center" wrapText="1"/>
    </xf>
    <xf numFmtId="0" fontId="0" fillId="23" borderId="96" xfId="0" applyFill="1" applyBorder="1" applyAlignment="1">
      <alignment horizontal="center" vertical="center" wrapText="1"/>
    </xf>
    <xf numFmtId="0" fontId="0" fillId="23" borderId="109" xfId="0" applyFill="1" applyBorder="1" applyAlignment="1">
      <alignment horizontal="center" vertical="center" wrapText="1"/>
    </xf>
    <xf numFmtId="0" fontId="0" fillId="23" borderId="87" xfId="0" applyFill="1" applyBorder="1" applyAlignment="1">
      <alignment horizontal="center" vertical="center" wrapText="1"/>
    </xf>
    <xf numFmtId="0" fontId="0" fillId="25" borderId="96" xfId="0" applyFill="1" applyBorder="1" applyAlignment="1">
      <alignment horizontal="center" vertical="center" wrapText="1"/>
    </xf>
    <xf numFmtId="0" fontId="0" fillId="25" borderId="109" xfId="0" applyFill="1" applyBorder="1" applyAlignment="1">
      <alignment horizontal="center" vertical="center" wrapText="1"/>
    </xf>
    <xf numFmtId="0" fontId="0" fillId="25" borderId="87" xfId="0" applyFill="1" applyBorder="1" applyAlignment="1">
      <alignment horizontal="center" vertical="center" wrapText="1"/>
    </xf>
    <xf numFmtId="0" fontId="0" fillId="25" borderId="107" xfId="0" applyFill="1" applyBorder="1" applyAlignment="1">
      <alignment horizontal="center" vertical="center" wrapText="1"/>
    </xf>
    <xf numFmtId="0" fontId="0" fillId="25" borderId="111" xfId="0" applyFill="1" applyBorder="1" applyAlignment="1">
      <alignment horizontal="center" vertical="center" wrapText="1"/>
    </xf>
    <xf numFmtId="0" fontId="0" fillId="25" borderId="86" xfId="0" applyFill="1" applyBorder="1" applyAlignment="1">
      <alignment horizontal="center" vertical="center" wrapText="1"/>
    </xf>
    <xf numFmtId="0" fontId="0" fillId="0" borderId="96" xfId="0" applyBorder="1" applyAlignment="1">
      <alignment horizontal="center" vertical="center" wrapText="1"/>
    </xf>
    <xf numFmtId="0" fontId="0" fillId="0" borderId="109" xfId="0" applyBorder="1" applyAlignment="1">
      <alignment horizontal="center" vertical="center" wrapText="1"/>
    </xf>
    <xf numFmtId="0" fontId="0" fillId="0" borderId="87" xfId="0" applyBorder="1" applyAlignment="1">
      <alignment horizontal="center" vertical="center" wrapText="1"/>
    </xf>
    <xf numFmtId="14" fontId="0" fillId="0" borderId="96" xfId="0" applyNumberFormat="1" applyBorder="1" applyAlignment="1">
      <alignment horizontal="center" vertical="center" wrapText="1"/>
    </xf>
    <xf numFmtId="0" fontId="0" fillId="17" borderId="96" xfId="0" applyFill="1" applyBorder="1" applyAlignment="1">
      <alignment horizontal="center" vertical="center" wrapText="1"/>
    </xf>
    <xf numFmtId="0" fontId="0" fillId="17" borderId="109" xfId="0" applyFill="1" applyBorder="1" applyAlignment="1">
      <alignment horizontal="center" vertical="center" wrapText="1"/>
    </xf>
    <xf numFmtId="0" fontId="0" fillId="17" borderId="87" xfId="0" applyFill="1" applyBorder="1" applyAlignment="1">
      <alignment horizontal="center" vertical="center" wrapText="1"/>
    </xf>
    <xf numFmtId="0" fontId="0" fillId="17" borderId="108" xfId="0" applyFill="1" applyBorder="1" applyAlignment="1">
      <alignment horizontal="center" vertical="center" wrapText="1"/>
    </xf>
    <xf numFmtId="0" fontId="0" fillId="17" borderId="110" xfId="0" applyFill="1" applyBorder="1" applyAlignment="1">
      <alignment horizontal="center" vertical="center" wrapText="1"/>
    </xf>
    <xf numFmtId="0" fontId="0" fillId="17" borderId="88" xfId="0" applyFill="1" applyBorder="1" applyAlignment="1">
      <alignment horizontal="center" vertical="center" wrapText="1"/>
    </xf>
    <xf numFmtId="0" fontId="0" fillId="20" borderId="108" xfId="0" applyFill="1" applyBorder="1" applyAlignment="1">
      <alignment horizontal="center" vertical="center" wrapText="1"/>
    </xf>
    <xf numFmtId="0" fontId="0" fillId="20" borderId="110" xfId="0" applyFill="1" applyBorder="1" applyAlignment="1">
      <alignment horizontal="center" vertical="center" wrapText="1"/>
    </xf>
    <xf numFmtId="0" fontId="0" fillId="25" borderId="96" xfId="0" applyFill="1" applyBorder="1" applyAlignment="1">
      <alignment horizontal="left" vertical="top" wrapText="1"/>
    </xf>
    <xf numFmtId="0" fontId="0" fillId="25" borderId="109" xfId="0" applyFill="1" applyBorder="1" applyAlignment="1">
      <alignment horizontal="left" vertical="top" wrapText="1"/>
    </xf>
    <xf numFmtId="0" fontId="0" fillId="25" borderId="87" xfId="0" applyFill="1" applyBorder="1" applyAlignment="1">
      <alignment horizontal="left" vertical="top" wrapText="1"/>
    </xf>
    <xf numFmtId="0" fontId="0" fillId="0" borderId="108" xfId="0" applyBorder="1" applyAlignment="1">
      <alignment horizontal="center" vertical="center" wrapText="1"/>
    </xf>
    <xf numFmtId="0" fontId="0" fillId="0" borderId="110" xfId="0" applyBorder="1" applyAlignment="1">
      <alignment horizontal="center" vertical="center" wrapText="1"/>
    </xf>
    <xf numFmtId="0" fontId="0" fillId="0" borderId="88" xfId="0" applyBorder="1" applyAlignment="1">
      <alignment horizontal="center" vertical="center" wrapText="1"/>
    </xf>
    <xf numFmtId="14" fontId="0" fillId="0" borderId="45" xfId="0" applyNumberFormat="1" applyBorder="1" applyAlignment="1">
      <alignment horizontal="center" vertical="center" wrapText="1"/>
    </xf>
    <xf numFmtId="14" fontId="15" fillId="20" borderId="45" xfId="0" applyNumberFormat="1" applyFont="1" applyFill="1" applyBorder="1" applyAlignment="1">
      <alignment horizontal="center" vertical="center" wrapText="1"/>
    </xf>
    <xf numFmtId="0" fontId="15" fillId="20" borderId="40" xfId="0" applyFont="1" applyFill="1" applyBorder="1" applyAlignment="1">
      <alignment horizontal="center" vertical="center" wrapText="1"/>
    </xf>
    <xf numFmtId="14" fontId="0" fillId="20" borderId="45" xfId="0" applyNumberFormat="1" applyFill="1" applyBorder="1" applyAlignment="1">
      <alignment horizontal="center" vertical="center" wrapText="1"/>
    </xf>
    <xf numFmtId="0" fontId="0" fillId="0" borderId="21" xfId="0" applyBorder="1" applyAlignment="1">
      <alignment horizontal="center" vertical="center" wrapText="1"/>
    </xf>
    <xf numFmtId="0" fontId="0" fillId="0" borderId="0" xfId="0" applyAlignment="1">
      <alignment horizontal="center" vertical="center" wrapText="1"/>
    </xf>
    <xf numFmtId="0" fontId="0" fillId="0" borderId="16" xfId="0" applyBorder="1" applyAlignment="1">
      <alignment horizontal="center" vertical="center" wrapText="1"/>
    </xf>
    <xf numFmtId="0" fontId="0" fillId="3" borderId="21" xfId="0" applyFill="1" applyBorder="1" applyAlignment="1">
      <alignment horizontal="center" vertical="center" wrapText="1"/>
    </xf>
    <xf numFmtId="0" fontId="0" fillId="3" borderId="0" xfId="0" applyFill="1" applyAlignment="1">
      <alignment horizontal="center" vertical="center" wrapText="1"/>
    </xf>
    <xf numFmtId="0" fontId="0" fillId="3" borderId="16" xfId="0" applyFill="1" applyBorder="1" applyAlignment="1">
      <alignment horizontal="center" vertical="center" wrapText="1"/>
    </xf>
    <xf numFmtId="0" fontId="0" fillId="26" borderId="40" xfId="0" applyFill="1" applyBorder="1" applyAlignment="1">
      <alignment horizontal="left" vertical="center" wrapText="1"/>
    </xf>
    <xf numFmtId="14" fontId="0" fillId="26" borderId="45" xfId="0" applyNumberFormat="1" applyFill="1" applyBorder="1" applyAlignment="1">
      <alignment horizontal="center" vertical="center" wrapText="1"/>
    </xf>
    <xf numFmtId="0" fontId="0" fillId="26" borderId="45" xfId="0" applyFill="1" applyBorder="1" applyAlignment="1">
      <alignment horizontal="center" vertical="center" wrapText="1"/>
    </xf>
    <xf numFmtId="0" fontId="0" fillId="26" borderId="56" xfId="0" applyFill="1" applyBorder="1" applyAlignment="1">
      <alignment horizontal="center" vertical="center" wrapText="1"/>
    </xf>
    <xf numFmtId="0" fontId="0" fillId="26" borderId="44" xfId="0" applyFill="1" applyBorder="1" applyAlignment="1">
      <alignment horizontal="center" vertical="center" wrapText="1"/>
    </xf>
    <xf numFmtId="0" fontId="0" fillId="26" borderId="40" xfId="0" applyFill="1" applyBorder="1" applyAlignment="1">
      <alignment horizontal="center" vertical="center" wrapText="1"/>
    </xf>
    <xf numFmtId="0" fontId="0" fillId="0" borderId="56" xfId="0" applyBorder="1" applyAlignment="1">
      <alignment horizontal="center" vertical="center" wrapText="1"/>
    </xf>
    <xf numFmtId="0" fontId="0" fillId="5" borderId="21" xfId="0" applyFill="1" applyBorder="1" applyAlignment="1">
      <alignment horizontal="center" vertical="center" wrapText="1"/>
    </xf>
    <xf numFmtId="0" fontId="0" fillId="5" borderId="0" xfId="0" applyFill="1" applyAlignment="1">
      <alignment horizontal="center" vertical="center" wrapText="1"/>
    </xf>
    <xf numFmtId="0" fontId="0" fillId="5" borderId="16" xfId="0" applyFill="1" applyBorder="1" applyAlignment="1">
      <alignment horizontal="center" vertical="center" wrapText="1"/>
    </xf>
    <xf numFmtId="0" fontId="0" fillId="31" borderId="56" xfId="0" applyFill="1" applyBorder="1" applyAlignment="1">
      <alignment horizontal="center" vertical="center" wrapText="1"/>
    </xf>
    <xf numFmtId="14" fontId="0" fillId="31" borderId="45" xfId="0" applyNumberFormat="1" applyFill="1" applyBorder="1" applyAlignment="1">
      <alignment horizontal="center" vertical="center" wrapText="1"/>
    </xf>
    <xf numFmtId="0" fontId="0" fillId="29" borderId="40" xfId="0" applyFill="1" applyBorder="1" applyAlignment="1">
      <alignment horizontal="center" vertical="center" wrapText="1"/>
    </xf>
    <xf numFmtId="0" fontId="0" fillId="29" borderId="96" xfId="0" applyFill="1" applyBorder="1" applyAlignment="1">
      <alignment horizontal="center" vertical="center" wrapText="1"/>
    </xf>
    <xf numFmtId="0" fontId="0" fillId="29" borderId="87" xfId="0" applyFill="1" applyBorder="1" applyAlignment="1">
      <alignment horizontal="center" vertical="center" wrapText="1"/>
    </xf>
    <xf numFmtId="0" fontId="0" fillId="11" borderId="25" xfId="0" applyFill="1" applyBorder="1" applyAlignment="1">
      <alignment horizontal="center" vertical="center" wrapText="1"/>
    </xf>
    <xf numFmtId="0" fontId="0" fillId="11" borderId="27" xfId="0" applyFill="1" applyBorder="1" applyAlignment="1">
      <alignment horizontal="center" vertical="center" wrapText="1"/>
    </xf>
    <xf numFmtId="0" fontId="0" fillId="11" borderId="26" xfId="0" applyFill="1" applyBorder="1" applyAlignment="1">
      <alignment horizontal="center" vertical="center" wrapText="1"/>
    </xf>
    <xf numFmtId="0" fontId="0" fillId="0" borderId="21" xfId="0" applyBorder="1" applyAlignment="1">
      <alignment horizontal="left" vertical="center" wrapText="1"/>
    </xf>
    <xf numFmtId="0" fontId="0" fillId="0" borderId="0" xfId="0" applyAlignment="1">
      <alignment horizontal="left" vertical="center" wrapText="1"/>
    </xf>
    <xf numFmtId="0" fontId="0" fillId="0" borderId="16" xfId="0" applyBorder="1" applyAlignment="1">
      <alignment horizontal="left" vertical="center" wrapText="1"/>
    </xf>
    <xf numFmtId="0" fontId="0" fillId="3" borderId="0" xfId="0" applyFill="1" applyAlignment="1">
      <alignment horizontal="left" vertical="center" wrapText="1"/>
    </xf>
    <xf numFmtId="0" fontId="0" fillId="29" borderId="40" xfId="0" applyFill="1" applyBorder="1" applyAlignment="1">
      <alignment horizontal="left" vertical="top" wrapText="1"/>
    </xf>
    <xf numFmtId="0" fontId="0" fillId="31" borderId="40" xfId="0" applyFill="1" applyBorder="1" applyAlignment="1">
      <alignment horizontal="left" vertical="top" wrapText="1"/>
    </xf>
    <xf numFmtId="0" fontId="0" fillId="29" borderId="44" xfId="0" applyFill="1" applyBorder="1" applyAlignment="1">
      <alignment horizontal="center" vertical="center" wrapText="1"/>
    </xf>
    <xf numFmtId="0" fontId="0" fillId="25" borderId="45" xfId="0" applyFill="1" applyBorder="1" applyAlignment="1">
      <alignment horizontal="left" vertical="center" wrapText="1"/>
    </xf>
    <xf numFmtId="14" fontId="0" fillId="31" borderId="45" xfId="0" applyNumberFormat="1" applyFill="1" applyBorder="1" applyAlignment="1">
      <alignment horizontal="left" vertical="center" wrapText="1"/>
    </xf>
    <xf numFmtId="0" fontId="0" fillId="31" borderId="45" xfId="0" applyFill="1" applyBorder="1" applyAlignment="1">
      <alignment horizontal="left" vertical="center" wrapText="1"/>
    </xf>
    <xf numFmtId="0" fontId="0" fillId="0" borderId="45" xfId="0" quotePrefix="1" applyBorder="1" applyAlignment="1">
      <alignment horizontal="left" vertical="center" wrapText="1"/>
    </xf>
    <xf numFmtId="14" fontId="0" fillId="0" borderId="45" xfId="0" applyNumberFormat="1" applyBorder="1" applyAlignment="1">
      <alignment horizontal="left" vertical="center" wrapText="1"/>
    </xf>
    <xf numFmtId="0" fontId="0" fillId="29" borderId="45" xfId="0" applyFill="1" applyBorder="1" applyAlignment="1">
      <alignment horizontal="left" vertical="top" wrapText="1"/>
    </xf>
    <xf numFmtId="0" fontId="0" fillId="16" borderId="24" xfId="0" applyFill="1" applyBorder="1" applyAlignment="1">
      <alignment horizontal="center" wrapText="1"/>
    </xf>
    <xf numFmtId="0" fontId="0" fillId="10" borderId="3" xfId="0" applyFill="1" applyBorder="1" applyAlignment="1">
      <alignment horizontal="center" vertical="center" wrapText="1"/>
    </xf>
    <xf numFmtId="0" fontId="0" fillId="29" borderId="108" xfId="0" applyFill="1" applyBorder="1" applyAlignment="1">
      <alignment horizontal="center" vertical="center" wrapText="1"/>
    </xf>
    <xf numFmtId="0" fontId="0" fillId="29" borderId="110" xfId="0" applyFill="1" applyBorder="1" applyAlignment="1">
      <alignment horizontal="center" vertical="center" wrapText="1"/>
    </xf>
    <xf numFmtId="0" fontId="0" fillId="29" borderId="88" xfId="0" applyFill="1" applyBorder="1" applyAlignment="1">
      <alignment horizontal="center" vertical="center" wrapText="1"/>
    </xf>
    <xf numFmtId="0" fontId="0" fillId="25" borderId="45" xfId="0" applyFill="1" applyBorder="1" applyAlignment="1">
      <alignment horizontal="center" vertical="center" wrapText="1"/>
    </xf>
    <xf numFmtId="0" fontId="0" fillId="30" borderId="107" xfId="0" applyFill="1" applyBorder="1" applyAlignment="1">
      <alignment horizontal="center" vertical="center" wrapText="1"/>
    </xf>
    <xf numFmtId="0" fontId="0" fillId="30" borderId="111" xfId="0" applyFill="1" applyBorder="1" applyAlignment="1">
      <alignment horizontal="center" vertical="center" wrapText="1"/>
    </xf>
    <xf numFmtId="0" fontId="0" fillId="30" borderId="86" xfId="0" applyFill="1" applyBorder="1" applyAlignment="1">
      <alignment horizontal="center" vertical="center" wrapText="1"/>
    </xf>
    <xf numFmtId="0" fontId="0" fillId="30" borderId="96" xfId="0" applyFill="1" applyBorder="1" applyAlignment="1">
      <alignment horizontal="left" vertical="top" wrapText="1"/>
    </xf>
    <xf numFmtId="0" fontId="0" fillId="30" borderId="109" xfId="0" applyFill="1" applyBorder="1" applyAlignment="1">
      <alignment horizontal="left" vertical="top" wrapText="1"/>
    </xf>
    <xf numFmtId="0" fontId="0" fillId="30" borderId="87" xfId="0" applyFill="1" applyBorder="1" applyAlignment="1">
      <alignment horizontal="left" vertical="top" wrapText="1"/>
    </xf>
    <xf numFmtId="0" fontId="0" fillId="30" borderId="96" xfId="0" applyFill="1" applyBorder="1" applyAlignment="1">
      <alignment horizontal="center" vertical="center" wrapText="1"/>
    </xf>
    <xf numFmtId="0" fontId="0" fillId="30" borderId="109" xfId="0" applyFill="1" applyBorder="1" applyAlignment="1">
      <alignment horizontal="center" vertical="center" wrapText="1"/>
    </xf>
    <xf numFmtId="0" fontId="0" fillId="30" borderId="87" xfId="0" applyFill="1" applyBorder="1" applyAlignment="1">
      <alignment horizontal="center" vertical="center" wrapText="1"/>
    </xf>
    <xf numFmtId="0" fontId="0" fillId="13" borderId="40" xfId="0" applyFill="1" applyBorder="1" applyAlignment="1">
      <alignment horizontal="center" vertical="center" wrapText="1"/>
    </xf>
    <xf numFmtId="0" fontId="0" fillId="0" borderId="78" xfId="0" applyBorder="1" applyAlignment="1">
      <alignment horizontal="center" vertical="center" wrapText="1"/>
    </xf>
    <xf numFmtId="0" fontId="0" fillId="0" borderId="79" xfId="0" applyBorder="1" applyAlignment="1">
      <alignment horizontal="center" vertical="center" wrapText="1"/>
    </xf>
    <xf numFmtId="0" fontId="0" fillId="0" borderId="80" xfId="0" applyBorder="1" applyAlignment="1">
      <alignment horizontal="center" vertical="center" wrapText="1"/>
    </xf>
    <xf numFmtId="0" fontId="0" fillId="10" borderId="108" xfId="0" applyFill="1" applyBorder="1" applyAlignment="1">
      <alignment horizontal="left" vertical="center" wrapText="1"/>
    </xf>
    <xf numFmtId="0" fontId="0" fillId="10" borderId="110" xfId="0" applyFill="1" applyBorder="1" applyAlignment="1">
      <alignment horizontal="left" vertical="center" wrapText="1"/>
    </xf>
    <xf numFmtId="0" fontId="0" fillId="31" borderId="133" xfId="0" applyFill="1" applyBorder="1" applyAlignment="1">
      <alignment horizontal="center" vertical="center" wrapText="1"/>
    </xf>
    <xf numFmtId="0" fontId="0" fillId="31" borderId="121" xfId="0" applyFill="1" applyBorder="1" applyAlignment="1">
      <alignment horizontal="center" vertical="center" wrapText="1"/>
    </xf>
    <xf numFmtId="0" fontId="0" fillId="31" borderId="134" xfId="0" applyFill="1" applyBorder="1" applyAlignment="1">
      <alignment horizontal="center" vertical="center" wrapText="1"/>
    </xf>
    <xf numFmtId="14" fontId="0" fillId="17" borderId="45" xfId="0" applyNumberFormat="1" applyFill="1" applyBorder="1" applyAlignment="1">
      <alignment horizontal="center" vertical="center" wrapText="1"/>
    </xf>
    <xf numFmtId="14" fontId="0" fillId="0" borderId="108" xfId="0" applyNumberFormat="1" applyBorder="1" applyAlignment="1">
      <alignment horizontal="center" vertical="center" wrapText="1"/>
    </xf>
    <xf numFmtId="0" fontId="0" fillId="10" borderId="25" xfId="0" applyFill="1" applyBorder="1" applyAlignment="1">
      <alignment horizontal="center" vertical="center" wrapText="1"/>
    </xf>
    <xf numFmtId="0" fontId="0" fillId="10" borderId="26" xfId="0" applyFill="1" applyBorder="1" applyAlignment="1">
      <alignment horizontal="center" vertical="center" wrapText="1"/>
    </xf>
    <xf numFmtId="0" fontId="0" fillId="10" borderId="27" xfId="0" applyFill="1" applyBorder="1" applyAlignment="1">
      <alignment horizontal="center" vertical="center" wrapText="1"/>
    </xf>
    <xf numFmtId="0" fontId="0" fillId="17" borderId="40" xfId="0" applyFill="1" applyBorder="1" applyAlignment="1">
      <alignment horizontal="left" vertical="top" wrapText="1"/>
    </xf>
    <xf numFmtId="0" fontId="0" fillId="13" borderId="76" xfId="0" applyFill="1" applyBorder="1" applyAlignment="1">
      <alignment horizontal="left" vertical="center" wrapText="1"/>
    </xf>
    <xf numFmtId="0" fontId="0" fillId="26" borderId="81" xfId="0" applyFill="1" applyBorder="1" applyAlignment="1">
      <alignment horizontal="center" vertical="center" wrapText="1"/>
    </xf>
    <xf numFmtId="14" fontId="0" fillId="26" borderId="45" xfId="0" applyNumberFormat="1" applyFill="1" applyBorder="1" applyAlignment="1">
      <alignment horizontal="left" vertical="center" wrapText="1"/>
    </xf>
    <xf numFmtId="0" fontId="0" fillId="26" borderId="45" xfId="0" applyFill="1" applyBorder="1" applyAlignment="1">
      <alignment horizontal="left" vertical="center" wrapText="1"/>
    </xf>
    <xf numFmtId="0" fontId="11" fillId="22" borderId="75" xfId="0" applyFont="1" applyFill="1" applyBorder="1" applyAlignment="1">
      <alignment horizontal="center" vertical="center"/>
    </xf>
    <xf numFmtId="0" fontId="0" fillId="5" borderId="56" xfId="0" applyFill="1" applyBorder="1" applyAlignment="1">
      <alignment horizontal="center" vertical="center" wrapText="1"/>
    </xf>
    <xf numFmtId="14" fontId="0" fillId="5" borderId="45" xfId="0" applyNumberFormat="1" applyFill="1" applyBorder="1" applyAlignment="1">
      <alignment horizontal="center" vertical="center" wrapText="1"/>
    </xf>
    <xf numFmtId="0" fontId="0" fillId="31" borderId="80" xfId="0" applyFill="1" applyBorder="1" applyAlignment="1">
      <alignment horizontal="center" vertical="center" wrapText="1"/>
    </xf>
    <xf numFmtId="0" fontId="0" fillId="13" borderId="45" xfId="0" applyFill="1" applyBorder="1" applyAlignment="1">
      <alignment vertical="center" wrapText="1"/>
    </xf>
    <xf numFmtId="0" fontId="0" fillId="13" borderId="48" xfId="0" applyFill="1" applyBorder="1" applyAlignment="1">
      <alignment vertical="center" wrapText="1"/>
    </xf>
    <xf numFmtId="0" fontId="0" fillId="10" borderId="24" xfId="0" applyFill="1" applyBorder="1" applyAlignment="1">
      <alignment horizontal="center" vertical="center" wrapText="1"/>
    </xf>
    <xf numFmtId="0" fontId="0" fillId="0" borderId="45" xfId="0" applyBorder="1" applyAlignment="1">
      <alignment vertical="center" wrapText="1"/>
    </xf>
    <xf numFmtId="0" fontId="0" fillId="11" borderId="24" xfId="0" applyFill="1" applyBorder="1" applyAlignment="1">
      <alignment horizontal="center" vertical="center" wrapText="1"/>
    </xf>
    <xf numFmtId="0" fontId="0" fillId="31" borderId="74" xfId="0" applyFill="1" applyBorder="1" applyAlignment="1">
      <alignment horizontal="center" vertical="center" wrapText="1"/>
    </xf>
    <xf numFmtId="0" fontId="0" fillId="31" borderId="47" xfId="0" applyFill="1" applyBorder="1" applyAlignment="1">
      <alignment horizontal="center" vertical="center" wrapText="1"/>
    </xf>
    <xf numFmtId="0" fontId="15" fillId="30" borderId="107" xfId="0" applyFont="1" applyFill="1" applyBorder="1" applyAlignment="1">
      <alignment horizontal="center" vertical="center" wrapText="1"/>
    </xf>
    <xf numFmtId="0" fontId="15" fillId="30" borderId="111" xfId="0" applyFont="1" applyFill="1" applyBorder="1" applyAlignment="1">
      <alignment horizontal="center" vertical="center" wrapText="1"/>
    </xf>
    <xf numFmtId="0" fontId="15" fillId="30" borderId="86" xfId="0" applyFont="1" applyFill="1" applyBorder="1" applyAlignment="1">
      <alignment horizontal="center" vertical="center" wrapText="1"/>
    </xf>
    <xf numFmtId="0" fontId="1" fillId="30" borderId="96" xfId="0" applyFont="1" applyFill="1" applyBorder="1" applyAlignment="1">
      <alignment horizontal="left" vertical="top" wrapText="1"/>
    </xf>
    <xf numFmtId="0" fontId="0" fillId="17" borderId="96" xfId="0" applyFill="1" applyBorder="1" applyAlignment="1">
      <alignment horizontal="left" vertical="top" wrapText="1"/>
    </xf>
    <xf numFmtId="0" fontId="0" fillId="17" borderId="109" xfId="0" applyFill="1" applyBorder="1" applyAlignment="1">
      <alignment horizontal="left" vertical="top" wrapText="1"/>
    </xf>
    <xf numFmtId="0" fontId="0" fillId="17" borderId="87" xfId="0" applyFill="1" applyBorder="1" applyAlignment="1">
      <alignment horizontal="left" vertical="top" wrapText="1"/>
    </xf>
    <xf numFmtId="0" fontId="0" fillId="23" borderId="45" xfId="0" applyFill="1" applyBorder="1" applyAlignment="1">
      <alignment horizontal="left" vertical="top" wrapText="1"/>
    </xf>
    <xf numFmtId="0" fontId="0" fillId="16" borderId="45" xfId="0" applyFill="1" applyBorder="1" applyAlignment="1">
      <alignment horizontal="left" vertical="top" wrapText="1"/>
    </xf>
    <xf numFmtId="0" fontId="0" fillId="17" borderId="107" xfId="0" applyFill="1" applyBorder="1" applyAlignment="1">
      <alignment horizontal="center" vertical="center" wrapText="1"/>
    </xf>
    <xf numFmtId="0" fontId="0" fillId="17" borderId="111" xfId="0" applyFill="1" applyBorder="1" applyAlignment="1">
      <alignment horizontal="center" vertical="center" wrapText="1"/>
    </xf>
    <xf numFmtId="0" fontId="0" fillId="17" borderId="86" xfId="0" applyFill="1" applyBorder="1" applyAlignment="1">
      <alignment horizontal="center" vertical="center" wrapText="1"/>
    </xf>
    <xf numFmtId="0" fontId="0" fillId="30" borderId="44" xfId="0" applyFill="1" applyBorder="1" applyAlignment="1">
      <alignment horizontal="center" vertical="center" wrapText="1"/>
    </xf>
    <xf numFmtId="0" fontId="0" fillId="17" borderId="40" xfId="0" quotePrefix="1" applyFill="1" applyBorder="1" applyAlignment="1">
      <alignment horizontal="left" vertical="center" wrapText="1"/>
    </xf>
    <xf numFmtId="0" fontId="0" fillId="16" borderId="45" xfId="0" applyFill="1" applyBorder="1" applyAlignment="1">
      <alignment horizontal="left" vertical="center" wrapText="1"/>
    </xf>
    <xf numFmtId="14" fontId="0" fillId="17" borderId="45" xfId="0" quotePrefix="1" applyNumberFormat="1" applyFill="1" applyBorder="1" applyAlignment="1">
      <alignment horizontal="left" vertical="center" wrapText="1"/>
    </xf>
    <xf numFmtId="14" fontId="0" fillId="0" borderId="45" xfId="0" quotePrefix="1" applyNumberFormat="1" applyBorder="1" applyAlignment="1">
      <alignment horizontal="left" vertical="center" wrapText="1"/>
    </xf>
    <xf numFmtId="0" fontId="0" fillId="31" borderId="48" xfId="0" applyFill="1" applyBorder="1" applyAlignment="1">
      <alignment horizontal="left" vertical="center" wrapText="1"/>
    </xf>
    <xf numFmtId="0" fontId="0" fillId="3" borderId="32" xfId="0" applyFill="1" applyBorder="1" applyAlignment="1">
      <alignment horizontal="left" vertical="center" wrapText="1"/>
    </xf>
    <xf numFmtId="0" fontId="0" fillId="31" borderId="47" xfId="0" applyFill="1" applyBorder="1" applyAlignment="1">
      <alignment horizontal="left" vertical="center" wrapText="1"/>
    </xf>
    <xf numFmtId="0" fontId="0" fillId="10" borderId="47" xfId="0" applyFill="1" applyBorder="1" applyAlignment="1">
      <alignment horizontal="center" vertical="center" wrapText="1"/>
    </xf>
    <xf numFmtId="0" fontId="0" fillId="10" borderId="48" xfId="0" applyFill="1" applyBorder="1" applyAlignment="1">
      <alignment horizontal="center" vertical="center" wrapText="1"/>
    </xf>
    <xf numFmtId="0" fontId="0" fillId="31" borderId="46" xfId="0" applyFill="1" applyBorder="1" applyAlignment="1">
      <alignment horizontal="center" vertical="center" wrapText="1"/>
    </xf>
    <xf numFmtId="0" fontId="0" fillId="0" borderId="47" xfId="0" applyBorder="1" applyAlignment="1">
      <alignment horizontal="left" vertical="center" wrapText="1"/>
    </xf>
    <xf numFmtId="0" fontId="0" fillId="0" borderId="48" xfId="0" applyBorder="1" applyAlignment="1">
      <alignment horizontal="left" vertical="center" wrapText="1"/>
    </xf>
    <xf numFmtId="0" fontId="0" fillId="0" borderId="46" xfId="0" applyBorder="1" applyAlignment="1">
      <alignment horizontal="left" vertical="center" wrapText="1"/>
    </xf>
    <xf numFmtId="0" fontId="0" fillId="17" borderId="47" xfId="0" applyFill="1" applyBorder="1" applyAlignment="1">
      <alignment horizontal="center" vertical="center" wrapText="1"/>
    </xf>
    <xf numFmtId="0" fontId="0" fillId="17" borderId="74" xfId="0" applyFill="1" applyBorder="1" applyAlignment="1">
      <alignment horizontal="center" vertical="center" wrapText="1"/>
    </xf>
    <xf numFmtId="0" fontId="0" fillId="0" borderId="40" xfId="0" applyBorder="1" applyAlignment="1">
      <alignment horizontal="left" vertical="center"/>
    </xf>
    <xf numFmtId="14" fontId="0" fillId="0" borderId="110" xfId="0" applyNumberFormat="1" applyBorder="1" applyAlignment="1">
      <alignment horizontal="center" vertical="center" wrapText="1"/>
    </xf>
    <xf numFmtId="14" fontId="0" fillId="0" borderId="88" xfId="0" applyNumberFormat="1" applyBorder="1" applyAlignment="1">
      <alignment horizontal="center" vertical="center" wrapText="1"/>
    </xf>
    <xf numFmtId="14" fontId="0" fillId="25" borderId="45" xfId="0" applyNumberFormat="1" applyFill="1" applyBorder="1" applyAlignment="1">
      <alignment horizontal="center" vertical="center" wrapText="1"/>
    </xf>
    <xf numFmtId="0" fontId="0" fillId="0" borderId="96" xfId="0" applyBorder="1" applyAlignment="1">
      <alignment horizontal="left" vertical="top" wrapText="1"/>
    </xf>
    <xf numFmtId="0" fontId="10" fillId="25" borderId="40" xfId="0" applyFont="1" applyFill="1" applyBorder="1" applyAlignment="1">
      <alignment horizontal="left" vertical="top" wrapText="1"/>
    </xf>
    <xf numFmtId="0" fontId="10" fillId="25" borderId="40" xfId="0" applyFont="1" applyFill="1" applyBorder="1" applyAlignment="1">
      <alignment horizontal="center" vertical="center" wrapText="1"/>
    </xf>
    <xf numFmtId="0" fontId="15" fillId="31" borderId="44" xfId="0" applyFont="1" applyFill="1" applyBorder="1" applyAlignment="1">
      <alignment horizontal="center" vertical="center" wrapText="1"/>
    </xf>
    <xf numFmtId="0" fontId="10" fillId="25" borderId="44" xfId="0" applyFont="1" applyFill="1" applyBorder="1" applyAlignment="1">
      <alignment horizontal="center" vertical="center" wrapText="1"/>
    </xf>
    <xf numFmtId="0" fontId="10" fillId="25" borderId="45" xfId="0" applyFont="1" applyFill="1" applyBorder="1" applyAlignment="1">
      <alignment horizontal="center" vertical="center" wrapText="1"/>
    </xf>
    <xf numFmtId="0" fontId="15" fillId="17" borderId="40" xfId="0" applyFont="1" applyFill="1" applyBorder="1" applyAlignment="1">
      <alignment horizontal="center" vertical="center" wrapText="1"/>
    </xf>
    <xf numFmtId="0" fontId="0" fillId="0" borderId="32" xfId="0" applyBorder="1" applyAlignment="1">
      <alignment horizontal="left" vertical="center" wrapText="1"/>
    </xf>
    <xf numFmtId="0" fontId="0" fillId="0" borderId="46" xfId="0" applyBorder="1" applyAlignment="1">
      <alignment horizontal="center" vertical="center" wrapText="1"/>
    </xf>
    <xf numFmtId="0" fontId="0" fillId="0" borderId="47" xfId="0" applyBorder="1" applyAlignment="1">
      <alignment horizontal="center" vertical="center" wrapText="1"/>
    </xf>
    <xf numFmtId="14" fontId="15" fillId="17" borderId="45" xfId="0" applyNumberFormat="1" applyFont="1" applyFill="1" applyBorder="1" applyAlignment="1">
      <alignment horizontal="center" vertical="center" wrapText="1"/>
    </xf>
    <xf numFmtId="0" fontId="0" fillId="17" borderId="48" xfId="0" applyFill="1" applyBorder="1" applyAlignment="1">
      <alignment horizontal="center" vertical="center" wrapText="1"/>
    </xf>
    <xf numFmtId="0" fontId="0" fillId="14" borderId="45" xfId="0" applyFill="1" applyBorder="1" applyAlignment="1">
      <alignment horizontal="center" vertical="center" wrapText="1"/>
    </xf>
    <xf numFmtId="0" fontId="0" fillId="17" borderId="44" xfId="0" applyFill="1" applyBorder="1" applyAlignment="1">
      <alignment horizontal="left" vertical="center"/>
    </xf>
    <xf numFmtId="0" fontId="0" fillId="17" borderId="46" xfId="0" applyFill="1" applyBorder="1" applyAlignment="1">
      <alignment horizontal="left" vertical="center"/>
    </xf>
    <xf numFmtId="14" fontId="0" fillId="17" borderId="45" xfId="0" applyNumberFormat="1" applyFill="1" applyBorder="1" applyAlignment="1">
      <alignment horizontal="left" vertical="center" wrapText="1"/>
    </xf>
    <xf numFmtId="0" fontId="0" fillId="13" borderId="44" xfId="0" applyFill="1" applyBorder="1" applyAlignment="1">
      <alignment horizontal="left" vertical="center"/>
    </xf>
    <xf numFmtId="0" fontId="0" fillId="13" borderId="40" xfId="0" applyFill="1" applyBorder="1" applyAlignment="1">
      <alignment horizontal="left" vertical="center"/>
    </xf>
    <xf numFmtId="0" fontId="0" fillId="14" borderId="40" xfId="0" applyFill="1" applyBorder="1" applyAlignment="1">
      <alignment horizontal="left" vertical="center"/>
    </xf>
    <xf numFmtId="0" fontId="0" fillId="25" borderId="56" xfId="0" applyFill="1" applyBorder="1" applyAlignment="1">
      <alignment horizontal="center" vertical="center" wrapText="1"/>
    </xf>
    <xf numFmtId="14" fontId="0" fillId="5" borderId="45" xfId="0" applyNumberFormat="1" applyFill="1" applyBorder="1" applyAlignment="1">
      <alignment horizontal="left" vertical="center" wrapText="1"/>
    </xf>
    <xf numFmtId="0" fontId="0" fillId="25" borderId="45" xfId="0" applyFill="1" applyBorder="1" applyAlignment="1">
      <alignment horizontal="left" vertical="top" wrapText="1"/>
    </xf>
    <xf numFmtId="0" fontId="0" fillId="17" borderId="40" xfId="0" applyFill="1" applyBorder="1" applyAlignment="1">
      <alignment horizontal="left" vertical="center"/>
    </xf>
    <xf numFmtId="0" fontId="0" fillId="5" borderId="40" xfId="0" applyFill="1" applyBorder="1" applyAlignment="1">
      <alignment horizontal="left" vertical="top" wrapText="1"/>
    </xf>
    <xf numFmtId="0" fontId="15" fillId="20" borderId="44" xfId="0" applyFont="1" applyFill="1" applyBorder="1" applyAlignment="1">
      <alignment horizontal="center" vertical="center" wrapText="1"/>
    </xf>
    <xf numFmtId="0" fontId="0" fillId="14" borderId="44" xfId="0" applyFill="1" applyBorder="1" applyAlignment="1">
      <alignment horizontal="left" vertical="center"/>
    </xf>
    <xf numFmtId="0" fontId="0" fillId="5" borderId="21" xfId="0" applyFill="1" applyBorder="1" applyAlignment="1">
      <alignment horizontal="left" vertical="center" wrapText="1"/>
    </xf>
    <xf numFmtId="0" fontId="0" fillId="5" borderId="0" xfId="0" applyFill="1" applyAlignment="1">
      <alignment horizontal="left" vertical="center" wrapText="1"/>
    </xf>
    <xf numFmtId="0" fontId="0" fillId="5" borderId="16" xfId="0" applyFill="1" applyBorder="1" applyAlignment="1">
      <alignment horizontal="left" vertical="center" wrapText="1"/>
    </xf>
    <xf numFmtId="0" fontId="0" fillId="6" borderId="44" xfId="0" applyFill="1" applyBorder="1" applyAlignment="1">
      <alignment horizontal="center" vertical="center" wrapText="1"/>
    </xf>
    <xf numFmtId="0" fontId="0" fillId="6" borderId="40" xfId="0" applyFill="1" applyBorder="1" applyAlignment="1">
      <alignment horizontal="center" vertical="center" wrapText="1"/>
    </xf>
    <xf numFmtId="0" fontId="0" fillId="6" borderId="45" xfId="0" applyFill="1" applyBorder="1" applyAlignment="1">
      <alignment horizontal="left" vertical="center" wrapText="1"/>
    </xf>
    <xf numFmtId="0" fontId="0" fillId="6" borderId="21" xfId="0" applyFill="1" applyBorder="1" applyAlignment="1">
      <alignment horizontal="left" vertical="center" wrapText="1"/>
    </xf>
    <xf numFmtId="0" fontId="0" fillId="6" borderId="0" xfId="0" applyFill="1" applyAlignment="1">
      <alignment horizontal="left" vertical="center" wrapText="1"/>
    </xf>
    <xf numFmtId="0" fontId="0" fillId="6" borderId="16" xfId="0" applyFill="1" applyBorder="1" applyAlignment="1">
      <alignment horizontal="left" vertical="center" wrapText="1"/>
    </xf>
    <xf numFmtId="0" fontId="0" fillId="11" borderId="40" xfId="0" applyFill="1" applyBorder="1" applyAlignment="1">
      <alignment horizontal="center" vertical="center" wrapText="1"/>
    </xf>
    <xf numFmtId="0" fontId="0" fillId="11" borderId="45" xfId="0" applyFill="1" applyBorder="1" applyAlignment="1">
      <alignment horizontal="center" vertical="center" wrapText="1"/>
    </xf>
    <xf numFmtId="0" fontId="0" fillId="17" borderId="21" xfId="0" applyFill="1" applyBorder="1" applyAlignment="1">
      <alignment horizontal="left" vertical="center" wrapText="1"/>
    </xf>
    <xf numFmtId="0" fontId="0" fillId="17" borderId="0" xfId="0" applyFill="1" applyAlignment="1">
      <alignment horizontal="left" vertical="center" wrapText="1"/>
    </xf>
    <xf numFmtId="0" fontId="0" fillId="17" borderId="16" xfId="0" applyFill="1" applyBorder="1" applyAlignment="1">
      <alignment horizontal="left" vertical="center" wrapText="1"/>
    </xf>
    <xf numFmtId="0" fontId="15" fillId="25" borderId="44" xfId="0" applyFont="1" applyFill="1" applyBorder="1" applyAlignment="1">
      <alignment horizontal="center" vertical="center" wrapText="1"/>
    </xf>
    <xf numFmtId="0" fontId="0" fillId="17" borderId="2" xfId="0" applyFill="1" applyBorder="1" applyAlignment="1">
      <alignment horizontal="left" vertical="center" wrapText="1"/>
    </xf>
    <xf numFmtId="0" fontId="11" fillId="21" borderId="84" xfId="0" applyFont="1" applyFill="1" applyBorder="1" applyAlignment="1">
      <alignment horizontal="center" vertical="center"/>
    </xf>
    <xf numFmtId="0" fontId="11" fillId="21" borderId="85" xfId="0" applyFont="1" applyFill="1" applyBorder="1" applyAlignment="1">
      <alignment horizontal="center" vertical="center"/>
    </xf>
    <xf numFmtId="0" fontId="11" fillId="21" borderId="105" xfId="0" applyFont="1" applyFill="1" applyBorder="1" applyAlignment="1">
      <alignment horizontal="center" vertical="center"/>
    </xf>
    <xf numFmtId="0" fontId="11" fillId="21" borderId="83" xfId="0" applyFont="1" applyFill="1" applyBorder="1" applyAlignment="1">
      <alignment horizontal="center" vertical="center"/>
    </xf>
    <xf numFmtId="0" fontId="12" fillId="0" borderId="62" xfId="0" applyFont="1" applyBorder="1" applyAlignment="1">
      <alignment horizontal="left" vertical="top" wrapText="1"/>
    </xf>
    <xf numFmtId="0" fontId="12" fillId="0" borderId="59" xfId="0" applyFont="1" applyBorder="1" applyAlignment="1">
      <alignment horizontal="left" vertical="top" wrapText="1"/>
    </xf>
    <xf numFmtId="0" fontId="12" fillId="0" borderId="58" xfId="0" applyFont="1" applyBorder="1" applyAlignment="1">
      <alignment horizontal="left" vertical="top" wrapText="1"/>
    </xf>
    <xf numFmtId="0" fontId="12" fillId="0" borderId="68" xfId="0" applyFont="1" applyBorder="1" applyAlignment="1">
      <alignment vertical="top" wrapText="1"/>
    </xf>
    <xf numFmtId="0" fontId="12" fillId="0" borderId="70" xfId="0" applyFont="1" applyBorder="1" applyAlignment="1">
      <alignment vertical="top" wrapText="1"/>
    </xf>
    <xf numFmtId="0" fontId="12" fillId="0" borderId="73" xfId="0" applyFont="1" applyBorder="1" applyAlignment="1">
      <alignment vertical="top" wrapText="1"/>
    </xf>
    <xf numFmtId="0" fontId="12" fillId="0" borderId="62" xfId="0" applyFont="1" applyBorder="1" applyAlignment="1">
      <alignment vertical="top" wrapText="1"/>
    </xf>
    <xf numFmtId="0" fontId="12" fillId="0" borderId="59" xfId="0" applyFont="1" applyBorder="1" applyAlignment="1">
      <alignment vertical="top" wrapText="1"/>
    </xf>
    <xf numFmtId="0" fontId="12" fillId="0" borderId="63" xfId="0" applyFont="1" applyBorder="1" applyAlignment="1">
      <alignment vertical="top" wrapText="1"/>
    </xf>
    <xf numFmtId="0" fontId="12" fillId="0" borderId="58" xfId="0" applyFont="1" applyBorder="1" applyAlignment="1">
      <alignment vertical="top" wrapText="1"/>
    </xf>
    <xf numFmtId="0" fontId="12" fillId="35" borderId="59" xfId="0" applyFont="1" applyFill="1" applyBorder="1" applyAlignment="1">
      <alignment vertical="top" wrapText="1"/>
    </xf>
    <xf numFmtId="0" fontId="12" fillId="35" borderId="63" xfId="0" applyFont="1" applyFill="1" applyBorder="1" applyAlignment="1">
      <alignment vertical="top" wrapText="1"/>
    </xf>
    <xf numFmtId="0" fontId="12" fillId="35" borderId="62" xfId="0" applyFont="1" applyFill="1" applyBorder="1" applyAlignment="1">
      <alignment vertical="top" wrapText="1"/>
    </xf>
    <xf numFmtId="0" fontId="0" fillId="0" borderId="105" xfId="0" applyBorder="1" applyAlignment="1">
      <alignment horizontal="left" vertical="top" wrapText="1"/>
    </xf>
    <xf numFmtId="0" fontId="0" fillId="0" borderId="110" xfId="0" applyBorder="1" applyAlignment="1">
      <alignment horizontal="left" vertical="top" wrapText="1"/>
    </xf>
    <xf numFmtId="0" fontId="0" fillId="39" borderId="102" xfId="0" applyFill="1" applyBorder="1" applyAlignment="1">
      <alignment horizontal="center" vertical="center"/>
    </xf>
    <xf numFmtId="0" fontId="0" fillId="39" borderId="79" xfId="0" applyFill="1" applyBorder="1" applyAlignment="1">
      <alignment horizontal="center" vertical="center"/>
    </xf>
    <xf numFmtId="0" fontId="12" fillId="0" borderId="105" xfId="0" applyFont="1" applyBorder="1" applyAlignment="1">
      <alignment horizontal="left" vertical="top" wrapText="1"/>
    </xf>
    <xf numFmtId="0" fontId="12" fillId="0" borderId="110" xfId="0" applyFont="1" applyBorder="1" applyAlignment="1">
      <alignment horizontal="left" vertical="top" wrapText="1"/>
    </xf>
    <xf numFmtId="0" fontId="12" fillId="39" borderId="102" xfId="0" quotePrefix="1" applyFont="1" applyFill="1" applyBorder="1" applyAlignment="1">
      <alignment horizontal="center" vertical="center" wrapText="1"/>
    </xf>
    <xf numFmtId="0" fontId="12" fillId="39" borderId="79" xfId="0" quotePrefix="1" applyFont="1" applyFill="1" applyBorder="1" applyAlignment="1">
      <alignment horizontal="center" vertical="center" wrapText="1"/>
    </xf>
    <xf numFmtId="0" fontId="0" fillId="39" borderId="102" xfId="0" applyFill="1" applyBorder="1" applyAlignment="1">
      <alignment horizontal="center" vertical="center" wrapText="1"/>
    </xf>
    <xf numFmtId="0" fontId="0" fillId="39" borderId="79" xfId="0" applyFill="1" applyBorder="1" applyAlignment="1">
      <alignment horizontal="center" vertical="center" wrapText="1"/>
    </xf>
    <xf numFmtId="0" fontId="0" fillId="0" borderId="113" xfId="0" applyBorder="1" applyAlignment="1">
      <alignment horizontal="left" vertical="top" wrapText="1"/>
    </xf>
    <xf numFmtId="0" fontId="0" fillId="39" borderId="106" xfId="0" applyFill="1" applyBorder="1" applyAlignment="1">
      <alignment horizontal="center" vertical="center"/>
    </xf>
    <xf numFmtId="0" fontId="0" fillId="39" borderId="102" xfId="0" quotePrefix="1" applyFill="1" applyBorder="1" applyAlignment="1">
      <alignment horizontal="center" vertical="center" wrapText="1"/>
    </xf>
    <xf numFmtId="0" fontId="0" fillId="39" borderId="79" xfId="0" quotePrefix="1" applyFill="1" applyBorder="1" applyAlignment="1">
      <alignment horizontal="center" vertical="center" wrapText="1"/>
    </xf>
    <xf numFmtId="0" fontId="0" fillId="0" borderId="105" xfId="0" applyBorder="1" applyAlignment="1">
      <alignment horizontal="center" vertical="top" wrapText="1"/>
    </xf>
    <xf numFmtId="0" fontId="0" fillId="0" borderId="110" xfId="0" applyBorder="1" applyAlignment="1">
      <alignment horizontal="center" vertical="top" wrapText="1"/>
    </xf>
    <xf numFmtId="0" fontId="0" fillId="0" borderId="43" xfId="0" applyBorder="1" applyAlignment="1">
      <alignment horizontal="left" vertical="top" wrapText="1"/>
    </xf>
    <xf numFmtId="0" fontId="0" fillId="0" borderId="108" xfId="0" applyBorder="1" applyAlignment="1">
      <alignment horizontal="left" vertical="top" wrapText="1"/>
    </xf>
    <xf numFmtId="0" fontId="0" fillId="39" borderId="50" xfId="0" applyFill="1" applyBorder="1" applyAlignment="1">
      <alignment horizontal="center" vertical="center"/>
    </xf>
    <xf numFmtId="0" fontId="0" fillId="39" borderId="78" xfId="0" applyFill="1" applyBorder="1" applyAlignment="1">
      <alignment horizontal="center" vertical="center"/>
    </xf>
    <xf numFmtId="0" fontId="0" fillId="39" borderId="50" xfId="0" applyFill="1" applyBorder="1" applyAlignment="1">
      <alignment horizontal="center" vertical="center" wrapText="1"/>
    </xf>
    <xf numFmtId="0" fontId="0" fillId="39" borderId="78" xfId="0" applyFill="1" applyBorder="1" applyAlignment="1">
      <alignment horizontal="center" vertical="center" wrapText="1"/>
    </xf>
    <xf numFmtId="0" fontId="10" fillId="39" borderId="50" xfId="0" applyFont="1" applyFill="1" applyBorder="1" applyAlignment="1">
      <alignment horizontal="center" vertical="center" wrapText="1"/>
    </xf>
    <xf numFmtId="0" fontId="10" fillId="39" borderId="56" xfId="0" applyFont="1" applyFill="1" applyBorder="1" applyAlignment="1">
      <alignment horizontal="center" vertical="center" wrapText="1"/>
    </xf>
    <xf numFmtId="0" fontId="10" fillId="39" borderId="78" xfId="0" applyFont="1" applyFill="1" applyBorder="1" applyAlignment="1">
      <alignment horizontal="center" vertical="center" wrapText="1"/>
    </xf>
    <xf numFmtId="0" fontId="0" fillId="39" borderId="56" xfId="0" applyFill="1" applyBorder="1" applyAlignment="1">
      <alignment horizontal="center" vertical="center" wrapText="1"/>
    </xf>
    <xf numFmtId="0" fontId="0" fillId="0" borderId="43" xfId="0" quotePrefix="1" applyBorder="1" applyAlignment="1">
      <alignment horizontal="left" vertical="top" wrapText="1"/>
    </xf>
    <xf numFmtId="0" fontId="0" fillId="0" borderId="45" xfId="0" quotePrefix="1" applyBorder="1" applyAlignment="1">
      <alignment horizontal="left" vertical="top" wrapText="1"/>
    </xf>
    <xf numFmtId="0" fontId="0" fillId="0" borderId="108" xfId="0" quotePrefix="1" applyBorder="1" applyAlignment="1">
      <alignment horizontal="left" vertical="top" wrapText="1"/>
    </xf>
    <xf numFmtId="0" fontId="0" fillId="39" borderId="50" xfId="0" quotePrefix="1" applyFill="1" applyBorder="1" applyAlignment="1">
      <alignment horizontal="center" vertical="center" wrapText="1"/>
    </xf>
    <xf numFmtId="0" fontId="0" fillId="39" borderId="56" xfId="0" quotePrefix="1" applyFill="1" applyBorder="1" applyAlignment="1">
      <alignment horizontal="center" vertical="center" wrapText="1"/>
    </xf>
    <xf numFmtId="0" fontId="0" fillId="39" borderId="78" xfId="0" quotePrefix="1" applyFill="1" applyBorder="1" applyAlignment="1">
      <alignment horizontal="center" vertical="center" wrapText="1"/>
    </xf>
    <xf numFmtId="0" fontId="0" fillId="0" borderId="48" xfId="0" applyBorder="1" applyAlignment="1">
      <alignment horizontal="left" vertical="top" wrapText="1"/>
    </xf>
    <xf numFmtId="0" fontId="0" fillId="39" borderId="74" xfId="0" applyFill="1" applyBorder="1" applyAlignment="1">
      <alignment horizontal="center" vertical="center" wrapText="1"/>
    </xf>
    <xf numFmtId="0" fontId="0" fillId="0" borderId="88" xfId="0" applyBorder="1" applyAlignment="1">
      <alignment horizontal="left" vertical="top" wrapText="1"/>
    </xf>
    <xf numFmtId="0" fontId="0" fillId="0" borderId="42" xfId="0" applyBorder="1" applyAlignment="1">
      <alignment horizontal="center" vertical="top"/>
    </xf>
    <xf numFmtId="0" fontId="0" fillId="0" borderId="40" xfId="0" applyBorder="1" applyAlignment="1">
      <alignment horizontal="center" vertical="top"/>
    </xf>
    <xf numFmtId="0" fontId="0" fillId="0" borderId="47" xfId="0" applyBorder="1" applyAlignment="1">
      <alignment horizontal="center" vertical="top"/>
    </xf>
    <xf numFmtId="0" fontId="0" fillId="39" borderId="43" xfId="0" applyFill="1" applyBorder="1" applyAlignment="1">
      <alignment horizontal="center" vertical="top"/>
    </xf>
    <xf numFmtId="0" fontId="0" fillId="39" borderId="45" xfId="0" applyFill="1" applyBorder="1" applyAlignment="1">
      <alignment horizontal="center" vertical="top"/>
    </xf>
    <xf numFmtId="0" fontId="0" fillId="39" borderId="48" xfId="0" applyFill="1" applyBorder="1" applyAlignment="1">
      <alignment horizontal="center" vertical="top"/>
    </xf>
    <xf numFmtId="0" fontId="21" fillId="15" borderId="128" xfId="0" applyFont="1" applyFill="1" applyBorder="1" applyAlignment="1">
      <alignment horizontal="center"/>
    </xf>
    <xf numFmtId="0" fontId="21" fillId="15" borderId="85" xfId="0" applyFont="1" applyFill="1" applyBorder="1" applyAlignment="1">
      <alignment horizontal="center"/>
    </xf>
    <xf numFmtId="0" fontId="21" fillId="15" borderId="105" xfId="0" applyFont="1" applyFill="1" applyBorder="1" applyAlignment="1">
      <alignment horizontal="center"/>
    </xf>
    <xf numFmtId="0" fontId="5" fillId="37" borderId="128" xfId="0" applyFont="1" applyFill="1" applyBorder="1" applyAlignment="1">
      <alignment horizontal="center" vertical="top"/>
    </xf>
    <xf numFmtId="0" fontId="5" fillId="37" borderId="85" xfId="0" applyFont="1" applyFill="1" applyBorder="1" applyAlignment="1">
      <alignment horizontal="center" vertical="top"/>
    </xf>
    <xf numFmtId="0" fontId="5" fillId="37" borderId="105" xfId="0" applyFont="1" applyFill="1" applyBorder="1" applyAlignment="1">
      <alignment horizontal="center" vertical="top"/>
    </xf>
    <xf numFmtId="0" fontId="5" fillId="23" borderId="116" xfId="0" applyFont="1" applyFill="1" applyBorder="1" applyAlignment="1">
      <alignment horizontal="center"/>
    </xf>
    <xf numFmtId="0" fontId="5" fillId="23" borderId="115" xfId="0" applyFont="1" applyFill="1" applyBorder="1" applyAlignment="1">
      <alignment horizontal="center"/>
    </xf>
    <xf numFmtId="0" fontId="5" fillId="23" borderId="83" xfId="0" applyFont="1" applyFill="1" applyBorder="1" applyAlignment="1">
      <alignment horizontal="center"/>
    </xf>
    <xf numFmtId="0" fontId="12" fillId="39" borderId="80" xfId="0" applyFont="1" applyFill="1" applyBorder="1" applyAlignment="1">
      <alignment horizontal="center" vertical="center" wrapText="1"/>
    </xf>
    <xf numFmtId="0" fontId="12" fillId="39" borderId="56" xfId="0" applyFont="1" applyFill="1" applyBorder="1" applyAlignment="1">
      <alignment horizontal="center" vertical="center" wrapText="1"/>
    </xf>
    <xf numFmtId="0" fontId="12" fillId="39" borderId="78" xfId="0" applyFont="1" applyFill="1" applyBorder="1" applyAlignment="1">
      <alignment horizontal="center" vertical="center" wrapText="1"/>
    </xf>
    <xf numFmtId="0" fontId="0" fillId="39" borderId="80" xfId="0" applyFill="1" applyBorder="1" applyAlignment="1">
      <alignment horizontal="center" vertical="center"/>
    </xf>
    <xf numFmtId="0" fontId="12" fillId="0" borderId="88" xfId="0" applyFont="1" applyBorder="1" applyAlignment="1">
      <alignment horizontal="left" vertical="top" wrapText="1"/>
    </xf>
    <xf numFmtId="0" fontId="12" fillId="0" borderId="45" xfId="0" applyFont="1" applyBorder="1" applyAlignment="1">
      <alignment horizontal="left" vertical="top" wrapText="1"/>
    </xf>
    <xf numFmtId="0" fontId="12" fillId="0" borderId="48" xfId="0" applyFont="1" applyBorder="1" applyAlignment="1">
      <alignment horizontal="left" vertical="top" wrapText="1"/>
    </xf>
    <xf numFmtId="0" fontId="12" fillId="39" borderId="50" xfId="0" applyFont="1" applyFill="1" applyBorder="1" applyAlignment="1">
      <alignment horizontal="center" vertical="center" wrapText="1"/>
    </xf>
    <xf numFmtId="0" fontId="12" fillId="39" borderId="74" xfId="0" applyFont="1" applyFill="1" applyBorder="1" applyAlignment="1">
      <alignment horizontal="center" vertical="center" wrapText="1"/>
    </xf>
    <xf numFmtId="0" fontId="12" fillId="0" borderId="108" xfId="0" applyFont="1" applyBorder="1" applyAlignment="1">
      <alignment horizontal="left" vertical="top" wrapText="1"/>
    </xf>
    <xf numFmtId="0" fontId="21" fillId="28" borderId="89" xfId="0" applyFont="1" applyFill="1" applyBorder="1" applyAlignment="1">
      <alignment horizontal="center"/>
    </xf>
    <xf numFmtId="0" fontId="21" fillId="28" borderId="91" xfId="0" applyFont="1" applyFill="1" applyBorder="1" applyAlignment="1">
      <alignment horizontal="center"/>
    </xf>
    <xf numFmtId="0" fontId="21" fillId="15" borderId="89" xfId="0" applyFont="1" applyFill="1" applyBorder="1" applyAlignment="1">
      <alignment horizontal="center"/>
    </xf>
    <xf numFmtId="0" fontId="21" fillId="15" borderId="90" xfId="0" applyFont="1" applyFill="1" applyBorder="1" applyAlignment="1">
      <alignment horizontal="center"/>
    </xf>
    <xf numFmtId="0" fontId="21" fillId="15" borderId="91" xfId="0" applyFont="1" applyFill="1" applyBorder="1" applyAlignment="1">
      <alignment horizontal="center"/>
    </xf>
    <xf numFmtId="0" fontId="0" fillId="0" borderId="105" xfId="0" applyBorder="1" applyAlignment="1">
      <alignment horizontal="center"/>
    </xf>
    <xf numFmtId="0" fontId="0" fillId="0" borderId="110" xfId="0" applyBorder="1" applyAlignment="1">
      <alignment horizontal="center"/>
    </xf>
    <xf numFmtId="0" fontId="0" fillId="0" borderId="105" xfId="0" applyBorder="1" applyAlignment="1">
      <alignment horizontal="left" vertical="center" wrapText="1"/>
    </xf>
    <xf numFmtId="0" fontId="0" fillId="0" borderId="110" xfId="0" applyBorder="1" applyAlignment="1">
      <alignment horizontal="left" vertical="center" wrapText="1"/>
    </xf>
    <xf numFmtId="0" fontId="0" fillId="0" borderId="43" xfId="0" applyBorder="1" applyAlignment="1">
      <alignment horizontal="center" vertical="top" wrapText="1"/>
    </xf>
    <xf numFmtId="0" fontId="0" fillId="0" borderId="45" xfId="0" applyBorder="1" applyAlignment="1">
      <alignment horizontal="center" vertical="top"/>
    </xf>
    <xf numFmtId="0" fontId="0" fillId="0" borderId="108" xfId="0" applyBorder="1" applyAlignment="1">
      <alignment horizontal="center" vertical="top"/>
    </xf>
    <xf numFmtId="0" fontId="0" fillId="0" borderId="48" xfId="0" applyBorder="1" applyAlignment="1">
      <alignment horizontal="center" vertical="top"/>
    </xf>
    <xf numFmtId="0" fontId="0" fillId="0" borderId="124" xfId="0" applyBorder="1" applyAlignment="1">
      <alignment horizontal="center" vertical="top" wrapText="1"/>
    </xf>
    <xf numFmtId="0" fontId="0" fillId="0" borderId="126" xfId="0" applyBorder="1" applyAlignment="1">
      <alignment horizontal="center" vertical="top"/>
    </xf>
    <xf numFmtId="0" fontId="0" fillId="0" borderId="133" xfId="0" applyBorder="1" applyAlignment="1">
      <alignment horizontal="center" vertical="top"/>
    </xf>
    <xf numFmtId="0" fontId="0" fillId="0" borderId="113" xfId="0" applyBorder="1" applyAlignment="1">
      <alignment horizontal="center" vertical="top" wrapText="1"/>
    </xf>
    <xf numFmtId="0" fontId="0" fillId="0" borderId="88" xfId="0" quotePrefix="1" applyBorder="1" applyAlignment="1">
      <alignment horizontal="center" vertical="top" wrapText="1"/>
    </xf>
    <xf numFmtId="0" fontId="0" fillId="0" borderId="50" xfId="0" applyBorder="1" applyAlignment="1">
      <alignment horizontal="center" vertical="top" wrapText="1"/>
    </xf>
    <xf numFmtId="0" fontId="0" fillId="0" borderId="56" xfId="0" applyBorder="1" applyAlignment="1">
      <alignment horizontal="center" vertical="top"/>
    </xf>
    <xf numFmtId="0" fontId="0" fillId="0" borderId="78" xfId="0" applyBorder="1" applyAlignment="1">
      <alignment horizontal="center" vertical="top"/>
    </xf>
    <xf numFmtId="0" fontId="0" fillId="0" borderId="102" xfId="0" applyBorder="1" applyAlignment="1">
      <alignment horizontal="center" vertical="top" wrapText="1"/>
    </xf>
    <xf numFmtId="0" fontId="0" fillId="0" borderId="79" xfId="0" applyBorder="1" applyAlignment="1">
      <alignment horizontal="center" vertical="top" wrapText="1"/>
    </xf>
    <xf numFmtId="0" fontId="0" fillId="17" borderId="120" xfId="0" applyFill="1" applyBorder="1" applyAlignment="1">
      <alignment horizontal="center" vertical="top" wrapText="1"/>
    </xf>
    <xf numFmtId="0" fontId="0" fillId="17" borderId="121" xfId="0" applyFill="1" applyBorder="1" applyAlignment="1">
      <alignment horizontal="center" vertical="top" wrapText="1"/>
    </xf>
    <xf numFmtId="0" fontId="0" fillId="17" borderId="122" xfId="0" applyFill="1" applyBorder="1" applyAlignment="1">
      <alignment horizontal="center" vertical="top" wrapText="1"/>
    </xf>
    <xf numFmtId="0" fontId="0" fillId="39" borderId="120" xfId="0" applyFill="1" applyBorder="1" applyAlignment="1">
      <alignment horizontal="center" vertical="center"/>
    </xf>
    <xf numFmtId="0" fontId="0" fillId="39" borderId="121" xfId="0" applyFill="1" applyBorder="1" applyAlignment="1">
      <alignment horizontal="center" vertical="center"/>
    </xf>
    <xf numFmtId="0" fontId="0" fillId="39" borderId="122" xfId="0" applyFill="1" applyBorder="1" applyAlignment="1">
      <alignment horizontal="center" vertical="center"/>
    </xf>
    <xf numFmtId="0" fontId="0" fillId="39" borderId="120" xfId="0" applyFill="1" applyBorder="1" applyAlignment="1">
      <alignment horizontal="center" vertical="center" wrapText="1"/>
    </xf>
    <xf numFmtId="0" fontId="0" fillId="39" borderId="121" xfId="0" applyFill="1" applyBorder="1" applyAlignment="1">
      <alignment horizontal="center" vertical="center" wrapText="1"/>
    </xf>
    <xf numFmtId="0" fontId="0" fillId="39" borderId="122" xfId="0" applyFill="1" applyBorder="1" applyAlignment="1">
      <alignment horizontal="center" vertical="center" wrapText="1"/>
    </xf>
    <xf numFmtId="0" fontId="0" fillId="39" borderId="120" xfId="0" quotePrefix="1" applyFill="1" applyBorder="1" applyAlignment="1">
      <alignment horizontal="center" vertical="center" wrapText="1"/>
    </xf>
    <xf numFmtId="0" fontId="0" fillId="39" borderId="121" xfId="0" quotePrefix="1" applyFill="1" applyBorder="1" applyAlignment="1">
      <alignment horizontal="center" vertical="center" wrapText="1"/>
    </xf>
    <xf numFmtId="0" fontId="0" fillId="39" borderId="122" xfId="0" quotePrefix="1" applyFill="1" applyBorder="1" applyAlignment="1">
      <alignment horizontal="center" vertical="center" wrapText="1"/>
    </xf>
    <xf numFmtId="0" fontId="12" fillId="0" borderId="113" xfId="0" applyFont="1" applyBorder="1" applyAlignment="1">
      <alignment horizontal="left" vertical="top" wrapText="1"/>
    </xf>
    <xf numFmtId="0" fontId="12" fillId="39" borderId="120" xfId="0" quotePrefix="1" applyFont="1" applyFill="1" applyBorder="1" applyAlignment="1">
      <alignment horizontal="center" vertical="center" wrapText="1"/>
    </xf>
    <xf numFmtId="0" fontId="12" fillId="39" borderId="121" xfId="0" quotePrefix="1" applyFont="1" applyFill="1" applyBorder="1" applyAlignment="1">
      <alignment horizontal="center" vertical="center" wrapText="1"/>
    </xf>
    <xf numFmtId="0" fontId="12" fillId="39" borderId="122" xfId="0" quotePrefix="1" applyFont="1" applyFill="1" applyBorder="1" applyAlignment="1">
      <alignment horizontal="center" vertical="center" wrapText="1"/>
    </xf>
    <xf numFmtId="0" fontId="10" fillId="39" borderId="120" xfId="0" applyFont="1" applyFill="1" applyBorder="1" applyAlignment="1">
      <alignment horizontal="center" vertical="center" wrapText="1"/>
    </xf>
    <xf numFmtId="0" fontId="10" fillId="39" borderId="121" xfId="0" applyFont="1" applyFill="1" applyBorder="1" applyAlignment="1">
      <alignment horizontal="center" vertical="center" wrapText="1"/>
    </xf>
    <xf numFmtId="0" fontId="10" fillId="39" borderId="122" xfId="0" applyFont="1" applyFill="1" applyBorder="1" applyAlignment="1">
      <alignment horizontal="center" vertical="center" wrapText="1"/>
    </xf>
    <xf numFmtId="0" fontId="0" fillId="0" borderId="105" xfId="0" quotePrefix="1" applyBorder="1" applyAlignment="1">
      <alignment horizontal="left" vertical="top" wrapText="1"/>
    </xf>
    <xf numFmtId="0" fontId="0" fillId="0" borderId="110" xfId="0" quotePrefix="1" applyBorder="1" applyAlignment="1">
      <alignment horizontal="left" vertical="top" wrapText="1"/>
    </xf>
    <xf numFmtId="0" fontId="0" fillId="0" borderId="113" xfId="0" quotePrefix="1" applyBorder="1" applyAlignment="1">
      <alignment horizontal="left" vertical="top" wrapText="1"/>
    </xf>
    <xf numFmtId="0" fontId="12" fillId="39" borderId="120" xfId="0" applyFont="1" applyFill="1" applyBorder="1" applyAlignment="1">
      <alignment horizontal="center" vertical="center" wrapText="1"/>
    </xf>
    <xf numFmtId="0" fontId="12" fillId="39" borderId="121" xfId="0" applyFont="1" applyFill="1" applyBorder="1" applyAlignment="1">
      <alignment horizontal="center" vertical="center" wrapText="1"/>
    </xf>
    <xf numFmtId="0" fontId="12" fillId="39" borderId="122" xfId="0" applyFont="1" applyFill="1" applyBorder="1" applyAlignment="1">
      <alignment horizontal="center" vertical="center" wrapText="1"/>
    </xf>
    <xf numFmtId="0" fontId="5" fillId="37" borderId="89" xfId="0" applyFont="1" applyFill="1" applyBorder="1" applyAlignment="1">
      <alignment horizontal="center" vertical="top"/>
    </xf>
    <xf numFmtId="0" fontId="5" fillId="37" borderId="90" xfId="0" applyFont="1" applyFill="1" applyBorder="1" applyAlignment="1">
      <alignment horizontal="center" vertical="top"/>
    </xf>
    <xf numFmtId="0" fontId="5" fillId="37" borderId="91" xfId="0" applyFont="1" applyFill="1" applyBorder="1" applyAlignment="1">
      <alignment horizontal="center" vertical="top"/>
    </xf>
    <xf numFmtId="0" fontId="5" fillId="23" borderId="89" xfId="0" applyFont="1" applyFill="1" applyBorder="1" applyAlignment="1">
      <alignment horizontal="center"/>
    </xf>
    <xf numFmtId="0" fontId="5" fillId="23" borderId="90" xfId="0" applyFont="1" applyFill="1" applyBorder="1" applyAlignment="1">
      <alignment horizontal="center"/>
    </xf>
    <xf numFmtId="0" fontId="5" fillId="23" borderId="91" xfId="0" applyFont="1" applyFill="1" applyBorder="1" applyAlignment="1">
      <alignment horizontal="center"/>
    </xf>
    <xf numFmtId="0" fontId="2" fillId="30" borderId="22" xfId="0" applyFont="1" applyFill="1" applyBorder="1" applyAlignment="1">
      <alignment horizontal="center" vertical="center" wrapText="1"/>
    </xf>
    <xf numFmtId="0" fontId="2" fillId="30" borderId="23" xfId="0" applyFont="1" applyFill="1" applyBorder="1" applyAlignment="1">
      <alignment horizontal="center" vertical="center" wrapText="1"/>
    </xf>
    <xf numFmtId="0" fontId="2" fillId="30" borderId="35" xfId="0" applyFont="1" applyFill="1" applyBorder="1" applyAlignment="1">
      <alignment horizontal="center" vertical="center" wrapText="1"/>
    </xf>
    <xf numFmtId="0" fontId="2" fillId="30" borderId="38" xfId="0" applyFont="1" applyFill="1" applyBorder="1" applyAlignment="1">
      <alignment horizontal="center" vertical="center" wrapText="1"/>
    </xf>
    <xf numFmtId="0" fontId="2" fillId="30" borderId="36" xfId="0" applyFont="1" applyFill="1" applyBorder="1" applyAlignment="1">
      <alignment horizontal="center" vertical="center" wrapText="1"/>
    </xf>
  </cellXfs>
  <cellStyles count="4">
    <cellStyle name="Hyperlink" xfId="2" builtinId="8"/>
    <cellStyle name="Normal" xfId="0" builtinId="0"/>
    <cellStyle name="Normal 2" xfId="1"/>
    <cellStyle name="Normal 2 2" xfId="3"/>
  </cellStyles>
  <dxfs count="0"/>
  <tableStyles count="0" defaultTableStyle="TableStyleMedium2" defaultPivotStyle="PivotStyleLight16"/>
  <colors>
    <mruColors>
      <color rgb="FF0EF20E"/>
      <color rgb="FFE6E60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47"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2368550</xdr:colOff>
          <xdr:row>83</xdr:row>
          <xdr:rowOff>6350</xdr:rowOff>
        </xdr:from>
        <xdr:to>
          <xdr:col>4</xdr:col>
          <xdr:colOff>2895600</xdr:colOff>
          <xdr:row>144</xdr:row>
          <xdr:rowOff>25400</xdr:rowOff>
        </xdr:to>
        <xdr:sp macro="" textlink="">
          <xdr:nvSpPr>
            <xdr:cNvPr id="6145" name="Object 1" hidden="1">
              <a:extLst>
                <a:ext uri="{63B3BB69-23CF-44E3-9099-C40C66FF867C}">
                  <a14:compatExt spid="_x0000_s6145"/>
                </a:ext>
                <a:ext uri="{FF2B5EF4-FFF2-40B4-BE49-F238E27FC236}">
                  <a16:creationId xmlns:a16="http://schemas.microsoft.com/office/drawing/2014/main" id="{00000000-0008-0000-0600-000001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29525C0-9811-4B96-9DA4-142A3A66BD92}">
    <nsvFilter filterId="{85E6E2C1-B866-4360-9524-2A7C51AA8680}" ref="A2:K1020" tableId="0">
      <columnFilter colId="10">
        <dxf>
          <x:fill>
            <x:patternFill patternType="none">
              <x:fgColor indexed="64"/>
              <x:bgColor indexed="65"/>
            </x:patternFill>
          </x:fill>
        </dxf>
        <filter colId="10">
          <x:colorFilter/>
        </filter>
      </columnFilter>
    </nsvFilter>
  </namedSheetView>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1.bin"/><Relationship Id="rId5" Type="http://schemas.openxmlformats.org/officeDocument/2006/relationships/image" Target="../media/image1.emf"/><Relationship Id="rId4" Type="http://schemas.openxmlformats.org/officeDocument/2006/relationships/package" Target="../embeddings/Microsoft_Excel_Worksheet.xlsx"/></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1:AE34"/>
  <sheetViews>
    <sheetView zoomScaleNormal="100" workbookViewId="0">
      <selection activeCell="W2" sqref="W2"/>
    </sheetView>
  </sheetViews>
  <sheetFormatPr defaultRowHeight="15" customHeight="1"/>
  <cols>
    <col min="1" max="1" width="0.54296875" customWidth="1"/>
    <col min="2" max="2" width="27" bestFit="1" customWidth="1"/>
    <col min="3" max="3" width="31.1796875" bestFit="1" customWidth="1"/>
    <col min="4" max="4" width="43.1796875" hidden="1" customWidth="1"/>
    <col min="5" max="5" width="5.54296875" style="56" customWidth="1"/>
    <col min="6" max="6" width="8.7265625" style="56" bestFit="1" customWidth="1"/>
    <col min="7" max="7" width="8.7265625" style="56" hidden="1" customWidth="1"/>
    <col min="8" max="8" width="9.26953125" style="56" hidden="1" customWidth="1"/>
    <col min="9" max="10" width="9" style="56" hidden="1" customWidth="1"/>
    <col min="11" max="12" width="12.81640625" style="56" hidden="1" customWidth="1"/>
    <col min="13" max="14" width="13.26953125" style="56" hidden="1" customWidth="1"/>
    <col min="15" max="16" width="13.81640625" style="56" hidden="1" customWidth="1"/>
    <col min="17" max="18" width="13.453125" style="56" hidden="1" customWidth="1"/>
    <col min="19" max="20" width="9.7265625" style="56" hidden="1" customWidth="1"/>
    <col min="21" max="28" width="9.453125" customWidth="1"/>
    <col min="29" max="29" width="40.453125" style="56" bestFit="1" customWidth="1"/>
    <col min="30" max="31" width="9.1796875" style="56"/>
    <col min="16383" max="16384" width="9.1796875" bestFit="1" customWidth="1"/>
  </cols>
  <sheetData>
    <row r="1" spans="2:31" ht="25.5" customHeight="1">
      <c r="C1" s="56" t="s">
        <v>0</v>
      </c>
      <c r="D1" s="381"/>
      <c r="E1"/>
      <c r="F1" s="56" t="s">
        <v>0</v>
      </c>
      <c r="G1" s="761" t="s">
        <v>1</v>
      </c>
      <c r="H1" s="762"/>
      <c r="I1" s="762"/>
      <c r="J1" s="762"/>
      <c r="K1" s="762"/>
      <c r="L1" s="762"/>
      <c r="M1" s="762"/>
      <c r="N1" s="762"/>
      <c r="O1" s="762"/>
      <c r="P1" s="762"/>
      <c r="Q1" s="762"/>
      <c r="R1" s="762"/>
      <c r="S1" s="762"/>
      <c r="T1" s="763"/>
      <c r="U1" s="758" t="s">
        <v>2</v>
      </c>
      <c r="V1" s="759"/>
      <c r="W1" s="759"/>
      <c r="X1" s="759"/>
      <c r="Y1" s="759"/>
      <c r="Z1" s="759"/>
      <c r="AA1" s="759"/>
      <c r="AB1" s="760"/>
      <c r="AE1" s="56" t="s">
        <v>0</v>
      </c>
    </row>
    <row r="2" spans="2:31" s="2" customFormat="1" ht="50.25" customHeight="1">
      <c r="B2" s="2" t="s">
        <v>3</v>
      </c>
      <c r="E2" s="772" t="s">
        <v>4</v>
      </c>
      <c r="F2" s="773"/>
      <c r="G2" s="774" t="s">
        <v>5</v>
      </c>
      <c r="H2" s="766"/>
      <c r="I2" s="767" t="s">
        <v>6</v>
      </c>
      <c r="J2" s="766"/>
      <c r="K2" s="767" t="s">
        <v>7</v>
      </c>
      <c r="L2" s="766"/>
      <c r="M2" s="767" t="s">
        <v>8</v>
      </c>
      <c r="N2" s="766"/>
      <c r="O2" s="767" t="s">
        <v>9</v>
      </c>
      <c r="P2" s="766"/>
      <c r="Q2" s="767" t="s">
        <v>10</v>
      </c>
      <c r="R2" s="766"/>
      <c r="S2" s="767" t="s">
        <v>11</v>
      </c>
      <c r="T2" s="768"/>
      <c r="U2" s="766" t="s">
        <v>5</v>
      </c>
      <c r="V2" s="764"/>
      <c r="W2" s="764" t="s">
        <v>12</v>
      </c>
      <c r="X2" s="764"/>
      <c r="Y2" s="764" t="s">
        <v>13</v>
      </c>
      <c r="Z2" s="764"/>
      <c r="AA2" s="764" t="s">
        <v>14</v>
      </c>
      <c r="AB2" s="765"/>
      <c r="AE2" s="2" t="s">
        <v>0</v>
      </c>
    </row>
    <row r="3" spans="2:31" s="57" customFormat="1" ht="14.5">
      <c r="B3" s="60" t="s">
        <v>15</v>
      </c>
      <c r="C3" s="61" t="s">
        <v>16</v>
      </c>
      <c r="D3" s="66" t="s">
        <v>17</v>
      </c>
      <c r="E3" s="394" t="s">
        <v>18</v>
      </c>
      <c r="F3" s="395" t="s">
        <v>19</v>
      </c>
      <c r="G3" s="391" t="s">
        <v>18</v>
      </c>
      <c r="H3" s="383" t="s">
        <v>19</v>
      </c>
      <c r="I3" s="383" t="s">
        <v>18</v>
      </c>
      <c r="J3" s="383" t="s">
        <v>19</v>
      </c>
      <c r="K3" s="383" t="s">
        <v>18</v>
      </c>
      <c r="L3" s="383" t="s">
        <v>19</v>
      </c>
      <c r="M3" s="383" t="s">
        <v>18</v>
      </c>
      <c r="N3" s="383" t="s">
        <v>19</v>
      </c>
      <c r="O3" s="383" t="s">
        <v>18</v>
      </c>
      <c r="P3" s="383" t="s">
        <v>19</v>
      </c>
      <c r="Q3" s="383" t="s">
        <v>18</v>
      </c>
      <c r="R3" s="383" t="s">
        <v>19</v>
      </c>
      <c r="S3" s="383" t="s">
        <v>18</v>
      </c>
      <c r="T3" s="386" t="s">
        <v>19</v>
      </c>
      <c r="U3" s="391" t="s">
        <v>18</v>
      </c>
      <c r="V3" s="383" t="s">
        <v>19</v>
      </c>
      <c r="W3" s="383" t="s">
        <v>18</v>
      </c>
      <c r="X3" s="383" t="s">
        <v>19</v>
      </c>
      <c r="Y3" s="383" t="s">
        <v>18</v>
      </c>
      <c r="Z3" s="383" t="s">
        <v>19</v>
      </c>
      <c r="AA3" s="383" t="s">
        <v>18</v>
      </c>
      <c r="AB3" s="386" t="s">
        <v>19</v>
      </c>
    </row>
    <row r="4" spans="2:31" ht="14.5">
      <c r="B4" s="769" t="s">
        <v>20</v>
      </c>
      <c r="C4" s="62" t="s">
        <v>21</v>
      </c>
      <c r="D4" s="67" t="s">
        <v>22</v>
      </c>
      <c r="E4" s="396">
        <f>COUNTA(LEGALP_INSTRUMENTS!A3:A27)</f>
        <v>7</v>
      </c>
      <c r="F4" s="397">
        <f>SUM(H4,J4,L4,N4,P4,R4,T4)</f>
        <v>1</v>
      </c>
      <c r="G4" s="392">
        <f>COUNTIF(LEGALP_INSTRUMENTS!O:O,"Concluído")</f>
        <v>7</v>
      </c>
      <c r="H4" s="385">
        <f>G4/E4</f>
        <v>1</v>
      </c>
      <c r="I4" s="384">
        <f>COUNTIF(LEGALP_INSTRUMENTS!O:O,"Mapeamento com LT fechado, mas parametrização pendente")</f>
        <v>0</v>
      </c>
      <c r="J4" s="385">
        <f t="shared" ref="J4:J24" si="0">I4/E4</f>
        <v>0</v>
      </c>
      <c r="K4" s="384">
        <f>COUNTIF(LEGALP_INSTRUMENTS!O:O,"Novo campo, mapeamento datalake fechado, com necessidade de criar parametrização")</f>
        <v>0</v>
      </c>
      <c r="L4" s="385">
        <f t="shared" ref="L4:L24" si="1">K4/E4</f>
        <v>0</v>
      </c>
      <c r="M4" s="384">
        <f>COUNTIF(LEGALP_INSTRUMENTS!O:O,"Novo campo, mapeamento datalake fechado, sem necessidade de criar parametrização")</f>
        <v>0</v>
      </c>
      <c r="N4" s="385">
        <f t="shared" ref="N4:N24" si="2">M4/E4</f>
        <v>0</v>
      </c>
      <c r="O4" s="384">
        <f>COUNTIF(LEGALP_INSTRUMENTS!O:O,"Novo campo, mapeamento datalake pendente, com necessidade de criar parametrização")</f>
        <v>0</v>
      </c>
      <c r="P4" s="385">
        <f t="shared" ref="P4:P24" si="3">O4/E4</f>
        <v>0</v>
      </c>
      <c r="Q4" s="384">
        <f>COUNTIF(LEGALP_INSTRUMENTS!O:O,"Novo campo, mapeamento datalake pendente, sem necessidade de criar parametrização")</f>
        <v>0</v>
      </c>
      <c r="R4" s="385">
        <f t="shared" ref="R4:R24" si="4">Q4/E4</f>
        <v>0</v>
      </c>
      <c r="S4" s="384">
        <f>COUNTIF(LEGALP_INSTRUMENTS!O:O,"Por iniciar")</f>
        <v>0</v>
      </c>
      <c r="T4" s="387">
        <f t="shared" ref="T4:T24" si="5">S4/E4</f>
        <v>0</v>
      </c>
      <c r="U4" s="392">
        <f>COUNTIF(LEGALP_INSTRUMENTS!P:P,"Concluído")</f>
        <v>7</v>
      </c>
      <c r="V4" s="385">
        <f t="shared" ref="V4:V23" si="6">U4/E4</f>
        <v>1</v>
      </c>
      <c r="W4" s="384">
        <f>COUNTIF(LEGALP_INSTRUMENTS!P:P,"Em desenvolvimento")</f>
        <v>0</v>
      </c>
      <c r="X4" s="385">
        <f t="shared" ref="X4:X23" si="7">W4/E4</f>
        <v>0</v>
      </c>
      <c r="Y4" s="384">
        <f>COUNTIF(LEGALP_INSTRUMENTS!P:P,"Aguarda desenvolvimento de outras equipas")</f>
        <v>0</v>
      </c>
      <c r="Z4" s="385">
        <f t="shared" ref="Z4:Z23" si="8">Y4/E4</f>
        <v>0</v>
      </c>
      <c r="AA4" s="384">
        <f>COUNTIF(LEGALP_INSTRUMENTS!P:P,"Por especificar")</f>
        <v>0</v>
      </c>
      <c r="AB4" s="387">
        <f t="shared" ref="AB4:AB23" si="9">AA4/E4</f>
        <v>0</v>
      </c>
      <c r="AE4" s="56" t="s">
        <v>0</v>
      </c>
    </row>
    <row r="5" spans="2:31" ht="14.5">
      <c r="B5" s="770"/>
      <c r="C5" s="62" t="s">
        <v>23</v>
      </c>
      <c r="D5" s="67" t="s">
        <v>24</v>
      </c>
      <c r="E5" s="396">
        <f>COUNTA(LEGALP_COUNTERPARTIES!A3:A27)</f>
        <v>5</v>
      </c>
      <c r="F5" s="397">
        <f t="shared" ref="F5:F23" si="10">SUM(H5,J5,L5,N5,P5,R5,T5)</f>
        <v>1</v>
      </c>
      <c r="G5" s="392">
        <f>COUNTIF(LEGALP_COUNTERPARTIES!O:O,"Concluído")</f>
        <v>5</v>
      </c>
      <c r="H5" s="385">
        <f t="shared" ref="H5:H24" si="11">G5/E5</f>
        <v>1</v>
      </c>
      <c r="I5" s="384">
        <f>COUNTIF(LEGALP_COUNTERPARTIES!O:O,"Mapeamento com LT fechado, mas parametrização pendente")</f>
        <v>0</v>
      </c>
      <c r="J5" s="385">
        <f t="shared" si="0"/>
        <v>0</v>
      </c>
      <c r="K5" s="384">
        <f>COUNTIF(LEGALP_COUNTERPARTIES!O:O,"Novo campo, mapeamento datalake fechado, com necessidade de criar parametrização")</f>
        <v>0</v>
      </c>
      <c r="L5" s="385">
        <f t="shared" si="1"/>
        <v>0</v>
      </c>
      <c r="M5" s="384">
        <f>COUNTIF(LEGALP_COUNTERPARTIES!O:O,"Novo campo, mapeamento datalake fechado, sem necessidade de criar parametrização")</f>
        <v>0</v>
      </c>
      <c r="N5" s="385">
        <f t="shared" si="2"/>
        <v>0</v>
      </c>
      <c r="O5" s="384">
        <f>COUNTIF(LEGALP_COUNTERPARTIES!O:O,"Novo campo, mapeamento datalake pendente, com necessidade de criar parametrização")</f>
        <v>0</v>
      </c>
      <c r="P5" s="385">
        <f t="shared" si="3"/>
        <v>0</v>
      </c>
      <c r="Q5" s="384">
        <f>COUNTIF(LEGALP_COUNTERPARTIES!O:O,"Novo campo, mapeamento datalake pendente, sem necessidade de criar parametrização")</f>
        <v>0</v>
      </c>
      <c r="R5" s="385">
        <f t="shared" si="4"/>
        <v>0</v>
      </c>
      <c r="S5" s="384">
        <f>COUNTIF(LEGALP_COUNTERPARTIES!O:O,"Por iniciar")</f>
        <v>0</v>
      </c>
      <c r="T5" s="387">
        <f t="shared" si="5"/>
        <v>0</v>
      </c>
      <c r="U5" s="392">
        <f>COUNTIF(LEGALP_COUNTERPARTIES!P:P,"Concluído")</f>
        <v>5</v>
      </c>
      <c r="V5" s="385">
        <f t="shared" si="6"/>
        <v>1</v>
      </c>
      <c r="W5" s="384">
        <f>COUNTIF(LEGALP_COUNTERPARTIES!P:P,"Em desenvolvimento")</f>
        <v>0</v>
      </c>
      <c r="X5" s="385">
        <f t="shared" si="7"/>
        <v>0</v>
      </c>
      <c r="Y5" s="384">
        <f>COUNTIF(LEGALP_COUNTERPARTIES!P:P,"Aguarda desenvolvimento de outras equipas")</f>
        <v>0</v>
      </c>
      <c r="Z5" s="385">
        <f t="shared" si="8"/>
        <v>0</v>
      </c>
      <c r="AA5" s="384">
        <f>COUNTIF(LEGALP_COUNTERPARTIES!P:P,"Por especificar")</f>
        <v>0</v>
      </c>
      <c r="AB5" s="387">
        <f t="shared" si="9"/>
        <v>0</v>
      </c>
    </row>
    <row r="6" spans="2:31" ht="14.5">
      <c r="B6" s="770"/>
      <c r="C6" s="62" t="s">
        <v>25</v>
      </c>
      <c r="D6" s="67" t="s">
        <v>26</v>
      </c>
      <c r="E6" s="396">
        <f>COUNTA(LEGALP_PROTECTIONS!A3:A18)</f>
        <v>8</v>
      </c>
      <c r="F6" s="397">
        <f t="shared" si="10"/>
        <v>1</v>
      </c>
      <c r="G6" s="392">
        <f>COUNTIF(LEGALP_PROTECTIONS!O:O,"Concluído")</f>
        <v>8</v>
      </c>
      <c r="H6" s="385">
        <f t="shared" si="11"/>
        <v>1</v>
      </c>
      <c r="I6" s="384">
        <f>COUNTIF(LEGALP_PROTECTIONS!O:O,"Mapeamento com LT fechado, mas parametrização pendente")</f>
        <v>0</v>
      </c>
      <c r="J6" s="385">
        <f t="shared" si="0"/>
        <v>0</v>
      </c>
      <c r="K6" s="384">
        <f>COUNTIF(LEGALP_PROTECTIONS!O:O,"Novo campo, mapeamento datalake fechado, com necessidade de criar parametrização")</f>
        <v>0</v>
      </c>
      <c r="L6" s="385">
        <f t="shared" si="1"/>
        <v>0</v>
      </c>
      <c r="M6" s="384">
        <f>COUNTIF(LEGALP_PROTECTIONS!O:O,"Novo campo, mapeamento datalake fechado, sem necessidade de criar parametrização")</f>
        <v>0</v>
      </c>
      <c r="N6" s="385">
        <f t="shared" si="2"/>
        <v>0</v>
      </c>
      <c r="O6" s="384">
        <f>COUNTIF(LEGALP_PROTECTIONS!O:O,"Novo campo, mapeamento datalake pendente, com necessidade de criar parametrização")</f>
        <v>0</v>
      </c>
      <c r="P6" s="385">
        <f t="shared" si="3"/>
        <v>0</v>
      </c>
      <c r="Q6" s="384">
        <f>COUNTIF(LEGALP_PROTECTIONS!O:O,"Novo campo, mapeamento datalake pendente, sem necessidade de criar parametrização")</f>
        <v>0</v>
      </c>
      <c r="R6" s="385">
        <f t="shared" si="4"/>
        <v>0</v>
      </c>
      <c r="S6" s="384">
        <f>COUNTIF(LEGALP_PROTECTIONS!O:O,"Por iniciar")</f>
        <v>0</v>
      </c>
      <c r="T6" s="387">
        <f t="shared" si="5"/>
        <v>0</v>
      </c>
      <c r="U6" s="392">
        <f>COUNTIF(LEGALP_PROTECTIONS!P:P,"Concluído")</f>
        <v>8</v>
      </c>
      <c r="V6" s="385">
        <f t="shared" si="6"/>
        <v>1</v>
      </c>
      <c r="W6" s="384">
        <f>COUNTIF(LEGALP_PROTECTIONS!P:P,"Em desenvolvimento")</f>
        <v>0</v>
      </c>
      <c r="X6" s="385">
        <f t="shared" si="7"/>
        <v>0</v>
      </c>
      <c r="Y6" s="384">
        <f>COUNTIF(LEGALP_PROTECTIONS!P:P,"Aguarda desenvolvimento de outras equipas")</f>
        <v>0</v>
      </c>
      <c r="Z6" s="385">
        <f t="shared" si="8"/>
        <v>0</v>
      </c>
      <c r="AA6" s="384">
        <f>COUNTIF(LEGALP_PROTECTIONS!P:P,"Por especificar")</f>
        <v>0</v>
      </c>
      <c r="AB6" s="387">
        <f t="shared" si="9"/>
        <v>0</v>
      </c>
    </row>
    <row r="7" spans="2:31" ht="14.5">
      <c r="B7" s="770"/>
      <c r="C7" s="62" t="s">
        <v>27</v>
      </c>
      <c r="D7" s="67" t="s">
        <v>28</v>
      </c>
      <c r="E7" s="396">
        <f>COUNTA(LEGALP_INSTRUMENT_COUNTERPARTY!A3:A7)</f>
        <v>2</v>
      </c>
      <c r="F7" s="397">
        <f t="shared" si="10"/>
        <v>1</v>
      </c>
      <c r="G7" s="392">
        <f>COUNTIF(LEGALP_INSTRUMENT_COUNTERPARTY!O:O,"Concluído")</f>
        <v>2</v>
      </c>
      <c r="H7" s="385">
        <f t="shared" si="11"/>
        <v>1</v>
      </c>
      <c r="I7" s="384">
        <f>COUNTIF(LEGALP_INSTRUMENT_COUNTERPARTY!O:O,"Mapeamento com LT fechado, mas parametrização pendente")</f>
        <v>0</v>
      </c>
      <c r="J7" s="385">
        <f t="shared" si="0"/>
        <v>0</v>
      </c>
      <c r="K7" s="384">
        <f>COUNTIF(LEGALP_INSTRUMENT_COUNTERPARTY!O:O,"Novo campo, mapeamento datalake fechado, com necessidade de criar parametrização")</f>
        <v>0</v>
      </c>
      <c r="L7" s="385">
        <f t="shared" si="1"/>
        <v>0</v>
      </c>
      <c r="M7" s="384">
        <f>COUNTIF(LEGALP_INSTRUMENT_COUNTERPARTY!O:O,"Novo campo, mapeamento datalake fechado, sem necessidade de criar parametrização")</f>
        <v>0</v>
      </c>
      <c r="N7" s="385">
        <f t="shared" si="2"/>
        <v>0</v>
      </c>
      <c r="O7" s="384">
        <f>COUNTIF(LEGALP_INSTRUMENT_COUNTERPARTY!O:O,"Novo campo, mapeamento datalake pendente, com necessidade de criar parametrização")</f>
        <v>0</v>
      </c>
      <c r="P7" s="385">
        <f t="shared" si="3"/>
        <v>0</v>
      </c>
      <c r="Q7" s="384">
        <f>COUNTIF(LEGALP_INSTRUMENT_COUNTERPARTY!O:O,"Novo campo, mapeamento datalake pendente, sem necessidade de criar parametrização")</f>
        <v>0</v>
      </c>
      <c r="R7" s="385">
        <f t="shared" si="4"/>
        <v>0</v>
      </c>
      <c r="S7" s="384">
        <f>COUNTIF(LEGALP_INSTRUMENT_COUNTERPARTY!O:O,"Por iniciar")</f>
        <v>0</v>
      </c>
      <c r="T7" s="387">
        <f t="shared" si="5"/>
        <v>0</v>
      </c>
      <c r="U7" s="392">
        <f>COUNTIF(LEGALP_INSTRUMENT_COUNTERPARTY!P:P,"Concluído")</f>
        <v>2</v>
      </c>
      <c r="V7" s="385">
        <f t="shared" si="6"/>
        <v>1</v>
      </c>
      <c r="W7" s="384">
        <f>COUNTIF(LEGALP_INSTRUMENT_COUNTERPARTY!P:P,"Em desenvolvimento")</f>
        <v>0</v>
      </c>
      <c r="X7" s="385">
        <f t="shared" si="7"/>
        <v>0</v>
      </c>
      <c r="Y7" s="384">
        <f>COUNTIF(LEGALP_INSTRUMENT_COUNTERPARTY!P:P,"Aguarda desenvolvimento de outras equipas")</f>
        <v>0</v>
      </c>
      <c r="Z7" s="385">
        <f t="shared" si="8"/>
        <v>0</v>
      </c>
      <c r="AA7" s="384">
        <f>COUNTIF(LEGALP_INSTRUMENT_COUNTERPARTY!P:P,"Por especificar")</f>
        <v>0</v>
      </c>
      <c r="AB7" s="387">
        <f t="shared" si="9"/>
        <v>0</v>
      </c>
    </row>
    <row r="8" spans="2:31" ht="14.5">
      <c r="B8" s="771"/>
      <c r="C8" s="62" t="s">
        <v>29</v>
      </c>
      <c r="D8" s="67" t="s">
        <v>30</v>
      </c>
      <c r="E8" s="396">
        <f>COUNTA(LEGALP_INSTRUMENT_PROTECTION!A3:A10)</f>
        <v>2</v>
      </c>
      <c r="F8" s="397">
        <f t="shared" si="10"/>
        <v>1</v>
      </c>
      <c r="G8" s="392">
        <f>COUNTIF(LEGALP_INSTRUMENT_PROTECTION!O:O,"Concluído")</f>
        <v>2</v>
      </c>
      <c r="H8" s="385">
        <f t="shared" si="11"/>
        <v>1</v>
      </c>
      <c r="I8" s="384">
        <f>COUNTIF(LEGALP_INSTRUMENT_PROTECTION!O:O,"Mapeamento com LT fechado, mas parametrização pendente")</f>
        <v>0</v>
      </c>
      <c r="J8" s="385">
        <f t="shared" si="0"/>
        <v>0</v>
      </c>
      <c r="K8" s="384">
        <f>COUNTIF(LEGALP_INSTRUMENT_PROTECTION!O:O,"Novo campo, mapeamento datalake fechado, com necessidade de criar parametrização")</f>
        <v>0</v>
      </c>
      <c r="L8" s="385">
        <f t="shared" si="1"/>
        <v>0</v>
      </c>
      <c r="M8" s="384">
        <f>COUNTIF(LEGALP_INSTRUMENT_PROTECTION!O:O,"Novo campo, mapeamento datalake fechado, sem necessidade de criar parametrização")</f>
        <v>0</v>
      </c>
      <c r="N8" s="385">
        <f t="shared" si="2"/>
        <v>0</v>
      </c>
      <c r="O8" s="384">
        <f>COUNTIF(LEGALP_INSTRUMENT_PROTECTION!O:O,"Novo campo, mapeamento datalake pendente, com necessidade de criar parametrização")</f>
        <v>0</v>
      </c>
      <c r="P8" s="385">
        <f t="shared" si="3"/>
        <v>0</v>
      </c>
      <c r="Q8" s="384">
        <f>COUNTIF(LEGALP_INSTRUMENT_PROTECTION!O:O,"Novo campo, mapeamento datalake pendente, sem necessidade de criar parametrização")</f>
        <v>0</v>
      </c>
      <c r="R8" s="385">
        <f t="shared" si="4"/>
        <v>0</v>
      </c>
      <c r="S8" s="384">
        <f>COUNTIF(LEGALP_INSTRUMENT_PROTECTION!O:O,"Por iniciar")</f>
        <v>0</v>
      </c>
      <c r="T8" s="387">
        <f t="shared" si="5"/>
        <v>0</v>
      </c>
      <c r="U8" s="392">
        <f>COUNTIF(LEGALP_INSTRUMENT_PROTECTION!P:P,"Concluído")</f>
        <v>2</v>
      </c>
      <c r="V8" s="385">
        <f t="shared" si="6"/>
        <v>1</v>
      </c>
      <c r="W8" s="384">
        <f>COUNTIF(LEGALP_INSTRUMENT_PROTECTION!P:P,"Em desenvolvimento")</f>
        <v>0</v>
      </c>
      <c r="X8" s="385">
        <f t="shared" si="7"/>
        <v>0</v>
      </c>
      <c r="Y8" s="384">
        <f>COUNTIF(LEGALP_INSTRUMENT_PROTECTION!P:P,"Aguarda desenvolvimento de outras equipas")</f>
        <v>0</v>
      </c>
      <c r="Z8" s="385">
        <f t="shared" si="8"/>
        <v>0</v>
      </c>
      <c r="AA8" s="384">
        <f>COUNTIF(LEGALP_INSTRUMENT_PROTECTION!P:P,"Por especificar")</f>
        <v>0</v>
      </c>
      <c r="AB8" s="387">
        <f t="shared" si="9"/>
        <v>0</v>
      </c>
    </row>
    <row r="9" spans="2:31" ht="14.5">
      <c r="B9" s="769" t="s">
        <v>31</v>
      </c>
      <c r="C9" s="62" t="s">
        <v>21</v>
      </c>
      <c r="D9" s="67" t="s">
        <v>32</v>
      </c>
      <c r="E9" s="396">
        <f>COUNTA(NATURALP_INSTRUMENTS!A3:A142)</f>
        <v>53</v>
      </c>
      <c r="F9" s="397">
        <f t="shared" si="10"/>
        <v>1</v>
      </c>
      <c r="G9" s="392">
        <f>COUNTIF(NATURALP_INSTRUMENTS!P:P,"Concluído")</f>
        <v>53</v>
      </c>
      <c r="H9" s="385">
        <f t="shared" si="11"/>
        <v>1</v>
      </c>
      <c r="I9" s="384">
        <f>COUNTIF(NATURALP_INSTRUMENTS!P:P,"Mapeamento com LT fechado, mas parametrização pendente")</f>
        <v>0</v>
      </c>
      <c r="J9" s="385">
        <f t="shared" si="0"/>
        <v>0</v>
      </c>
      <c r="K9" s="384">
        <f>COUNTIF(NATURALP_INSTRUMENTS!P:P,"Novo campo, mapeamento datalake fechado, com necessidade de criar parametrização")</f>
        <v>0</v>
      </c>
      <c r="L9" s="385">
        <f t="shared" si="1"/>
        <v>0</v>
      </c>
      <c r="M9" s="384">
        <f>COUNTIF(NATURALP_INSTRUMENTS!P:P,"Novo campo, mapeamento datalake fechado, sem necessidade de criar parametrização")</f>
        <v>0</v>
      </c>
      <c r="N9" s="385">
        <f t="shared" si="2"/>
        <v>0</v>
      </c>
      <c r="O9" s="384">
        <f>COUNTIF(NATURALP_INSTRUMENTS!P:P,"Novo campo, mapeamento datalake pendente, com necessidade de criar parametrização")</f>
        <v>0</v>
      </c>
      <c r="P9" s="385">
        <f t="shared" si="3"/>
        <v>0</v>
      </c>
      <c r="Q9" s="384">
        <f>COUNTIF(NATURALP_INSTRUMENTS!P:P,"Novo campo, mapeamento datalake pendente, sem necessidade de criar parametrização")</f>
        <v>0</v>
      </c>
      <c r="R9" s="385">
        <f t="shared" si="4"/>
        <v>0</v>
      </c>
      <c r="S9" s="384">
        <f>COUNTIF(NATURALP_INSTRUMENTS!P:P,"Por iniciar")</f>
        <v>0</v>
      </c>
      <c r="T9" s="387">
        <f t="shared" si="5"/>
        <v>0</v>
      </c>
      <c r="U9" s="392">
        <f>COUNTIF(NATURALP_INSTRUMENTS!Q:Q,"Concluído")</f>
        <v>53</v>
      </c>
      <c r="V9" s="385">
        <f t="shared" si="6"/>
        <v>1</v>
      </c>
      <c r="W9" s="384">
        <f>COUNTIF(NATURALP_INSTRUMENTS!Q:Q,"Em desenvolvimento")</f>
        <v>0</v>
      </c>
      <c r="X9" s="385">
        <f t="shared" si="7"/>
        <v>0</v>
      </c>
      <c r="Y9" s="384">
        <f>COUNTIF(NATURALP_INSTRUMENTS!Q:Q,"Aguarda desenvolvimento de outras equipas")</f>
        <v>0</v>
      </c>
      <c r="Z9" s="385">
        <f t="shared" si="8"/>
        <v>0</v>
      </c>
      <c r="AA9" s="384">
        <f>COUNTIF(NATURALP_INSTRUMENTS!Q:Q,"Por especificar")</f>
        <v>0</v>
      </c>
      <c r="AB9" s="387">
        <f t="shared" si="9"/>
        <v>0</v>
      </c>
    </row>
    <row r="10" spans="2:31" ht="14.5">
      <c r="B10" s="770"/>
      <c r="C10" s="62" t="s">
        <v>23</v>
      </c>
      <c r="D10" s="67" t="s">
        <v>33</v>
      </c>
      <c r="E10" s="396">
        <f>COUNTA(NATURALP_COUNTERPARTIES!A3:A29)</f>
        <v>8</v>
      </c>
      <c r="F10" s="397">
        <f t="shared" si="10"/>
        <v>1</v>
      </c>
      <c r="G10" s="392">
        <f>COUNTIF(NATURALP_COUNTERPARTIES!O:O,"Concluído")</f>
        <v>8</v>
      </c>
      <c r="H10" s="385">
        <f t="shared" si="11"/>
        <v>1</v>
      </c>
      <c r="I10" s="384">
        <f>COUNTIF(NATURALP_COUNTERPARTIES!O:O,"Mapeamento com LT fechado, mas parametrização pendente")</f>
        <v>0</v>
      </c>
      <c r="J10" s="385">
        <f t="shared" si="0"/>
        <v>0</v>
      </c>
      <c r="K10" s="384">
        <f>COUNTIF(NATURALP_COUNTERPARTIES!O:O,"Novo campo, mapeamento datalake fechado, com necessidade de criar parametrização")</f>
        <v>0</v>
      </c>
      <c r="L10" s="385">
        <f t="shared" si="1"/>
        <v>0</v>
      </c>
      <c r="M10" s="384">
        <f>COUNTIF(NATURALP_COUNTERPARTIES!O:O,"Novo campo, mapeamento datalake fechado, sem necessidade de criar parametrização")</f>
        <v>0</v>
      </c>
      <c r="N10" s="385">
        <f t="shared" si="2"/>
        <v>0</v>
      </c>
      <c r="O10" s="384">
        <f>COUNTIF(NATURALP_COUNTERPARTIES!O:O,"Novo campo, mapeamento datalake pendente, com necessidade de criar parametrização")</f>
        <v>0</v>
      </c>
      <c r="P10" s="385">
        <f t="shared" si="3"/>
        <v>0</v>
      </c>
      <c r="Q10" s="384">
        <f>COUNTIF(NATURALP_COUNTERPARTIES!O:O,"Novo campo, mapeamento datalake pendente, sem necessidade de criar parametrização")</f>
        <v>0</v>
      </c>
      <c r="R10" s="385">
        <f t="shared" si="4"/>
        <v>0</v>
      </c>
      <c r="S10" s="384">
        <f>COUNTIF(NATURALP_COUNTERPARTIES!O:O,"Por iniciar")</f>
        <v>0</v>
      </c>
      <c r="T10" s="387">
        <f t="shared" si="5"/>
        <v>0</v>
      </c>
      <c r="U10" s="392">
        <f>COUNTIF(NATURALP_COUNTERPARTIES!P:P,"Concluído")</f>
        <v>8</v>
      </c>
      <c r="V10" s="385">
        <f t="shared" si="6"/>
        <v>1</v>
      </c>
      <c r="W10" s="384">
        <f>COUNTIF(NATURALP_COUNTERPARTIES!P:P,"Em desenvolvimento")</f>
        <v>0</v>
      </c>
      <c r="X10" s="385">
        <f t="shared" si="7"/>
        <v>0</v>
      </c>
      <c r="Y10" s="384">
        <f>COUNTIF(NATURALP_COUNTERPARTIES!P:P,"Aguarda desenvolvimento de outras equipas")</f>
        <v>0</v>
      </c>
      <c r="Z10" s="385">
        <f t="shared" si="8"/>
        <v>0</v>
      </c>
      <c r="AA10" s="384">
        <f>COUNTIF(NATURALP_COUNTERPARTIES!P:P,"Por especificar")</f>
        <v>0</v>
      </c>
      <c r="AB10" s="387">
        <f t="shared" si="9"/>
        <v>0</v>
      </c>
    </row>
    <row r="11" spans="2:31" ht="14.5">
      <c r="B11" s="770"/>
      <c r="C11" s="62" t="s">
        <v>25</v>
      </c>
      <c r="D11" s="67" t="s">
        <v>34</v>
      </c>
      <c r="E11" s="396">
        <f>COUNTA(NATURALP_PROTECTIONS!A3:A27)</f>
        <v>17</v>
      </c>
      <c r="F11" s="397">
        <f t="shared" si="10"/>
        <v>1</v>
      </c>
      <c r="G11" s="392">
        <f>COUNTIF(NATURALP_PROTECTIONS!O:O,"Concluído")</f>
        <v>17</v>
      </c>
      <c r="H11" s="385">
        <f t="shared" si="11"/>
        <v>1</v>
      </c>
      <c r="I11" s="384">
        <f>COUNTIF(NATURALP_PROTECTIONS!O:O,"Mapeamento com LT fechado, mas parametrização pendente")</f>
        <v>0</v>
      </c>
      <c r="J11" s="385">
        <f t="shared" si="0"/>
        <v>0</v>
      </c>
      <c r="K11" s="384">
        <f>COUNTIF(NATURALP_PROTECTIONS!O:O,"Novo campo, mapeamento datalake fechado, com necessidade de criar parametrização")</f>
        <v>0</v>
      </c>
      <c r="L11" s="385">
        <f t="shared" si="1"/>
        <v>0</v>
      </c>
      <c r="M11" s="384">
        <f>COUNTIF(NATURALP_PROTECTIONS!O:O,"Novo campo, mapeamento datalake fechado, sem necessidade de criar parametrização")</f>
        <v>0</v>
      </c>
      <c r="N11" s="385">
        <f t="shared" si="2"/>
        <v>0</v>
      </c>
      <c r="O11" s="384">
        <f>COUNTIF(NATURALP_PROTECTIONS!O:O,"Novo campo, mapeamento datalake pendente, com necessidade de criar parametrização")</f>
        <v>0</v>
      </c>
      <c r="P11" s="385">
        <f t="shared" si="3"/>
        <v>0</v>
      </c>
      <c r="Q11" s="384">
        <f>COUNTIF(NATURALP_PROTECTIONS!O:O,"Novo campo, mapeamento datalake pendente, sem necessidade de criar parametrização")</f>
        <v>0</v>
      </c>
      <c r="R11" s="385">
        <f t="shared" si="4"/>
        <v>0</v>
      </c>
      <c r="S11" s="384">
        <f>COUNTIF(NATURALP_PROTECTIONS!O:O,"Por iniciar")</f>
        <v>0</v>
      </c>
      <c r="T11" s="387">
        <f t="shared" si="5"/>
        <v>0</v>
      </c>
      <c r="U11" s="392">
        <f>COUNTIF(NATURALP_PROTECTIONS!P:P,"Concluído")</f>
        <v>17</v>
      </c>
      <c r="V11" s="385">
        <f t="shared" si="6"/>
        <v>1</v>
      </c>
      <c r="W11" s="384">
        <f>COUNTIF(NATURALP_PROTECTIONS!P:P,"Em desenvolvimento")</f>
        <v>0</v>
      </c>
      <c r="X11" s="385">
        <f t="shared" si="7"/>
        <v>0</v>
      </c>
      <c r="Y11" s="384">
        <f>COUNTIF(NATURALP_PROTECTIONS!P:P,"Aguarda desenvolvimento de outras equipas")</f>
        <v>0</v>
      </c>
      <c r="Z11" s="385">
        <f t="shared" si="8"/>
        <v>0</v>
      </c>
      <c r="AA11" s="384">
        <f>COUNTIF(NATURALP_PROTECTIONS!P:P,"Por especificar")</f>
        <v>0</v>
      </c>
      <c r="AB11" s="387">
        <f t="shared" si="9"/>
        <v>0</v>
      </c>
    </row>
    <row r="12" spans="2:31" ht="14.5">
      <c r="B12" s="770"/>
      <c r="C12" s="62" t="s">
        <v>27</v>
      </c>
      <c r="D12" s="67" t="s">
        <v>35</v>
      </c>
      <c r="E12" s="396">
        <f>COUNTA(NATURALP_INSTRUMENT_COUNTERPART!A3:A9)</f>
        <v>4</v>
      </c>
      <c r="F12" s="397">
        <f t="shared" si="10"/>
        <v>1</v>
      </c>
      <c r="G12" s="392">
        <f>COUNTIF(NATURALP_INSTRUMENT_COUNTERPART!P:P,"Concluído")</f>
        <v>4</v>
      </c>
      <c r="H12" s="385">
        <f t="shared" si="11"/>
        <v>1</v>
      </c>
      <c r="I12" s="384">
        <f>COUNTIF(NATURALP_INSTRUMENT_COUNTERPART!P:P,"Mapeamento com LT fechado, mas parametrização pendente")</f>
        <v>0</v>
      </c>
      <c r="J12" s="385">
        <f t="shared" si="0"/>
        <v>0</v>
      </c>
      <c r="K12" s="384">
        <f>COUNTIF(NATURALP_INSTRUMENT_COUNTERPART!P:P,"Novo campo, mapeamento datalake fechado, com necessidade de criar parametrização")</f>
        <v>0</v>
      </c>
      <c r="L12" s="385">
        <f t="shared" si="1"/>
        <v>0</v>
      </c>
      <c r="M12" s="384">
        <f>COUNTIF(NATURALP_INSTRUMENT_COUNTERPART!P:P,"Novo campo, mapeamento datalake fechado, sem necessidade de criar parametrização")</f>
        <v>0</v>
      </c>
      <c r="N12" s="385">
        <f t="shared" si="2"/>
        <v>0</v>
      </c>
      <c r="O12" s="384">
        <f>COUNTIF(NATURALP_INSTRUMENT_COUNTERPART!P:P,"Novo campo, mapeamento datalake pendente, com necessidade de criar parametrização")</f>
        <v>0</v>
      </c>
      <c r="P12" s="385">
        <f t="shared" si="3"/>
        <v>0</v>
      </c>
      <c r="Q12" s="384">
        <f>COUNTIF(NATURALP_INSTRUMENT_COUNTERPART!P:P,"Novo campo, mapeamento datalake pendente, sem necessidade de criar parametrização")</f>
        <v>0</v>
      </c>
      <c r="R12" s="385">
        <f t="shared" si="4"/>
        <v>0</v>
      </c>
      <c r="S12" s="384">
        <f>COUNTIF(NATURALP_INSTRUMENT_COUNTERPART!P:P,"Por iniciar")</f>
        <v>0</v>
      </c>
      <c r="T12" s="387">
        <f t="shared" si="5"/>
        <v>0</v>
      </c>
      <c r="U12" s="392">
        <f>COUNTIF(NATURALP_INSTRUMENT_COUNTERPART!Q:Q,"Concluído")</f>
        <v>4</v>
      </c>
      <c r="V12" s="385">
        <f t="shared" si="6"/>
        <v>1</v>
      </c>
      <c r="W12" s="384">
        <f>COUNTIF(NATURALP_INSTRUMENT_COUNTERPART!Q:Q,"Em desenvolvimento")</f>
        <v>0</v>
      </c>
      <c r="X12" s="385">
        <f t="shared" si="7"/>
        <v>0</v>
      </c>
      <c r="Y12" s="384">
        <f>COUNTIF(NATURALP_INSTRUMENT_COUNTERPART!Q:Q,"Aguarda desenvolvimento de outras equipas")</f>
        <v>0</v>
      </c>
      <c r="Z12" s="385">
        <f t="shared" si="8"/>
        <v>0</v>
      </c>
      <c r="AA12" s="384">
        <f>COUNTIF(NATURALP_INSTRUMENT_COUNTERPART!Q:Q,"Por especificar")</f>
        <v>0</v>
      </c>
      <c r="AB12" s="387">
        <f t="shared" si="9"/>
        <v>0</v>
      </c>
    </row>
    <row r="13" spans="2:31" ht="14.5">
      <c r="B13" s="771"/>
      <c r="C13" s="62" t="s">
        <v>29</v>
      </c>
      <c r="D13" s="67" t="s">
        <v>36</v>
      </c>
      <c r="E13" s="396">
        <f>COUNTA(NATURALP_INSTRUMENT_PROTECTION!A3:A12)</f>
        <v>4</v>
      </c>
      <c r="F13" s="397">
        <f t="shared" si="10"/>
        <v>1</v>
      </c>
      <c r="G13" s="392">
        <f>COUNTIF(NATURALP_INSTRUMENT_PROTECTION!O:O,"Concluído")</f>
        <v>4</v>
      </c>
      <c r="H13" s="385">
        <f t="shared" si="11"/>
        <v>1</v>
      </c>
      <c r="I13" s="384">
        <f>COUNTIF(NATURALP_INSTRUMENT_PROTECTION!O:O,"Mapeamento com LT fechado, mas parametrização pendente")</f>
        <v>0</v>
      </c>
      <c r="J13" s="385">
        <f t="shared" si="0"/>
        <v>0</v>
      </c>
      <c r="K13" s="384">
        <f>COUNTIF(NATURALP_INSTRUMENT_PROTECTION!O:O,"Novo campo, mapeamento datalake fechado, com necessidade de criar parametrização")</f>
        <v>0</v>
      </c>
      <c r="L13" s="385">
        <f t="shared" si="1"/>
        <v>0</v>
      </c>
      <c r="M13" s="384">
        <f>COUNTIF(NATURALP_INSTRUMENT_PROTECTION!O:O,"Novo campo, mapeamento datalake fechado, sem necessidade de criar parametrização")</f>
        <v>0</v>
      </c>
      <c r="N13" s="385">
        <f t="shared" si="2"/>
        <v>0</v>
      </c>
      <c r="O13" s="384">
        <f>COUNTIF(NATURALP_INSTRUMENT_PROTECTION!O:O,"Novo campo, mapeamento datalake pendente, com necessidade de criar parametrização")</f>
        <v>0</v>
      </c>
      <c r="P13" s="385">
        <f t="shared" si="3"/>
        <v>0</v>
      </c>
      <c r="Q13" s="384">
        <f>COUNTIF(NATURALP_INSTRUMENT_PROTECTION!O:O,"Novo campo, mapeamento datalake pendente, sem necessidade de criar parametrização")</f>
        <v>0</v>
      </c>
      <c r="R13" s="385">
        <f t="shared" si="4"/>
        <v>0</v>
      </c>
      <c r="S13" s="384">
        <f>COUNTIF(NATURALP_INSTRUMENT_PROTECTION!O:O,"Por iniciar")</f>
        <v>0</v>
      </c>
      <c r="T13" s="387">
        <f t="shared" si="5"/>
        <v>0</v>
      </c>
      <c r="U13" s="392">
        <f>COUNTIF(NATURALP_INSTRUMENT_PROTECTION!P:P,"Concluído")</f>
        <v>4</v>
      </c>
      <c r="V13" s="385">
        <f t="shared" si="6"/>
        <v>1</v>
      </c>
      <c r="W13" s="384">
        <f>COUNTIF(NATURALP_INSTRUMENT_PROTECTION!P:P,"Em desenvolvimento")</f>
        <v>0</v>
      </c>
      <c r="X13" s="385">
        <f t="shared" si="7"/>
        <v>0</v>
      </c>
      <c r="Y13" s="384">
        <f>COUNTIF(NATURALP_INSTRUMENT_PROTECTION!P:P,"Aguarda desenvolvimento de outras equipas")</f>
        <v>0</v>
      </c>
      <c r="Z13" s="385">
        <f t="shared" si="8"/>
        <v>0</v>
      </c>
      <c r="AA13" s="384">
        <f>COUNTIF(NATURALP_INSTRUMENT_PROTECTION!P:P,"Por especificar")</f>
        <v>0</v>
      </c>
      <c r="AB13" s="387">
        <f t="shared" si="9"/>
        <v>0</v>
      </c>
    </row>
    <row r="14" spans="2:31" ht="14.5">
      <c r="B14" s="769" t="s">
        <v>37</v>
      </c>
      <c r="C14" s="62" t="s">
        <v>21</v>
      </c>
      <c r="D14" s="67" t="s">
        <v>38</v>
      </c>
      <c r="E14" s="396">
        <f>COUNTA(OFFBAL_INSTRUMENTS!A3:A67)</f>
        <v>27</v>
      </c>
      <c r="F14" s="397">
        <f t="shared" si="10"/>
        <v>1</v>
      </c>
      <c r="G14" s="392">
        <f>COUNTIF(OFFBAL_INSTRUMENTS!O:O,"Concluído")</f>
        <v>27</v>
      </c>
      <c r="H14" s="385">
        <f t="shared" si="11"/>
        <v>1</v>
      </c>
      <c r="I14" s="384">
        <f>COUNTIF(OFFBAL_INSTRUMENTS!O:O,"Mapeamento com LT fechado, mas parametrização pendente")</f>
        <v>0</v>
      </c>
      <c r="J14" s="385">
        <f t="shared" si="0"/>
        <v>0</v>
      </c>
      <c r="K14" s="384">
        <f>COUNTIF(OFFBAL_INSTRUMENTS!O:O,"Novo campo, mapeamento datalake fechado, com necessidade de criar parametrização")</f>
        <v>0</v>
      </c>
      <c r="L14" s="385">
        <f t="shared" si="1"/>
        <v>0</v>
      </c>
      <c r="M14" s="384">
        <f>COUNTIF(OFFBAL_INSTRUMENTS!O:O,"Novo campo, mapeamento datalake fechado, sem necessidade de criar parametrização")</f>
        <v>0</v>
      </c>
      <c r="N14" s="385">
        <f t="shared" si="2"/>
        <v>0</v>
      </c>
      <c r="O14" s="384">
        <f>COUNTIF(OFFBAL_INSTRUMENTS!O:O,"Novo campo, mapeamento datalake pendente, com necessidade de criar parametrização")</f>
        <v>0</v>
      </c>
      <c r="P14" s="385">
        <f t="shared" si="3"/>
        <v>0</v>
      </c>
      <c r="Q14" s="384">
        <f>COUNTIF(OFFBAL_INSTRUMENTS!O:O,"Novo campo, mapeamento datalake pendente, sem necessidade de criar parametrização")</f>
        <v>0</v>
      </c>
      <c r="R14" s="385">
        <f t="shared" si="4"/>
        <v>0</v>
      </c>
      <c r="S14" s="384">
        <f>COUNTIF(OFFBAL_INSTRUMENTS!O:O,"Por iniciar")</f>
        <v>0</v>
      </c>
      <c r="T14" s="387">
        <f t="shared" si="5"/>
        <v>0</v>
      </c>
      <c r="U14" s="392">
        <f>COUNTIF(OFFBAL_INSTRUMENTS!P:P,"Concluído")</f>
        <v>27</v>
      </c>
      <c r="V14" s="385">
        <f t="shared" si="6"/>
        <v>1</v>
      </c>
      <c r="W14" s="384">
        <f>COUNTIF(OFFBAL_INSTRUMENTS!P:P,"Em desenvolvimento")</f>
        <v>0</v>
      </c>
      <c r="X14" s="385">
        <f t="shared" si="7"/>
        <v>0</v>
      </c>
      <c r="Y14" s="384">
        <f>COUNTIF(OFFBAL_INSTRUMENTS!P:P,"Aguarda desenvolvimento de outras equipas")</f>
        <v>0</v>
      </c>
      <c r="Z14" s="385">
        <f t="shared" si="8"/>
        <v>0</v>
      </c>
      <c r="AA14" s="384">
        <f>COUNTIF(OFFBAL_INSTRUMENTS!P:P,"Por especificar")</f>
        <v>0</v>
      </c>
      <c r="AB14" s="387">
        <f t="shared" si="9"/>
        <v>0</v>
      </c>
    </row>
    <row r="15" spans="2:31" ht="14.5">
      <c r="B15" s="770"/>
      <c r="C15" s="62" t="s">
        <v>23</v>
      </c>
      <c r="D15" s="67" t="s">
        <v>39</v>
      </c>
      <c r="E15" s="396">
        <f>COUNTA(OFFBAL_COUNTERPARTIES!A3:A59)</f>
        <v>30</v>
      </c>
      <c r="F15" s="397">
        <f t="shared" si="10"/>
        <v>1</v>
      </c>
      <c r="G15" s="392">
        <f>COUNTIF(OFFBAL_COUNTERPARTIES!O:O,"Concluído")</f>
        <v>30</v>
      </c>
      <c r="H15" s="385">
        <f t="shared" si="11"/>
        <v>1</v>
      </c>
      <c r="I15" s="384">
        <f>COUNTIF(OFFBAL_COUNTERPARTIES!O:O,"Mapeamento com LT fechado, mas parametrização pendente")</f>
        <v>0</v>
      </c>
      <c r="J15" s="385">
        <f t="shared" si="0"/>
        <v>0</v>
      </c>
      <c r="K15" s="384">
        <f>COUNTIF(OFFBAL_COUNTERPARTIES!O:O,"Novo campo, mapeamento datalake fechado, com necessidade de criar parametrização")</f>
        <v>0</v>
      </c>
      <c r="L15" s="385">
        <f t="shared" si="1"/>
        <v>0</v>
      </c>
      <c r="M15" s="384">
        <f>COUNTIF(OFFBAL_COUNTERPARTIES!O:O,"Novo campo, mapeamento datalake fechado, sem necessidade de criar parametrização")</f>
        <v>0</v>
      </c>
      <c r="N15" s="385">
        <f t="shared" si="2"/>
        <v>0</v>
      </c>
      <c r="O15" s="384">
        <f>COUNTIF(OFFBAL_COUNTERPARTIES!O:O,"Novo campo, mapeamento datalake pendente, com necessidade de criar parametrização")</f>
        <v>0</v>
      </c>
      <c r="P15" s="385">
        <f t="shared" si="3"/>
        <v>0</v>
      </c>
      <c r="Q15" s="384">
        <f>COUNTIF(OFFBAL_COUNTERPARTIES!O:O,"Novo campo, mapeamento datalake pendente, sem necessidade de criar parametrização")</f>
        <v>0</v>
      </c>
      <c r="R15" s="385">
        <f t="shared" si="4"/>
        <v>0</v>
      </c>
      <c r="S15" s="384">
        <f>COUNTIF(OFFBAL_COUNTERPARTIES!O:O,"Por iniciar")</f>
        <v>0</v>
      </c>
      <c r="T15" s="387">
        <f t="shared" si="5"/>
        <v>0</v>
      </c>
      <c r="U15" s="392">
        <f>COUNTIF(OFFBAL_COUNTERPARTIES!P:P,"Concluído")</f>
        <v>30</v>
      </c>
      <c r="V15" s="385">
        <f t="shared" si="6"/>
        <v>1</v>
      </c>
      <c r="W15" s="384">
        <f>COUNTIF(OFFBAL_COUNTERPARTIES!P:P,"Em desenvolvimento")</f>
        <v>0</v>
      </c>
      <c r="X15" s="385">
        <f t="shared" si="7"/>
        <v>0</v>
      </c>
      <c r="Y15" s="384">
        <f>COUNTIF(OFFBAL_COUNTERPARTIES!P:P,"Aguarda desenvolvimento de outras equipas")</f>
        <v>0</v>
      </c>
      <c r="Z15" s="385">
        <f t="shared" si="8"/>
        <v>0</v>
      </c>
      <c r="AA15" s="384">
        <f>COUNTIF(OFFBAL_COUNTERPARTIES!P:P,"Por especificar")</f>
        <v>0</v>
      </c>
      <c r="AB15" s="387">
        <f t="shared" si="9"/>
        <v>0</v>
      </c>
    </row>
    <row r="16" spans="2:31" ht="14.5">
      <c r="B16" s="770"/>
      <c r="C16" s="62" t="s">
        <v>25</v>
      </c>
      <c r="D16" s="67" t="s">
        <v>40</v>
      </c>
      <c r="E16" s="396">
        <f>COUNTA(OFFBAL_PROTECTIONS!A3:A27)</f>
        <v>17</v>
      </c>
      <c r="F16" s="397">
        <f t="shared" si="10"/>
        <v>1</v>
      </c>
      <c r="G16" s="392">
        <f>COUNTIF(OFFBAL_PROTECTIONS!O:O,"Concluído")</f>
        <v>17</v>
      </c>
      <c r="H16" s="385">
        <f t="shared" si="11"/>
        <v>1</v>
      </c>
      <c r="I16" s="384">
        <f>COUNTIF(OFFBAL_PROTECTIONS!O:O,"Mapeamento com LT fechado, mas parametrização pendente")</f>
        <v>0</v>
      </c>
      <c r="J16" s="385">
        <f t="shared" si="0"/>
        <v>0</v>
      </c>
      <c r="K16" s="384">
        <f>COUNTIF(OFFBAL_PROTECTIONS!O:O,"Novo campo, mapeamento datalake fechado, com necessidade de criar parametrização")</f>
        <v>0</v>
      </c>
      <c r="L16" s="385">
        <f t="shared" si="1"/>
        <v>0</v>
      </c>
      <c r="M16" s="384">
        <f>COUNTIF(OFFBAL_PROTECTIONS!O:O,"Novo campo, mapeamento datalake fechado, sem necessidade de criar parametrização")</f>
        <v>0</v>
      </c>
      <c r="N16" s="385">
        <f t="shared" si="2"/>
        <v>0</v>
      </c>
      <c r="O16" s="384">
        <f>COUNTIF(OFFBAL_PROTECTIONS!O:O,"Novo campo, mapeamento datalake pendente, com necessidade de criar parametrização")</f>
        <v>0</v>
      </c>
      <c r="P16" s="385">
        <f t="shared" si="3"/>
        <v>0</v>
      </c>
      <c r="Q16" s="384">
        <f>COUNTIF(OFFBAL_PROTECTIONS!O:O,"Novo campo, mapeamento datalake pendente, sem necessidade de criar parametrização")</f>
        <v>0</v>
      </c>
      <c r="R16" s="385">
        <f t="shared" si="4"/>
        <v>0</v>
      </c>
      <c r="S16" s="384">
        <f>COUNTIF(OFFBAL_PROTECTIONS!O:O,"Por iniciar")</f>
        <v>0</v>
      </c>
      <c r="T16" s="387">
        <f t="shared" si="5"/>
        <v>0</v>
      </c>
      <c r="U16" s="392">
        <f>COUNTIF(OFFBAL_PROTECTIONS!P:P,"Concluído")</f>
        <v>17</v>
      </c>
      <c r="V16" s="385">
        <f t="shared" si="6"/>
        <v>1</v>
      </c>
      <c r="W16" s="384">
        <f>COUNTIF(OFFBAL_PROTECTIONS!P:P,"Em desenvolvimento")</f>
        <v>0</v>
      </c>
      <c r="X16" s="385">
        <f t="shared" si="7"/>
        <v>0</v>
      </c>
      <c r="Y16" s="384">
        <f>COUNTIF(OFFBAL_PROTECTIONS!P:P,"Aguarda desenvolvimento de outras equipas")</f>
        <v>0</v>
      </c>
      <c r="Z16" s="385">
        <f t="shared" si="8"/>
        <v>0</v>
      </c>
      <c r="AA16" s="384">
        <f>COUNTIF(OFFBAL_PROTECTIONS!P:P,"Por especificar")</f>
        <v>0</v>
      </c>
      <c r="AB16" s="387">
        <f t="shared" si="9"/>
        <v>0</v>
      </c>
    </row>
    <row r="17" spans="2:29" ht="14.5">
      <c r="B17" s="770"/>
      <c r="C17" s="62" t="s">
        <v>27</v>
      </c>
      <c r="D17" s="67" t="s">
        <v>41</v>
      </c>
      <c r="E17" s="396">
        <f>COUNTA(OFFBAL_INSTRUMENT_COUNTERPARTY!A3:A8)</f>
        <v>3</v>
      </c>
      <c r="F17" s="397">
        <f t="shared" si="10"/>
        <v>1</v>
      </c>
      <c r="G17" s="392">
        <f>COUNTIF(OFFBAL_INSTRUMENT_COUNTERPARTY!O:O,"Concluído")</f>
        <v>3</v>
      </c>
      <c r="H17" s="385">
        <f t="shared" si="11"/>
        <v>1</v>
      </c>
      <c r="I17" s="384">
        <f>COUNTIF(OFFBAL_INSTRUMENT_COUNTERPARTY!O:O,"Mapeamento com LT fechado, mas parametrização pendente")</f>
        <v>0</v>
      </c>
      <c r="J17" s="385">
        <f t="shared" si="0"/>
        <v>0</v>
      </c>
      <c r="K17" s="384">
        <f>COUNTIF(OFFBAL_INSTRUMENT_COUNTERPARTY!O:O,"Novo campo, mapeamento datalake fechado, com necessidade de criar parametrização")</f>
        <v>0</v>
      </c>
      <c r="L17" s="385">
        <f t="shared" si="1"/>
        <v>0</v>
      </c>
      <c r="M17" s="384">
        <f>COUNTIF(OFFBAL_INSTRUMENT_COUNTERPARTY!O:O,"Novo campo, mapeamento datalake fechado, sem necessidade de criar parametrização")</f>
        <v>0</v>
      </c>
      <c r="N17" s="385">
        <f t="shared" si="2"/>
        <v>0</v>
      </c>
      <c r="O17" s="384">
        <f>COUNTIF(OFFBAL_INSTRUMENT_COUNTERPARTY!O:O,"Novo campo, mapeamento datalake pendente, com necessidade de criar parametrização")</f>
        <v>0</v>
      </c>
      <c r="P17" s="385">
        <f t="shared" si="3"/>
        <v>0</v>
      </c>
      <c r="Q17" s="384">
        <f>COUNTIF(OFFBAL_INSTRUMENT_COUNTERPARTY!O:O,"Novo campo, mapeamento datalake pendente, sem necessidade de criar parametrização")</f>
        <v>0</v>
      </c>
      <c r="R17" s="385">
        <f t="shared" si="4"/>
        <v>0</v>
      </c>
      <c r="S17" s="384">
        <f>COUNTIF(OFFBAL_INSTRUMENT_COUNTERPARTY!O:O,"Por iniciar")</f>
        <v>0</v>
      </c>
      <c r="T17" s="387">
        <f t="shared" si="5"/>
        <v>0</v>
      </c>
      <c r="U17" s="392">
        <f>COUNTIF(OFFBAL_INSTRUMENT_COUNTERPARTY!P:P,"Concluído")</f>
        <v>3</v>
      </c>
      <c r="V17" s="385">
        <f t="shared" si="6"/>
        <v>1</v>
      </c>
      <c r="W17" s="384">
        <f>COUNTIF(OFFBAL_INSTRUMENT_COUNTERPARTY!P:P,"Em desenvolvimento")</f>
        <v>0</v>
      </c>
      <c r="X17" s="385">
        <f t="shared" si="7"/>
        <v>0</v>
      </c>
      <c r="Y17" s="384">
        <f>COUNTIF(OFFBAL_INSTRUMENT_COUNTERPARTY!P:P,"Aguarda desenvolvimento de outras equipas")</f>
        <v>0</v>
      </c>
      <c r="Z17" s="385">
        <f t="shared" si="8"/>
        <v>0</v>
      </c>
      <c r="AA17" s="384">
        <f>COUNTIF(OFFBAL_INSTRUMENT_COUNTERPARTY!P:P,"Por especificar")</f>
        <v>0</v>
      </c>
      <c r="AB17" s="387">
        <f t="shared" si="9"/>
        <v>0</v>
      </c>
    </row>
    <row r="18" spans="2:29" ht="14.5">
      <c r="B18" s="771"/>
      <c r="C18" s="62" t="s">
        <v>29</v>
      </c>
      <c r="D18" s="67" t="s">
        <v>42</v>
      </c>
      <c r="E18" s="396">
        <f>COUNTA(OFFBAL_INSTRUMENT_PROTECTION!A3:A12)</f>
        <v>4</v>
      </c>
      <c r="F18" s="397">
        <f t="shared" si="10"/>
        <v>1</v>
      </c>
      <c r="G18" s="392">
        <f>COUNTIF(OFFBAL_INSTRUMENT_PROTECTION!O:O,"Concluído")</f>
        <v>4</v>
      </c>
      <c r="H18" s="385">
        <f t="shared" si="11"/>
        <v>1</v>
      </c>
      <c r="I18" s="384">
        <f>COUNTIF(OFFBAL_INSTRUMENT_PROTECTION!O:O,"Mapeamento com LT fechado, mas parametrização pendente")</f>
        <v>0</v>
      </c>
      <c r="J18" s="385">
        <f t="shared" si="0"/>
        <v>0</v>
      </c>
      <c r="K18" s="384">
        <f>COUNTIF(OFFBAL_INSTRUMENT_PROTECTION!O:O,"Novo campo, mapeamento datalake fechado, com necessidade de criar parametrização")</f>
        <v>0</v>
      </c>
      <c r="L18" s="385">
        <f t="shared" si="1"/>
        <v>0</v>
      </c>
      <c r="M18" s="384">
        <f>COUNTIF(OFFBAL_INSTRUMENT_PROTECTION!O:O,"Novo campo, mapeamento datalake fechado, sem necessidade de criar parametrização")</f>
        <v>0</v>
      </c>
      <c r="N18" s="385">
        <f t="shared" si="2"/>
        <v>0</v>
      </c>
      <c r="O18" s="384">
        <f>COUNTIF(OFFBAL_INSTRUMENT_PROTECTION!O:O,"Novo campo, mapeamento datalake pendente, com necessidade de criar parametrização")</f>
        <v>0</v>
      </c>
      <c r="P18" s="385">
        <f t="shared" si="3"/>
        <v>0</v>
      </c>
      <c r="Q18" s="384">
        <f>COUNTIF(OFFBAL_INSTRUMENT_PROTECTION!O:O,"Novo campo, mapeamento datalake pendente, sem necessidade de criar parametrização")</f>
        <v>0</v>
      </c>
      <c r="R18" s="385">
        <f t="shared" si="4"/>
        <v>0</v>
      </c>
      <c r="S18" s="384">
        <f>COUNTIF(OFFBAL_INSTRUMENT_PROTECTION!O:O,"Por iniciar")</f>
        <v>0</v>
      </c>
      <c r="T18" s="387">
        <f t="shared" si="5"/>
        <v>0</v>
      </c>
      <c r="U18" s="392">
        <f>COUNTIF(OFFBAL_INSTRUMENT_PROTECTION!P:P,"Concluído")</f>
        <v>4</v>
      </c>
      <c r="V18" s="385">
        <f t="shared" si="6"/>
        <v>1</v>
      </c>
      <c r="W18" s="384">
        <f>COUNTIF(OFFBAL_INSTRUMENT_PROTECTION!P:P,"Em desenvolvimento")</f>
        <v>0</v>
      </c>
      <c r="X18" s="385">
        <f t="shared" si="7"/>
        <v>0</v>
      </c>
      <c r="Y18" s="384">
        <f>COUNTIF(OFFBAL_INSTRUMENT_PROTECTION!P:P,"Aguarda desenvolvimento de outras equipas")</f>
        <v>0</v>
      </c>
      <c r="Z18" s="385">
        <f t="shared" si="8"/>
        <v>0</v>
      </c>
      <c r="AA18" s="384">
        <f>COUNTIF(OFFBAL_INSTRUMENT_PROTECTION!P:P,"Por especificar")</f>
        <v>0</v>
      </c>
      <c r="AB18" s="387">
        <f t="shared" si="9"/>
        <v>0</v>
      </c>
    </row>
    <row r="19" spans="2:29" ht="14.5">
      <c r="B19" s="63" t="s">
        <v>43</v>
      </c>
      <c r="C19" s="62" t="s">
        <v>21</v>
      </c>
      <c r="D19" s="67" t="s">
        <v>44</v>
      </c>
      <c r="E19" s="396">
        <f>COUNTA(DERIVATIVES!A3:A69)</f>
        <v>29</v>
      </c>
      <c r="F19" s="397">
        <f t="shared" si="10"/>
        <v>1</v>
      </c>
      <c r="G19" s="392">
        <f>COUNTIF(DERIVATIVES!O:O,"Concluído")</f>
        <v>29</v>
      </c>
      <c r="H19" s="385">
        <f t="shared" si="11"/>
        <v>1</v>
      </c>
      <c r="I19" s="384">
        <f>COUNTIF(DERIVATIVES!O:O,"Mapeamento com LT fechado, mas parametrização pendente")</f>
        <v>0</v>
      </c>
      <c r="J19" s="385">
        <f t="shared" si="0"/>
        <v>0</v>
      </c>
      <c r="K19" s="384">
        <f>COUNTIF(DERIVATIVES!O:O,"Novo campo, mapeamento datalake fechado, com necessidade de criar parametrização")</f>
        <v>0</v>
      </c>
      <c r="L19" s="385">
        <f t="shared" si="1"/>
        <v>0</v>
      </c>
      <c r="M19" s="384">
        <f>COUNTIF(DERIVATIVES!O:O,"Novo campo, mapeamento datalake fechado, sem necessidade de criar parametrização")</f>
        <v>0</v>
      </c>
      <c r="N19" s="385">
        <f t="shared" si="2"/>
        <v>0</v>
      </c>
      <c r="O19" s="384">
        <f>COUNTIF(DERIVATIVES!O:O,"Novo campo, mapeamento datalake pendente, com necessidade de criar parametrização")</f>
        <v>0</v>
      </c>
      <c r="P19" s="385">
        <f t="shared" si="3"/>
        <v>0</v>
      </c>
      <c r="Q19" s="384">
        <f>COUNTIF(DERIVATIVES!O:O,"Novo campo, mapeamento datalake pendente, sem necessidade de criar parametrização")</f>
        <v>0</v>
      </c>
      <c r="R19" s="385">
        <f t="shared" si="4"/>
        <v>0</v>
      </c>
      <c r="S19" s="384">
        <f>COUNTIF(DERIVATIVES!O:O,"Por iniciar")</f>
        <v>0</v>
      </c>
      <c r="T19" s="387">
        <f t="shared" si="5"/>
        <v>0</v>
      </c>
      <c r="U19" s="392">
        <f>COUNTIF(DERIVATIVES!P:P,"Concluído")</f>
        <v>29</v>
      </c>
      <c r="V19" s="385">
        <f t="shared" si="6"/>
        <v>1</v>
      </c>
      <c r="W19" s="384">
        <f>COUNTIF(DERIVATIVES!P:P,"Em desenvolvimento")</f>
        <v>0</v>
      </c>
      <c r="X19" s="385">
        <f t="shared" si="7"/>
        <v>0</v>
      </c>
      <c r="Y19" s="384">
        <f>COUNTIF(DERIVATIVES!P:P,"Aguarda desenvolvimento de outras equipas")</f>
        <v>0</v>
      </c>
      <c r="Z19" s="385">
        <f t="shared" si="8"/>
        <v>0</v>
      </c>
      <c r="AA19" s="384">
        <f>COUNTIF(DERIVATIVES!P:P,"Por especificar")</f>
        <v>0</v>
      </c>
      <c r="AB19" s="387">
        <f t="shared" si="9"/>
        <v>0</v>
      </c>
    </row>
    <row r="20" spans="2:29" ht="14.5">
      <c r="B20" s="63" t="s">
        <v>45</v>
      </c>
      <c r="C20" s="62" t="s">
        <v>21</v>
      </c>
      <c r="D20" s="67" t="s">
        <v>46</v>
      </c>
      <c r="E20" s="396">
        <f>COUNTA(DEBT_SECURITIES!A3:A77)</f>
        <v>40</v>
      </c>
      <c r="F20" s="397">
        <f t="shared" si="10"/>
        <v>1</v>
      </c>
      <c r="G20" s="392">
        <f>COUNTIF(DEBT_SECURITIES!O:O,"Concluído")</f>
        <v>40</v>
      </c>
      <c r="H20" s="385">
        <f t="shared" si="11"/>
        <v>1</v>
      </c>
      <c r="I20" s="384">
        <f>COUNTIF(DEBT_SECURITIES!O:O,"Mapeamento com LT fechado, mas parametrização pendente")</f>
        <v>0</v>
      </c>
      <c r="J20" s="385">
        <f t="shared" si="0"/>
        <v>0</v>
      </c>
      <c r="K20" s="384">
        <f>COUNTIF(DEBT_SECURITIES!O:O,"Novo campo, mapeamento datalake fechado, com necessidade de criar parametrização")</f>
        <v>0</v>
      </c>
      <c r="L20" s="385">
        <f t="shared" si="1"/>
        <v>0</v>
      </c>
      <c r="M20" s="384">
        <f>COUNTIF(DEBT_SECURITIES!O:O,"Novo campo, mapeamento datalake fechado, sem necessidade de criar parametrização")</f>
        <v>0</v>
      </c>
      <c r="N20" s="385">
        <f t="shared" si="2"/>
        <v>0</v>
      </c>
      <c r="O20" s="384">
        <f>COUNTIF(DEBT_SECURITIES!O:O,"Novo campo, mapeamento datalake pendente, com necessidade de criar parametrização")</f>
        <v>0</v>
      </c>
      <c r="P20" s="385">
        <f t="shared" si="3"/>
        <v>0</v>
      </c>
      <c r="Q20" s="384">
        <f>COUNTIF(DEBT_SECURITIES!O:O,"Novo campo, mapeamento datalake pendente, sem necessidade de criar parametrização")</f>
        <v>0</v>
      </c>
      <c r="R20" s="385">
        <f t="shared" si="4"/>
        <v>0</v>
      </c>
      <c r="S20" s="384">
        <f>COUNTIF(DEBT_SECURITIES!O:O,"Por iniciar")</f>
        <v>0</v>
      </c>
      <c r="T20" s="387">
        <f t="shared" si="5"/>
        <v>0</v>
      </c>
      <c r="U20" s="392">
        <f>COUNTIF(DEBT_SECURITIES!P:P,"Concluído")</f>
        <v>40</v>
      </c>
      <c r="V20" s="385">
        <f t="shared" si="6"/>
        <v>1</v>
      </c>
      <c r="W20" s="384">
        <f>COUNTIF(DEBT_SECURITIES!P:P,"Em desenvolvimento")</f>
        <v>0</v>
      </c>
      <c r="X20" s="385">
        <f t="shared" si="7"/>
        <v>0</v>
      </c>
      <c r="Y20" s="384">
        <f>COUNTIF(DEBT_SECURITIES!P:P,"Aguarda desenvolvimento de outras equipas")</f>
        <v>0</v>
      </c>
      <c r="Z20" s="385">
        <f t="shared" si="8"/>
        <v>0</v>
      </c>
      <c r="AA20" s="384">
        <f>COUNTIF(DEBT_SECURITIES!P:P,"Por especificar")</f>
        <v>0</v>
      </c>
      <c r="AB20" s="387">
        <f t="shared" si="9"/>
        <v>0</v>
      </c>
    </row>
    <row r="21" spans="2:29" ht="14.5">
      <c r="B21" s="63" t="s">
        <v>47</v>
      </c>
      <c r="C21" s="62" t="s">
        <v>21</v>
      </c>
      <c r="D21" s="67" t="s">
        <v>48</v>
      </c>
      <c r="E21" s="396">
        <f>COUNTA(EQUITY_INSTRUMENTS!A3:A35)</f>
        <v>18</v>
      </c>
      <c r="F21" s="397">
        <f t="shared" si="10"/>
        <v>1</v>
      </c>
      <c r="G21" s="392">
        <f>COUNTIF(EQUITY_INSTRUMENTS!O:O,"Concluído")</f>
        <v>18</v>
      </c>
      <c r="H21" s="385">
        <f t="shared" si="11"/>
        <v>1</v>
      </c>
      <c r="I21" s="384">
        <f>COUNTIF(EQUITY_INSTRUMENTS!O:O,"Mapeamento com LT fechado, mas parametrização pendente")</f>
        <v>0</v>
      </c>
      <c r="J21" s="385">
        <f t="shared" si="0"/>
        <v>0</v>
      </c>
      <c r="K21" s="384">
        <f>COUNTIF(EQUITY_INSTRUMENTS!O:O,"Novo campo, mapeamento datalake fechado, com necessidade de criar parametrização")</f>
        <v>0</v>
      </c>
      <c r="L21" s="385">
        <f t="shared" si="1"/>
        <v>0</v>
      </c>
      <c r="M21" s="384">
        <f>COUNTIF(EQUITY_INSTRUMENTS!O:O,"Novo campo, mapeamento datalake fechado, sem necessidade de criar parametrização")</f>
        <v>0</v>
      </c>
      <c r="N21" s="385">
        <f t="shared" si="2"/>
        <v>0</v>
      </c>
      <c r="O21" s="384">
        <f>COUNTIF(EQUITY_INSTRUMENTS!O:O,"Novo campo, mapeamento datalake pendente, com necessidade de criar parametrização")</f>
        <v>0</v>
      </c>
      <c r="P21" s="385">
        <f t="shared" si="3"/>
        <v>0</v>
      </c>
      <c r="Q21" s="384">
        <f>COUNTIF(EQUITY_INSTRUMENTS!O:O,"Novo campo, mapeamento datalake pendente, sem necessidade de criar parametrização")</f>
        <v>0</v>
      </c>
      <c r="R21" s="385">
        <f t="shared" si="4"/>
        <v>0</v>
      </c>
      <c r="S21" s="384">
        <f>COUNTIF(EQUITY_INSTRUMENTS!O:O,"Por iniciar")</f>
        <v>0</v>
      </c>
      <c r="T21" s="387">
        <f t="shared" si="5"/>
        <v>0</v>
      </c>
      <c r="U21" s="392">
        <f>COUNTIF(EQUITY_INSTRUMENTS!P:P,"Concluído")</f>
        <v>18</v>
      </c>
      <c r="V21" s="385">
        <f t="shared" si="6"/>
        <v>1</v>
      </c>
      <c r="W21" s="384">
        <f>COUNTIF(EQUITY_INSTRUMENTS!P:P,"Em desenvolvimento")</f>
        <v>0</v>
      </c>
      <c r="X21" s="385">
        <f t="shared" si="7"/>
        <v>0</v>
      </c>
      <c r="Y21" s="384">
        <f>COUNTIF(EQUITY_INSTRUMENTS!P:P,"Aguarda desenvolvimento de outras equipas")</f>
        <v>0</v>
      </c>
      <c r="Z21" s="385">
        <f t="shared" si="8"/>
        <v>0</v>
      </c>
      <c r="AA21" s="384">
        <f>COUNTIF(EQUITY_INSTRUMENTS!P:P,"Por especificar")</f>
        <v>0</v>
      </c>
      <c r="AB21" s="387">
        <f t="shared" si="9"/>
        <v>0</v>
      </c>
    </row>
    <row r="22" spans="2:29" ht="14.5">
      <c r="B22" s="63" t="s">
        <v>49</v>
      </c>
      <c r="C22" s="62" t="s">
        <v>50</v>
      </c>
      <c r="D22" s="67" t="s">
        <v>51</v>
      </c>
      <c r="E22" s="396">
        <f>COUNTA(DTA_DTC!A3:A19)</f>
        <v>17</v>
      </c>
      <c r="F22" s="397">
        <f t="shared" si="10"/>
        <v>1</v>
      </c>
      <c r="G22" s="392">
        <f>COUNTIF(DTA_DTC!M:M,"Concluído")</f>
        <v>17</v>
      </c>
      <c r="H22" s="385">
        <f t="shared" si="11"/>
        <v>1</v>
      </c>
      <c r="I22" s="384">
        <f>COUNTIF(DTA_DTC!M:M,"Mapeamento com LT fechado, mas parametrização pendente")</f>
        <v>0</v>
      </c>
      <c r="J22" s="385">
        <f t="shared" si="0"/>
        <v>0</v>
      </c>
      <c r="K22" s="384">
        <f>COUNTIF(DTA_DTC!M:M,"Novo campo, mapeamento datalake fechado, com necessidade de criar parametrização")</f>
        <v>0</v>
      </c>
      <c r="L22" s="385">
        <f t="shared" si="1"/>
        <v>0</v>
      </c>
      <c r="M22" s="384">
        <f>COUNTIF(DTA_DTC!M:M,"Novo campo, mapeamento datalake fechado, sem necessidade de criar parametrização")</f>
        <v>0</v>
      </c>
      <c r="N22" s="385">
        <f t="shared" si="2"/>
        <v>0</v>
      </c>
      <c r="O22" s="384">
        <f>COUNTIF(DTA_DTC!M:M,"Novo campo, mapeamento datalake pendente, com necessidade de criar parametrização")</f>
        <v>0</v>
      </c>
      <c r="P22" s="385">
        <f t="shared" si="3"/>
        <v>0</v>
      </c>
      <c r="Q22" s="384">
        <f>COUNTIF(DTA_DTC!M:M,"Novo campo, mapeamento datalake pendente, sem necessidade de criar parametrização")</f>
        <v>0</v>
      </c>
      <c r="R22" s="385">
        <f t="shared" si="4"/>
        <v>0</v>
      </c>
      <c r="S22" s="384">
        <f>COUNTIF(DTA_DTC!M:M,"Por iniciar")</f>
        <v>0</v>
      </c>
      <c r="T22" s="387">
        <f t="shared" si="5"/>
        <v>0</v>
      </c>
      <c r="U22" s="392">
        <f>COUNTIF(DTA_DTC!N:N,"Concluído")</f>
        <v>17</v>
      </c>
      <c r="V22" s="385">
        <f t="shared" si="6"/>
        <v>1</v>
      </c>
      <c r="W22" s="384">
        <f>COUNTIF(DTA_DTC!N:N,"Mapeamento com LT fechado, mas parametrização pendente")</f>
        <v>0</v>
      </c>
      <c r="X22" s="385">
        <f t="shared" si="7"/>
        <v>0</v>
      </c>
      <c r="Y22" s="384">
        <f>COUNTIF(DTA_DTC!N:N,"Novo campo, mapeamento datalake fechado, com necessidade de criar parametrização")</f>
        <v>0</v>
      </c>
      <c r="Z22" s="385">
        <f t="shared" si="8"/>
        <v>0</v>
      </c>
      <c r="AA22" s="384">
        <f>COUNTIF(DTA_DTC!N:N,"Novo campo, mapeamento datalake fechado, sem necessidade de criar parametrização")</f>
        <v>0</v>
      </c>
      <c r="AB22" s="385">
        <f t="shared" si="9"/>
        <v>0</v>
      </c>
      <c r="AC22" s="56" t="s">
        <v>52</v>
      </c>
    </row>
    <row r="23" spans="2:29" ht="14.5">
      <c r="B23" s="64" t="s">
        <v>53</v>
      </c>
      <c r="C23" s="65" t="s">
        <v>50</v>
      </c>
      <c r="D23" s="67" t="s">
        <v>54</v>
      </c>
      <c r="E23" s="396">
        <f>COUNTA(INTANGIBLE_ASSETS!A3:A15)</f>
        <v>13</v>
      </c>
      <c r="F23" s="397">
        <f t="shared" si="10"/>
        <v>1</v>
      </c>
      <c r="G23" s="392">
        <f>COUNTIF(INTANGIBLE_ASSETS!M:M,"Concluído")</f>
        <v>13</v>
      </c>
      <c r="H23" s="385">
        <f t="shared" si="11"/>
        <v>1</v>
      </c>
      <c r="I23" s="384">
        <f>COUNTIF(INTANGIBLE_ASSETS!M:M,"Mapeamento com LT fechado, mas parametrização pendente")</f>
        <v>0</v>
      </c>
      <c r="J23" s="385">
        <f t="shared" si="0"/>
        <v>0</v>
      </c>
      <c r="K23" s="384">
        <f>COUNTIF(INTANGIBLE_ASSETS!M:M,"Novo campo, mapeamento datalake fechado, com necessidade de criar parametrização")</f>
        <v>0</v>
      </c>
      <c r="L23" s="385">
        <f t="shared" si="1"/>
        <v>0</v>
      </c>
      <c r="M23" s="384">
        <f>COUNTIF(INTANGIBLE_ASSETS!M:M,"Novo campo, mapeamento datalake fechado, sem necessidade de criar parametrização")</f>
        <v>0</v>
      </c>
      <c r="N23" s="385">
        <f t="shared" si="2"/>
        <v>0</v>
      </c>
      <c r="O23" s="384">
        <f>COUNTIF(INTANGIBLE_ASSETS!M:M,"Novo campo, mapeamento datalake pendente, com necessidade de criar parametrização")</f>
        <v>0</v>
      </c>
      <c r="P23" s="385">
        <f t="shared" si="3"/>
        <v>0</v>
      </c>
      <c r="Q23" s="384">
        <f>COUNTIF(INTANGIBLE_ASSETS!M:M,"Novo campo, mapeamento datalake pendente, sem necessidade de criar parametrização")</f>
        <v>0</v>
      </c>
      <c r="R23" s="385">
        <f t="shared" si="4"/>
        <v>0</v>
      </c>
      <c r="S23" s="384">
        <f>COUNTIF(INTANGIBLE_ASSETS!M:M,"Por iniciar")</f>
        <v>0</v>
      </c>
      <c r="T23" s="387">
        <f t="shared" si="5"/>
        <v>0</v>
      </c>
      <c r="U23" s="392">
        <f>COUNTIF(INTANGIBLE_ASSETS!N:N,"Concluído")</f>
        <v>13</v>
      </c>
      <c r="V23" s="385">
        <f t="shared" si="6"/>
        <v>1</v>
      </c>
      <c r="W23" s="384">
        <f>COUNTIF(INTANGIBLE_ASSETS!N:N,"Mapeamento com LT fechado, mas parametrização pendente")</f>
        <v>0</v>
      </c>
      <c r="X23" s="385">
        <f t="shared" si="7"/>
        <v>0</v>
      </c>
      <c r="Y23" s="384">
        <f>COUNTIF(INTANGIBLE_ASSETS!N:N,"Novo campo, mapeamento datalake fechado, com necessidade de criar parametrização")</f>
        <v>0</v>
      </c>
      <c r="Z23" s="385">
        <f t="shared" si="8"/>
        <v>0</v>
      </c>
      <c r="AA23" s="384">
        <f>COUNTIF(INTANGIBLE_ASSETS!N:N,"Novo campo, mapeamento datalake fechado, sem necessidade de criar parametrização")</f>
        <v>0</v>
      </c>
      <c r="AB23" s="385">
        <f t="shared" si="9"/>
        <v>0</v>
      </c>
      <c r="AC23" s="56" t="s">
        <v>52</v>
      </c>
    </row>
    <row r="24" spans="2:29" ht="14.5">
      <c r="B24" s="81" t="s">
        <v>0</v>
      </c>
      <c r="C24" s="59" t="s">
        <v>4</v>
      </c>
      <c r="D24" s="68"/>
      <c r="E24" s="382">
        <f>SUM(E4:E23)</f>
        <v>308</v>
      </c>
      <c r="F24" s="398">
        <f>SUM(H24,J24,L24,N24,P24,R24,T24)</f>
        <v>1</v>
      </c>
      <c r="G24" s="393">
        <f>SUM(G4:G23)</f>
        <v>308</v>
      </c>
      <c r="H24" s="388">
        <f t="shared" si="11"/>
        <v>1</v>
      </c>
      <c r="I24" s="389">
        <f t="shared" ref="I24:S24" si="12">SUM(I4:I23)</f>
        <v>0</v>
      </c>
      <c r="J24" s="388">
        <f t="shared" si="0"/>
        <v>0</v>
      </c>
      <c r="K24" s="389">
        <f t="shared" si="12"/>
        <v>0</v>
      </c>
      <c r="L24" s="388">
        <f t="shared" si="1"/>
        <v>0</v>
      </c>
      <c r="M24" s="389">
        <f t="shared" si="12"/>
        <v>0</v>
      </c>
      <c r="N24" s="388">
        <f t="shared" si="2"/>
        <v>0</v>
      </c>
      <c r="O24" s="389">
        <f t="shared" si="12"/>
        <v>0</v>
      </c>
      <c r="P24" s="388">
        <f t="shared" si="3"/>
        <v>0</v>
      </c>
      <c r="Q24" s="389">
        <f t="shared" si="12"/>
        <v>0</v>
      </c>
      <c r="R24" s="388">
        <f t="shared" si="4"/>
        <v>0</v>
      </c>
      <c r="S24" s="389">
        <f t="shared" si="12"/>
        <v>0</v>
      </c>
      <c r="T24" s="390">
        <f t="shared" si="5"/>
        <v>0</v>
      </c>
      <c r="U24" s="393">
        <f>SUM(U4:U23)</f>
        <v>308</v>
      </c>
      <c r="V24" s="388">
        <f>U24/SUM(E4:E23)</f>
        <v>1</v>
      </c>
      <c r="W24" s="389">
        <f>SUM(W4:W23)</f>
        <v>0</v>
      </c>
      <c r="X24" s="388">
        <f>W24/SUM(E4:E23)</f>
        <v>0</v>
      </c>
      <c r="Y24" s="389">
        <f>SUM(Y4:Y23)</f>
        <v>0</v>
      </c>
      <c r="Z24" s="388">
        <f>Y24/SUM(E4:E23)</f>
        <v>0</v>
      </c>
      <c r="AA24" s="389">
        <f>SUM(AA4:AA23)</f>
        <v>0</v>
      </c>
      <c r="AB24" s="390">
        <f>AA24/SUM(E4:E23)</f>
        <v>0</v>
      </c>
    </row>
    <row r="25" spans="2:29" ht="14.5">
      <c r="C25" s="80" t="s">
        <v>0</v>
      </c>
    </row>
    <row r="26" spans="2:29" ht="14.5">
      <c r="B26" s="7" t="s">
        <v>0</v>
      </c>
      <c r="C26" t="s">
        <v>55</v>
      </c>
      <c r="E26" s="56" t="s">
        <v>0</v>
      </c>
    </row>
    <row r="33" spans="3:3" ht="14.5">
      <c r="C33" t="s">
        <v>0</v>
      </c>
    </row>
    <row r="34" spans="3:3" ht="14.5">
      <c r="C34" t="s">
        <v>0</v>
      </c>
    </row>
  </sheetData>
  <mergeCells count="17">
    <mergeCell ref="B4:B8"/>
    <mergeCell ref="B9:B13"/>
    <mergeCell ref="B14:B18"/>
    <mergeCell ref="E2:F2"/>
    <mergeCell ref="G2:H2"/>
    <mergeCell ref="U1:AB1"/>
    <mergeCell ref="G1:T1"/>
    <mergeCell ref="W2:X2"/>
    <mergeCell ref="Y2:Z2"/>
    <mergeCell ref="AA2:AB2"/>
    <mergeCell ref="U2:V2"/>
    <mergeCell ref="Q2:R2"/>
    <mergeCell ref="S2:T2"/>
    <mergeCell ref="I2:J2"/>
    <mergeCell ref="K2:L2"/>
    <mergeCell ref="M2:N2"/>
    <mergeCell ref="O2:P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B2:K169"/>
  <sheetViews>
    <sheetView workbookViewId="0">
      <selection activeCell="C2" sqref="C2"/>
    </sheetView>
  </sheetViews>
  <sheetFormatPr defaultColWidth="9.1796875" defaultRowHeight="14.5"/>
  <cols>
    <col min="1" max="1" width="2.81640625" style="49" customWidth="1"/>
    <col min="2" max="2" width="15.453125" style="49" bestFit="1" customWidth="1"/>
    <col min="3" max="3" width="30.26953125" style="49" bestFit="1" customWidth="1"/>
    <col min="4" max="4" width="16.26953125" style="49" hidden="1" customWidth="1"/>
    <col min="5" max="10" width="15.7265625" style="49" customWidth="1"/>
    <col min="11" max="11" width="33.1796875" style="49" bestFit="1" customWidth="1"/>
    <col min="12" max="16384" width="9.1796875" style="49"/>
  </cols>
  <sheetData>
    <row r="2" spans="2:11" ht="24">
      <c r="B2" s="665" t="s">
        <v>56</v>
      </c>
      <c r="C2" s="665" t="s">
        <v>56</v>
      </c>
      <c r="D2" s="667" t="s">
        <v>57</v>
      </c>
      <c r="E2" s="667" t="s">
        <v>58</v>
      </c>
      <c r="F2" s="667" t="s">
        <v>59</v>
      </c>
      <c r="G2" s="667" t="s">
        <v>60</v>
      </c>
      <c r="H2" s="666" t="s">
        <v>43</v>
      </c>
      <c r="I2" s="666" t="s">
        <v>45</v>
      </c>
      <c r="J2" s="666" t="s">
        <v>47</v>
      </c>
      <c r="K2" s="668" t="s">
        <v>61</v>
      </c>
    </row>
    <row r="3" spans="2:11" hidden="1">
      <c r="B3" s="669" t="s">
        <v>62</v>
      </c>
      <c r="C3" s="670" t="s">
        <v>63</v>
      </c>
      <c r="D3" s="670"/>
      <c r="E3" s="693" t="s">
        <v>64</v>
      </c>
      <c r="F3" s="693" t="s">
        <v>64</v>
      </c>
      <c r="G3" s="693" t="s">
        <v>64</v>
      </c>
      <c r="H3" s="693"/>
      <c r="I3" s="693" t="s">
        <v>64</v>
      </c>
      <c r="J3" s="693" t="s">
        <v>64</v>
      </c>
      <c r="K3" s="680" t="s">
        <v>5</v>
      </c>
    </row>
    <row r="4" spans="2:11" hidden="1">
      <c r="B4" s="661" t="s">
        <v>62</v>
      </c>
      <c r="C4" s="660" t="s">
        <v>65</v>
      </c>
      <c r="D4" s="660"/>
      <c r="E4" s="694"/>
      <c r="F4" s="694" t="s">
        <v>64</v>
      </c>
      <c r="G4" s="694" t="s">
        <v>64</v>
      </c>
      <c r="H4" s="694"/>
      <c r="I4" s="694"/>
      <c r="J4" s="694"/>
      <c r="K4" s="662" t="s">
        <v>5</v>
      </c>
    </row>
    <row r="5" spans="2:11" hidden="1">
      <c r="B5" s="661" t="s">
        <v>62</v>
      </c>
      <c r="C5" s="660" t="s">
        <v>66</v>
      </c>
      <c r="D5" s="660"/>
      <c r="E5" s="694"/>
      <c r="F5" s="694" t="s">
        <v>64</v>
      </c>
      <c r="G5" s="694"/>
      <c r="H5" s="694"/>
      <c r="I5" s="694" t="s">
        <v>64</v>
      </c>
      <c r="J5" s="694"/>
      <c r="K5" s="662" t="s">
        <v>5</v>
      </c>
    </row>
    <row r="6" spans="2:11" hidden="1">
      <c r="B6" s="661" t="s">
        <v>62</v>
      </c>
      <c r="C6" s="660" t="s">
        <v>67</v>
      </c>
      <c r="D6" s="660"/>
      <c r="E6" s="694"/>
      <c r="F6" s="694" t="s">
        <v>64</v>
      </c>
      <c r="G6" s="694"/>
      <c r="H6" s="694"/>
      <c r="I6" s="694" t="s">
        <v>64</v>
      </c>
      <c r="J6" s="694"/>
      <c r="K6" s="662" t="s">
        <v>5</v>
      </c>
    </row>
    <row r="7" spans="2:11" hidden="1">
      <c r="B7" s="661" t="s">
        <v>62</v>
      </c>
      <c r="C7" s="660" t="s">
        <v>68</v>
      </c>
      <c r="D7" s="660"/>
      <c r="E7" s="694"/>
      <c r="F7" s="694" t="s">
        <v>64</v>
      </c>
      <c r="G7" s="694" t="s">
        <v>64</v>
      </c>
      <c r="H7" s="694"/>
      <c r="I7" s="694"/>
      <c r="J7" s="694"/>
      <c r="K7" s="662" t="s">
        <v>5</v>
      </c>
    </row>
    <row r="8" spans="2:11" hidden="1">
      <c r="B8" s="661" t="s">
        <v>62</v>
      </c>
      <c r="C8" s="660" t="s">
        <v>69</v>
      </c>
      <c r="D8" s="660"/>
      <c r="E8" s="694" t="s">
        <v>70</v>
      </c>
      <c r="F8" s="694" t="s">
        <v>64</v>
      </c>
      <c r="G8" s="694"/>
      <c r="H8" s="694"/>
      <c r="I8" s="694"/>
      <c r="J8" s="694"/>
      <c r="K8" s="662" t="s">
        <v>5</v>
      </c>
    </row>
    <row r="9" spans="2:11" hidden="1">
      <c r="B9" s="661" t="s">
        <v>62</v>
      </c>
      <c r="C9" s="660" t="s">
        <v>71</v>
      </c>
      <c r="D9" s="660"/>
      <c r="E9" s="694"/>
      <c r="F9" s="694"/>
      <c r="G9" s="694"/>
      <c r="H9" s="694" t="s">
        <v>64</v>
      </c>
      <c r="I9" s="694"/>
      <c r="J9" s="694"/>
      <c r="K9" s="662" t="s">
        <v>5</v>
      </c>
    </row>
    <row r="10" spans="2:11" hidden="1">
      <c r="B10" s="661" t="s">
        <v>62</v>
      </c>
      <c r="C10" s="660" t="s">
        <v>72</v>
      </c>
      <c r="D10" s="660"/>
      <c r="E10" s="694"/>
      <c r="F10" s="694" t="s">
        <v>64</v>
      </c>
      <c r="G10" s="694" t="s">
        <v>64</v>
      </c>
      <c r="H10" s="694"/>
      <c r="I10" s="694"/>
      <c r="J10" s="694"/>
      <c r="K10" s="662" t="s">
        <v>5</v>
      </c>
    </row>
    <row r="11" spans="2:11" hidden="1">
      <c r="B11" s="661" t="s">
        <v>62</v>
      </c>
      <c r="C11" s="660" t="s">
        <v>73</v>
      </c>
      <c r="D11" s="660"/>
      <c r="E11" s="694"/>
      <c r="F11" s="694"/>
      <c r="G11" s="694"/>
      <c r="H11" s="694"/>
      <c r="I11" s="694" t="s">
        <v>64</v>
      </c>
      <c r="J11" s="694"/>
      <c r="K11" s="662" t="s">
        <v>5</v>
      </c>
    </row>
    <row r="12" spans="2:11" hidden="1">
      <c r="B12" s="661" t="s">
        <v>62</v>
      </c>
      <c r="C12" s="660" t="s">
        <v>74</v>
      </c>
      <c r="D12" s="660"/>
      <c r="E12" s="694"/>
      <c r="F12" s="694" t="s">
        <v>64</v>
      </c>
      <c r="G12" s="694" t="s">
        <v>64</v>
      </c>
      <c r="H12" s="694"/>
      <c r="I12" s="694"/>
      <c r="J12" s="694"/>
      <c r="K12" s="662" t="s">
        <v>5</v>
      </c>
    </row>
    <row r="13" spans="2:11" hidden="1">
      <c r="B13" s="661" t="s">
        <v>62</v>
      </c>
      <c r="C13" s="660" t="s">
        <v>75</v>
      </c>
      <c r="D13" s="660"/>
      <c r="E13" s="694"/>
      <c r="F13" s="694" t="s">
        <v>64</v>
      </c>
      <c r="G13" s="694"/>
      <c r="H13" s="694"/>
      <c r="I13" s="694"/>
      <c r="J13" s="694"/>
      <c r="K13" s="662" t="s">
        <v>5</v>
      </c>
    </row>
    <row r="14" spans="2:11" hidden="1">
      <c r="B14" s="661" t="s">
        <v>62</v>
      </c>
      <c r="C14" s="660" t="s">
        <v>76</v>
      </c>
      <c r="D14" s="660"/>
      <c r="E14" s="694"/>
      <c r="F14" s="694" t="s">
        <v>64</v>
      </c>
      <c r="G14" s="694" t="s">
        <v>64</v>
      </c>
      <c r="H14" s="694"/>
      <c r="I14" s="694"/>
      <c r="J14" s="694"/>
      <c r="K14" s="662" t="s">
        <v>5</v>
      </c>
    </row>
    <row r="15" spans="2:11" hidden="1">
      <c r="B15" s="661" t="s">
        <v>62</v>
      </c>
      <c r="C15" s="660" t="s">
        <v>77</v>
      </c>
      <c r="D15" s="660"/>
      <c r="E15" s="694"/>
      <c r="F15" s="694" t="s">
        <v>64</v>
      </c>
      <c r="G15" s="694" t="s">
        <v>64</v>
      </c>
      <c r="H15" s="694"/>
      <c r="I15" s="694"/>
      <c r="J15" s="694"/>
      <c r="K15" s="662" t="s">
        <v>5</v>
      </c>
    </row>
    <row r="16" spans="2:11" hidden="1">
      <c r="B16" s="661" t="s">
        <v>62</v>
      </c>
      <c r="C16" s="660" t="s">
        <v>78</v>
      </c>
      <c r="D16" s="660"/>
      <c r="E16" s="694"/>
      <c r="F16" s="694" t="s">
        <v>64</v>
      </c>
      <c r="G16" s="694" t="s">
        <v>64</v>
      </c>
      <c r="H16" s="694"/>
      <c r="I16" s="694"/>
      <c r="J16" s="694"/>
      <c r="K16" s="662" t="s">
        <v>5</v>
      </c>
    </row>
    <row r="17" spans="2:11" hidden="1">
      <c r="B17" s="661" t="s">
        <v>62</v>
      </c>
      <c r="C17" s="660" t="s">
        <v>79</v>
      </c>
      <c r="D17" s="660"/>
      <c r="E17" s="694"/>
      <c r="F17" s="694" t="s">
        <v>64</v>
      </c>
      <c r="G17" s="694" t="s">
        <v>64</v>
      </c>
      <c r="H17" s="694"/>
      <c r="I17" s="694"/>
      <c r="J17" s="694"/>
      <c r="K17" s="662" t="s">
        <v>5</v>
      </c>
    </row>
    <row r="18" spans="2:11" hidden="1">
      <c r="B18" s="661" t="s">
        <v>62</v>
      </c>
      <c r="C18" s="660" t="s">
        <v>80</v>
      </c>
      <c r="D18" s="660"/>
      <c r="E18" s="694"/>
      <c r="F18" s="694"/>
      <c r="G18" s="694"/>
      <c r="H18" s="694"/>
      <c r="I18" s="694"/>
      <c r="J18" s="694"/>
      <c r="K18" s="662" t="s">
        <v>5</v>
      </c>
    </row>
    <row r="19" spans="2:11" hidden="1">
      <c r="B19" s="661" t="s">
        <v>62</v>
      </c>
      <c r="C19" s="660" t="s">
        <v>81</v>
      </c>
      <c r="D19" s="660"/>
      <c r="E19" s="694" t="s">
        <v>64</v>
      </c>
      <c r="F19" s="694" t="s">
        <v>64</v>
      </c>
      <c r="G19" s="694" t="s">
        <v>64</v>
      </c>
      <c r="H19" s="694"/>
      <c r="I19" s="694"/>
      <c r="J19" s="694"/>
      <c r="K19" s="662" t="s">
        <v>5</v>
      </c>
    </row>
    <row r="20" spans="2:11" hidden="1">
      <c r="B20" s="661" t="s">
        <v>62</v>
      </c>
      <c r="C20" s="660" t="s">
        <v>82</v>
      </c>
      <c r="D20" s="660"/>
      <c r="E20" s="694"/>
      <c r="F20" s="694" t="s">
        <v>64</v>
      </c>
      <c r="G20" s="694" t="s">
        <v>64</v>
      </c>
      <c r="H20" s="694"/>
      <c r="I20" s="694" t="s">
        <v>64</v>
      </c>
      <c r="J20" s="694"/>
      <c r="K20" s="662" t="s">
        <v>5</v>
      </c>
    </row>
    <row r="21" spans="2:11" hidden="1">
      <c r="B21" s="661" t="s">
        <v>62</v>
      </c>
      <c r="C21" s="660" t="s">
        <v>83</v>
      </c>
      <c r="D21" s="660"/>
      <c r="E21" s="694"/>
      <c r="F21" s="694" t="s">
        <v>64</v>
      </c>
      <c r="G21" s="694"/>
      <c r="H21" s="694"/>
      <c r="I21" s="694"/>
      <c r="J21" s="694"/>
      <c r="K21" s="662" t="s">
        <v>5</v>
      </c>
    </row>
    <row r="22" spans="2:11" hidden="1">
      <c r="B22" s="661" t="s">
        <v>62</v>
      </c>
      <c r="C22" s="660" t="s">
        <v>84</v>
      </c>
      <c r="D22" s="660"/>
      <c r="E22" s="694"/>
      <c r="F22" s="694" t="s">
        <v>64</v>
      </c>
      <c r="G22" s="694"/>
      <c r="H22" s="694"/>
      <c r="I22" s="694"/>
      <c r="J22" s="694"/>
      <c r="K22" s="662" t="s">
        <v>5</v>
      </c>
    </row>
    <row r="23" spans="2:11" hidden="1">
      <c r="B23" s="661" t="s">
        <v>62</v>
      </c>
      <c r="C23" s="660" t="s">
        <v>85</v>
      </c>
      <c r="D23" s="660"/>
      <c r="E23" s="694"/>
      <c r="F23" s="694" t="s">
        <v>64</v>
      </c>
      <c r="G23" s="694"/>
      <c r="H23" s="694"/>
      <c r="I23" s="694" t="s">
        <v>64</v>
      </c>
      <c r="J23" s="694"/>
      <c r="K23" s="662" t="s">
        <v>5</v>
      </c>
    </row>
    <row r="24" spans="2:11" hidden="1">
      <c r="B24" s="661" t="s">
        <v>62</v>
      </c>
      <c r="C24" s="660" t="s">
        <v>86</v>
      </c>
      <c r="D24" s="660"/>
      <c r="E24" s="694"/>
      <c r="F24" s="694"/>
      <c r="G24" s="694"/>
      <c r="H24" s="694" t="s">
        <v>64</v>
      </c>
      <c r="I24" s="694"/>
      <c r="J24" s="694"/>
      <c r="K24" s="662" t="s">
        <v>5</v>
      </c>
    </row>
    <row r="25" spans="2:11" hidden="1">
      <c r="B25" s="661" t="s">
        <v>62</v>
      </c>
      <c r="C25" s="660" t="s">
        <v>87</v>
      </c>
      <c r="D25" s="660"/>
      <c r="E25" s="694"/>
      <c r="F25" s="694" t="s">
        <v>64</v>
      </c>
      <c r="G25" s="694"/>
      <c r="H25" s="694"/>
      <c r="I25" s="694"/>
      <c r="J25" s="694"/>
      <c r="K25" s="662" t="s">
        <v>5</v>
      </c>
    </row>
    <row r="26" spans="2:11" hidden="1">
      <c r="B26" s="661" t="s">
        <v>62</v>
      </c>
      <c r="C26" s="660" t="s">
        <v>88</v>
      </c>
      <c r="D26" s="660"/>
      <c r="E26" s="694"/>
      <c r="F26" s="694" t="s">
        <v>64</v>
      </c>
      <c r="G26" s="694"/>
      <c r="H26" s="694" t="s">
        <v>64</v>
      </c>
      <c r="I26" s="694" t="s">
        <v>64</v>
      </c>
      <c r="J26" s="694" t="s">
        <v>64</v>
      </c>
      <c r="K26" s="662" t="s">
        <v>5</v>
      </c>
    </row>
    <row r="27" spans="2:11" hidden="1">
      <c r="B27" s="661" t="s">
        <v>62</v>
      </c>
      <c r="C27" s="660" t="s">
        <v>89</v>
      </c>
      <c r="D27" s="660"/>
      <c r="E27" s="694"/>
      <c r="F27" s="694" t="s">
        <v>64</v>
      </c>
      <c r="G27" s="694"/>
      <c r="H27" s="694"/>
      <c r="I27" s="694"/>
      <c r="J27" s="694"/>
      <c r="K27" s="662" t="s">
        <v>5</v>
      </c>
    </row>
    <row r="28" spans="2:11" hidden="1">
      <c r="B28" s="661" t="s">
        <v>62</v>
      </c>
      <c r="C28" s="660" t="s">
        <v>90</v>
      </c>
      <c r="D28" s="660"/>
      <c r="E28" s="694"/>
      <c r="F28" s="694"/>
      <c r="G28" s="694" t="s">
        <v>64</v>
      </c>
      <c r="H28" s="694"/>
      <c r="I28" s="694"/>
      <c r="J28" s="694"/>
      <c r="K28" s="662" t="s">
        <v>5</v>
      </c>
    </row>
    <row r="29" spans="2:11" hidden="1">
      <c r="B29" s="661" t="s">
        <v>62</v>
      </c>
      <c r="C29" s="660" t="s">
        <v>91</v>
      </c>
      <c r="D29" s="660"/>
      <c r="E29" s="694"/>
      <c r="F29" s="694" t="s">
        <v>64</v>
      </c>
      <c r="G29" s="694"/>
      <c r="H29" s="694"/>
      <c r="I29" s="694"/>
      <c r="J29" s="694"/>
      <c r="K29" s="662" t="s">
        <v>5</v>
      </c>
    </row>
    <row r="30" spans="2:11" hidden="1">
      <c r="B30" s="661" t="s">
        <v>62</v>
      </c>
      <c r="C30" s="660" t="s">
        <v>92</v>
      </c>
      <c r="D30" s="660"/>
      <c r="E30" s="694"/>
      <c r="F30" s="694" t="s">
        <v>64</v>
      </c>
      <c r="G30" s="694"/>
      <c r="H30" s="694"/>
      <c r="I30" s="694"/>
      <c r="J30" s="694"/>
      <c r="K30" s="662" t="s">
        <v>5</v>
      </c>
    </row>
    <row r="31" spans="2:11" hidden="1">
      <c r="B31" s="661" t="s">
        <v>62</v>
      </c>
      <c r="C31" s="660" t="s">
        <v>93</v>
      </c>
      <c r="D31" s="660"/>
      <c r="E31" s="694"/>
      <c r="F31" s="694" t="s">
        <v>64</v>
      </c>
      <c r="G31" s="694" t="s">
        <v>64</v>
      </c>
      <c r="H31" s="694"/>
      <c r="I31" s="694" t="s">
        <v>64</v>
      </c>
      <c r="J31" s="694"/>
      <c r="K31" s="662" t="s">
        <v>5</v>
      </c>
    </row>
    <row r="32" spans="2:11" hidden="1">
      <c r="B32" s="661" t="s">
        <v>62</v>
      </c>
      <c r="C32" s="660" t="s">
        <v>94</v>
      </c>
      <c r="D32" s="660"/>
      <c r="E32" s="694"/>
      <c r="F32" s="694" t="s">
        <v>64</v>
      </c>
      <c r="G32" s="694"/>
      <c r="H32" s="694"/>
      <c r="I32" s="694"/>
      <c r="J32" s="694"/>
      <c r="K32" s="662" t="s">
        <v>5</v>
      </c>
    </row>
    <row r="33" spans="2:11" hidden="1">
      <c r="B33" s="661" t="s">
        <v>62</v>
      </c>
      <c r="C33" s="660" t="s">
        <v>95</v>
      </c>
      <c r="D33" s="660"/>
      <c r="E33" s="694"/>
      <c r="F33" s="694" t="s">
        <v>64</v>
      </c>
      <c r="G33" s="694" t="s">
        <v>64</v>
      </c>
      <c r="H33" s="694"/>
      <c r="I33" s="694"/>
      <c r="J33" s="694"/>
      <c r="K33" s="662" t="s">
        <v>5</v>
      </c>
    </row>
    <row r="34" spans="2:11" hidden="1">
      <c r="B34" s="661" t="s">
        <v>62</v>
      </c>
      <c r="C34" s="660" t="s">
        <v>96</v>
      </c>
      <c r="D34" s="660"/>
      <c r="E34" s="694"/>
      <c r="F34" s="694" t="s">
        <v>64</v>
      </c>
      <c r="G34" s="694"/>
      <c r="H34" s="694"/>
      <c r="I34" s="694"/>
      <c r="J34" s="694"/>
      <c r="K34" s="662" t="s">
        <v>5</v>
      </c>
    </row>
    <row r="35" spans="2:11" hidden="1">
      <c r="B35" s="661" t="s">
        <v>62</v>
      </c>
      <c r="C35" s="660" t="s">
        <v>97</v>
      </c>
      <c r="D35" s="660"/>
      <c r="E35" s="694"/>
      <c r="F35" s="694" t="s">
        <v>64</v>
      </c>
      <c r="G35" s="694"/>
      <c r="H35" s="694"/>
      <c r="I35" s="694" t="s">
        <v>64</v>
      </c>
      <c r="J35" s="694"/>
      <c r="K35" s="662" t="s">
        <v>5</v>
      </c>
    </row>
    <row r="36" spans="2:11" hidden="1">
      <c r="B36" s="661" t="s">
        <v>62</v>
      </c>
      <c r="C36" s="660" t="s">
        <v>98</v>
      </c>
      <c r="D36" s="660"/>
      <c r="E36" s="694" t="s">
        <v>64</v>
      </c>
      <c r="F36" s="694" t="s">
        <v>64</v>
      </c>
      <c r="G36" s="694" t="s">
        <v>64</v>
      </c>
      <c r="H36" s="694" t="s">
        <v>64</v>
      </c>
      <c r="I36" s="694" t="s">
        <v>64</v>
      </c>
      <c r="J36" s="694" t="s">
        <v>64</v>
      </c>
      <c r="K36" s="662" t="s">
        <v>5</v>
      </c>
    </row>
    <row r="37" spans="2:11" hidden="1">
      <c r="B37" s="661" t="s">
        <v>62</v>
      </c>
      <c r="C37" s="660" t="s">
        <v>99</v>
      </c>
      <c r="D37" s="660"/>
      <c r="E37" s="694"/>
      <c r="F37" s="694" t="s">
        <v>64</v>
      </c>
      <c r="G37" s="694" t="s">
        <v>64</v>
      </c>
      <c r="H37" s="694"/>
      <c r="I37" s="694"/>
      <c r="J37" s="694"/>
      <c r="K37" s="662" t="s">
        <v>5</v>
      </c>
    </row>
    <row r="38" spans="2:11" hidden="1">
      <c r="B38" s="661" t="s">
        <v>62</v>
      </c>
      <c r="C38" s="660" t="s">
        <v>100</v>
      </c>
      <c r="D38" s="660"/>
      <c r="E38" s="694"/>
      <c r="F38" s="694" t="s">
        <v>64</v>
      </c>
      <c r="G38" s="694"/>
      <c r="H38" s="694"/>
      <c r="I38" s="694"/>
      <c r="J38" s="694"/>
      <c r="K38" s="662" t="s">
        <v>5</v>
      </c>
    </row>
    <row r="39" spans="2:11" hidden="1">
      <c r="B39" s="661" t="s">
        <v>62</v>
      </c>
      <c r="C39" s="660" t="s">
        <v>101</v>
      </c>
      <c r="D39" s="660"/>
      <c r="E39" s="694"/>
      <c r="F39" s="694" t="s">
        <v>64</v>
      </c>
      <c r="G39" s="694" t="s">
        <v>64</v>
      </c>
      <c r="H39" s="694"/>
      <c r="I39" s="694"/>
      <c r="J39" s="694"/>
      <c r="K39" s="662" t="s">
        <v>5</v>
      </c>
    </row>
    <row r="40" spans="2:11" hidden="1">
      <c r="B40" s="661" t="s">
        <v>62</v>
      </c>
      <c r="C40" s="660" t="s">
        <v>102</v>
      </c>
      <c r="D40" s="660"/>
      <c r="E40" s="694"/>
      <c r="F40" s="694" t="s">
        <v>64</v>
      </c>
      <c r="G40" s="694"/>
      <c r="H40" s="694"/>
      <c r="I40" s="694"/>
      <c r="J40" s="694"/>
      <c r="K40" s="662" t="s">
        <v>5</v>
      </c>
    </row>
    <row r="41" spans="2:11" hidden="1">
      <c r="B41" s="661" t="s">
        <v>62</v>
      </c>
      <c r="C41" s="660" t="s">
        <v>103</v>
      </c>
      <c r="D41" s="660"/>
      <c r="E41" s="694"/>
      <c r="F41" s="694" t="s">
        <v>64</v>
      </c>
      <c r="G41" s="694" t="s">
        <v>64</v>
      </c>
      <c r="H41" s="694"/>
      <c r="I41" s="694"/>
      <c r="J41" s="694"/>
      <c r="K41" s="662" t="s">
        <v>5</v>
      </c>
    </row>
    <row r="42" spans="2:11" hidden="1">
      <c r="B42" s="661" t="s">
        <v>62</v>
      </c>
      <c r="C42" s="660" t="s">
        <v>104</v>
      </c>
      <c r="D42" s="660"/>
      <c r="E42" s="694"/>
      <c r="F42" s="694" t="s">
        <v>64</v>
      </c>
      <c r="G42" s="694" t="s">
        <v>64</v>
      </c>
      <c r="H42" s="694"/>
      <c r="I42" s="694"/>
      <c r="J42" s="694"/>
      <c r="K42" s="662" t="s">
        <v>5</v>
      </c>
    </row>
    <row r="43" spans="2:11" hidden="1">
      <c r="B43" s="661" t="s">
        <v>62</v>
      </c>
      <c r="C43" s="660" t="s">
        <v>105</v>
      </c>
      <c r="D43" s="660"/>
      <c r="E43" s="694" t="s">
        <v>64</v>
      </c>
      <c r="F43" s="694" t="s">
        <v>64</v>
      </c>
      <c r="G43" s="694" t="s">
        <v>64</v>
      </c>
      <c r="H43" s="694"/>
      <c r="I43" s="694"/>
      <c r="J43" s="694"/>
      <c r="K43" s="662" t="s">
        <v>5</v>
      </c>
    </row>
    <row r="44" spans="2:11" hidden="1">
      <c r="B44" s="661" t="s">
        <v>62</v>
      </c>
      <c r="C44" s="660" t="s">
        <v>106</v>
      </c>
      <c r="D44" s="660"/>
      <c r="E44" s="694" t="s">
        <v>64</v>
      </c>
      <c r="F44" s="694" t="s">
        <v>64</v>
      </c>
      <c r="G44" s="694" t="s">
        <v>64</v>
      </c>
      <c r="H44" s="694"/>
      <c r="I44" s="694"/>
      <c r="J44" s="694"/>
      <c r="K44" s="662" t="s">
        <v>5</v>
      </c>
    </row>
    <row r="45" spans="2:11" hidden="1">
      <c r="B45" s="661" t="s">
        <v>62</v>
      </c>
      <c r="C45" s="660" t="s">
        <v>107</v>
      </c>
      <c r="D45" s="660"/>
      <c r="E45" s="694"/>
      <c r="F45" s="694" t="s">
        <v>64</v>
      </c>
      <c r="G45" s="694"/>
      <c r="H45" s="694"/>
      <c r="I45" s="694"/>
      <c r="J45" s="694"/>
      <c r="K45" s="662" t="s">
        <v>5</v>
      </c>
    </row>
    <row r="46" spans="2:11" hidden="1">
      <c r="B46" s="661" t="s">
        <v>62</v>
      </c>
      <c r="C46" s="660" t="s">
        <v>108</v>
      </c>
      <c r="D46" s="660"/>
      <c r="E46" s="694"/>
      <c r="F46" s="694" t="s">
        <v>64</v>
      </c>
      <c r="G46" s="694"/>
      <c r="H46" s="694"/>
      <c r="I46" s="694"/>
      <c r="J46" s="694"/>
      <c r="K46" s="662" t="s">
        <v>5</v>
      </c>
    </row>
    <row r="47" spans="2:11" hidden="1">
      <c r="B47" s="661" t="s">
        <v>62</v>
      </c>
      <c r="C47" s="660" t="s">
        <v>109</v>
      </c>
      <c r="D47" s="660"/>
      <c r="E47" s="694"/>
      <c r="F47" s="694"/>
      <c r="G47" s="694"/>
      <c r="H47" s="694"/>
      <c r="I47" s="694" t="s">
        <v>64</v>
      </c>
      <c r="J47" s="694"/>
      <c r="K47" s="662" t="s">
        <v>5</v>
      </c>
    </row>
    <row r="48" spans="2:11" hidden="1">
      <c r="B48" s="661" t="s">
        <v>62</v>
      </c>
      <c r="C48" s="660" t="s">
        <v>110</v>
      </c>
      <c r="D48" s="660"/>
      <c r="E48" s="694"/>
      <c r="F48" s="694"/>
      <c r="G48" s="694"/>
      <c r="H48" s="694"/>
      <c r="I48" s="694" t="s">
        <v>64</v>
      </c>
      <c r="J48" s="694"/>
      <c r="K48" s="662" t="s">
        <v>5</v>
      </c>
    </row>
    <row r="49" spans="2:11" hidden="1">
      <c r="B49" s="661" t="s">
        <v>62</v>
      </c>
      <c r="C49" s="660" t="s">
        <v>111</v>
      </c>
      <c r="D49" s="660"/>
      <c r="E49" s="694"/>
      <c r="F49" s="694"/>
      <c r="G49" s="694"/>
      <c r="H49" s="694"/>
      <c r="I49" s="694" t="s">
        <v>64</v>
      </c>
      <c r="J49" s="694" t="s">
        <v>64</v>
      </c>
      <c r="K49" s="662" t="s">
        <v>5</v>
      </c>
    </row>
    <row r="50" spans="2:11" hidden="1">
      <c r="B50" s="661" t="s">
        <v>62</v>
      </c>
      <c r="C50" s="660" t="s">
        <v>112</v>
      </c>
      <c r="D50" s="660"/>
      <c r="E50" s="694"/>
      <c r="F50" s="694"/>
      <c r="G50" s="694"/>
      <c r="H50" s="694"/>
      <c r="I50" s="694" t="s">
        <v>64</v>
      </c>
      <c r="J50" s="694"/>
      <c r="K50" s="662" t="s">
        <v>5</v>
      </c>
    </row>
    <row r="51" spans="2:11" hidden="1">
      <c r="B51" s="661" t="s">
        <v>62</v>
      </c>
      <c r="C51" s="660" t="s">
        <v>113</v>
      </c>
      <c r="D51" s="660"/>
      <c r="E51" s="694"/>
      <c r="F51" s="694"/>
      <c r="G51" s="694"/>
      <c r="H51" s="694"/>
      <c r="I51" s="694" t="s">
        <v>64</v>
      </c>
      <c r="J51" s="694"/>
      <c r="K51" s="662" t="s">
        <v>5</v>
      </c>
    </row>
    <row r="52" spans="2:11" hidden="1">
      <c r="B52" s="661" t="s">
        <v>62</v>
      </c>
      <c r="C52" s="660" t="s">
        <v>114</v>
      </c>
      <c r="D52" s="660"/>
      <c r="E52" s="694"/>
      <c r="F52" s="694"/>
      <c r="G52" s="694"/>
      <c r="H52" s="694"/>
      <c r="I52" s="694" t="s">
        <v>64</v>
      </c>
      <c r="J52" s="694"/>
      <c r="K52" s="662" t="s">
        <v>5</v>
      </c>
    </row>
    <row r="53" spans="2:11" hidden="1">
      <c r="B53" s="661" t="s">
        <v>62</v>
      </c>
      <c r="C53" s="660" t="s">
        <v>115</v>
      </c>
      <c r="D53" s="660"/>
      <c r="E53" s="694"/>
      <c r="F53" s="694"/>
      <c r="G53" s="694"/>
      <c r="H53" s="694" t="s">
        <v>64</v>
      </c>
      <c r="I53" s="694" t="s">
        <v>64</v>
      </c>
      <c r="J53" s="694"/>
      <c r="K53" s="662" t="s">
        <v>5</v>
      </c>
    </row>
    <row r="54" spans="2:11" hidden="1">
      <c r="B54" s="661" t="s">
        <v>62</v>
      </c>
      <c r="C54" s="660" t="s">
        <v>116</v>
      </c>
      <c r="D54" s="660"/>
      <c r="E54" s="694"/>
      <c r="F54" s="694"/>
      <c r="G54" s="694"/>
      <c r="H54" s="694"/>
      <c r="I54" s="694" t="s">
        <v>64</v>
      </c>
      <c r="J54" s="694"/>
      <c r="K54" s="662" t="s">
        <v>5</v>
      </c>
    </row>
    <row r="55" spans="2:11" hidden="1">
      <c r="B55" s="661" t="s">
        <v>62</v>
      </c>
      <c r="C55" s="660" t="s">
        <v>117</v>
      </c>
      <c r="D55" s="660"/>
      <c r="E55" s="694"/>
      <c r="F55" s="694"/>
      <c r="G55" s="694"/>
      <c r="H55" s="694"/>
      <c r="I55" s="694" t="s">
        <v>64</v>
      </c>
      <c r="J55" s="694"/>
      <c r="K55" s="662" t="s">
        <v>5</v>
      </c>
    </row>
    <row r="56" spans="2:11" hidden="1">
      <c r="B56" s="661" t="s">
        <v>62</v>
      </c>
      <c r="C56" s="660" t="s">
        <v>118</v>
      </c>
      <c r="D56" s="660"/>
      <c r="E56" s="694"/>
      <c r="F56" s="694"/>
      <c r="G56" s="694"/>
      <c r="H56" s="694"/>
      <c r="I56" s="694" t="s">
        <v>64</v>
      </c>
      <c r="J56" s="694" t="s">
        <v>64</v>
      </c>
      <c r="K56" s="662" t="s">
        <v>5</v>
      </c>
    </row>
    <row r="57" spans="2:11" hidden="1">
      <c r="B57" s="661" t="s">
        <v>62</v>
      </c>
      <c r="C57" s="660" t="s">
        <v>119</v>
      </c>
      <c r="D57" s="660"/>
      <c r="E57" s="694"/>
      <c r="F57" s="694"/>
      <c r="G57" s="694"/>
      <c r="H57" s="694"/>
      <c r="I57" s="694" t="s">
        <v>64</v>
      </c>
      <c r="J57" s="694" t="s">
        <v>64</v>
      </c>
      <c r="K57" s="662" t="s">
        <v>5</v>
      </c>
    </row>
    <row r="58" spans="2:11" hidden="1">
      <c r="B58" s="661" t="s">
        <v>62</v>
      </c>
      <c r="C58" s="660" t="s">
        <v>120</v>
      </c>
      <c r="D58" s="660"/>
      <c r="E58" s="694"/>
      <c r="F58" s="694"/>
      <c r="G58" s="694"/>
      <c r="H58" s="694"/>
      <c r="I58" s="695" t="s">
        <v>64</v>
      </c>
      <c r="J58" s="694" t="s">
        <v>64</v>
      </c>
      <c r="K58" s="662" t="s">
        <v>5</v>
      </c>
    </row>
    <row r="59" spans="2:11" hidden="1">
      <c r="B59" s="661" t="s">
        <v>62</v>
      </c>
      <c r="C59" s="660" t="s">
        <v>121</v>
      </c>
      <c r="D59" s="660"/>
      <c r="E59" s="694"/>
      <c r="F59" s="694"/>
      <c r="G59" s="694"/>
      <c r="H59" s="694"/>
      <c r="I59" s="694" t="s">
        <v>64</v>
      </c>
      <c r="J59" s="694" t="s">
        <v>64</v>
      </c>
      <c r="K59" s="662" t="s">
        <v>5</v>
      </c>
    </row>
    <row r="60" spans="2:11" hidden="1">
      <c r="B60" s="661" t="s">
        <v>62</v>
      </c>
      <c r="C60" s="660" t="s">
        <v>122</v>
      </c>
      <c r="D60" s="660"/>
      <c r="E60" s="694"/>
      <c r="F60" s="694"/>
      <c r="G60" s="694"/>
      <c r="H60" s="694"/>
      <c r="I60" s="694" t="s">
        <v>64</v>
      </c>
      <c r="J60" s="694" t="s">
        <v>64</v>
      </c>
      <c r="K60" s="662" t="s">
        <v>5</v>
      </c>
    </row>
    <row r="61" spans="2:11" hidden="1">
      <c r="B61" s="661" t="s">
        <v>62</v>
      </c>
      <c r="C61" s="660" t="s">
        <v>123</v>
      </c>
      <c r="D61" s="660"/>
      <c r="E61" s="694"/>
      <c r="F61" s="694"/>
      <c r="G61" s="694"/>
      <c r="H61" s="694"/>
      <c r="I61" s="694" t="s">
        <v>64</v>
      </c>
      <c r="J61" s="694" t="s">
        <v>64</v>
      </c>
      <c r="K61" s="662" t="s">
        <v>5</v>
      </c>
    </row>
    <row r="62" spans="2:11" hidden="1">
      <c r="B62" s="661" t="s">
        <v>62</v>
      </c>
      <c r="C62" s="660" t="s">
        <v>124</v>
      </c>
      <c r="D62" s="660"/>
      <c r="E62" s="694"/>
      <c r="F62" s="694"/>
      <c r="G62" s="694"/>
      <c r="H62" s="694"/>
      <c r="I62" s="694" t="s">
        <v>64</v>
      </c>
      <c r="J62" s="694" t="s">
        <v>64</v>
      </c>
      <c r="K62" s="662" t="s">
        <v>5</v>
      </c>
    </row>
    <row r="63" spans="2:11" hidden="1">
      <c r="B63" s="661" t="s">
        <v>62</v>
      </c>
      <c r="C63" s="660" t="s">
        <v>125</v>
      </c>
      <c r="D63" s="660"/>
      <c r="E63" s="694"/>
      <c r="F63" s="694"/>
      <c r="G63" s="694"/>
      <c r="H63" s="694"/>
      <c r="I63" s="694" t="s">
        <v>64</v>
      </c>
      <c r="J63" s="694" t="s">
        <v>64</v>
      </c>
      <c r="K63" s="662" t="s">
        <v>5</v>
      </c>
    </row>
    <row r="64" spans="2:11" hidden="1">
      <c r="B64" s="661" t="s">
        <v>62</v>
      </c>
      <c r="C64" s="660" t="s">
        <v>126</v>
      </c>
      <c r="D64" s="660"/>
      <c r="E64" s="694"/>
      <c r="F64" s="694"/>
      <c r="G64" s="694"/>
      <c r="H64" s="694"/>
      <c r="I64" s="694" t="s">
        <v>64</v>
      </c>
      <c r="J64" s="694" t="s">
        <v>64</v>
      </c>
      <c r="K64" s="662" t="s">
        <v>5</v>
      </c>
    </row>
    <row r="65" spans="2:11" hidden="1">
      <c r="B65" s="661" t="s">
        <v>62</v>
      </c>
      <c r="C65" s="660" t="s">
        <v>127</v>
      </c>
      <c r="D65" s="660"/>
      <c r="E65" s="694"/>
      <c r="F65" s="694"/>
      <c r="G65" s="694"/>
      <c r="H65" s="694"/>
      <c r="I65" s="694" t="s">
        <v>64</v>
      </c>
      <c r="J65" s="694"/>
      <c r="K65" s="662" t="s">
        <v>5</v>
      </c>
    </row>
    <row r="66" spans="2:11" hidden="1">
      <c r="B66" s="661" t="s">
        <v>62</v>
      </c>
      <c r="C66" s="660" t="s">
        <v>128</v>
      </c>
      <c r="D66" s="660"/>
      <c r="E66" s="694"/>
      <c r="F66" s="694"/>
      <c r="G66" s="694"/>
      <c r="H66" s="694"/>
      <c r="I66" s="694" t="s">
        <v>64</v>
      </c>
      <c r="J66" s="694"/>
      <c r="K66" s="662" t="s">
        <v>5</v>
      </c>
    </row>
    <row r="67" spans="2:11" hidden="1">
      <c r="B67" s="661" t="s">
        <v>62</v>
      </c>
      <c r="C67" s="660" t="s">
        <v>129</v>
      </c>
      <c r="D67" s="660"/>
      <c r="E67" s="694"/>
      <c r="F67" s="694" t="s">
        <v>64</v>
      </c>
      <c r="G67" s="694"/>
      <c r="H67" s="694" t="s">
        <v>64</v>
      </c>
      <c r="I67" s="694" t="s">
        <v>64</v>
      </c>
      <c r="J67" s="694" t="s">
        <v>64</v>
      </c>
      <c r="K67" s="662" t="s">
        <v>5</v>
      </c>
    </row>
    <row r="68" spans="2:11" hidden="1">
      <c r="B68" s="661" t="s">
        <v>62</v>
      </c>
      <c r="C68" s="660" t="s">
        <v>130</v>
      </c>
      <c r="D68" s="660"/>
      <c r="E68" s="694"/>
      <c r="F68" s="694"/>
      <c r="G68" s="694"/>
      <c r="H68" s="694"/>
      <c r="I68" s="694" t="s">
        <v>64</v>
      </c>
      <c r="J68" s="694"/>
      <c r="K68" s="662" t="s">
        <v>5</v>
      </c>
    </row>
    <row r="69" spans="2:11" hidden="1">
      <c r="B69" s="661" t="s">
        <v>62</v>
      </c>
      <c r="C69" s="660" t="s">
        <v>131</v>
      </c>
      <c r="D69" s="660"/>
      <c r="E69" s="694"/>
      <c r="F69" s="694"/>
      <c r="G69" s="694"/>
      <c r="H69" s="694"/>
      <c r="I69" s="694" t="s">
        <v>64</v>
      </c>
      <c r="J69" s="694" t="s">
        <v>64</v>
      </c>
      <c r="K69" s="662" t="s">
        <v>5</v>
      </c>
    </row>
    <row r="70" spans="2:11" hidden="1">
      <c r="B70" s="661" t="s">
        <v>62</v>
      </c>
      <c r="C70" s="660" t="s">
        <v>132</v>
      </c>
      <c r="D70" s="660"/>
      <c r="E70" s="694"/>
      <c r="F70" s="694"/>
      <c r="G70" s="694"/>
      <c r="H70" s="694"/>
      <c r="I70" s="694" t="s">
        <v>64</v>
      </c>
      <c r="J70" s="694"/>
      <c r="K70" s="662" t="s">
        <v>5</v>
      </c>
    </row>
    <row r="71" spans="2:11" hidden="1">
      <c r="B71" s="661" t="s">
        <v>62</v>
      </c>
      <c r="C71" s="660" t="s">
        <v>133</v>
      </c>
      <c r="D71" s="660"/>
      <c r="E71" s="694"/>
      <c r="F71" s="694" t="s">
        <v>64</v>
      </c>
      <c r="G71" s="694"/>
      <c r="H71" s="694"/>
      <c r="I71" s="694" t="s">
        <v>64</v>
      </c>
      <c r="J71" s="694"/>
      <c r="K71" s="662" t="s">
        <v>5</v>
      </c>
    </row>
    <row r="72" spans="2:11" hidden="1">
      <c r="B72" s="661" t="s">
        <v>62</v>
      </c>
      <c r="C72" s="660" t="s">
        <v>134</v>
      </c>
      <c r="D72" s="660"/>
      <c r="E72" s="694"/>
      <c r="F72" s="694" t="s">
        <v>64</v>
      </c>
      <c r="G72" s="694"/>
      <c r="H72" s="694"/>
      <c r="I72" s="694" t="s">
        <v>64</v>
      </c>
      <c r="J72" s="694"/>
      <c r="K72" s="662" t="s">
        <v>5</v>
      </c>
    </row>
    <row r="73" spans="2:11" hidden="1">
      <c r="B73" s="661" t="s">
        <v>62</v>
      </c>
      <c r="C73" s="660" t="s">
        <v>135</v>
      </c>
      <c r="D73" s="660"/>
      <c r="E73" s="694"/>
      <c r="F73" s="694"/>
      <c r="G73" s="694"/>
      <c r="H73" s="694"/>
      <c r="I73" s="694" t="s">
        <v>64</v>
      </c>
      <c r="J73" s="694"/>
      <c r="K73" s="662" t="s">
        <v>5</v>
      </c>
    </row>
    <row r="74" spans="2:11" hidden="1">
      <c r="B74" s="661" t="s">
        <v>62</v>
      </c>
      <c r="C74" s="660" t="s">
        <v>136</v>
      </c>
      <c r="D74" s="660"/>
      <c r="E74" s="694"/>
      <c r="F74" s="694"/>
      <c r="G74" s="694"/>
      <c r="H74" s="694"/>
      <c r="I74" s="694" t="s">
        <v>64</v>
      </c>
      <c r="J74" s="694" t="s">
        <v>64</v>
      </c>
      <c r="K74" s="662" t="s">
        <v>5</v>
      </c>
    </row>
    <row r="75" spans="2:11" hidden="1">
      <c r="B75" s="661" t="s">
        <v>62</v>
      </c>
      <c r="C75" s="660" t="s">
        <v>137</v>
      </c>
      <c r="D75" s="660"/>
      <c r="E75" s="694"/>
      <c r="F75" s="694"/>
      <c r="G75" s="694"/>
      <c r="H75" s="694"/>
      <c r="I75" s="694" t="s">
        <v>64</v>
      </c>
      <c r="J75" s="694" t="s">
        <v>64</v>
      </c>
      <c r="K75" s="662" t="s">
        <v>5</v>
      </c>
    </row>
    <row r="76" spans="2:11" hidden="1">
      <c r="B76" s="661" t="s">
        <v>62</v>
      </c>
      <c r="C76" s="660" t="s">
        <v>138</v>
      </c>
      <c r="D76" s="660"/>
      <c r="E76" s="694"/>
      <c r="F76" s="694" t="s">
        <v>64</v>
      </c>
      <c r="G76" s="694" t="s">
        <v>64</v>
      </c>
      <c r="H76" s="694"/>
      <c r="I76" s="694"/>
      <c r="J76" s="694"/>
      <c r="K76" s="662" t="s">
        <v>5</v>
      </c>
    </row>
    <row r="77" spans="2:11" hidden="1">
      <c r="B77" s="661" t="s">
        <v>62</v>
      </c>
      <c r="C77" s="660" t="s">
        <v>139</v>
      </c>
      <c r="D77" s="660" t="s">
        <v>64</v>
      </c>
      <c r="E77" s="694" t="s">
        <v>64</v>
      </c>
      <c r="F77" s="694" t="s">
        <v>64</v>
      </c>
      <c r="G77" s="694" t="s">
        <v>64</v>
      </c>
      <c r="H77" s="694" t="s">
        <v>64</v>
      </c>
      <c r="I77" s="694"/>
      <c r="J77" s="694"/>
      <c r="K77" s="679" t="s">
        <v>5</v>
      </c>
    </row>
    <row r="78" spans="2:11" hidden="1">
      <c r="B78" s="661" t="s">
        <v>62</v>
      </c>
      <c r="C78" s="660" t="s">
        <v>140</v>
      </c>
      <c r="D78" s="660" t="s">
        <v>64</v>
      </c>
      <c r="E78" s="694"/>
      <c r="F78" s="694"/>
      <c r="G78" s="694"/>
      <c r="H78" s="694" t="s">
        <v>64</v>
      </c>
      <c r="I78" s="694"/>
      <c r="J78" s="694"/>
      <c r="K78" s="679" t="s">
        <v>5</v>
      </c>
    </row>
    <row r="79" spans="2:11" hidden="1">
      <c r="B79" s="661" t="s">
        <v>62</v>
      </c>
      <c r="C79" s="660" t="s">
        <v>141</v>
      </c>
      <c r="D79" s="660" t="s">
        <v>64</v>
      </c>
      <c r="E79" s="694"/>
      <c r="F79" s="694"/>
      <c r="G79" s="694"/>
      <c r="H79" s="694" t="s">
        <v>64</v>
      </c>
      <c r="I79" s="694"/>
      <c r="J79" s="694"/>
      <c r="K79" s="672" t="s">
        <v>5</v>
      </c>
    </row>
    <row r="80" spans="2:11" hidden="1">
      <c r="B80" s="661" t="s">
        <v>62</v>
      </c>
      <c r="C80" s="660" t="s">
        <v>142</v>
      </c>
      <c r="D80" s="660" t="s">
        <v>64</v>
      </c>
      <c r="E80" s="694"/>
      <c r="F80" s="694"/>
      <c r="G80" s="694"/>
      <c r="H80" s="694"/>
      <c r="I80" s="694"/>
      <c r="J80" s="694" t="s">
        <v>64</v>
      </c>
      <c r="K80" s="662" t="s">
        <v>5</v>
      </c>
    </row>
    <row r="81" spans="2:11" hidden="1">
      <c r="B81" s="661" t="s">
        <v>62</v>
      </c>
      <c r="C81" s="660" t="s">
        <v>143</v>
      </c>
      <c r="D81" s="660" t="s">
        <v>64</v>
      </c>
      <c r="E81" s="694" t="s">
        <v>64</v>
      </c>
      <c r="F81" s="694" t="s">
        <v>64</v>
      </c>
      <c r="G81" s="694" t="s">
        <v>64</v>
      </c>
      <c r="H81" s="694"/>
      <c r="I81" s="694"/>
      <c r="J81" s="694"/>
      <c r="K81" s="680" t="s">
        <v>5</v>
      </c>
    </row>
    <row r="82" spans="2:11" hidden="1">
      <c r="B82" s="661" t="s">
        <v>62</v>
      </c>
      <c r="C82" s="671" t="s">
        <v>144</v>
      </c>
      <c r="D82" s="660" t="s">
        <v>64</v>
      </c>
      <c r="E82" s="694"/>
      <c r="F82" s="694" t="s">
        <v>64</v>
      </c>
      <c r="G82" s="694"/>
      <c r="H82" s="694"/>
      <c r="I82" s="694"/>
      <c r="J82" s="694"/>
      <c r="K82" s="662" t="s">
        <v>5</v>
      </c>
    </row>
    <row r="83" spans="2:11" hidden="1">
      <c r="B83" s="661" t="s">
        <v>62</v>
      </c>
      <c r="C83" s="660" t="s">
        <v>145</v>
      </c>
      <c r="D83" s="660" t="s">
        <v>64</v>
      </c>
      <c r="E83" s="694"/>
      <c r="F83" s="694" t="s">
        <v>64</v>
      </c>
      <c r="G83" s="694"/>
      <c r="H83" s="694"/>
      <c r="I83" s="694"/>
      <c r="J83" s="694"/>
      <c r="K83" s="662" t="s">
        <v>5</v>
      </c>
    </row>
    <row r="84" spans="2:11" hidden="1">
      <c r="B84" s="689" t="s">
        <v>62</v>
      </c>
      <c r="C84" s="690" t="s">
        <v>146</v>
      </c>
      <c r="D84" s="691" t="s">
        <v>64</v>
      </c>
      <c r="E84" s="694"/>
      <c r="F84" s="694" t="s">
        <v>64</v>
      </c>
      <c r="G84" s="694"/>
      <c r="H84" s="694"/>
      <c r="I84" s="694"/>
      <c r="J84" s="694"/>
      <c r="K84" s="692" t="s">
        <v>5</v>
      </c>
    </row>
    <row r="85" spans="2:11" hidden="1">
      <c r="B85" s="661" t="s">
        <v>62</v>
      </c>
      <c r="C85" s="660" t="s">
        <v>147</v>
      </c>
      <c r="D85" s="660" t="s">
        <v>64</v>
      </c>
      <c r="E85" s="694"/>
      <c r="F85" s="694" t="s">
        <v>64</v>
      </c>
      <c r="G85" s="694"/>
      <c r="H85" s="694"/>
      <c r="I85" s="694"/>
      <c r="J85" s="694"/>
      <c r="K85" s="679" t="s">
        <v>5</v>
      </c>
    </row>
    <row r="86" spans="2:11" hidden="1">
      <c r="B86" s="661" t="s">
        <v>62</v>
      </c>
      <c r="C86" s="660" t="s">
        <v>148</v>
      </c>
      <c r="D86" s="660" t="s">
        <v>64</v>
      </c>
      <c r="E86" s="694"/>
      <c r="F86" s="694" t="s">
        <v>64</v>
      </c>
      <c r="G86" s="694"/>
      <c r="H86" s="694"/>
      <c r="I86" s="694"/>
      <c r="J86" s="694"/>
      <c r="K86" s="679" t="s">
        <v>5</v>
      </c>
    </row>
    <row r="87" spans="2:11" hidden="1">
      <c r="B87" s="661" t="s">
        <v>62</v>
      </c>
      <c r="C87" s="660" t="s">
        <v>149</v>
      </c>
      <c r="D87" s="660" t="s">
        <v>64</v>
      </c>
      <c r="E87" s="694"/>
      <c r="F87" s="694" t="s">
        <v>64</v>
      </c>
      <c r="G87" s="694"/>
      <c r="H87" s="694"/>
      <c r="I87" s="694"/>
      <c r="J87" s="694"/>
      <c r="K87" s="662" t="s">
        <v>5</v>
      </c>
    </row>
    <row r="88" spans="2:11" hidden="1">
      <c r="B88" s="661" t="s">
        <v>62</v>
      </c>
      <c r="C88" s="660" t="s">
        <v>150</v>
      </c>
      <c r="D88" s="660" t="s">
        <v>64</v>
      </c>
      <c r="E88" s="694"/>
      <c r="F88" s="694" t="s">
        <v>64</v>
      </c>
      <c r="G88" s="694" t="s">
        <v>64</v>
      </c>
      <c r="H88" s="694"/>
      <c r="I88" s="694"/>
      <c r="J88" s="694"/>
      <c r="K88" s="680" t="s">
        <v>5</v>
      </c>
    </row>
    <row r="89" spans="2:11" hidden="1">
      <c r="B89" s="661" t="s">
        <v>62</v>
      </c>
      <c r="C89" s="660" t="s">
        <v>151</v>
      </c>
      <c r="D89" s="660" t="s">
        <v>64</v>
      </c>
      <c r="E89" s="694"/>
      <c r="F89" s="694" t="s">
        <v>64</v>
      </c>
      <c r="G89" s="694"/>
      <c r="H89" s="694"/>
      <c r="I89" s="694"/>
      <c r="J89" s="694"/>
      <c r="K89" s="680" t="s">
        <v>5</v>
      </c>
    </row>
    <row r="90" spans="2:11" hidden="1">
      <c r="B90" s="661" t="s">
        <v>62</v>
      </c>
      <c r="C90" s="660" t="s">
        <v>152</v>
      </c>
      <c r="D90" s="660" t="s">
        <v>64</v>
      </c>
      <c r="E90" s="694"/>
      <c r="F90" s="694"/>
      <c r="G90" s="694" t="s">
        <v>64</v>
      </c>
      <c r="H90" s="694"/>
      <c r="I90" s="694"/>
      <c r="J90" s="694"/>
      <c r="K90" s="662" t="s">
        <v>5</v>
      </c>
    </row>
    <row r="91" spans="2:11" hidden="1">
      <c r="B91" s="661" t="s">
        <v>62</v>
      </c>
      <c r="C91" s="660" t="s">
        <v>153</v>
      </c>
      <c r="D91" s="660" t="s">
        <v>64</v>
      </c>
      <c r="E91" s="694"/>
      <c r="F91" s="694"/>
      <c r="G91" s="694" t="s">
        <v>64</v>
      </c>
      <c r="H91" s="694"/>
      <c r="I91" s="694"/>
      <c r="J91" s="694"/>
      <c r="K91" s="662" t="s">
        <v>5</v>
      </c>
    </row>
    <row r="92" spans="2:11" hidden="1">
      <c r="B92" s="661" t="s">
        <v>62</v>
      </c>
      <c r="C92" s="671" t="s">
        <v>154</v>
      </c>
      <c r="D92" s="660" t="s">
        <v>64</v>
      </c>
      <c r="E92" s="694"/>
      <c r="F92" s="694"/>
      <c r="G92" s="694"/>
      <c r="H92" s="694" t="s">
        <v>64</v>
      </c>
      <c r="I92" s="694"/>
      <c r="J92" s="694"/>
      <c r="K92" s="662" t="s">
        <v>5</v>
      </c>
    </row>
    <row r="93" spans="2:11" hidden="1">
      <c r="B93" s="661" t="s">
        <v>62</v>
      </c>
      <c r="C93" s="671" t="s">
        <v>155</v>
      </c>
      <c r="D93" s="660" t="s">
        <v>64</v>
      </c>
      <c r="E93" s="694"/>
      <c r="F93" s="694"/>
      <c r="G93" s="694"/>
      <c r="H93" s="694" t="s">
        <v>64</v>
      </c>
      <c r="I93" s="694"/>
      <c r="J93" s="694"/>
      <c r="K93" s="662" t="s">
        <v>5</v>
      </c>
    </row>
    <row r="94" spans="2:11">
      <c r="B94" s="661" t="s">
        <v>62</v>
      </c>
      <c r="C94" s="671" t="s">
        <v>156</v>
      </c>
      <c r="D94" s="660" t="s">
        <v>64</v>
      </c>
      <c r="E94" s="694"/>
      <c r="F94" s="694"/>
      <c r="G94" s="694"/>
      <c r="H94" s="694" t="s">
        <v>64</v>
      </c>
      <c r="I94" s="694"/>
      <c r="J94" s="694"/>
      <c r="K94" s="662" t="s">
        <v>5</v>
      </c>
    </row>
    <row r="95" spans="2:11" hidden="1">
      <c r="B95" s="661" t="s">
        <v>62</v>
      </c>
      <c r="C95" s="671" t="s">
        <v>157</v>
      </c>
      <c r="D95" s="660" t="s">
        <v>64</v>
      </c>
      <c r="E95" s="694"/>
      <c r="F95" s="694"/>
      <c r="G95" s="694"/>
      <c r="H95" s="694" t="s">
        <v>64</v>
      </c>
      <c r="I95" s="694"/>
      <c r="J95" s="694"/>
      <c r="K95" s="680" t="s">
        <v>5</v>
      </c>
    </row>
    <row r="96" spans="2:11" hidden="1">
      <c r="B96" s="661" t="s">
        <v>62</v>
      </c>
      <c r="C96" s="671" t="s">
        <v>158</v>
      </c>
      <c r="D96" s="660" t="s">
        <v>64</v>
      </c>
      <c r="E96" s="694"/>
      <c r="F96" s="694"/>
      <c r="G96" s="694"/>
      <c r="H96" s="694" t="s">
        <v>64</v>
      </c>
      <c r="I96" s="694"/>
      <c r="J96" s="694"/>
      <c r="K96" s="662" t="s">
        <v>5</v>
      </c>
    </row>
    <row r="97" spans="2:11" hidden="1">
      <c r="B97" s="661" t="s">
        <v>62</v>
      </c>
      <c r="C97" s="671" t="s">
        <v>159</v>
      </c>
      <c r="D97" s="660" t="s">
        <v>64</v>
      </c>
      <c r="E97" s="694"/>
      <c r="F97" s="694"/>
      <c r="G97" s="694"/>
      <c r="H97" s="694" t="s">
        <v>64</v>
      </c>
      <c r="I97" s="694"/>
      <c r="J97" s="694"/>
      <c r="K97" s="662" t="s">
        <v>5</v>
      </c>
    </row>
    <row r="98" spans="2:11" hidden="1">
      <c r="B98" s="661" t="s">
        <v>62</v>
      </c>
      <c r="C98" s="660" t="s">
        <v>160</v>
      </c>
      <c r="D98" s="660" t="s">
        <v>64</v>
      </c>
      <c r="E98" s="694"/>
      <c r="F98" s="694"/>
      <c r="G98" s="694"/>
      <c r="H98" s="694" t="s">
        <v>64</v>
      </c>
      <c r="I98" s="694"/>
      <c r="J98" s="694"/>
      <c r="K98" s="662" t="s">
        <v>5</v>
      </c>
    </row>
    <row r="99" spans="2:11" hidden="1">
      <c r="B99" s="661" t="s">
        <v>62</v>
      </c>
      <c r="C99" s="660" t="s">
        <v>161</v>
      </c>
      <c r="D99" s="660" t="s">
        <v>64</v>
      </c>
      <c r="E99" s="694"/>
      <c r="F99" s="694"/>
      <c r="G99" s="694"/>
      <c r="H99" s="694" t="s">
        <v>64</v>
      </c>
      <c r="I99" s="694"/>
      <c r="J99" s="694"/>
      <c r="K99" s="662" t="s">
        <v>5</v>
      </c>
    </row>
    <row r="100" spans="2:11" hidden="1">
      <c r="B100" s="661" t="s">
        <v>62</v>
      </c>
      <c r="C100" s="660" t="s">
        <v>162</v>
      </c>
      <c r="D100" s="660" t="s">
        <v>64</v>
      </c>
      <c r="E100" s="694"/>
      <c r="F100" s="694"/>
      <c r="G100" s="694"/>
      <c r="H100" s="694" t="s">
        <v>64</v>
      </c>
      <c r="I100" s="694"/>
      <c r="J100" s="694"/>
      <c r="K100" s="662" t="s">
        <v>5</v>
      </c>
    </row>
    <row r="101" spans="2:11" hidden="1">
      <c r="B101" s="661" t="s">
        <v>62</v>
      </c>
      <c r="C101" s="660" t="s">
        <v>163</v>
      </c>
      <c r="D101" s="660" t="s">
        <v>64</v>
      </c>
      <c r="E101" s="694"/>
      <c r="F101" s="694"/>
      <c r="G101" s="694"/>
      <c r="H101" s="694" t="s">
        <v>64</v>
      </c>
      <c r="I101" s="694"/>
      <c r="J101" s="694"/>
      <c r="K101" s="662" t="s">
        <v>5</v>
      </c>
    </row>
    <row r="102" spans="2:11" hidden="1">
      <c r="B102" s="661" t="s">
        <v>62</v>
      </c>
      <c r="C102" s="660" t="s">
        <v>164</v>
      </c>
      <c r="D102" s="660" t="s">
        <v>64</v>
      </c>
      <c r="E102" s="694"/>
      <c r="F102" s="694"/>
      <c r="G102" s="694"/>
      <c r="H102" s="694" t="s">
        <v>64</v>
      </c>
      <c r="I102" s="694"/>
      <c r="J102" s="694"/>
      <c r="K102" s="662" t="s">
        <v>5</v>
      </c>
    </row>
    <row r="103" spans="2:11" hidden="1">
      <c r="B103" s="661" t="s">
        <v>62</v>
      </c>
      <c r="C103" s="660" t="s">
        <v>165</v>
      </c>
      <c r="D103" s="660" t="s">
        <v>64</v>
      </c>
      <c r="E103" s="694"/>
      <c r="F103" s="694"/>
      <c r="G103" s="694"/>
      <c r="H103" s="694" t="s">
        <v>64</v>
      </c>
      <c r="I103" s="694"/>
      <c r="J103" s="694"/>
      <c r="K103" s="662" t="s">
        <v>5</v>
      </c>
    </row>
    <row r="104" spans="2:11" hidden="1">
      <c r="B104" s="661" t="s">
        <v>62</v>
      </c>
      <c r="C104" s="660" t="s">
        <v>166</v>
      </c>
      <c r="D104" s="660" t="s">
        <v>64</v>
      </c>
      <c r="E104" s="694"/>
      <c r="F104" s="694"/>
      <c r="G104" s="694"/>
      <c r="H104" s="694" t="s">
        <v>64</v>
      </c>
      <c r="I104" s="694"/>
      <c r="J104" s="694"/>
      <c r="K104" s="662" t="s">
        <v>5</v>
      </c>
    </row>
    <row r="105" spans="2:11" hidden="1">
      <c r="B105" s="661" t="s">
        <v>62</v>
      </c>
      <c r="C105" s="671" t="s">
        <v>167</v>
      </c>
      <c r="D105" s="660" t="s">
        <v>64</v>
      </c>
      <c r="E105" s="694"/>
      <c r="F105" s="694"/>
      <c r="G105" s="694"/>
      <c r="H105" s="694" t="s">
        <v>64</v>
      </c>
      <c r="I105" s="694"/>
      <c r="J105" s="694"/>
      <c r="K105" s="662" t="s">
        <v>5</v>
      </c>
    </row>
    <row r="106" spans="2:11" hidden="1">
      <c r="B106" s="661" t="s">
        <v>62</v>
      </c>
      <c r="C106" s="671" t="s">
        <v>168</v>
      </c>
      <c r="D106" s="660" t="s">
        <v>64</v>
      </c>
      <c r="E106" s="694"/>
      <c r="F106" s="694"/>
      <c r="G106" s="694"/>
      <c r="H106" s="694" t="s">
        <v>64</v>
      </c>
      <c r="I106" s="694"/>
      <c r="J106" s="694"/>
      <c r="K106" s="662" t="s">
        <v>5</v>
      </c>
    </row>
    <row r="107" spans="2:11" hidden="1">
      <c r="B107" s="661" t="s">
        <v>62</v>
      </c>
      <c r="C107" s="671" t="s">
        <v>169</v>
      </c>
      <c r="D107" s="660" t="s">
        <v>64</v>
      </c>
      <c r="E107" s="694"/>
      <c r="F107" s="694"/>
      <c r="G107" s="694"/>
      <c r="H107" s="694" t="s">
        <v>64</v>
      </c>
      <c r="I107" s="694"/>
      <c r="J107" s="694"/>
      <c r="K107" s="662" t="s">
        <v>5</v>
      </c>
    </row>
    <row r="108" spans="2:11" hidden="1">
      <c r="B108" s="661" t="s">
        <v>62</v>
      </c>
      <c r="C108" s="671" t="s">
        <v>170</v>
      </c>
      <c r="D108" s="660" t="s">
        <v>64</v>
      </c>
      <c r="E108" s="694"/>
      <c r="F108" s="694"/>
      <c r="G108" s="694"/>
      <c r="H108" s="694" t="s">
        <v>64</v>
      </c>
      <c r="I108" s="694"/>
      <c r="J108" s="694"/>
      <c r="K108" s="662" t="s">
        <v>5</v>
      </c>
    </row>
    <row r="109" spans="2:11" hidden="1">
      <c r="B109" s="661" t="s">
        <v>62</v>
      </c>
      <c r="C109" s="660" t="s">
        <v>171</v>
      </c>
      <c r="D109" s="660" t="s">
        <v>64</v>
      </c>
      <c r="E109" s="694"/>
      <c r="F109" s="694"/>
      <c r="G109" s="694"/>
      <c r="H109" s="694" t="s">
        <v>64</v>
      </c>
      <c r="I109" s="694"/>
      <c r="J109" s="694"/>
      <c r="K109" s="662" t="s">
        <v>5</v>
      </c>
    </row>
    <row r="110" spans="2:11" hidden="1">
      <c r="B110" s="661" t="s">
        <v>62</v>
      </c>
      <c r="C110" s="660" t="s">
        <v>172</v>
      </c>
      <c r="D110" s="660" t="s">
        <v>64</v>
      </c>
      <c r="E110" s="694"/>
      <c r="F110" s="694"/>
      <c r="G110" s="694"/>
      <c r="H110" s="694" t="s">
        <v>64</v>
      </c>
      <c r="I110" s="694"/>
      <c r="J110" s="694"/>
      <c r="K110" s="662" t="s">
        <v>5</v>
      </c>
    </row>
    <row r="111" spans="2:11" hidden="1">
      <c r="B111" s="661" t="s">
        <v>62</v>
      </c>
      <c r="C111" s="671" t="s">
        <v>173</v>
      </c>
      <c r="D111" s="660" t="s">
        <v>64</v>
      </c>
      <c r="E111" s="694"/>
      <c r="F111" s="694"/>
      <c r="G111" s="694"/>
      <c r="H111" s="694" t="s">
        <v>64</v>
      </c>
      <c r="I111" s="694"/>
      <c r="J111" s="694"/>
      <c r="K111" s="662" t="s">
        <v>5</v>
      </c>
    </row>
    <row r="112" spans="2:11" hidden="1">
      <c r="B112" s="661" t="s">
        <v>62</v>
      </c>
      <c r="C112" s="671" t="s">
        <v>174</v>
      </c>
      <c r="D112" s="660" t="s">
        <v>64</v>
      </c>
      <c r="E112" s="694"/>
      <c r="F112" s="694"/>
      <c r="G112" s="694"/>
      <c r="H112" s="694"/>
      <c r="I112" s="694" t="s">
        <v>64</v>
      </c>
      <c r="J112" s="694"/>
      <c r="K112" s="662" t="s">
        <v>5</v>
      </c>
    </row>
    <row r="113" spans="2:11" hidden="1">
      <c r="B113" s="661" t="s">
        <v>175</v>
      </c>
      <c r="C113" s="660" t="s">
        <v>176</v>
      </c>
      <c r="D113" s="660"/>
      <c r="E113" s="694" t="s">
        <v>64</v>
      </c>
      <c r="F113" s="694" t="s">
        <v>64</v>
      </c>
      <c r="G113" s="694" t="s">
        <v>64</v>
      </c>
      <c r="H113" s="694"/>
      <c r="I113" s="694"/>
      <c r="J113" s="694"/>
      <c r="K113" s="662" t="s">
        <v>5</v>
      </c>
    </row>
    <row r="114" spans="2:11" hidden="1">
      <c r="B114" s="661" t="s">
        <v>175</v>
      </c>
      <c r="C114" s="660" t="s">
        <v>177</v>
      </c>
      <c r="D114" s="660"/>
      <c r="E114" s="694"/>
      <c r="F114" s="694"/>
      <c r="G114" s="694" t="s">
        <v>64</v>
      </c>
      <c r="H114" s="694"/>
      <c r="I114" s="694"/>
      <c r="J114" s="694"/>
      <c r="K114" s="662" t="s">
        <v>5</v>
      </c>
    </row>
    <row r="115" spans="2:11" hidden="1">
      <c r="B115" s="661" t="s">
        <v>175</v>
      </c>
      <c r="C115" s="660" t="s">
        <v>178</v>
      </c>
      <c r="D115" s="660"/>
      <c r="E115" s="694"/>
      <c r="F115" s="694" t="s">
        <v>64</v>
      </c>
      <c r="G115" s="694" t="s">
        <v>64</v>
      </c>
      <c r="H115" s="694"/>
      <c r="I115" s="694"/>
      <c r="J115" s="694"/>
      <c r="K115" s="662" t="s">
        <v>5</v>
      </c>
    </row>
    <row r="116" spans="2:11" hidden="1">
      <c r="B116" s="661" t="s">
        <v>175</v>
      </c>
      <c r="C116" s="660" t="s">
        <v>179</v>
      </c>
      <c r="D116" s="660"/>
      <c r="E116" s="694"/>
      <c r="F116" s="694"/>
      <c r="G116" s="694" t="s">
        <v>64</v>
      </c>
      <c r="H116" s="694"/>
      <c r="I116" s="694"/>
      <c r="J116" s="694"/>
      <c r="K116" s="662" t="s">
        <v>5</v>
      </c>
    </row>
    <row r="117" spans="2:11" hidden="1">
      <c r="B117" s="661" t="s">
        <v>175</v>
      </c>
      <c r="C117" s="660" t="s">
        <v>180</v>
      </c>
      <c r="D117" s="660"/>
      <c r="E117" s="694"/>
      <c r="F117" s="694"/>
      <c r="G117" s="694" t="s">
        <v>64</v>
      </c>
      <c r="H117" s="694"/>
      <c r="I117" s="694"/>
      <c r="J117" s="694"/>
      <c r="K117" s="662" t="s">
        <v>5</v>
      </c>
    </row>
    <row r="118" spans="2:11" hidden="1">
      <c r="B118" s="661" t="s">
        <v>175</v>
      </c>
      <c r="C118" s="660" t="s">
        <v>181</v>
      </c>
      <c r="D118" s="660"/>
      <c r="E118" s="694"/>
      <c r="F118" s="694"/>
      <c r="G118" s="694" t="s">
        <v>64</v>
      </c>
      <c r="H118" s="694"/>
      <c r="I118" s="694"/>
      <c r="J118" s="694"/>
      <c r="K118" s="662" t="s">
        <v>5</v>
      </c>
    </row>
    <row r="119" spans="2:11" hidden="1">
      <c r="B119" s="661" t="s">
        <v>175</v>
      </c>
      <c r="C119" s="660" t="s">
        <v>182</v>
      </c>
      <c r="D119" s="660"/>
      <c r="E119" s="694"/>
      <c r="F119" s="694"/>
      <c r="G119" s="694" t="s">
        <v>64</v>
      </c>
      <c r="H119" s="694"/>
      <c r="I119" s="694"/>
      <c r="J119" s="694"/>
      <c r="K119" s="662" t="s">
        <v>5</v>
      </c>
    </row>
    <row r="120" spans="2:11" hidden="1">
      <c r="B120" s="661" t="s">
        <v>175</v>
      </c>
      <c r="C120" s="660" t="s">
        <v>183</v>
      </c>
      <c r="D120" s="660"/>
      <c r="E120" s="694"/>
      <c r="F120" s="694" t="s">
        <v>64</v>
      </c>
      <c r="G120" s="694" t="s">
        <v>64</v>
      </c>
      <c r="H120" s="694"/>
      <c r="I120" s="694"/>
      <c r="J120" s="694"/>
      <c r="K120" s="662" t="s">
        <v>5</v>
      </c>
    </row>
    <row r="121" spans="2:11" hidden="1">
      <c r="B121" s="661" t="s">
        <v>175</v>
      </c>
      <c r="C121" s="660" t="s">
        <v>184</v>
      </c>
      <c r="D121" s="660"/>
      <c r="E121" s="694"/>
      <c r="F121" s="694"/>
      <c r="G121" s="694" t="s">
        <v>64</v>
      </c>
      <c r="H121" s="694"/>
      <c r="I121" s="694"/>
      <c r="J121" s="694"/>
      <c r="K121" s="662" t="s">
        <v>5</v>
      </c>
    </row>
    <row r="122" spans="2:11" hidden="1">
      <c r="B122" s="661" t="s">
        <v>175</v>
      </c>
      <c r="C122" s="660" t="s">
        <v>185</v>
      </c>
      <c r="D122" s="660"/>
      <c r="E122" s="694"/>
      <c r="F122" s="694"/>
      <c r="G122" s="694" t="s">
        <v>64</v>
      </c>
      <c r="H122" s="694"/>
      <c r="I122" s="694"/>
      <c r="J122" s="694"/>
      <c r="K122" s="662" t="s">
        <v>5</v>
      </c>
    </row>
    <row r="123" spans="2:11" hidden="1">
      <c r="B123" s="661" t="s">
        <v>175</v>
      </c>
      <c r="C123" s="660" t="s">
        <v>186</v>
      </c>
      <c r="D123" s="660"/>
      <c r="E123" s="694" t="s">
        <v>64</v>
      </c>
      <c r="F123" s="694"/>
      <c r="G123" s="694" t="s">
        <v>64</v>
      </c>
      <c r="H123" s="694"/>
      <c r="I123" s="694"/>
      <c r="J123" s="694"/>
      <c r="K123" s="662" t="s">
        <v>5</v>
      </c>
    </row>
    <row r="124" spans="2:11" hidden="1">
      <c r="B124" s="661" t="s">
        <v>175</v>
      </c>
      <c r="C124" s="660" t="s">
        <v>80</v>
      </c>
      <c r="D124" s="660"/>
      <c r="E124" s="694" t="s">
        <v>64</v>
      </c>
      <c r="F124" s="694" t="s">
        <v>64</v>
      </c>
      <c r="G124" s="694" t="s">
        <v>64</v>
      </c>
      <c r="H124" s="694"/>
      <c r="I124" s="694"/>
      <c r="J124" s="694"/>
      <c r="K124" s="662" t="s">
        <v>5</v>
      </c>
    </row>
    <row r="125" spans="2:11" hidden="1">
      <c r="B125" s="661" t="s">
        <v>175</v>
      </c>
      <c r="C125" s="660" t="s">
        <v>187</v>
      </c>
      <c r="D125" s="660"/>
      <c r="E125" s="694"/>
      <c r="F125" s="694"/>
      <c r="G125" s="694" t="s">
        <v>64</v>
      </c>
      <c r="H125" s="694"/>
      <c r="I125" s="694"/>
      <c r="J125" s="694"/>
      <c r="K125" s="662" t="s">
        <v>5</v>
      </c>
    </row>
    <row r="126" spans="2:11" hidden="1">
      <c r="B126" s="661" t="s">
        <v>175</v>
      </c>
      <c r="C126" s="660" t="s">
        <v>188</v>
      </c>
      <c r="D126" s="660"/>
      <c r="E126" s="694"/>
      <c r="F126" s="694"/>
      <c r="G126" s="694" t="s">
        <v>64</v>
      </c>
      <c r="H126" s="694"/>
      <c r="I126" s="694"/>
      <c r="J126" s="694"/>
      <c r="K126" s="662" t="s">
        <v>5</v>
      </c>
    </row>
    <row r="127" spans="2:11" hidden="1">
      <c r="B127" s="661" t="s">
        <v>175</v>
      </c>
      <c r="C127" s="660" t="s">
        <v>189</v>
      </c>
      <c r="D127" s="660"/>
      <c r="E127" s="694"/>
      <c r="F127" s="694" t="s">
        <v>64</v>
      </c>
      <c r="G127" s="694" t="s">
        <v>64</v>
      </c>
      <c r="H127" s="694"/>
      <c r="I127" s="694"/>
      <c r="J127" s="694"/>
      <c r="K127" s="662" t="s">
        <v>5</v>
      </c>
    </row>
    <row r="128" spans="2:11" hidden="1">
      <c r="B128" s="661" t="s">
        <v>175</v>
      </c>
      <c r="C128" s="671" t="s">
        <v>190</v>
      </c>
      <c r="D128" s="671"/>
      <c r="E128" s="694"/>
      <c r="F128" s="694"/>
      <c r="G128" s="694" t="s">
        <v>64</v>
      </c>
      <c r="H128" s="694"/>
      <c r="I128" s="694"/>
      <c r="J128" s="694"/>
      <c r="K128" s="662" t="s">
        <v>5</v>
      </c>
    </row>
    <row r="129" spans="2:11" hidden="1">
      <c r="B129" s="661" t="s">
        <v>175</v>
      </c>
      <c r="C129" s="660" t="s">
        <v>191</v>
      </c>
      <c r="D129" s="660"/>
      <c r="E129" s="694"/>
      <c r="F129" s="694"/>
      <c r="G129" s="694" t="s">
        <v>64</v>
      </c>
      <c r="H129" s="694"/>
      <c r="I129" s="694"/>
      <c r="J129" s="694"/>
      <c r="K129" s="662" t="s">
        <v>5</v>
      </c>
    </row>
    <row r="130" spans="2:11" ht="60" hidden="1">
      <c r="B130" s="689" t="s">
        <v>175</v>
      </c>
      <c r="C130" s="718" t="s">
        <v>192</v>
      </c>
      <c r="D130" s="691" t="s">
        <v>64</v>
      </c>
      <c r="E130" s="694" t="s">
        <v>64</v>
      </c>
      <c r="F130" s="694" t="s">
        <v>64</v>
      </c>
      <c r="G130" s="694" t="s">
        <v>64</v>
      </c>
      <c r="H130" s="694"/>
      <c r="I130" s="694"/>
      <c r="J130" s="694"/>
      <c r="K130" s="662" t="s">
        <v>5</v>
      </c>
    </row>
    <row r="131" spans="2:11" hidden="1">
      <c r="B131" s="661" t="s">
        <v>175</v>
      </c>
      <c r="C131" s="660" t="s">
        <v>193</v>
      </c>
      <c r="D131" s="660" t="s">
        <v>64</v>
      </c>
      <c r="E131" s="694" t="s">
        <v>64</v>
      </c>
      <c r="F131" s="694" t="s">
        <v>64</v>
      </c>
      <c r="G131" s="694" t="s">
        <v>64</v>
      </c>
      <c r="H131" s="694"/>
      <c r="I131" s="694"/>
      <c r="J131" s="694"/>
      <c r="K131" s="662" t="s">
        <v>5</v>
      </c>
    </row>
    <row r="132" spans="2:11" hidden="1">
      <c r="B132" s="661" t="s">
        <v>175</v>
      </c>
      <c r="C132" s="660" t="s">
        <v>194</v>
      </c>
      <c r="D132" s="660" t="s">
        <v>64</v>
      </c>
      <c r="E132" s="694"/>
      <c r="F132" s="694" t="s">
        <v>64</v>
      </c>
      <c r="G132" s="694"/>
      <c r="H132" s="694"/>
      <c r="I132" s="694"/>
      <c r="J132" s="694"/>
      <c r="K132" s="662" t="s">
        <v>5</v>
      </c>
    </row>
    <row r="133" spans="2:11" hidden="1">
      <c r="B133" s="661" t="s">
        <v>175</v>
      </c>
      <c r="C133" s="671" t="s">
        <v>195</v>
      </c>
      <c r="D133" s="660" t="s">
        <v>64</v>
      </c>
      <c r="E133" s="694"/>
      <c r="F133" s="694"/>
      <c r="G133" s="694" t="s">
        <v>64</v>
      </c>
      <c r="H133" s="694"/>
      <c r="I133" s="694"/>
      <c r="J133" s="694"/>
      <c r="K133" s="662" t="s">
        <v>5</v>
      </c>
    </row>
    <row r="134" spans="2:11" hidden="1">
      <c r="B134" s="661" t="s">
        <v>175</v>
      </c>
      <c r="C134" s="671" t="s">
        <v>196</v>
      </c>
      <c r="D134" s="660" t="s">
        <v>64</v>
      </c>
      <c r="E134" s="694"/>
      <c r="F134" s="694"/>
      <c r="G134" s="694" t="s">
        <v>64</v>
      </c>
      <c r="H134" s="694"/>
      <c r="I134" s="694"/>
      <c r="J134" s="694"/>
      <c r="K134" s="662" t="s">
        <v>5</v>
      </c>
    </row>
    <row r="135" spans="2:11" hidden="1">
      <c r="B135" s="661" t="s">
        <v>175</v>
      </c>
      <c r="C135" s="671" t="s">
        <v>197</v>
      </c>
      <c r="D135" s="660" t="s">
        <v>64</v>
      </c>
      <c r="E135" s="694"/>
      <c r="F135" s="694"/>
      <c r="G135" s="694" t="s">
        <v>64</v>
      </c>
      <c r="H135" s="694" t="s">
        <v>64</v>
      </c>
      <c r="I135" s="694"/>
      <c r="J135" s="694"/>
      <c r="K135" s="662" t="s">
        <v>5</v>
      </c>
    </row>
    <row r="136" spans="2:11" hidden="1">
      <c r="B136" s="661" t="s">
        <v>175</v>
      </c>
      <c r="C136" s="660" t="s">
        <v>198</v>
      </c>
      <c r="D136" s="660" t="s">
        <v>64</v>
      </c>
      <c r="E136" s="694"/>
      <c r="F136" s="694"/>
      <c r="G136" s="694" t="s">
        <v>64</v>
      </c>
      <c r="H136" s="694"/>
      <c r="I136" s="694"/>
      <c r="J136" s="694"/>
      <c r="K136" s="662" t="s">
        <v>5</v>
      </c>
    </row>
    <row r="137" spans="2:11" hidden="1">
      <c r="B137" s="661" t="s">
        <v>175</v>
      </c>
      <c r="C137" s="660" t="s">
        <v>199</v>
      </c>
      <c r="D137" s="660" t="s">
        <v>64</v>
      </c>
      <c r="E137" s="694"/>
      <c r="F137" s="694"/>
      <c r="G137" s="694" t="s">
        <v>64</v>
      </c>
      <c r="H137" s="694"/>
      <c r="I137" s="694"/>
      <c r="J137" s="694"/>
      <c r="K137" s="662" t="s">
        <v>5</v>
      </c>
    </row>
    <row r="138" spans="2:11" hidden="1">
      <c r="B138" s="661" t="s">
        <v>175</v>
      </c>
      <c r="C138" s="660" t="s">
        <v>200</v>
      </c>
      <c r="D138" s="660" t="s">
        <v>64</v>
      </c>
      <c r="E138" s="694"/>
      <c r="F138" s="694"/>
      <c r="G138" s="694" t="s">
        <v>64</v>
      </c>
      <c r="H138" s="694"/>
      <c r="I138" s="694"/>
      <c r="J138" s="694"/>
      <c r="K138" s="662" t="s">
        <v>5</v>
      </c>
    </row>
    <row r="139" spans="2:11" hidden="1">
      <c r="B139" s="661" t="s">
        <v>175</v>
      </c>
      <c r="C139" s="671" t="s">
        <v>201</v>
      </c>
      <c r="D139" s="660" t="s">
        <v>64</v>
      </c>
      <c r="E139" s="694"/>
      <c r="F139" s="694"/>
      <c r="G139" s="694" t="s">
        <v>64</v>
      </c>
      <c r="H139" s="694"/>
      <c r="I139" s="694"/>
      <c r="J139" s="694"/>
      <c r="K139" s="662" t="s">
        <v>5</v>
      </c>
    </row>
    <row r="140" spans="2:11" hidden="1">
      <c r="B140" s="661" t="s">
        <v>175</v>
      </c>
      <c r="C140" s="660" t="s">
        <v>202</v>
      </c>
      <c r="D140" s="660" t="s">
        <v>64</v>
      </c>
      <c r="E140" s="694"/>
      <c r="F140" s="694"/>
      <c r="G140" s="694" t="s">
        <v>64</v>
      </c>
      <c r="H140" s="694"/>
      <c r="I140" s="694"/>
      <c r="J140" s="694"/>
      <c r="K140" s="662" t="s">
        <v>5</v>
      </c>
    </row>
    <row r="141" spans="2:11" hidden="1">
      <c r="B141" s="661" t="s">
        <v>175</v>
      </c>
      <c r="C141" s="660" t="s">
        <v>203</v>
      </c>
      <c r="D141" s="660" t="s">
        <v>64</v>
      </c>
      <c r="E141" s="694"/>
      <c r="F141" s="694"/>
      <c r="G141" s="694" t="s">
        <v>64</v>
      </c>
      <c r="H141" s="694"/>
      <c r="I141" s="694"/>
      <c r="J141" s="694"/>
      <c r="K141" s="662" t="s">
        <v>5</v>
      </c>
    </row>
    <row r="142" spans="2:11" hidden="1">
      <c r="B142" s="661" t="s">
        <v>175</v>
      </c>
      <c r="C142" s="660" t="s">
        <v>204</v>
      </c>
      <c r="D142" s="660" t="s">
        <v>64</v>
      </c>
      <c r="E142" s="694"/>
      <c r="F142" s="694"/>
      <c r="G142" s="694" t="s">
        <v>64</v>
      </c>
      <c r="H142" s="694"/>
      <c r="I142" s="694"/>
      <c r="J142" s="694"/>
      <c r="K142" s="679" t="s">
        <v>5</v>
      </c>
    </row>
    <row r="143" spans="2:11" hidden="1">
      <c r="B143" s="661" t="s">
        <v>175</v>
      </c>
      <c r="C143" s="660" t="s">
        <v>205</v>
      </c>
      <c r="D143" s="660" t="s">
        <v>64</v>
      </c>
      <c r="E143" s="694"/>
      <c r="F143" s="694"/>
      <c r="G143" s="694" t="s">
        <v>64</v>
      </c>
      <c r="H143" s="694"/>
      <c r="I143" s="694"/>
      <c r="J143" s="694"/>
      <c r="K143" s="679" t="s">
        <v>5</v>
      </c>
    </row>
    <row r="144" spans="2:11" hidden="1">
      <c r="B144" s="661" t="s">
        <v>206</v>
      </c>
      <c r="C144" s="660" t="s">
        <v>63</v>
      </c>
      <c r="D144" s="660"/>
      <c r="E144" s="694" t="s">
        <v>64</v>
      </c>
      <c r="F144" s="694" t="s">
        <v>64</v>
      </c>
      <c r="G144" s="694" t="s">
        <v>64</v>
      </c>
      <c r="H144" s="694"/>
      <c r="I144" s="694"/>
      <c r="J144" s="694"/>
      <c r="K144" s="662" t="s">
        <v>5</v>
      </c>
    </row>
    <row r="145" spans="2:11" hidden="1">
      <c r="B145" s="661" t="s">
        <v>206</v>
      </c>
      <c r="C145" s="660" t="s">
        <v>176</v>
      </c>
      <c r="D145" s="660"/>
      <c r="E145" s="694" t="s">
        <v>64</v>
      </c>
      <c r="F145" s="694" t="s">
        <v>64</v>
      </c>
      <c r="G145" s="694" t="s">
        <v>64</v>
      </c>
      <c r="H145" s="694"/>
      <c r="I145" s="694"/>
      <c r="J145" s="694"/>
      <c r="K145" s="662" t="s">
        <v>5</v>
      </c>
    </row>
    <row r="146" spans="2:11" hidden="1">
      <c r="B146" s="661" t="s">
        <v>206</v>
      </c>
      <c r="C146" s="660" t="s">
        <v>207</v>
      </c>
      <c r="D146" s="660"/>
      <c r="E146" s="694"/>
      <c r="F146" s="694" t="s">
        <v>64</v>
      </c>
      <c r="G146" s="694" t="s">
        <v>64</v>
      </c>
      <c r="H146" s="694"/>
      <c r="I146" s="694"/>
      <c r="J146" s="694"/>
      <c r="K146" s="662" t="s">
        <v>5</v>
      </c>
    </row>
    <row r="147" spans="2:11" hidden="1">
      <c r="B147" s="661" t="s">
        <v>206</v>
      </c>
      <c r="C147" s="660" t="s">
        <v>194</v>
      </c>
      <c r="D147" s="660" t="s">
        <v>64</v>
      </c>
      <c r="E147" s="694"/>
      <c r="F147" s="694" t="s">
        <v>64</v>
      </c>
      <c r="G147" s="694"/>
      <c r="H147" s="694"/>
      <c r="I147" s="694"/>
      <c r="J147" s="694"/>
      <c r="K147" s="672" t="s">
        <v>5</v>
      </c>
    </row>
    <row r="148" spans="2:11" hidden="1">
      <c r="B148" s="661" t="s">
        <v>208</v>
      </c>
      <c r="C148" s="660" t="s">
        <v>209</v>
      </c>
      <c r="D148" s="660"/>
      <c r="E148" s="694" t="s">
        <v>64</v>
      </c>
      <c r="F148" s="694" t="s">
        <v>64</v>
      </c>
      <c r="G148" s="694" t="s">
        <v>64</v>
      </c>
      <c r="H148" s="694"/>
      <c r="I148" s="694"/>
      <c r="J148" s="694"/>
      <c r="K148" s="662" t="s">
        <v>5</v>
      </c>
    </row>
    <row r="149" spans="2:11" hidden="1">
      <c r="B149" s="661" t="s">
        <v>208</v>
      </c>
      <c r="C149" s="660" t="s">
        <v>210</v>
      </c>
      <c r="D149" s="660"/>
      <c r="E149" s="694"/>
      <c r="F149" s="694" t="s">
        <v>64</v>
      </c>
      <c r="G149" s="694" t="s">
        <v>64</v>
      </c>
      <c r="H149" s="694"/>
      <c r="I149" s="694"/>
      <c r="J149" s="694"/>
      <c r="K149" s="662" t="s">
        <v>5</v>
      </c>
    </row>
    <row r="150" spans="2:11" hidden="1">
      <c r="B150" s="661" t="s">
        <v>208</v>
      </c>
      <c r="C150" s="660" t="s">
        <v>211</v>
      </c>
      <c r="D150" s="660"/>
      <c r="E150" s="694"/>
      <c r="F150" s="694" t="s">
        <v>64</v>
      </c>
      <c r="G150" s="694" t="s">
        <v>64</v>
      </c>
      <c r="H150" s="694"/>
      <c r="I150" s="694"/>
      <c r="J150" s="694"/>
      <c r="K150" s="662" t="s">
        <v>5</v>
      </c>
    </row>
    <row r="151" spans="2:11" hidden="1">
      <c r="B151" s="661" t="s">
        <v>208</v>
      </c>
      <c r="C151" s="660" t="s">
        <v>212</v>
      </c>
      <c r="D151" s="660"/>
      <c r="E151" s="694" t="s">
        <v>64</v>
      </c>
      <c r="F151" s="694" t="s">
        <v>64</v>
      </c>
      <c r="G151" s="694" t="s">
        <v>64</v>
      </c>
      <c r="H151" s="694"/>
      <c r="I151" s="694"/>
      <c r="J151" s="694"/>
      <c r="K151" s="662" t="s">
        <v>5</v>
      </c>
    </row>
    <row r="152" spans="2:11" hidden="1">
      <c r="B152" s="661" t="s">
        <v>208</v>
      </c>
      <c r="C152" s="660" t="s">
        <v>213</v>
      </c>
      <c r="D152" s="660"/>
      <c r="E152" s="694" t="s">
        <v>64</v>
      </c>
      <c r="F152" s="694" t="s">
        <v>64</v>
      </c>
      <c r="G152" s="694" t="s">
        <v>64</v>
      </c>
      <c r="H152" s="694"/>
      <c r="I152" s="694"/>
      <c r="J152" s="694"/>
      <c r="K152" s="662" t="s">
        <v>5</v>
      </c>
    </row>
    <row r="153" spans="2:11" hidden="1">
      <c r="B153" s="661" t="s">
        <v>208</v>
      </c>
      <c r="C153" s="660" t="s">
        <v>214</v>
      </c>
      <c r="D153" s="660"/>
      <c r="E153" s="694"/>
      <c r="F153" s="694" t="s">
        <v>64</v>
      </c>
      <c r="G153" s="694" t="s">
        <v>64</v>
      </c>
      <c r="H153" s="694"/>
      <c r="I153" s="694"/>
      <c r="J153" s="694"/>
      <c r="K153" s="662" t="s">
        <v>5</v>
      </c>
    </row>
    <row r="154" spans="2:11" hidden="1">
      <c r="B154" s="661" t="s">
        <v>208</v>
      </c>
      <c r="C154" s="660" t="s">
        <v>215</v>
      </c>
      <c r="D154" s="660"/>
      <c r="E154" s="694"/>
      <c r="F154" s="694" t="s">
        <v>64</v>
      </c>
      <c r="G154" s="694" t="s">
        <v>64</v>
      </c>
      <c r="H154" s="694"/>
      <c r="I154" s="694"/>
      <c r="J154" s="694"/>
      <c r="K154" s="662" t="s">
        <v>5</v>
      </c>
    </row>
    <row r="155" spans="2:11" hidden="1">
      <c r="B155" s="661" t="s">
        <v>208</v>
      </c>
      <c r="C155" s="660" t="s">
        <v>216</v>
      </c>
      <c r="D155" s="660"/>
      <c r="E155" s="694"/>
      <c r="F155" s="694" t="s">
        <v>64</v>
      </c>
      <c r="G155" s="694" t="s">
        <v>64</v>
      </c>
      <c r="H155" s="694"/>
      <c r="I155" s="694"/>
      <c r="J155" s="694"/>
      <c r="K155" s="662" t="s">
        <v>5</v>
      </c>
    </row>
    <row r="156" spans="2:11" hidden="1">
      <c r="B156" s="661" t="s">
        <v>208</v>
      </c>
      <c r="C156" s="660" t="s">
        <v>217</v>
      </c>
      <c r="D156" s="660"/>
      <c r="E156" s="694"/>
      <c r="F156" s="694" t="s">
        <v>64</v>
      </c>
      <c r="G156" s="694" t="s">
        <v>64</v>
      </c>
      <c r="H156" s="694"/>
      <c r="I156" s="694"/>
      <c r="J156" s="694"/>
      <c r="K156" s="662" t="s">
        <v>5</v>
      </c>
    </row>
    <row r="157" spans="2:11" hidden="1">
      <c r="B157" s="661" t="s">
        <v>208</v>
      </c>
      <c r="C157" s="660" t="s">
        <v>218</v>
      </c>
      <c r="D157" s="660"/>
      <c r="E157" s="694"/>
      <c r="F157" s="694" t="s">
        <v>64</v>
      </c>
      <c r="G157" s="694" t="s">
        <v>64</v>
      </c>
      <c r="H157" s="694"/>
      <c r="I157" s="694"/>
      <c r="J157" s="694"/>
      <c r="K157" s="662" t="s">
        <v>5</v>
      </c>
    </row>
    <row r="158" spans="2:11" hidden="1">
      <c r="B158" s="661" t="s">
        <v>208</v>
      </c>
      <c r="C158" s="660" t="s">
        <v>219</v>
      </c>
      <c r="D158" s="660"/>
      <c r="E158" s="694"/>
      <c r="F158" s="694" t="s">
        <v>64</v>
      </c>
      <c r="G158" s="694" t="s">
        <v>64</v>
      </c>
      <c r="H158" s="694"/>
      <c r="I158" s="694"/>
      <c r="J158" s="694"/>
      <c r="K158" s="662" t="s">
        <v>5</v>
      </c>
    </row>
    <row r="159" spans="2:11" hidden="1">
      <c r="B159" s="661" t="s">
        <v>208</v>
      </c>
      <c r="C159" s="660" t="s">
        <v>220</v>
      </c>
      <c r="D159" s="660" t="s">
        <v>64</v>
      </c>
      <c r="E159" s="694" t="s">
        <v>64</v>
      </c>
      <c r="F159" s="694" t="s">
        <v>64</v>
      </c>
      <c r="G159" s="694" t="s">
        <v>64</v>
      </c>
      <c r="H159" s="694"/>
      <c r="I159" s="694"/>
      <c r="J159" s="694"/>
      <c r="K159" s="662" t="s">
        <v>5</v>
      </c>
    </row>
    <row r="160" spans="2:11" hidden="1">
      <c r="B160" s="661" t="s">
        <v>208</v>
      </c>
      <c r="C160" s="660" t="s">
        <v>221</v>
      </c>
      <c r="D160" s="660" t="s">
        <v>64</v>
      </c>
      <c r="E160" s="694" t="s">
        <v>64</v>
      </c>
      <c r="F160" s="694" t="s">
        <v>64</v>
      </c>
      <c r="G160" s="694" t="s">
        <v>64</v>
      </c>
      <c r="H160" s="694"/>
      <c r="I160" s="694"/>
      <c r="J160" s="694"/>
      <c r="K160" s="662" t="s">
        <v>5</v>
      </c>
    </row>
    <row r="161" spans="2:11" hidden="1">
      <c r="B161" s="661" t="s">
        <v>208</v>
      </c>
      <c r="C161" s="660" t="s">
        <v>222</v>
      </c>
      <c r="D161" s="660" t="s">
        <v>64</v>
      </c>
      <c r="E161" s="694" t="s">
        <v>64</v>
      </c>
      <c r="F161" s="694" t="s">
        <v>64</v>
      </c>
      <c r="G161" s="694" t="s">
        <v>64</v>
      </c>
      <c r="H161" s="694"/>
      <c r="I161" s="694"/>
      <c r="J161" s="694"/>
      <c r="K161" s="662" t="s">
        <v>5</v>
      </c>
    </row>
    <row r="162" spans="2:11" hidden="1">
      <c r="B162" s="661" t="s">
        <v>208</v>
      </c>
      <c r="C162" s="671" t="s">
        <v>223</v>
      </c>
      <c r="D162" s="660" t="s">
        <v>64</v>
      </c>
      <c r="E162" s="694" t="s">
        <v>64</v>
      </c>
      <c r="F162" s="694"/>
      <c r="G162" s="694"/>
      <c r="H162" s="694"/>
      <c r="I162" s="694"/>
      <c r="J162" s="694"/>
      <c r="K162" s="662" t="s">
        <v>5</v>
      </c>
    </row>
    <row r="163" spans="2:11" hidden="1">
      <c r="B163" s="661" t="s">
        <v>208</v>
      </c>
      <c r="C163" s="660" t="s">
        <v>224</v>
      </c>
      <c r="D163" s="660" t="s">
        <v>64</v>
      </c>
      <c r="E163" s="694" t="s">
        <v>64</v>
      </c>
      <c r="F163" s="694" t="s">
        <v>64</v>
      </c>
      <c r="G163" s="694" t="s">
        <v>64</v>
      </c>
      <c r="H163" s="694"/>
      <c r="I163" s="694"/>
      <c r="J163" s="694"/>
      <c r="K163" s="662" t="s">
        <v>5</v>
      </c>
    </row>
    <row r="164" spans="2:11" hidden="1">
      <c r="B164" s="661" t="s">
        <v>208</v>
      </c>
      <c r="C164" s="660" t="s">
        <v>225</v>
      </c>
      <c r="D164" s="660" t="s">
        <v>64</v>
      </c>
      <c r="E164" s="694"/>
      <c r="F164" s="694" t="s">
        <v>64</v>
      </c>
      <c r="G164" s="694" t="s">
        <v>64</v>
      </c>
      <c r="H164" s="694"/>
      <c r="I164" s="694"/>
      <c r="J164" s="694"/>
      <c r="K164" s="672" t="s">
        <v>5</v>
      </c>
    </row>
    <row r="165" spans="2:11" hidden="1">
      <c r="B165" s="661" t="s">
        <v>208</v>
      </c>
      <c r="C165" s="660" t="s">
        <v>226</v>
      </c>
      <c r="D165" s="660" t="s">
        <v>64</v>
      </c>
      <c r="E165" s="694"/>
      <c r="F165" s="694" t="s">
        <v>64</v>
      </c>
      <c r="G165" s="694" t="s">
        <v>64</v>
      </c>
      <c r="H165" s="694"/>
      <c r="I165" s="694"/>
      <c r="J165" s="694"/>
      <c r="K165" s="662" t="s">
        <v>5</v>
      </c>
    </row>
    <row r="166" spans="2:11" hidden="1">
      <c r="B166" s="661" t="s">
        <v>227</v>
      </c>
      <c r="C166" s="660" t="s">
        <v>63</v>
      </c>
      <c r="D166" s="660"/>
      <c r="E166" s="694" t="s">
        <v>64</v>
      </c>
      <c r="F166" s="694" t="s">
        <v>64</v>
      </c>
      <c r="G166" s="694" t="s">
        <v>64</v>
      </c>
      <c r="H166" s="694"/>
      <c r="I166" s="694"/>
      <c r="J166" s="694"/>
      <c r="K166" s="662" t="s">
        <v>5</v>
      </c>
    </row>
    <row r="167" spans="2:11" hidden="1">
      <c r="B167" s="661" t="s">
        <v>227</v>
      </c>
      <c r="C167" s="660" t="s">
        <v>228</v>
      </c>
      <c r="D167" s="660"/>
      <c r="E167" s="694" t="s">
        <v>64</v>
      </c>
      <c r="F167" s="694" t="s">
        <v>64</v>
      </c>
      <c r="G167" s="694" t="s">
        <v>64</v>
      </c>
      <c r="H167" s="694"/>
      <c r="I167" s="694"/>
      <c r="J167" s="694"/>
      <c r="K167" s="662" t="s">
        <v>5</v>
      </c>
    </row>
    <row r="168" spans="2:11" hidden="1">
      <c r="B168" s="661" t="s">
        <v>227</v>
      </c>
      <c r="C168" s="660" t="s">
        <v>229</v>
      </c>
      <c r="D168" s="660"/>
      <c r="E168" s="694"/>
      <c r="F168" s="694" t="s">
        <v>64</v>
      </c>
      <c r="G168" s="694" t="s">
        <v>64</v>
      </c>
      <c r="H168" s="694"/>
      <c r="I168" s="694"/>
      <c r="J168" s="694"/>
      <c r="K168" s="662" t="s">
        <v>5</v>
      </c>
    </row>
    <row r="169" spans="2:11" hidden="1">
      <c r="B169" s="663" t="s">
        <v>227</v>
      </c>
      <c r="C169" s="664" t="s">
        <v>230</v>
      </c>
      <c r="D169" s="664"/>
      <c r="E169" s="696"/>
      <c r="F169" s="696" t="s">
        <v>64</v>
      </c>
      <c r="G169" s="696" t="s">
        <v>64</v>
      </c>
      <c r="H169" s="696"/>
      <c r="I169" s="696"/>
      <c r="J169" s="696"/>
      <c r="K169" s="662" t="s">
        <v>5</v>
      </c>
    </row>
  </sheetData>
  <autoFilter ref="B2:K169">
    <filterColumn colId="1">
      <filters>
        <filter val="GOVERNING_LAW"/>
      </filters>
    </filterColumn>
  </autoFilter>
  <pageMargins left="0.7" right="0.7" top="0.75" bottom="0.75" header="0.3" footer="0.3"/>
  <pageSetup orientation="portrait"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AUX!$E$2:$E$5</xm:f>
          </x14:formula1>
          <xm:sqref>K3:K169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F26"/>
  <sheetViews>
    <sheetView zoomScale="85" zoomScaleNormal="85" workbookViewId="0"/>
  </sheetViews>
  <sheetFormatPr defaultRowHeight="14.5"/>
  <cols>
    <col min="1" max="1" width="32.81640625" customWidth="1"/>
    <col min="2" max="2" width="10.54296875" bestFit="1" customWidth="1"/>
    <col min="3" max="3" width="42.81640625" bestFit="1" customWidth="1"/>
    <col min="4" max="6" width="32.81640625" customWidth="1"/>
  </cols>
  <sheetData>
    <row r="1" spans="1:6" ht="15" customHeight="1">
      <c r="A1" s="775" t="s">
        <v>231</v>
      </c>
      <c r="B1" s="776"/>
      <c r="C1" s="776"/>
      <c r="D1" s="776"/>
      <c r="E1" s="776"/>
      <c r="F1" s="777"/>
    </row>
    <row r="2" spans="1:6" ht="14.5" customHeight="1">
      <c r="A2" s="778"/>
      <c r="B2" s="779"/>
      <c r="C2" s="779"/>
      <c r="D2" s="779"/>
      <c r="E2" s="779"/>
      <c r="F2" s="780"/>
    </row>
    <row r="3" spans="1:6" ht="14.5" customHeight="1">
      <c r="A3" s="778"/>
      <c r="B3" s="779"/>
      <c r="C3" s="779"/>
      <c r="D3" s="779"/>
      <c r="E3" s="779"/>
      <c r="F3" s="780"/>
    </row>
    <row r="4" spans="1:6" ht="14.5" customHeight="1">
      <c r="A4" s="778"/>
      <c r="B4" s="779"/>
      <c r="C4" s="779"/>
      <c r="D4" s="779"/>
      <c r="E4" s="779"/>
      <c r="F4" s="780"/>
    </row>
    <row r="5" spans="1:6" ht="14.5" customHeight="1">
      <c r="A5" s="778"/>
      <c r="B5" s="779"/>
      <c r="C5" s="779"/>
      <c r="D5" s="779"/>
      <c r="E5" s="779"/>
      <c r="F5" s="780"/>
    </row>
    <row r="6" spans="1:6" ht="14.5" customHeight="1">
      <c r="A6" s="778"/>
      <c r="B6" s="779"/>
      <c r="C6" s="779"/>
      <c r="D6" s="779"/>
      <c r="E6" s="779"/>
      <c r="F6" s="780"/>
    </row>
    <row r="7" spans="1:6" ht="14.5" customHeight="1">
      <c r="A7" s="778"/>
      <c r="B7" s="779"/>
      <c r="C7" s="779"/>
      <c r="D7" s="779"/>
      <c r="E7" s="779"/>
      <c r="F7" s="780"/>
    </row>
    <row r="8" spans="1:6" ht="14.5" customHeight="1">
      <c r="A8" s="778"/>
      <c r="B8" s="779"/>
      <c r="C8" s="779"/>
      <c r="D8" s="779"/>
      <c r="E8" s="779"/>
      <c r="F8" s="780"/>
    </row>
    <row r="9" spans="1:6" ht="14.5" customHeight="1">
      <c r="A9" s="778"/>
      <c r="B9" s="779"/>
      <c r="C9" s="779"/>
      <c r="D9" s="779"/>
      <c r="E9" s="779"/>
      <c r="F9" s="780"/>
    </row>
    <row r="10" spans="1:6" ht="14.5" customHeight="1">
      <c r="A10" s="778"/>
      <c r="B10" s="779"/>
      <c r="C10" s="779"/>
      <c r="D10" s="779"/>
      <c r="E10" s="779"/>
      <c r="F10" s="780"/>
    </row>
    <row r="11" spans="1:6" ht="14.5" customHeight="1">
      <c r="A11" s="778"/>
      <c r="B11" s="779"/>
      <c r="C11" s="779"/>
      <c r="D11" s="779"/>
      <c r="E11" s="779"/>
      <c r="F11" s="780"/>
    </row>
    <row r="12" spans="1:6" ht="14.5" customHeight="1">
      <c r="A12" s="778"/>
      <c r="B12" s="779"/>
      <c r="C12" s="779"/>
      <c r="D12" s="779"/>
      <c r="E12" s="779"/>
      <c r="F12" s="780"/>
    </row>
    <row r="13" spans="1:6" ht="14.5" customHeight="1">
      <c r="A13" s="778"/>
      <c r="B13" s="779"/>
      <c r="C13" s="779"/>
      <c r="D13" s="779"/>
      <c r="E13" s="779"/>
      <c r="F13" s="780"/>
    </row>
    <row r="14" spans="1:6" ht="14.5" customHeight="1">
      <c r="A14" s="778"/>
      <c r="B14" s="779"/>
      <c r="C14" s="779"/>
      <c r="D14" s="779"/>
      <c r="E14" s="779"/>
      <c r="F14" s="780"/>
    </row>
    <row r="15" spans="1:6" ht="14.5" customHeight="1">
      <c r="A15" s="778"/>
      <c r="B15" s="779"/>
      <c r="C15" s="779"/>
      <c r="D15" s="779"/>
      <c r="E15" s="779"/>
      <c r="F15" s="780"/>
    </row>
    <row r="16" spans="1:6" ht="14.5" customHeight="1">
      <c r="A16" s="778"/>
      <c r="B16" s="779"/>
      <c r="C16" s="779"/>
      <c r="D16" s="779"/>
      <c r="E16" s="779"/>
      <c r="F16" s="780"/>
    </row>
    <row r="17" spans="1:6" ht="14.5" customHeight="1">
      <c r="A17" s="778"/>
      <c r="B17" s="779"/>
      <c r="C17" s="779"/>
      <c r="D17" s="779"/>
      <c r="E17" s="779"/>
      <c r="F17" s="780"/>
    </row>
    <row r="18" spans="1:6" ht="14.5" customHeight="1">
      <c r="A18" s="778"/>
      <c r="B18" s="779"/>
      <c r="C18" s="779"/>
      <c r="D18" s="779"/>
      <c r="E18" s="779"/>
      <c r="F18" s="780"/>
    </row>
    <row r="19" spans="1:6" ht="14.5" customHeight="1">
      <c r="A19" s="778"/>
      <c r="B19" s="779"/>
      <c r="C19" s="779"/>
      <c r="D19" s="779"/>
      <c r="E19" s="779"/>
      <c r="F19" s="780"/>
    </row>
    <row r="20" spans="1:6" ht="14.5" customHeight="1">
      <c r="A20" s="778"/>
      <c r="B20" s="779"/>
      <c r="C20" s="779"/>
      <c r="D20" s="779"/>
      <c r="E20" s="779"/>
      <c r="F20" s="780"/>
    </row>
    <row r="21" spans="1:6" ht="14.5" customHeight="1">
      <c r="A21" s="778"/>
      <c r="B21" s="779"/>
      <c r="C21" s="779"/>
      <c r="D21" s="779"/>
      <c r="E21" s="779"/>
      <c r="F21" s="780"/>
    </row>
    <row r="22" spans="1:6" ht="14.5" customHeight="1">
      <c r="A22" s="778"/>
      <c r="B22" s="779"/>
      <c r="C22" s="779"/>
      <c r="D22" s="779"/>
      <c r="E22" s="779"/>
      <c r="F22" s="780"/>
    </row>
    <row r="23" spans="1:6">
      <c r="A23" s="778"/>
      <c r="B23" s="779"/>
      <c r="C23" s="779"/>
      <c r="D23" s="779"/>
      <c r="E23" s="779"/>
      <c r="F23" s="780"/>
    </row>
    <row r="24" spans="1:6" ht="14.5" customHeight="1">
      <c r="A24" s="778"/>
      <c r="B24" s="779"/>
      <c r="C24" s="779"/>
      <c r="D24" s="779"/>
      <c r="E24" s="779"/>
      <c r="F24" s="780"/>
    </row>
    <row r="25" spans="1:6" ht="14.5" customHeight="1">
      <c r="A25" s="778"/>
      <c r="B25" s="779"/>
      <c r="C25" s="779"/>
      <c r="D25" s="779"/>
      <c r="E25" s="779"/>
      <c r="F25" s="780"/>
    </row>
    <row r="26" spans="1:6" ht="14.5" customHeight="1">
      <c r="A26" s="781"/>
      <c r="B26" s="782"/>
      <c r="C26" s="782"/>
      <c r="D26" s="782"/>
      <c r="E26" s="782"/>
      <c r="F26" s="783"/>
    </row>
  </sheetData>
  <mergeCells count="1">
    <mergeCell ref="A1:F26"/>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2"/>
  <sheetViews>
    <sheetView zoomScaleNormal="100" workbookViewId="0"/>
  </sheetViews>
  <sheetFormatPr defaultRowHeight="14.5"/>
  <cols>
    <col min="1" max="1" width="167.81640625" customWidth="1"/>
  </cols>
  <sheetData>
    <row r="1" spans="1:1" ht="207.75" customHeight="1" thickBot="1">
      <c r="A1" s="50" t="s">
        <v>232</v>
      </c>
    </row>
    <row r="2" spans="1:1" ht="164" hidden="1" thickBot="1">
      <c r="A2" s="1" t="s">
        <v>233</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filterMode="1"/>
  <dimension ref="A1:AK177"/>
  <sheetViews>
    <sheetView zoomScale="70" zoomScaleNormal="70" workbookViewId="0">
      <pane xSplit="6" ySplit="2" topLeftCell="K3" activePane="bottomRight" state="frozen"/>
      <selection pane="topRight" activeCell="G1" sqref="G1"/>
      <selection pane="bottomLeft" activeCell="A3" sqref="A3"/>
      <selection pane="bottomRight" activeCell="M2" sqref="M2"/>
    </sheetView>
  </sheetViews>
  <sheetFormatPr defaultColWidth="8.7265625" defaultRowHeight="15" customHeight="1"/>
  <cols>
    <col min="1" max="1" width="5.54296875" customWidth="1"/>
    <col min="2" max="2" width="13.453125" customWidth="1"/>
    <col min="3" max="3" width="24.453125" bestFit="1" customWidth="1"/>
    <col min="4" max="4" width="16.26953125" customWidth="1"/>
    <col min="5" max="5" width="25.54296875" style="7" customWidth="1"/>
    <col min="6" max="6" width="78.81640625" style="4" hidden="1" customWidth="1"/>
    <col min="7" max="7" width="2" style="86" customWidth="1"/>
    <col min="8" max="8" width="37.26953125" style="4" customWidth="1"/>
    <col min="9" max="9" width="23.81640625" style="4" bestFit="1" customWidth="1"/>
    <col min="10" max="10" width="36.1796875" style="4" customWidth="1"/>
    <col min="11" max="11" width="2.26953125" style="86" customWidth="1"/>
    <col min="12" max="12" width="18.54296875" style="86" bestFit="1" customWidth="1"/>
    <col min="13" max="13" width="26.81640625" style="86" bestFit="1" customWidth="1"/>
    <col min="14" max="14" width="51" style="4" customWidth="1"/>
    <col min="15" max="16" width="36.453125" style="8" customWidth="1"/>
    <col min="17" max="17" width="51.54296875" style="4" hidden="1" customWidth="1"/>
    <col min="18" max="18" width="37.54296875" style="4" hidden="1" customWidth="1"/>
    <col min="19" max="19" width="2.26953125" style="4" customWidth="1"/>
    <col min="20" max="20" width="33.81640625" style="4" hidden="1" customWidth="1"/>
    <col min="21" max="21" width="27.54296875" style="4" hidden="1" customWidth="1"/>
    <col min="22" max="22" width="35.26953125" hidden="1" customWidth="1"/>
    <col min="23" max="23" width="75.26953125" style="4" hidden="1" customWidth="1"/>
    <col min="24" max="24" width="52.453125" style="4" hidden="1" customWidth="1"/>
    <col min="25" max="25" width="4.1796875" style="152" hidden="1" customWidth="1"/>
    <col min="26" max="26" width="34.1796875" style="49" hidden="1" customWidth="1"/>
    <col min="27" max="29" width="0" style="49" hidden="1" customWidth="1"/>
    <col min="30" max="34" width="0" hidden="1" customWidth="1"/>
  </cols>
  <sheetData>
    <row r="1" spans="1:26" ht="19" customHeight="1">
      <c r="A1" s="874" t="s">
        <v>234</v>
      </c>
      <c r="B1" s="875"/>
      <c r="C1" s="875"/>
      <c r="D1" s="875"/>
      <c r="E1" s="876"/>
      <c r="F1" s="84"/>
      <c r="G1" s="85"/>
      <c r="H1" s="877" t="s">
        <v>235</v>
      </c>
      <c r="I1" s="878"/>
      <c r="J1" s="879"/>
      <c r="K1" s="85"/>
      <c r="L1" s="869" t="s">
        <v>236</v>
      </c>
      <c r="M1" s="870"/>
      <c r="N1" s="870"/>
      <c r="O1" s="870"/>
      <c r="P1" s="870"/>
      <c r="Q1" s="871"/>
      <c r="R1" s="317"/>
      <c r="S1" s="154"/>
      <c r="T1" s="847" t="s">
        <v>237</v>
      </c>
      <c r="U1" s="848"/>
      <c r="V1" s="848"/>
      <c r="W1" s="848"/>
      <c r="X1" s="849"/>
      <c r="Y1" s="153"/>
      <c r="Z1" s="150"/>
    </row>
    <row r="2" spans="1:26" ht="41.25" customHeight="1">
      <c r="A2" s="91" t="s">
        <v>238</v>
      </c>
      <c r="B2" s="87" t="s">
        <v>239</v>
      </c>
      <c r="C2" s="87" t="s">
        <v>240</v>
      </c>
      <c r="D2" s="87" t="s">
        <v>241</v>
      </c>
      <c r="E2" s="92" t="s">
        <v>242</v>
      </c>
      <c r="F2" s="12" t="s">
        <v>243</v>
      </c>
      <c r="G2" s="35"/>
      <c r="H2" s="107" t="s">
        <v>244</v>
      </c>
      <c r="I2" s="100" t="s">
        <v>245</v>
      </c>
      <c r="J2" s="108" t="s">
        <v>246</v>
      </c>
      <c r="K2" s="35"/>
      <c r="L2" s="333" t="s">
        <v>247</v>
      </c>
      <c r="M2" s="334" t="s">
        <v>248</v>
      </c>
      <c r="N2" s="121" t="s">
        <v>249</v>
      </c>
      <c r="O2" s="121" t="s">
        <v>1</v>
      </c>
      <c r="P2" s="121" t="s">
        <v>250</v>
      </c>
      <c r="Q2" s="558" t="s">
        <v>251</v>
      </c>
      <c r="R2" s="332" t="s">
        <v>252</v>
      </c>
      <c r="S2" s="9"/>
      <c r="T2" s="138" t="s">
        <v>253</v>
      </c>
      <c r="U2" s="130" t="s">
        <v>254</v>
      </c>
      <c r="V2" s="130" t="s">
        <v>255</v>
      </c>
      <c r="W2" s="130" t="s">
        <v>256</v>
      </c>
      <c r="X2" s="139" t="s">
        <v>257</v>
      </c>
      <c r="Y2" s="35"/>
      <c r="Z2" s="151" t="s">
        <v>258</v>
      </c>
    </row>
    <row r="3" spans="1:26" ht="14.5" hidden="1">
      <c r="A3" s="836" t="s">
        <v>259</v>
      </c>
      <c r="B3" s="835" t="s">
        <v>260</v>
      </c>
      <c r="C3" s="835" t="s">
        <v>261</v>
      </c>
      <c r="D3" s="835" t="s">
        <v>262</v>
      </c>
      <c r="E3" s="815" t="s">
        <v>263</v>
      </c>
      <c r="F3" s="837" t="s">
        <v>264</v>
      </c>
      <c r="G3" s="11"/>
      <c r="H3" s="821" t="s">
        <v>265</v>
      </c>
      <c r="I3" s="827" t="s">
        <v>266</v>
      </c>
      <c r="J3" s="830" t="s">
        <v>267</v>
      </c>
      <c r="K3" s="11"/>
      <c r="L3" s="813" t="s">
        <v>268</v>
      </c>
      <c r="M3" s="784" t="s">
        <v>269</v>
      </c>
      <c r="N3" s="824" t="s">
        <v>270</v>
      </c>
      <c r="O3" s="784" t="s">
        <v>5</v>
      </c>
      <c r="P3" s="784" t="str">
        <f>'PDS - Desenvolvimento'!$K$3</f>
        <v>Concluído</v>
      </c>
      <c r="Q3" s="802">
        <v>45608</v>
      </c>
      <c r="R3" s="811" t="s">
        <v>5</v>
      </c>
      <c r="S3" s="10"/>
      <c r="T3" s="798" t="s">
        <v>271</v>
      </c>
      <c r="U3" s="796" t="s">
        <v>272</v>
      </c>
      <c r="V3" s="133" t="s">
        <v>273</v>
      </c>
      <c r="W3" s="793" t="s">
        <v>274</v>
      </c>
      <c r="X3" s="791"/>
      <c r="Y3" s="11"/>
      <c r="Z3" s="788" t="s">
        <v>275</v>
      </c>
    </row>
    <row r="4" spans="1:26" ht="14.5" hidden="1">
      <c r="A4" s="836"/>
      <c r="B4" s="835"/>
      <c r="C4" s="835"/>
      <c r="D4" s="835"/>
      <c r="E4" s="815"/>
      <c r="F4" s="816"/>
      <c r="G4" s="11"/>
      <c r="H4" s="821"/>
      <c r="I4" s="827"/>
      <c r="J4" s="830"/>
      <c r="K4" s="11"/>
      <c r="L4" s="813"/>
      <c r="M4" s="784"/>
      <c r="N4" s="824"/>
      <c r="O4" s="784"/>
      <c r="P4" s="784"/>
      <c r="Q4" s="803"/>
      <c r="R4" s="811"/>
      <c r="S4" s="10"/>
      <c r="T4" s="798"/>
      <c r="U4" s="796"/>
      <c r="V4" s="133" t="s">
        <v>276</v>
      </c>
      <c r="W4" s="793"/>
      <c r="X4" s="791"/>
      <c r="Y4" s="11"/>
      <c r="Z4" s="789"/>
    </row>
    <row r="5" spans="1:26" ht="14.5" hidden="1">
      <c r="A5" s="836"/>
      <c r="B5" s="835"/>
      <c r="C5" s="835"/>
      <c r="D5" s="835"/>
      <c r="E5" s="815"/>
      <c r="F5" s="816"/>
      <c r="G5" s="11"/>
      <c r="H5" s="821"/>
      <c r="I5" s="827"/>
      <c r="J5" s="830"/>
      <c r="K5" s="11"/>
      <c r="L5" s="813"/>
      <c r="M5" s="784"/>
      <c r="N5" s="824"/>
      <c r="O5" s="784"/>
      <c r="P5" s="784"/>
      <c r="Q5" s="803"/>
      <c r="R5" s="811"/>
      <c r="S5" s="10"/>
      <c r="T5" s="798"/>
      <c r="U5" s="796"/>
      <c r="V5" s="133" t="s">
        <v>277</v>
      </c>
      <c r="W5" s="793"/>
      <c r="X5" s="791"/>
      <c r="Y5" s="11"/>
      <c r="Z5" s="789"/>
    </row>
    <row r="6" spans="1:26" ht="14.5" hidden="1">
      <c r="A6" s="836"/>
      <c r="B6" s="835"/>
      <c r="C6" s="835"/>
      <c r="D6" s="835"/>
      <c r="E6" s="815"/>
      <c r="F6" s="816"/>
      <c r="G6" s="11"/>
      <c r="H6" s="821"/>
      <c r="I6" s="827"/>
      <c r="J6" s="830"/>
      <c r="K6" s="11"/>
      <c r="L6" s="813"/>
      <c r="M6" s="784"/>
      <c r="N6" s="824"/>
      <c r="O6" s="784"/>
      <c r="P6" s="784"/>
      <c r="Q6" s="803"/>
      <c r="R6" s="811"/>
      <c r="S6" s="10"/>
      <c r="T6" s="798"/>
      <c r="U6" s="796"/>
      <c r="V6" s="133" t="s">
        <v>278</v>
      </c>
      <c r="W6" s="793"/>
      <c r="X6" s="791"/>
      <c r="Y6" s="11"/>
      <c r="Z6" s="789"/>
    </row>
    <row r="7" spans="1:26" ht="72.5" hidden="1">
      <c r="A7" s="95" t="s">
        <v>279</v>
      </c>
      <c r="B7" s="89" t="s">
        <v>260</v>
      </c>
      <c r="C7" s="89" t="s">
        <v>280</v>
      </c>
      <c r="D7" s="89" t="s">
        <v>262</v>
      </c>
      <c r="E7" s="96" t="s">
        <v>281</v>
      </c>
      <c r="F7" s="13" t="s">
        <v>282</v>
      </c>
      <c r="G7" s="11"/>
      <c r="H7" s="111" t="s">
        <v>283</v>
      </c>
      <c r="I7" s="104" t="s">
        <v>50</v>
      </c>
      <c r="J7" s="112" t="s">
        <v>50</v>
      </c>
      <c r="K7" s="11"/>
      <c r="L7" s="111" t="s">
        <v>284</v>
      </c>
      <c r="M7" s="103" t="s">
        <v>285</v>
      </c>
      <c r="N7" s="106" t="s">
        <v>286</v>
      </c>
      <c r="O7" s="103" t="s">
        <v>5</v>
      </c>
      <c r="P7" s="103" t="str">
        <f>'PDS - Desenvolvimento'!$K$77</f>
        <v>Concluído</v>
      </c>
      <c r="Q7" s="464">
        <v>45608</v>
      </c>
      <c r="R7" s="321" t="s">
        <v>287</v>
      </c>
      <c r="S7" s="11"/>
      <c r="T7" s="142" t="s">
        <v>271</v>
      </c>
      <c r="U7" s="134" t="s">
        <v>272</v>
      </c>
      <c r="V7" s="89" t="s">
        <v>288</v>
      </c>
      <c r="W7" s="90" t="s">
        <v>289</v>
      </c>
      <c r="X7" s="96"/>
      <c r="Y7" s="11"/>
      <c r="Z7" s="83" t="s">
        <v>290</v>
      </c>
    </row>
    <row r="8" spans="1:26" ht="14.5" hidden="1" customHeight="1">
      <c r="A8" s="836" t="s">
        <v>291</v>
      </c>
      <c r="B8" s="835" t="s">
        <v>292</v>
      </c>
      <c r="C8" s="835" t="s">
        <v>293</v>
      </c>
      <c r="D8" s="835" t="s">
        <v>294</v>
      </c>
      <c r="E8" s="815" t="s">
        <v>295</v>
      </c>
      <c r="F8" s="816" t="s">
        <v>296</v>
      </c>
      <c r="G8" s="11"/>
      <c r="H8" s="872" t="s">
        <v>50</v>
      </c>
      <c r="I8" s="856" t="s">
        <v>50</v>
      </c>
      <c r="J8" s="858" t="s">
        <v>50</v>
      </c>
      <c r="K8" s="11"/>
      <c r="L8" s="813" t="s">
        <v>284</v>
      </c>
      <c r="M8" s="784" t="s">
        <v>297</v>
      </c>
      <c r="N8" s="863" t="s">
        <v>298</v>
      </c>
      <c r="O8" s="784" t="s">
        <v>5</v>
      </c>
      <c r="P8" s="784" t="str">
        <f>'PDS - Desenvolvimento'!$K$81</f>
        <v>Concluído</v>
      </c>
      <c r="Q8" s="804">
        <v>45674</v>
      </c>
      <c r="R8" s="850" t="s">
        <v>299</v>
      </c>
      <c r="S8" s="10"/>
      <c r="T8" s="798" t="s">
        <v>300</v>
      </c>
      <c r="U8" s="796" t="s">
        <v>301</v>
      </c>
      <c r="V8" s="133" t="s">
        <v>302</v>
      </c>
      <c r="W8" s="793" t="s">
        <v>303</v>
      </c>
      <c r="X8" s="855"/>
      <c r="Y8" s="11"/>
      <c r="Z8" s="789"/>
    </row>
    <row r="9" spans="1:26" ht="14.5" hidden="1">
      <c r="A9" s="836"/>
      <c r="B9" s="835"/>
      <c r="C9" s="835"/>
      <c r="D9" s="835"/>
      <c r="E9" s="815"/>
      <c r="F9" s="816"/>
      <c r="G9" s="11"/>
      <c r="H9" s="821"/>
      <c r="I9" s="857"/>
      <c r="J9" s="859"/>
      <c r="K9" s="11"/>
      <c r="L9" s="813"/>
      <c r="M9" s="784"/>
      <c r="N9" s="863"/>
      <c r="O9" s="784"/>
      <c r="P9" s="784"/>
      <c r="Q9" s="805"/>
      <c r="R9" s="850"/>
      <c r="S9" s="10"/>
      <c r="T9" s="798"/>
      <c r="U9" s="796"/>
      <c r="V9" s="133" t="s">
        <v>304</v>
      </c>
      <c r="W9" s="793"/>
      <c r="X9" s="855"/>
      <c r="Y9" s="11"/>
      <c r="Z9" s="789"/>
    </row>
    <row r="10" spans="1:26" ht="215.25" hidden="1" customHeight="1">
      <c r="A10" s="836"/>
      <c r="B10" s="835"/>
      <c r="C10" s="835"/>
      <c r="D10" s="835"/>
      <c r="E10" s="815"/>
      <c r="F10" s="816"/>
      <c r="G10" s="11"/>
      <c r="H10" s="821"/>
      <c r="I10" s="857"/>
      <c r="J10" s="859"/>
      <c r="K10" s="11"/>
      <c r="L10" s="813"/>
      <c r="M10" s="784"/>
      <c r="N10" s="863"/>
      <c r="O10" s="784"/>
      <c r="P10" s="784"/>
      <c r="Q10" s="805"/>
      <c r="R10" s="850"/>
      <c r="S10" s="10"/>
      <c r="T10" s="140" t="s">
        <v>305</v>
      </c>
      <c r="U10" s="132" t="s">
        <v>306</v>
      </c>
      <c r="V10" s="133" t="s">
        <v>307</v>
      </c>
      <c r="W10" s="793"/>
      <c r="X10" s="855"/>
      <c r="Y10" s="11"/>
      <c r="Z10" s="789"/>
    </row>
    <row r="11" spans="1:26" ht="14.5" hidden="1" customHeight="1">
      <c r="A11" s="841" t="s">
        <v>308</v>
      </c>
      <c r="B11" s="842" t="s">
        <v>292</v>
      </c>
      <c r="C11" s="842" t="s">
        <v>309</v>
      </c>
      <c r="D11" s="842" t="s">
        <v>294</v>
      </c>
      <c r="E11" s="795" t="s">
        <v>310</v>
      </c>
      <c r="F11" s="819" t="s">
        <v>311</v>
      </c>
      <c r="G11" s="11"/>
      <c r="H11" s="817" t="s">
        <v>50</v>
      </c>
      <c r="I11" s="860" t="s">
        <v>50</v>
      </c>
      <c r="J11" s="861" t="s">
        <v>50</v>
      </c>
      <c r="K11" s="11"/>
      <c r="L11" s="873" t="s">
        <v>268</v>
      </c>
      <c r="M11" s="820" t="s">
        <v>312</v>
      </c>
      <c r="N11" s="864" t="s">
        <v>313</v>
      </c>
      <c r="O11" s="820" t="s">
        <v>5</v>
      </c>
      <c r="P11" s="880" t="str">
        <f>'PDS - Desenvolvimento'!$K$19</f>
        <v>Concluído</v>
      </c>
      <c r="Q11" s="806">
        <v>45665</v>
      </c>
      <c r="R11" s="851" t="s">
        <v>5</v>
      </c>
      <c r="S11" s="11"/>
      <c r="T11" s="852" t="s">
        <v>300</v>
      </c>
      <c r="U11" s="854" t="s">
        <v>314</v>
      </c>
      <c r="V11" s="137" t="s">
        <v>302</v>
      </c>
      <c r="W11" s="787" t="s">
        <v>315</v>
      </c>
      <c r="X11" s="853"/>
      <c r="Y11" s="11"/>
      <c r="Z11" s="789" t="s">
        <v>316</v>
      </c>
    </row>
    <row r="12" spans="1:26" ht="14.5" hidden="1">
      <c r="A12" s="841"/>
      <c r="B12" s="842"/>
      <c r="C12" s="842"/>
      <c r="D12" s="842"/>
      <c r="E12" s="795"/>
      <c r="F12" s="819"/>
      <c r="G12" s="11"/>
      <c r="H12" s="818"/>
      <c r="I12" s="785"/>
      <c r="J12" s="862"/>
      <c r="K12" s="11"/>
      <c r="L12" s="873"/>
      <c r="M12" s="820"/>
      <c r="N12" s="864"/>
      <c r="O12" s="820"/>
      <c r="P12" s="820"/>
      <c r="Q12" s="807"/>
      <c r="R12" s="851"/>
      <c r="S12" s="11"/>
      <c r="T12" s="852"/>
      <c r="U12" s="854"/>
      <c r="V12" s="137" t="s">
        <v>304</v>
      </c>
      <c r="W12" s="787"/>
      <c r="X12" s="853"/>
      <c r="Y12" s="11"/>
      <c r="Z12" s="789"/>
    </row>
    <row r="13" spans="1:26" ht="14.5" hidden="1">
      <c r="A13" s="841"/>
      <c r="B13" s="842"/>
      <c r="C13" s="842"/>
      <c r="D13" s="842"/>
      <c r="E13" s="795"/>
      <c r="F13" s="819"/>
      <c r="G13" s="11"/>
      <c r="H13" s="818"/>
      <c r="I13" s="785"/>
      <c r="J13" s="862"/>
      <c r="K13" s="11"/>
      <c r="L13" s="873"/>
      <c r="M13" s="820"/>
      <c r="N13" s="864"/>
      <c r="O13" s="820"/>
      <c r="P13" s="820"/>
      <c r="Q13" s="807"/>
      <c r="R13" s="851"/>
      <c r="S13" s="11"/>
      <c r="T13" s="852" t="s">
        <v>317</v>
      </c>
      <c r="U13" s="854" t="s">
        <v>272</v>
      </c>
      <c r="V13" s="137" t="s">
        <v>273</v>
      </c>
      <c r="W13" s="787"/>
      <c r="X13" s="853"/>
      <c r="Y13" s="11"/>
      <c r="Z13" s="789"/>
    </row>
    <row r="14" spans="1:26" ht="14.5" hidden="1">
      <c r="A14" s="841"/>
      <c r="B14" s="842"/>
      <c r="C14" s="842"/>
      <c r="D14" s="842"/>
      <c r="E14" s="795"/>
      <c r="F14" s="819"/>
      <c r="G14" s="11"/>
      <c r="H14" s="818"/>
      <c r="I14" s="785"/>
      <c r="J14" s="862"/>
      <c r="K14" s="11"/>
      <c r="L14" s="873"/>
      <c r="M14" s="820"/>
      <c r="N14" s="864"/>
      <c r="O14" s="820"/>
      <c r="P14" s="820"/>
      <c r="Q14" s="807"/>
      <c r="R14" s="851"/>
      <c r="S14" s="11"/>
      <c r="T14" s="852"/>
      <c r="U14" s="854"/>
      <c r="V14" s="137" t="s">
        <v>276</v>
      </c>
      <c r="W14" s="787"/>
      <c r="X14" s="853"/>
      <c r="Y14" s="11"/>
      <c r="Z14" s="789"/>
    </row>
    <row r="15" spans="1:26" ht="14.5" hidden="1">
      <c r="A15" s="841"/>
      <c r="B15" s="842"/>
      <c r="C15" s="842"/>
      <c r="D15" s="842"/>
      <c r="E15" s="795"/>
      <c r="F15" s="819"/>
      <c r="G15" s="11"/>
      <c r="H15" s="818"/>
      <c r="I15" s="785"/>
      <c r="J15" s="862"/>
      <c r="K15" s="11"/>
      <c r="L15" s="873"/>
      <c r="M15" s="820"/>
      <c r="N15" s="864"/>
      <c r="O15" s="820"/>
      <c r="P15" s="820"/>
      <c r="Q15" s="807"/>
      <c r="R15" s="851"/>
      <c r="S15" s="11"/>
      <c r="T15" s="852"/>
      <c r="U15" s="854"/>
      <c r="V15" s="137" t="s">
        <v>277</v>
      </c>
      <c r="W15" s="787"/>
      <c r="X15" s="853"/>
      <c r="Y15" s="11"/>
      <c r="Z15" s="789"/>
    </row>
    <row r="16" spans="1:26" ht="14.5" hidden="1">
      <c r="A16" s="841"/>
      <c r="B16" s="842"/>
      <c r="C16" s="842"/>
      <c r="D16" s="842"/>
      <c r="E16" s="795"/>
      <c r="F16" s="819"/>
      <c r="G16" s="11"/>
      <c r="H16" s="818"/>
      <c r="I16" s="785"/>
      <c r="J16" s="862"/>
      <c r="K16" s="11"/>
      <c r="L16" s="873"/>
      <c r="M16" s="820"/>
      <c r="N16" s="864"/>
      <c r="O16" s="820"/>
      <c r="P16" s="820"/>
      <c r="Q16" s="807"/>
      <c r="R16" s="851"/>
      <c r="S16" s="11"/>
      <c r="T16" s="852"/>
      <c r="U16" s="854"/>
      <c r="V16" s="137" t="s">
        <v>278</v>
      </c>
      <c r="W16" s="787"/>
      <c r="X16" s="853"/>
      <c r="Y16" s="11"/>
      <c r="Z16" s="789"/>
    </row>
    <row r="17" spans="1:37" ht="79.5" hidden="1" customHeight="1">
      <c r="A17" s="841"/>
      <c r="B17" s="842"/>
      <c r="C17" s="842"/>
      <c r="D17" s="842"/>
      <c r="E17" s="795"/>
      <c r="F17" s="819"/>
      <c r="G17" s="11"/>
      <c r="H17" s="818"/>
      <c r="I17" s="785"/>
      <c r="J17" s="862"/>
      <c r="K17" s="11"/>
      <c r="L17" s="873"/>
      <c r="M17" s="820"/>
      <c r="N17" s="864"/>
      <c r="O17" s="820"/>
      <c r="P17" s="820"/>
      <c r="Q17" s="807"/>
      <c r="R17" s="851"/>
      <c r="S17" s="11"/>
      <c r="T17" s="852"/>
      <c r="U17" s="854"/>
      <c r="V17" s="137" t="s">
        <v>318</v>
      </c>
      <c r="W17" s="787"/>
      <c r="X17" s="853"/>
      <c r="Y17" s="11"/>
      <c r="Z17" s="789"/>
    </row>
    <row r="18" spans="1:37" ht="14.5" hidden="1" customHeight="1">
      <c r="A18" s="836" t="s">
        <v>319</v>
      </c>
      <c r="B18" s="835" t="s">
        <v>320</v>
      </c>
      <c r="C18" s="835" t="s">
        <v>321</v>
      </c>
      <c r="D18" s="835" t="s">
        <v>322</v>
      </c>
      <c r="E18" s="815" t="s">
        <v>323</v>
      </c>
      <c r="F18" s="816" t="s">
        <v>324</v>
      </c>
      <c r="G18" s="11"/>
      <c r="H18" s="821" t="s">
        <v>325</v>
      </c>
      <c r="I18" s="827" t="s">
        <v>98</v>
      </c>
      <c r="J18" s="830" t="s">
        <v>326</v>
      </c>
      <c r="K18" s="11"/>
      <c r="L18" s="813" t="s">
        <v>268</v>
      </c>
      <c r="M18" s="784" t="s">
        <v>327</v>
      </c>
      <c r="N18" s="824" t="s">
        <v>328</v>
      </c>
      <c r="O18" s="784" t="s">
        <v>5</v>
      </c>
      <c r="P18" s="784" t="str">
        <f>'PDS - Desenvolvimento'!$K$36</f>
        <v>Concluído</v>
      </c>
      <c r="Q18" s="808">
        <v>45608</v>
      </c>
      <c r="R18" s="811" t="s">
        <v>5</v>
      </c>
      <c r="S18" s="10"/>
      <c r="T18" s="798" t="s">
        <v>305</v>
      </c>
      <c r="U18" s="796" t="s">
        <v>306</v>
      </c>
      <c r="V18" s="133" t="s">
        <v>329</v>
      </c>
      <c r="W18" s="793" t="s">
        <v>330</v>
      </c>
      <c r="X18" s="791" t="s">
        <v>331</v>
      </c>
      <c r="Y18" s="11"/>
      <c r="Z18" s="789" t="s">
        <v>332</v>
      </c>
    </row>
    <row r="19" spans="1:37" ht="14.5" hidden="1">
      <c r="A19" s="836"/>
      <c r="B19" s="835"/>
      <c r="C19" s="835"/>
      <c r="D19" s="835"/>
      <c r="E19" s="815"/>
      <c r="F19" s="816"/>
      <c r="G19" s="11"/>
      <c r="H19" s="821"/>
      <c r="I19" s="827"/>
      <c r="J19" s="830"/>
      <c r="K19" s="11"/>
      <c r="L19" s="813"/>
      <c r="M19" s="784"/>
      <c r="N19" s="824"/>
      <c r="O19" s="784"/>
      <c r="P19" s="784"/>
      <c r="Q19" s="809"/>
      <c r="R19" s="811"/>
      <c r="S19" s="10"/>
      <c r="T19" s="798"/>
      <c r="U19" s="796"/>
      <c r="V19" s="133" t="s">
        <v>333</v>
      </c>
      <c r="W19" s="793"/>
      <c r="X19" s="791"/>
      <c r="Y19" s="11"/>
      <c r="Z19" s="789"/>
    </row>
    <row r="20" spans="1:37" ht="14.5" hidden="1">
      <c r="A20" s="836"/>
      <c r="B20" s="835"/>
      <c r="C20" s="835"/>
      <c r="D20" s="835"/>
      <c r="E20" s="815"/>
      <c r="F20" s="816"/>
      <c r="G20" s="11"/>
      <c r="H20" s="821"/>
      <c r="I20" s="827"/>
      <c r="J20" s="830"/>
      <c r="K20" s="11"/>
      <c r="L20" s="813"/>
      <c r="M20" s="784"/>
      <c r="N20" s="824"/>
      <c r="O20" s="784"/>
      <c r="P20" s="784"/>
      <c r="Q20" s="810"/>
      <c r="R20" s="811"/>
      <c r="S20" s="10"/>
      <c r="T20" s="798"/>
      <c r="U20" s="796"/>
      <c r="V20" s="133" t="s">
        <v>334</v>
      </c>
      <c r="W20" s="793"/>
      <c r="X20" s="791"/>
      <c r="Y20" s="11"/>
      <c r="Z20" s="789"/>
    </row>
    <row r="21" spans="1:37" ht="14.5" hidden="1">
      <c r="A21" s="841" t="s">
        <v>335</v>
      </c>
      <c r="B21" s="842" t="s">
        <v>320</v>
      </c>
      <c r="C21" s="842" t="s">
        <v>336</v>
      </c>
      <c r="D21" s="842" t="s">
        <v>337</v>
      </c>
      <c r="E21" s="795" t="s">
        <v>338</v>
      </c>
      <c r="F21" s="819" t="s">
        <v>339</v>
      </c>
      <c r="G21" s="11"/>
      <c r="H21" s="818" t="s">
        <v>340</v>
      </c>
      <c r="I21" s="833" t="s">
        <v>341</v>
      </c>
      <c r="J21" s="845" t="s">
        <v>342</v>
      </c>
      <c r="K21" s="11"/>
      <c r="L21" s="818" t="s">
        <v>268</v>
      </c>
      <c r="M21" s="785" t="s">
        <v>343</v>
      </c>
      <c r="N21" s="833" t="s">
        <v>344</v>
      </c>
      <c r="O21" s="785" t="s">
        <v>5</v>
      </c>
      <c r="P21" s="785" t="str">
        <f>'PDS - Desenvolvimento'!$K$44</f>
        <v>Concluído</v>
      </c>
      <c r="Q21" s="865">
        <v>45608</v>
      </c>
      <c r="R21" s="832" t="s">
        <v>5</v>
      </c>
      <c r="S21" s="11"/>
      <c r="T21" s="801" t="s">
        <v>305</v>
      </c>
      <c r="U21" s="800" t="s">
        <v>306</v>
      </c>
      <c r="V21" s="89" t="s">
        <v>329</v>
      </c>
      <c r="W21" s="787" t="s">
        <v>345</v>
      </c>
      <c r="X21" s="795" t="s">
        <v>331</v>
      </c>
      <c r="Y21" s="11"/>
      <c r="Z21" s="789" t="s">
        <v>346</v>
      </c>
    </row>
    <row r="22" spans="1:37" ht="14.5" hidden="1">
      <c r="A22" s="841"/>
      <c r="B22" s="842"/>
      <c r="C22" s="842"/>
      <c r="D22" s="842"/>
      <c r="E22" s="795"/>
      <c r="F22" s="819"/>
      <c r="G22" s="11"/>
      <c r="H22" s="818"/>
      <c r="I22" s="833"/>
      <c r="J22" s="845"/>
      <c r="K22" s="11"/>
      <c r="L22" s="818"/>
      <c r="M22" s="785"/>
      <c r="N22" s="833"/>
      <c r="O22" s="785"/>
      <c r="P22" s="785"/>
      <c r="Q22" s="866"/>
      <c r="R22" s="832"/>
      <c r="S22" s="11"/>
      <c r="T22" s="801"/>
      <c r="U22" s="800"/>
      <c r="V22" s="89" t="s">
        <v>333</v>
      </c>
      <c r="W22" s="787"/>
      <c r="X22" s="795"/>
      <c r="Y22" s="11"/>
      <c r="Z22" s="789"/>
    </row>
    <row r="23" spans="1:37" ht="14.5" hidden="1">
      <c r="A23" s="841"/>
      <c r="B23" s="842"/>
      <c r="C23" s="842"/>
      <c r="D23" s="842"/>
      <c r="E23" s="795"/>
      <c r="F23" s="819"/>
      <c r="G23" s="11"/>
      <c r="H23" s="818"/>
      <c r="I23" s="833"/>
      <c r="J23" s="845"/>
      <c r="K23" s="11"/>
      <c r="L23" s="818"/>
      <c r="M23" s="785"/>
      <c r="N23" s="833"/>
      <c r="O23" s="785"/>
      <c r="P23" s="785"/>
      <c r="Q23" s="866"/>
      <c r="R23" s="832"/>
      <c r="S23" s="11"/>
      <c r="T23" s="801"/>
      <c r="U23" s="800"/>
      <c r="V23" s="89" t="s">
        <v>347</v>
      </c>
      <c r="W23" s="787"/>
      <c r="X23" s="795"/>
      <c r="Y23" s="11"/>
      <c r="Z23" s="789"/>
    </row>
    <row r="24" spans="1:37" ht="14.5" hidden="1">
      <c r="A24" s="841"/>
      <c r="B24" s="842"/>
      <c r="C24" s="842"/>
      <c r="D24" s="842"/>
      <c r="E24" s="795"/>
      <c r="F24" s="819"/>
      <c r="G24" s="11"/>
      <c r="H24" s="822"/>
      <c r="I24" s="834"/>
      <c r="J24" s="846"/>
      <c r="K24" s="11"/>
      <c r="L24" s="818"/>
      <c r="M24" s="785"/>
      <c r="N24" s="833"/>
      <c r="O24" s="785"/>
      <c r="P24" s="785"/>
      <c r="Q24" s="867"/>
      <c r="R24" s="832"/>
      <c r="S24" s="11"/>
      <c r="T24" s="142" t="s">
        <v>348</v>
      </c>
      <c r="U24" s="134" t="s">
        <v>272</v>
      </c>
      <c r="V24" s="89" t="s">
        <v>349</v>
      </c>
      <c r="W24" s="787"/>
      <c r="X24" s="795"/>
      <c r="Y24" s="11"/>
      <c r="Z24" s="789"/>
    </row>
    <row r="25" spans="1:37" ht="14.5">
      <c r="A25" s="836" t="s">
        <v>350</v>
      </c>
      <c r="B25" s="835" t="s">
        <v>320</v>
      </c>
      <c r="C25" s="835" t="s">
        <v>351</v>
      </c>
      <c r="D25" s="835" t="s">
        <v>337</v>
      </c>
      <c r="E25" s="815" t="s">
        <v>352</v>
      </c>
      <c r="F25" s="816" t="s">
        <v>353</v>
      </c>
      <c r="G25" s="11"/>
      <c r="H25" s="843" t="s">
        <v>354</v>
      </c>
      <c r="I25" s="826" t="s">
        <v>355</v>
      </c>
      <c r="J25" s="829" t="s">
        <v>356</v>
      </c>
      <c r="K25" s="11"/>
      <c r="L25" s="813" t="s">
        <v>268</v>
      </c>
      <c r="M25" s="784" t="s">
        <v>357</v>
      </c>
      <c r="N25" s="824" t="s">
        <v>358</v>
      </c>
      <c r="O25" s="784" t="s">
        <v>5</v>
      </c>
      <c r="P25" s="784" t="str">
        <f>'PDS - Desenvolvimento'!$K$43</f>
        <v>Concluído</v>
      </c>
      <c r="Q25" s="808">
        <v>45608</v>
      </c>
      <c r="R25" s="811" t="s">
        <v>5</v>
      </c>
      <c r="S25" s="10"/>
      <c r="T25" s="798" t="s">
        <v>359</v>
      </c>
      <c r="U25" s="796" t="s">
        <v>360</v>
      </c>
      <c r="V25" s="133" t="s">
        <v>361</v>
      </c>
      <c r="W25" s="793" t="s">
        <v>362</v>
      </c>
      <c r="X25" s="791" t="s">
        <v>331</v>
      </c>
      <c r="Y25" s="11"/>
      <c r="Z25" s="789" t="s">
        <v>363</v>
      </c>
    </row>
    <row r="26" spans="1:37" ht="14.5" hidden="1">
      <c r="A26" s="836"/>
      <c r="B26" s="835"/>
      <c r="C26" s="835"/>
      <c r="D26" s="835"/>
      <c r="E26" s="815"/>
      <c r="F26" s="816"/>
      <c r="G26" s="11"/>
      <c r="H26" s="821"/>
      <c r="I26" s="827"/>
      <c r="J26" s="830"/>
      <c r="K26" s="11"/>
      <c r="L26" s="813"/>
      <c r="M26" s="784"/>
      <c r="N26" s="824"/>
      <c r="O26" s="784"/>
      <c r="P26" s="784"/>
      <c r="Q26" s="809"/>
      <c r="R26" s="811"/>
      <c r="S26" s="10"/>
      <c r="T26" s="798"/>
      <c r="U26" s="796"/>
      <c r="V26" s="133" t="s">
        <v>364</v>
      </c>
      <c r="W26" s="793"/>
      <c r="X26" s="791"/>
      <c r="Y26" s="11"/>
      <c r="Z26" s="789"/>
    </row>
    <row r="27" spans="1:37" ht="14.5" hidden="1">
      <c r="A27" s="838"/>
      <c r="B27" s="839"/>
      <c r="C27" s="839"/>
      <c r="D27" s="839"/>
      <c r="E27" s="823"/>
      <c r="F27" s="840"/>
      <c r="G27" s="11"/>
      <c r="H27" s="844"/>
      <c r="I27" s="828"/>
      <c r="J27" s="831"/>
      <c r="K27" s="11"/>
      <c r="L27" s="814"/>
      <c r="M27" s="786"/>
      <c r="N27" s="825"/>
      <c r="O27" s="786"/>
      <c r="P27" s="786"/>
      <c r="Q27" s="868"/>
      <c r="R27" s="812"/>
      <c r="S27" s="155"/>
      <c r="T27" s="799"/>
      <c r="U27" s="797"/>
      <c r="V27" s="147" t="s">
        <v>365</v>
      </c>
      <c r="W27" s="794"/>
      <c r="X27" s="792"/>
      <c r="Y27" s="11"/>
      <c r="Z27" s="790"/>
    </row>
    <row r="28" spans="1:37" ht="14.5">
      <c r="L28" s="4"/>
      <c r="M28" s="4"/>
      <c r="O28" s="4"/>
      <c r="P28" s="4"/>
      <c r="V28" s="4"/>
      <c r="Y28" s="4"/>
      <c r="Z28" s="4"/>
      <c r="AA28" s="4"/>
      <c r="AB28" s="4"/>
      <c r="AC28" s="4"/>
      <c r="AD28" s="4"/>
      <c r="AE28" s="4"/>
      <c r="AF28" s="4"/>
      <c r="AG28" s="4"/>
      <c r="AH28" s="4"/>
      <c r="AI28" s="4"/>
      <c r="AJ28" s="4"/>
      <c r="AK28" s="4"/>
    </row>
    <row r="29" spans="1:37" ht="14.5">
      <c r="L29" s="4"/>
      <c r="M29" s="4"/>
      <c r="O29" s="4"/>
      <c r="P29" s="4"/>
      <c r="V29" s="4"/>
      <c r="Y29" s="4"/>
      <c r="Z29" s="4"/>
      <c r="AA29" s="4"/>
      <c r="AB29" s="4"/>
      <c r="AC29" s="4"/>
      <c r="AD29" s="4"/>
      <c r="AE29" s="4"/>
      <c r="AF29" s="4"/>
      <c r="AG29" s="4"/>
      <c r="AH29" s="4"/>
      <c r="AI29" s="4"/>
      <c r="AJ29" s="4"/>
      <c r="AK29" s="4"/>
    </row>
    <row r="30" spans="1:37" ht="14.5">
      <c r="L30" s="4"/>
      <c r="M30" s="4"/>
      <c r="O30" s="4"/>
      <c r="P30" s="4"/>
      <c r="V30" s="4"/>
      <c r="Y30" s="4"/>
      <c r="Z30" s="4"/>
      <c r="AA30" s="4"/>
      <c r="AB30" s="4"/>
      <c r="AC30" s="4"/>
      <c r="AD30" s="4"/>
      <c r="AE30" s="4"/>
      <c r="AF30" s="4"/>
      <c r="AG30" s="4"/>
      <c r="AH30" s="4"/>
      <c r="AI30" s="4"/>
      <c r="AJ30" s="4"/>
      <c r="AK30" s="4"/>
    </row>
    <row r="31" spans="1:37" ht="14.5">
      <c r="L31" s="4"/>
      <c r="M31" s="4"/>
      <c r="O31" s="4"/>
      <c r="P31" s="4"/>
      <c r="V31" s="4"/>
      <c r="Y31" s="4"/>
      <c r="Z31" s="4"/>
      <c r="AA31" s="4"/>
      <c r="AB31" s="4"/>
      <c r="AC31" s="4"/>
      <c r="AD31" s="4"/>
      <c r="AE31" s="4"/>
      <c r="AF31" s="4"/>
      <c r="AG31" s="4"/>
      <c r="AH31" s="4"/>
      <c r="AI31" s="4"/>
      <c r="AJ31" s="4"/>
      <c r="AK31" s="4"/>
    </row>
    <row r="32" spans="1:37" ht="14.5">
      <c r="L32" s="4"/>
      <c r="M32" s="4"/>
      <c r="O32" s="4"/>
      <c r="P32" s="4"/>
      <c r="V32" s="4"/>
      <c r="Y32" s="4"/>
      <c r="Z32" s="4"/>
      <c r="AA32" s="4"/>
      <c r="AB32" s="4"/>
      <c r="AC32" s="4"/>
      <c r="AD32" s="4"/>
      <c r="AE32" s="4"/>
      <c r="AF32" s="4"/>
      <c r="AG32" s="4"/>
      <c r="AH32" s="4"/>
      <c r="AI32" s="4"/>
      <c r="AJ32" s="4"/>
      <c r="AK32" s="4"/>
    </row>
    <row r="33" spans="12:37" ht="14.5">
      <c r="L33" s="4"/>
      <c r="M33" s="4"/>
      <c r="O33" s="4"/>
      <c r="P33" s="4"/>
      <c r="V33" s="4"/>
      <c r="Y33" s="4"/>
      <c r="Z33" s="4"/>
      <c r="AA33" s="4"/>
      <c r="AB33" s="4"/>
      <c r="AC33" s="4"/>
      <c r="AD33" s="4"/>
      <c r="AE33" s="4"/>
      <c r="AF33" s="4"/>
      <c r="AG33" s="4"/>
      <c r="AH33" s="4"/>
      <c r="AI33" s="4"/>
      <c r="AJ33" s="4"/>
      <c r="AK33" s="4"/>
    </row>
    <row r="34" spans="12:37" ht="14.5">
      <c r="L34" s="4"/>
      <c r="M34" s="4"/>
      <c r="O34" s="4"/>
      <c r="P34" s="4"/>
      <c r="V34" s="4"/>
      <c r="Y34" s="4"/>
      <c r="Z34" s="4"/>
      <c r="AA34" s="4"/>
      <c r="AB34" s="4"/>
      <c r="AC34" s="4"/>
      <c r="AD34" s="4"/>
      <c r="AE34" s="4"/>
      <c r="AF34" s="4"/>
      <c r="AG34" s="4"/>
      <c r="AH34" s="4"/>
      <c r="AI34" s="4"/>
      <c r="AJ34" s="4"/>
      <c r="AK34" s="4"/>
    </row>
    <row r="35" spans="12:37" ht="14.5">
      <c r="L35" s="4"/>
      <c r="M35" s="4"/>
      <c r="O35" s="4"/>
      <c r="P35" s="4"/>
      <c r="V35" s="4"/>
      <c r="Y35" s="4"/>
      <c r="Z35" s="4"/>
      <c r="AA35" s="4"/>
      <c r="AB35" s="4"/>
      <c r="AC35" s="4"/>
      <c r="AD35" s="4"/>
      <c r="AE35" s="4"/>
      <c r="AF35" s="4"/>
      <c r="AG35" s="4"/>
      <c r="AH35" s="4"/>
      <c r="AI35" s="4"/>
      <c r="AJ35" s="4"/>
      <c r="AK35" s="4"/>
    </row>
    <row r="36" spans="12:37" ht="14.5">
      <c r="L36" s="4"/>
      <c r="M36" s="4"/>
      <c r="O36" s="4"/>
      <c r="P36" s="4"/>
      <c r="V36" s="4"/>
      <c r="Y36" s="4"/>
      <c r="Z36" s="4"/>
      <c r="AA36" s="4"/>
      <c r="AB36" s="4"/>
      <c r="AC36" s="4"/>
      <c r="AD36" s="4"/>
      <c r="AE36" s="4"/>
      <c r="AF36" s="4"/>
      <c r="AG36" s="4"/>
      <c r="AH36" s="4"/>
      <c r="AI36" s="4"/>
      <c r="AJ36" s="4"/>
      <c r="AK36" s="4"/>
    </row>
    <row r="37" spans="12:37" ht="14.5">
      <c r="L37" s="4"/>
      <c r="M37" s="4"/>
      <c r="O37" s="4"/>
      <c r="P37" s="4"/>
      <c r="V37" s="4"/>
      <c r="Y37" s="4"/>
      <c r="Z37" s="4"/>
      <c r="AA37" s="4"/>
      <c r="AB37" s="4"/>
      <c r="AC37" s="4"/>
      <c r="AD37" s="4"/>
      <c r="AE37" s="4"/>
      <c r="AF37" s="4"/>
      <c r="AG37" s="4"/>
      <c r="AH37" s="4"/>
      <c r="AI37" s="4"/>
      <c r="AJ37" s="4"/>
      <c r="AK37" s="4"/>
    </row>
    <row r="38" spans="12:37" ht="14.5">
      <c r="L38" s="4"/>
      <c r="M38" s="4"/>
      <c r="O38" s="4"/>
      <c r="P38" s="4"/>
      <c r="V38" s="4"/>
      <c r="Y38" s="4"/>
      <c r="Z38" s="4"/>
      <c r="AA38" s="4"/>
      <c r="AB38" s="4"/>
      <c r="AC38" s="4"/>
      <c r="AD38" s="4"/>
      <c r="AE38" s="4"/>
      <c r="AF38" s="4"/>
      <c r="AG38" s="4"/>
      <c r="AH38" s="4"/>
      <c r="AI38" s="4"/>
      <c r="AJ38" s="4"/>
      <c r="AK38" s="4"/>
    </row>
    <row r="39" spans="12:37" ht="14.5">
      <c r="L39" s="4"/>
      <c r="M39" s="4"/>
      <c r="O39" s="4"/>
      <c r="P39" s="4"/>
      <c r="V39" s="4"/>
      <c r="Y39" s="4"/>
      <c r="Z39" s="4"/>
      <c r="AA39" s="4"/>
      <c r="AB39" s="4"/>
      <c r="AC39" s="4"/>
      <c r="AD39" s="4"/>
      <c r="AE39" s="4"/>
      <c r="AF39" s="4"/>
      <c r="AG39" s="4"/>
      <c r="AH39" s="4"/>
      <c r="AI39" s="4"/>
      <c r="AJ39" s="4"/>
      <c r="AK39" s="4"/>
    </row>
    <row r="40" spans="12:37" ht="14.5">
      <c r="L40" s="4"/>
      <c r="M40" s="4"/>
      <c r="O40" s="4"/>
      <c r="P40" s="4"/>
      <c r="V40" s="4"/>
      <c r="Y40" s="4"/>
      <c r="Z40" s="4"/>
      <c r="AA40" s="4"/>
      <c r="AB40" s="4"/>
      <c r="AC40" s="4"/>
      <c r="AD40" s="4"/>
      <c r="AE40" s="4"/>
      <c r="AF40" s="4"/>
      <c r="AG40" s="4"/>
      <c r="AH40" s="4"/>
      <c r="AI40" s="4"/>
      <c r="AJ40" s="4"/>
      <c r="AK40" s="4"/>
    </row>
    <row r="41" spans="12:37" ht="14.5">
      <c r="L41" s="4"/>
      <c r="M41" s="4"/>
      <c r="O41" s="4"/>
      <c r="P41" s="4"/>
      <c r="V41" s="4"/>
      <c r="Y41" s="4"/>
      <c r="Z41" s="4"/>
      <c r="AA41" s="4"/>
      <c r="AB41" s="4"/>
      <c r="AC41" s="4"/>
      <c r="AD41" s="4"/>
      <c r="AE41" s="4"/>
      <c r="AF41" s="4"/>
      <c r="AG41" s="4"/>
      <c r="AH41" s="4"/>
      <c r="AI41" s="4"/>
      <c r="AJ41" s="4"/>
      <c r="AK41" s="4"/>
    </row>
    <row r="42" spans="12:37" ht="14.5">
      <c r="L42" s="4"/>
      <c r="M42" s="4"/>
      <c r="O42" s="4"/>
      <c r="P42" s="4"/>
      <c r="V42" s="4"/>
      <c r="Y42" s="4"/>
      <c r="Z42" s="4"/>
      <c r="AA42" s="4"/>
      <c r="AB42" s="4"/>
      <c r="AC42" s="4"/>
      <c r="AD42" s="4"/>
      <c r="AE42" s="4"/>
      <c r="AF42" s="4"/>
      <c r="AG42" s="4"/>
      <c r="AH42" s="4"/>
      <c r="AI42" s="4"/>
      <c r="AJ42" s="4"/>
      <c r="AK42" s="4"/>
    </row>
    <row r="43" spans="12:37" ht="14.5">
      <c r="L43" s="4"/>
      <c r="M43" s="4"/>
      <c r="O43" s="4"/>
      <c r="P43" s="4"/>
      <c r="V43" s="4"/>
      <c r="Y43" s="4"/>
      <c r="Z43" s="4"/>
      <c r="AA43" s="4"/>
      <c r="AB43" s="4"/>
      <c r="AC43" s="4"/>
      <c r="AD43" s="4"/>
      <c r="AE43" s="4"/>
      <c r="AF43" s="4"/>
      <c r="AG43" s="4"/>
      <c r="AH43" s="4"/>
      <c r="AI43" s="4"/>
      <c r="AJ43" s="4"/>
      <c r="AK43" s="4"/>
    </row>
    <row r="44" spans="12:37" ht="14.5">
      <c r="L44" s="4"/>
      <c r="M44" s="4"/>
      <c r="O44" s="4"/>
      <c r="P44" s="4"/>
      <c r="V44" s="4"/>
      <c r="Y44" s="4"/>
      <c r="Z44" s="4"/>
      <c r="AA44" s="4"/>
      <c r="AB44" s="4"/>
      <c r="AC44" s="4"/>
      <c r="AD44" s="4"/>
      <c r="AE44" s="4"/>
      <c r="AF44" s="4"/>
      <c r="AG44" s="4"/>
      <c r="AH44" s="4"/>
      <c r="AI44" s="4"/>
      <c r="AJ44" s="4"/>
      <c r="AK44" s="4"/>
    </row>
    <row r="45" spans="12:37" ht="14.5">
      <c r="L45" s="4"/>
      <c r="M45" s="4"/>
      <c r="O45" s="4"/>
      <c r="P45" s="4"/>
      <c r="V45" s="4"/>
      <c r="Y45" s="4"/>
      <c r="Z45" s="4"/>
      <c r="AA45" s="4"/>
      <c r="AB45" s="4"/>
      <c r="AC45" s="4"/>
      <c r="AD45" s="4"/>
      <c r="AE45" s="4"/>
      <c r="AF45" s="4"/>
      <c r="AG45" s="4"/>
      <c r="AH45" s="4"/>
      <c r="AI45" s="4"/>
      <c r="AJ45" s="4"/>
      <c r="AK45" s="4"/>
    </row>
    <row r="46" spans="12:37" ht="14.5">
      <c r="L46" s="4"/>
      <c r="M46" s="4"/>
      <c r="O46" s="4"/>
      <c r="P46" s="4"/>
      <c r="V46" s="4"/>
      <c r="Y46" s="4"/>
      <c r="Z46" s="4"/>
      <c r="AA46" s="4"/>
      <c r="AB46" s="4"/>
      <c r="AC46" s="4"/>
      <c r="AD46" s="4"/>
      <c r="AE46" s="4"/>
      <c r="AF46" s="4"/>
      <c r="AG46" s="4"/>
      <c r="AH46" s="4"/>
      <c r="AI46" s="4"/>
      <c r="AJ46" s="4"/>
      <c r="AK46" s="4"/>
    </row>
    <row r="47" spans="12:37" ht="14.5">
      <c r="L47" s="4"/>
      <c r="M47" s="4"/>
      <c r="O47" s="4"/>
      <c r="P47" s="4"/>
      <c r="V47" s="4"/>
      <c r="Y47" s="4"/>
      <c r="Z47" s="4"/>
      <c r="AA47" s="4"/>
      <c r="AB47" s="4"/>
      <c r="AC47" s="4"/>
      <c r="AD47" s="4"/>
      <c r="AE47" s="4"/>
      <c r="AF47" s="4"/>
      <c r="AG47" s="4"/>
      <c r="AH47" s="4"/>
      <c r="AI47" s="4"/>
      <c r="AJ47" s="4"/>
      <c r="AK47" s="4"/>
    </row>
    <row r="48" spans="12:37" ht="14.5">
      <c r="L48" s="4"/>
      <c r="M48" s="4"/>
      <c r="O48" s="4"/>
      <c r="P48" s="4"/>
      <c r="V48" s="4"/>
      <c r="Y48" s="4"/>
      <c r="Z48" s="4"/>
      <c r="AA48" s="4"/>
      <c r="AB48" s="4"/>
      <c r="AC48" s="4"/>
      <c r="AD48" s="4"/>
      <c r="AE48" s="4"/>
      <c r="AF48" s="4"/>
      <c r="AG48" s="4"/>
      <c r="AH48" s="4"/>
      <c r="AI48" s="4"/>
      <c r="AJ48" s="4"/>
      <c r="AK48" s="4"/>
    </row>
    <row r="49" spans="12:37" ht="14.5">
      <c r="L49" s="4"/>
      <c r="M49" s="4"/>
      <c r="O49" s="4"/>
      <c r="P49" s="4"/>
      <c r="V49" s="4"/>
      <c r="Y49" s="4"/>
      <c r="Z49" s="4"/>
      <c r="AA49" s="4"/>
      <c r="AB49" s="4"/>
      <c r="AC49" s="4"/>
      <c r="AD49" s="4"/>
      <c r="AE49" s="4"/>
      <c r="AF49" s="4"/>
      <c r="AG49" s="4"/>
      <c r="AH49" s="4"/>
      <c r="AI49" s="4"/>
      <c r="AJ49" s="4"/>
      <c r="AK49" s="4"/>
    </row>
    <row r="50" spans="12:37" ht="14.5">
      <c r="L50" s="4"/>
      <c r="M50" s="4"/>
      <c r="O50" s="4"/>
      <c r="P50" s="4"/>
      <c r="V50" s="4"/>
      <c r="Y50" s="4"/>
      <c r="Z50" s="4"/>
      <c r="AA50" s="4"/>
      <c r="AB50" s="4"/>
      <c r="AC50" s="4"/>
      <c r="AD50" s="4"/>
      <c r="AE50" s="4"/>
      <c r="AF50" s="4"/>
      <c r="AG50" s="4"/>
      <c r="AH50" s="4"/>
      <c r="AI50" s="4"/>
      <c r="AJ50" s="4"/>
      <c r="AK50" s="4"/>
    </row>
    <row r="51" spans="12:37" ht="14.5">
      <c r="L51" s="4"/>
      <c r="M51" s="4"/>
      <c r="O51" s="4"/>
      <c r="P51" s="4"/>
      <c r="V51" s="4"/>
      <c r="Y51" s="4"/>
      <c r="Z51" s="4"/>
      <c r="AA51" s="4"/>
      <c r="AB51" s="4"/>
      <c r="AC51" s="4"/>
      <c r="AD51" s="4"/>
      <c r="AE51" s="4"/>
      <c r="AF51" s="4"/>
      <c r="AG51" s="4"/>
      <c r="AH51" s="4"/>
      <c r="AI51" s="4"/>
      <c r="AJ51" s="4"/>
      <c r="AK51" s="4"/>
    </row>
    <row r="52" spans="12:37" ht="14.5">
      <c r="L52" s="4"/>
      <c r="M52" s="4"/>
      <c r="O52" s="4"/>
      <c r="P52" s="4"/>
      <c r="V52" s="4"/>
      <c r="Y52" s="4"/>
      <c r="Z52" s="4"/>
      <c r="AA52" s="4"/>
      <c r="AB52" s="4"/>
      <c r="AC52" s="4"/>
      <c r="AD52" s="4"/>
      <c r="AE52" s="4"/>
      <c r="AF52" s="4"/>
      <c r="AG52" s="4"/>
      <c r="AH52" s="4"/>
      <c r="AI52" s="4"/>
      <c r="AJ52" s="4"/>
      <c r="AK52" s="4"/>
    </row>
    <row r="53" spans="12:37" ht="14.5">
      <c r="L53" s="4"/>
      <c r="M53" s="4"/>
      <c r="O53" s="4"/>
      <c r="P53" s="4"/>
      <c r="V53" s="4"/>
      <c r="Y53" s="4"/>
      <c r="Z53" s="4"/>
      <c r="AA53" s="4"/>
      <c r="AB53" s="4"/>
      <c r="AC53" s="4"/>
      <c r="AD53" s="4"/>
      <c r="AE53" s="4"/>
      <c r="AF53" s="4"/>
      <c r="AG53" s="4"/>
      <c r="AH53" s="4"/>
      <c r="AI53" s="4"/>
      <c r="AJ53" s="4"/>
      <c r="AK53" s="4"/>
    </row>
    <row r="54" spans="12:37" ht="14.5">
      <c r="L54" s="4"/>
      <c r="M54" s="4"/>
      <c r="O54" s="4"/>
      <c r="P54" s="4"/>
      <c r="V54" s="4"/>
      <c r="Y54" s="4"/>
      <c r="Z54" s="4"/>
      <c r="AA54" s="4"/>
      <c r="AB54" s="4"/>
      <c r="AC54" s="4"/>
      <c r="AD54" s="4"/>
      <c r="AE54" s="4"/>
      <c r="AF54" s="4"/>
      <c r="AG54" s="4"/>
      <c r="AH54" s="4"/>
      <c r="AI54" s="4"/>
      <c r="AJ54" s="4"/>
      <c r="AK54" s="4"/>
    </row>
    <row r="55" spans="12:37" ht="14.5">
      <c r="L55" s="4"/>
      <c r="M55" s="4"/>
      <c r="O55" s="4"/>
      <c r="P55" s="4"/>
      <c r="V55" s="4"/>
      <c r="Y55" s="4"/>
      <c r="Z55" s="4"/>
      <c r="AA55" s="4"/>
      <c r="AB55" s="4"/>
      <c r="AC55" s="4"/>
      <c r="AD55" s="4"/>
      <c r="AE55" s="4"/>
      <c r="AF55" s="4"/>
      <c r="AG55" s="4"/>
      <c r="AH55" s="4"/>
      <c r="AI55" s="4"/>
      <c r="AJ55" s="4"/>
      <c r="AK55" s="4"/>
    </row>
    <row r="56" spans="12:37" ht="14.5">
      <c r="L56" s="4"/>
      <c r="M56" s="4"/>
      <c r="O56" s="4"/>
      <c r="P56" s="4"/>
      <c r="V56" s="4"/>
      <c r="Y56" s="4"/>
      <c r="Z56" s="4"/>
      <c r="AA56" s="4"/>
      <c r="AB56" s="4"/>
      <c r="AC56" s="4"/>
      <c r="AD56" s="4"/>
      <c r="AE56" s="4"/>
      <c r="AF56" s="4"/>
      <c r="AG56" s="4"/>
      <c r="AH56" s="4"/>
      <c r="AI56" s="4"/>
      <c r="AJ56" s="4"/>
      <c r="AK56" s="4"/>
    </row>
    <row r="57" spans="12:37" ht="14.5">
      <c r="L57" s="4"/>
      <c r="M57" s="4"/>
      <c r="O57" s="4"/>
      <c r="P57" s="4"/>
      <c r="V57" s="4"/>
      <c r="Y57" s="4"/>
      <c r="Z57" s="4"/>
      <c r="AA57" s="4"/>
      <c r="AB57" s="4"/>
      <c r="AC57" s="4"/>
      <c r="AD57" s="4"/>
      <c r="AE57" s="4"/>
      <c r="AF57" s="4"/>
      <c r="AG57" s="4"/>
      <c r="AH57" s="4"/>
      <c r="AI57" s="4"/>
      <c r="AJ57" s="4"/>
      <c r="AK57" s="4"/>
    </row>
    <row r="58" spans="12:37" ht="14.5">
      <c r="L58" s="4"/>
      <c r="M58" s="4"/>
      <c r="O58" s="4"/>
      <c r="P58" s="4"/>
      <c r="V58" s="4"/>
      <c r="Y58" s="4"/>
      <c r="Z58" s="4"/>
      <c r="AA58" s="4"/>
      <c r="AB58" s="4"/>
      <c r="AC58" s="4"/>
      <c r="AD58" s="4"/>
      <c r="AE58" s="4"/>
      <c r="AF58" s="4"/>
      <c r="AG58" s="4"/>
      <c r="AH58" s="4"/>
      <c r="AI58" s="4"/>
      <c r="AJ58" s="4"/>
      <c r="AK58" s="4"/>
    </row>
    <row r="59" spans="12:37" ht="14.5">
      <c r="L59" s="4"/>
      <c r="M59" s="4"/>
      <c r="O59" s="4"/>
      <c r="P59" s="4"/>
      <c r="V59" s="4"/>
      <c r="Y59" s="4"/>
      <c r="Z59" s="4"/>
      <c r="AA59" s="4"/>
      <c r="AB59" s="4"/>
      <c r="AC59" s="4"/>
      <c r="AD59" s="4"/>
      <c r="AE59" s="4"/>
      <c r="AF59" s="4"/>
      <c r="AG59" s="4"/>
      <c r="AH59" s="4"/>
      <c r="AI59" s="4"/>
      <c r="AJ59" s="4"/>
      <c r="AK59" s="4"/>
    </row>
    <row r="60" spans="12:37" ht="14.5">
      <c r="L60" s="4"/>
      <c r="M60" s="4"/>
      <c r="O60" s="4"/>
      <c r="P60" s="4"/>
      <c r="V60" s="4"/>
      <c r="Y60" s="4"/>
      <c r="Z60" s="4"/>
      <c r="AA60" s="4"/>
      <c r="AB60" s="4"/>
      <c r="AC60" s="4"/>
      <c r="AD60" s="4"/>
      <c r="AE60" s="4"/>
      <c r="AF60" s="4"/>
      <c r="AG60" s="4"/>
      <c r="AH60" s="4"/>
      <c r="AI60" s="4"/>
      <c r="AJ60" s="4"/>
      <c r="AK60" s="4"/>
    </row>
    <row r="61" spans="12:37" ht="14.5">
      <c r="L61" s="4"/>
      <c r="M61" s="4"/>
      <c r="O61" s="4"/>
      <c r="P61" s="4"/>
      <c r="V61" s="4"/>
      <c r="Y61" s="4"/>
      <c r="Z61" s="4"/>
      <c r="AA61" s="4"/>
      <c r="AB61" s="4"/>
      <c r="AC61" s="4"/>
      <c r="AD61" s="4"/>
      <c r="AE61" s="4"/>
      <c r="AF61" s="4"/>
      <c r="AG61" s="4"/>
      <c r="AH61" s="4"/>
      <c r="AI61" s="4"/>
      <c r="AJ61" s="4"/>
      <c r="AK61" s="4"/>
    </row>
    <row r="62" spans="12:37" ht="14.5">
      <c r="L62" s="4"/>
      <c r="M62" s="4"/>
      <c r="O62" s="4"/>
      <c r="P62" s="4"/>
      <c r="V62" s="4"/>
      <c r="Y62" s="4"/>
      <c r="Z62" s="4"/>
      <c r="AA62" s="4"/>
      <c r="AB62" s="4"/>
      <c r="AC62" s="4"/>
      <c r="AD62" s="4"/>
      <c r="AE62" s="4"/>
      <c r="AF62" s="4"/>
      <c r="AG62" s="4"/>
      <c r="AH62" s="4"/>
      <c r="AI62" s="4"/>
      <c r="AJ62" s="4"/>
      <c r="AK62" s="4"/>
    </row>
    <row r="63" spans="12:37" ht="14.5">
      <c r="L63" s="4"/>
      <c r="M63" s="4"/>
      <c r="O63" s="4"/>
      <c r="P63" s="4"/>
      <c r="V63" s="4"/>
      <c r="Y63" s="4"/>
      <c r="Z63" s="4"/>
      <c r="AA63" s="4"/>
      <c r="AB63" s="4"/>
      <c r="AC63" s="4"/>
      <c r="AD63" s="4"/>
      <c r="AE63" s="4"/>
      <c r="AF63" s="4"/>
      <c r="AG63" s="4"/>
      <c r="AH63" s="4"/>
      <c r="AI63" s="4"/>
      <c r="AJ63" s="4"/>
      <c r="AK63" s="4"/>
    </row>
    <row r="64" spans="12:37" ht="14.5">
      <c r="L64" s="4"/>
      <c r="M64" s="4"/>
      <c r="O64" s="4"/>
      <c r="P64" s="4"/>
      <c r="V64" s="4"/>
      <c r="Y64" s="4"/>
      <c r="Z64" s="4"/>
      <c r="AA64" s="4"/>
      <c r="AB64" s="4"/>
      <c r="AC64" s="4"/>
      <c r="AD64" s="4"/>
      <c r="AE64" s="4"/>
      <c r="AF64" s="4"/>
      <c r="AG64" s="4"/>
      <c r="AH64" s="4"/>
      <c r="AI64" s="4"/>
      <c r="AJ64" s="4"/>
      <c r="AK64" s="4"/>
    </row>
    <row r="65" spans="12:37" ht="14.5">
      <c r="L65" s="4"/>
      <c r="M65" s="4"/>
      <c r="O65" s="4"/>
      <c r="P65" s="4"/>
      <c r="V65" s="4"/>
      <c r="Y65" s="4"/>
      <c r="Z65" s="4"/>
      <c r="AA65" s="4"/>
      <c r="AB65" s="4"/>
      <c r="AC65" s="4"/>
      <c r="AD65" s="4"/>
      <c r="AE65" s="4"/>
      <c r="AF65" s="4"/>
      <c r="AG65" s="4"/>
      <c r="AH65" s="4"/>
      <c r="AI65" s="4"/>
      <c r="AJ65" s="4"/>
      <c r="AK65" s="4"/>
    </row>
    <row r="66" spans="12:37" ht="14.5">
      <c r="L66" s="4"/>
      <c r="M66" s="4"/>
      <c r="O66" s="4"/>
      <c r="P66" s="4"/>
      <c r="V66" s="4"/>
      <c r="Y66" s="4"/>
      <c r="Z66" s="4"/>
      <c r="AA66" s="4"/>
      <c r="AB66" s="4"/>
      <c r="AC66" s="4"/>
      <c r="AD66" s="4"/>
      <c r="AE66" s="4"/>
      <c r="AF66" s="4"/>
      <c r="AG66" s="4"/>
      <c r="AH66" s="4"/>
      <c r="AI66" s="4"/>
      <c r="AJ66" s="4"/>
      <c r="AK66" s="4"/>
    </row>
    <row r="67" spans="12:37" ht="14.5">
      <c r="L67" s="4"/>
      <c r="M67" s="4"/>
      <c r="O67" s="4"/>
      <c r="P67" s="4"/>
      <c r="V67" s="4"/>
      <c r="Y67" s="4"/>
      <c r="Z67" s="4"/>
      <c r="AA67" s="4"/>
      <c r="AB67" s="4"/>
      <c r="AC67" s="4"/>
      <c r="AD67" s="4"/>
      <c r="AE67" s="4"/>
      <c r="AF67" s="4"/>
      <c r="AG67" s="4"/>
      <c r="AH67" s="4"/>
      <c r="AI67" s="4"/>
      <c r="AJ67" s="4"/>
      <c r="AK67" s="4"/>
    </row>
    <row r="68" spans="12:37" ht="14.5">
      <c r="L68" s="4"/>
      <c r="M68" s="4"/>
      <c r="O68" s="4"/>
      <c r="P68" s="4"/>
      <c r="V68" s="4"/>
      <c r="Y68" s="4"/>
      <c r="Z68" s="4"/>
      <c r="AA68" s="4"/>
      <c r="AB68" s="4"/>
      <c r="AC68" s="4"/>
      <c r="AD68" s="4"/>
      <c r="AE68" s="4"/>
      <c r="AF68" s="4"/>
      <c r="AG68" s="4"/>
      <c r="AH68" s="4"/>
      <c r="AI68" s="4"/>
      <c r="AJ68" s="4"/>
      <c r="AK68" s="4"/>
    </row>
    <row r="69" spans="12:37" ht="14.5">
      <c r="L69" s="4"/>
      <c r="M69" s="4"/>
      <c r="O69" s="4"/>
      <c r="P69" s="4"/>
      <c r="V69" s="4"/>
      <c r="Y69" s="4"/>
      <c r="Z69" s="4"/>
      <c r="AA69" s="4"/>
      <c r="AB69" s="4"/>
      <c r="AC69" s="4"/>
      <c r="AD69" s="4"/>
      <c r="AE69" s="4"/>
      <c r="AF69" s="4"/>
      <c r="AG69" s="4"/>
      <c r="AH69" s="4"/>
      <c r="AI69" s="4"/>
      <c r="AJ69" s="4"/>
      <c r="AK69" s="4"/>
    </row>
    <row r="70" spans="12:37" ht="14.5">
      <c r="L70" s="4"/>
      <c r="M70" s="4"/>
      <c r="O70" s="4"/>
      <c r="P70" s="4"/>
      <c r="V70" s="4"/>
      <c r="Y70" s="4"/>
      <c r="Z70" s="4"/>
      <c r="AA70" s="4"/>
      <c r="AB70" s="4"/>
      <c r="AC70" s="4"/>
      <c r="AD70" s="4"/>
      <c r="AE70" s="4"/>
      <c r="AF70" s="4"/>
      <c r="AG70" s="4"/>
      <c r="AH70" s="4"/>
      <c r="AI70" s="4"/>
      <c r="AJ70" s="4"/>
      <c r="AK70" s="4"/>
    </row>
    <row r="71" spans="12:37" ht="14.5">
      <c r="L71" s="4"/>
      <c r="M71" s="4"/>
      <c r="O71" s="4"/>
      <c r="P71" s="4"/>
      <c r="V71" s="4"/>
      <c r="Y71" s="4"/>
      <c r="Z71" s="4"/>
      <c r="AA71" s="4"/>
      <c r="AB71" s="4"/>
      <c r="AC71" s="4"/>
      <c r="AD71" s="4"/>
      <c r="AE71" s="4"/>
      <c r="AF71" s="4"/>
      <c r="AG71" s="4"/>
      <c r="AH71" s="4"/>
      <c r="AI71" s="4"/>
      <c r="AJ71" s="4"/>
      <c r="AK71" s="4"/>
    </row>
    <row r="72" spans="12:37" ht="14.5">
      <c r="L72" s="4"/>
      <c r="M72" s="4"/>
      <c r="O72" s="4"/>
      <c r="P72" s="4"/>
      <c r="V72" s="4"/>
      <c r="Y72" s="4"/>
      <c r="Z72" s="4"/>
      <c r="AA72" s="4"/>
      <c r="AB72" s="4"/>
      <c r="AC72" s="4"/>
      <c r="AD72" s="4"/>
      <c r="AE72" s="4"/>
      <c r="AF72" s="4"/>
      <c r="AG72" s="4"/>
      <c r="AH72" s="4"/>
      <c r="AI72" s="4"/>
      <c r="AJ72" s="4"/>
      <c r="AK72" s="4"/>
    </row>
    <row r="73" spans="12:37" ht="14.5">
      <c r="L73" s="4"/>
      <c r="M73" s="4"/>
      <c r="O73" s="4"/>
      <c r="P73" s="4"/>
      <c r="V73" s="4"/>
      <c r="Y73" s="4"/>
      <c r="Z73" s="4"/>
      <c r="AA73" s="4"/>
      <c r="AB73" s="4"/>
      <c r="AC73" s="4"/>
      <c r="AD73" s="4"/>
      <c r="AE73" s="4"/>
      <c r="AF73" s="4"/>
      <c r="AG73" s="4"/>
      <c r="AH73" s="4"/>
      <c r="AI73" s="4"/>
      <c r="AJ73" s="4"/>
      <c r="AK73" s="4"/>
    </row>
    <row r="74" spans="12:37" ht="14.5">
      <c r="L74" s="4"/>
      <c r="M74" s="4"/>
      <c r="O74" s="4"/>
      <c r="P74" s="4"/>
      <c r="V74" s="4"/>
      <c r="Y74" s="4"/>
      <c r="Z74" s="4"/>
      <c r="AA74" s="4"/>
      <c r="AB74" s="4"/>
      <c r="AC74" s="4"/>
      <c r="AD74" s="4"/>
      <c r="AE74" s="4"/>
      <c r="AF74" s="4"/>
      <c r="AG74" s="4"/>
      <c r="AH74" s="4"/>
      <c r="AI74" s="4"/>
      <c r="AJ74" s="4"/>
      <c r="AK74" s="4"/>
    </row>
    <row r="75" spans="12:37" ht="14.5">
      <c r="L75" s="4"/>
      <c r="M75" s="4"/>
      <c r="O75" s="4"/>
      <c r="P75" s="4"/>
      <c r="V75" s="4"/>
      <c r="Y75" s="4"/>
      <c r="Z75" s="4"/>
      <c r="AA75" s="4"/>
      <c r="AB75" s="4"/>
      <c r="AC75" s="4"/>
      <c r="AD75" s="4"/>
      <c r="AE75" s="4"/>
      <c r="AF75" s="4"/>
      <c r="AG75" s="4"/>
      <c r="AH75" s="4"/>
      <c r="AI75" s="4"/>
      <c r="AJ75" s="4"/>
      <c r="AK75" s="4"/>
    </row>
    <row r="76" spans="12:37" ht="14.5">
      <c r="L76" s="4"/>
      <c r="M76" s="4"/>
      <c r="O76" s="4"/>
      <c r="P76" s="4"/>
      <c r="V76" s="4"/>
      <c r="Y76" s="4"/>
      <c r="Z76" s="4"/>
      <c r="AA76" s="4"/>
      <c r="AB76" s="4"/>
      <c r="AC76" s="4"/>
      <c r="AD76" s="4"/>
      <c r="AE76" s="4"/>
      <c r="AF76" s="4"/>
      <c r="AG76" s="4"/>
      <c r="AH76" s="4"/>
      <c r="AI76" s="4"/>
      <c r="AJ76" s="4"/>
      <c r="AK76" s="4"/>
    </row>
    <row r="77" spans="12:37" ht="14.5">
      <c r="L77" s="4"/>
      <c r="M77" s="4"/>
      <c r="O77" s="4"/>
      <c r="P77" s="4"/>
      <c r="V77" s="4"/>
      <c r="Y77" s="4"/>
      <c r="Z77" s="4"/>
      <c r="AA77" s="4"/>
      <c r="AB77" s="4"/>
      <c r="AC77" s="4"/>
      <c r="AD77" s="4"/>
      <c r="AE77" s="4"/>
      <c r="AF77" s="4"/>
      <c r="AG77" s="4"/>
      <c r="AH77" s="4"/>
      <c r="AI77" s="4"/>
      <c r="AJ77" s="4"/>
      <c r="AK77" s="4"/>
    </row>
    <row r="78" spans="12:37" ht="14.5">
      <c r="L78" s="4"/>
      <c r="M78" s="4"/>
      <c r="O78" s="4"/>
      <c r="P78" s="4"/>
      <c r="V78" s="4"/>
      <c r="Y78" s="4"/>
      <c r="Z78" s="4"/>
      <c r="AA78" s="4"/>
      <c r="AB78" s="4"/>
      <c r="AC78" s="4"/>
      <c r="AD78" s="4"/>
      <c r="AE78" s="4"/>
      <c r="AF78" s="4"/>
      <c r="AG78" s="4"/>
      <c r="AH78" s="4"/>
      <c r="AI78" s="4"/>
      <c r="AJ78" s="4"/>
      <c r="AK78" s="4"/>
    </row>
    <row r="79" spans="12:37" ht="14.5">
      <c r="L79" s="4"/>
      <c r="M79" s="4"/>
      <c r="O79" s="4"/>
      <c r="P79" s="4"/>
      <c r="V79" s="4"/>
      <c r="Y79" s="4"/>
      <c r="Z79" s="4"/>
      <c r="AA79" s="4"/>
      <c r="AB79" s="4"/>
      <c r="AC79" s="4"/>
      <c r="AD79" s="4"/>
      <c r="AE79" s="4"/>
      <c r="AF79" s="4"/>
      <c r="AG79" s="4"/>
      <c r="AH79" s="4"/>
      <c r="AI79" s="4"/>
      <c r="AJ79" s="4"/>
      <c r="AK79" s="4"/>
    </row>
    <row r="80" spans="12:37" ht="14.5">
      <c r="L80" s="4"/>
      <c r="M80" s="4"/>
      <c r="O80" s="4"/>
      <c r="P80" s="4"/>
      <c r="V80" s="4"/>
      <c r="Y80" s="4"/>
      <c r="Z80" s="4"/>
      <c r="AA80" s="4"/>
      <c r="AB80" s="4"/>
      <c r="AC80" s="4"/>
      <c r="AD80" s="4"/>
      <c r="AE80" s="4"/>
      <c r="AF80" s="4"/>
      <c r="AG80" s="4"/>
      <c r="AH80" s="4"/>
      <c r="AI80" s="4"/>
      <c r="AJ80" s="4"/>
      <c r="AK80" s="4"/>
    </row>
    <row r="81" spans="12:37" ht="14.5">
      <c r="L81" s="4"/>
      <c r="M81" s="4"/>
      <c r="O81" s="4"/>
      <c r="P81" s="4"/>
      <c r="V81" s="4"/>
      <c r="Y81" s="4"/>
      <c r="Z81" s="4"/>
      <c r="AA81" s="4"/>
      <c r="AB81" s="4"/>
      <c r="AC81" s="4"/>
      <c r="AD81" s="4"/>
      <c r="AE81" s="4"/>
      <c r="AF81" s="4"/>
      <c r="AG81" s="4"/>
      <c r="AH81" s="4"/>
      <c r="AI81" s="4"/>
      <c r="AJ81" s="4"/>
      <c r="AK81" s="4"/>
    </row>
    <row r="82" spans="12:37" ht="14.5">
      <c r="L82" s="4"/>
      <c r="M82" s="4"/>
      <c r="O82" s="4"/>
      <c r="P82" s="4"/>
      <c r="V82" s="4"/>
      <c r="Y82" s="4"/>
      <c r="Z82" s="4"/>
      <c r="AA82" s="4"/>
      <c r="AB82" s="4"/>
      <c r="AC82" s="4"/>
      <c r="AD82" s="4"/>
      <c r="AE82" s="4"/>
      <c r="AF82" s="4"/>
      <c r="AG82" s="4"/>
      <c r="AH82" s="4"/>
      <c r="AI82" s="4"/>
      <c r="AJ82" s="4"/>
      <c r="AK82" s="4"/>
    </row>
    <row r="83" spans="12:37" ht="14.5">
      <c r="L83" s="4"/>
      <c r="M83" s="4"/>
      <c r="O83" s="4"/>
      <c r="P83" s="4"/>
      <c r="V83" s="4"/>
      <c r="Y83" s="4"/>
      <c r="Z83" s="4"/>
      <c r="AA83" s="4"/>
      <c r="AB83" s="4"/>
      <c r="AC83" s="4"/>
      <c r="AD83" s="4"/>
      <c r="AE83" s="4"/>
      <c r="AF83" s="4"/>
      <c r="AG83" s="4"/>
      <c r="AH83" s="4"/>
      <c r="AI83" s="4"/>
      <c r="AJ83" s="4"/>
      <c r="AK83" s="4"/>
    </row>
    <row r="84" spans="12:37" ht="14.5">
      <c r="L84" s="4"/>
      <c r="M84" s="4"/>
      <c r="O84" s="4"/>
      <c r="P84" s="4"/>
      <c r="V84" s="4"/>
      <c r="Y84" s="4"/>
      <c r="Z84" s="4"/>
      <c r="AA84" s="4"/>
      <c r="AB84" s="4"/>
      <c r="AC84" s="4"/>
      <c r="AD84" s="4"/>
      <c r="AE84" s="4"/>
      <c r="AF84" s="4"/>
      <c r="AG84" s="4"/>
      <c r="AH84" s="4"/>
      <c r="AI84" s="4"/>
      <c r="AJ84" s="4"/>
      <c r="AK84" s="4"/>
    </row>
    <row r="85" spans="12:37" ht="14.5">
      <c r="L85" s="4"/>
      <c r="M85" s="4"/>
      <c r="O85" s="4"/>
      <c r="P85" s="4"/>
      <c r="V85" s="4"/>
      <c r="Y85" s="4"/>
      <c r="Z85" s="4"/>
      <c r="AA85" s="4"/>
      <c r="AB85" s="4"/>
      <c r="AC85" s="4"/>
      <c r="AD85" s="4"/>
      <c r="AE85" s="4"/>
      <c r="AF85" s="4"/>
      <c r="AG85" s="4"/>
      <c r="AH85" s="4"/>
      <c r="AI85" s="4"/>
      <c r="AJ85" s="4"/>
      <c r="AK85" s="4"/>
    </row>
    <row r="86" spans="12:37" ht="14.5">
      <c r="L86" s="4"/>
      <c r="M86" s="4"/>
      <c r="O86" s="4"/>
      <c r="P86" s="4"/>
      <c r="V86" s="4"/>
      <c r="Y86" s="4"/>
      <c r="Z86" s="4"/>
      <c r="AA86" s="4"/>
      <c r="AB86" s="4"/>
      <c r="AC86" s="4"/>
      <c r="AD86" s="4"/>
      <c r="AE86" s="4"/>
      <c r="AF86" s="4"/>
      <c r="AG86" s="4"/>
      <c r="AH86" s="4"/>
      <c r="AI86" s="4"/>
      <c r="AJ86" s="4"/>
      <c r="AK86" s="4"/>
    </row>
    <row r="87" spans="12:37" ht="14.5">
      <c r="L87" s="4"/>
      <c r="M87" s="4"/>
      <c r="O87" s="4"/>
      <c r="P87" s="4"/>
      <c r="V87" s="4"/>
      <c r="Y87" s="4"/>
      <c r="Z87" s="4"/>
      <c r="AA87" s="4"/>
      <c r="AB87" s="4"/>
      <c r="AC87" s="4"/>
      <c r="AD87" s="4"/>
      <c r="AE87" s="4"/>
      <c r="AF87" s="4"/>
      <c r="AG87" s="4"/>
      <c r="AH87" s="4"/>
      <c r="AI87" s="4"/>
      <c r="AJ87" s="4"/>
      <c r="AK87" s="4"/>
    </row>
    <row r="88" spans="12:37" ht="14.5">
      <c r="L88" s="4"/>
      <c r="M88" s="4"/>
      <c r="O88" s="4"/>
      <c r="P88" s="4"/>
      <c r="V88" s="4"/>
      <c r="Y88" s="4"/>
      <c r="Z88" s="4"/>
      <c r="AA88" s="4"/>
      <c r="AB88" s="4"/>
      <c r="AC88" s="4"/>
      <c r="AD88" s="4"/>
      <c r="AE88" s="4"/>
      <c r="AF88" s="4"/>
      <c r="AG88" s="4"/>
      <c r="AH88" s="4"/>
      <c r="AI88" s="4"/>
      <c r="AJ88" s="4"/>
      <c r="AK88" s="4"/>
    </row>
    <row r="89" spans="12:37" ht="14.5">
      <c r="L89" s="4"/>
      <c r="M89" s="4"/>
      <c r="O89" s="4"/>
      <c r="P89" s="4"/>
      <c r="V89" s="4"/>
      <c r="Y89" s="4"/>
      <c r="Z89" s="4"/>
      <c r="AA89" s="4"/>
      <c r="AB89" s="4"/>
      <c r="AC89" s="4"/>
      <c r="AD89" s="4"/>
      <c r="AE89" s="4"/>
      <c r="AF89" s="4"/>
      <c r="AG89" s="4"/>
      <c r="AH89" s="4"/>
      <c r="AI89" s="4"/>
      <c r="AJ89" s="4"/>
      <c r="AK89" s="4"/>
    </row>
    <row r="90" spans="12:37" ht="14.5">
      <c r="L90" s="4"/>
      <c r="M90" s="4"/>
      <c r="O90" s="4"/>
      <c r="P90" s="4"/>
      <c r="V90" s="4"/>
      <c r="Y90" s="4"/>
      <c r="Z90" s="4"/>
      <c r="AA90" s="4"/>
      <c r="AB90" s="4"/>
      <c r="AC90" s="4"/>
      <c r="AD90" s="4"/>
      <c r="AE90" s="4"/>
      <c r="AF90" s="4"/>
      <c r="AG90" s="4"/>
      <c r="AH90" s="4"/>
      <c r="AI90" s="4"/>
      <c r="AJ90" s="4"/>
      <c r="AK90" s="4"/>
    </row>
    <row r="91" spans="12:37" ht="14.5">
      <c r="L91" s="4"/>
      <c r="M91" s="4"/>
      <c r="O91" s="4"/>
      <c r="P91" s="4"/>
      <c r="V91" s="4"/>
      <c r="Y91" s="4"/>
      <c r="Z91" s="4"/>
      <c r="AA91" s="4"/>
      <c r="AB91" s="4"/>
      <c r="AC91" s="4"/>
      <c r="AD91" s="4"/>
      <c r="AE91" s="4"/>
      <c r="AF91" s="4"/>
      <c r="AG91" s="4"/>
      <c r="AH91" s="4"/>
      <c r="AI91" s="4"/>
      <c r="AJ91" s="4"/>
      <c r="AK91" s="4"/>
    </row>
    <row r="92" spans="12:37" ht="14.5">
      <c r="L92" s="4"/>
      <c r="M92" s="4"/>
      <c r="O92" s="4"/>
      <c r="P92" s="4"/>
      <c r="V92" s="4"/>
      <c r="Y92" s="4"/>
      <c r="Z92" s="4"/>
      <c r="AA92" s="4"/>
      <c r="AB92" s="4"/>
      <c r="AC92" s="4"/>
      <c r="AD92" s="4"/>
      <c r="AE92" s="4"/>
      <c r="AF92" s="4"/>
      <c r="AG92" s="4"/>
      <c r="AH92" s="4"/>
      <c r="AI92" s="4"/>
      <c r="AJ92" s="4"/>
      <c r="AK92" s="4"/>
    </row>
    <row r="93" spans="12:37" ht="14.5">
      <c r="L93" s="4"/>
      <c r="M93" s="4"/>
      <c r="O93" s="4"/>
      <c r="P93" s="4"/>
      <c r="V93" s="4"/>
      <c r="Y93" s="4"/>
      <c r="Z93" s="4"/>
      <c r="AA93" s="4"/>
      <c r="AB93" s="4"/>
      <c r="AC93" s="4"/>
      <c r="AD93" s="4"/>
      <c r="AE93" s="4"/>
      <c r="AF93" s="4"/>
      <c r="AG93" s="4"/>
      <c r="AH93" s="4"/>
      <c r="AI93" s="4"/>
      <c r="AJ93" s="4"/>
      <c r="AK93" s="4"/>
    </row>
    <row r="94" spans="12:37" ht="14.5">
      <c r="L94" s="4"/>
      <c r="M94" s="4"/>
      <c r="O94" s="4"/>
      <c r="P94" s="4"/>
      <c r="V94" s="4"/>
      <c r="Y94" s="4"/>
      <c r="Z94" s="4"/>
      <c r="AA94" s="4"/>
      <c r="AB94" s="4"/>
      <c r="AC94" s="4"/>
      <c r="AD94" s="4"/>
      <c r="AE94" s="4"/>
      <c r="AF94" s="4"/>
      <c r="AG94" s="4"/>
      <c r="AH94" s="4"/>
      <c r="AI94" s="4"/>
      <c r="AJ94" s="4"/>
      <c r="AK94" s="4"/>
    </row>
    <row r="95" spans="12:37" ht="14.5">
      <c r="L95" s="4"/>
      <c r="M95" s="4"/>
      <c r="O95" s="4"/>
      <c r="P95" s="4"/>
      <c r="V95" s="4"/>
      <c r="Y95" s="4"/>
      <c r="Z95" s="4"/>
      <c r="AA95" s="4"/>
      <c r="AB95" s="4"/>
      <c r="AC95" s="4"/>
      <c r="AD95" s="4"/>
      <c r="AE95" s="4"/>
      <c r="AF95" s="4"/>
      <c r="AG95" s="4"/>
      <c r="AH95" s="4"/>
      <c r="AI95" s="4"/>
      <c r="AJ95" s="4"/>
      <c r="AK95" s="4"/>
    </row>
    <row r="96" spans="12:37" ht="14.5">
      <c r="L96" s="4"/>
      <c r="M96" s="4"/>
      <c r="O96" s="4"/>
      <c r="P96" s="4"/>
      <c r="V96" s="4"/>
      <c r="Y96" s="4"/>
      <c r="Z96" s="4"/>
      <c r="AA96" s="4"/>
      <c r="AB96" s="4"/>
      <c r="AC96" s="4"/>
      <c r="AD96" s="4"/>
      <c r="AE96" s="4"/>
      <c r="AF96" s="4"/>
      <c r="AG96" s="4"/>
      <c r="AH96" s="4"/>
      <c r="AI96" s="4"/>
      <c r="AJ96" s="4"/>
      <c r="AK96" s="4"/>
    </row>
    <row r="97" spans="12:37" ht="14.5">
      <c r="L97" s="4"/>
      <c r="M97" s="4"/>
      <c r="O97" s="4"/>
      <c r="P97" s="4"/>
      <c r="V97" s="4"/>
      <c r="Y97" s="4"/>
      <c r="Z97" s="4"/>
      <c r="AA97" s="4"/>
      <c r="AB97" s="4"/>
      <c r="AC97" s="4"/>
      <c r="AD97" s="4"/>
      <c r="AE97" s="4"/>
      <c r="AF97" s="4"/>
      <c r="AG97" s="4"/>
      <c r="AH97" s="4"/>
      <c r="AI97" s="4"/>
      <c r="AJ97" s="4"/>
      <c r="AK97" s="4"/>
    </row>
    <row r="98" spans="12:37" ht="14.5">
      <c r="L98" s="4"/>
      <c r="M98" s="4"/>
      <c r="O98" s="4"/>
      <c r="P98" s="4"/>
      <c r="V98" s="4"/>
      <c r="Y98" s="4"/>
      <c r="Z98" s="4"/>
      <c r="AA98" s="4"/>
      <c r="AB98" s="4"/>
      <c r="AC98" s="4"/>
      <c r="AD98" s="4"/>
      <c r="AE98" s="4"/>
      <c r="AF98" s="4"/>
      <c r="AG98" s="4"/>
      <c r="AH98" s="4"/>
      <c r="AI98" s="4"/>
      <c r="AJ98" s="4"/>
      <c r="AK98" s="4"/>
    </row>
    <row r="99" spans="12:37" ht="14.5">
      <c r="L99" s="4"/>
      <c r="M99" s="4"/>
      <c r="O99" s="4"/>
      <c r="P99" s="4"/>
      <c r="V99" s="4"/>
      <c r="Y99" s="4"/>
      <c r="Z99" s="4"/>
      <c r="AA99" s="4"/>
      <c r="AB99" s="4"/>
      <c r="AC99" s="4"/>
      <c r="AD99" s="4"/>
      <c r="AE99" s="4"/>
      <c r="AF99" s="4"/>
      <c r="AG99" s="4"/>
      <c r="AH99" s="4"/>
      <c r="AI99" s="4"/>
      <c r="AJ99" s="4"/>
      <c r="AK99" s="4"/>
    </row>
    <row r="100" spans="12:37" ht="14.5">
      <c r="L100" s="4"/>
      <c r="M100" s="4"/>
      <c r="O100" s="4"/>
      <c r="P100" s="4"/>
      <c r="V100" s="4"/>
      <c r="Y100" s="4"/>
      <c r="Z100" s="4"/>
      <c r="AA100" s="4"/>
      <c r="AB100" s="4"/>
      <c r="AC100" s="4"/>
      <c r="AD100" s="4"/>
      <c r="AE100" s="4"/>
      <c r="AF100" s="4"/>
      <c r="AG100" s="4"/>
      <c r="AH100" s="4"/>
      <c r="AI100" s="4"/>
      <c r="AJ100" s="4"/>
      <c r="AK100" s="4"/>
    </row>
    <row r="101" spans="12:37" ht="14.5">
      <c r="L101" s="4"/>
      <c r="M101" s="4"/>
      <c r="O101" s="4"/>
      <c r="P101" s="4"/>
      <c r="V101" s="4"/>
      <c r="Y101" s="4"/>
      <c r="Z101" s="4"/>
      <c r="AA101" s="4"/>
      <c r="AB101" s="4"/>
      <c r="AC101" s="4"/>
      <c r="AD101" s="4"/>
      <c r="AE101" s="4"/>
      <c r="AF101" s="4"/>
      <c r="AG101" s="4"/>
      <c r="AH101" s="4"/>
      <c r="AI101" s="4"/>
      <c r="AJ101" s="4"/>
      <c r="AK101" s="4"/>
    </row>
    <row r="102" spans="12:37" ht="14.5">
      <c r="L102" s="4"/>
      <c r="M102" s="4"/>
      <c r="O102" s="4"/>
      <c r="P102" s="4"/>
      <c r="V102" s="4"/>
      <c r="Y102" s="4"/>
      <c r="Z102" s="4"/>
      <c r="AA102" s="4"/>
      <c r="AB102" s="4"/>
      <c r="AC102" s="4"/>
      <c r="AD102" s="4"/>
      <c r="AE102" s="4"/>
      <c r="AF102" s="4"/>
      <c r="AG102" s="4"/>
      <c r="AH102" s="4"/>
      <c r="AI102" s="4"/>
      <c r="AJ102" s="4"/>
      <c r="AK102" s="4"/>
    </row>
    <row r="103" spans="12:37" ht="14.5">
      <c r="L103" s="4"/>
      <c r="M103" s="4"/>
      <c r="O103" s="4"/>
      <c r="P103" s="4"/>
      <c r="V103" s="4"/>
      <c r="Y103" s="4"/>
      <c r="Z103" s="4"/>
      <c r="AA103" s="4"/>
      <c r="AB103" s="4"/>
      <c r="AC103" s="4"/>
      <c r="AD103" s="4"/>
      <c r="AE103" s="4"/>
      <c r="AF103" s="4"/>
      <c r="AG103" s="4"/>
      <c r="AH103" s="4"/>
      <c r="AI103" s="4"/>
      <c r="AJ103" s="4"/>
      <c r="AK103" s="4"/>
    </row>
    <row r="104" spans="12:37" ht="14.5">
      <c r="L104" s="4"/>
      <c r="M104" s="4"/>
      <c r="O104" s="4"/>
      <c r="P104" s="4"/>
      <c r="V104" s="4"/>
      <c r="Y104" s="4"/>
      <c r="Z104" s="4"/>
      <c r="AA104" s="4"/>
      <c r="AB104" s="4"/>
      <c r="AC104" s="4"/>
      <c r="AD104" s="4"/>
      <c r="AE104" s="4"/>
      <c r="AF104" s="4"/>
      <c r="AG104" s="4"/>
      <c r="AH104" s="4"/>
      <c r="AI104" s="4"/>
      <c r="AJ104" s="4"/>
      <c r="AK104" s="4"/>
    </row>
    <row r="105" spans="12:37" ht="14.5">
      <c r="L105" s="4"/>
      <c r="M105" s="4"/>
      <c r="O105" s="4"/>
      <c r="P105" s="4"/>
      <c r="V105" s="4"/>
      <c r="Y105" s="4"/>
      <c r="Z105" s="4"/>
      <c r="AA105" s="4"/>
      <c r="AB105" s="4"/>
      <c r="AC105" s="4"/>
      <c r="AD105" s="4"/>
      <c r="AE105" s="4"/>
      <c r="AF105" s="4"/>
      <c r="AG105" s="4"/>
      <c r="AH105" s="4"/>
      <c r="AI105" s="4"/>
      <c r="AJ105" s="4"/>
      <c r="AK105" s="4"/>
    </row>
    <row r="106" spans="12:37" ht="14.5">
      <c r="L106" s="4"/>
      <c r="M106" s="4"/>
      <c r="O106" s="4"/>
      <c r="P106" s="4"/>
      <c r="V106" s="4"/>
      <c r="Y106" s="4"/>
      <c r="Z106" s="4"/>
      <c r="AA106" s="4"/>
      <c r="AB106" s="4"/>
      <c r="AC106" s="4"/>
      <c r="AD106" s="4"/>
      <c r="AE106" s="4"/>
      <c r="AF106" s="4"/>
      <c r="AG106" s="4"/>
      <c r="AH106" s="4"/>
      <c r="AI106" s="4"/>
      <c r="AJ106" s="4"/>
      <c r="AK106" s="4"/>
    </row>
    <row r="107" spans="12:37" ht="14.5">
      <c r="L107" s="4"/>
      <c r="M107" s="4"/>
      <c r="O107" s="4"/>
      <c r="P107" s="4"/>
      <c r="V107" s="4"/>
      <c r="Y107" s="4"/>
      <c r="Z107" s="4"/>
      <c r="AA107" s="4"/>
      <c r="AB107" s="4"/>
      <c r="AC107" s="4"/>
      <c r="AD107" s="4"/>
      <c r="AE107" s="4"/>
      <c r="AF107" s="4"/>
      <c r="AG107" s="4"/>
      <c r="AH107" s="4"/>
      <c r="AI107" s="4"/>
      <c r="AJ107" s="4"/>
      <c r="AK107" s="4"/>
    </row>
    <row r="108" spans="12:37" ht="14.5">
      <c r="L108" s="4"/>
      <c r="M108" s="4"/>
      <c r="O108" s="4"/>
      <c r="P108" s="4"/>
      <c r="V108" s="4"/>
      <c r="Y108" s="4"/>
      <c r="Z108" s="4"/>
      <c r="AA108" s="4"/>
      <c r="AB108" s="4"/>
      <c r="AC108" s="4"/>
      <c r="AD108" s="4"/>
      <c r="AE108" s="4"/>
      <c r="AF108" s="4"/>
      <c r="AG108" s="4"/>
      <c r="AH108" s="4"/>
      <c r="AI108" s="4"/>
      <c r="AJ108" s="4"/>
      <c r="AK108" s="4"/>
    </row>
    <row r="109" spans="12:37" ht="14.5">
      <c r="L109" s="4"/>
      <c r="M109" s="4"/>
      <c r="O109" s="4"/>
      <c r="P109" s="4"/>
      <c r="V109" s="4"/>
      <c r="Y109" s="4"/>
      <c r="Z109" s="4"/>
      <c r="AA109" s="4"/>
      <c r="AB109" s="4"/>
      <c r="AC109" s="4"/>
      <c r="AD109" s="4"/>
      <c r="AE109" s="4"/>
      <c r="AF109" s="4"/>
      <c r="AG109" s="4"/>
      <c r="AH109" s="4"/>
      <c r="AI109" s="4"/>
      <c r="AJ109" s="4"/>
      <c r="AK109" s="4"/>
    </row>
    <row r="110" spans="12:37" ht="14.5">
      <c r="L110" s="4"/>
      <c r="M110" s="4"/>
      <c r="O110" s="4"/>
      <c r="P110" s="4"/>
      <c r="V110" s="4"/>
      <c r="Y110" s="4"/>
      <c r="Z110" s="4"/>
      <c r="AA110" s="4"/>
      <c r="AB110" s="4"/>
      <c r="AC110" s="4"/>
      <c r="AD110" s="4"/>
      <c r="AE110" s="4"/>
      <c r="AF110" s="4"/>
      <c r="AG110" s="4"/>
      <c r="AH110" s="4"/>
      <c r="AI110" s="4"/>
      <c r="AJ110" s="4"/>
      <c r="AK110" s="4"/>
    </row>
    <row r="111" spans="12:37" ht="14.5">
      <c r="L111" s="4"/>
      <c r="M111" s="4"/>
      <c r="O111" s="4"/>
      <c r="P111" s="4"/>
      <c r="V111" s="4"/>
      <c r="Y111" s="4"/>
      <c r="Z111" s="4"/>
      <c r="AA111" s="4"/>
      <c r="AB111" s="4"/>
      <c r="AC111" s="4"/>
      <c r="AD111" s="4"/>
      <c r="AE111" s="4"/>
      <c r="AF111" s="4"/>
      <c r="AG111" s="4"/>
      <c r="AH111" s="4"/>
      <c r="AI111" s="4"/>
      <c r="AJ111" s="4"/>
      <c r="AK111" s="4"/>
    </row>
    <row r="112" spans="12:37" ht="14.5">
      <c r="L112" s="4"/>
      <c r="M112" s="4"/>
      <c r="O112" s="4"/>
      <c r="P112" s="4"/>
      <c r="V112" s="4"/>
      <c r="Y112" s="4"/>
      <c r="Z112" s="4"/>
      <c r="AA112" s="4"/>
      <c r="AB112" s="4"/>
      <c r="AC112" s="4"/>
      <c r="AD112" s="4"/>
      <c r="AE112" s="4"/>
      <c r="AF112" s="4"/>
      <c r="AG112" s="4"/>
      <c r="AH112" s="4"/>
      <c r="AI112" s="4"/>
      <c r="AJ112" s="4"/>
      <c r="AK112" s="4"/>
    </row>
    <row r="113" spans="12:37" ht="14.5">
      <c r="L113" s="4"/>
      <c r="M113" s="4"/>
      <c r="O113" s="4"/>
      <c r="P113" s="4"/>
      <c r="V113" s="4"/>
      <c r="Y113" s="4"/>
      <c r="Z113" s="4"/>
      <c r="AA113" s="4"/>
      <c r="AB113" s="4"/>
      <c r="AC113" s="4"/>
      <c r="AD113" s="4"/>
      <c r="AE113" s="4"/>
      <c r="AF113" s="4"/>
      <c r="AG113" s="4"/>
      <c r="AH113" s="4"/>
      <c r="AI113" s="4"/>
      <c r="AJ113" s="4"/>
      <c r="AK113" s="4"/>
    </row>
    <row r="114" spans="12:37" ht="14.5">
      <c r="L114" s="4"/>
      <c r="M114" s="4"/>
      <c r="O114" s="4"/>
      <c r="P114" s="4"/>
      <c r="V114" s="4"/>
      <c r="Y114" s="4"/>
      <c r="Z114" s="4"/>
      <c r="AA114" s="4"/>
      <c r="AB114" s="4"/>
      <c r="AC114" s="4"/>
      <c r="AD114" s="4"/>
      <c r="AE114" s="4"/>
      <c r="AF114" s="4"/>
      <c r="AG114" s="4"/>
      <c r="AH114" s="4"/>
      <c r="AI114" s="4"/>
      <c r="AJ114" s="4"/>
      <c r="AK114" s="4"/>
    </row>
    <row r="115" spans="12:37" ht="14.5">
      <c r="L115" s="4"/>
      <c r="M115" s="4"/>
      <c r="O115" s="4"/>
      <c r="P115" s="4"/>
      <c r="V115" s="4"/>
      <c r="Y115" s="4"/>
      <c r="Z115" s="4"/>
      <c r="AA115" s="4"/>
      <c r="AB115" s="4"/>
      <c r="AC115" s="4"/>
      <c r="AD115" s="4"/>
      <c r="AE115" s="4"/>
      <c r="AF115" s="4"/>
      <c r="AG115" s="4"/>
      <c r="AH115" s="4"/>
      <c r="AI115" s="4"/>
      <c r="AJ115" s="4"/>
      <c r="AK115" s="4"/>
    </row>
    <row r="116" spans="12:37" ht="14.5">
      <c r="L116" s="4"/>
      <c r="M116" s="4"/>
      <c r="O116" s="4"/>
      <c r="P116" s="4"/>
      <c r="V116" s="4"/>
      <c r="Y116" s="4"/>
      <c r="Z116" s="4"/>
      <c r="AA116" s="4"/>
      <c r="AB116" s="4"/>
      <c r="AC116" s="4"/>
      <c r="AD116" s="4"/>
      <c r="AE116" s="4"/>
      <c r="AF116" s="4"/>
      <c r="AG116" s="4"/>
      <c r="AH116" s="4"/>
      <c r="AI116" s="4"/>
      <c r="AJ116" s="4"/>
      <c r="AK116" s="4"/>
    </row>
    <row r="117" spans="12:37" ht="14.5">
      <c r="L117" s="4"/>
      <c r="M117" s="4"/>
      <c r="O117" s="4"/>
      <c r="P117" s="4"/>
      <c r="V117" s="4"/>
      <c r="Y117" s="4"/>
      <c r="Z117" s="4"/>
      <c r="AA117" s="4"/>
      <c r="AB117" s="4"/>
      <c r="AC117" s="4"/>
      <c r="AD117" s="4"/>
      <c r="AE117" s="4"/>
      <c r="AF117" s="4"/>
      <c r="AG117" s="4"/>
      <c r="AH117" s="4"/>
      <c r="AI117" s="4"/>
      <c r="AJ117" s="4"/>
      <c r="AK117" s="4"/>
    </row>
    <row r="118" spans="12:37" ht="14.5">
      <c r="L118" s="4"/>
      <c r="M118" s="4"/>
      <c r="O118" s="4"/>
      <c r="P118" s="4"/>
      <c r="V118" s="4"/>
      <c r="Y118" s="4"/>
      <c r="Z118" s="4"/>
      <c r="AA118" s="4"/>
      <c r="AB118" s="4"/>
      <c r="AC118" s="4"/>
      <c r="AD118" s="4"/>
      <c r="AE118" s="4"/>
      <c r="AF118" s="4"/>
      <c r="AG118" s="4"/>
      <c r="AH118" s="4"/>
      <c r="AI118" s="4"/>
      <c r="AJ118" s="4"/>
      <c r="AK118" s="4"/>
    </row>
    <row r="119" spans="12:37" ht="14.5">
      <c r="L119" s="4"/>
      <c r="M119" s="4"/>
      <c r="O119" s="4"/>
      <c r="P119" s="4"/>
      <c r="V119" s="4"/>
      <c r="Y119" s="4"/>
      <c r="Z119" s="4"/>
      <c r="AA119" s="4"/>
      <c r="AB119" s="4"/>
      <c r="AC119" s="4"/>
      <c r="AD119" s="4"/>
      <c r="AE119" s="4"/>
      <c r="AF119" s="4"/>
      <c r="AG119" s="4"/>
      <c r="AH119" s="4"/>
      <c r="AI119" s="4"/>
      <c r="AJ119" s="4"/>
      <c r="AK119" s="4"/>
    </row>
    <row r="120" spans="12:37" ht="14.5">
      <c r="L120" s="4"/>
      <c r="M120" s="4"/>
      <c r="O120" s="4"/>
      <c r="P120" s="4"/>
      <c r="V120" s="4"/>
      <c r="Y120" s="4"/>
      <c r="Z120" s="4"/>
      <c r="AA120" s="4"/>
      <c r="AB120" s="4"/>
      <c r="AC120" s="4"/>
      <c r="AD120" s="4"/>
      <c r="AE120" s="4"/>
      <c r="AF120" s="4"/>
      <c r="AG120" s="4"/>
      <c r="AH120" s="4"/>
      <c r="AI120" s="4"/>
      <c r="AJ120" s="4"/>
      <c r="AK120" s="4"/>
    </row>
    <row r="121" spans="12:37" ht="14.5">
      <c r="L121" s="4"/>
      <c r="M121" s="4"/>
      <c r="O121" s="4"/>
      <c r="P121" s="4"/>
      <c r="V121" s="4"/>
      <c r="Y121" s="4"/>
      <c r="Z121" s="4"/>
      <c r="AA121" s="4"/>
      <c r="AB121" s="4"/>
      <c r="AC121" s="4"/>
      <c r="AD121" s="4"/>
      <c r="AE121" s="4"/>
      <c r="AF121" s="4"/>
      <c r="AG121" s="4"/>
      <c r="AH121" s="4"/>
      <c r="AI121" s="4"/>
      <c r="AJ121" s="4"/>
      <c r="AK121" s="4"/>
    </row>
    <row r="122" spans="12:37" ht="14.5">
      <c r="L122" s="4"/>
      <c r="M122" s="4"/>
      <c r="O122" s="4"/>
      <c r="P122" s="4"/>
      <c r="V122" s="4"/>
      <c r="Y122" s="4"/>
      <c r="Z122" s="4"/>
      <c r="AA122" s="4"/>
      <c r="AB122" s="4"/>
      <c r="AC122" s="4"/>
      <c r="AD122" s="4"/>
      <c r="AE122" s="4"/>
      <c r="AF122" s="4"/>
      <c r="AG122" s="4"/>
      <c r="AH122" s="4"/>
      <c r="AI122" s="4"/>
      <c r="AJ122" s="4"/>
      <c r="AK122" s="4"/>
    </row>
    <row r="123" spans="12:37" ht="14.5">
      <c r="L123" s="4"/>
      <c r="M123" s="4"/>
      <c r="O123" s="4"/>
      <c r="P123" s="4"/>
      <c r="V123" s="4"/>
      <c r="Y123" s="4"/>
      <c r="Z123" s="4"/>
      <c r="AA123" s="4"/>
      <c r="AB123" s="4"/>
      <c r="AC123" s="4"/>
      <c r="AD123" s="4"/>
      <c r="AE123" s="4"/>
      <c r="AF123" s="4"/>
      <c r="AG123" s="4"/>
      <c r="AH123" s="4"/>
      <c r="AI123" s="4"/>
      <c r="AJ123" s="4"/>
      <c r="AK123" s="4"/>
    </row>
    <row r="124" spans="12:37" ht="14.5">
      <c r="L124" s="4"/>
      <c r="M124" s="4"/>
      <c r="O124" s="4"/>
      <c r="P124" s="4"/>
      <c r="V124" s="4"/>
      <c r="Y124" s="4"/>
      <c r="Z124" s="4"/>
      <c r="AA124" s="4"/>
      <c r="AB124" s="4"/>
      <c r="AC124" s="4"/>
      <c r="AD124" s="4"/>
      <c r="AE124" s="4"/>
      <c r="AF124" s="4"/>
      <c r="AG124" s="4"/>
      <c r="AH124" s="4"/>
      <c r="AI124" s="4"/>
      <c r="AJ124" s="4"/>
      <c r="AK124" s="4"/>
    </row>
    <row r="125" spans="12:37" ht="14.5">
      <c r="L125" s="4"/>
      <c r="M125" s="4"/>
      <c r="O125" s="4"/>
      <c r="P125" s="4"/>
      <c r="V125" s="4"/>
      <c r="Y125" s="4"/>
      <c r="Z125" s="4"/>
      <c r="AA125" s="4"/>
      <c r="AB125" s="4"/>
      <c r="AC125" s="4"/>
      <c r="AD125" s="4"/>
      <c r="AE125" s="4"/>
      <c r="AF125" s="4"/>
      <c r="AG125" s="4"/>
      <c r="AH125" s="4"/>
      <c r="AI125" s="4"/>
      <c r="AJ125" s="4"/>
      <c r="AK125" s="4"/>
    </row>
    <row r="126" spans="12:37" ht="14.5">
      <c r="L126" s="4"/>
      <c r="M126" s="4"/>
      <c r="O126" s="4"/>
      <c r="P126" s="4"/>
      <c r="V126" s="4"/>
      <c r="Y126" s="4"/>
      <c r="Z126" s="4"/>
      <c r="AA126" s="4"/>
      <c r="AB126" s="4"/>
      <c r="AC126" s="4"/>
      <c r="AD126" s="4"/>
      <c r="AE126" s="4"/>
      <c r="AF126" s="4"/>
      <c r="AG126" s="4"/>
      <c r="AH126" s="4"/>
      <c r="AI126" s="4"/>
      <c r="AJ126" s="4"/>
      <c r="AK126" s="4"/>
    </row>
    <row r="127" spans="12:37" ht="14.5">
      <c r="L127" s="4"/>
      <c r="M127" s="4"/>
      <c r="O127" s="4"/>
      <c r="P127" s="4"/>
      <c r="V127" s="4"/>
      <c r="Y127" s="4"/>
      <c r="Z127" s="4"/>
      <c r="AA127" s="4"/>
      <c r="AB127" s="4"/>
      <c r="AC127" s="4"/>
      <c r="AD127" s="4"/>
      <c r="AE127" s="4"/>
      <c r="AF127" s="4"/>
      <c r="AG127" s="4"/>
      <c r="AH127" s="4"/>
      <c r="AI127" s="4"/>
      <c r="AJ127" s="4"/>
      <c r="AK127" s="4"/>
    </row>
    <row r="128" spans="12:37" ht="14.5">
      <c r="L128" s="4"/>
      <c r="M128" s="4"/>
      <c r="O128" s="4"/>
      <c r="P128" s="4"/>
      <c r="V128" s="4"/>
      <c r="Y128" s="4"/>
      <c r="Z128" s="4"/>
      <c r="AA128" s="4"/>
      <c r="AB128" s="4"/>
      <c r="AC128" s="4"/>
      <c r="AD128" s="4"/>
      <c r="AE128" s="4"/>
      <c r="AF128" s="4"/>
      <c r="AG128" s="4"/>
      <c r="AH128" s="4"/>
      <c r="AI128" s="4"/>
      <c r="AJ128" s="4"/>
      <c r="AK128" s="4"/>
    </row>
    <row r="129" spans="12:37" ht="14.5">
      <c r="L129" s="4"/>
      <c r="M129" s="4"/>
      <c r="O129" s="4"/>
      <c r="P129" s="4"/>
      <c r="V129" s="4"/>
      <c r="Y129" s="4"/>
      <c r="Z129" s="4"/>
      <c r="AA129" s="4"/>
      <c r="AB129" s="4"/>
      <c r="AC129" s="4"/>
      <c r="AD129" s="4"/>
      <c r="AE129" s="4"/>
      <c r="AF129" s="4"/>
      <c r="AG129" s="4"/>
      <c r="AH129" s="4"/>
      <c r="AI129" s="4"/>
      <c r="AJ129" s="4"/>
      <c r="AK129" s="4"/>
    </row>
    <row r="130" spans="12:37" ht="14.5">
      <c r="L130" s="4"/>
      <c r="M130" s="4"/>
      <c r="O130" s="4"/>
      <c r="P130" s="4"/>
      <c r="V130" s="4"/>
      <c r="Y130" s="4"/>
      <c r="Z130" s="4"/>
      <c r="AA130" s="4"/>
      <c r="AB130" s="4"/>
      <c r="AC130" s="4"/>
      <c r="AD130" s="4"/>
      <c r="AE130" s="4"/>
      <c r="AF130" s="4"/>
      <c r="AG130" s="4"/>
      <c r="AH130" s="4"/>
      <c r="AI130" s="4"/>
      <c r="AJ130" s="4"/>
      <c r="AK130" s="4"/>
    </row>
    <row r="131" spans="12:37" ht="14.5">
      <c r="L131" s="4"/>
      <c r="M131" s="4"/>
      <c r="O131" s="4"/>
      <c r="P131" s="4"/>
      <c r="V131" s="4"/>
      <c r="Y131" s="4"/>
      <c r="Z131" s="4"/>
      <c r="AA131" s="4"/>
      <c r="AB131" s="4"/>
      <c r="AC131" s="4"/>
      <c r="AD131" s="4"/>
      <c r="AE131" s="4"/>
      <c r="AF131" s="4"/>
      <c r="AG131" s="4"/>
      <c r="AH131" s="4"/>
      <c r="AI131" s="4"/>
      <c r="AJ131" s="4"/>
      <c r="AK131" s="4"/>
    </row>
    <row r="132" spans="12:37" ht="14.5">
      <c r="L132" s="4"/>
      <c r="M132" s="4"/>
      <c r="O132" s="4"/>
      <c r="P132" s="4"/>
      <c r="V132" s="4"/>
      <c r="Y132" s="4"/>
      <c r="Z132" s="4"/>
      <c r="AA132" s="4"/>
      <c r="AB132" s="4"/>
      <c r="AC132" s="4"/>
      <c r="AD132" s="4"/>
      <c r="AE132" s="4"/>
      <c r="AF132" s="4"/>
      <c r="AG132" s="4"/>
      <c r="AH132" s="4"/>
      <c r="AI132" s="4"/>
      <c r="AJ132" s="4"/>
      <c r="AK132" s="4"/>
    </row>
    <row r="133" spans="12:37" ht="14.5">
      <c r="L133" s="4"/>
      <c r="M133" s="4"/>
      <c r="O133" s="4"/>
      <c r="P133" s="4"/>
      <c r="V133" s="4"/>
      <c r="Y133" s="4"/>
      <c r="Z133" s="4"/>
      <c r="AA133" s="4"/>
      <c r="AB133" s="4"/>
      <c r="AC133" s="4"/>
      <c r="AD133" s="4"/>
      <c r="AE133" s="4"/>
      <c r="AF133" s="4"/>
      <c r="AG133" s="4"/>
      <c r="AH133" s="4"/>
      <c r="AI133" s="4"/>
      <c r="AJ133" s="4"/>
      <c r="AK133" s="4"/>
    </row>
    <row r="134" spans="12:37" ht="14.5">
      <c r="L134" s="4"/>
      <c r="M134" s="4"/>
      <c r="O134" s="4"/>
      <c r="P134" s="4"/>
      <c r="V134" s="4"/>
      <c r="Y134" s="4"/>
      <c r="Z134" s="4"/>
      <c r="AA134" s="4"/>
      <c r="AB134" s="4"/>
      <c r="AC134" s="4"/>
      <c r="AD134" s="4"/>
      <c r="AE134" s="4"/>
      <c r="AF134" s="4"/>
      <c r="AG134" s="4"/>
      <c r="AH134" s="4"/>
      <c r="AI134" s="4"/>
      <c r="AJ134" s="4"/>
      <c r="AK134" s="4"/>
    </row>
    <row r="135" spans="12:37" ht="14.5">
      <c r="L135" s="4"/>
      <c r="M135" s="4"/>
      <c r="O135" s="4"/>
      <c r="P135" s="4"/>
      <c r="V135" s="4"/>
      <c r="Y135" s="4"/>
      <c r="Z135" s="4"/>
      <c r="AA135" s="4"/>
      <c r="AB135" s="4"/>
      <c r="AC135" s="4"/>
      <c r="AD135" s="4"/>
      <c r="AE135" s="4"/>
      <c r="AF135" s="4"/>
      <c r="AG135" s="4"/>
      <c r="AH135" s="4"/>
      <c r="AI135" s="4"/>
      <c r="AJ135" s="4"/>
      <c r="AK135" s="4"/>
    </row>
    <row r="136" spans="12:37" ht="14.5">
      <c r="L136" s="4"/>
      <c r="M136" s="4"/>
      <c r="O136" s="4"/>
      <c r="P136" s="4"/>
      <c r="V136" s="4"/>
      <c r="Y136" s="4"/>
      <c r="Z136" s="4"/>
      <c r="AA136" s="4"/>
      <c r="AB136" s="4"/>
      <c r="AC136" s="4"/>
      <c r="AD136" s="4"/>
      <c r="AE136" s="4"/>
      <c r="AF136" s="4"/>
      <c r="AG136" s="4"/>
      <c r="AH136" s="4"/>
      <c r="AI136" s="4"/>
      <c r="AJ136" s="4"/>
      <c r="AK136" s="4"/>
    </row>
    <row r="137" spans="12:37" ht="14.5">
      <c r="L137" s="4"/>
      <c r="M137" s="4"/>
      <c r="O137" s="4"/>
      <c r="P137" s="4"/>
      <c r="V137" s="4"/>
      <c r="Y137" s="4"/>
      <c r="Z137" s="4"/>
      <c r="AA137" s="4"/>
      <c r="AB137" s="4"/>
      <c r="AC137" s="4"/>
      <c r="AD137" s="4"/>
      <c r="AE137" s="4"/>
      <c r="AF137" s="4"/>
      <c r="AG137" s="4"/>
      <c r="AH137" s="4"/>
      <c r="AI137" s="4"/>
      <c r="AJ137" s="4"/>
      <c r="AK137" s="4"/>
    </row>
    <row r="138" spans="12:37" ht="14.5">
      <c r="L138" s="4"/>
      <c r="M138" s="4"/>
      <c r="O138" s="4"/>
      <c r="P138" s="4"/>
      <c r="V138" s="4"/>
      <c r="Y138" s="4"/>
      <c r="Z138" s="4"/>
      <c r="AA138" s="4"/>
      <c r="AB138" s="4"/>
      <c r="AC138" s="4"/>
      <c r="AD138" s="4"/>
      <c r="AE138" s="4"/>
      <c r="AF138" s="4"/>
      <c r="AG138" s="4"/>
      <c r="AH138" s="4"/>
      <c r="AI138" s="4"/>
      <c r="AJ138" s="4"/>
      <c r="AK138" s="4"/>
    </row>
    <row r="139" spans="12:37" ht="14.5">
      <c r="L139" s="4"/>
      <c r="M139" s="4"/>
      <c r="O139" s="4"/>
      <c r="P139" s="4"/>
      <c r="V139" s="4"/>
      <c r="Y139" s="4"/>
      <c r="Z139" s="4"/>
      <c r="AA139" s="4"/>
      <c r="AB139" s="4"/>
      <c r="AC139" s="4"/>
      <c r="AD139" s="4"/>
      <c r="AE139" s="4"/>
      <c r="AF139" s="4"/>
      <c r="AG139" s="4"/>
      <c r="AH139" s="4"/>
      <c r="AI139" s="4"/>
      <c r="AJ139" s="4"/>
      <c r="AK139" s="4"/>
    </row>
    <row r="140" spans="12:37" ht="14.5">
      <c r="L140" s="4"/>
      <c r="M140" s="4"/>
      <c r="O140" s="4"/>
      <c r="P140" s="4"/>
      <c r="V140" s="4"/>
      <c r="Y140" s="4"/>
      <c r="Z140" s="4"/>
      <c r="AA140" s="4"/>
      <c r="AB140" s="4"/>
      <c r="AC140" s="4"/>
      <c r="AD140" s="4"/>
      <c r="AE140" s="4"/>
      <c r="AF140" s="4"/>
      <c r="AG140" s="4"/>
      <c r="AH140" s="4"/>
      <c r="AI140" s="4"/>
      <c r="AJ140" s="4"/>
      <c r="AK140" s="4"/>
    </row>
    <row r="141" spans="12:37" ht="14.5">
      <c r="L141" s="4"/>
      <c r="M141" s="4"/>
      <c r="O141" s="4"/>
      <c r="P141" s="4"/>
      <c r="V141" s="4"/>
      <c r="Y141" s="4"/>
      <c r="Z141" s="4"/>
      <c r="AA141" s="4"/>
      <c r="AB141" s="4"/>
      <c r="AC141" s="4"/>
      <c r="AD141" s="4"/>
      <c r="AE141" s="4"/>
      <c r="AF141" s="4"/>
      <c r="AG141" s="4"/>
      <c r="AH141" s="4"/>
      <c r="AI141" s="4"/>
      <c r="AJ141" s="4"/>
      <c r="AK141" s="4"/>
    </row>
    <row r="142" spans="12:37" ht="14.5">
      <c r="L142" s="4"/>
      <c r="M142" s="4"/>
      <c r="O142" s="4"/>
      <c r="P142" s="4"/>
      <c r="V142" s="4"/>
      <c r="Y142" s="4"/>
      <c r="Z142" s="4"/>
      <c r="AA142" s="4"/>
      <c r="AB142" s="4"/>
      <c r="AC142" s="4"/>
      <c r="AD142" s="4"/>
      <c r="AE142" s="4"/>
      <c r="AF142" s="4"/>
      <c r="AG142" s="4"/>
      <c r="AH142" s="4"/>
      <c r="AI142" s="4"/>
      <c r="AJ142" s="4"/>
      <c r="AK142" s="4"/>
    </row>
    <row r="143" spans="12:37" ht="14.5">
      <c r="L143" s="4"/>
      <c r="M143" s="4"/>
      <c r="O143" s="4"/>
      <c r="P143" s="4"/>
      <c r="V143" s="4"/>
      <c r="Y143" s="4"/>
      <c r="Z143" s="4"/>
      <c r="AA143" s="4"/>
      <c r="AB143" s="4"/>
      <c r="AC143" s="4"/>
      <c r="AD143" s="4"/>
      <c r="AE143" s="4"/>
      <c r="AF143" s="4"/>
      <c r="AG143" s="4"/>
      <c r="AH143" s="4"/>
      <c r="AI143" s="4"/>
      <c r="AJ143" s="4"/>
      <c r="AK143" s="4"/>
    </row>
    <row r="144" spans="12:37" ht="14.5">
      <c r="L144" s="4"/>
      <c r="M144" s="4"/>
      <c r="O144" s="4"/>
      <c r="P144" s="4"/>
      <c r="V144" s="4"/>
      <c r="Y144" s="4"/>
      <c r="Z144" s="4"/>
      <c r="AA144" s="4"/>
      <c r="AB144" s="4"/>
      <c r="AC144" s="4"/>
      <c r="AD144" s="4"/>
      <c r="AE144" s="4"/>
      <c r="AF144" s="4"/>
      <c r="AG144" s="4"/>
      <c r="AH144" s="4"/>
      <c r="AI144" s="4"/>
      <c r="AJ144" s="4"/>
      <c r="AK144" s="4"/>
    </row>
    <row r="145" spans="12:37" ht="14.5">
      <c r="L145" s="4"/>
      <c r="M145" s="4"/>
      <c r="O145" s="4"/>
      <c r="P145" s="4"/>
      <c r="V145" s="4"/>
      <c r="Y145" s="4"/>
      <c r="Z145" s="4"/>
      <c r="AA145" s="4"/>
      <c r="AB145" s="4"/>
      <c r="AC145" s="4"/>
      <c r="AD145" s="4"/>
      <c r="AE145" s="4"/>
      <c r="AF145" s="4"/>
      <c r="AG145" s="4"/>
      <c r="AH145" s="4"/>
      <c r="AI145" s="4"/>
      <c r="AJ145" s="4"/>
      <c r="AK145" s="4"/>
    </row>
    <row r="146" spans="12:37" ht="14.5">
      <c r="L146" s="4"/>
      <c r="M146" s="4"/>
      <c r="O146" s="4"/>
      <c r="P146" s="4"/>
      <c r="V146" s="4"/>
      <c r="Y146" s="4"/>
      <c r="Z146" s="4"/>
      <c r="AA146" s="4"/>
      <c r="AB146" s="4"/>
      <c r="AC146" s="4"/>
      <c r="AD146" s="4"/>
      <c r="AE146" s="4"/>
      <c r="AF146" s="4"/>
      <c r="AG146" s="4"/>
      <c r="AH146" s="4"/>
      <c r="AI146" s="4"/>
      <c r="AJ146" s="4"/>
      <c r="AK146" s="4"/>
    </row>
    <row r="147" spans="12:37" ht="14.5">
      <c r="L147" s="4"/>
      <c r="M147" s="4"/>
      <c r="O147" s="4"/>
      <c r="P147" s="4"/>
      <c r="V147" s="4"/>
      <c r="Y147" s="4"/>
      <c r="Z147" s="4"/>
      <c r="AA147" s="4"/>
      <c r="AB147" s="4"/>
      <c r="AC147" s="4"/>
      <c r="AD147" s="4"/>
      <c r="AE147" s="4"/>
      <c r="AF147" s="4"/>
      <c r="AG147" s="4"/>
      <c r="AH147" s="4"/>
      <c r="AI147" s="4"/>
      <c r="AJ147" s="4"/>
      <c r="AK147" s="4"/>
    </row>
    <row r="148" spans="12:37" ht="14.5">
      <c r="L148" s="4"/>
      <c r="M148" s="4"/>
      <c r="O148" s="4"/>
      <c r="P148" s="4"/>
      <c r="V148" s="4"/>
      <c r="Y148" s="4"/>
      <c r="Z148" s="4"/>
      <c r="AA148" s="4"/>
      <c r="AB148" s="4"/>
      <c r="AC148" s="4"/>
      <c r="AD148" s="4"/>
      <c r="AE148" s="4"/>
      <c r="AF148" s="4"/>
      <c r="AG148" s="4"/>
      <c r="AH148" s="4"/>
      <c r="AI148" s="4"/>
      <c r="AJ148" s="4"/>
      <c r="AK148" s="4"/>
    </row>
    <row r="149" spans="12:37" ht="14.5">
      <c r="L149" s="4"/>
      <c r="M149" s="4"/>
      <c r="O149" s="4"/>
      <c r="P149" s="4"/>
      <c r="V149" s="4"/>
      <c r="Y149" s="4"/>
      <c r="Z149" s="4"/>
      <c r="AA149" s="4"/>
      <c r="AB149" s="4"/>
      <c r="AC149" s="4"/>
      <c r="AD149" s="4"/>
      <c r="AE149" s="4"/>
      <c r="AF149" s="4"/>
      <c r="AG149" s="4"/>
      <c r="AH149" s="4"/>
      <c r="AI149" s="4"/>
      <c r="AJ149" s="4"/>
      <c r="AK149" s="4"/>
    </row>
    <row r="150" spans="12:37" ht="14.5">
      <c r="L150" s="4"/>
      <c r="M150" s="4"/>
      <c r="O150" s="4"/>
      <c r="P150" s="4"/>
      <c r="V150" s="4"/>
      <c r="Y150" s="4"/>
      <c r="Z150" s="4"/>
      <c r="AA150" s="4"/>
      <c r="AB150" s="4"/>
      <c r="AC150" s="4"/>
      <c r="AD150" s="4"/>
      <c r="AE150" s="4"/>
      <c r="AF150" s="4"/>
      <c r="AG150" s="4"/>
      <c r="AH150" s="4"/>
      <c r="AI150" s="4"/>
      <c r="AJ150" s="4"/>
      <c r="AK150" s="4"/>
    </row>
    <row r="151" spans="12:37" ht="14.5">
      <c r="L151" s="4"/>
      <c r="M151" s="4"/>
      <c r="O151" s="4"/>
      <c r="P151" s="4"/>
      <c r="V151" s="4"/>
      <c r="Y151" s="4"/>
      <c r="Z151" s="4"/>
      <c r="AA151" s="4"/>
      <c r="AB151" s="4"/>
      <c r="AC151" s="4"/>
      <c r="AD151" s="4"/>
      <c r="AE151" s="4"/>
      <c r="AF151" s="4"/>
      <c r="AG151" s="4"/>
      <c r="AH151" s="4"/>
      <c r="AI151" s="4"/>
      <c r="AJ151" s="4"/>
      <c r="AK151" s="4"/>
    </row>
    <row r="152" spans="12:37" ht="14.5">
      <c r="L152" s="4"/>
      <c r="M152" s="4"/>
      <c r="O152" s="4"/>
      <c r="P152" s="4"/>
      <c r="V152" s="4"/>
      <c r="Y152" s="4"/>
      <c r="Z152" s="4"/>
      <c r="AA152" s="4"/>
      <c r="AB152" s="4"/>
      <c r="AC152" s="4"/>
      <c r="AD152" s="4"/>
      <c r="AE152" s="4"/>
      <c r="AF152" s="4"/>
      <c r="AG152" s="4"/>
      <c r="AH152" s="4"/>
      <c r="AI152" s="4"/>
      <c r="AJ152" s="4"/>
      <c r="AK152" s="4"/>
    </row>
    <row r="153" spans="12:37" ht="14.5">
      <c r="L153" s="4"/>
      <c r="M153" s="4"/>
      <c r="O153" s="4"/>
      <c r="P153" s="4"/>
      <c r="V153" s="4"/>
      <c r="Y153" s="4"/>
      <c r="Z153" s="4"/>
      <c r="AA153" s="4"/>
      <c r="AB153" s="4"/>
      <c r="AC153" s="4"/>
      <c r="AD153" s="4"/>
      <c r="AE153" s="4"/>
      <c r="AF153" s="4"/>
      <c r="AG153" s="4"/>
      <c r="AH153" s="4"/>
      <c r="AI153" s="4"/>
      <c r="AJ153" s="4"/>
      <c r="AK153" s="4"/>
    </row>
    <row r="154" spans="12:37" ht="14.5">
      <c r="L154" s="4"/>
      <c r="M154" s="4"/>
      <c r="O154" s="4"/>
      <c r="P154" s="4"/>
      <c r="V154" s="4"/>
      <c r="Y154" s="4"/>
      <c r="Z154" s="4"/>
      <c r="AA154" s="4"/>
      <c r="AB154" s="4"/>
      <c r="AC154" s="4"/>
      <c r="AD154" s="4"/>
      <c r="AE154" s="4"/>
      <c r="AF154" s="4"/>
      <c r="AG154" s="4"/>
      <c r="AH154" s="4"/>
      <c r="AI154" s="4"/>
      <c r="AJ154" s="4"/>
      <c r="AK154" s="4"/>
    </row>
    <row r="155" spans="12:37" ht="14.5">
      <c r="L155" s="4"/>
      <c r="M155" s="4"/>
      <c r="O155" s="4"/>
      <c r="P155" s="4"/>
      <c r="V155" s="4"/>
      <c r="Y155" s="4"/>
      <c r="Z155" s="4"/>
      <c r="AA155" s="4"/>
      <c r="AB155" s="4"/>
      <c r="AC155" s="4"/>
      <c r="AD155" s="4"/>
      <c r="AE155" s="4"/>
      <c r="AF155" s="4"/>
      <c r="AG155" s="4"/>
      <c r="AH155" s="4"/>
      <c r="AI155" s="4"/>
      <c r="AJ155" s="4"/>
      <c r="AK155" s="4"/>
    </row>
    <row r="156" spans="12:37" ht="14.5">
      <c r="L156" s="4"/>
      <c r="M156" s="4"/>
      <c r="O156" s="4"/>
      <c r="P156" s="4"/>
      <c r="V156" s="4"/>
      <c r="Y156" s="4"/>
      <c r="Z156" s="4"/>
      <c r="AA156" s="4"/>
      <c r="AB156" s="4"/>
      <c r="AC156" s="4"/>
      <c r="AD156" s="4"/>
      <c r="AE156" s="4"/>
      <c r="AF156" s="4"/>
      <c r="AG156" s="4"/>
      <c r="AH156" s="4"/>
      <c r="AI156" s="4"/>
      <c r="AJ156" s="4"/>
      <c r="AK156" s="4"/>
    </row>
    <row r="157" spans="12:37" ht="14.5">
      <c r="L157" s="4"/>
      <c r="M157" s="4"/>
      <c r="O157" s="4"/>
      <c r="P157" s="4"/>
      <c r="V157" s="4"/>
      <c r="Y157" s="4"/>
      <c r="Z157" s="4"/>
      <c r="AA157" s="4"/>
      <c r="AB157" s="4"/>
      <c r="AC157" s="4"/>
      <c r="AD157" s="4"/>
      <c r="AE157" s="4"/>
      <c r="AF157" s="4"/>
      <c r="AG157" s="4"/>
      <c r="AH157" s="4"/>
      <c r="AI157" s="4"/>
      <c r="AJ157" s="4"/>
      <c r="AK157" s="4"/>
    </row>
    <row r="158" spans="12:37" ht="14.5">
      <c r="L158" s="4"/>
      <c r="M158" s="4"/>
      <c r="O158" s="4"/>
      <c r="P158" s="4"/>
      <c r="V158" s="4"/>
      <c r="Y158" s="4"/>
      <c r="Z158" s="4"/>
      <c r="AA158" s="4"/>
      <c r="AB158" s="4"/>
      <c r="AC158" s="4"/>
      <c r="AD158" s="4"/>
      <c r="AE158" s="4"/>
      <c r="AF158" s="4"/>
      <c r="AG158" s="4"/>
      <c r="AH158" s="4"/>
      <c r="AI158" s="4"/>
      <c r="AJ158" s="4"/>
      <c r="AK158" s="4"/>
    </row>
    <row r="159" spans="12:37" ht="14.5">
      <c r="L159" s="4"/>
      <c r="M159" s="4"/>
      <c r="O159" s="4"/>
      <c r="P159" s="4"/>
      <c r="V159" s="4"/>
      <c r="Y159" s="4"/>
      <c r="Z159" s="4"/>
      <c r="AA159" s="4"/>
      <c r="AB159" s="4"/>
      <c r="AC159" s="4"/>
      <c r="AD159" s="4"/>
      <c r="AE159" s="4"/>
      <c r="AF159" s="4"/>
      <c r="AG159" s="4"/>
      <c r="AH159" s="4"/>
      <c r="AI159" s="4"/>
      <c r="AJ159" s="4"/>
      <c r="AK159" s="4"/>
    </row>
    <row r="160" spans="12:37" ht="14.5">
      <c r="L160" s="4"/>
      <c r="M160" s="4"/>
      <c r="O160" s="4"/>
      <c r="P160" s="4"/>
      <c r="V160" s="4"/>
      <c r="Y160" s="4"/>
      <c r="Z160" s="4"/>
      <c r="AA160" s="4"/>
      <c r="AB160" s="4"/>
      <c r="AC160" s="4"/>
      <c r="AD160" s="4"/>
      <c r="AE160" s="4"/>
      <c r="AF160" s="4"/>
      <c r="AG160" s="4"/>
      <c r="AH160" s="4"/>
      <c r="AI160" s="4"/>
      <c r="AJ160" s="4"/>
      <c r="AK160" s="4"/>
    </row>
    <row r="161" spans="12:37" ht="14.5">
      <c r="L161" s="4"/>
      <c r="M161" s="4"/>
      <c r="O161" s="4"/>
      <c r="P161" s="4"/>
      <c r="V161" s="4"/>
      <c r="Y161" s="4"/>
      <c r="Z161" s="4"/>
      <c r="AA161" s="4"/>
      <c r="AB161" s="4"/>
      <c r="AC161" s="4"/>
      <c r="AD161" s="4"/>
      <c r="AE161" s="4"/>
      <c r="AF161" s="4"/>
      <c r="AG161" s="4"/>
      <c r="AH161" s="4"/>
      <c r="AI161" s="4"/>
      <c r="AJ161" s="4"/>
      <c r="AK161" s="4"/>
    </row>
    <row r="162" spans="12:37" ht="14.5">
      <c r="L162" s="4"/>
      <c r="M162" s="4"/>
      <c r="O162" s="4"/>
      <c r="P162" s="4"/>
      <c r="V162" s="4"/>
      <c r="Y162" s="4"/>
      <c r="Z162" s="4"/>
      <c r="AA162" s="4"/>
      <c r="AB162" s="4"/>
      <c r="AC162" s="4"/>
      <c r="AD162" s="4"/>
      <c r="AE162" s="4"/>
      <c r="AF162" s="4"/>
      <c r="AG162" s="4"/>
      <c r="AH162" s="4"/>
      <c r="AI162" s="4"/>
      <c r="AJ162" s="4"/>
      <c r="AK162" s="4"/>
    </row>
    <row r="163" spans="12:37" ht="14.5">
      <c r="L163" s="4"/>
      <c r="M163" s="4"/>
      <c r="O163" s="4"/>
      <c r="P163" s="4"/>
      <c r="V163" s="4"/>
      <c r="Y163" s="4"/>
      <c r="Z163" s="4"/>
      <c r="AA163" s="4"/>
      <c r="AB163" s="4"/>
      <c r="AC163" s="4"/>
      <c r="AD163" s="4"/>
      <c r="AE163" s="4"/>
      <c r="AF163" s="4"/>
      <c r="AG163" s="4"/>
      <c r="AH163" s="4"/>
      <c r="AI163" s="4"/>
      <c r="AJ163" s="4"/>
      <c r="AK163" s="4"/>
    </row>
    <row r="164" spans="12:37" ht="14.5">
      <c r="L164" s="4"/>
      <c r="M164" s="4"/>
      <c r="O164" s="4"/>
      <c r="P164" s="4"/>
      <c r="V164" s="4"/>
      <c r="Y164" s="4"/>
      <c r="Z164" s="4"/>
      <c r="AA164" s="4"/>
      <c r="AB164" s="4"/>
      <c r="AC164" s="4"/>
      <c r="AD164" s="4"/>
      <c r="AE164" s="4"/>
      <c r="AF164" s="4"/>
      <c r="AG164" s="4"/>
      <c r="AH164" s="4"/>
      <c r="AI164" s="4"/>
      <c r="AJ164" s="4"/>
      <c r="AK164" s="4"/>
    </row>
    <row r="165" spans="12:37" ht="14.5">
      <c r="L165" s="4"/>
      <c r="M165" s="4"/>
      <c r="O165" s="4"/>
      <c r="P165" s="4"/>
      <c r="V165" s="4"/>
      <c r="Y165" s="4"/>
      <c r="Z165" s="4"/>
      <c r="AA165" s="4"/>
      <c r="AB165" s="4"/>
      <c r="AC165" s="4"/>
      <c r="AD165" s="4"/>
      <c r="AE165" s="4"/>
      <c r="AF165" s="4"/>
      <c r="AG165" s="4"/>
      <c r="AH165" s="4"/>
      <c r="AI165" s="4"/>
      <c r="AJ165" s="4"/>
      <c r="AK165" s="4"/>
    </row>
    <row r="166" spans="12:37" ht="14.5">
      <c r="L166" s="4"/>
      <c r="M166" s="4"/>
      <c r="O166" s="4"/>
      <c r="P166" s="4"/>
      <c r="V166" s="4"/>
      <c r="Y166" s="4"/>
      <c r="Z166" s="4"/>
      <c r="AA166" s="4"/>
      <c r="AB166" s="4"/>
      <c r="AC166" s="4"/>
      <c r="AD166" s="4"/>
      <c r="AE166" s="4"/>
      <c r="AF166" s="4"/>
      <c r="AG166" s="4"/>
      <c r="AH166" s="4"/>
      <c r="AI166" s="4"/>
      <c r="AJ166" s="4"/>
      <c r="AK166" s="4"/>
    </row>
    <row r="167" spans="12:37" ht="14.5">
      <c r="L167" s="4"/>
      <c r="M167" s="4"/>
      <c r="O167" s="4"/>
      <c r="P167" s="4"/>
      <c r="V167" s="4"/>
      <c r="Y167" s="4"/>
      <c r="Z167" s="4"/>
      <c r="AA167" s="4"/>
      <c r="AB167" s="4"/>
      <c r="AC167" s="4"/>
      <c r="AD167" s="4"/>
      <c r="AE167" s="4"/>
      <c r="AF167" s="4"/>
      <c r="AG167" s="4"/>
      <c r="AH167" s="4"/>
      <c r="AI167" s="4"/>
      <c r="AJ167" s="4"/>
      <c r="AK167" s="4"/>
    </row>
    <row r="168" spans="12:37" ht="14.5">
      <c r="L168" s="4"/>
      <c r="M168" s="4"/>
      <c r="O168" s="4"/>
      <c r="P168" s="4"/>
      <c r="V168" s="4"/>
      <c r="Y168" s="4"/>
      <c r="Z168" s="4"/>
      <c r="AA168" s="4"/>
      <c r="AB168" s="4"/>
      <c r="AC168" s="4"/>
      <c r="AD168" s="4"/>
      <c r="AE168" s="4"/>
      <c r="AF168" s="4"/>
      <c r="AG168" s="4"/>
      <c r="AH168" s="4"/>
      <c r="AI168" s="4"/>
      <c r="AJ168" s="4"/>
      <c r="AK168" s="4"/>
    </row>
    <row r="169" spans="12:37" ht="14.5">
      <c r="L169" s="4"/>
      <c r="M169" s="4"/>
      <c r="O169" s="4"/>
      <c r="P169" s="4"/>
      <c r="V169" s="4"/>
      <c r="Y169" s="4"/>
      <c r="Z169" s="4"/>
      <c r="AA169" s="4"/>
      <c r="AB169" s="4"/>
      <c r="AC169" s="4"/>
      <c r="AD169" s="4"/>
      <c r="AE169" s="4"/>
      <c r="AF169" s="4"/>
      <c r="AG169" s="4"/>
      <c r="AH169" s="4"/>
      <c r="AI169" s="4"/>
      <c r="AJ169" s="4"/>
      <c r="AK169" s="4"/>
    </row>
    <row r="170" spans="12:37" ht="14.5">
      <c r="L170" s="4"/>
      <c r="M170" s="4"/>
      <c r="O170" s="4"/>
      <c r="P170" s="4"/>
      <c r="V170" s="4"/>
      <c r="Y170" s="4"/>
      <c r="Z170" s="4"/>
      <c r="AA170" s="4"/>
      <c r="AB170" s="4"/>
      <c r="AC170" s="4"/>
      <c r="AD170" s="4"/>
      <c r="AE170" s="4"/>
      <c r="AF170" s="4"/>
      <c r="AG170" s="4"/>
      <c r="AH170" s="4"/>
      <c r="AI170" s="4"/>
      <c r="AJ170" s="4"/>
      <c r="AK170" s="4"/>
    </row>
    <row r="171" spans="12:37" ht="14.5">
      <c r="L171" s="4"/>
      <c r="M171" s="4"/>
      <c r="O171" s="4"/>
      <c r="P171" s="4"/>
      <c r="V171" s="4"/>
      <c r="Y171" s="4"/>
      <c r="Z171" s="4"/>
      <c r="AA171" s="4"/>
      <c r="AB171" s="4"/>
      <c r="AC171" s="4"/>
      <c r="AD171" s="4"/>
      <c r="AE171" s="4"/>
      <c r="AF171" s="4"/>
      <c r="AG171" s="4"/>
      <c r="AH171" s="4"/>
      <c r="AI171" s="4"/>
      <c r="AJ171" s="4"/>
      <c r="AK171" s="4"/>
    </row>
    <row r="172" spans="12:37" ht="14.5">
      <c r="L172" s="4"/>
      <c r="M172" s="4"/>
      <c r="O172" s="4"/>
      <c r="P172" s="4"/>
      <c r="V172" s="4"/>
      <c r="Y172" s="4"/>
      <c r="Z172" s="4"/>
      <c r="AA172" s="4"/>
      <c r="AB172" s="4"/>
      <c r="AC172" s="4"/>
      <c r="AD172" s="4"/>
      <c r="AE172" s="4"/>
      <c r="AF172" s="4"/>
      <c r="AG172" s="4"/>
      <c r="AH172" s="4"/>
      <c r="AI172" s="4"/>
      <c r="AJ172" s="4"/>
      <c r="AK172" s="4"/>
    </row>
    <row r="173" spans="12:37" ht="14.5">
      <c r="L173" s="4"/>
      <c r="M173" s="4"/>
      <c r="O173" s="4"/>
      <c r="P173" s="4"/>
      <c r="V173" s="4"/>
      <c r="Y173" s="4"/>
      <c r="Z173" s="4"/>
      <c r="AA173" s="4"/>
      <c r="AB173" s="4"/>
      <c r="AC173" s="4"/>
      <c r="AD173" s="4"/>
      <c r="AE173" s="4"/>
      <c r="AF173" s="4"/>
      <c r="AG173" s="4"/>
      <c r="AH173" s="4"/>
      <c r="AI173" s="4"/>
      <c r="AJ173" s="4"/>
      <c r="AK173" s="4"/>
    </row>
    <row r="174" spans="12:37" ht="14.5">
      <c r="L174" s="4"/>
      <c r="M174" s="4"/>
      <c r="O174" s="4"/>
      <c r="P174" s="4"/>
      <c r="V174" s="4"/>
      <c r="Y174" s="4"/>
      <c r="Z174" s="4"/>
      <c r="AA174" s="4"/>
      <c r="AB174" s="4"/>
      <c r="AC174" s="4"/>
      <c r="AD174" s="4"/>
      <c r="AE174" s="4"/>
      <c r="AF174" s="4"/>
      <c r="AG174" s="4"/>
      <c r="AH174" s="4"/>
      <c r="AI174" s="4"/>
      <c r="AJ174" s="4"/>
      <c r="AK174" s="4"/>
    </row>
    <row r="175" spans="12:37" ht="14.5">
      <c r="L175" s="4"/>
      <c r="M175" s="4"/>
      <c r="O175" s="4"/>
      <c r="P175" s="4"/>
      <c r="V175" s="4"/>
      <c r="Y175" s="4"/>
      <c r="Z175" s="4"/>
      <c r="AA175" s="4"/>
      <c r="AB175" s="4"/>
      <c r="AC175" s="4"/>
      <c r="AD175" s="4"/>
      <c r="AE175" s="4"/>
      <c r="AF175" s="4"/>
      <c r="AG175" s="4"/>
      <c r="AH175" s="4"/>
      <c r="AI175" s="4"/>
      <c r="AJ175" s="4"/>
      <c r="AK175" s="4"/>
    </row>
    <row r="176" spans="12:37" ht="14.5">
      <c r="L176" s="4"/>
      <c r="M176" s="4"/>
      <c r="O176" s="4"/>
      <c r="P176" s="4"/>
      <c r="V176" s="4"/>
      <c r="Y176" s="4"/>
      <c r="Z176" s="4"/>
      <c r="AA176" s="4"/>
      <c r="AB176" s="4"/>
      <c r="AC176" s="4"/>
      <c r="AD176" s="4"/>
      <c r="AE176" s="4"/>
      <c r="AF176" s="4"/>
      <c r="AG176" s="4"/>
      <c r="AH176" s="4"/>
      <c r="AI176" s="4"/>
      <c r="AJ176" s="4"/>
      <c r="AK176" s="4"/>
    </row>
    <row r="177" spans="12:37" ht="14.5">
      <c r="L177" s="4"/>
      <c r="M177" s="4"/>
      <c r="O177" s="4"/>
      <c r="P177" s="4"/>
      <c r="V177" s="4"/>
      <c r="Y177" s="4"/>
      <c r="Z177" s="4"/>
      <c r="AA177" s="4"/>
      <c r="AB177" s="4"/>
      <c r="AC177" s="4"/>
      <c r="AD177" s="4"/>
      <c r="AE177" s="4"/>
      <c r="AF177" s="4"/>
      <c r="AG177" s="4"/>
      <c r="AH177" s="4"/>
      <c r="AI177" s="4"/>
      <c r="AJ177" s="4"/>
      <c r="AK177" s="4"/>
    </row>
  </sheetData>
  <autoFilter ref="A2:AC27">
    <filterColumn colId="12">
      <filters>
        <filter val="ifrs9_loss_given_default"/>
      </filters>
    </filterColumn>
  </autoFilter>
  <mergeCells count="132">
    <mergeCell ref="Q21:Q24"/>
    <mergeCell ref="Q25:Q27"/>
    <mergeCell ref="L1:Q1"/>
    <mergeCell ref="C8:C10"/>
    <mergeCell ref="B8:B10"/>
    <mergeCell ref="A8:A10"/>
    <mergeCell ref="H3:H6"/>
    <mergeCell ref="H8:H10"/>
    <mergeCell ref="L3:L6"/>
    <mergeCell ref="L8:L10"/>
    <mergeCell ref="L11:L17"/>
    <mergeCell ref="F8:F10"/>
    <mergeCell ref="A3:A6"/>
    <mergeCell ref="B3:B6"/>
    <mergeCell ref="C3:C6"/>
    <mergeCell ref="A1:E1"/>
    <mergeCell ref="H1:J1"/>
    <mergeCell ref="C11:C17"/>
    <mergeCell ref="B11:B17"/>
    <mergeCell ref="A11:A17"/>
    <mergeCell ref="P11:P17"/>
    <mergeCell ref="M3:M6"/>
    <mergeCell ref="D8:D10"/>
    <mergeCell ref="D3:D6"/>
    <mergeCell ref="O3:O6"/>
    <mergeCell ref="O8:O10"/>
    <mergeCell ref="O11:O17"/>
    <mergeCell ref="O18:O20"/>
    <mergeCell ref="O21:O24"/>
    <mergeCell ref="N18:N20"/>
    <mergeCell ref="N21:N24"/>
    <mergeCell ref="I8:I10"/>
    <mergeCell ref="J8:J10"/>
    <mergeCell ref="I11:I17"/>
    <mergeCell ref="J11:J17"/>
    <mergeCell ref="L21:L24"/>
    <mergeCell ref="N3:N6"/>
    <mergeCell ref="N8:N10"/>
    <mergeCell ref="N11:N17"/>
    <mergeCell ref="T1:X1"/>
    <mergeCell ref="R3:R6"/>
    <mergeCell ref="R8:R10"/>
    <mergeCell ref="R11:R17"/>
    <mergeCell ref="R18:R20"/>
    <mergeCell ref="T11:T12"/>
    <mergeCell ref="T13:T17"/>
    <mergeCell ref="W11:W17"/>
    <mergeCell ref="X11:X17"/>
    <mergeCell ref="U13:U17"/>
    <mergeCell ref="T3:T6"/>
    <mergeCell ref="W3:W6"/>
    <mergeCell ref="X3:X6"/>
    <mergeCell ref="U3:U6"/>
    <mergeCell ref="W18:W20"/>
    <mergeCell ref="X18:X20"/>
    <mergeCell ref="W8:W10"/>
    <mergeCell ref="U18:U20"/>
    <mergeCell ref="X8:X10"/>
    <mergeCell ref="U11:U12"/>
    <mergeCell ref="T18:T20"/>
    <mergeCell ref="C18:C20"/>
    <mergeCell ref="B18:B20"/>
    <mergeCell ref="L18:L20"/>
    <mergeCell ref="D18:D20"/>
    <mergeCell ref="A18:A20"/>
    <mergeCell ref="F3:F6"/>
    <mergeCell ref="E3:E6"/>
    <mergeCell ref="A25:A27"/>
    <mergeCell ref="B25:B27"/>
    <mergeCell ref="C25:C27"/>
    <mergeCell ref="D25:D27"/>
    <mergeCell ref="F25:F27"/>
    <mergeCell ref="A21:A24"/>
    <mergeCell ref="B21:B24"/>
    <mergeCell ref="C21:C24"/>
    <mergeCell ref="D21:D24"/>
    <mergeCell ref="F21:F24"/>
    <mergeCell ref="H25:H27"/>
    <mergeCell ref="I18:I20"/>
    <mergeCell ref="J18:J20"/>
    <mergeCell ref="I3:I6"/>
    <mergeCell ref="J3:J6"/>
    <mergeCell ref="J21:J24"/>
    <mergeCell ref="D11:D17"/>
    <mergeCell ref="O25:O27"/>
    <mergeCell ref="R25:R27"/>
    <mergeCell ref="L25:L27"/>
    <mergeCell ref="E8:E10"/>
    <mergeCell ref="E11:E17"/>
    <mergeCell ref="E18:E20"/>
    <mergeCell ref="E21:E24"/>
    <mergeCell ref="F18:F20"/>
    <mergeCell ref="M25:M27"/>
    <mergeCell ref="H11:H17"/>
    <mergeCell ref="F11:F17"/>
    <mergeCell ref="M8:M10"/>
    <mergeCell ref="M11:M17"/>
    <mergeCell ref="M18:M20"/>
    <mergeCell ref="M21:M24"/>
    <mergeCell ref="H18:H20"/>
    <mergeCell ref="H21:H24"/>
    <mergeCell ref="E25:E27"/>
    <mergeCell ref="N25:N27"/>
    <mergeCell ref="I25:I27"/>
    <mergeCell ref="J25:J27"/>
    <mergeCell ref="R21:R24"/>
    <mergeCell ref="I21:I24"/>
    <mergeCell ref="P8:P10"/>
    <mergeCell ref="P18:P20"/>
    <mergeCell ref="P21:P24"/>
    <mergeCell ref="P25:P27"/>
    <mergeCell ref="W21:W24"/>
    <mergeCell ref="Z3:Z6"/>
    <mergeCell ref="Z8:Z10"/>
    <mergeCell ref="Z11:Z17"/>
    <mergeCell ref="Z18:Z20"/>
    <mergeCell ref="Z21:Z24"/>
    <mergeCell ref="Z25:Z27"/>
    <mergeCell ref="X25:X27"/>
    <mergeCell ref="W25:W27"/>
    <mergeCell ref="X21:X24"/>
    <mergeCell ref="U25:U27"/>
    <mergeCell ref="T25:T27"/>
    <mergeCell ref="U21:U23"/>
    <mergeCell ref="T8:T9"/>
    <mergeCell ref="U8:U9"/>
    <mergeCell ref="T21:T23"/>
    <mergeCell ref="Q3:Q6"/>
    <mergeCell ref="Q8:Q10"/>
    <mergeCell ref="Q11:Q17"/>
    <mergeCell ref="P3:P6"/>
    <mergeCell ref="Q18:Q20"/>
  </mergeCells>
  <dataValidations count="1">
    <dataValidation allowBlank="1" showInputMessage="1" showErrorMessage="1" sqref="P3:P27"/>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AUX!$A$2:$A$8</xm:f>
          </x14:formula1>
          <xm:sqref>R3:R6 O3:O27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Y17"/>
  <sheetViews>
    <sheetView zoomScale="55" zoomScaleNormal="55" workbookViewId="0">
      <pane xSplit="6" ySplit="2" topLeftCell="L6" activePane="bottomRight" state="frozen"/>
      <selection pane="topRight" activeCell="G1" sqref="G1"/>
      <selection pane="bottomLeft" activeCell="A3" sqref="A3"/>
      <selection pane="bottomRight" activeCell="N6" sqref="N6:N16"/>
    </sheetView>
  </sheetViews>
  <sheetFormatPr defaultColWidth="9.1796875" defaultRowHeight="15" customHeight="1"/>
  <cols>
    <col min="1" max="1" width="6" bestFit="1" customWidth="1"/>
    <col min="2" max="2" width="13.26953125" hidden="1" customWidth="1"/>
    <col min="3" max="3" width="23" customWidth="1"/>
    <col min="4" max="4" width="15.453125" customWidth="1"/>
    <col min="5" max="5" width="47.7265625" customWidth="1"/>
    <col min="6" max="6" width="78.81640625" hidden="1" customWidth="1"/>
    <col min="7" max="7" width="1.7265625" customWidth="1"/>
    <col min="8" max="8" width="35.81640625" customWidth="1"/>
    <col min="9" max="9" width="31" customWidth="1"/>
    <col min="10" max="10" width="39.7265625" customWidth="1"/>
    <col min="11" max="11" width="1.54296875" customWidth="1"/>
    <col min="12" max="12" width="18" bestFit="1" customWidth="1"/>
    <col min="13" max="13" width="26.453125" bestFit="1" customWidth="1"/>
    <col min="14" max="16" width="52.453125" customWidth="1"/>
    <col min="17" max="17" width="51.54296875" hidden="1" customWidth="1"/>
    <col min="18" max="18" width="46" hidden="1" customWidth="1"/>
    <col min="19" max="19" width="4.1796875" customWidth="1"/>
    <col min="20" max="20" width="33.81640625" hidden="1" customWidth="1"/>
    <col min="21" max="21" width="27.54296875" hidden="1" customWidth="1"/>
    <col min="22" max="22" width="35.26953125" style="6" hidden="1" customWidth="1"/>
    <col min="23" max="23" width="75.26953125" style="2" hidden="1" customWidth="1"/>
    <col min="24" max="24" width="52.453125" style="2" hidden="1" customWidth="1"/>
    <col min="25" max="25" width="39.453125" style="4" hidden="1" customWidth="1"/>
  </cols>
  <sheetData>
    <row r="1" spans="1:25" ht="19" customHeight="1">
      <c r="A1" s="874" t="s">
        <v>234</v>
      </c>
      <c r="B1" s="875"/>
      <c r="C1" s="875"/>
      <c r="D1" s="875"/>
      <c r="E1" s="876"/>
      <c r="F1" s="84"/>
      <c r="G1" s="85"/>
      <c r="H1" s="877" t="s">
        <v>235</v>
      </c>
      <c r="I1" s="878"/>
      <c r="J1" s="879"/>
      <c r="K1" s="85"/>
      <c r="L1" s="869" t="s">
        <v>236</v>
      </c>
      <c r="M1" s="870"/>
      <c r="N1" s="870"/>
      <c r="O1" s="870"/>
      <c r="P1" s="870"/>
      <c r="Q1" s="870"/>
      <c r="R1" s="871"/>
      <c r="S1" s="85"/>
      <c r="T1" s="886" t="s">
        <v>237</v>
      </c>
      <c r="U1" s="887"/>
      <c r="V1" s="887"/>
      <c r="W1" s="887"/>
      <c r="X1" s="888"/>
      <c r="Y1" s="129"/>
    </row>
    <row r="2" spans="1:25" ht="35.25" customHeight="1">
      <c r="A2" s="91" t="s">
        <v>238</v>
      </c>
      <c r="B2" s="87" t="s">
        <v>239</v>
      </c>
      <c r="C2" s="87" t="s">
        <v>240</v>
      </c>
      <c r="D2" s="87" t="s">
        <v>241</v>
      </c>
      <c r="E2" s="92" t="s">
        <v>242</v>
      </c>
      <c r="F2" s="51" t="s">
        <v>243</v>
      </c>
      <c r="G2" s="36"/>
      <c r="H2" s="107" t="s">
        <v>244</v>
      </c>
      <c r="I2" s="100" t="s">
        <v>245</v>
      </c>
      <c r="J2" s="108" t="s">
        <v>246</v>
      </c>
      <c r="K2" s="36"/>
      <c r="L2" s="333" t="s">
        <v>366</v>
      </c>
      <c r="M2" s="334" t="s">
        <v>248</v>
      </c>
      <c r="N2" s="121" t="s">
        <v>249</v>
      </c>
      <c r="O2" s="121" t="s">
        <v>1</v>
      </c>
      <c r="P2" s="121" t="s">
        <v>250</v>
      </c>
      <c r="Q2" s="121" t="s">
        <v>251</v>
      </c>
      <c r="R2" s="123" t="s">
        <v>252</v>
      </c>
      <c r="S2" s="36"/>
      <c r="T2" s="178" t="s">
        <v>253</v>
      </c>
      <c r="U2" s="177" t="s">
        <v>254</v>
      </c>
      <c r="V2" s="177" t="s">
        <v>255</v>
      </c>
      <c r="W2" s="177" t="s">
        <v>256</v>
      </c>
      <c r="X2" s="179" t="s">
        <v>257</v>
      </c>
      <c r="Y2" s="173" t="s">
        <v>258</v>
      </c>
    </row>
    <row r="3" spans="1:25" ht="58.5" customHeight="1">
      <c r="A3" s="93" t="s">
        <v>279</v>
      </c>
      <c r="B3" s="156" t="s">
        <v>260</v>
      </c>
      <c r="C3" s="88" t="s">
        <v>280</v>
      </c>
      <c r="D3" s="88" t="s">
        <v>262</v>
      </c>
      <c r="E3" s="94" t="s">
        <v>281</v>
      </c>
      <c r="F3" s="43" t="s">
        <v>367</v>
      </c>
      <c r="G3" s="10"/>
      <c r="H3" s="109" t="s">
        <v>368</v>
      </c>
      <c r="I3" s="102" t="s">
        <v>369</v>
      </c>
      <c r="J3" s="159" t="s">
        <v>370</v>
      </c>
      <c r="K3" s="10"/>
      <c r="L3" s="167" t="s">
        <v>268</v>
      </c>
      <c r="M3" s="164" t="s">
        <v>285</v>
      </c>
      <c r="N3" s="353" t="s">
        <v>371</v>
      </c>
      <c r="O3" s="122" t="s">
        <v>5</v>
      </c>
      <c r="P3" s="122" t="str">
        <f>'PDS - Desenvolvimento'!$K$113</f>
        <v>Concluído</v>
      </c>
      <c r="Q3" s="446">
        <v>45608</v>
      </c>
      <c r="R3" s="125" t="s">
        <v>5</v>
      </c>
      <c r="S3" s="10"/>
      <c r="T3" s="140" t="s">
        <v>271</v>
      </c>
      <c r="U3" s="131" t="s">
        <v>272</v>
      </c>
      <c r="V3" s="133" t="s">
        <v>288</v>
      </c>
      <c r="W3" s="131" t="s">
        <v>289</v>
      </c>
      <c r="X3" s="141"/>
      <c r="Y3" s="174" t="s">
        <v>290</v>
      </c>
    </row>
    <row r="4" spans="1:25" ht="141.75" customHeight="1">
      <c r="A4" s="95" t="s">
        <v>372</v>
      </c>
      <c r="B4" s="89" t="s">
        <v>320</v>
      </c>
      <c r="C4" s="89" t="s">
        <v>373</v>
      </c>
      <c r="D4" s="89" t="s">
        <v>374</v>
      </c>
      <c r="E4" s="96" t="s">
        <v>375</v>
      </c>
      <c r="F4" s="45" t="s">
        <v>376</v>
      </c>
      <c r="G4" s="10"/>
      <c r="H4" s="95" t="s">
        <v>377</v>
      </c>
      <c r="I4" s="90" t="s">
        <v>378</v>
      </c>
      <c r="J4" s="160" t="s">
        <v>379</v>
      </c>
      <c r="K4" s="10"/>
      <c r="L4" s="111" t="s">
        <v>268</v>
      </c>
      <c r="M4" s="103" t="s">
        <v>380</v>
      </c>
      <c r="N4" s="363" t="s">
        <v>381</v>
      </c>
      <c r="O4" s="103" t="s">
        <v>5</v>
      </c>
      <c r="P4" s="103" t="str">
        <f>'PDS - Desenvolvimento'!$K$124</f>
        <v>Concluído</v>
      </c>
      <c r="Q4" s="447">
        <v>45608</v>
      </c>
      <c r="R4" s="116" t="s">
        <v>5</v>
      </c>
      <c r="S4" s="10"/>
      <c r="T4" s="142" t="s">
        <v>382</v>
      </c>
      <c r="U4" s="90" t="s">
        <v>272</v>
      </c>
      <c r="V4" s="89" t="s">
        <v>383</v>
      </c>
      <c r="W4" s="90" t="s">
        <v>384</v>
      </c>
      <c r="X4" s="96" t="s">
        <v>385</v>
      </c>
      <c r="Y4" s="175" t="s">
        <v>386</v>
      </c>
    </row>
    <row r="5" spans="1:25" ht="43.5">
      <c r="A5" s="93" t="s">
        <v>387</v>
      </c>
      <c r="B5" s="88" t="s">
        <v>320</v>
      </c>
      <c r="C5" s="88" t="s">
        <v>388</v>
      </c>
      <c r="D5" s="88" t="s">
        <v>262</v>
      </c>
      <c r="E5" s="94" t="s">
        <v>389</v>
      </c>
      <c r="F5" s="44" t="s">
        <v>390</v>
      </c>
      <c r="G5" s="10"/>
      <c r="H5" s="109" t="s">
        <v>391</v>
      </c>
      <c r="I5" s="102" t="s">
        <v>392</v>
      </c>
      <c r="J5" s="110" t="s">
        <v>393</v>
      </c>
      <c r="K5" s="10"/>
      <c r="L5" s="169" t="s">
        <v>268</v>
      </c>
      <c r="M5" s="166" t="s">
        <v>394</v>
      </c>
      <c r="N5" s="355" t="s">
        <v>395</v>
      </c>
      <c r="O5" s="122" t="s">
        <v>5</v>
      </c>
      <c r="P5" s="122" t="str">
        <f>'PDS - Desenvolvimento'!$K$123</f>
        <v>Concluído</v>
      </c>
      <c r="Q5" s="448">
        <v>45608</v>
      </c>
      <c r="R5" s="125" t="s">
        <v>5</v>
      </c>
      <c r="S5" s="10"/>
      <c r="T5" s="140" t="s">
        <v>382</v>
      </c>
      <c r="U5" s="131" t="s">
        <v>272</v>
      </c>
      <c r="V5" s="133" t="s">
        <v>396</v>
      </c>
      <c r="W5" s="131" t="s">
        <v>397</v>
      </c>
      <c r="X5" s="141" t="s">
        <v>385</v>
      </c>
      <c r="Y5" s="175" t="s">
        <v>386</v>
      </c>
    </row>
    <row r="6" spans="1:25" ht="14.5" customHeight="1">
      <c r="A6" s="841" t="s">
        <v>398</v>
      </c>
      <c r="B6" s="842" t="s">
        <v>320</v>
      </c>
      <c r="C6" s="842" t="s">
        <v>399</v>
      </c>
      <c r="D6" s="842" t="s">
        <v>337</v>
      </c>
      <c r="E6" s="882" t="s">
        <v>400</v>
      </c>
      <c r="F6" s="883" t="s">
        <v>401</v>
      </c>
      <c r="G6" s="10"/>
      <c r="H6" s="884" t="s">
        <v>402</v>
      </c>
      <c r="I6" s="787"/>
      <c r="J6" s="795"/>
      <c r="K6" s="10"/>
      <c r="L6" s="841" t="s">
        <v>403</v>
      </c>
      <c r="M6" s="842" t="s">
        <v>404</v>
      </c>
      <c r="N6" s="885" t="s">
        <v>405</v>
      </c>
      <c r="O6" s="842" t="s">
        <v>5</v>
      </c>
      <c r="P6" s="842" t="str">
        <f>'PDS - Desenvolvimento'!$K$130</f>
        <v>Concluído</v>
      </c>
      <c r="Q6" s="890"/>
      <c r="R6" s="862" t="s">
        <v>406</v>
      </c>
      <c r="S6" s="10"/>
      <c r="T6" s="801" t="s">
        <v>305</v>
      </c>
      <c r="U6" s="787" t="s">
        <v>306</v>
      </c>
      <c r="V6" s="89" t="s">
        <v>329</v>
      </c>
      <c r="W6" s="885" t="s">
        <v>407</v>
      </c>
      <c r="X6" s="795" t="s">
        <v>408</v>
      </c>
      <c r="Y6" s="881" t="s">
        <v>409</v>
      </c>
    </row>
    <row r="7" spans="1:25" ht="14.5">
      <c r="A7" s="841"/>
      <c r="B7" s="842"/>
      <c r="C7" s="842"/>
      <c r="D7" s="842"/>
      <c r="E7" s="882"/>
      <c r="F7" s="883"/>
      <c r="G7" s="11"/>
      <c r="H7" s="884"/>
      <c r="I7" s="787"/>
      <c r="J7" s="795"/>
      <c r="K7" s="11"/>
      <c r="L7" s="841"/>
      <c r="M7" s="842"/>
      <c r="N7" s="885"/>
      <c r="O7" s="842"/>
      <c r="P7" s="842"/>
      <c r="Q7" s="891"/>
      <c r="R7" s="862"/>
      <c r="S7" s="11"/>
      <c r="T7" s="801"/>
      <c r="U7" s="787"/>
      <c r="V7" s="89" t="s">
        <v>333</v>
      </c>
      <c r="W7" s="885"/>
      <c r="X7" s="795"/>
      <c r="Y7" s="881"/>
    </row>
    <row r="8" spans="1:25" ht="14.5">
      <c r="A8" s="841"/>
      <c r="B8" s="842"/>
      <c r="C8" s="842"/>
      <c r="D8" s="842"/>
      <c r="E8" s="882"/>
      <c r="F8" s="883"/>
      <c r="G8" s="10"/>
      <c r="H8" s="884"/>
      <c r="I8" s="787"/>
      <c r="J8" s="795"/>
      <c r="K8" s="10"/>
      <c r="L8" s="841"/>
      <c r="M8" s="842"/>
      <c r="N8" s="885"/>
      <c r="O8" s="842"/>
      <c r="P8" s="842"/>
      <c r="Q8" s="891"/>
      <c r="R8" s="862"/>
      <c r="S8" s="10"/>
      <c r="T8" s="801"/>
      <c r="U8" s="787"/>
      <c r="V8" s="89" t="s">
        <v>410</v>
      </c>
      <c r="W8" s="885"/>
      <c r="X8" s="795"/>
      <c r="Y8" s="881"/>
    </row>
    <row r="9" spans="1:25" ht="14.5">
      <c r="A9" s="841"/>
      <c r="B9" s="842"/>
      <c r="C9" s="842"/>
      <c r="D9" s="842"/>
      <c r="E9" s="882"/>
      <c r="F9" s="883"/>
      <c r="G9" s="10"/>
      <c r="H9" s="884"/>
      <c r="I9" s="787"/>
      <c r="J9" s="795"/>
      <c r="K9" s="10"/>
      <c r="L9" s="841"/>
      <c r="M9" s="842"/>
      <c r="N9" s="885"/>
      <c r="O9" s="842"/>
      <c r="P9" s="842"/>
      <c r="Q9" s="891"/>
      <c r="R9" s="862"/>
      <c r="S9" s="10"/>
      <c r="T9" s="852" t="s">
        <v>271</v>
      </c>
      <c r="U9" s="854" t="s">
        <v>272</v>
      </c>
      <c r="V9" s="137" t="s">
        <v>273</v>
      </c>
      <c r="W9" s="885"/>
      <c r="X9" s="795"/>
      <c r="Y9" s="881"/>
    </row>
    <row r="10" spans="1:25" ht="14.5">
      <c r="A10" s="841"/>
      <c r="B10" s="842"/>
      <c r="C10" s="842"/>
      <c r="D10" s="842"/>
      <c r="E10" s="882"/>
      <c r="F10" s="883"/>
      <c r="G10" s="10"/>
      <c r="H10" s="884"/>
      <c r="I10" s="787"/>
      <c r="J10" s="795"/>
      <c r="K10" s="10"/>
      <c r="L10" s="841"/>
      <c r="M10" s="842"/>
      <c r="N10" s="885"/>
      <c r="O10" s="842"/>
      <c r="P10" s="842"/>
      <c r="Q10" s="891"/>
      <c r="R10" s="862"/>
      <c r="S10" s="10"/>
      <c r="T10" s="852"/>
      <c r="U10" s="854"/>
      <c r="V10" s="137" t="s">
        <v>276</v>
      </c>
      <c r="W10" s="885"/>
      <c r="X10" s="795"/>
      <c r="Y10" s="881"/>
    </row>
    <row r="11" spans="1:25" ht="14.5">
      <c r="A11" s="841"/>
      <c r="B11" s="842"/>
      <c r="C11" s="842"/>
      <c r="D11" s="842"/>
      <c r="E11" s="882"/>
      <c r="F11" s="883"/>
      <c r="G11" s="11"/>
      <c r="H11" s="884"/>
      <c r="I11" s="787"/>
      <c r="J11" s="795"/>
      <c r="K11" s="11"/>
      <c r="L11" s="841"/>
      <c r="M11" s="842"/>
      <c r="N11" s="885"/>
      <c r="O11" s="842"/>
      <c r="P11" s="842"/>
      <c r="Q11" s="891"/>
      <c r="R11" s="862"/>
      <c r="S11" s="11"/>
      <c r="T11" s="852"/>
      <c r="U11" s="854"/>
      <c r="V11" s="137" t="s">
        <v>277</v>
      </c>
      <c r="W11" s="885"/>
      <c r="X11" s="795"/>
      <c r="Y11" s="881"/>
    </row>
    <row r="12" spans="1:25" ht="14.5">
      <c r="A12" s="841"/>
      <c r="B12" s="842"/>
      <c r="C12" s="842"/>
      <c r="D12" s="842"/>
      <c r="E12" s="882"/>
      <c r="F12" s="883"/>
      <c r="G12" s="11"/>
      <c r="H12" s="884"/>
      <c r="I12" s="787"/>
      <c r="J12" s="795"/>
      <c r="K12" s="11"/>
      <c r="L12" s="841"/>
      <c r="M12" s="842"/>
      <c r="N12" s="885"/>
      <c r="O12" s="842"/>
      <c r="P12" s="842"/>
      <c r="Q12" s="891"/>
      <c r="R12" s="862"/>
      <c r="S12" s="11"/>
      <c r="T12" s="852"/>
      <c r="U12" s="854"/>
      <c r="V12" s="137" t="s">
        <v>278</v>
      </c>
      <c r="W12" s="885"/>
      <c r="X12" s="795"/>
      <c r="Y12" s="881"/>
    </row>
    <row r="13" spans="1:25" ht="14.5">
      <c r="A13" s="841"/>
      <c r="B13" s="842"/>
      <c r="C13" s="842"/>
      <c r="D13" s="842"/>
      <c r="E13" s="882"/>
      <c r="F13" s="883"/>
      <c r="G13" s="11"/>
      <c r="H13" s="884"/>
      <c r="I13" s="787"/>
      <c r="J13" s="795"/>
      <c r="K13" s="11"/>
      <c r="L13" s="841"/>
      <c r="M13" s="842"/>
      <c r="N13" s="885"/>
      <c r="O13" s="842"/>
      <c r="P13" s="842"/>
      <c r="Q13" s="891"/>
      <c r="R13" s="862"/>
      <c r="S13" s="11"/>
      <c r="T13" s="852" t="s">
        <v>411</v>
      </c>
      <c r="U13" s="889" t="s">
        <v>360</v>
      </c>
      <c r="V13" s="137" t="s">
        <v>412</v>
      </c>
      <c r="W13" s="885"/>
      <c r="X13" s="795"/>
      <c r="Y13" s="881"/>
    </row>
    <row r="14" spans="1:25" ht="14.5">
      <c r="A14" s="841"/>
      <c r="B14" s="842"/>
      <c r="C14" s="842"/>
      <c r="D14" s="842"/>
      <c r="E14" s="882"/>
      <c r="F14" s="883"/>
      <c r="G14" s="11"/>
      <c r="H14" s="884"/>
      <c r="I14" s="787"/>
      <c r="J14" s="795"/>
      <c r="K14" s="11"/>
      <c r="L14" s="841"/>
      <c r="M14" s="842"/>
      <c r="N14" s="885"/>
      <c r="O14" s="842"/>
      <c r="P14" s="842"/>
      <c r="Q14" s="891"/>
      <c r="R14" s="862"/>
      <c r="S14" s="11"/>
      <c r="T14" s="852"/>
      <c r="U14" s="889"/>
      <c r="V14" s="137" t="s">
        <v>413</v>
      </c>
      <c r="W14" s="885"/>
      <c r="X14" s="795"/>
      <c r="Y14" s="881"/>
    </row>
    <row r="15" spans="1:25" ht="14.5">
      <c r="A15" s="841"/>
      <c r="B15" s="842"/>
      <c r="C15" s="842"/>
      <c r="D15" s="842"/>
      <c r="E15" s="882"/>
      <c r="F15" s="883"/>
      <c r="G15" s="11"/>
      <c r="H15" s="884"/>
      <c r="I15" s="787"/>
      <c r="J15" s="795"/>
      <c r="K15" s="11"/>
      <c r="L15" s="841"/>
      <c r="M15" s="842"/>
      <c r="N15" s="885"/>
      <c r="O15" s="842"/>
      <c r="P15" s="842"/>
      <c r="Q15" s="891"/>
      <c r="R15" s="862"/>
      <c r="S15" s="11"/>
      <c r="T15" s="852"/>
      <c r="U15" s="889"/>
      <c r="V15" s="137" t="s">
        <v>365</v>
      </c>
      <c r="W15" s="885"/>
      <c r="X15" s="795"/>
      <c r="Y15" s="881"/>
    </row>
    <row r="16" spans="1:25" ht="100.5" customHeight="1">
      <c r="A16" s="841"/>
      <c r="B16" s="842"/>
      <c r="C16" s="842"/>
      <c r="D16" s="842"/>
      <c r="E16" s="882"/>
      <c r="F16" s="883"/>
      <c r="G16" s="11"/>
      <c r="H16" s="884"/>
      <c r="I16" s="787"/>
      <c r="J16" s="795"/>
      <c r="K16" s="11"/>
      <c r="L16" s="841"/>
      <c r="M16" s="842"/>
      <c r="N16" s="885"/>
      <c r="O16" s="842"/>
      <c r="P16" s="842"/>
      <c r="Q16" s="892"/>
      <c r="R16" s="862"/>
      <c r="S16" s="11"/>
      <c r="T16" s="144" t="s">
        <v>414</v>
      </c>
      <c r="U16" s="135" t="s">
        <v>360</v>
      </c>
      <c r="V16" s="137" t="s">
        <v>415</v>
      </c>
      <c r="W16" s="885"/>
      <c r="X16" s="795"/>
      <c r="Y16" s="881"/>
    </row>
    <row r="17" spans="1:25" ht="174">
      <c r="A17" s="97" t="s">
        <v>416</v>
      </c>
      <c r="B17" s="98" t="s">
        <v>320</v>
      </c>
      <c r="C17" s="98" t="s">
        <v>417</v>
      </c>
      <c r="D17" s="98" t="s">
        <v>337</v>
      </c>
      <c r="E17" s="158" t="s">
        <v>418</v>
      </c>
      <c r="F17" s="157" t="s">
        <v>419</v>
      </c>
      <c r="G17" s="11"/>
      <c r="H17" s="161" t="s">
        <v>50</v>
      </c>
      <c r="I17" s="162" t="s">
        <v>50</v>
      </c>
      <c r="J17" s="163" t="s">
        <v>50</v>
      </c>
      <c r="K17" s="11"/>
      <c r="L17" s="170" t="s">
        <v>284</v>
      </c>
      <c r="M17" s="171" t="s">
        <v>420</v>
      </c>
      <c r="N17" s="356" t="s">
        <v>421</v>
      </c>
      <c r="O17" s="171" t="s">
        <v>5</v>
      </c>
      <c r="P17" s="171" t="str">
        <f>'PDS - Desenvolvimento'!$K$131</f>
        <v>Concluído</v>
      </c>
      <c r="Q17" s="449">
        <v>45608</v>
      </c>
      <c r="R17" s="172" t="s">
        <v>287</v>
      </c>
      <c r="S17" s="11"/>
      <c r="T17" s="180" t="s">
        <v>422</v>
      </c>
      <c r="U17" s="147" t="s">
        <v>422</v>
      </c>
      <c r="V17" s="147" t="s">
        <v>422</v>
      </c>
      <c r="W17" s="147" t="s">
        <v>422</v>
      </c>
      <c r="X17" s="181" t="s">
        <v>422</v>
      </c>
      <c r="Y17" s="176"/>
    </row>
  </sheetData>
  <autoFilter ref="A2:Y17"/>
  <mergeCells count="29">
    <mergeCell ref="A1:E1"/>
    <mergeCell ref="H1:J1"/>
    <mergeCell ref="T1:X1"/>
    <mergeCell ref="X6:X16"/>
    <mergeCell ref="J6:J16"/>
    <mergeCell ref="P6:P16"/>
    <mergeCell ref="U13:U15"/>
    <mergeCell ref="R6:R16"/>
    <mergeCell ref="M6:M16"/>
    <mergeCell ref="L1:R1"/>
    <mergeCell ref="L6:L16"/>
    <mergeCell ref="O6:O16"/>
    <mergeCell ref="Q6:Q16"/>
    <mergeCell ref="Y6:Y16"/>
    <mergeCell ref="D6:D16"/>
    <mergeCell ref="C6:C16"/>
    <mergeCell ref="B6:B16"/>
    <mergeCell ref="A6:A16"/>
    <mergeCell ref="E6:E16"/>
    <mergeCell ref="F6:F16"/>
    <mergeCell ref="H6:H16"/>
    <mergeCell ref="N6:N16"/>
    <mergeCell ref="T6:T8"/>
    <mergeCell ref="U6:U8"/>
    <mergeCell ref="W6:W16"/>
    <mergeCell ref="T9:T12"/>
    <mergeCell ref="U9:U12"/>
    <mergeCell ref="T13:T15"/>
    <mergeCell ref="I6:I16"/>
  </mergeCells>
  <dataValidations count="1">
    <dataValidation allowBlank="1" showInputMessage="1" showErrorMessage="1" sqref="P3:P17"/>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AUX!$A$2:$A$8</xm:f>
          </x14:formula1>
          <xm:sqref>O3:O17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Y18"/>
  <sheetViews>
    <sheetView zoomScale="55" zoomScaleNormal="55" workbookViewId="0">
      <pane xSplit="6" ySplit="2" topLeftCell="H10" activePane="bottomRight" state="frozen"/>
      <selection pane="topRight" activeCell="G1" sqref="G1"/>
      <selection pane="bottomLeft" activeCell="A3" sqref="A3"/>
      <selection pane="bottomRight" activeCell="M11" sqref="M11:M13"/>
    </sheetView>
  </sheetViews>
  <sheetFormatPr defaultRowHeight="15" customHeight="1"/>
  <cols>
    <col min="1" max="1" width="6.26953125" customWidth="1"/>
    <col min="2" max="2" width="12.81640625" customWidth="1"/>
    <col min="3" max="3" width="24.453125" bestFit="1" customWidth="1"/>
    <col min="4" max="4" width="13" customWidth="1"/>
    <col min="5" max="5" width="47.7265625" customWidth="1"/>
    <col min="6" max="6" width="78.81640625" hidden="1" customWidth="1"/>
    <col min="7" max="7" width="4.1796875" customWidth="1"/>
    <col min="8" max="8" width="34.1796875" customWidth="1"/>
    <col min="9" max="9" width="18.26953125" bestFit="1" customWidth="1"/>
    <col min="10" max="10" width="44" customWidth="1"/>
    <col min="11" max="11" width="4" customWidth="1"/>
    <col min="12" max="12" width="15.7265625" bestFit="1" customWidth="1"/>
    <col min="13" max="13" width="26.453125" bestFit="1" customWidth="1"/>
    <col min="14" max="16" width="52.453125" style="56" customWidth="1"/>
    <col min="17" max="17" width="51.54296875" hidden="1" customWidth="1"/>
    <col min="18" max="18" width="46.54296875" hidden="1" customWidth="1"/>
    <col min="19" max="19" width="4.1796875" customWidth="1"/>
    <col min="20" max="20" width="38" hidden="1" customWidth="1"/>
    <col min="21" max="21" width="36" hidden="1" customWidth="1"/>
    <col min="22" max="22" width="35.26953125" hidden="1" customWidth="1"/>
    <col min="23" max="23" width="82" hidden="1" customWidth="1"/>
    <col min="24" max="24" width="52.453125" hidden="1" customWidth="1"/>
    <col min="25" max="25" width="52.453125" style="4" hidden="1" customWidth="1"/>
    <col min="26" max="26" width="37.54296875" customWidth="1"/>
  </cols>
  <sheetData>
    <row r="1" spans="1:25" ht="19" customHeight="1">
      <c r="A1" s="874" t="s">
        <v>234</v>
      </c>
      <c r="B1" s="875"/>
      <c r="C1" s="875"/>
      <c r="D1" s="875"/>
      <c r="E1" s="876"/>
      <c r="F1" s="84"/>
      <c r="G1" s="85"/>
      <c r="H1" s="877" t="s">
        <v>235</v>
      </c>
      <c r="I1" s="878"/>
      <c r="J1" s="879"/>
      <c r="K1" s="85"/>
      <c r="L1" s="869" t="s">
        <v>236</v>
      </c>
      <c r="M1" s="870"/>
      <c r="N1" s="870"/>
      <c r="O1" s="870"/>
      <c r="P1" s="870"/>
      <c r="Q1" s="870"/>
      <c r="R1" s="871"/>
      <c r="S1" s="85"/>
      <c r="T1" s="886" t="s">
        <v>237</v>
      </c>
      <c r="U1" s="887"/>
      <c r="V1" s="887"/>
      <c r="W1" s="887"/>
      <c r="X1" s="888"/>
      <c r="Y1" s="129"/>
    </row>
    <row r="2" spans="1:25" ht="29">
      <c r="A2" s="91" t="s">
        <v>238</v>
      </c>
      <c r="B2" s="87" t="s">
        <v>239</v>
      </c>
      <c r="C2" s="87" t="s">
        <v>240</v>
      </c>
      <c r="D2" s="87" t="s">
        <v>241</v>
      </c>
      <c r="E2" s="92" t="s">
        <v>242</v>
      </c>
      <c r="F2" s="182" t="s">
        <v>243</v>
      </c>
      <c r="G2" s="36"/>
      <c r="H2" s="107" t="s">
        <v>244</v>
      </c>
      <c r="I2" s="100" t="s">
        <v>245</v>
      </c>
      <c r="J2" s="108" t="s">
        <v>246</v>
      </c>
      <c r="K2" s="36"/>
      <c r="L2" s="377" t="s">
        <v>423</v>
      </c>
      <c r="M2" s="378" t="s">
        <v>248</v>
      </c>
      <c r="N2" s="379" t="s">
        <v>249</v>
      </c>
      <c r="O2" s="379" t="s">
        <v>1</v>
      </c>
      <c r="P2" s="379" t="s">
        <v>250</v>
      </c>
      <c r="Q2" s="518" t="s">
        <v>251</v>
      </c>
      <c r="R2" s="380" t="s">
        <v>252</v>
      </c>
      <c r="S2" s="36"/>
      <c r="T2" s="178" t="s">
        <v>253</v>
      </c>
      <c r="U2" s="177" t="s">
        <v>254</v>
      </c>
      <c r="V2" s="177" t="s">
        <v>255</v>
      </c>
      <c r="W2" s="177" t="s">
        <v>256</v>
      </c>
      <c r="X2" s="179" t="s">
        <v>257</v>
      </c>
      <c r="Y2" s="173" t="s">
        <v>258</v>
      </c>
    </row>
    <row r="3" spans="1:25" ht="14.5">
      <c r="A3" s="836" t="s">
        <v>424</v>
      </c>
      <c r="B3" s="911" t="s">
        <v>260</v>
      </c>
      <c r="C3" s="835" t="s">
        <v>425</v>
      </c>
      <c r="D3" s="835" t="s">
        <v>262</v>
      </c>
      <c r="E3" s="815" t="s">
        <v>426</v>
      </c>
      <c r="F3" s="917" t="s">
        <v>427</v>
      </c>
      <c r="G3" s="11"/>
      <c r="H3" s="821" t="s">
        <v>428</v>
      </c>
      <c r="I3" s="827" t="s">
        <v>429</v>
      </c>
      <c r="J3" s="830" t="s">
        <v>430</v>
      </c>
      <c r="K3" s="11"/>
      <c r="L3" s="897" t="s">
        <v>268</v>
      </c>
      <c r="M3" s="901" t="s">
        <v>431</v>
      </c>
      <c r="N3" s="902" t="s">
        <v>432</v>
      </c>
      <c r="O3" s="904" t="s">
        <v>5</v>
      </c>
      <c r="P3" s="904" t="str">
        <f>'PDS - Desenvolvimento'!$K$148</f>
        <v>Concluído</v>
      </c>
      <c r="Q3" s="905">
        <v>45608</v>
      </c>
      <c r="R3" s="908" t="s">
        <v>5</v>
      </c>
      <c r="S3" s="11"/>
      <c r="T3" s="798" t="s">
        <v>433</v>
      </c>
      <c r="U3" s="793" t="s">
        <v>272</v>
      </c>
      <c r="V3" s="133" t="s">
        <v>273</v>
      </c>
      <c r="W3" s="793" t="s">
        <v>434</v>
      </c>
      <c r="X3" s="791"/>
      <c r="Y3" s="915" t="s">
        <v>435</v>
      </c>
    </row>
    <row r="4" spans="1:25" ht="14.5">
      <c r="A4" s="836"/>
      <c r="B4" s="911"/>
      <c r="C4" s="835"/>
      <c r="D4" s="835"/>
      <c r="E4" s="815"/>
      <c r="F4" s="918"/>
      <c r="G4" s="11"/>
      <c r="H4" s="821"/>
      <c r="I4" s="827"/>
      <c r="J4" s="830"/>
      <c r="K4" s="11"/>
      <c r="L4" s="898"/>
      <c r="M4" s="900"/>
      <c r="N4" s="903"/>
      <c r="O4" s="784"/>
      <c r="P4" s="784"/>
      <c r="Q4" s="903"/>
      <c r="R4" s="909"/>
      <c r="S4" s="11"/>
      <c r="T4" s="798"/>
      <c r="U4" s="793"/>
      <c r="V4" s="133" t="s">
        <v>436</v>
      </c>
      <c r="W4" s="793"/>
      <c r="X4" s="791"/>
      <c r="Y4" s="914"/>
    </row>
    <row r="5" spans="1:25" ht="29.25" customHeight="1">
      <c r="A5" s="836"/>
      <c r="B5" s="911"/>
      <c r="C5" s="835"/>
      <c r="D5" s="835"/>
      <c r="E5" s="815"/>
      <c r="F5" s="918"/>
      <c r="G5" s="11"/>
      <c r="H5" s="821"/>
      <c r="I5" s="827"/>
      <c r="J5" s="830"/>
      <c r="K5" s="11"/>
      <c r="L5" s="898"/>
      <c r="M5" s="900"/>
      <c r="N5" s="903"/>
      <c r="O5" s="784"/>
      <c r="P5" s="784"/>
      <c r="Q5" s="903"/>
      <c r="R5" s="909"/>
      <c r="S5" s="11"/>
      <c r="T5" s="798"/>
      <c r="U5" s="793"/>
      <c r="V5" s="133" t="s">
        <v>437</v>
      </c>
      <c r="W5" s="793"/>
      <c r="X5" s="791"/>
      <c r="Y5" s="914"/>
    </row>
    <row r="6" spans="1:25" ht="40.5" customHeight="1">
      <c r="A6" s="836"/>
      <c r="B6" s="911"/>
      <c r="C6" s="835"/>
      <c r="D6" s="835"/>
      <c r="E6" s="815"/>
      <c r="F6" s="918"/>
      <c r="G6" s="11"/>
      <c r="H6" s="821"/>
      <c r="I6" s="827"/>
      <c r="J6" s="830"/>
      <c r="K6" s="11"/>
      <c r="L6" s="898"/>
      <c r="M6" s="900"/>
      <c r="N6" s="903"/>
      <c r="O6" s="784"/>
      <c r="P6" s="784"/>
      <c r="Q6" s="903"/>
      <c r="R6" s="909"/>
      <c r="S6" s="11"/>
      <c r="T6" s="798"/>
      <c r="U6" s="793"/>
      <c r="V6" s="133" t="s">
        <v>438</v>
      </c>
      <c r="W6" s="793"/>
      <c r="X6" s="791"/>
      <c r="Y6" s="914"/>
    </row>
    <row r="7" spans="1:25" ht="14.5" customHeight="1">
      <c r="A7" s="841" t="s">
        <v>259</v>
      </c>
      <c r="B7" s="842" t="s">
        <v>260</v>
      </c>
      <c r="C7" s="842" t="s">
        <v>261</v>
      </c>
      <c r="D7" s="842" t="s">
        <v>262</v>
      </c>
      <c r="E7" s="795" t="s">
        <v>439</v>
      </c>
      <c r="F7" s="919" t="s">
        <v>264</v>
      </c>
      <c r="G7" s="11"/>
      <c r="H7" s="899" t="s">
        <v>440</v>
      </c>
      <c r="I7" s="893" t="s">
        <v>50</v>
      </c>
      <c r="J7" s="895" t="s">
        <v>50</v>
      </c>
      <c r="K7" s="11"/>
      <c r="L7" s="899" t="s">
        <v>284</v>
      </c>
      <c r="M7" s="894" t="s">
        <v>269</v>
      </c>
      <c r="N7" s="889" t="s">
        <v>441</v>
      </c>
      <c r="O7" s="894" t="s">
        <v>5</v>
      </c>
      <c r="P7" s="894" t="str">
        <f>'PDS - Desenvolvimento'!$K$163</f>
        <v>Concluído</v>
      </c>
      <c r="Q7" s="906">
        <v>45608</v>
      </c>
      <c r="R7" s="896" t="s">
        <v>287</v>
      </c>
      <c r="S7" s="11"/>
      <c r="T7" s="852" t="s">
        <v>442</v>
      </c>
      <c r="U7" s="889" t="s">
        <v>272</v>
      </c>
      <c r="V7" s="137" t="s">
        <v>273</v>
      </c>
      <c r="W7" s="889" t="s">
        <v>274</v>
      </c>
      <c r="X7" s="913"/>
      <c r="Y7" s="916" t="s">
        <v>275</v>
      </c>
    </row>
    <row r="8" spans="1:25" ht="14.5">
      <c r="A8" s="841"/>
      <c r="B8" s="842"/>
      <c r="C8" s="842"/>
      <c r="D8" s="842"/>
      <c r="E8" s="795"/>
      <c r="F8" s="919"/>
      <c r="G8" s="11"/>
      <c r="H8" s="899"/>
      <c r="I8" s="894"/>
      <c r="J8" s="896"/>
      <c r="K8" s="11"/>
      <c r="L8" s="899"/>
      <c r="M8" s="894"/>
      <c r="N8" s="889"/>
      <c r="O8" s="894"/>
      <c r="P8" s="894"/>
      <c r="Q8" s="889"/>
      <c r="R8" s="896"/>
      <c r="S8" s="11"/>
      <c r="T8" s="852"/>
      <c r="U8" s="889"/>
      <c r="V8" s="137" t="s">
        <v>276</v>
      </c>
      <c r="W8" s="889"/>
      <c r="X8" s="913"/>
      <c r="Y8" s="916"/>
    </row>
    <row r="9" spans="1:25" ht="14.5">
      <c r="A9" s="841"/>
      <c r="B9" s="842"/>
      <c r="C9" s="842"/>
      <c r="D9" s="842"/>
      <c r="E9" s="795"/>
      <c r="F9" s="919"/>
      <c r="G9" s="11"/>
      <c r="H9" s="899"/>
      <c r="I9" s="894"/>
      <c r="J9" s="896"/>
      <c r="K9" s="11"/>
      <c r="L9" s="899"/>
      <c r="M9" s="894"/>
      <c r="N9" s="889"/>
      <c r="O9" s="894"/>
      <c r="P9" s="894"/>
      <c r="Q9" s="889"/>
      <c r="R9" s="896"/>
      <c r="S9" s="11"/>
      <c r="T9" s="852"/>
      <c r="U9" s="889"/>
      <c r="V9" s="137" t="s">
        <v>277</v>
      </c>
      <c r="W9" s="889"/>
      <c r="X9" s="913"/>
      <c r="Y9" s="916"/>
    </row>
    <row r="10" spans="1:25" ht="53.25" customHeight="1">
      <c r="A10" s="841"/>
      <c r="B10" s="842"/>
      <c r="C10" s="842"/>
      <c r="D10" s="842"/>
      <c r="E10" s="795"/>
      <c r="F10" s="919"/>
      <c r="G10" s="11"/>
      <c r="H10" s="899"/>
      <c r="I10" s="894"/>
      <c r="J10" s="896"/>
      <c r="K10" s="11"/>
      <c r="L10" s="899"/>
      <c r="M10" s="894"/>
      <c r="N10" s="889"/>
      <c r="O10" s="894"/>
      <c r="P10" s="894"/>
      <c r="Q10" s="889"/>
      <c r="R10" s="896"/>
      <c r="S10" s="11"/>
      <c r="T10" s="852"/>
      <c r="U10" s="889"/>
      <c r="V10" s="137" t="s">
        <v>278</v>
      </c>
      <c r="W10" s="889"/>
      <c r="X10" s="913"/>
      <c r="Y10" s="916"/>
    </row>
    <row r="11" spans="1:25" ht="14.5" customHeight="1">
      <c r="A11" s="836" t="s">
        <v>443</v>
      </c>
      <c r="B11" s="911" t="s">
        <v>260</v>
      </c>
      <c r="C11" s="835" t="s">
        <v>444</v>
      </c>
      <c r="D11" s="835" t="s">
        <v>294</v>
      </c>
      <c r="E11" s="912" t="s">
        <v>445</v>
      </c>
      <c r="F11" s="918" t="s">
        <v>446</v>
      </c>
      <c r="G11" s="11"/>
      <c r="H11" s="821" t="s">
        <v>447</v>
      </c>
      <c r="I11" s="827" t="s">
        <v>448</v>
      </c>
      <c r="J11" s="830" t="s">
        <v>449</v>
      </c>
      <c r="K11" s="11"/>
      <c r="L11" s="898" t="s">
        <v>268</v>
      </c>
      <c r="M11" s="900" t="s">
        <v>450</v>
      </c>
      <c r="N11" s="903" t="s">
        <v>451</v>
      </c>
      <c r="O11" s="784" t="s">
        <v>5</v>
      </c>
      <c r="P11" s="784" t="str">
        <f>'PDS - Desenvolvimento'!$K$152</f>
        <v>Concluído</v>
      </c>
      <c r="Q11" s="907">
        <v>45665</v>
      </c>
      <c r="R11" s="910" t="s">
        <v>5</v>
      </c>
      <c r="S11" s="11"/>
      <c r="T11" s="798" t="s">
        <v>300</v>
      </c>
      <c r="U11" s="793" t="s">
        <v>452</v>
      </c>
      <c r="V11" s="133" t="s">
        <v>302</v>
      </c>
      <c r="W11" s="793" t="s">
        <v>453</v>
      </c>
      <c r="X11" s="855"/>
      <c r="Y11" s="914"/>
    </row>
    <row r="12" spans="1:25" ht="14.5">
      <c r="A12" s="836"/>
      <c r="B12" s="911"/>
      <c r="C12" s="835"/>
      <c r="D12" s="835"/>
      <c r="E12" s="912"/>
      <c r="F12" s="918"/>
      <c r="G12" s="11"/>
      <c r="H12" s="821"/>
      <c r="I12" s="827"/>
      <c r="J12" s="830"/>
      <c r="K12" s="11"/>
      <c r="L12" s="898"/>
      <c r="M12" s="900"/>
      <c r="N12" s="903"/>
      <c r="O12" s="784"/>
      <c r="P12" s="784"/>
      <c r="Q12" s="903"/>
      <c r="R12" s="910"/>
      <c r="S12" s="11"/>
      <c r="T12" s="798"/>
      <c r="U12" s="793"/>
      <c r="V12" s="133" t="s">
        <v>304</v>
      </c>
      <c r="W12" s="793"/>
      <c r="X12" s="855"/>
      <c r="Y12" s="914"/>
    </row>
    <row r="13" spans="1:25" ht="141.75" customHeight="1">
      <c r="A13" s="836"/>
      <c r="B13" s="911"/>
      <c r="C13" s="835"/>
      <c r="D13" s="835"/>
      <c r="E13" s="912"/>
      <c r="F13" s="918"/>
      <c r="G13" s="11"/>
      <c r="H13" s="821"/>
      <c r="I13" s="827"/>
      <c r="J13" s="830"/>
      <c r="K13" s="11"/>
      <c r="L13" s="898"/>
      <c r="M13" s="900"/>
      <c r="N13" s="903"/>
      <c r="O13" s="784"/>
      <c r="P13" s="784"/>
      <c r="Q13" s="903"/>
      <c r="R13" s="910"/>
      <c r="S13" s="11"/>
      <c r="T13" s="204" t="s">
        <v>454</v>
      </c>
      <c r="U13" s="132" t="s">
        <v>272</v>
      </c>
      <c r="V13" s="133" t="s">
        <v>455</v>
      </c>
      <c r="W13" s="793"/>
      <c r="X13" s="855"/>
      <c r="Y13" s="914"/>
    </row>
    <row r="14" spans="1:25" ht="90" customHeight="1">
      <c r="A14" s="95" t="s">
        <v>456</v>
      </c>
      <c r="B14" s="89" t="s">
        <v>457</v>
      </c>
      <c r="C14" s="89" t="s">
        <v>458</v>
      </c>
      <c r="D14" s="89" t="s">
        <v>459</v>
      </c>
      <c r="E14" s="160" t="s">
        <v>460</v>
      </c>
      <c r="F14" s="184" t="s">
        <v>461</v>
      </c>
      <c r="G14" s="11"/>
      <c r="H14" s="193" t="s">
        <v>50</v>
      </c>
      <c r="I14" s="189" t="s">
        <v>50</v>
      </c>
      <c r="J14" s="194" t="s">
        <v>50</v>
      </c>
      <c r="K14" s="11"/>
      <c r="L14" s="301" t="s">
        <v>462</v>
      </c>
      <c r="M14" s="104" t="s">
        <v>463</v>
      </c>
      <c r="N14" s="360" t="s">
        <v>464</v>
      </c>
      <c r="O14" s="103" t="s">
        <v>5</v>
      </c>
      <c r="P14" s="103" t="str">
        <f>'PDS - Desenvolvimento'!$K$159</f>
        <v>Concluído</v>
      </c>
      <c r="Q14" s="556">
        <v>45611</v>
      </c>
      <c r="R14" s="116" t="s">
        <v>465</v>
      </c>
      <c r="S14" s="11"/>
      <c r="T14" s="142"/>
      <c r="U14" s="90"/>
      <c r="V14" s="89"/>
      <c r="W14" s="90" t="s">
        <v>466</v>
      </c>
      <c r="X14" s="145"/>
      <c r="Y14" s="881" t="s">
        <v>467</v>
      </c>
    </row>
    <row r="15" spans="1:25" ht="101.5">
      <c r="A15" s="93" t="s">
        <v>468</v>
      </c>
      <c r="B15" s="88" t="s">
        <v>457</v>
      </c>
      <c r="C15" s="88" t="s">
        <v>469</v>
      </c>
      <c r="D15" s="88" t="s">
        <v>459</v>
      </c>
      <c r="E15" s="94" t="s">
        <v>470</v>
      </c>
      <c r="F15" s="183" t="s">
        <v>471</v>
      </c>
      <c r="G15" s="11"/>
      <c r="H15" s="113" t="s">
        <v>50</v>
      </c>
      <c r="I15" s="105" t="s">
        <v>50</v>
      </c>
      <c r="J15" s="114" t="s">
        <v>50</v>
      </c>
      <c r="K15" s="11"/>
      <c r="L15" s="169" t="s">
        <v>472</v>
      </c>
      <c r="M15" s="166" t="s">
        <v>473</v>
      </c>
      <c r="N15" s="355" t="s">
        <v>474</v>
      </c>
      <c r="O15" s="122" t="s">
        <v>5</v>
      </c>
      <c r="P15" s="122" t="str">
        <f>'PDS - Desenvolvimento'!$K$160</f>
        <v>Concluído</v>
      </c>
      <c r="Q15" s="448">
        <v>45611</v>
      </c>
      <c r="R15" s="200" t="s">
        <v>465</v>
      </c>
      <c r="S15" s="11"/>
      <c r="T15" s="140"/>
      <c r="U15" s="131"/>
      <c r="V15" s="133"/>
      <c r="W15" s="131" t="s">
        <v>466</v>
      </c>
      <c r="X15" s="143"/>
      <c r="Y15" s="881"/>
    </row>
    <row r="16" spans="1:25" ht="74.25" customHeight="1">
      <c r="A16" s="95" t="s">
        <v>475</v>
      </c>
      <c r="B16" s="89" t="s">
        <v>476</v>
      </c>
      <c r="C16" s="89" t="s">
        <v>477</v>
      </c>
      <c r="D16" s="89" t="s">
        <v>459</v>
      </c>
      <c r="E16" s="160" t="s">
        <v>478</v>
      </c>
      <c r="F16" s="184" t="s">
        <v>479</v>
      </c>
      <c r="G16" s="11"/>
      <c r="H16" s="95" t="s">
        <v>480</v>
      </c>
      <c r="I16" s="90" t="s">
        <v>481</v>
      </c>
      <c r="J16" s="96" t="s">
        <v>482</v>
      </c>
      <c r="K16" s="11"/>
      <c r="L16" s="111" t="s">
        <v>268</v>
      </c>
      <c r="M16" s="103" t="s">
        <v>483</v>
      </c>
      <c r="N16" s="106" t="s">
        <v>484</v>
      </c>
      <c r="O16" s="89" t="s">
        <v>5</v>
      </c>
      <c r="P16" s="89" t="str">
        <f>'PDS - Desenvolvimento'!$K$151</f>
        <v>Concluído</v>
      </c>
      <c r="Q16" s="557">
        <v>45608</v>
      </c>
      <c r="R16" s="145" t="s">
        <v>5</v>
      </c>
      <c r="S16" s="11"/>
      <c r="T16" s="142" t="s">
        <v>454</v>
      </c>
      <c r="U16" s="90" t="s">
        <v>272</v>
      </c>
      <c r="V16" s="89" t="s">
        <v>485</v>
      </c>
      <c r="W16" s="90" t="s">
        <v>289</v>
      </c>
      <c r="X16" s="145"/>
      <c r="Y16" s="202"/>
    </row>
    <row r="17" spans="1:25" ht="84" customHeight="1">
      <c r="A17" s="93" t="s">
        <v>486</v>
      </c>
      <c r="B17" s="88" t="s">
        <v>487</v>
      </c>
      <c r="C17" s="88" t="s">
        <v>488</v>
      </c>
      <c r="D17" s="88" t="s">
        <v>459</v>
      </c>
      <c r="E17" s="94" t="s">
        <v>489</v>
      </c>
      <c r="F17" s="183" t="s">
        <v>490</v>
      </c>
      <c r="G17" s="11"/>
      <c r="H17" s="113" t="s">
        <v>50</v>
      </c>
      <c r="I17" s="105" t="s">
        <v>50</v>
      </c>
      <c r="J17" s="114" t="s">
        <v>50</v>
      </c>
      <c r="K17" s="11"/>
      <c r="L17" s="167" t="s">
        <v>284</v>
      </c>
      <c r="M17" s="164" t="s">
        <v>491</v>
      </c>
      <c r="N17" s="357" t="s">
        <v>492</v>
      </c>
      <c r="O17" s="166" t="s">
        <v>5</v>
      </c>
      <c r="P17" s="166" t="str">
        <f>'PDS - Desenvolvimento'!$K$161</f>
        <v>Concluído</v>
      </c>
      <c r="Q17" s="446">
        <v>45608</v>
      </c>
      <c r="R17" s="199" t="s">
        <v>287</v>
      </c>
      <c r="S17" s="11"/>
      <c r="T17" s="140" t="s">
        <v>493</v>
      </c>
      <c r="U17" s="132" t="s">
        <v>272</v>
      </c>
      <c r="V17" s="133" t="s">
        <v>494</v>
      </c>
      <c r="W17" s="131" t="s">
        <v>289</v>
      </c>
      <c r="X17" s="143"/>
      <c r="Y17" s="201" t="s">
        <v>495</v>
      </c>
    </row>
    <row r="18" spans="1:25" ht="409.5">
      <c r="A18" s="185" t="s">
        <v>496</v>
      </c>
      <c r="B18" s="186" t="s">
        <v>497</v>
      </c>
      <c r="C18" s="186" t="s">
        <v>498</v>
      </c>
      <c r="D18" s="186" t="s">
        <v>294</v>
      </c>
      <c r="E18" s="705" t="s">
        <v>499</v>
      </c>
      <c r="F18" s="706" t="s">
        <v>500</v>
      </c>
      <c r="G18" s="3"/>
      <c r="H18" s="195" t="s">
        <v>50</v>
      </c>
      <c r="I18" s="196" t="s">
        <v>50</v>
      </c>
      <c r="J18" s="197" t="s">
        <v>50</v>
      </c>
      <c r="K18" s="3"/>
      <c r="L18" s="185" t="s">
        <v>284</v>
      </c>
      <c r="M18" s="186" t="s">
        <v>501</v>
      </c>
      <c r="N18" s="565" t="s">
        <v>502</v>
      </c>
      <c r="O18" s="186" t="s">
        <v>5</v>
      </c>
      <c r="P18" s="186" t="str">
        <f>'PDS - Desenvolvimento'!$K$162</f>
        <v>Concluído</v>
      </c>
      <c r="Q18" s="565"/>
      <c r="R18" s="205" t="s">
        <v>406</v>
      </c>
      <c r="S18" s="3"/>
      <c r="T18" s="185" t="s">
        <v>422</v>
      </c>
      <c r="U18" s="186" t="s">
        <v>422</v>
      </c>
      <c r="V18" s="186" t="s">
        <v>422</v>
      </c>
      <c r="W18" s="186" t="s">
        <v>422</v>
      </c>
      <c r="X18" s="205" t="s">
        <v>422</v>
      </c>
      <c r="Y18" s="260" t="s">
        <v>503</v>
      </c>
    </row>
  </sheetData>
  <autoFilter ref="A2:Y18"/>
  <mergeCells count="68">
    <mergeCell ref="A1:E1"/>
    <mergeCell ref="H1:J1"/>
    <mergeCell ref="T1:X1"/>
    <mergeCell ref="Y11:Y13"/>
    <mergeCell ref="Y3:Y6"/>
    <mergeCell ref="Y7:Y10"/>
    <mergeCell ref="A11:A13"/>
    <mergeCell ref="B11:B13"/>
    <mergeCell ref="C11:C13"/>
    <mergeCell ref="D11:D13"/>
    <mergeCell ref="F3:F6"/>
    <mergeCell ref="F7:F10"/>
    <mergeCell ref="F11:F13"/>
    <mergeCell ref="E3:E6"/>
    <mergeCell ref="U7:U10"/>
    <mergeCell ref="H11:H13"/>
    <mergeCell ref="E11:E13"/>
    <mergeCell ref="Y14:Y15"/>
    <mergeCell ref="X3:X6"/>
    <mergeCell ref="X7:X10"/>
    <mergeCell ref="X11:X13"/>
    <mergeCell ref="N7:N10"/>
    <mergeCell ref="E7:E10"/>
    <mergeCell ref="H3:H6"/>
    <mergeCell ref="H7:H10"/>
    <mergeCell ref="W3:W6"/>
    <mergeCell ref="T7:T10"/>
    <mergeCell ref="W7:W10"/>
    <mergeCell ref="N11:N13"/>
    <mergeCell ref="T11:T12"/>
    <mergeCell ref="U11:U12"/>
    <mergeCell ref="W11:W13"/>
    <mergeCell ref="A3:A6"/>
    <mergeCell ref="A7:A10"/>
    <mergeCell ref="B7:B10"/>
    <mergeCell ref="C7:C10"/>
    <mergeCell ref="D7:D10"/>
    <mergeCell ref="D3:D6"/>
    <mergeCell ref="C3:C6"/>
    <mergeCell ref="B3:B6"/>
    <mergeCell ref="U3:U6"/>
    <mergeCell ref="Q3:Q6"/>
    <mergeCell ref="Q7:Q10"/>
    <mergeCell ref="Q11:Q13"/>
    <mergeCell ref="R3:R6"/>
    <mergeCell ref="R7:R10"/>
    <mergeCell ref="R11:R13"/>
    <mergeCell ref="T3:T6"/>
    <mergeCell ref="L1:R1"/>
    <mergeCell ref="L3:L6"/>
    <mergeCell ref="L7:L10"/>
    <mergeCell ref="L11:L13"/>
    <mergeCell ref="M11:M13"/>
    <mergeCell ref="M3:M6"/>
    <mergeCell ref="M7:M10"/>
    <mergeCell ref="N3:N6"/>
    <mergeCell ref="O3:O6"/>
    <mergeCell ref="O7:O10"/>
    <mergeCell ref="O11:O13"/>
    <mergeCell ref="P3:P6"/>
    <mergeCell ref="P7:P10"/>
    <mergeCell ref="P11:P13"/>
    <mergeCell ref="I3:I6"/>
    <mergeCell ref="J3:J6"/>
    <mergeCell ref="I7:I10"/>
    <mergeCell ref="J7:J10"/>
    <mergeCell ref="I11:I13"/>
    <mergeCell ref="J11:J13"/>
  </mergeCells>
  <dataValidations count="1">
    <dataValidation allowBlank="1" showInputMessage="1" showErrorMessage="1" sqref="P3:P18"/>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AUX!$A$2:$A$8</xm:f>
          </x14:formula1>
          <xm:sqref>O3:O18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Y7"/>
  <sheetViews>
    <sheetView zoomScale="70" zoomScaleNormal="70" workbookViewId="0">
      <pane xSplit="6" ySplit="2" topLeftCell="S7" activePane="bottomRight" state="frozen"/>
      <selection pane="topRight" activeCell="G1" sqref="G1"/>
      <selection pane="bottomLeft" activeCell="A3" sqref="A3"/>
      <selection pane="bottomRight" activeCell="E7" sqref="E7"/>
    </sheetView>
  </sheetViews>
  <sheetFormatPr defaultRowHeight="15" customHeight="1"/>
  <cols>
    <col min="1" max="1" width="6.26953125" customWidth="1"/>
    <col min="2" max="2" width="12.81640625" customWidth="1"/>
    <col min="3" max="3" width="24.453125" bestFit="1" customWidth="1"/>
    <col min="4" max="4" width="13" customWidth="1"/>
    <col min="5" max="5" width="47.7265625" customWidth="1"/>
    <col min="6" max="6" width="0" hidden="1" customWidth="1"/>
    <col min="7" max="7" width="4.1796875" customWidth="1"/>
    <col min="8" max="8" width="34.1796875" customWidth="1"/>
    <col min="9" max="10" width="35.81640625" customWidth="1"/>
    <col min="11" max="11" width="4.1796875" customWidth="1"/>
    <col min="12" max="12" width="15.7265625" bestFit="1" customWidth="1"/>
    <col min="13" max="13" width="26.453125" bestFit="1" customWidth="1"/>
    <col min="14" max="16" width="52.453125" customWidth="1"/>
    <col min="17" max="17" width="49.26953125" hidden="1" customWidth="1"/>
    <col min="18" max="18" width="51.1796875" hidden="1" customWidth="1"/>
    <col min="19" max="19" width="4.1796875" customWidth="1"/>
    <col min="20" max="20" width="36" hidden="1" customWidth="1"/>
    <col min="21" max="21" width="27.54296875" hidden="1" customWidth="1"/>
    <col min="22" max="22" width="35.26953125" hidden="1" customWidth="1"/>
    <col min="23" max="23" width="75.26953125" hidden="1" customWidth="1"/>
    <col min="24" max="24" width="52.453125" hidden="1" customWidth="1"/>
    <col min="25" max="25" width="0" hidden="1" customWidth="1"/>
  </cols>
  <sheetData>
    <row r="1" spans="1:25" ht="19" customHeight="1">
      <c r="A1" s="874" t="s">
        <v>234</v>
      </c>
      <c r="B1" s="875"/>
      <c r="C1" s="875"/>
      <c r="D1" s="875"/>
      <c r="E1" s="876"/>
      <c r="F1" s="84"/>
      <c r="G1" s="85"/>
      <c r="H1" s="877" t="s">
        <v>235</v>
      </c>
      <c r="I1" s="878"/>
      <c r="J1" s="879"/>
      <c r="K1" s="85"/>
      <c r="L1" s="869" t="s">
        <v>236</v>
      </c>
      <c r="M1" s="870"/>
      <c r="N1" s="870"/>
      <c r="O1" s="870"/>
      <c r="P1" s="870"/>
      <c r="Q1" s="870"/>
      <c r="R1" s="871"/>
      <c r="S1" s="85"/>
      <c r="T1" s="886" t="s">
        <v>237</v>
      </c>
      <c r="U1" s="887"/>
      <c r="V1" s="887"/>
      <c r="W1" s="887"/>
      <c r="X1" s="888"/>
      <c r="Y1" s="129"/>
    </row>
    <row r="2" spans="1:25" ht="29">
      <c r="A2" s="91" t="s">
        <v>238</v>
      </c>
      <c r="B2" s="87" t="s">
        <v>239</v>
      </c>
      <c r="C2" s="87" t="s">
        <v>240</v>
      </c>
      <c r="D2" s="87" t="s">
        <v>241</v>
      </c>
      <c r="E2" s="92" t="s">
        <v>242</v>
      </c>
      <c r="F2" s="208" t="s">
        <v>243</v>
      </c>
      <c r="G2" s="9"/>
      <c r="H2" s="107" t="s">
        <v>244</v>
      </c>
      <c r="I2" s="100" t="s">
        <v>245</v>
      </c>
      <c r="J2" s="108" t="s">
        <v>246</v>
      </c>
      <c r="K2" s="9"/>
      <c r="L2" s="377" t="s">
        <v>504</v>
      </c>
      <c r="M2" s="378" t="s">
        <v>248</v>
      </c>
      <c r="N2" s="379" t="s">
        <v>249</v>
      </c>
      <c r="O2" s="379" t="s">
        <v>1</v>
      </c>
      <c r="P2" s="379" t="s">
        <v>250</v>
      </c>
      <c r="Q2" s="379" t="s">
        <v>251</v>
      </c>
      <c r="R2" s="380" t="s">
        <v>252</v>
      </c>
      <c r="S2" s="9"/>
      <c r="T2" s="138" t="s">
        <v>253</v>
      </c>
      <c r="U2" s="130" t="s">
        <v>254</v>
      </c>
      <c r="V2" s="130" t="s">
        <v>255</v>
      </c>
      <c r="W2" s="130" t="s">
        <v>256</v>
      </c>
      <c r="X2" s="179" t="s">
        <v>257</v>
      </c>
      <c r="Y2" s="218" t="s">
        <v>258</v>
      </c>
    </row>
    <row r="3" spans="1:25" ht="14.5">
      <c r="A3" s="836" t="s">
        <v>259</v>
      </c>
      <c r="B3" s="835" t="s">
        <v>260</v>
      </c>
      <c r="C3" s="835" t="s">
        <v>261</v>
      </c>
      <c r="D3" s="835" t="s">
        <v>262</v>
      </c>
      <c r="E3" s="815" t="s">
        <v>263</v>
      </c>
      <c r="F3" s="837" t="s">
        <v>264</v>
      </c>
      <c r="G3" s="10"/>
      <c r="H3" s="821" t="s">
        <v>505</v>
      </c>
      <c r="I3" s="827" t="s">
        <v>266</v>
      </c>
      <c r="J3" s="922" t="s">
        <v>506</v>
      </c>
      <c r="K3" s="10"/>
      <c r="L3" s="897" t="s">
        <v>268</v>
      </c>
      <c r="M3" s="901" t="s">
        <v>269</v>
      </c>
      <c r="N3" s="901" t="s">
        <v>507</v>
      </c>
      <c r="O3" s="901" t="s">
        <v>5</v>
      </c>
      <c r="P3" s="901" t="str">
        <f>'PDS - Desenvolvimento'!$K$144</f>
        <v>Concluído</v>
      </c>
      <c r="Q3" s="923">
        <v>45608</v>
      </c>
      <c r="R3" s="924" t="s">
        <v>5</v>
      </c>
      <c r="S3" s="10"/>
      <c r="T3" s="798" t="s">
        <v>271</v>
      </c>
      <c r="U3" s="796" t="s">
        <v>272</v>
      </c>
      <c r="V3" s="133" t="s">
        <v>273</v>
      </c>
      <c r="W3" s="793" t="s">
        <v>274</v>
      </c>
      <c r="X3" s="791"/>
      <c r="Y3" s="920" t="s">
        <v>435</v>
      </c>
    </row>
    <row r="4" spans="1:25" ht="14.5">
      <c r="A4" s="836"/>
      <c r="B4" s="835"/>
      <c r="C4" s="835"/>
      <c r="D4" s="835"/>
      <c r="E4" s="815"/>
      <c r="F4" s="816"/>
      <c r="G4" s="10"/>
      <c r="H4" s="821"/>
      <c r="I4" s="827"/>
      <c r="J4" s="922"/>
      <c r="K4" s="10"/>
      <c r="L4" s="898"/>
      <c r="M4" s="900"/>
      <c r="N4" s="900"/>
      <c r="O4" s="900"/>
      <c r="P4" s="900"/>
      <c r="Q4" s="900"/>
      <c r="R4" s="910"/>
      <c r="S4" s="10"/>
      <c r="T4" s="798"/>
      <c r="U4" s="796"/>
      <c r="V4" s="133" t="s">
        <v>276</v>
      </c>
      <c r="W4" s="793"/>
      <c r="X4" s="791"/>
      <c r="Y4" s="921"/>
    </row>
    <row r="5" spans="1:25" ht="14.5">
      <c r="A5" s="836"/>
      <c r="B5" s="835"/>
      <c r="C5" s="835"/>
      <c r="D5" s="835"/>
      <c r="E5" s="815"/>
      <c r="F5" s="816"/>
      <c r="G5" s="10"/>
      <c r="H5" s="821"/>
      <c r="I5" s="827"/>
      <c r="J5" s="922"/>
      <c r="K5" s="10"/>
      <c r="L5" s="898"/>
      <c r="M5" s="900"/>
      <c r="N5" s="900"/>
      <c r="O5" s="900"/>
      <c r="P5" s="900"/>
      <c r="Q5" s="900"/>
      <c r="R5" s="910"/>
      <c r="S5" s="10"/>
      <c r="T5" s="798"/>
      <c r="U5" s="796"/>
      <c r="V5" s="133" t="s">
        <v>277</v>
      </c>
      <c r="W5" s="793"/>
      <c r="X5" s="791"/>
      <c r="Y5" s="921"/>
    </row>
    <row r="6" spans="1:25" ht="14.5">
      <c r="A6" s="836"/>
      <c r="B6" s="835"/>
      <c r="C6" s="835"/>
      <c r="D6" s="835"/>
      <c r="E6" s="815"/>
      <c r="F6" s="816"/>
      <c r="G6" s="10"/>
      <c r="H6" s="821"/>
      <c r="I6" s="827"/>
      <c r="J6" s="922"/>
      <c r="K6" s="10"/>
      <c r="L6" s="898"/>
      <c r="M6" s="900"/>
      <c r="N6" s="900"/>
      <c r="O6" s="900"/>
      <c r="P6" s="900"/>
      <c r="Q6" s="900"/>
      <c r="R6" s="910"/>
      <c r="S6" s="10"/>
      <c r="T6" s="798"/>
      <c r="U6" s="796"/>
      <c r="V6" s="133" t="s">
        <v>278</v>
      </c>
      <c r="W6" s="793"/>
      <c r="X6" s="791"/>
      <c r="Y6" s="915"/>
    </row>
    <row r="7" spans="1:25" ht="45.65" customHeight="1">
      <c r="A7" s="209" t="s">
        <v>279</v>
      </c>
      <c r="B7" s="210" t="s">
        <v>260</v>
      </c>
      <c r="C7" s="211" t="s">
        <v>280</v>
      </c>
      <c r="D7" s="211" t="s">
        <v>262</v>
      </c>
      <c r="E7" s="212" t="s">
        <v>281</v>
      </c>
      <c r="F7" s="43" t="s">
        <v>367</v>
      </c>
      <c r="G7" s="10"/>
      <c r="H7" s="213" t="s">
        <v>508</v>
      </c>
      <c r="I7" s="214" t="s">
        <v>369</v>
      </c>
      <c r="J7" s="215" t="s">
        <v>509</v>
      </c>
      <c r="K7" s="10"/>
      <c r="L7" s="213" t="s">
        <v>268</v>
      </c>
      <c r="M7" s="211" t="s">
        <v>285</v>
      </c>
      <c r="N7" s="211" t="s">
        <v>510</v>
      </c>
      <c r="O7" s="211" t="s">
        <v>5</v>
      </c>
      <c r="P7" s="211" t="str">
        <f>'PDS - Desenvolvimento'!$K$145</f>
        <v>Concluído</v>
      </c>
      <c r="Q7" s="450">
        <v>45608</v>
      </c>
      <c r="R7" s="216" t="s">
        <v>5</v>
      </c>
      <c r="S7" s="10"/>
      <c r="T7" s="219" t="s">
        <v>271</v>
      </c>
      <c r="U7" s="220" t="s">
        <v>272</v>
      </c>
      <c r="V7" s="221" t="s">
        <v>288</v>
      </c>
      <c r="W7" s="220" t="s">
        <v>289</v>
      </c>
      <c r="X7" s="212"/>
    </row>
  </sheetData>
  <mergeCells count="25">
    <mergeCell ref="A1:E1"/>
    <mergeCell ref="H1:J1"/>
    <mergeCell ref="T1:X1"/>
    <mergeCell ref="W3:W6"/>
    <mergeCell ref="X3:X6"/>
    <mergeCell ref="M3:M6"/>
    <mergeCell ref="L1:R1"/>
    <mergeCell ref="L3:L6"/>
    <mergeCell ref="O3:O6"/>
    <mergeCell ref="Y3:Y6"/>
    <mergeCell ref="D3:D6"/>
    <mergeCell ref="C3:C6"/>
    <mergeCell ref="B3:B6"/>
    <mergeCell ref="A3:A6"/>
    <mergeCell ref="T3:T6"/>
    <mergeCell ref="N3:N6"/>
    <mergeCell ref="H3:H6"/>
    <mergeCell ref="F3:F6"/>
    <mergeCell ref="E3:E6"/>
    <mergeCell ref="I3:I6"/>
    <mergeCell ref="J3:J6"/>
    <mergeCell ref="Q3:Q6"/>
    <mergeCell ref="R3:R6"/>
    <mergeCell ref="U3:U6"/>
    <mergeCell ref="P3:P6"/>
  </mergeCells>
  <dataValidations count="1">
    <dataValidation allowBlank="1" showInputMessage="1" showErrorMessage="1" sqref="P3:P7"/>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AUX!$A$2:$A$8</xm:f>
          </x14:formula1>
          <xm:sqref>O3:O7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Y10"/>
  <sheetViews>
    <sheetView zoomScale="70" zoomScaleNormal="70" workbookViewId="0">
      <pane xSplit="6" ySplit="2" topLeftCell="G3" activePane="bottomRight" state="frozen"/>
      <selection pane="topRight" activeCell="G1" sqref="G1"/>
      <selection pane="bottomLeft" activeCell="A3" sqref="A3"/>
      <selection pane="bottomRight" sqref="A1:E1"/>
    </sheetView>
  </sheetViews>
  <sheetFormatPr defaultRowHeight="15" customHeight="1"/>
  <cols>
    <col min="1" max="1" width="6.26953125" customWidth="1"/>
    <col min="2" max="2" width="12.81640625" customWidth="1"/>
    <col min="3" max="3" width="24.453125" bestFit="1" customWidth="1"/>
    <col min="4" max="4" width="13" customWidth="1"/>
    <col min="5" max="5" width="47.7265625" customWidth="1"/>
    <col min="6" max="6" width="0" hidden="1" customWidth="1"/>
    <col min="7" max="7" width="4.1796875" customWidth="1"/>
    <col min="8" max="8" width="34.1796875" customWidth="1"/>
    <col min="9" max="10" width="35.81640625" customWidth="1"/>
    <col min="11" max="11" width="4.1796875" customWidth="1"/>
    <col min="12" max="12" width="15.7265625" bestFit="1" customWidth="1"/>
    <col min="13" max="13" width="26.453125" bestFit="1" customWidth="1"/>
    <col min="14" max="16" width="52.453125" customWidth="1"/>
    <col min="17" max="17" width="48.1796875" hidden="1" customWidth="1"/>
    <col min="18" max="18" width="46.54296875" hidden="1" customWidth="1"/>
    <col min="19" max="19" width="4.1796875" customWidth="1"/>
    <col min="20" max="20" width="38" hidden="1" customWidth="1"/>
    <col min="21" max="21" width="36" hidden="1" customWidth="1"/>
    <col min="22" max="22" width="35.26953125" hidden="1" customWidth="1"/>
    <col min="23" max="23" width="82" hidden="1" customWidth="1"/>
    <col min="24" max="24" width="52.453125" hidden="1" customWidth="1"/>
    <col min="25" max="25" width="0" hidden="1" customWidth="1"/>
  </cols>
  <sheetData>
    <row r="1" spans="1:25" ht="19" customHeight="1">
      <c r="A1" s="874" t="s">
        <v>234</v>
      </c>
      <c r="B1" s="875"/>
      <c r="C1" s="875"/>
      <c r="D1" s="875"/>
      <c r="E1" s="876"/>
      <c r="F1" s="84"/>
      <c r="G1" s="85"/>
      <c r="H1" s="877" t="s">
        <v>235</v>
      </c>
      <c r="I1" s="878"/>
      <c r="J1" s="879"/>
      <c r="K1" s="85"/>
      <c r="L1" s="869" t="s">
        <v>236</v>
      </c>
      <c r="M1" s="870"/>
      <c r="N1" s="870"/>
      <c r="O1" s="870"/>
      <c r="P1" s="870"/>
      <c r="Q1" s="870"/>
      <c r="R1" s="871"/>
      <c r="S1" s="85"/>
      <c r="T1" s="886" t="s">
        <v>237</v>
      </c>
      <c r="U1" s="887"/>
      <c r="V1" s="887"/>
      <c r="W1" s="887"/>
      <c r="X1" s="888"/>
      <c r="Y1" s="129"/>
    </row>
    <row r="2" spans="1:25" ht="29">
      <c r="A2" s="91" t="s">
        <v>238</v>
      </c>
      <c r="B2" s="87" t="s">
        <v>239</v>
      </c>
      <c r="C2" s="87" t="s">
        <v>240</v>
      </c>
      <c r="D2" s="87" t="s">
        <v>241</v>
      </c>
      <c r="E2" s="92" t="s">
        <v>242</v>
      </c>
      <c r="F2" s="208" t="s">
        <v>243</v>
      </c>
      <c r="G2" s="9"/>
      <c r="H2" s="107" t="s">
        <v>244</v>
      </c>
      <c r="I2" s="100" t="s">
        <v>245</v>
      </c>
      <c r="J2" s="108" t="s">
        <v>246</v>
      </c>
      <c r="K2" s="9"/>
      <c r="L2" s="333" t="s">
        <v>511</v>
      </c>
      <c r="M2" s="334" t="s">
        <v>248</v>
      </c>
      <c r="N2" s="121" t="s">
        <v>249</v>
      </c>
      <c r="O2" s="121" t="s">
        <v>1</v>
      </c>
      <c r="P2" s="121" t="s">
        <v>250</v>
      </c>
      <c r="Q2" s="121" t="s">
        <v>251</v>
      </c>
      <c r="R2" s="123" t="s">
        <v>252</v>
      </c>
      <c r="S2" s="9"/>
      <c r="T2" s="138" t="s">
        <v>253</v>
      </c>
      <c r="U2" s="130" t="s">
        <v>254</v>
      </c>
      <c r="V2" s="130" t="s">
        <v>255</v>
      </c>
      <c r="W2" s="130" t="s">
        <v>256</v>
      </c>
      <c r="X2" s="179" t="s">
        <v>257</v>
      </c>
      <c r="Y2" s="218" t="s">
        <v>258</v>
      </c>
    </row>
    <row r="3" spans="1:25" ht="14.5">
      <c r="A3" s="836" t="s">
        <v>259</v>
      </c>
      <c r="B3" s="835" t="s">
        <v>260</v>
      </c>
      <c r="C3" s="835" t="s">
        <v>261</v>
      </c>
      <c r="D3" s="835" t="s">
        <v>262</v>
      </c>
      <c r="E3" s="815" t="s">
        <v>263</v>
      </c>
      <c r="F3" s="837" t="s">
        <v>264</v>
      </c>
      <c r="G3" s="10"/>
      <c r="H3" s="821" t="s">
        <v>512</v>
      </c>
      <c r="I3" s="827" t="s">
        <v>266</v>
      </c>
      <c r="J3" s="830" t="s">
        <v>506</v>
      </c>
      <c r="K3" s="10"/>
      <c r="L3" s="898" t="s">
        <v>268</v>
      </c>
      <c r="M3" s="900" t="s">
        <v>269</v>
      </c>
      <c r="N3" s="900" t="s">
        <v>513</v>
      </c>
      <c r="O3" s="900" t="s">
        <v>5</v>
      </c>
      <c r="P3" s="900" t="str">
        <f>'PDS - Desenvolvimento'!$K$166</f>
        <v>Concluído</v>
      </c>
      <c r="Q3" s="941">
        <v>45608</v>
      </c>
      <c r="R3" s="910" t="s">
        <v>5</v>
      </c>
      <c r="S3" s="10"/>
      <c r="T3" s="798" t="s">
        <v>271</v>
      </c>
      <c r="U3" s="796" t="s">
        <v>272</v>
      </c>
      <c r="V3" s="133" t="s">
        <v>273</v>
      </c>
      <c r="W3" s="793" t="s">
        <v>274</v>
      </c>
      <c r="X3" s="791"/>
      <c r="Y3" s="920" t="s">
        <v>435</v>
      </c>
    </row>
    <row r="4" spans="1:25" ht="14.5">
      <c r="A4" s="836"/>
      <c r="B4" s="835"/>
      <c r="C4" s="835"/>
      <c r="D4" s="835"/>
      <c r="E4" s="815"/>
      <c r="F4" s="816"/>
      <c r="G4" s="10"/>
      <c r="H4" s="821"/>
      <c r="I4" s="827"/>
      <c r="J4" s="830"/>
      <c r="K4" s="10"/>
      <c r="L4" s="898"/>
      <c r="M4" s="900"/>
      <c r="N4" s="900"/>
      <c r="O4" s="900"/>
      <c r="P4" s="900"/>
      <c r="Q4" s="900"/>
      <c r="R4" s="910"/>
      <c r="S4" s="10"/>
      <c r="T4" s="798"/>
      <c r="U4" s="796"/>
      <c r="V4" s="133" t="s">
        <v>276</v>
      </c>
      <c r="W4" s="793"/>
      <c r="X4" s="791"/>
      <c r="Y4" s="921"/>
    </row>
    <row r="5" spans="1:25" ht="14.5">
      <c r="A5" s="836"/>
      <c r="B5" s="835"/>
      <c r="C5" s="835"/>
      <c r="D5" s="835"/>
      <c r="E5" s="815"/>
      <c r="F5" s="816"/>
      <c r="G5" s="10"/>
      <c r="H5" s="821"/>
      <c r="I5" s="827"/>
      <c r="J5" s="830"/>
      <c r="K5" s="10"/>
      <c r="L5" s="898"/>
      <c r="M5" s="900"/>
      <c r="N5" s="900"/>
      <c r="O5" s="900"/>
      <c r="P5" s="900"/>
      <c r="Q5" s="900"/>
      <c r="R5" s="910"/>
      <c r="S5" s="10"/>
      <c r="T5" s="798"/>
      <c r="U5" s="796"/>
      <c r="V5" s="133" t="s">
        <v>277</v>
      </c>
      <c r="W5" s="793"/>
      <c r="X5" s="791"/>
      <c r="Y5" s="921"/>
    </row>
    <row r="6" spans="1:25" ht="14.5">
      <c r="A6" s="836"/>
      <c r="B6" s="835"/>
      <c r="C6" s="835"/>
      <c r="D6" s="835"/>
      <c r="E6" s="815"/>
      <c r="F6" s="816"/>
      <c r="G6" s="10"/>
      <c r="H6" s="821"/>
      <c r="I6" s="827"/>
      <c r="J6" s="830"/>
      <c r="K6" s="10"/>
      <c r="L6" s="898"/>
      <c r="M6" s="900"/>
      <c r="N6" s="900"/>
      <c r="O6" s="900"/>
      <c r="P6" s="900"/>
      <c r="Q6" s="900"/>
      <c r="R6" s="910"/>
      <c r="S6" s="10"/>
      <c r="T6" s="798"/>
      <c r="U6" s="796"/>
      <c r="V6" s="133" t="s">
        <v>278</v>
      </c>
      <c r="W6" s="793"/>
      <c r="X6" s="791"/>
      <c r="Y6" s="915"/>
    </row>
    <row r="7" spans="1:25" ht="14.5">
      <c r="A7" s="931" t="s">
        <v>424</v>
      </c>
      <c r="B7" s="933" t="s">
        <v>260</v>
      </c>
      <c r="C7" s="936" t="s">
        <v>425</v>
      </c>
      <c r="D7" s="894" t="s">
        <v>262</v>
      </c>
      <c r="E7" s="913" t="s">
        <v>426</v>
      </c>
      <c r="F7" s="938" t="s">
        <v>427</v>
      </c>
      <c r="G7" s="11"/>
      <c r="H7" s="899" t="s">
        <v>514</v>
      </c>
      <c r="I7" s="889" t="s">
        <v>429</v>
      </c>
      <c r="J7" s="913" t="s">
        <v>515</v>
      </c>
      <c r="K7" s="11"/>
      <c r="L7" s="899" t="s">
        <v>268</v>
      </c>
      <c r="M7" s="894" t="s">
        <v>431</v>
      </c>
      <c r="N7" s="894" t="s">
        <v>516</v>
      </c>
      <c r="O7" s="894" t="s">
        <v>5</v>
      </c>
      <c r="P7" s="894" t="str">
        <f>'PDS - Desenvolvimento'!$K$167</f>
        <v>Concluído</v>
      </c>
      <c r="Q7" s="927">
        <v>45608</v>
      </c>
      <c r="R7" s="896" t="s">
        <v>5</v>
      </c>
      <c r="S7" s="11"/>
      <c r="T7" s="852" t="s">
        <v>433</v>
      </c>
      <c r="U7" s="889" t="s">
        <v>272</v>
      </c>
      <c r="V7" s="137" t="s">
        <v>273</v>
      </c>
      <c r="W7" s="889" t="s">
        <v>434</v>
      </c>
      <c r="X7" s="913"/>
    </row>
    <row r="8" spans="1:25" ht="14.5">
      <c r="A8" s="931"/>
      <c r="B8" s="934"/>
      <c r="C8" s="936"/>
      <c r="D8" s="894"/>
      <c r="E8" s="913"/>
      <c r="F8" s="939"/>
      <c r="G8" s="11"/>
      <c r="H8" s="899"/>
      <c r="I8" s="889"/>
      <c r="J8" s="913"/>
      <c r="K8" s="11"/>
      <c r="L8" s="899"/>
      <c r="M8" s="894"/>
      <c r="N8" s="894"/>
      <c r="O8" s="894"/>
      <c r="P8" s="894"/>
      <c r="Q8" s="894"/>
      <c r="R8" s="896"/>
      <c r="S8" s="11"/>
      <c r="T8" s="852"/>
      <c r="U8" s="889"/>
      <c r="V8" s="137" t="s">
        <v>436</v>
      </c>
      <c r="W8" s="889"/>
      <c r="X8" s="913"/>
    </row>
    <row r="9" spans="1:25" ht="14.5">
      <c r="A9" s="931"/>
      <c r="B9" s="934"/>
      <c r="C9" s="936"/>
      <c r="D9" s="894"/>
      <c r="E9" s="913"/>
      <c r="F9" s="939"/>
      <c r="G9" s="11"/>
      <c r="H9" s="899"/>
      <c r="I9" s="889"/>
      <c r="J9" s="913"/>
      <c r="K9" s="11"/>
      <c r="L9" s="899"/>
      <c r="M9" s="894"/>
      <c r="N9" s="894"/>
      <c r="O9" s="894"/>
      <c r="P9" s="894"/>
      <c r="Q9" s="894"/>
      <c r="R9" s="896"/>
      <c r="S9" s="11"/>
      <c r="T9" s="852"/>
      <c r="U9" s="889"/>
      <c r="V9" s="137" t="s">
        <v>437</v>
      </c>
      <c r="W9" s="889"/>
      <c r="X9" s="913"/>
    </row>
    <row r="10" spans="1:25" ht="14.5">
      <c r="A10" s="932"/>
      <c r="B10" s="935"/>
      <c r="C10" s="937"/>
      <c r="D10" s="928"/>
      <c r="E10" s="929"/>
      <c r="F10" s="939"/>
      <c r="G10" s="11"/>
      <c r="H10" s="925"/>
      <c r="I10" s="926"/>
      <c r="J10" s="929"/>
      <c r="K10" s="11"/>
      <c r="L10" s="925"/>
      <c r="M10" s="928"/>
      <c r="N10" s="928"/>
      <c r="O10" s="928"/>
      <c r="P10" s="928"/>
      <c r="Q10" s="928"/>
      <c r="R10" s="930"/>
      <c r="S10" s="11"/>
      <c r="T10" s="940"/>
      <c r="U10" s="926"/>
      <c r="V10" s="211" t="s">
        <v>438</v>
      </c>
      <c r="W10" s="926"/>
      <c r="X10" s="929"/>
    </row>
  </sheetData>
  <mergeCells count="45">
    <mergeCell ref="F3:F6"/>
    <mergeCell ref="H3:H6"/>
    <mergeCell ref="N3:N6"/>
    <mergeCell ref="T3:T6"/>
    <mergeCell ref="Q3:Q6"/>
    <mergeCell ref="I3:I6"/>
    <mergeCell ref="J3:J6"/>
    <mergeCell ref="M3:M6"/>
    <mergeCell ref="O3:O6"/>
    <mergeCell ref="A3:A6"/>
    <mergeCell ref="B3:B6"/>
    <mergeCell ref="C3:C6"/>
    <mergeCell ref="D3:D6"/>
    <mergeCell ref="E3:E6"/>
    <mergeCell ref="A1:E1"/>
    <mergeCell ref="X7:X10"/>
    <mergeCell ref="W7:W10"/>
    <mergeCell ref="U3:U6"/>
    <mergeCell ref="R3:R6"/>
    <mergeCell ref="W3:W6"/>
    <mergeCell ref="A7:A10"/>
    <mergeCell ref="B7:B10"/>
    <mergeCell ref="C7:C10"/>
    <mergeCell ref="D7:D10"/>
    <mergeCell ref="E7:E10"/>
    <mergeCell ref="F7:F10"/>
    <mergeCell ref="H7:H10"/>
    <mergeCell ref="N7:N10"/>
    <mergeCell ref="T7:T10"/>
    <mergeCell ref="H1:J1"/>
    <mergeCell ref="I7:I10"/>
    <mergeCell ref="J7:J10"/>
    <mergeCell ref="R7:R10"/>
    <mergeCell ref="M7:M10"/>
    <mergeCell ref="Y3:Y6"/>
    <mergeCell ref="X3:X6"/>
    <mergeCell ref="O7:O10"/>
    <mergeCell ref="L1:R1"/>
    <mergeCell ref="L3:L6"/>
    <mergeCell ref="L7:L10"/>
    <mergeCell ref="U7:U10"/>
    <mergeCell ref="Q7:Q10"/>
    <mergeCell ref="T1:X1"/>
    <mergeCell ref="P3:P6"/>
    <mergeCell ref="P7:P10"/>
  </mergeCells>
  <dataValidations count="1">
    <dataValidation allowBlank="1" showInputMessage="1" showErrorMessage="1" sqref="P3:P10"/>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AUX!$A$2:$A$8</xm:f>
          </x14:formula1>
          <xm:sqref>O3:O10</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A2"/>
  <sheetViews>
    <sheetView zoomScaleNormal="100" workbookViewId="0"/>
  </sheetViews>
  <sheetFormatPr defaultRowHeight="14.5"/>
  <cols>
    <col min="1" max="1" width="167.81640625" customWidth="1"/>
  </cols>
  <sheetData>
    <row r="1" spans="1:1" ht="265.5" thickBot="1">
      <c r="A1" s="50" t="s">
        <v>517</v>
      </c>
    </row>
    <row r="2" spans="1:1" ht="251" hidden="1" thickBot="1">
      <c r="A2" s="1" t="s">
        <v>518</v>
      </c>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 filterMode="1"/>
  <dimension ref="A1:Z143"/>
  <sheetViews>
    <sheetView zoomScale="55" zoomScaleNormal="55" workbookViewId="0">
      <pane xSplit="6" ySplit="2" topLeftCell="L44" activePane="bottomRight" state="frozen"/>
      <selection pane="topRight" activeCell="G1" sqref="G1"/>
      <selection pane="bottomLeft" activeCell="A3" sqref="A3"/>
      <selection pane="bottomRight" activeCell="O76" sqref="O76"/>
    </sheetView>
  </sheetViews>
  <sheetFormatPr defaultRowHeight="15" customHeight="1"/>
  <cols>
    <col min="1" max="1" width="6.26953125" customWidth="1"/>
    <col min="2" max="2" width="12.81640625" customWidth="1"/>
    <col min="3" max="3" width="24.453125" bestFit="1" customWidth="1"/>
    <col min="4" max="4" width="13" customWidth="1"/>
    <col min="5" max="5" width="47.7265625" customWidth="1"/>
    <col min="6" max="6" width="78.81640625" hidden="1" customWidth="1"/>
    <col min="7" max="7" width="4" customWidth="1"/>
    <col min="8" max="8" width="34.1796875" customWidth="1"/>
    <col min="9" max="9" width="35.81640625" customWidth="1"/>
    <col min="10" max="10" width="47.54296875" customWidth="1"/>
    <col min="11" max="12" width="2.81640625" customWidth="1"/>
    <col min="13" max="13" width="18.54296875" customWidth="1"/>
    <col min="14" max="14" width="28.7265625" customWidth="1"/>
    <col min="15" max="17" width="52.453125" customWidth="1"/>
    <col min="18" max="18" width="52.453125" hidden="1" customWidth="1"/>
    <col min="19" max="19" width="51.54296875" hidden="1" customWidth="1"/>
    <col min="20" max="20" width="4" customWidth="1"/>
    <col min="21" max="21" width="38" style="8" hidden="1" customWidth="1"/>
    <col min="22" max="22" width="36" hidden="1" customWidth="1"/>
    <col min="23" max="23" width="35.26953125" hidden="1" customWidth="1"/>
    <col min="24" max="24" width="82" hidden="1" customWidth="1"/>
    <col min="25" max="26" width="52.453125" hidden="1" customWidth="1"/>
  </cols>
  <sheetData>
    <row r="1" spans="1:26" ht="19" customHeight="1">
      <c r="A1" s="874" t="s">
        <v>234</v>
      </c>
      <c r="B1" s="875"/>
      <c r="C1" s="875"/>
      <c r="D1" s="875"/>
      <c r="E1" s="876"/>
      <c r="F1" s="84"/>
      <c r="G1" s="85"/>
      <c r="H1" s="877" t="s">
        <v>235</v>
      </c>
      <c r="I1" s="878"/>
      <c r="J1" s="879"/>
      <c r="K1" s="85"/>
      <c r="L1" s="153"/>
      <c r="M1" s="869" t="s">
        <v>236</v>
      </c>
      <c r="N1" s="870"/>
      <c r="O1" s="870"/>
      <c r="P1" s="870"/>
      <c r="Q1" s="870"/>
      <c r="R1" s="870"/>
      <c r="S1" s="871"/>
      <c r="T1" s="85"/>
      <c r="U1" s="886" t="s">
        <v>237</v>
      </c>
      <c r="V1" s="887"/>
      <c r="W1" s="887"/>
      <c r="X1" s="887"/>
      <c r="Y1" s="888"/>
      <c r="Z1" s="129"/>
    </row>
    <row r="2" spans="1:26" ht="39.75" customHeight="1">
      <c r="A2" s="91" t="s">
        <v>238</v>
      </c>
      <c r="B2" s="87" t="s">
        <v>239</v>
      </c>
      <c r="C2" s="87" t="s">
        <v>240</v>
      </c>
      <c r="D2" s="87" t="s">
        <v>241</v>
      </c>
      <c r="E2" s="92" t="s">
        <v>242</v>
      </c>
      <c r="F2" s="218" t="s">
        <v>242</v>
      </c>
      <c r="G2" s="35"/>
      <c r="H2" s="107" t="s">
        <v>244</v>
      </c>
      <c r="I2" s="100" t="s">
        <v>245</v>
      </c>
      <c r="J2" s="108" t="s">
        <v>246</v>
      </c>
      <c r="K2" s="36"/>
      <c r="L2" s="36"/>
      <c r="M2" s="333" t="s">
        <v>247</v>
      </c>
      <c r="N2" s="334" t="s">
        <v>248</v>
      </c>
      <c r="O2" s="121" t="s">
        <v>249</v>
      </c>
      <c r="P2" s="121" t="s">
        <v>1</v>
      </c>
      <c r="Q2" s="121" t="s">
        <v>250</v>
      </c>
      <c r="R2" s="121" t="s">
        <v>251</v>
      </c>
      <c r="S2" s="123" t="s">
        <v>252</v>
      </c>
      <c r="T2" s="36"/>
      <c r="U2" s="138" t="s">
        <v>253</v>
      </c>
      <c r="V2" s="130" t="s">
        <v>254</v>
      </c>
      <c r="W2" s="130" t="s">
        <v>255</v>
      </c>
      <c r="X2" s="130" t="s">
        <v>256</v>
      </c>
      <c r="Y2" s="179" t="s">
        <v>257</v>
      </c>
      <c r="Z2" s="247" t="s">
        <v>258</v>
      </c>
    </row>
    <row r="3" spans="1:26" ht="14.5" hidden="1" customHeight="1">
      <c r="A3" s="836" t="s">
        <v>259</v>
      </c>
      <c r="B3" s="835" t="s">
        <v>260</v>
      </c>
      <c r="C3" s="835" t="s">
        <v>261</v>
      </c>
      <c r="D3" s="835" t="s">
        <v>262</v>
      </c>
      <c r="E3" s="815" t="s">
        <v>519</v>
      </c>
      <c r="F3" s="1004" t="s">
        <v>264</v>
      </c>
      <c r="G3" s="11"/>
      <c r="H3" s="821" t="s">
        <v>265</v>
      </c>
      <c r="I3" s="827" t="s">
        <v>266</v>
      </c>
      <c r="J3" s="830" t="s">
        <v>267</v>
      </c>
      <c r="K3" s="34"/>
      <c r="L3" s="34"/>
      <c r="M3" s="813" t="s">
        <v>268</v>
      </c>
      <c r="N3" s="784" t="s">
        <v>269</v>
      </c>
      <c r="O3" s="824" t="s">
        <v>270</v>
      </c>
      <c r="P3" s="784" t="s">
        <v>5</v>
      </c>
      <c r="Q3" s="784" t="str">
        <f>'PDS - Desenvolvimento'!$K$3</f>
        <v>Concluído</v>
      </c>
      <c r="R3" s="985">
        <v>45608</v>
      </c>
      <c r="S3" s="909" t="s">
        <v>5</v>
      </c>
      <c r="T3" s="34"/>
      <c r="U3" s="798" t="s">
        <v>271</v>
      </c>
      <c r="V3" s="796" t="s">
        <v>272</v>
      </c>
      <c r="W3" s="133" t="s">
        <v>273</v>
      </c>
      <c r="X3" s="793" t="s">
        <v>274</v>
      </c>
      <c r="Y3" s="791"/>
      <c r="Z3" s="968" t="s">
        <v>275</v>
      </c>
    </row>
    <row r="4" spans="1:26" ht="14.5" hidden="1" customHeight="1">
      <c r="A4" s="836"/>
      <c r="B4" s="835"/>
      <c r="C4" s="835"/>
      <c r="D4" s="835"/>
      <c r="E4" s="815"/>
      <c r="F4" s="950"/>
      <c r="G4" s="11"/>
      <c r="H4" s="821"/>
      <c r="I4" s="827"/>
      <c r="J4" s="830"/>
      <c r="K4" s="34"/>
      <c r="L4" s="34"/>
      <c r="M4" s="813"/>
      <c r="N4" s="784"/>
      <c r="O4" s="824"/>
      <c r="P4" s="784"/>
      <c r="Q4" s="784"/>
      <c r="R4" s="986"/>
      <c r="S4" s="909"/>
      <c r="T4" s="34"/>
      <c r="U4" s="798"/>
      <c r="V4" s="796"/>
      <c r="W4" s="133" t="s">
        <v>276</v>
      </c>
      <c r="X4" s="793"/>
      <c r="Y4" s="791"/>
      <c r="Z4" s="969"/>
    </row>
    <row r="5" spans="1:26" ht="14.5" hidden="1" customHeight="1">
      <c r="A5" s="836"/>
      <c r="B5" s="835"/>
      <c r="C5" s="835"/>
      <c r="D5" s="835"/>
      <c r="E5" s="815"/>
      <c r="F5" s="950"/>
      <c r="G5" s="11"/>
      <c r="H5" s="821"/>
      <c r="I5" s="827"/>
      <c r="J5" s="830"/>
      <c r="K5" s="34"/>
      <c r="L5" s="34"/>
      <c r="M5" s="813"/>
      <c r="N5" s="784"/>
      <c r="O5" s="824"/>
      <c r="P5" s="784"/>
      <c r="Q5" s="784"/>
      <c r="R5" s="986"/>
      <c r="S5" s="909"/>
      <c r="T5" s="34"/>
      <c r="U5" s="798"/>
      <c r="V5" s="796"/>
      <c r="W5" s="133" t="s">
        <v>277</v>
      </c>
      <c r="X5" s="793"/>
      <c r="Y5" s="791"/>
      <c r="Z5" s="969"/>
    </row>
    <row r="6" spans="1:26" ht="14.5" hidden="1" customHeight="1">
      <c r="A6" s="836"/>
      <c r="B6" s="835"/>
      <c r="C6" s="835"/>
      <c r="D6" s="835"/>
      <c r="E6" s="815"/>
      <c r="F6" s="951"/>
      <c r="G6" s="11"/>
      <c r="H6" s="821"/>
      <c r="I6" s="827"/>
      <c r="J6" s="830"/>
      <c r="K6" s="34"/>
      <c r="L6" s="34"/>
      <c r="M6" s="813"/>
      <c r="N6" s="784"/>
      <c r="O6" s="824"/>
      <c r="P6" s="784"/>
      <c r="Q6" s="784"/>
      <c r="R6" s="987"/>
      <c r="S6" s="909"/>
      <c r="T6" s="34"/>
      <c r="U6" s="798"/>
      <c r="V6" s="796"/>
      <c r="W6" s="133" t="s">
        <v>278</v>
      </c>
      <c r="X6" s="793"/>
      <c r="Y6" s="791"/>
      <c r="Z6" s="970"/>
    </row>
    <row r="7" spans="1:26" ht="75" hidden="1" customHeight="1">
      <c r="A7" s="95" t="s">
        <v>279</v>
      </c>
      <c r="B7" s="89" t="s">
        <v>260</v>
      </c>
      <c r="C7" s="89" t="s">
        <v>280</v>
      </c>
      <c r="D7" s="89" t="s">
        <v>262</v>
      </c>
      <c r="E7" s="96" t="s">
        <v>281</v>
      </c>
      <c r="F7" s="45" t="s">
        <v>367</v>
      </c>
      <c r="G7" s="11"/>
      <c r="H7" s="95" t="s">
        <v>520</v>
      </c>
      <c r="I7" s="189" t="s">
        <v>50</v>
      </c>
      <c r="J7" s="194" t="s">
        <v>50</v>
      </c>
      <c r="K7" s="37"/>
      <c r="L7" s="37"/>
      <c r="M7" s="111" t="s">
        <v>284</v>
      </c>
      <c r="N7" s="103" t="s">
        <v>285</v>
      </c>
      <c r="O7" s="106" t="s">
        <v>521</v>
      </c>
      <c r="P7" s="103" t="s">
        <v>5</v>
      </c>
      <c r="Q7" s="103" t="str">
        <f>'PDS - Desenvolvimento'!$K$77</f>
        <v>Concluído</v>
      </c>
      <c r="R7" s="451">
        <v>45608</v>
      </c>
      <c r="S7" s="116" t="s">
        <v>287</v>
      </c>
      <c r="T7" s="37"/>
      <c r="U7" s="142" t="s">
        <v>271</v>
      </c>
      <c r="V7" s="134" t="s">
        <v>272</v>
      </c>
      <c r="W7" s="89" t="s">
        <v>288</v>
      </c>
      <c r="X7" s="90" t="s">
        <v>289</v>
      </c>
      <c r="Y7" s="96"/>
      <c r="Z7" s="248" t="s">
        <v>290</v>
      </c>
    </row>
    <row r="8" spans="1:26" ht="39.75" hidden="1" customHeight="1">
      <c r="A8" s="93" t="s">
        <v>522</v>
      </c>
      <c r="B8" s="88" t="s">
        <v>260</v>
      </c>
      <c r="C8" s="88" t="s">
        <v>523</v>
      </c>
      <c r="D8" s="88" t="s">
        <v>262</v>
      </c>
      <c r="E8" s="94" t="s">
        <v>524</v>
      </c>
      <c r="F8" s="44" t="s">
        <v>525</v>
      </c>
      <c r="G8" s="11"/>
      <c r="H8" s="109" t="s">
        <v>526</v>
      </c>
      <c r="I8" s="102" t="s">
        <v>527</v>
      </c>
      <c r="J8" s="110" t="s">
        <v>528</v>
      </c>
      <c r="K8" s="34"/>
      <c r="L8" s="34"/>
      <c r="M8" s="124" t="s">
        <v>268</v>
      </c>
      <c r="N8" s="122" t="s">
        <v>529</v>
      </c>
      <c r="O8" s="351" t="s">
        <v>530</v>
      </c>
      <c r="P8" s="122" t="s">
        <v>5</v>
      </c>
      <c r="Q8" s="122" t="str">
        <f>'PDS - Desenvolvimento'!$K$76</f>
        <v>Concluído</v>
      </c>
      <c r="R8" s="452">
        <v>45608</v>
      </c>
      <c r="S8" s="125" t="s">
        <v>5</v>
      </c>
      <c r="T8" s="34"/>
      <c r="U8" s="198"/>
      <c r="V8" s="133"/>
      <c r="W8" s="133"/>
      <c r="X8" s="131" t="s">
        <v>531</v>
      </c>
      <c r="Y8" s="141"/>
      <c r="Z8" s="249"/>
    </row>
    <row r="9" spans="1:26" ht="52.5" hidden="1" customHeight="1">
      <c r="A9" s="95" t="s">
        <v>532</v>
      </c>
      <c r="B9" s="89" t="s">
        <v>260</v>
      </c>
      <c r="C9" s="89" t="s">
        <v>533</v>
      </c>
      <c r="D9" s="89" t="s">
        <v>262</v>
      </c>
      <c r="E9" s="160" t="s">
        <v>534</v>
      </c>
      <c r="F9" s="45" t="s">
        <v>535</v>
      </c>
      <c r="G9" s="11"/>
      <c r="H9" s="95" t="s">
        <v>536</v>
      </c>
      <c r="I9" s="90" t="s">
        <v>533</v>
      </c>
      <c r="J9" s="160" t="s">
        <v>537</v>
      </c>
      <c r="K9" s="37"/>
      <c r="L9" s="37"/>
      <c r="M9" s="111" t="s">
        <v>268</v>
      </c>
      <c r="N9" s="103" t="s">
        <v>538</v>
      </c>
      <c r="O9" s="106" t="s">
        <v>539</v>
      </c>
      <c r="P9" s="103" t="s">
        <v>5</v>
      </c>
      <c r="Q9" s="103" t="str">
        <f>'PDS - Desenvolvimento'!$K$7</f>
        <v>Concluído</v>
      </c>
      <c r="R9" s="451">
        <v>45608</v>
      </c>
      <c r="S9" s="116" t="s">
        <v>5</v>
      </c>
      <c r="T9" s="37"/>
      <c r="U9" s="95"/>
      <c r="V9" s="89"/>
      <c r="W9" s="89"/>
      <c r="X9" s="90" t="s">
        <v>531</v>
      </c>
      <c r="Y9" s="96"/>
      <c r="Z9" s="250"/>
    </row>
    <row r="10" spans="1:26" ht="14.5" hidden="1" customHeight="1">
      <c r="A10" s="836" t="s">
        <v>540</v>
      </c>
      <c r="B10" s="835" t="s">
        <v>260</v>
      </c>
      <c r="C10" s="835" t="s">
        <v>541</v>
      </c>
      <c r="D10" s="835" t="s">
        <v>262</v>
      </c>
      <c r="E10" s="815" t="s">
        <v>542</v>
      </c>
      <c r="F10" s="949" t="s">
        <v>543</v>
      </c>
      <c r="G10" s="11"/>
      <c r="H10" s="821" t="s">
        <v>544</v>
      </c>
      <c r="I10" s="827" t="s">
        <v>545</v>
      </c>
      <c r="J10" s="922" t="s">
        <v>546</v>
      </c>
      <c r="K10" s="34"/>
      <c r="L10" s="34"/>
      <c r="M10" s="813" t="s">
        <v>268</v>
      </c>
      <c r="N10" s="784" t="s">
        <v>361</v>
      </c>
      <c r="O10" s="824" t="s">
        <v>547</v>
      </c>
      <c r="P10" s="784" t="s">
        <v>5</v>
      </c>
      <c r="Q10" s="784" t="str">
        <f>'PDS - Desenvolvimento'!$K$4</f>
        <v>Concluído</v>
      </c>
      <c r="R10" s="985">
        <v>45608</v>
      </c>
      <c r="S10" s="909" t="s">
        <v>5</v>
      </c>
      <c r="T10" s="34"/>
      <c r="U10" s="798" t="s">
        <v>271</v>
      </c>
      <c r="V10" s="796" t="s">
        <v>272</v>
      </c>
      <c r="W10" s="133" t="s">
        <v>273</v>
      </c>
      <c r="X10" s="793" t="s">
        <v>548</v>
      </c>
      <c r="Y10" s="791"/>
      <c r="Z10" s="971" t="s">
        <v>549</v>
      </c>
    </row>
    <row r="11" spans="1:26" ht="14.5" hidden="1" customHeight="1">
      <c r="A11" s="836"/>
      <c r="B11" s="835"/>
      <c r="C11" s="835"/>
      <c r="D11" s="835"/>
      <c r="E11" s="815"/>
      <c r="F11" s="950"/>
      <c r="G11" s="11"/>
      <c r="H11" s="821"/>
      <c r="I11" s="827"/>
      <c r="J11" s="922"/>
      <c r="K11" s="34"/>
      <c r="L11" s="34"/>
      <c r="M11" s="813"/>
      <c r="N11" s="784"/>
      <c r="O11" s="824"/>
      <c r="P11" s="784"/>
      <c r="Q11" s="784"/>
      <c r="R11" s="986"/>
      <c r="S11" s="909"/>
      <c r="T11" s="34"/>
      <c r="U11" s="798"/>
      <c r="V11" s="796"/>
      <c r="W11" s="133" t="s">
        <v>276</v>
      </c>
      <c r="X11" s="793"/>
      <c r="Y11" s="791"/>
      <c r="Z11" s="972"/>
    </row>
    <row r="12" spans="1:26" ht="14.5" hidden="1" customHeight="1">
      <c r="A12" s="836"/>
      <c r="B12" s="835"/>
      <c r="C12" s="835"/>
      <c r="D12" s="835"/>
      <c r="E12" s="815"/>
      <c r="F12" s="950"/>
      <c r="G12" s="11"/>
      <c r="H12" s="821"/>
      <c r="I12" s="827"/>
      <c r="J12" s="922"/>
      <c r="K12" s="34"/>
      <c r="L12" s="34"/>
      <c r="M12" s="813"/>
      <c r="N12" s="784"/>
      <c r="O12" s="824"/>
      <c r="P12" s="784"/>
      <c r="Q12" s="784"/>
      <c r="R12" s="986"/>
      <c r="S12" s="909"/>
      <c r="T12" s="34"/>
      <c r="U12" s="798"/>
      <c r="V12" s="796"/>
      <c r="W12" s="133" t="s">
        <v>277</v>
      </c>
      <c r="X12" s="793"/>
      <c r="Y12" s="791"/>
      <c r="Z12" s="972"/>
    </row>
    <row r="13" spans="1:26" ht="14.5" hidden="1" customHeight="1">
      <c r="A13" s="836"/>
      <c r="B13" s="835"/>
      <c r="C13" s="835"/>
      <c r="D13" s="835"/>
      <c r="E13" s="815"/>
      <c r="F13" s="951"/>
      <c r="G13" s="11"/>
      <c r="H13" s="821"/>
      <c r="I13" s="827"/>
      <c r="J13" s="922"/>
      <c r="K13" s="34"/>
      <c r="L13" s="34"/>
      <c r="M13" s="813"/>
      <c r="N13" s="784"/>
      <c r="O13" s="824"/>
      <c r="P13" s="784"/>
      <c r="Q13" s="784"/>
      <c r="R13" s="987"/>
      <c r="S13" s="909"/>
      <c r="T13" s="34"/>
      <c r="U13" s="798"/>
      <c r="V13" s="796"/>
      <c r="W13" s="133" t="s">
        <v>278</v>
      </c>
      <c r="X13" s="793"/>
      <c r="Y13" s="791"/>
      <c r="Z13" s="973"/>
    </row>
    <row r="14" spans="1:26" ht="14.5" hidden="1" customHeight="1">
      <c r="A14" s="841" t="s">
        <v>291</v>
      </c>
      <c r="B14" s="842" t="s">
        <v>292</v>
      </c>
      <c r="C14" s="842" t="s">
        <v>293</v>
      </c>
      <c r="D14" s="842" t="s">
        <v>294</v>
      </c>
      <c r="E14" s="795" t="s">
        <v>550</v>
      </c>
      <c r="F14" s="946" t="s">
        <v>296</v>
      </c>
      <c r="G14" s="11"/>
      <c r="H14" s="1005" t="s">
        <v>50</v>
      </c>
      <c r="I14" s="893" t="s">
        <v>50</v>
      </c>
      <c r="J14" s="895" t="s">
        <v>50</v>
      </c>
      <c r="K14" s="38"/>
      <c r="L14" s="38"/>
      <c r="M14" s="1020" t="s">
        <v>284</v>
      </c>
      <c r="N14" s="942" t="s">
        <v>297</v>
      </c>
      <c r="O14" s="1012" t="s">
        <v>298</v>
      </c>
      <c r="P14" s="942" t="s">
        <v>5</v>
      </c>
      <c r="Q14" s="842" t="str">
        <f>'PDS - Desenvolvimento'!$K$81</f>
        <v>Concluído</v>
      </c>
      <c r="R14" s="1006" t="s">
        <v>551</v>
      </c>
      <c r="S14" s="895" t="s">
        <v>299</v>
      </c>
      <c r="T14" s="38"/>
      <c r="U14" s="852" t="s">
        <v>300</v>
      </c>
      <c r="V14" s="854" t="s">
        <v>301</v>
      </c>
      <c r="W14" s="137" t="s">
        <v>302</v>
      </c>
      <c r="X14" s="889" t="s">
        <v>303</v>
      </c>
      <c r="Y14" s="913"/>
      <c r="Z14" s="974"/>
    </row>
    <row r="15" spans="1:26" ht="14.5" hidden="1" customHeight="1">
      <c r="A15" s="841"/>
      <c r="B15" s="842"/>
      <c r="C15" s="842"/>
      <c r="D15" s="842"/>
      <c r="E15" s="795"/>
      <c r="F15" s="947"/>
      <c r="G15" s="11"/>
      <c r="H15" s="1005"/>
      <c r="I15" s="893"/>
      <c r="J15" s="895"/>
      <c r="K15" s="34"/>
      <c r="L15" s="34"/>
      <c r="M15" s="1020"/>
      <c r="N15" s="942"/>
      <c r="O15" s="1012"/>
      <c r="P15" s="942"/>
      <c r="Q15" s="942"/>
      <c r="R15" s="1007"/>
      <c r="S15" s="895"/>
      <c r="T15" s="34"/>
      <c r="U15" s="852"/>
      <c r="V15" s="854"/>
      <c r="W15" s="137" t="s">
        <v>304</v>
      </c>
      <c r="X15" s="889"/>
      <c r="Y15" s="913"/>
      <c r="Z15" s="975"/>
    </row>
    <row r="16" spans="1:26" ht="170.25" hidden="1" customHeight="1">
      <c r="A16" s="841"/>
      <c r="B16" s="842"/>
      <c r="C16" s="842"/>
      <c r="D16" s="842"/>
      <c r="E16" s="795"/>
      <c r="F16" s="948"/>
      <c r="G16" s="11"/>
      <c r="H16" s="1005"/>
      <c r="I16" s="893"/>
      <c r="J16" s="895"/>
      <c r="K16" s="34"/>
      <c r="L16" s="34"/>
      <c r="M16" s="1020"/>
      <c r="N16" s="942"/>
      <c r="O16" s="1012"/>
      <c r="P16" s="942"/>
      <c r="Q16" s="942"/>
      <c r="R16" s="1008"/>
      <c r="S16" s="895"/>
      <c r="T16" s="34"/>
      <c r="U16" s="144" t="s">
        <v>305</v>
      </c>
      <c r="V16" s="136" t="s">
        <v>306</v>
      </c>
      <c r="W16" s="137" t="s">
        <v>307</v>
      </c>
      <c r="X16" s="889"/>
      <c r="Y16" s="913"/>
      <c r="Z16" s="976"/>
    </row>
    <row r="17" spans="1:26" ht="14.5" hidden="1" customHeight="1">
      <c r="A17" s="836" t="s">
        <v>308</v>
      </c>
      <c r="B17" s="835" t="s">
        <v>292</v>
      </c>
      <c r="C17" s="835" t="s">
        <v>309</v>
      </c>
      <c r="D17" s="835" t="s">
        <v>294</v>
      </c>
      <c r="E17" s="815" t="s">
        <v>552</v>
      </c>
      <c r="F17" s="949" t="s">
        <v>311</v>
      </c>
      <c r="G17" s="11"/>
      <c r="H17" s="1014" t="s">
        <v>50</v>
      </c>
      <c r="I17" s="952" t="s">
        <v>50</v>
      </c>
      <c r="J17" s="953" t="s">
        <v>50</v>
      </c>
      <c r="K17" s="39"/>
      <c r="L17" s="39"/>
      <c r="M17" s="1021" t="s">
        <v>268</v>
      </c>
      <c r="N17" s="1003" t="s">
        <v>312</v>
      </c>
      <c r="O17" s="1013" t="s">
        <v>553</v>
      </c>
      <c r="P17" s="1003" t="s">
        <v>5</v>
      </c>
      <c r="Q17" s="1017" t="str">
        <f>'PDS - Desenvolvimento'!$K$19</f>
        <v>Concluído</v>
      </c>
      <c r="R17" s="1003"/>
      <c r="S17" s="1001" t="s">
        <v>5</v>
      </c>
      <c r="T17" s="39"/>
      <c r="U17" s="798" t="s">
        <v>300</v>
      </c>
      <c r="V17" s="796" t="s">
        <v>314</v>
      </c>
      <c r="W17" s="133" t="s">
        <v>302</v>
      </c>
      <c r="X17" s="988" t="s">
        <v>315</v>
      </c>
      <c r="Y17" s="993"/>
      <c r="Z17" s="971"/>
    </row>
    <row r="18" spans="1:26" ht="14.5" hidden="1" customHeight="1">
      <c r="A18" s="836"/>
      <c r="B18" s="835"/>
      <c r="C18" s="835"/>
      <c r="D18" s="835"/>
      <c r="E18" s="815"/>
      <c r="F18" s="950"/>
      <c r="G18" s="11"/>
      <c r="H18" s="1014"/>
      <c r="I18" s="952"/>
      <c r="J18" s="953"/>
      <c r="K18" s="37"/>
      <c r="L18" s="37"/>
      <c r="M18" s="1021"/>
      <c r="N18" s="1003"/>
      <c r="O18" s="1013"/>
      <c r="P18" s="1003"/>
      <c r="Q18" s="1003"/>
      <c r="R18" s="1003"/>
      <c r="S18" s="1001"/>
      <c r="T18" s="37"/>
      <c r="U18" s="798"/>
      <c r="V18" s="796"/>
      <c r="W18" s="133" t="s">
        <v>304</v>
      </c>
      <c r="X18" s="988"/>
      <c r="Y18" s="993"/>
      <c r="Z18" s="972"/>
    </row>
    <row r="19" spans="1:26" ht="14.5" hidden="1" customHeight="1">
      <c r="A19" s="836"/>
      <c r="B19" s="835"/>
      <c r="C19" s="835"/>
      <c r="D19" s="835"/>
      <c r="E19" s="815"/>
      <c r="F19" s="950"/>
      <c r="G19" s="11"/>
      <c r="H19" s="1014"/>
      <c r="I19" s="952"/>
      <c r="J19" s="953"/>
      <c r="K19" s="37"/>
      <c r="L19" s="37"/>
      <c r="M19" s="1021"/>
      <c r="N19" s="1003"/>
      <c r="O19" s="1013"/>
      <c r="P19" s="1003"/>
      <c r="Q19" s="1003"/>
      <c r="R19" s="1003"/>
      <c r="S19" s="1001"/>
      <c r="T19" s="37"/>
      <c r="U19" s="798" t="s">
        <v>317</v>
      </c>
      <c r="V19" s="796" t="s">
        <v>272</v>
      </c>
      <c r="W19" s="133" t="s">
        <v>273</v>
      </c>
      <c r="X19" s="988"/>
      <c r="Y19" s="993"/>
      <c r="Z19" s="972"/>
    </row>
    <row r="20" spans="1:26" ht="14.5" hidden="1" customHeight="1">
      <c r="A20" s="836"/>
      <c r="B20" s="835"/>
      <c r="C20" s="835"/>
      <c r="D20" s="835"/>
      <c r="E20" s="815"/>
      <c r="F20" s="950"/>
      <c r="G20" s="11"/>
      <c r="H20" s="1014"/>
      <c r="I20" s="952"/>
      <c r="J20" s="953"/>
      <c r="K20" s="37"/>
      <c r="L20" s="37"/>
      <c r="M20" s="1021"/>
      <c r="N20" s="1003"/>
      <c r="O20" s="1013"/>
      <c r="P20" s="1003"/>
      <c r="Q20" s="1003"/>
      <c r="R20" s="1003"/>
      <c r="S20" s="1001"/>
      <c r="T20" s="37"/>
      <c r="U20" s="798"/>
      <c r="V20" s="796"/>
      <c r="W20" s="133" t="s">
        <v>276</v>
      </c>
      <c r="X20" s="988"/>
      <c r="Y20" s="993"/>
      <c r="Z20" s="972"/>
    </row>
    <row r="21" spans="1:26" ht="14.5" hidden="1" customHeight="1">
      <c r="A21" s="836"/>
      <c r="B21" s="835"/>
      <c r="C21" s="835"/>
      <c r="D21" s="835"/>
      <c r="E21" s="815"/>
      <c r="F21" s="950"/>
      <c r="G21" s="11"/>
      <c r="H21" s="1014"/>
      <c r="I21" s="952"/>
      <c r="J21" s="953"/>
      <c r="K21" s="37"/>
      <c r="L21" s="37"/>
      <c r="M21" s="1021"/>
      <c r="N21" s="1003"/>
      <c r="O21" s="1013"/>
      <c r="P21" s="1003"/>
      <c r="Q21" s="1003"/>
      <c r="R21" s="1003"/>
      <c r="S21" s="1001"/>
      <c r="T21" s="37"/>
      <c r="U21" s="798"/>
      <c r="V21" s="796"/>
      <c r="W21" s="133" t="s">
        <v>277</v>
      </c>
      <c r="X21" s="988"/>
      <c r="Y21" s="993"/>
      <c r="Z21" s="972"/>
    </row>
    <row r="22" spans="1:26" ht="14.5" hidden="1" customHeight="1">
      <c r="A22" s="836"/>
      <c r="B22" s="835"/>
      <c r="C22" s="835"/>
      <c r="D22" s="835"/>
      <c r="E22" s="815"/>
      <c r="F22" s="950"/>
      <c r="G22" s="11"/>
      <c r="H22" s="1014"/>
      <c r="I22" s="952"/>
      <c r="J22" s="953"/>
      <c r="K22" s="37"/>
      <c r="L22" s="37"/>
      <c r="M22" s="1021"/>
      <c r="N22" s="1003"/>
      <c r="O22" s="1013"/>
      <c r="P22" s="1003"/>
      <c r="Q22" s="1003"/>
      <c r="R22" s="1003"/>
      <c r="S22" s="1001"/>
      <c r="T22" s="37"/>
      <c r="U22" s="798"/>
      <c r="V22" s="796"/>
      <c r="W22" s="133" t="s">
        <v>278</v>
      </c>
      <c r="X22" s="988"/>
      <c r="Y22" s="993"/>
      <c r="Z22" s="972"/>
    </row>
    <row r="23" spans="1:26" ht="14.5" hidden="1" customHeight="1">
      <c r="A23" s="836"/>
      <c r="B23" s="835"/>
      <c r="C23" s="835"/>
      <c r="D23" s="835"/>
      <c r="E23" s="815"/>
      <c r="F23" s="951"/>
      <c r="G23" s="11"/>
      <c r="H23" s="1014"/>
      <c r="I23" s="952"/>
      <c r="J23" s="953"/>
      <c r="K23" s="37"/>
      <c r="L23" s="37"/>
      <c r="M23" s="1021"/>
      <c r="N23" s="1003"/>
      <c r="O23" s="1013"/>
      <c r="P23" s="1003"/>
      <c r="Q23" s="1003"/>
      <c r="R23" s="1003"/>
      <c r="S23" s="1001"/>
      <c r="T23" s="37"/>
      <c r="U23" s="798"/>
      <c r="V23" s="796"/>
      <c r="W23" s="133" t="s">
        <v>318</v>
      </c>
      <c r="X23" s="988"/>
      <c r="Y23" s="993"/>
      <c r="Z23" s="973"/>
    </row>
    <row r="24" spans="1:26" ht="14.5" hidden="1" customHeight="1">
      <c r="A24" s="841" t="s">
        <v>319</v>
      </c>
      <c r="B24" s="842" t="s">
        <v>320</v>
      </c>
      <c r="C24" s="842" t="s">
        <v>321</v>
      </c>
      <c r="D24" s="842" t="s">
        <v>322</v>
      </c>
      <c r="E24" s="795" t="s">
        <v>323</v>
      </c>
      <c r="F24" s="946" t="s">
        <v>324</v>
      </c>
      <c r="G24" s="11"/>
      <c r="H24" s="899" t="s">
        <v>325</v>
      </c>
      <c r="I24" s="889" t="s">
        <v>98</v>
      </c>
      <c r="J24" s="913" t="s">
        <v>326</v>
      </c>
      <c r="K24" s="34"/>
      <c r="L24" s="34"/>
      <c r="M24" s="899" t="s">
        <v>268</v>
      </c>
      <c r="N24" s="894" t="s">
        <v>327</v>
      </c>
      <c r="O24" s="889" t="s">
        <v>328</v>
      </c>
      <c r="P24" s="894" t="s">
        <v>5</v>
      </c>
      <c r="Q24" s="894" t="str">
        <f>'PDS - Desenvolvimento'!$K$36</f>
        <v>Concluído</v>
      </c>
      <c r="R24" s="998">
        <v>45608</v>
      </c>
      <c r="S24" s="896" t="s">
        <v>5</v>
      </c>
      <c r="T24" s="34"/>
      <c r="U24" s="852" t="s">
        <v>305</v>
      </c>
      <c r="V24" s="854" t="s">
        <v>306</v>
      </c>
      <c r="W24" s="137" t="s">
        <v>329</v>
      </c>
      <c r="X24" s="889" t="s">
        <v>330</v>
      </c>
      <c r="Y24" s="913" t="s">
        <v>331</v>
      </c>
      <c r="Z24" s="977" t="s">
        <v>332</v>
      </c>
    </row>
    <row r="25" spans="1:26" ht="14.5" hidden="1" customHeight="1">
      <c r="A25" s="841"/>
      <c r="B25" s="842"/>
      <c r="C25" s="842"/>
      <c r="D25" s="842"/>
      <c r="E25" s="795"/>
      <c r="F25" s="947"/>
      <c r="G25" s="11"/>
      <c r="H25" s="899"/>
      <c r="I25" s="889"/>
      <c r="J25" s="913"/>
      <c r="K25" s="34"/>
      <c r="L25" s="34"/>
      <c r="M25" s="899"/>
      <c r="N25" s="894"/>
      <c r="O25" s="889"/>
      <c r="P25" s="894"/>
      <c r="Q25" s="894"/>
      <c r="R25" s="999"/>
      <c r="S25" s="896"/>
      <c r="T25" s="34"/>
      <c r="U25" s="852"/>
      <c r="V25" s="854"/>
      <c r="W25" s="137" t="s">
        <v>333</v>
      </c>
      <c r="X25" s="889"/>
      <c r="Y25" s="913"/>
      <c r="Z25" s="978"/>
    </row>
    <row r="26" spans="1:26" ht="14.5" hidden="1" customHeight="1">
      <c r="A26" s="841"/>
      <c r="B26" s="842"/>
      <c r="C26" s="842"/>
      <c r="D26" s="842"/>
      <c r="E26" s="795"/>
      <c r="F26" s="948"/>
      <c r="G26" s="11"/>
      <c r="H26" s="899"/>
      <c r="I26" s="889"/>
      <c r="J26" s="913"/>
      <c r="K26" s="34"/>
      <c r="L26" s="34"/>
      <c r="M26" s="899"/>
      <c r="N26" s="894"/>
      <c r="O26" s="889"/>
      <c r="P26" s="894"/>
      <c r="Q26" s="894"/>
      <c r="R26" s="1000"/>
      <c r="S26" s="896"/>
      <c r="T26" s="34"/>
      <c r="U26" s="852"/>
      <c r="V26" s="854"/>
      <c r="W26" s="137" t="s">
        <v>334</v>
      </c>
      <c r="X26" s="889"/>
      <c r="Y26" s="913"/>
      <c r="Z26" s="979"/>
    </row>
    <row r="27" spans="1:26" ht="14.5" hidden="1" customHeight="1">
      <c r="A27" s="836" t="s">
        <v>335</v>
      </c>
      <c r="B27" s="835" t="s">
        <v>320</v>
      </c>
      <c r="C27" s="835" t="s">
        <v>336</v>
      </c>
      <c r="D27" s="835" t="s">
        <v>337</v>
      </c>
      <c r="E27" s="815" t="s">
        <v>338</v>
      </c>
      <c r="F27" s="949" t="s">
        <v>339</v>
      </c>
      <c r="G27" s="11"/>
      <c r="H27" s="990" t="s">
        <v>340</v>
      </c>
      <c r="I27" s="954" t="s">
        <v>341</v>
      </c>
      <c r="J27" s="1015" t="s">
        <v>342</v>
      </c>
      <c r="K27" s="37"/>
      <c r="L27" s="37"/>
      <c r="M27" s="995" t="s">
        <v>268</v>
      </c>
      <c r="N27" s="997" t="s">
        <v>343</v>
      </c>
      <c r="O27" s="994" t="s">
        <v>344</v>
      </c>
      <c r="P27" s="997" t="s">
        <v>5</v>
      </c>
      <c r="Q27" s="997" t="str">
        <f>'PDS - Desenvolvimento'!$K$44</f>
        <v>Concluído</v>
      </c>
      <c r="R27" s="985">
        <v>45608</v>
      </c>
      <c r="S27" s="1002" t="s">
        <v>5</v>
      </c>
      <c r="T27" s="37"/>
      <c r="U27" s="991" t="s">
        <v>305</v>
      </c>
      <c r="V27" s="992" t="s">
        <v>306</v>
      </c>
      <c r="W27" s="240" t="s">
        <v>329</v>
      </c>
      <c r="X27" s="988" t="s">
        <v>345</v>
      </c>
      <c r="Y27" s="993" t="s">
        <v>331</v>
      </c>
      <c r="Z27" s="980" t="s">
        <v>346</v>
      </c>
    </row>
    <row r="28" spans="1:26" ht="14.5" hidden="1" customHeight="1">
      <c r="A28" s="836"/>
      <c r="B28" s="835"/>
      <c r="C28" s="835"/>
      <c r="D28" s="835"/>
      <c r="E28" s="815"/>
      <c r="F28" s="950"/>
      <c r="G28" s="11"/>
      <c r="H28" s="990"/>
      <c r="I28" s="954"/>
      <c r="J28" s="1015"/>
      <c r="K28" s="37"/>
      <c r="L28" s="37"/>
      <c r="M28" s="995"/>
      <c r="N28" s="997"/>
      <c r="O28" s="994"/>
      <c r="P28" s="997"/>
      <c r="Q28" s="997"/>
      <c r="R28" s="986"/>
      <c r="S28" s="1002"/>
      <c r="T28" s="37"/>
      <c r="U28" s="991"/>
      <c r="V28" s="992"/>
      <c r="W28" s="240" t="s">
        <v>333</v>
      </c>
      <c r="X28" s="988"/>
      <c r="Y28" s="993"/>
      <c r="Z28" s="981"/>
    </row>
    <row r="29" spans="1:26" ht="14.5" hidden="1" customHeight="1">
      <c r="A29" s="836"/>
      <c r="B29" s="835"/>
      <c r="C29" s="835"/>
      <c r="D29" s="835"/>
      <c r="E29" s="815"/>
      <c r="F29" s="950"/>
      <c r="G29" s="11"/>
      <c r="H29" s="990"/>
      <c r="I29" s="954"/>
      <c r="J29" s="1015"/>
      <c r="K29" s="37"/>
      <c r="L29" s="37"/>
      <c r="M29" s="995"/>
      <c r="N29" s="997"/>
      <c r="O29" s="994"/>
      <c r="P29" s="997"/>
      <c r="Q29" s="997"/>
      <c r="R29" s="986"/>
      <c r="S29" s="1002"/>
      <c r="T29" s="37"/>
      <c r="U29" s="991"/>
      <c r="V29" s="992"/>
      <c r="W29" s="240" t="s">
        <v>347</v>
      </c>
      <c r="X29" s="988"/>
      <c r="Y29" s="993"/>
      <c r="Z29" s="981"/>
    </row>
    <row r="30" spans="1:26" ht="14.5" hidden="1" customHeight="1">
      <c r="A30" s="836"/>
      <c r="B30" s="835"/>
      <c r="C30" s="835"/>
      <c r="D30" s="835"/>
      <c r="E30" s="815"/>
      <c r="F30" s="951"/>
      <c r="G30" s="11"/>
      <c r="H30" s="990"/>
      <c r="I30" s="954"/>
      <c r="J30" s="1015"/>
      <c r="K30" s="37"/>
      <c r="L30" s="37"/>
      <c r="M30" s="995"/>
      <c r="N30" s="997"/>
      <c r="O30" s="994"/>
      <c r="P30" s="997"/>
      <c r="Q30" s="997"/>
      <c r="R30" s="987"/>
      <c r="S30" s="1002"/>
      <c r="T30" s="37"/>
      <c r="U30" s="257" t="s">
        <v>348</v>
      </c>
      <c r="V30" s="245" t="s">
        <v>272</v>
      </c>
      <c r="W30" s="240" t="s">
        <v>349</v>
      </c>
      <c r="X30" s="988"/>
      <c r="Y30" s="993"/>
      <c r="Z30" s="982"/>
    </row>
    <row r="31" spans="1:26" ht="14.5" hidden="1" customHeight="1">
      <c r="A31" s="841" t="s">
        <v>350</v>
      </c>
      <c r="B31" s="842" t="s">
        <v>320</v>
      </c>
      <c r="C31" s="842" t="s">
        <v>351</v>
      </c>
      <c r="D31" s="842" t="s">
        <v>337</v>
      </c>
      <c r="E31" s="795" t="s">
        <v>352</v>
      </c>
      <c r="F31" s="946" t="s">
        <v>353</v>
      </c>
      <c r="G31" s="11"/>
      <c r="H31" s="899" t="s">
        <v>354</v>
      </c>
      <c r="I31" s="889" t="s">
        <v>355</v>
      </c>
      <c r="J31" s="1016" t="s">
        <v>356</v>
      </c>
      <c r="K31" s="34"/>
      <c r="L31" s="34"/>
      <c r="M31" s="899" t="s">
        <v>268</v>
      </c>
      <c r="N31" s="894" t="s">
        <v>357</v>
      </c>
      <c r="O31" s="889" t="s">
        <v>358</v>
      </c>
      <c r="P31" s="894" t="s">
        <v>5</v>
      </c>
      <c r="Q31" s="894" t="str">
        <f>'PDS - Desenvolvimento'!$K$43</f>
        <v>Concluído</v>
      </c>
      <c r="R31" s="998">
        <v>45608</v>
      </c>
      <c r="S31" s="896" t="s">
        <v>5</v>
      </c>
      <c r="T31" s="34"/>
      <c r="U31" s="852" t="s">
        <v>359</v>
      </c>
      <c r="V31" s="854" t="s">
        <v>360</v>
      </c>
      <c r="W31" s="137" t="s">
        <v>361</v>
      </c>
      <c r="X31" s="889" t="s">
        <v>362</v>
      </c>
      <c r="Y31" s="913" t="s">
        <v>331</v>
      </c>
      <c r="Z31" s="977" t="s">
        <v>363</v>
      </c>
    </row>
    <row r="32" spans="1:26" ht="14.5" hidden="1" customHeight="1">
      <c r="A32" s="841"/>
      <c r="B32" s="842"/>
      <c r="C32" s="842"/>
      <c r="D32" s="842"/>
      <c r="E32" s="795"/>
      <c r="F32" s="947"/>
      <c r="G32" s="11"/>
      <c r="H32" s="899"/>
      <c r="I32" s="889"/>
      <c r="J32" s="1016"/>
      <c r="K32" s="34"/>
      <c r="L32" s="34"/>
      <c r="M32" s="899"/>
      <c r="N32" s="894"/>
      <c r="O32" s="889"/>
      <c r="P32" s="894"/>
      <c r="Q32" s="894"/>
      <c r="R32" s="999"/>
      <c r="S32" s="896"/>
      <c r="T32" s="34"/>
      <c r="U32" s="852"/>
      <c r="V32" s="854"/>
      <c r="W32" s="137" t="s">
        <v>364</v>
      </c>
      <c r="X32" s="889"/>
      <c r="Y32" s="913"/>
      <c r="Z32" s="978"/>
    </row>
    <row r="33" spans="1:26" ht="15" hidden="1" customHeight="1">
      <c r="A33" s="841"/>
      <c r="B33" s="842"/>
      <c r="C33" s="842"/>
      <c r="D33" s="842"/>
      <c r="E33" s="795"/>
      <c r="F33" s="948"/>
      <c r="G33" s="11"/>
      <c r="H33" s="899"/>
      <c r="I33" s="889"/>
      <c r="J33" s="1016"/>
      <c r="K33" s="34"/>
      <c r="L33" s="34"/>
      <c r="M33" s="899"/>
      <c r="N33" s="894"/>
      <c r="O33" s="889"/>
      <c r="P33" s="894"/>
      <c r="Q33" s="894"/>
      <c r="R33" s="1000"/>
      <c r="S33" s="896"/>
      <c r="T33" s="34"/>
      <c r="U33" s="852"/>
      <c r="V33" s="854"/>
      <c r="W33" s="137" t="s">
        <v>365</v>
      </c>
      <c r="X33" s="889"/>
      <c r="Y33" s="913"/>
      <c r="Z33" s="983"/>
    </row>
    <row r="34" spans="1:26" ht="53.25" hidden="1" customHeight="1">
      <c r="A34" s="836" t="s">
        <v>554</v>
      </c>
      <c r="B34" s="835" t="s">
        <v>555</v>
      </c>
      <c r="C34" s="835" t="s">
        <v>556</v>
      </c>
      <c r="D34" s="835" t="s">
        <v>294</v>
      </c>
      <c r="E34" s="815" t="s">
        <v>557</v>
      </c>
      <c r="F34" s="949" t="s">
        <v>558</v>
      </c>
      <c r="G34" s="11"/>
      <c r="H34" s="821" t="s">
        <v>559</v>
      </c>
      <c r="I34" s="827" t="s">
        <v>556</v>
      </c>
      <c r="J34" s="922" t="s">
        <v>560</v>
      </c>
      <c r="K34" s="34"/>
      <c r="L34" s="34"/>
      <c r="M34" s="995" t="s">
        <v>268</v>
      </c>
      <c r="N34" s="997" t="s">
        <v>561</v>
      </c>
      <c r="O34" s="1010" t="s">
        <v>562</v>
      </c>
      <c r="P34" s="997" t="s">
        <v>5</v>
      </c>
      <c r="Q34" s="997" t="str">
        <f>'PDS - Desenvolvimento'!$K$22</f>
        <v>Concluído</v>
      </c>
      <c r="R34" s="996">
        <v>45665</v>
      </c>
      <c r="S34" s="910" t="s">
        <v>5</v>
      </c>
      <c r="T34" s="34"/>
      <c r="U34" s="798" t="s">
        <v>300</v>
      </c>
      <c r="V34" s="796" t="s">
        <v>563</v>
      </c>
      <c r="W34" s="133" t="s">
        <v>302</v>
      </c>
      <c r="X34" s="793" t="s">
        <v>564</v>
      </c>
      <c r="Y34" s="791"/>
      <c r="Z34" s="984"/>
    </row>
    <row r="35" spans="1:26" ht="47.25" hidden="1" customHeight="1">
      <c r="A35" s="836"/>
      <c r="B35" s="835"/>
      <c r="C35" s="835"/>
      <c r="D35" s="835"/>
      <c r="E35" s="815"/>
      <c r="F35" s="950"/>
      <c r="G35" s="11"/>
      <c r="H35" s="821"/>
      <c r="I35" s="827"/>
      <c r="J35" s="922"/>
      <c r="K35" s="34"/>
      <c r="L35" s="34"/>
      <c r="M35" s="995"/>
      <c r="N35" s="997"/>
      <c r="O35" s="1010"/>
      <c r="P35" s="997"/>
      <c r="Q35" s="997"/>
      <c r="R35" s="997"/>
      <c r="S35" s="910"/>
      <c r="T35" s="34"/>
      <c r="U35" s="798"/>
      <c r="V35" s="796"/>
      <c r="W35" s="133" t="s">
        <v>304</v>
      </c>
      <c r="X35" s="793"/>
      <c r="Y35" s="791"/>
      <c r="Z35" s="972"/>
    </row>
    <row r="36" spans="1:26" ht="75" hidden="1" customHeight="1">
      <c r="A36" s="836"/>
      <c r="B36" s="835"/>
      <c r="C36" s="835"/>
      <c r="D36" s="835"/>
      <c r="E36" s="815"/>
      <c r="F36" s="951"/>
      <c r="G36" s="11"/>
      <c r="H36" s="821"/>
      <c r="I36" s="827"/>
      <c r="J36" s="922"/>
      <c r="K36" s="34"/>
      <c r="L36" s="34"/>
      <c r="M36" s="995"/>
      <c r="N36" s="997"/>
      <c r="O36" s="1010"/>
      <c r="P36" s="997"/>
      <c r="Q36" s="997"/>
      <c r="R36" s="997"/>
      <c r="S36" s="910"/>
      <c r="T36" s="34"/>
      <c r="U36" s="140" t="s">
        <v>565</v>
      </c>
      <c r="V36" s="131" t="s">
        <v>272</v>
      </c>
      <c r="W36" s="133" t="s">
        <v>566</v>
      </c>
      <c r="X36" s="793"/>
      <c r="Y36" s="791"/>
      <c r="Z36" s="973"/>
    </row>
    <row r="37" spans="1:26" ht="57" hidden="1" customHeight="1">
      <c r="A37" s="841" t="s">
        <v>567</v>
      </c>
      <c r="B37" s="842" t="s">
        <v>555</v>
      </c>
      <c r="C37" s="842" t="s">
        <v>568</v>
      </c>
      <c r="D37" s="842" t="s">
        <v>294</v>
      </c>
      <c r="E37" s="795" t="s">
        <v>569</v>
      </c>
      <c r="F37" s="946" t="s">
        <v>570</v>
      </c>
      <c r="G37" s="11"/>
      <c r="H37" s="841" t="s">
        <v>571</v>
      </c>
      <c r="I37" s="787" t="s">
        <v>572</v>
      </c>
      <c r="J37" s="795" t="s">
        <v>573</v>
      </c>
      <c r="K37" s="37"/>
      <c r="L37" s="37"/>
      <c r="M37" s="841" t="s">
        <v>268</v>
      </c>
      <c r="N37" s="842" t="s">
        <v>574</v>
      </c>
      <c r="O37" s="885" t="s">
        <v>575</v>
      </c>
      <c r="P37" s="842" t="s">
        <v>5</v>
      </c>
      <c r="Q37" s="842" t="str">
        <f>'PDS - Desenvolvimento'!$K$21</f>
        <v>Concluído</v>
      </c>
      <c r="R37" s="842"/>
      <c r="S37" s="862" t="s">
        <v>5</v>
      </c>
      <c r="T37" s="37"/>
      <c r="U37" s="852" t="s">
        <v>300</v>
      </c>
      <c r="V37" s="854" t="s">
        <v>301</v>
      </c>
      <c r="W37" s="137" t="s">
        <v>302</v>
      </c>
      <c r="X37" s="787" t="s">
        <v>576</v>
      </c>
      <c r="Y37" s="795"/>
      <c r="Z37" s="974"/>
    </row>
    <row r="38" spans="1:26" ht="27" hidden="1" customHeight="1">
      <c r="A38" s="841"/>
      <c r="B38" s="842"/>
      <c r="C38" s="842"/>
      <c r="D38" s="842"/>
      <c r="E38" s="795"/>
      <c r="F38" s="947"/>
      <c r="G38" s="11"/>
      <c r="H38" s="841"/>
      <c r="I38" s="787"/>
      <c r="J38" s="795"/>
      <c r="K38" s="37"/>
      <c r="L38" s="37"/>
      <c r="M38" s="841"/>
      <c r="N38" s="842"/>
      <c r="O38" s="885"/>
      <c r="P38" s="842"/>
      <c r="Q38" s="842"/>
      <c r="R38" s="842"/>
      <c r="S38" s="862"/>
      <c r="T38" s="37"/>
      <c r="U38" s="852"/>
      <c r="V38" s="854"/>
      <c r="W38" s="137" t="s">
        <v>304</v>
      </c>
      <c r="X38" s="787"/>
      <c r="Y38" s="795"/>
      <c r="Z38" s="975"/>
    </row>
    <row r="39" spans="1:26" ht="50.25" hidden="1" customHeight="1">
      <c r="A39" s="841"/>
      <c r="B39" s="842"/>
      <c r="C39" s="842"/>
      <c r="D39" s="842"/>
      <c r="E39" s="795"/>
      <c r="F39" s="948"/>
      <c r="G39" s="11"/>
      <c r="H39" s="841"/>
      <c r="I39" s="787"/>
      <c r="J39" s="795"/>
      <c r="K39" s="37"/>
      <c r="L39" s="37"/>
      <c r="M39" s="841"/>
      <c r="N39" s="842"/>
      <c r="O39" s="885"/>
      <c r="P39" s="842"/>
      <c r="Q39" s="842"/>
      <c r="R39" s="842"/>
      <c r="S39" s="862"/>
      <c r="T39" s="37"/>
      <c r="U39" s="144" t="s">
        <v>565</v>
      </c>
      <c r="V39" s="135" t="s">
        <v>272</v>
      </c>
      <c r="W39" s="137" t="s">
        <v>577</v>
      </c>
      <c r="X39" s="787"/>
      <c r="Y39" s="795"/>
      <c r="Z39" s="976"/>
    </row>
    <row r="40" spans="1:26" ht="31" hidden="1" customHeight="1">
      <c r="A40" s="836" t="s">
        <v>578</v>
      </c>
      <c r="B40" s="835" t="s">
        <v>555</v>
      </c>
      <c r="C40" s="835" t="s">
        <v>579</v>
      </c>
      <c r="D40" s="835" t="s">
        <v>294</v>
      </c>
      <c r="E40" s="815" t="s">
        <v>580</v>
      </c>
      <c r="F40" s="949" t="s">
        <v>581</v>
      </c>
      <c r="G40" s="11"/>
      <c r="H40" s="821" t="s">
        <v>582</v>
      </c>
      <c r="I40" s="827" t="s">
        <v>583</v>
      </c>
      <c r="J40" s="830" t="s">
        <v>580</v>
      </c>
      <c r="K40" s="34"/>
      <c r="L40" s="34"/>
      <c r="M40" s="813" t="s">
        <v>268</v>
      </c>
      <c r="N40" s="784" t="s">
        <v>584</v>
      </c>
      <c r="O40" s="824" t="s">
        <v>585</v>
      </c>
      <c r="P40" s="784" t="s">
        <v>5</v>
      </c>
      <c r="Q40" s="784" t="str">
        <f>'PDS - Desenvolvimento'!$K$5</f>
        <v>Concluído</v>
      </c>
      <c r="R40" s="985">
        <v>45608</v>
      </c>
      <c r="S40" s="910" t="s">
        <v>5</v>
      </c>
      <c r="T40" s="34"/>
      <c r="U40" s="798" t="s">
        <v>271</v>
      </c>
      <c r="V40" s="793" t="s">
        <v>272</v>
      </c>
      <c r="W40" s="133" t="s">
        <v>586</v>
      </c>
      <c r="X40" s="793" t="s">
        <v>587</v>
      </c>
      <c r="Y40" s="791"/>
      <c r="Z40" s="958" t="s">
        <v>588</v>
      </c>
    </row>
    <row r="41" spans="1:26" ht="31" hidden="1" customHeight="1">
      <c r="A41" s="836"/>
      <c r="B41" s="835"/>
      <c r="C41" s="835"/>
      <c r="D41" s="835"/>
      <c r="E41" s="815"/>
      <c r="F41" s="951"/>
      <c r="G41" s="11"/>
      <c r="H41" s="821"/>
      <c r="I41" s="827"/>
      <c r="J41" s="830"/>
      <c r="K41" s="34"/>
      <c r="L41" s="34"/>
      <c r="M41" s="813"/>
      <c r="N41" s="784"/>
      <c r="O41" s="824"/>
      <c r="P41" s="784"/>
      <c r="Q41" s="784"/>
      <c r="R41" s="987"/>
      <c r="S41" s="910"/>
      <c r="T41" s="34"/>
      <c r="U41" s="798"/>
      <c r="V41" s="793"/>
      <c r="W41" s="133" t="s">
        <v>589</v>
      </c>
      <c r="X41" s="793"/>
      <c r="Y41" s="791"/>
      <c r="Z41" s="959"/>
    </row>
    <row r="42" spans="1:26" ht="29.15" hidden="1" customHeight="1">
      <c r="A42" s="95" t="s">
        <v>590</v>
      </c>
      <c r="B42" s="89" t="s">
        <v>555</v>
      </c>
      <c r="C42" s="89" t="s">
        <v>591</v>
      </c>
      <c r="D42" s="89" t="s">
        <v>592</v>
      </c>
      <c r="E42" s="160" t="s">
        <v>593</v>
      </c>
      <c r="F42" s="45" t="s">
        <v>594</v>
      </c>
      <c r="G42" s="11"/>
      <c r="H42" s="95" t="s">
        <v>595</v>
      </c>
      <c r="I42" s="90" t="s">
        <v>596</v>
      </c>
      <c r="J42" s="160" t="s">
        <v>597</v>
      </c>
      <c r="K42" s="37"/>
      <c r="L42" s="37"/>
      <c r="M42" s="111" t="s">
        <v>268</v>
      </c>
      <c r="N42" s="103" t="s">
        <v>598</v>
      </c>
      <c r="O42" s="106" t="s">
        <v>599</v>
      </c>
      <c r="P42" s="103" t="s">
        <v>5</v>
      </c>
      <c r="Q42" s="103" t="str">
        <f>'PDS - Desenvolvimento'!$K$6</f>
        <v>Concluído</v>
      </c>
      <c r="R42" s="451">
        <v>45608</v>
      </c>
      <c r="S42" s="116" t="s">
        <v>5</v>
      </c>
      <c r="T42" s="37"/>
      <c r="U42" s="142" t="s">
        <v>271</v>
      </c>
      <c r="V42" s="135" t="s">
        <v>272</v>
      </c>
      <c r="W42" s="89" t="s">
        <v>600</v>
      </c>
      <c r="X42" s="90" t="s">
        <v>289</v>
      </c>
      <c r="Y42" s="96"/>
      <c r="Z42" s="960" t="s">
        <v>601</v>
      </c>
    </row>
    <row r="43" spans="1:26" ht="29.15" hidden="1" customHeight="1">
      <c r="A43" s="93" t="s">
        <v>602</v>
      </c>
      <c r="B43" s="88" t="s">
        <v>603</v>
      </c>
      <c r="C43" s="88" t="s">
        <v>604</v>
      </c>
      <c r="D43" s="88" t="s">
        <v>592</v>
      </c>
      <c r="E43" s="94" t="s">
        <v>605</v>
      </c>
      <c r="F43" s="44" t="s">
        <v>606</v>
      </c>
      <c r="G43" s="11"/>
      <c r="H43" s="109" t="s">
        <v>607</v>
      </c>
      <c r="I43" s="102" t="s">
        <v>608</v>
      </c>
      <c r="J43" s="159" t="s">
        <v>609</v>
      </c>
      <c r="K43" s="34"/>
      <c r="L43" s="34"/>
      <c r="M43" s="124" t="s">
        <v>268</v>
      </c>
      <c r="N43" s="122" t="s">
        <v>610</v>
      </c>
      <c r="O43" s="351" t="s">
        <v>611</v>
      </c>
      <c r="P43" s="122" t="s">
        <v>5</v>
      </c>
      <c r="Q43" s="122" t="str">
        <f>'PDS - Desenvolvimento'!$K$13</f>
        <v>Concluído</v>
      </c>
      <c r="R43" s="452">
        <v>45608</v>
      </c>
      <c r="S43" s="125" t="s">
        <v>5</v>
      </c>
      <c r="T43" s="34"/>
      <c r="U43" s="140" t="s">
        <v>271</v>
      </c>
      <c r="V43" s="131" t="s">
        <v>272</v>
      </c>
      <c r="W43" s="133" t="s">
        <v>612</v>
      </c>
      <c r="X43" s="131" t="s">
        <v>289</v>
      </c>
      <c r="Y43" s="141"/>
      <c r="Z43" s="961"/>
    </row>
    <row r="44" spans="1:26" ht="165.75" hidden="1" customHeight="1">
      <c r="A44" s="95" t="s">
        <v>613</v>
      </c>
      <c r="B44" s="89" t="s">
        <v>603</v>
      </c>
      <c r="C44" s="89" t="s">
        <v>614</v>
      </c>
      <c r="D44" s="224" t="s">
        <v>615</v>
      </c>
      <c r="E44" s="96" t="s">
        <v>616</v>
      </c>
      <c r="F44" s="45" t="s">
        <v>617</v>
      </c>
      <c r="G44" s="11"/>
      <c r="H44" s="193" t="s">
        <v>50</v>
      </c>
      <c r="I44" s="189" t="s">
        <v>50</v>
      </c>
      <c r="J44" s="194" t="s">
        <v>50</v>
      </c>
      <c r="K44" s="39"/>
      <c r="L44" s="39"/>
      <c r="M44" s="301" t="s">
        <v>284</v>
      </c>
      <c r="N44" s="104" t="s">
        <v>618</v>
      </c>
      <c r="O44" s="360" t="s">
        <v>619</v>
      </c>
      <c r="P44" s="104" t="s">
        <v>5</v>
      </c>
      <c r="Q44" s="103" t="str">
        <f>'PDS - Desenvolvimento'!$K$82</f>
        <v>Concluído</v>
      </c>
      <c r="R44" s="104"/>
      <c r="S44" s="335" t="s">
        <v>620</v>
      </c>
      <c r="T44" s="39"/>
      <c r="U44" s="142" t="s">
        <v>621</v>
      </c>
      <c r="V44" s="90" t="s">
        <v>621</v>
      </c>
      <c r="W44" s="90" t="s">
        <v>621</v>
      </c>
      <c r="X44" s="90" t="s">
        <v>621</v>
      </c>
      <c r="Y44" s="96" t="s">
        <v>621</v>
      </c>
      <c r="Z44" s="962" t="s">
        <v>622</v>
      </c>
    </row>
    <row r="45" spans="1:26" ht="210" hidden="1" customHeight="1">
      <c r="A45" s="93" t="s">
        <v>623</v>
      </c>
      <c r="B45" s="88" t="s">
        <v>603</v>
      </c>
      <c r="C45" s="88" t="s">
        <v>624</v>
      </c>
      <c r="D45" s="225" t="s">
        <v>615</v>
      </c>
      <c r="E45" s="94" t="s">
        <v>625</v>
      </c>
      <c r="F45" s="44" t="s">
        <v>626</v>
      </c>
      <c r="G45" s="11"/>
      <c r="H45" s="232" t="s">
        <v>50</v>
      </c>
      <c r="I45" s="227" t="s">
        <v>50</v>
      </c>
      <c r="J45" s="233" t="s">
        <v>50</v>
      </c>
      <c r="K45" s="39"/>
      <c r="L45" s="39"/>
      <c r="M45" s="340" t="s">
        <v>284</v>
      </c>
      <c r="N45" s="241" t="s">
        <v>627</v>
      </c>
      <c r="O45" s="361" t="s">
        <v>628</v>
      </c>
      <c r="P45" s="241" t="s">
        <v>5</v>
      </c>
      <c r="Q45" s="164" t="str">
        <f>'PDS - Desenvolvimento'!$K$83</f>
        <v>Concluído</v>
      </c>
      <c r="R45" s="241"/>
      <c r="S45" s="336" t="s">
        <v>620</v>
      </c>
      <c r="T45" s="39"/>
      <c r="U45" s="257" t="s">
        <v>621</v>
      </c>
      <c r="V45" s="244" t="s">
        <v>621</v>
      </c>
      <c r="W45" s="244" t="s">
        <v>621</v>
      </c>
      <c r="X45" s="244" t="s">
        <v>621</v>
      </c>
      <c r="Y45" s="256" t="s">
        <v>621</v>
      </c>
      <c r="Z45" s="963"/>
    </row>
    <row r="46" spans="1:26" ht="23.25" hidden="1" customHeight="1">
      <c r="A46" s="841" t="s">
        <v>630</v>
      </c>
      <c r="B46" s="842" t="s">
        <v>603</v>
      </c>
      <c r="C46" s="842" t="s">
        <v>631</v>
      </c>
      <c r="D46" s="842" t="s">
        <v>294</v>
      </c>
      <c r="E46" s="795" t="s">
        <v>632</v>
      </c>
      <c r="F46" s="946" t="s">
        <v>633</v>
      </c>
      <c r="G46" s="11"/>
      <c r="H46" s="841" t="s">
        <v>634</v>
      </c>
      <c r="I46" s="787" t="s">
        <v>631</v>
      </c>
      <c r="J46" s="795" t="s">
        <v>635</v>
      </c>
      <c r="K46" s="37"/>
      <c r="L46" s="37"/>
      <c r="M46" s="841" t="s">
        <v>268</v>
      </c>
      <c r="N46" s="842" t="s">
        <v>636</v>
      </c>
      <c r="O46" s="885" t="s">
        <v>637</v>
      </c>
      <c r="P46" s="842" t="s">
        <v>5</v>
      </c>
      <c r="Q46" s="842" t="str">
        <f>'PDS - Desenvolvimento'!$K$46</f>
        <v>Concluído</v>
      </c>
      <c r="R46" s="842"/>
      <c r="S46" s="862" t="s">
        <v>5</v>
      </c>
      <c r="T46" s="37"/>
      <c r="U46" s="801" t="s">
        <v>271</v>
      </c>
      <c r="V46" s="889" t="s">
        <v>272</v>
      </c>
      <c r="W46" s="90" t="s">
        <v>638</v>
      </c>
      <c r="X46" s="787" t="s">
        <v>639</v>
      </c>
      <c r="Y46" s="795"/>
      <c r="Z46" s="964" t="s">
        <v>601</v>
      </c>
    </row>
    <row r="47" spans="1:26" ht="23.25" hidden="1" customHeight="1">
      <c r="A47" s="841"/>
      <c r="B47" s="842"/>
      <c r="C47" s="842"/>
      <c r="D47" s="842"/>
      <c r="E47" s="795"/>
      <c r="F47" s="948"/>
      <c r="G47" s="11"/>
      <c r="H47" s="841"/>
      <c r="I47" s="787"/>
      <c r="J47" s="795"/>
      <c r="K47" s="37"/>
      <c r="L47" s="37"/>
      <c r="M47" s="841"/>
      <c r="N47" s="842"/>
      <c r="O47" s="885"/>
      <c r="P47" s="842"/>
      <c r="Q47" s="842"/>
      <c r="R47" s="842"/>
      <c r="S47" s="862"/>
      <c r="T47" s="37"/>
      <c r="U47" s="801"/>
      <c r="V47" s="889"/>
      <c r="W47" s="90" t="s">
        <v>640</v>
      </c>
      <c r="X47" s="787"/>
      <c r="Y47" s="795"/>
      <c r="Z47" s="965"/>
    </row>
    <row r="48" spans="1:26" ht="14.5" hidden="1" customHeight="1">
      <c r="A48" s="836" t="s">
        <v>641</v>
      </c>
      <c r="B48" s="835" t="s">
        <v>603</v>
      </c>
      <c r="C48" s="835" t="s">
        <v>642</v>
      </c>
      <c r="D48" s="835" t="s">
        <v>643</v>
      </c>
      <c r="E48" s="912" t="s">
        <v>644</v>
      </c>
      <c r="F48" s="949" t="s">
        <v>645</v>
      </c>
      <c r="G48" s="11"/>
      <c r="H48" s="872" t="s">
        <v>50</v>
      </c>
      <c r="I48" s="856" t="s">
        <v>50</v>
      </c>
      <c r="J48" s="858" t="s">
        <v>50</v>
      </c>
      <c r="K48" s="38"/>
      <c r="L48" s="38"/>
      <c r="M48" s="813" t="s">
        <v>268</v>
      </c>
      <c r="N48" s="784" t="s">
        <v>646</v>
      </c>
      <c r="O48" s="824" t="s">
        <v>647</v>
      </c>
      <c r="P48" s="784" t="s">
        <v>5</v>
      </c>
      <c r="Q48" s="1018" t="str">
        <f>'PDS - Desenvolvimento'!$K$71</f>
        <v>Concluído</v>
      </c>
      <c r="R48" s="985">
        <v>45608</v>
      </c>
      <c r="S48" s="909" t="s">
        <v>5</v>
      </c>
      <c r="T48" s="38"/>
      <c r="U48" s="798" t="s">
        <v>271</v>
      </c>
      <c r="V48" s="793" t="s">
        <v>272</v>
      </c>
      <c r="W48" s="131" t="s">
        <v>648</v>
      </c>
      <c r="X48" s="793" t="s">
        <v>649</v>
      </c>
      <c r="Y48" s="791"/>
      <c r="Z48" s="966" t="s">
        <v>601</v>
      </c>
    </row>
    <row r="49" spans="1:26" ht="27" hidden="1" customHeight="1">
      <c r="A49" s="836"/>
      <c r="B49" s="835"/>
      <c r="C49" s="835"/>
      <c r="D49" s="835"/>
      <c r="E49" s="912"/>
      <c r="F49" s="951"/>
      <c r="G49" s="11"/>
      <c r="H49" s="872"/>
      <c r="I49" s="856"/>
      <c r="J49" s="858"/>
      <c r="K49" s="34"/>
      <c r="L49" s="34"/>
      <c r="M49" s="813"/>
      <c r="N49" s="784"/>
      <c r="O49" s="824"/>
      <c r="P49" s="784"/>
      <c r="Q49" s="1019"/>
      <c r="R49" s="987"/>
      <c r="S49" s="909"/>
      <c r="T49" s="34"/>
      <c r="U49" s="798"/>
      <c r="V49" s="793"/>
      <c r="W49" s="131" t="s">
        <v>650</v>
      </c>
      <c r="X49" s="793"/>
      <c r="Y49" s="791"/>
      <c r="Z49" s="967"/>
    </row>
    <row r="50" spans="1:26" ht="14.5" hidden="1">
      <c r="A50" s="841" t="s">
        <v>651</v>
      </c>
      <c r="B50" s="842" t="s">
        <v>603</v>
      </c>
      <c r="C50" s="842" t="s">
        <v>652</v>
      </c>
      <c r="D50" s="842" t="s">
        <v>294</v>
      </c>
      <c r="E50" s="882" t="s">
        <v>653</v>
      </c>
      <c r="F50" s="946" t="s">
        <v>654</v>
      </c>
      <c r="G50" s="11"/>
      <c r="H50" s="841" t="s">
        <v>655</v>
      </c>
      <c r="I50" s="787" t="s">
        <v>656</v>
      </c>
      <c r="J50" s="795" t="s">
        <v>657</v>
      </c>
      <c r="K50" s="37"/>
      <c r="L50" s="37"/>
      <c r="M50" s="841" t="s">
        <v>268</v>
      </c>
      <c r="N50" s="842" t="s">
        <v>658</v>
      </c>
      <c r="O50" s="885" t="s">
        <v>659</v>
      </c>
      <c r="P50" s="842" t="s">
        <v>5</v>
      </c>
      <c r="Q50" s="842" t="str">
        <f>'PDS - Desenvolvimento'!$K$23</f>
        <v>Concluído</v>
      </c>
      <c r="R50" s="842"/>
      <c r="S50" s="862" t="s">
        <v>5</v>
      </c>
      <c r="T50" s="37"/>
      <c r="U50" s="801" t="s">
        <v>271</v>
      </c>
      <c r="V50" s="787" t="s">
        <v>272</v>
      </c>
      <c r="W50" s="90" t="s">
        <v>660</v>
      </c>
      <c r="X50" s="787" t="s">
        <v>661</v>
      </c>
      <c r="Y50" s="795"/>
      <c r="Z50" s="964" t="s">
        <v>601</v>
      </c>
    </row>
    <row r="51" spans="1:26" ht="91.5" hidden="1" customHeight="1">
      <c r="A51" s="841"/>
      <c r="B51" s="842"/>
      <c r="C51" s="842"/>
      <c r="D51" s="842"/>
      <c r="E51" s="882"/>
      <c r="F51" s="948"/>
      <c r="G51" s="11"/>
      <c r="H51" s="841"/>
      <c r="I51" s="787"/>
      <c r="J51" s="795"/>
      <c r="K51" s="37"/>
      <c r="L51" s="37"/>
      <c r="M51" s="841"/>
      <c r="N51" s="842"/>
      <c r="O51" s="885"/>
      <c r="P51" s="842"/>
      <c r="Q51" s="842"/>
      <c r="R51" s="842"/>
      <c r="S51" s="862"/>
      <c r="T51" s="37"/>
      <c r="U51" s="801"/>
      <c r="V51" s="787"/>
      <c r="W51" s="90" t="s">
        <v>662</v>
      </c>
      <c r="X51" s="787"/>
      <c r="Y51" s="795"/>
      <c r="Z51" s="965"/>
    </row>
    <row r="52" spans="1:26" ht="36" hidden="1" customHeight="1">
      <c r="A52" s="93" t="s">
        <v>663</v>
      </c>
      <c r="B52" s="88" t="s">
        <v>664</v>
      </c>
      <c r="C52" s="88" t="s">
        <v>665</v>
      </c>
      <c r="D52" s="88" t="s">
        <v>592</v>
      </c>
      <c r="E52" s="94" t="s">
        <v>666</v>
      </c>
      <c r="F52" s="44" t="s">
        <v>667</v>
      </c>
      <c r="G52" s="11"/>
      <c r="H52" s="109" t="s">
        <v>668</v>
      </c>
      <c r="I52" s="102" t="s">
        <v>669</v>
      </c>
      <c r="J52" s="159" t="s">
        <v>670</v>
      </c>
      <c r="K52" s="34"/>
      <c r="L52" s="34"/>
      <c r="M52" s="124" t="s">
        <v>268</v>
      </c>
      <c r="N52" s="122" t="s">
        <v>671</v>
      </c>
      <c r="O52" s="351" t="s">
        <v>672</v>
      </c>
      <c r="P52" s="122" t="s">
        <v>5</v>
      </c>
      <c r="Q52" s="122" t="str">
        <f>'PDS - Desenvolvimento'!$K$31</f>
        <v>Concluído</v>
      </c>
      <c r="R52" s="452">
        <v>45608</v>
      </c>
      <c r="S52" s="125" t="s">
        <v>5</v>
      </c>
      <c r="T52" s="34"/>
      <c r="U52" s="140" t="s">
        <v>271</v>
      </c>
      <c r="V52" s="131" t="s">
        <v>272</v>
      </c>
      <c r="W52" s="131" t="s">
        <v>673</v>
      </c>
      <c r="X52" s="131" t="s">
        <v>289</v>
      </c>
      <c r="Y52" s="141"/>
      <c r="Z52" s="251" t="s">
        <v>601</v>
      </c>
    </row>
    <row r="53" spans="1:26" ht="90.75" hidden="1" customHeight="1">
      <c r="A53" s="95" t="s">
        <v>674</v>
      </c>
      <c r="B53" s="89" t="s">
        <v>664</v>
      </c>
      <c r="C53" s="89" t="s">
        <v>675</v>
      </c>
      <c r="D53" s="89" t="s">
        <v>322</v>
      </c>
      <c r="E53" s="96" t="s">
        <v>676</v>
      </c>
      <c r="F53" s="45" t="s">
        <v>677</v>
      </c>
      <c r="G53" s="11"/>
      <c r="H53" s="111" t="s">
        <v>678</v>
      </c>
      <c r="I53" s="106" t="s">
        <v>675</v>
      </c>
      <c r="J53" s="236" t="s">
        <v>679</v>
      </c>
      <c r="K53" s="37"/>
      <c r="L53" s="37"/>
      <c r="M53" s="111" t="s">
        <v>268</v>
      </c>
      <c r="N53" s="103" t="s">
        <v>680</v>
      </c>
      <c r="O53" s="106" t="s">
        <v>681</v>
      </c>
      <c r="P53" s="89" t="s">
        <v>5</v>
      </c>
      <c r="Q53" s="89" t="str">
        <f>'PDS - Desenvolvimento'!$K$29</f>
        <v>Concluído</v>
      </c>
      <c r="R53" s="451">
        <v>45608</v>
      </c>
      <c r="S53" s="116" t="s">
        <v>5</v>
      </c>
      <c r="T53" s="37"/>
      <c r="U53" s="142" t="s">
        <v>565</v>
      </c>
      <c r="V53" s="90" t="s">
        <v>272</v>
      </c>
      <c r="W53" s="90" t="s">
        <v>682</v>
      </c>
      <c r="X53" s="90" t="s">
        <v>289</v>
      </c>
      <c r="Y53" s="96"/>
      <c r="Z53" s="252"/>
    </row>
    <row r="54" spans="1:26" ht="14.5" hidden="1">
      <c r="A54" s="836" t="s">
        <v>683</v>
      </c>
      <c r="B54" s="835" t="s">
        <v>664</v>
      </c>
      <c r="C54" s="835" t="s">
        <v>684</v>
      </c>
      <c r="D54" s="835" t="s">
        <v>294</v>
      </c>
      <c r="E54" s="815" t="s">
        <v>685</v>
      </c>
      <c r="F54" s="949" t="s">
        <v>686</v>
      </c>
      <c r="G54" s="11"/>
      <c r="H54" s="821" t="s">
        <v>687</v>
      </c>
      <c r="I54" s="827" t="s">
        <v>684</v>
      </c>
      <c r="J54" s="830" t="s">
        <v>688</v>
      </c>
      <c r="K54" s="34"/>
      <c r="L54" s="34"/>
      <c r="M54" s="995" t="s">
        <v>268</v>
      </c>
      <c r="N54" s="997" t="s">
        <v>689</v>
      </c>
      <c r="O54" s="1010" t="s">
        <v>690</v>
      </c>
      <c r="P54" s="997" t="s">
        <v>5</v>
      </c>
      <c r="Q54" s="997" t="str">
        <f>'PDS - Desenvolvimento'!$K$35</f>
        <v>Concluído</v>
      </c>
      <c r="R54" s="997"/>
      <c r="S54" s="909" t="s">
        <v>5</v>
      </c>
      <c r="T54" s="34"/>
      <c r="U54" s="798" t="s">
        <v>271</v>
      </c>
      <c r="V54" s="793" t="s">
        <v>272</v>
      </c>
      <c r="W54" s="131" t="s">
        <v>691</v>
      </c>
      <c r="X54" s="989" t="s">
        <v>692</v>
      </c>
      <c r="Y54" s="791"/>
      <c r="Z54" s="955"/>
    </row>
    <row r="55" spans="1:26" ht="14.5" hidden="1">
      <c r="A55" s="836"/>
      <c r="B55" s="835"/>
      <c r="C55" s="835"/>
      <c r="D55" s="835"/>
      <c r="E55" s="815"/>
      <c r="F55" s="950"/>
      <c r="G55" s="11"/>
      <c r="H55" s="821"/>
      <c r="I55" s="827"/>
      <c r="J55" s="830"/>
      <c r="K55" s="34"/>
      <c r="L55" s="34"/>
      <c r="M55" s="995"/>
      <c r="N55" s="997"/>
      <c r="O55" s="1010"/>
      <c r="P55" s="997"/>
      <c r="Q55" s="997"/>
      <c r="R55" s="997"/>
      <c r="S55" s="909"/>
      <c r="T55" s="34"/>
      <c r="U55" s="798"/>
      <c r="V55" s="793"/>
      <c r="W55" s="131" t="s">
        <v>693</v>
      </c>
      <c r="X55" s="989"/>
      <c r="Y55" s="791"/>
      <c r="Z55" s="957"/>
    </row>
    <row r="56" spans="1:26" ht="14.5" hidden="1">
      <c r="A56" s="836"/>
      <c r="B56" s="835"/>
      <c r="C56" s="835"/>
      <c r="D56" s="835"/>
      <c r="E56" s="815"/>
      <c r="F56" s="950"/>
      <c r="G56" s="11"/>
      <c r="H56" s="821"/>
      <c r="I56" s="827"/>
      <c r="J56" s="830"/>
      <c r="K56" s="34"/>
      <c r="L56" s="34"/>
      <c r="M56" s="995"/>
      <c r="N56" s="997"/>
      <c r="O56" s="1010"/>
      <c r="P56" s="997"/>
      <c r="Q56" s="997"/>
      <c r="R56" s="997"/>
      <c r="S56" s="909"/>
      <c r="T56" s="34"/>
      <c r="U56" s="798"/>
      <c r="V56" s="793"/>
      <c r="W56" s="131" t="s">
        <v>694</v>
      </c>
      <c r="X56" s="989"/>
      <c r="Y56" s="791"/>
      <c r="Z56" s="957"/>
    </row>
    <row r="57" spans="1:26" ht="14.5" hidden="1">
      <c r="A57" s="836"/>
      <c r="B57" s="835"/>
      <c r="C57" s="835"/>
      <c r="D57" s="835"/>
      <c r="E57" s="815"/>
      <c r="F57" s="950"/>
      <c r="G57" s="11"/>
      <c r="H57" s="821"/>
      <c r="I57" s="827"/>
      <c r="J57" s="830"/>
      <c r="K57" s="34"/>
      <c r="L57" s="34"/>
      <c r="M57" s="995"/>
      <c r="N57" s="997"/>
      <c r="O57" s="1010"/>
      <c r="P57" s="997"/>
      <c r="Q57" s="997"/>
      <c r="R57" s="997"/>
      <c r="S57" s="909"/>
      <c r="T57" s="34"/>
      <c r="U57" s="798"/>
      <c r="V57" s="793"/>
      <c r="W57" s="131" t="s">
        <v>695</v>
      </c>
      <c r="X57" s="989"/>
      <c r="Y57" s="791"/>
      <c r="Z57" s="957"/>
    </row>
    <row r="58" spans="1:26" ht="14.5" hidden="1">
      <c r="A58" s="836"/>
      <c r="B58" s="835"/>
      <c r="C58" s="835"/>
      <c r="D58" s="835"/>
      <c r="E58" s="815"/>
      <c r="F58" s="950"/>
      <c r="G58" s="11"/>
      <c r="H58" s="821"/>
      <c r="I58" s="827"/>
      <c r="J58" s="830"/>
      <c r="K58" s="34"/>
      <c r="L58" s="34"/>
      <c r="M58" s="995"/>
      <c r="N58" s="997"/>
      <c r="O58" s="1010"/>
      <c r="P58" s="997"/>
      <c r="Q58" s="997"/>
      <c r="R58" s="997"/>
      <c r="S58" s="909"/>
      <c r="T58" s="34"/>
      <c r="U58" s="798"/>
      <c r="V58" s="793"/>
      <c r="W58" s="131" t="s">
        <v>696</v>
      </c>
      <c r="X58" s="989"/>
      <c r="Y58" s="791"/>
      <c r="Z58" s="957"/>
    </row>
    <row r="59" spans="1:26" ht="14.5" hidden="1">
      <c r="A59" s="836"/>
      <c r="B59" s="835"/>
      <c r="C59" s="835"/>
      <c r="D59" s="835"/>
      <c r="E59" s="815"/>
      <c r="F59" s="950"/>
      <c r="G59" s="11"/>
      <c r="H59" s="821"/>
      <c r="I59" s="827"/>
      <c r="J59" s="830"/>
      <c r="K59" s="34"/>
      <c r="L59" s="34"/>
      <c r="M59" s="995"/>
      <c r="N59" s="997"/>
      <c r="O59" s="1010"/>
      <c r="P59" s="997"/>
      <c r="Q59" s="997"/>
      <c r="R59" s="997"/>
      <c r="S59" s="909"/>
      <c r="T59" s="34"/>
      <c r="U59" s="798"/>
      <c r="V59" s="793"/>
      <c r="W59" s="131" t="s">
        <v>697</v>
      </c>
      <c r="X59" s="989"/>
      <c r="Y59" s="791"/>
      <c r="Z59" s="957"/>
    </row>
    <row r="60" spans="1:26" ht="14.5" hidden="1">
      <c r="A60" s="836"/>
      <c r="B60" s="835"/>
      <c r="C60" s="835"/>
      <c r="D60" s="835"/>
      <c r="E60" s="815"/>
      <c r="F60" s="951"/>
      <c r="G60" s="11"/>
      <c r="H60" s="821"/>
      <c r="I60" s="827"/>
      <c r="J60" s="830"/>
      <c r="K60" s="34"/>
      <c r="L60" s="34"/>
      <c r="M60" s="995"/>
      <c r="N60" s="997"/>
      <c r="O60" s="1010"/>
      <c r="P60" s="997"/>
      <c r="Q60" s="997"/>
      <c r="R60" s="997"/>
      <c r="S60" s="909"/>
      <c r="T60" s="34"/>
      <c r="U60" s="798"/>
      <c r="V60" s="793"/>
      <c r="W60" s="131" t="s">
        <v>698</v>
      </c>
      <c r="X60" s="989"/>
      <c r="Y60" s="791"/>
      <c r="Z60" s="956"/>
    </row>
    <row r="61" spans="1:26" ht="117.75" hidden="1" customHeight="1">
      <c r="A61" s="841" t="s">
        <v>699</v>
      </c>
      <c r="B61" s="842" t="s">
        <v>664</v>
      </c>
      <c r="C61" s="842" t="s">
        <v>700</v>
      </c>
      <c r="D61" s="842" t="s">
        <v>294</v>
      </c>
      <c r="E61" s="795" t="s">
        <v>701</v>
      </c>
      <c r="F61" s="946" t="s">
        <v>702</v>
      </c>
      <c r="G61" s="11"/>
      <c r="H61" s="841" t="s">
        <v>50</v>
      </c>
      <c r="I61" s="942" t="s">
        <v>50</v>
      </c>
      <c r="J61" s="1009" t="s">
        <v>50</v>
      </c>
      <c r="K61" s="37"/>
      <c r="L61" s="37"/>
      <c r="M61" s="1020" t="s">
        <v>703</v>
      </c>
      <c r="N61" s="942" t="s">
        <v>704</v>
      </c>
      <c r="O61" s="1011" t="s">
        <v>705</v>
      </c>
      <c r="P61" s="842" t="s">
        <v>5</v>
      </c>
      <c r="Q61" s="842" t="str">
        <f>'PDS - Desenvolvimento'!$K$84</f>
        <v>Concluído</v>
      </c>
      <c r="R61" s="1023"/>
      <c r="S61" s="845" t="s">
        <v>287</v>
      </c>
      <c r="T61" s="37"/>
      <c r="U61" s="801" t="s">
        <v>271</v>
      </c>
      <c r="V61" s="787" t="s">
        <v>272</v>
      </c>
      <c r="W61" s="90" t="s">
        <v>660</v>
      </c>
      <c r="X61" s="787" t="s">
        <v>706</v>
      </c>
      <c r="Y61" s="795"/>
      <c r="Z61" s="943"/>
    </row>
    <row r="62" spans="1:26" ht="78" hidden="1" customHeight="1">
      <c r="A62" s="841"/>
      <c r="B62" s="842"/>
      <c r="C62" s="842"/>
      <c r="D62" s="842"/>
      <c r="E62" s="795"/>
      <c r="F62" s="948"/>
      <c r="G62" s="11"/>
      <c r="H62" s="841"/>
      <c r="I62" s="842"/>
      <c r="J62" s="853"/>
      <c r="K62" s="37"/>
      <c r="L62" s="37"/>
      <c r="M62" s="841"/>
      <c r="N62" s="842"/>
      <c r="O62" s="885"/>
      <c r="P62" s="842"/>
      <c r="Q62" s="842"/>
      <c r="R62" s="1023"/>
      <c r="S62" s="845"/>
      <c r="T62" s="37"/>
      <c r="U62" s="801"/>
      <c r="V62" s="787"/>
      <c r="W62" s="90" t="s">
        <v>662</v>
      </c>
      <c r="X62" s="787"/>
      <c r="Y62" s="795"/>
      <c r="Z62" s="945"/>
    </row>
    <row r="63" spans="1:26" ht="129.75" hidden="1" customHeight="1">
      <c r="A63" s="93" t="s">
        <v>707</v>
      </c>
      <c r="B63" s="88" t="s">
        <v>664</v>
      </c>
      <c r="C63" s="88" t="s">
        <v>708</v>
      </c>
      <c r="D63" s="88" t="s">
        <v>592</v>
      </c>
      <c r="E63" s="226" t="s">
        <v>709</v>
      </c>
      <c r="F63" s="44" t="s">
        <v>710</v>
      </c>
      <c r="G63" s="11"/>
      <c r="H63" s="109" t="s">
        <v>50</v>
      </c>
      <c r="I63" s="105" t="s">
        <v>50</v>
      </c>
      <c r="J63" s="114" t="s">
        <v>50</v>
      </c>
      <c r="K63" s="34"/>
      <c r="L63" s="34"/>
      <c r="M63" s="124" t="s">
        <v>284</v>
      </c>
      <c r="N63" s="122" t="s">
        <v>711</v>
      </c>
      <c r="O63" s="367" t="s">
        <v>712</v>
      </c>
      <c r="P63" s="122" t="s">
        <v>5</v>
      </c>
      <c r="Q63" s="122" t="str">
        <f>'PDS - Desenvolvimento'!$K$85</f>
        <v>Concluído</v>
      </c>
      <c r="R63" s="242"/>
      <c r="S63" s="199" t="s">
        <v>5</v>
      </c>
      <c r="T63" s="34"/>
      <c r="U63" s="140" t="s">
        <v>713</v>
      </c>
      <c r="V63" s="131" t="s">
        <v>272</v>
      </c>
      <c r="W63" s="131" t="s">
        <v>714</v>
      </c>
      <c r="X63" s="131" t="s">
        <v>289</v>
      </c>
      <c r="Y63" s="141"/>
      <c r="Z63" s="253"/>
    </row>
    <row r="64" spans="1:26" ht="14.5" hidden="1">
      <c r="A64" s="841" t="s">
        <v>715</v>
      </c>
      <c r="B64" s="842" t="s">
        <v>603</v>
      </c>
      <c r="C64" s="842" t="s">
        <v>716</v>
      </c>
      <c r="D64" s="842" t="s">
        <v>717</v>
      </c>
      <c r="E64" s="795" t="s">
        <v>718</v>
      </c>
      <c r="F64" s="946" t="s">
        <v>719</v>
      </c>
      <c r="G64" s="11"/>
      <c r="H64" s="841" t="s">
        <v>720</v>
      </c>
      <c r="I64" s="787" t="s">
        <v>721</v>
      </c>
      <c r="J64" s="882" t="s">
        <v>722</v>
      </c>
      <c r="K64" s="37"/>
      <c r="L64" s="37"/>
      <c r="M64" s="818" t="s">
        <v>268</v>
      </c>
      <c r="N64" s="785" t="s">
        <v>723</v>
      </c>
      <c r="O64" s="833" t="s">
        <v>724</v>
      </c>
      <c r="P64" s="785" t="s">
        <v>5</v>
      </c>
      <c r="Q64" s="785" t="str">
        <f>'PDS - Desenvolvimento'!$K$45</f>
        <v>Concluído</v>
      </c>
      <c r="R64" s="1024">
        <v>45608</v>
      </c>
      <c r="S64" s="862" t="s">
        <v>5</v>
      </c>
      <c r="T64" s="37"/>
      <c r="U64" s="801" t="s">
        <v>271</v>
      </c>
      <c r="V64" s="787" t="s">
        <v>272</v>
      </c>
      <c r="W64" s="135" t="s">
        <v>691</v>
      </c>
      <c r="X64" s="787" t="s">
        <v>725</v>
      </c>
      <c r="Y64" s="795"/>
      <c r="Z64" s="943"/>
    </row>
    <row r="65" spans="1:26" ht="63.75" hidden="1" customHeight="1">
      <c r="A65" s="841"/>
      <c r="B65" s="842"/>
      <c r="C65" s="842"/>
      <c r="D65" s="842"/>
      <c r="E65" s="795"/>
      <c r="F65" s="948"/>
      <c r="G65" s="11"/>
      <c r="H65" s="841"/>
      <c r="I65" s="787"/>
      <c r="J65" s="882"/>
      <c r="K65" s="37"/>
      <c r="L65" s="37"/>
      <c r="M65" s="818"/>
      <c r="N65" s="785"/>
      <c r="O65" s="833"/>
      <c r="P65" s="785"/>
      <c r="Q65" s="785"/>
      <c r="R65" s="785"/>
      <c r="S65" s="862"/>
      <c r="T65" s="37"/>
      <c r="U65" s="801"/>
      <c r="V65" s="787"/>
      <c r="W65" s="135" t="s">
        <v>693</v>
      </c>
      <c r="X65" s="787"/>
      <c r="Y65" s="795"/>
      <c r="Z65" s="945"/>
    </row>
    <row r="66" spans="1:26" ht="14.5" hidden="1">
      <c r="A66" s="836" t="s">
        <v>726</v>
      </c>
      <c r="B66" s="835" t="s">
        <v>603</v>
      </c>
      <c r="C66" s="835" t="s">
        <v>727</v>
      </c>
      <c r="D66" s="835" t="s">
        <v>592</v>
      </c>
      <c r="E66" s="815" t="s">
        <v>728</v>
      </c>
      <c r="F66" s="949" t="s">
        <v>729</v>
      </c>
      <c r="G66" s="11"/>
      <c r="H66" s="821" t="s">
        <v>730</v>
      </c>
      <c r="I66" s="827" t="s">
        <v>727</v>
      </c>
      <c r="J66" s="830" t="s">
        <v>728</v>
      </c>
      <c r="K66" s="34"/>
      <c r="L66" s="34"/>
      <c r="M66" s="813" t="s">
        <v>268</v>
      </c>
      <c r="N66" s="784" t="s">
        <v>731</v>
      </c>
      <c r="O66" s="824" t="s">
        <v>732</v>
      </c>
      <c r="P66" s="784" t="s">
        <v>5</v>
      </c>
      <c r="Q66" s="784" t="str">
        <f>'PDS - Desenvolvimento'!$K$32</f>
        <v>Concluído</v>
      </c>
      <c r="R66" s="1025">
        <v>45608</v>
      </c>
      <c r="S66" s="909" t="s">
        <v>5</v>
      </c>
      <c r="T66" s="34"/>
      <c r="U66" s="798" t="s">
        <v>271</v>
      </c>
      <c r="V66" s="793" t="s">
        <v>272</v>
      </c>
      <c r="W66" s="131" t="s">
        <v>733</v>
      </c>
      <c r="X66" s="793" t="s">
        <v>734</v>
      </c>
      <c r="Y66" s="791"/>
      <c r="Z66" s="955"/>
    </row>
    <row r="67" spans="1:26" ht="88.5" hidden="1" customHeight="1">
      <c r="A67" s="836"/>
      <c r="B67" s="835"/>
      <c r="C67" s="835"/>
      <c r="D67" s="835"/>
      <c r="E67" s="815"/>
      <c r="F67" s="951"/>
      <c r="G67" s="11"/>
      <c r="H67" s="821"/>
      <c r="I67" s="827"/>
      <c r="J67" s="830"/>
      <c r="K67" s="34"/>
      <c r="L67" s="34"/>
      <c r="M67" s="813"/>
      <c r="N67" s="784"/>
      <c r="O67" s="824"/>
      <c r="P67" s="784"/>
      <c r="Q67" s="784"/>
      <c r="R67" s="784"/>
      <c r="S67" s="909"/>
      <c r="T67" s="34"/>
      <c r="U67" s="798"/>
      <c r="V67" s="793"/>
      <c r="W67" s="131" t="s">
        <v>735</v>
      </c>
      <c r="X67" s="793"/>
      <c r="Y67" s="791"/>
      <c r="Z67" s="956"/>
    </row>
    <row r="68" spans="1:26" ht="14.5" hidden="1">
      <c r="A68" s="841" t="s">
        <v>736</v>
      </c>
      <c r="B68" s="842" t="s">
        <v>737</v>
      </c>
      <c r="C68" s="842" t="s">
        <v>738</v>
      </c>
      <c r="D68" s="842" t="s">
        <v>294</v>
      </c>
      <c r="E68" s="795" t="s">
        <v>739</v>
      </c>
      <c r="F68" s="946" t="s">
        <v>740</v>
      </c>
      <c r="G68" s="11"/>
      <c r="H68" s="841" t="s">
        <v>741</v>
      </c>
      <c r="I68" s="787" t="s">
        <v>738</v>
      </c>
      <c r="J68" s="795" t="s">
        <v>742</v>
      </c>
      <c r="K68" s="37"/>
      <c r="L68" s="37"/>
      <c r="M68" s="841" t="s">
        <v>268</v>
      </c>
      <c r="N68" s="842" t="s">
        <v>743</v>
      </c>
      <c r="O68" s="885" t="s">
        <v>744</v>
      </c>
      <c r="P68" s="842" t="s">
        <v>5</v>
      </c>
      <c r="Q68" s="842" t="str">
        <f>'PDS - Desenvolvimento'!$K$10</f>
        <v>Concluído</v>
      </c>
      <c r="R68" s="842"/>
      <c r="S68" s="862" t="s">
        <v>5</v>
      </c>
      <c r="T68" s="37"/>
      <c r="U68" s="852" t="s">
        <v>300</v>
      </c>
      <c r="V68" s="889" t="s">
        <v>745</v>
      </c>
      <c r="W68" s="135" t="s">
        <v>302</v>
      </c>
      <c r="X68" s="787" t="s">
        <v>746</v>
      </c>
      <c r="Y68" s="795"/>
      <c r="Z68" s="943"/>
    </row>
    <row r="69" spans="1:26" ht="14.5" hidden="1">
      <c r="A69" s="841"/>
      <c r="B69" s="842"/>
      <c r="C69" s="842"/>
      <c r="D69" s="842"/>
      <c r="E69" s="795"/>
      <c r="F69" s="947"/>
      <c r="G69" s="11"/>
      <c r="H69" s="841"/>
      <c r="I69" s="787"/>
      <c r="J69" s="795"/>
      <c r="K69" s="37"/>
      <c r="L69" s="37"/>
      <c r="M69" s="841"/>
      <c r="N69" s="842"/>
      <c r="O69" s="885"/>
      <c r="P69" s="842"/>
      <c r="Q69" s="842"/>
      <c r="R69" s="842"/>
      <c r="S69" s="862"/>
      <c r="T69" s="37"/>
      <c r="U69" s="852"/>
      <c r="V69" s="889"/>
      <c r="W69" s="135" t="s">
        <v>304</v>
      </c>
      <c r="X69" s="787"/>
      <c r="Y69" s="795"/>
      <c r="Z69" s="944"/>
    </row>
    <row r="70" spans="1:26" ht="63" hidden="1" customHeight="1">
      <c r="A70" s="841"/>
      <c r="B70" s="842"/>
      <c r="C70" s="842"/>
      <c r="D70" s="842"/>
      <c r="E70" s="795"/>
      <c r="F70" s="948"/>
      <c r="G70" s="11"/>
      <c r="H70" s="841"/>
      <c r="I70" s="787"/>
      <c r="J70" s="795"/>
      <c r="K70" s="37"/>
      <c r="L70" s="37"/>
      <c r="M70" s="841"/>
      <c r="N70" s="842"/>
      <c r="O70" s="885"/>
      <c r="P70" s="842"/>
      <c r="Q70" s="842"/>
      <c r="R70" s="842"/>
      <c r="S70" s="862"/>
      <c r="T70" s="37"/>
      <c r="U70" s="144" t="s">
        <v>565</v>
      </c>
      <c r="V70" s="135" t="s">
        <v>272</v>
      </c>
      <c r="W70" s="135" t="s">
        <v>747</v>
      </c>
      <c r="X70" s="787"/>
      <c r="Y70" s="795"/>
      <c r="Z70" s="945"/>
    </row>
    <row r="71" spans="1:26" ht="141.75" hidden="1" customHeight="1">
      <c r="A71" s="93" t="s">
        <v>748</v>
      </c>
      <c r="B71" s="88" t="s">
        <v>737</v>
      </c>
      <c r="C71" s="88" t="s">
        <v>749</v>
      </c>
      <c r="D71" s="88" t="s">
        <v>592</v>
      </c>
      <c r="E71" s="94" t="s">
        <v>750</v>
      </c>
      <c r="F71" s="44" t="s">
        <v>751</v>
      </c>
      <c r="G71" s="11"/>
      <c r="H71" s="109" t="s">
        <v>752</v>
      </c>
      <c r="I71" s="102" t="s">
        <v>753</v>
      </c>
      <c r="J71" s="159" t="s">
        <v>754</v>
      </c>
      <c r="K71" s="34"/>
      <c r="L71" s="34"/>
      <c r="M71" s="124" t="s">
        <v>268</v>
      </c>
      <c r="N71" s="122" t="s">
        <v>755</v>
      </c>
      <c r="O71" s="351" t="s">
        <v>756</v>
      </c>
      <c r="P71" s="122" t="s">
        <v>5</v>
      </c>
      <c r="Q71" s="122" t="str">
        <f>'PDS - Desenvolvimento'!$K$12</f>
        <v>Concluído</v>
      </c>
      <c r="R71" s="452">
        <v>45608</v>
      </c>
      <c r="S71" s="125" t="s">
        <v>5</v>
      </c>
      <c r="T71" s="34"/>
      <c r="U71" s="140" t="s">
        <v>565</v>
      </c>
      <c r="V71" s="131" t="s">
        <v>272</v>
      </c>
      <c r="W71" s="131" t="s">
        <v>757</v>
      </c>
      <c r="X71" s="131" t="s">
        <v>289</v>
      </c>
      <c r="Y71" s="141"/>
      <c r="Z71" s="253"/>
    </row>
    <row r="72" spans="1:26" ht="58" hidden="1">
      <c r="A72" s="95" t="s">
        <v>758</v>
      </c>
      <c r="B72" s="89" t="s">
        <v>737</v>
      </c>
      <c r="C72" s="89" t="s">
        <v>759</v>
      </c>
      <c r="D72" s="89" t="s">
        <v>322</v>
      </c>
      <c r="E72" s="96" t="s">
        <v>760</v>
      </c>
      <c r="F72" s="45" t="s">
        <v>761</v>
      </c>
      <c r="G72" s="11"/>
      <c r="H72" s="95" t="s">
        <v>50</v>
      </c>
      <c r="I72" s="189" t="s">
        <v>50</v>
      </c>
      <c r="J72" s="194" t="s">
        <v>50</v>
      </c>
      <c r="K72" s="37"/>
      <c r="L72" s="37"/>
      <c r="M72" s="111" t="s">
        <v>284</v>
      </c>
      <c r="N72" s="103" t="s">
        <v>762</v>
      </c>
      <c r="O72" s="106" t="s">
        <v>421</v>
      </c>
      <c r="P72" s="103" t="s">
        <v>5</v>
      </c>
      <c r="Q72" s="103" t="str">
        <f>'PDS - Desenvolvimento'!$K$86</f>
        <v>Concluído</v>
      </c>
      <c r="R72" s="451">
        <v>45608</v>
      </c>
      <c r="S72" s="116" t="s">
        <v>287</v>
      </c>
      <c r="T72" s="37"/>
      <c r="U72" s="95" t="s">
        <v>422</v>
      </c>
      <c r="V72" s="89" t="s">
        <v>422</v>
      </c>
      <c r="W72" s="89" t="s">
        <v>422</v>
      </c>
      <c r="X72" s="89" t="s">
        <v>422</v>
      </c>
      <c r="Y72" s="96" t="s">
        <v>422</v>
      </c>
      <c r="Z72" s="254" t="s">
        <v>422</v>
      </c>
    </row>
    <row r="73" spans="1:26" ht="63.75" hidden="1" customHeight="1">
      <c r="A73" s="93" t="s">
        <v>763</v>
      </c>
      <c r="B73" s="88" t="s">
        <v>737</v>
      </c>
      <c r="C73" s="88" t="s">
        <v>764</v>
      </c>
      <c r="D73" s="88" t="s">
        <v>322</v>
      </c>
      <c r="E73" s="226" t="s">
        <v>765</v>
      </c>
      <c r="F73" s="44" t="s">
        <v>766</v>
      </c>
      <c r="G73" s="11"/>
      <c r="H73" s="109" t="s">
        <v>767</v>
      </c>
      <c r="I73" s="102" t="s">
        <v>768</v>
      </c>
      <c r="J73" s="159" t="s">
        <v>765</v>
      </c>
      <c r="K73" s="34"/>
      <c r="L73" s="34"/>
      <c r="M73" s="167" t="s">
        <v>268</v>
      </c>
      <c r="N73" s="164" t="s">
        <v>769</v>
      </c>
      <c r="O73" s="353" t="s">
        <v>770</v>
      </c>
      <c r="P73" s="122" t="s">
        <v>5</v>
      </c>
      <c r="Q73" s="122" t="str">
        <f>'PDS - Desenvolvimento'!$K$39</f>
        <v>Concluído</v>
      </c>
      <c r="R73" s="452">
        <v>45608</v>
      </c>
      <c r="S73" s="125" t="s">
        <v>5</v>
      </c>
      <c r="T73" s="34"/>
      <c r="U73" s="140" t="s">
        <v>565</v>
      </c>
      <c r="V73" s="131" t="s">
        <v>272</v>
      </c>
      <c r="W73" s="131" t="s">
        <v>771</v>
      </c>
      <c r="X73" s="131" t="s">
        <v>289</v>
      </c>
      <c r="Y73" s="141"/>
      <c r="Z73" s="253"/>
    </row>
    <row r="74" spans="1:26" ht="87" hidden="1">
      <c r="A74" s="95" t="s">
        <v>772</v>
      </c>
      <c r="B74" s="89" t="s">
        <v>737</v>
      </c>
      <c r="C74" s="89" t="s">
        <v>773</v>
      </c>
      <c r="D74" s="89" t="s">
        <v>592</v>
      </c>
      <c r="E74" s="160" t="s">
        <v>774</v>
      </c>
      <c r="F74" s="45" t="s">
        <v>775</v>
      </c>
      <c r="G74" s="11"/>
      <c r="H74" s="95" t="s">
        <v>776</v>
      </c>
      <c r="I74" s="90" t="s">
        <v>777</v>
      </c>
      <c r="J74" s="160" t="s">
        <v>778</v>
      </c>
      <c r="K74" s="37"/>
      <c r="L74" s="37"/>
      <c r="M74" s="95" t="s">
        <v>268</v>
      </c>
      <c r="N74" s="89" t="s">
        <v>779</v>
      </c>
      <c r="O74" s="90" t="s">
        <v>780</v>
      </c>
      <c r="P74" s="89" t="s">
        <v>5</v>
      </c>
      <c r="Q74" s="103" t="str">
        <f>'PDS - Desenvolvimento'!$K$41</f>
        <v>Concluído</v>
      </c>
      <c r="R74" s="451">
        <v>45608</v>
      </c>
      <c r="S74" s="145" t="s">
        <v>5</v>
      </c>
      <c r="T74" s="37"/>
      <c r="U74" s="142" t="s">
        <v>781</v>
      </c>
      <c r="V74" s="135" t="s">
        <v>272</v>
      </c>
      <c r="W74" s="90" t="s">
        <v>782</v>
      </c>
      <c r="X74" s="90" t="s">
        <v>289</v>
      </c>
      <c r="Y74" s="96"/>
      <c r="Z74" s="254"/>
    </row>
    <row r="75" spans="1:26" ht="126" hidden="1" customHeight="1">
      <c r="A75" s="93" t="s">
        <v>783</v>
      </c>
      <c r="B75" s="88" t="s">
        <v>784</v>
      </c>
      <c r="C75" s="88" t="s">
        <v>785</v>
      </c>
      <c r="D75" s="88" t="s">
        <v>294</v>
      </c>
      <c r="E75" s="226" t="s">
        <v>786</v>
      </c>
      <c r="F75" s="44" t="s">
        <v>787</v>
      </c>
      <c r="G75" s="11"/>
      <c r="H75" s="109" t="s">
        <v>50</v>
      </c>
      <c r="I75" s="105" t="s">
        <v>50</v>
      </c>
      <c r="J75" s="114" t="s">
        <v>50</v>
      </c>
      <c r="K75" s="34"/>
      <c r="L75" s="34"/>
      <c r="M75" s="169" t="s">
        <v>284</v>
      </c>
      <c r="N75" s="166" t="s">
        <v>788</v>
      </c>
      <c r="O75" s="358" t="s">
        <v>789</v>
      </c>
      <c r="P75" s="122" t="s">
        <v>5</v>
      </c>
      <c r="Q75" s="122" t="str">
        <f>'PDS - Desenvolvimento'!$K$87</f>
        <v>Concluído</v>
      </c>
      <c r="R75" s="452">
        <v>45721</v>
      </c>
      <c r="S75" s="337" t="s">
        <v>465</v>
      </c>
      <c r="T75" s="34"/>
      <c r="U75" s="140" t="s">
        <v>305</v>
      </c>
      <c r="V75" s="131" t="s">
        <v>306</v>
      </c>
      <c r="W75" s="131" t="s">
        <v>790</v>
      </c>
      <c r="X75" s="131" t="s">
        <v>791</v>
      </c>
      <c r="Y75" s="141"/>
      <c r="Z75" s="253"/>
    </row>
    <row r="76" spans="1:26" ht="87">
      <c r="A76" s="95" t="s">
        <v>792</v>
      </c>
      <c r="B76" s="89" t="s">
        <v>793</v>
      </c>
      <c r="C76" s="89" t="s">
        <v>794</v>
      </c>
      <c r="D76" s="89" t="s">
        <v>322</v>
      </c>
      <c r="E76" s="96" t="s">
        <v>795</v>
      </c>
      <c r="F76" s="45" t="s">
        <v>796</v>
      </c>
      <c r="G76" s="11"/>
      <c r="H76" s="237" t="s">
        <v>797</v>
      </c>
      <c r="I76" s="230" t="s">
        <v>798</v>
      </c>
      <c r="J76" s="238" t="s">
        <v>799</v>
      </c>
      <c r="K76" s="40"/>
      <c r="L76" s="40"/>
      <c r="M76" s="95" t="s">
        <v>268</v>
      </c>
      <c r="N76" s="89" t="s">
        <v>800</v>
      </c>
      <c r="O76" s="90" t="s">
        <v>801</v>
      </c>
      <c r="P76" s="89" t="s">
        <v>5</v>
      </c>
      <c r="Q76" s="103" t="str">
        <f>'PDS - Desenvolvimento'!$K$8</f>
        <v>Concluído</v>
      </c>
      <c r="R76" s="451">
        <v>45608</v>
      </c>
      <c r="S76" s="145" t="s">
        <v>5</v>
      </c>
      <c r="T76" s="40"/>
      <c r="U76" s="258" t="s">
        <v>565</v>
      </c>
      <c r="V76" s="230" t="s">
        <v>272</v>
      </c>
      <c r="W76" s="230" t="s">
        <v>802</v>
      </c>
      <c r="X76" s="230" t="s">
        <v>289</v>
      </c>
      <c r="Y76" s="259"/>
      <c r="Z76" s="254"/>
    </row>
    <row r="77" spans="1:26" ht="140.25" hidden="1" customHeight="1">
      <c r="A77" s="93" t="s">
        <v>803</v>
      </c>
      <c r="B77" s="88" t="s">
        <v>793</v>
      </c>
      <c r="C77" s="88" t="s">
        <v>804</v>
      </c>
      <c r="D77" s="88" t="s">
        <v>322</v>
      </c>
      <c r="E77" s="94" t="s">
        <v>805</v>
      </c>
      <c r="F77" s="44" t="s">
        <v>806</v>
      </c>
      <c r="G77" s="11"/>
      <c r="H77" s="109" t="s">
        <v>807</v>
      </c>
      <c r="I77" s="102" t="s">
        <v>808</v>
      </c>
      <c r="J77" s="159" t="s">
        <v>809</v>
      </c>
      <c r="K77" s="34"/>
      <c r="L77" s="34"/>
      <c r="M77" s="169" t="s">
        <v>268</v>
      </c>
      <c r="N77" s="166" t="s">
        <v>810</v>
      </c>
      <c r="O77" s="355" t="s">
        <v>811</v>
      </c>
      <c r="P77" s="122" t="s">
        <v>5</v>
      </c>
      <c r="Q77" s="122" t="str">
        <f>'PDS - Desenvolvimento'!$K$27</f>
        <v>Concluído</v>
      </c>
      <c r="R77" s="452">
        <v>45608</v>
      </c>
      <c r="S77" s="125" t="s">
        <v>5</v>
      </c>
      <c r="T77" s="34"/>
      <c r="U77" s="198"/>
      <c r="V77" s="133"/>
      <c r="W77" s="133"/>
      <c r="X77" s="131" t="s">
        <v>466</v>
      </c>
      <c r="Y77" s="141"/>
      <c r="Z77" s="253"/>
    </row>
    <row r="78" spans="1:26" ht="174" hidden="1">
      <c r="A78" s="95" t="s">
        <v>812</v>
      </c>
      <c r="B78" s="89" t="s">
        <v>737</v>
      </c>
      <c r="C78" s="89" t="s">
        <v>813</v>
      </c>
      <c r="D78" s="89" t="s">
        <v>322</v>
      </c>
      <c r="E78" s="96" t="s">
        <v>814</v>
      </c>
      <c r="F78" s="45" t="s">
        <v>815</v>
      </c>
      <c r="G78" s="11"/>
      <c r="H78" s="95" t="s">
        <v>816</v>
      </c>
      <c r="I78" s="90" t="s">
        <v>817</v>
      </c>
      <c r="J78" s="160" t="s">
        <v>818</v>
      </c>
      <c r="K78" s="37"/>
      <c r="L78" s="37"/>
      <c r="M78" s="95" t="s">
        <v>268</v>
      </c>
      <c r="N78" s="89" t="s">
        <v>819</v>
      </c>
      <c r="O78" s="90" t="s">
        <v>820</v>
      </c>
      <c r="P78" s="89" t="s">
        <v>5</v>
      </c>
      <c r="Q78" s="103" t="str">
        <f>'PDS - Desenvolvimento'!$K$33</f>
        <v>Concluído</v>
      </c>
      <c r="R78" s="451">
        <v>45608</v>
      </c>
      <c r="S78" s="145" t="s">
        <v>5</v>
      </c>
      <c r="T78" s="37"/>
      <c r="U78" s="142" t="s">
        <v>821</v>
      </c>
      <c r="V78" s="90" t="s">
        <v>272</v>
      </c>
      <c r="W78" s="90" t="s">
        <v>822</v>
      </c>
      <c r="X78" s="230" t="s">
        <v>289</v>
      </c>
      <c r="Y78" s="96" t="s">
        <v>823</v>
      </c>
      <c r="Z78" s="254"/>
    </row>
    <row r="79" spans="1:26" ht="66.75" hidden="1" customHeight="1">
      <c r="A79" s="93" t="s">
        <v>824</v>
      </c>
      <c r="B79" s="88" t="s">
        <v>737</v>
      </c>
      <c r="C79" s="88" t="s">
        <v>825</v>
      </c>
      <c r="D79" s="88" t="s">
        <v>322</v>
      </c>
      <c r="E79" s="94" t="s">
        <v>826</v>
      </c>
      <c r="F79" s="44" t="s">
        <v>827</v>
      </c>
      <c r="G79" s="11"/>
      <c r="H79" s="239" t="s">
        <v>828</v>
      </c>
      <c r="I79" s="105" t="s">
        <v>50</v>
      </c>
      <c r="J79" s="114" t="s">
        <v>50</v>
      </c>
      <c r="K79" s="34"/>
      <c r="L79" s="34"/>
      <c r="M79" s="169" t="s">
        <v>284</v>
      </c>
      <c r="N79" s="166" t="s">
        <v>829</v>
      </c>
      <c r="O79" s="355" t="s">
        <v>830</v>
      </c>
      <c r="P79" s="122" t="s">
        <v>5</v>
      </c>
      <c r="Q79" s="122" t="str">
        <f>'PDS - Desenvolvimento'!$K$88</f>
        <v>Concluído</v>
      </c>
      <c r="R79" s="452">
        <v>45608</v>
      </c>
      <c r="S79" s="125" t="s">
        <v>287</v>
      </c>
      <c r="T79" s="34"/>
      <c r="U79" s="140" t="s">
        <v>831</v>
      </c>
      <c r="V79" s="131" t="s">
        <v>272</v>
      </c>
      <c r="W79" s="131" t="s">
        <v>832</v>
      </c>
      <c r="X79" s="131" t="s">
        <v>289</v>
      </c>
      <c r="Y79" s="141"/>
      <c r="Z79" s="253"/>
    </row>
    <row r="80" spans="1:26" ht="14.5" hidden="1">
      <c r="A80" s="841" t="s">
        <v>833</v>
      </c>
      <c r="B80" s="842" t="s">
        <v>834</v>
      </c>
      <c r="C80" s="842" t="s">
        <v>835</v>
      </c>
      <c r="D80" s="842" t="s">
        <v>294</v>
      </c>
      <c r="E80" s="882" t="s">
        <v>836</v>
      </c>
      <c r="F80" s="946" t="s">
        <v>837</v>
      </c>
      <c r="G80" s="11"/>
      <c r="H80" s="841" t="s">
        <v>838</v>
      </c>
      <c r="I80" s="787" t="s">
        <v>839</v>
      </c>
      <c r="J80" s="882" t="s">
        <v>840</v>
      </c>
      <c r="K80" s="37"/>
      <c r="L80" s="37"/>
      <c r="M80" s="841" t="s">
        <v>268</v>
      </c>
      <c r="N80" s="842" t="s">
        <v>841</v>
      </c>
      <c r="O80" s="885" t="s">
        <v>842</v>
      </c>
      <c r="P80" s="842" t="s">
        <v>5</v>
      </c>
      <c r="Q80" s="842" t="str">
        <f>'PDS - Desenvolvimento'!$K$26</f>
        <v>Concluído</v>
      </c>
      <c r="R80" s="1026">
        <v>45684</v>
      </c>
      <c r="S80" s="853" t="s">
        <v>5</v>
      </c>
      <c r="T80" s="37"/>
      <c r="U80" s="852" t="s">
        <v>300</v>
      </c>
      <c r="V80" s="889" t="s">
        <v>843</v>
      </c>
      <c r="W80" s="135" t="s">
        <v>302</v>
      </c>
      <c r="X80" s="833" t="s">
        <v>844</v>
      </c>
      <c r="Y80" s="795"/>
      <c r="Z80" s="943"/>
    </row>
    <row r="81" spans="1:26" ht="14.5" hidden="1">
      <c r="A81" s="841"/>
      <c r="B81" s="842"/>
      <c r="C81" s="842"/>
      <c r="D81" s="842"/>
      <c r="E81" s="882"/>
      <c r="F81" s="947"/>
      <c r="G81" s="11"/>
      <c r="H81" s="841"/>
      <c r="I81" s="787"/>
      <c r="J81" s="882"/>
      <c r="K81" s="37"/>
      <c r="L81" s="37"/>
      <c r="M81" s="841"/>
      <c r="N81" s="842"/>
      <c r="O81" s="885"/>
      <c r="P81" s="842"/>
      <c r="Q81" s="842"/>
      <c r="R81" s="842"/>
      <c r="S81" s="853"/>
      <c r="T81" s="37"/>
      <c r="U81" s="852"/>
      <c r="V81" s="889"/>
      <c r="W81" s="135" t="s">
        <v>304</v>
      </c>
      <c r="X81" s="833"/>
      <c r="Y81" s="795"/>
      <c r="Z81" s="944"/>
    </row>
    <row r="82" spans="1:26" ht="14.5" hidden="1">
      <c r="A82" s="841"/>
      <c r="B82" s="842"/>
      <c r="C82" s="842"/>
      <c r="D82" s="842"/>
      <c r="E82" s="882"/>
      <c r="F82" s="947"/>
      <c r="G82" s="11"/>
      <c r="H82" s="841"/>
      <c r="I82" s="787"/>
      <c r="J82" s="882"/>
      <c r="K82" s="37"/>
      <c r="L82" s="37"/>
      <c r="M82" s="841"/>
      <c r="N82" s="842"/>
      <c r="O82" s="885"/>
      <c r="P82" s="842"/>
      <c r="Q82" s="842"/>
      <c r="R82" s="842"/>
      <c r="S82" s="853"/>
      <c r="T82" s="37"/>
      <c r="U82" s="852" t="s">
        <v>317</v>
      </c>
      <c r="V82" s="889" t="s">
        <v>272</v>
      </c>
      <c r="W82" s="135" t="s">
        <v>273</v>
      </c>
      <c r="X82" s="833"/>
      <c r="Y82" s="795"/>
      <c r="Z82" s="944"/>
    </row>
    <row r="83" spans="1:26" ht="14.5" hidden="1">
      <c r="A83" s="841"/>
      <c r="B83" s="842"/>
      <c r="C83" s="842"/>
      <c r="D83" s="842"/>
      <c r="E83" s="882"/>
      <c r="F83" s="947"/>
      <c r="G83" s="11"/>
      <c r="H83" s="841"/>
      <c r="I83" s="787"/>
      <c r="J83" s="882"/>
      <c r="K83" s="37"/>
      <c r="L83" s="37"/>
      <c r="M83" s="841"/>
      <c r="N83" s="842"/>
      <c r="O83" s="885"/>
      <c r="P83" s="842"/>
      <c r="Q83" s="842"/>
      <c r="R83" s="842"/>
      <c r="S83" s="853"/>
      <c r="T83" s="37"/>
      <c r="U83" s="852"/>
      <c r="V83" s="889"/>
      <c r="W83" s="135" t="s">
        <v>276</v>
      </c>
      <c r="X83" s="833"/>
      <c r="Y83" s="795"/>
      <c r="Z83" s="944"/>
    </row>
    <row r="84" spans="1:26" ht="14.5" hidden="1">
      <c r="A84" s="841"/>
      <c r="B84" s="842"/>
      <c r="C84" s="842"/>
      <c r="D84" s="842"/>
      <c r="E84" s="882"/>
      <c r="F84" s="947"/>
      <c r="G84" s="11"/>
      <c r="H84" s="841"/>
      <c r="I84" s="787"/>
      <c r="J84" s="882"/>
      <c r="K84" s="37"/>
      <c r="L84" s="37"/>
      <c r="M84" s="841"/>
      <c r="N84" s="842"/>
      <c r="O84" s="885"/>
      <c r="P84" s="842"/>
      <c r="Q84" s="842"/>
      <c r="R84" s="842"/>
      <c r="S84" s="853"/>
      <c r="T84" s="37"/>
      <c r="U84" s="852"/>
      <c r="V84" s="889"/>
      <c r="W84" s="135" t="s">
        <v>277</v>
      </c>
      <c r="X84" s="833"/>
      <c r="Y84" s="795"/>
      <c r="Z84" s="944"/>
    </row>
    <row r="85" spans="1:26" ht="14.5" hidden="1">
      <c r="A85" s="841"/>
      <c r="B85" s="842"/>
      <c r="C85" s="842"/>
      <c r="D85" s="842"/>
      <c r="E85" s="882"/>
      <c r="F85" s="947"/>
      <c r="G85" s="11"/>
      <c r="H85" s="841"/>
      <c r="I85" s="787"/>
      <c r="J85" s="882"/>
      <c r="K85" s="37"/>
      <c r="L85" s="37"/>
      <c r="M85" s="841"/>
      <c r="N85" s="842"/>
      <c r="O85" s="885"/>
      <c r="P85" s="842"/>
      <c r="Q85" s="842"/>
      <c r="R85" s="842"/>
      <c r="S85" s="853"/>
      <c r="T85" s="37"/>
      <c r="U85" s="852"/>
      <c r="V85" s="889"/>
      <c r="W85" s="135" t="s">
        <v>278</v>
      </c>
      <c r="X85" s="833"/>
      <c r="Y85" s="795"/>
      <c r="Z85" s="944"/>
    </row>
    <row r="86" spans="1:26" ht="15.75" hidden="1" customHeight="1">
      <c r="A86" s="841"/>
      <c r="B86" s="842"/>
      <c r="C86" s="842"/>
      <c r="D86" s="842"/>
      <c r="E86" s="882"/>
      <c r="F86" s="948"/>
      <c r="G86" s="11"/>
      <c r="H86" s="841"/>
      <c r="I86" s="787"/>
      <c r="J86" s="882"/>
      <c r="K86" s="37"/>
      <c r="L86" s="37"/>
      <c r="M86" s="841"/>
      <c r="N86" s="842"/>
      <c r="O86" s="885"/>
      <c r="P86" s="842"/>
      <c r="Q86" s="842"/>
      <c r="R86" s="842"/>
      <c r="S86" s="853"/>
      <c r="T86" s="37"/>
      <c r="U86" s="852"/>
      <c r="V86" s="889"/>
      <c r="W86" s="135" t="s">
        <v>845</v>
      </c>
      <c r="X86" s="833"/>
      <c r="Y86" s="795"/>
      <c r="Z86" s="945"/>
    </row>
    <row r="87" spans="1:26" ht="186" hidden="1" customHeight="1">
      <c r="A87" s="93" t="s">
        <v>846</v>
      </c>
      <c r="B87" s="88" t="s">
        <v>834</v>
      </c>
      <c r="C87" s="88" t="s">
        <v>847</v>
      </c>
      <c r="D87" s="88" t="s">
        <v>294</v>
      </c>
      <c r="E87" s="226" t="s">
        <v>848</v>
      </c>
      <c r="F87" s="44" t="s">
        <v>849</v>
      </c>
      <c r="G87" s="11"/>
      <c r="H87" s="109" t="s">
        <v>50</v>
      </c>
      <c r="I87" s="105" t="s">
        <v>50</v>
      </c>
      <c r="J87" s="114" t="s">
        <v>50</v>
      </c>
      <c r="K87" s="34"/>
      <c r="L87" s="34"/>
      <c r="M87" s="169" t="s">
        <v>284</v>
      </c>
      <c r="N87" s="166" t="s">
        <v>850</v>
      </c>
      <c r="O87" s="355" t="s">
        <v>851</v>
      </c>
      <c r="P87" s="122" t="s">
        <v>5</v>
      </c>
      <c r="Q87" s="122" t="str">
        <f>'PDS - Desenvolvimento'!$K$89</f>
        <v>Concluído</v>
      </c>
      <c r="R87" s="452">
        <v>45608</v>
      </c>
      <c r="S87" s="199" t="s">
        <v>299</v>
      </c>
      <c r="T87" s="34"/>
      <c r="U87" s="257" t="s">
        <v>621</v>
      </c>
      <c r="V87" s="244" t="s">
        <v>621</v>
      </c>
      <c r="W87" s="244" t="s">
        <v>621</v>
      </c>
      <c r="X87" s="244" t="s">
        <v>621</v>
      </c>
      <c r="Y87" s="256" t="s">
        <v>621</v>
      </c>
      <c r="Z87" s="253"/>
    </row>
    <row r="88" spans="1:26" ht="88.5" hidden="1" customHeight="1">
      <c r="A88" s="95" t="s">
        <v>852</v>
      </c>
      <c r="B88" s="89" t="s">
        <v>737</v>
      </c>
      <c r="C88" s="89" t="s">
        <v>853</v>
      </c>
      <c r="D88" s="89" t="s">
        <v>322</v>
      </c>
      <c r="E88" s="160" t="s">
        <v>854</v>
      </c>
      <c r="F88" s="45" t="s">
        <v>855</v>
      </c>
      <c r="G88" s="11"/>
      <c r="H88" s="95" t="s">
        <v>856</v>
      </c>
      <c r="I88" s="90" t="s">
        <v>853</v>
      </c>
      <c r="J88" s="160" t="s">
        <v>857</v>
      </c>
      <c r="K88" s="37"/>
      <c r="L88" s="37"/>
      <c r="M88" s="95" t="s">
        <v>268</v>
      </c>
      <c r="N88" s="89" t="s">
        <v>858</v>
      </c>
      <c r="O88" s="90" t="s">
        <v>859</v>
      </c>
      <c r="P88" s="89" t="s">
        <v>5</v>
      </c>
      <c r="Q88" s="103" t="str">
        <f>'PDS - Desenvolvimento'!$K$38</f>
        <v>Concluído</v>
      </c>
      <c r="R88" s="451">
        <v>45608</v>
      </c>
      <c r="S88" s="145" t="s">
        <v>5</v>
      </c>
      <c r="T88" s="37"/>
      <c r="U88" s="243" t="s">
        <v>621</v>
      </c>
      <c r="V88" s="106" t="s">
        <v>621</v>
      </c>
      <c r="W88" s="106" t="s">
        <v>621</v>
      </c>
      <c r="X88" s="106" t="s">
        <v>621</v>
      </c>
      <c r="Y88" s="117" t="s">
        <v>621</v>
      </c>
      <c r="Z88" s="254"/>
    </row>
    <row r="89" spans="1:26" ht="14.5" hidden="1" customHeight="1">
      <c r="A89" s="836" t="s">
        <v>860</v>
      </c>
      <c r="B89" s="835" t="s">
        <v>737</v>
      </c>
      <c r="C89" s="835" t="s">
        <v>861</v>
      </c>
      <c r="D89" s="835" t="s">
        <v>322</v>
      </c>
      <c r="E89" s="815" t="s">
        <v>862</v>
      </c>
      <c r="F89" s="949" t="s">
        <v>863</v>
      </c>
      <c r="G89" s="11"/>
      <c r="H89" s="821" t="s">
        <v>864</v>
      </c>
      <c r="I89" s="827" t="s">
        <v>865</v>
      </c>
      <c r="J89" s="830" t="s">
        <v>866</v>
      </c>
      <c r="K89" s="34"/>
      <c r="L89" s="34"/>
      <c r="M89" s="898" t="s">
        <v>268</v>
      </c>
      <c r="N89" s="900" t="s">
        <v>867</v>
      </c>
      <c r="O89" s="903" t="s">
        <v>868</v>
      </c>
      <c r="P89" s="784" t="s">
        <v>5</v>
      </c>
      <c r="Q89" s="784" t="str">
        <f>'PDS - Desenvolvimento'!$K$37</f>
        <v>Concluído</v>
      </c>
      <c r="R89" s="1022">
        <v>45608</v>
      </c>
      <c r="S89" s="909" t="s">
        <v>5</v>
      </c>
      <c r="T89" s="34"/>
      <c r="U89" s="798" t="s">
        <v>821</v>
      </c>
      <c r="V89" s="793" t="s">
        <v>869</v>
      </c>
      <c r="W89" s="131" t="s">
        <v>870</v>
      </c>
      <c r="X89" s="793" t="s">
        <v>871</v>
      </c>
      <c r="Y89" s="791"/>
      <c r="Z89" s="955"/>
    </row>
    <row r="90" spans="1:26" ht="14.5" hidden="1" customHeight="1">
      <c r="A90" s="836"/>
      <c r="B90" s="835"/>
      <c r="C90" s="835"/>
      <c r="D90" s="835"/>
      <c r="E90" s="815"/>
      <c r="F90" s="951"/>
      <c r="G90" s="11"/>
      <c r="H90" s="821"/>
      <c r="I90" s="827"/>
      <c r="J90" s="830"/>
      <c r="K90" s="34"/>
      <c r="L90" s="34"/>
      <c r="M90" s="898"/>
      <c r="N90" s="900"/>
      <c r="O90" s="903"/>
      <c r="P90" s="784"/>
      <c r="Q90" s="784"/>
      <c r="R90" s="784"/>
      <c r="S90" s="909"/>
      <c r="T90" s="34"/>
      <c r="U90" s="798"/>
      <c r="V90" s="793"/>
      <c r="W90" s="131" t="s">
        <v>872</v>
      </c>
      <c r="X90" s="793"/>
      <c r="Y90" s="791"/>
      <c r="Z90" s="956"/>
    </row>
    <row r="91" spans="1:26" ht="14.5" hidden="1" customHeight="1">
      <c r="A91" s="841" t="s">
        <v>873</v>
      </c>
      <c r="B91" s="842" t="s">
        <v>737</v>
      </c>
      <c r="C91" s="842" t="s">
        <v>874</v>
      </c>
      <c r="D91" s="842" t="s">
        <v>294</v>
      </c>
      <c r="E91" s="795" t="s">
        <v>875</v>
      </c>
      <c r="F91" s="946" t="s">
        <v>876</v>
      </c>
      <c r="G91" s="11"/>
      <c r="H91" s="841" t="s">
        <v>877</v>
      </c>
      <c r="I91" s="787" t="s">
        <v>878</v>
      </c>
      <c r="J91" s="795" t="s">
        <v>879</v>
      </c>
      <c r="K91" s="37"/>
      <c r="L91" s="37"/>
      <c r="M91" s="841" t="s">
        <v>268</v>
      </c>
      <c r="N91" s="842" t="s">
        <v>880</v>
      </c>
      <c r="O91" s="885" t="s">
        <v>881</v>
      </c>
      <c r="P91" s="842" t="s">
        <v>5</v>
      </c>
      <c r="Q91" s="842" t="str">
        <f>'PDS - Desenvolvimento'!$K$17</f>
        <v>Concluído</v>
      </c>
      <c r="R91" s="842"/>
      <c r="S91" s="853" t="s">
        <v>5</v>
      </c>
      <c r="T91" s="37"/>
      <c r="U91" s="852" t="s">
        <v>300</v>
      </c>
      <c r="V91" s="889" t="s">
        <v>882</v>
      </c>
      <c r="W91" s="135" t="s">
        <v>302</v>
      </c>
      <c r="X91" s="787" t="s">
        <v>883</v>
      </c>
      <c r="Y91" s="795"/>
      <c r="Z91" s="943"/>
    </row>
    <row r="92" spans="1:26" ht="14.5" hidden="1" customHeight="1">
      <c r="A92" s="841"/>
      <c r="B92" s="842"/>
      <c r="C92" s="842"/>
      <c r="D92" s="842"/>
      <c r="E92" s="795"/>
      <c r="F92" s="947"/>
      <c r="G92" s="11"/>
      <c r="H92" s="841"/>
      <c r="I92" s="787"/>
      <c r="J92" s="795"/>
      <c r="K92" s="37"/>
      <c r="L92" s="37"/>
      <c r="M92" s="841"/>
      <c r="N92" s="842"/>
      <c r="O92" s="885"/>
      <c r="P92" s="842"/>
      <c r="Q92" s="842"/>
      <c r="R92" s="842"/>
      <c r="S92" s="853"/>
      <c r="T92" s="37"/>
      <c r="U92" s="852"/>
      <c r="V92" s="889"/>
      <c r="W92" s="135" t="s">
        <v>304</v>
      </c>
      <c r="X92" s="787"/>
      <c r="Y92" s="795"/>
      <c r="Z92" s="944"/>
    </row>
    <row r="93" spans="1:26" ht="108" hidden="1" customHeight="1">
      <c r="A93" s="841"/>
      <c r="B93" s="842"/>
      <c r="C93" s="842"/>
      <c r="D93" s="842"/>
      <c r="E93" s="795"/>
      <c r="F93" s="948"/>
      <c r="G93" s="11"/>
      <c r="H93" s="841"/>
      <c r="I93" s="787"/>
      <c r="J93" s="795"/>
      <c r="K93" s="37"/>
      <c r="L93" s="37"/>
      <c r="M93" s="841"/>
      <c r="N93" s="842"/>
      <c r="O93" s="885"/>
      <c r="P93" s="842"/>
      <c r="Q93" s="842"/>
      <c r="R93" s="842"/>
      <c r="S93" s="853"/>
      <c r="T93" s="37"/>
      <c r="U93" s="142" t="s">
        <v>781</v>
      </c>
      <c r="V93" s="90" t="s">
        <v>272</v>
      </c>
      <c r="W93" s="90" t="s">
        <v>884</v>
      </c>
      <c r="X93" s="787"/>
      <c r="Y93" s="795"/>
      <c r="Z93" s="945"/>
    </row>
    <row r="94" spans="1:26" ht="15.75" hidden="1" customHeight="1">
      <c r="A94" s="836" t="s">
        <v>885</v>
      </c>
      <c r="B94" s="835" t="s">
        <v>737</v>
      </c>
      <c r="C94" s="835" t="s">
        <v>886</v>
      </c>
      <c r="D94" s="835" t="s">
        <v>294</v>
      </c>
      <c r="E94" s="912" t="s">
        <v>887</v>
      </c>
      <c r="F94" s="949" t="s">
        <v>888</v>
      </c>
      <c r="G94" s="11"/>
      <c r="H94" s="821" t="s">
        <v>889</v>
      </c>
      <c r="I94" s="827" t="s">
        <v>886</v>
      </c>
      <c r="J94" s="830" t="s">
        <v>890</v>
      </c>
      <c r="K94" s="34"/>
      <c r="L94" s="34"/>
      <c r="M94" s="995" t="s">
        <v>268</v>
      </c>
      <c r="N94" s="997" t="s">
        <v>891</v>
      </c>
      <c r="O94" s="1010" t="s">
        <v>892</v>
      </c>
      <c r="P94" s="997" t="s">
        <v>5</v>
      </c>
      <c r="Q94" s="997" t="str">
        <f>'PDS - Desenvolvimento'!$K$42</f>
        <v>Concluído</v>
      </c>
      <c r="R94" s="997"/>
      <c r="S94" s="909" t="s">
        <v>5</v>
      </c>
      <c r="T94" s="34"/>
      <c r="U94" s="798" t="s">
        <v>300</v>
      </c>
      <c r="V94" s="793" t="s">
        <v>893</v>
      </c>
      <c r="W94" s="131" t="s">
        <v>302</v>
      </c>
      <c r="X94" s="988" t="s">
        <v>894</v>
      </c>
      <c r="Y94" s="791"/>
      <c r="Z94" s="955"/>
    </row>
    <row r="95" spans="1:26" ht="15.75" hidden="1" customHeight="1">
      <c r="A95" s="836"/>
      <c r="B95" s="835"/>
      <c r="C95" s="835"/>
      <c r="D95" s="835"/>
      <c r="E95" s="912"/>
      <c r="F95" s="950"/>
      <c r="G95" s="11"/>
      <c r="H95" s="821"/>
      <c r="I95" s="827"/>
      <c r="J95" s="830"/>
      <c r="K95" s="34"/>
      <c r="L95" s="34"/>
      <c r="M95" s="995"/>
      <c r="N95" s="997"/>
      <c r="O95" s="1010"/>
      <c r="P95" s="997"/>
      <c r="Q95" s="997"/>
      <c r="R95" s="997"/>
      <c r="S95" s="909"/>
      <c r="T95" s="34"/>
      <c r="U95" s="798"/>
      <c r="V95" s="793"/>
      <c r="W95" s="131" t="s">
        <v>304</v>
      </c>
      <c r="X95" s="988"/>
      <c r="Y95" s="791"/>
      <c r="Z95" s="957"/>
    </row>
    <row r="96" spans="1:26" ht="15.75" hidden="1" customHeight="1">
      <c r="A96" s="836"/>
      <c r="B96" s="835"/>
      <c r="C96" s="835"/>
      <c r="D96" s="835"/>
      <c r="E96" s="912"/>
      <c r="F96" s="951"/>
      <c r="G96" s="11"/>
      <c r="H96" s="821"/>
      <c r="I96" s="827"/>
      <c r="J96" s="830"/>
      <c r="K96" s="34"/>
      <c r="L96" s="34"/>
      <c r="M96" s="995"/>
      <c r="N96" s="997"/>
      <c r="O96" s="1010"/>
      <c r="P96" s="997"/>
      <c r="Q96" s="997"/>
      <c r="R96" s="997"/>
      <c r="S96" s="909"/>
      <c r="T96" s="34"/>
      <c r="U96" s="257" t="s">
        <v>781</v>
      </c>
      <c r="V96" s="244" t="s">
        <v>272</v>
      </c>
      <c r="W96" s="244" t="s">
        <v>895</v>
      </c>
      <c r="X96" s="988"/>
      <c r="Y96" s="791"/>
      <c r="Z96" s="956"/>
    </row>
    <row r="97" spans="1:26" ht="304.5" hidden="1" customHeight="1">
      <c r="A97" s="841" t="s">
        <v>896</v>
      </c>
      <c r="B97" s="842" t="s">
        <v>664</v>
      </c>
      <c r="C97" s="842" t="s">
        <v>897</v>
      </c>
      <c r="D97" s="842" t="s">
        <v>294</v>
      </c>
      <c r="E97" s="882" t="s">
        <v>898</v>
      </c>
      <c r="F97" s="946" t="s">
        <v>899</v>
      </c>
      <c r="G97" s="11"/>
      <c r="H97" s="841" t="s">
        <v>50</v>
      </c>
      <c r="I97" s="942" t="s">
        <v>50</v>
      </c>
      <c r="J97" s="1009" t="s">
        <v>50</v>
      </c>
      <c r="K97" s="37"/>
      <c r="L97" s="37"/>
      <c r="M97" s="841" t="s">
        <v>268</v>
      </c>
      <c r="N97" s="842" t="s">
        <v>900</v>
      </c>
      <c r="O97" s="885" t="s">
        <v>901</v>
      </c>
      <c r="P97" s="842" t="s">
        <v>5</v>
      </c>
      <c r="Q97" s="842" t="str">
        <f>'PDS - Desenvolvimento'!$K$72</f>
        <v>Concluído</v>
      </c>
      <c r="R97" s="842"/>
      <c r="S97" s="853" t="s">
        <v>5</v>
      </c>
      <c r="T97" s="37"/>
      <c r="U97" s="852" t="s">
        <v>300</v>
      </c>
      <c r="V97" s="889" t="s">
        <v>902</v>
      </c>
      <c r="W97" s="135" t="s">
        <v>302</v>
      </c>
      <c r="X97" s="787" t="s">
        <v>903</v>
      </c>
      <c r="Y97" s="795"/>
      <c r="Z97" s="943"/>
    </row>
    <row r="98" spans="1:26" ht="14.5" hidden="1" customHeight="1">
      <c r="A98" s="841"/>
      <c r="B98" s="842"/>
      <c r="C98" s="842"/>
      <c r="D98" s="842"/>
      <c r="E98" s="882"/>
      <c r="F98" s="947"/>
      <c r="G98" s="11"/>
      <c r="H98" s="841"/>
      <c r="I98" s="842"/>
      <c r="J98" s="853"/>
      <c r="K98" s="37"/>
      <c r="L98" s="37"/>
      <c r="M98" s="841"/>
      <c r="N98" s="842"/>
      <c r="O98" s="885"/>
      <c r="P98" s="842"/>
      <c r="Q98" s="842"/>
      <c r="R98" s="842"/>
      <c r="S98" s="853"/>
      <c r="T98" s="37"/>
      <c r="U98" s="852"/>
      <c r="V98" s="889"/>
      <c r="W98" s="135" t="s">
        <v>304</v>
      </c>
      <c r="X98" s="787"/>
      <c r="Y98" s="795"/>
      <c r="Z98" s="944"/>
    </row>
    <row r="99" spans="1:26" ht="69" hidden="1" customHeight="1">
      <c r="A99" s="841"/>
      <c r="B99" s="842"/>
      <c r="C99" s="842"/>
      <c r="D99" s="842"/>
      <c r="E99" s="882"/>
      <c r="F99" s="948"/>
      <c r="G99" s="11"/>
      <c r="H99" s="841"/>
      <c r="I99" s="842"/>
      <c r="J99" s="853"/>
      <c r="K99" s="37"/>
      <c r="L99" s="37"/>
      <c r="M99" s="841"/>
      <c r="N99" s="842"/>
      <c r="O99" s="885"/>
      <c r="P99" s="842"/>
      <c r="Q99" s="842"/>
      <c r="R99" s="842"/>
      <c r="S99" s="853"/>
      <c r="T99" s="37"/>
      <c r="U99" s="142" t="s">
        <v>565</v>
      </c>
      <c r="V99" s="90" t="s">
        <v>272</v>
      </c>
      <c r="W99" s="90" t="s">
        <v>904</v>
      </c>
      <c r="X99" s="787"/>
      <c r="Y99" s="795"/>
      <c r="Z99" s="945"/>
    </row>
    <row r="100" spans="1:26" ht="89.25" hidden="1" customHeight="1">
      <c r="A100" s="93" t="s">
        <v>905</v>
      </c>
      <c r="B100" s="88" t="s">
        <v>737</v>
      </c>
      <c r="C100" s="88" t="s">
        <v>906</v>
      </c>
      <c r="D100" s="88" t="s">
        <v>294</v>
      </c>
      <c r="E100" s="94" t="s">
        <v>907</v>
      </c>
      <c r="F100" s="44" t="s">
        <v>908</v>
      </c>
      <c r="G100" s="11"/>
      <c r="H100" s="109" t="s">
        <v>909</v>
      </c>
      <c r="I100" s="102" t="s">
        <v>910</v>
      </c>
      <c r="J100" s="159" t="s">
        <v>911</v>
      </c>
      <c r="K100" s="34"/>
      <c r="L100" s="34"/>
      <c r="M100" s="305" t="s">
        <v>268</v>
      </c>
      <c r="N100" s="304" t="s">
        <v>912</v>
      </c>
      <c r="O100" s="365" t="s">
        <v>913</v>
      </c>
      <c r="P100" s="304" t="s">
        <v>5</v>
      </c>
      <c r="Q100" s="304" t="str">
        <f>'PDS - Desenvolvimento'!$K$20</f>
        <v>Concluído</v>
      </c>
      <c r="R100" s="304"/>
      <c r="S100" s="199" t="s">
        <v>5</v>
      </c>
      <c r="T100" s="34"/>
      <c r="U100" s="140" t="s">
        <v>414</v>
      </c>
      <c r="V100" s="131" t="s">
        <v>360</v>
      </c>
      <c r="W100" s="131" t="s">
        <v>415</v>
      </c>
      <c r="X100" s="131" t="s">
        <v>914</v>
      </c>
      <c r="Y100" s="141"/>
      <c r="Z100" s="253"/>
    </row>
    <row r="101" spans="1:26" ht="36.75" hidden="1" customHeight="1">
      <c r="A101" s="95" t="s">
        <v>915</v>
      </c>
      <c r="B101" s="89" t="s">
        <v>737</v>
      </c>
      <c r="C101" s="89" t="s">
        <v>916</v>
      </c>
      <c r="D101" s="89" t="s">
        <v>917</v>
      </c>
      <c r="E101" s="160" t="s">
        <v>918</v>
      </c>
      <c r="F101" s="45" t="s">
        <v>919</v>
      </c>
      <c r="G101" s="11"/>
      <c r="H101" s="95" t="s">
        <v>920</v>
      </c>
      <c r="I101" s="90" t="s">
        <v>921</v>
      </c>
      <c r="J101" s="160" t="s">
        <v>922</v>
      </c>
      <c r="K101" s="37"/>
      <c r="L101" s="37"/>
      <c r="M101" s="95" t="s">
        <v>268</v>
      </c>
      <c r="N101" s="89" t="s">
        <v>923</v>
      </c>
      <c r="O101" s="90" t="s">
        <v>924</v>
      </c>
      <c r="P101" s="89" t="s">
        <v>5</v>
      </c>
      <c r="Q101" s="103" t="str">
        <f>'PDS - Desenvolvimento'!$K$15</f>
        <v>Concluído</v>
      </c>
      <c r="R101" s="451">
        <v>45608</v>
      </c>
      <c r="S101" s="145" t="s">
        <v>5</v>
      </c>
      <c r="T101" s="37"/>
      <c r="U101" s="243" t="s">
        <v>621</v>
      </c>
      <c r="V101" s="106" t="s">
        <v>621</v>
      </c>
      <c r="W101" s="106" t="s">
        <v>621</v>
      </c>
      <c r="X101" s="106" t="s">
        <v>621</v>
      </c>
      <c r="Y101" s="117" t="s">
        <v>621</v>
      </c>
      <c r="Z101" s="254"/>
    </row>
    <row r="102" spans="1:26" ht="43.5" hidden="1" customHeight="1">
      <c r="A102" s="93" t="s">
        <v>925</v>
      </c>
      <c r="B102" s="88" t="s">
        <v>737</v>
      </c>
      <c r="C102" s="88" t="s">
        <v>926</v>
      </c>
      <c r="D102" s="88" t="s">
        <v>322</v>
      </c>
      <c r="E102" s="226" t="s">
        <v>927</v>
      </c>
      <c r="F102" s="44" t="s">
        <v>928</v>
      </c>
      <c r="G102" s="11"/>
      <c r="H102" s="109" t="s">
        <v>929</v>
      </c>
      <c r="I102" s="102" t="s">
        <v>930</v>
      </c>
      <c r="J102" s="159" t="s">
        <v>931</v>
      </c>
      <c r="K102" s="34"/>
      <c r="L102" s="34"/>
      <c r="M102" s="169" t="s">
        <v>268</v>
      </c>
      <c r="N102" s="166" t="s">
        <v>932</v>
      </c>
      <c r="O102" s="355" t="s">
        <v>933</v>
      </c>
      <c r="P102" s="166" t="s">
        <v>5</v>
      </c>
      <c r="Q102" s="122" t="str">
        <f>'PDS - Desenvolvimento'!$K$34</f>
        <v>Concluído</v>
      </c>
      <c r="R102" s="452">
        <v>45608</v>
      </c>
      <c r="S102" s="199" t="s">
        <v>5</v>
      </c>
      <c r="T102" s="34"/>
      <c r="U102" s="140" t="s">
        <v>821</v>
      </c>
      <c r="V102" s="131" t="s">
        <v>869</v>
      </c>
      <c r="W102" s="131" t="s">
        <v>872</v>
      </c>
      <c r="X102" s="131" t="s">
        <v>289</v>
      </c>
      <c r="Y102" s="141"/>
      <c r="Z102" s="253"/>
    </row>
    <row r="103" spans="1:26" ht="14.5" hidden="1" customHeight="1">
      <c r="A103" s="841" t="s">
        <v>934</v>
      </c>
      <c r="B103" s="842" t="s">
        <v>935</v>
      </c>
      <c r="C103" s="842" t="s">
        <v>936</v>
      </c>
      <c r="D103" s="842" t="s">
        <v>294</v>
      </c>
      <c r="E103" s="795" t="s">
        <v>937</v>
      </c>
      <c r="F103" s="946" t="s">
        <v>938</v>
      </c>
      <c r="G103" s="11"/>
      <c r="H103" s="841" t="s">
        <v>939</v>
      </c>
      <c r="I103" s="787" t="s">
        <v>940</v>
      </c>
      <c r="J103" s="795" t="s">
        <v>941</v>
      </c>
      <c r="K103" s="37"/>
      <c r="L103" s="37"/>
      <c r="M103" s="841" t="s">
        <v>268</v>
      </c>
      <c r="N103" s="842" t="s">
        <v>942</v>
      </c>
      <c r="O103" s="787" t="s">
        <v>943</v>
      </c>
      <c r="P103" s="842" t="s">
        <v>5</v>
      </c>
      <c r="Q103" s="842" t="str">
        <f>'PDS - Desenvolvimento'!$K$16</f>
        <v>Concluído</v>
      </c>
      <c r="R103" s="842"/>
      <c r="S103" s="853" t="s">
        <v>5</v>
      </c>
      <c r="T103" s="37"/>
      <c r="U103" s="852" t="s">
        <v>300</v>
      </c>
      <c r="V103" s="889" t="s">
        <v>944</v>
      </c>
      <c r="W103" s="135" t="s">
        <v>302</v>
      </c>
      <c r="X103" s="787" t="s">
        <v>945</v>
      </c>
      <c r="Y103" s="795"/>
      <c r="Z103" s="943"/>
    </row>
    <row r="104" spans="1:26" ht="14.5" hidden="1" customHeight="1">
      <c r="A104" s="841"/>
      <c r="B104" s="842"/>
      <c r="C104" s="842"/>
      <c r="D104" s="842"/>
      <c r="E104" s="795"/>
      <c r="F104" s="947"/>
      <c r="G104" s="11"/>
      <c r="H104" s="841"/>
      <c r="I104" s="787"/>
      <c r="J104" s="795"/>
      <c r="K104" s="37"/>
      <c r="L104" s="37"/>
      <c r="M104" s="841"/>
      <c r="N104" s="842"/>
      <c r="O104" s="787"/>
      <c r="P104" s="842"/>
      <c r="Q104" s="842"/>
      <c r="R104" s="842"/>
      <c r="S104" s="853"/>
      <c r="T104" s="37"/>
      <c r="U104" s="852"/>
      <c r="V104" s="889"/>
      <c r="W104" s="135" t="s">
        <v>304</v>
      </c>
      <c r="X104" s="787"/>
      <c r="Y104" s="795"/>
      <c r="Z104" s="944"/>
    </row>
    <row r="105" spans="1:26" ht="160.5" hidden="1" customHeight="1">
      <c r="A105" s="841"/>
      <c r="B105" s="842"/>
      <c r="C105" s="842"/>
      <c r="D105" s="842"/>
      <c r="E105" s="795"/>
      <c r="F105" s="948"/>
      <c r="G105" s="11"/>
      <c r="H105" s="841"/>
      <c r="I105" s="787"/>
      <c r="J105" s="795"/>
      <c r="K105" s="37"/>
      <c r="L105" s="37"/>
      <c r="M105" s="841"/>
      <c r="N105" s="842"/>
      <c r="O105" s="787"/>
      <c r="P105" s="842"/>
      <c r="Q105" s="842"/>
      <c r="R105" s="842"/>
      <c r="S105" s="853"/>
      <c r="T105" s="37"/>
      <c r="U105" s="142" t="s">
        <v>565</v>
      </c>
      <c r="V105" s="90" t="s">
        <v>272</v>
      </c>
      <c r="W105" s="90" t="s">
        <v>946</v>
      </c>
      <c r="X105" s="787"/>
      <c r="Y105" s="795"/>
      <c r="Z105" s="945"/>
    </row>
    <row r="106" spans="1:26" ht="43.5" hidden="1">
      <c r="A106" s="93" t="s">
        <v>947</v>
      </c>
      <c r="B106" s="88" t="s">
        <v>935</v>
      </c>
      <c r="C106" s="88" t="s">
        <v>948</v>
      </c>
      <c r="D106" s="88" t="s">
        <v>917</v>
      </c>
      <c r="E106" s="226" t="s">
        <v>949</v>
      </c>
      <c r="F106" s="44" t="s">
        <v>950</v>
      </c>
      <c r="G106" s="11"/>
      <c r="H106" s="109" t="s">
        <v>951</v>
      </c>
      <c r="I106" s="102" t="s">
        <v>952</v>
      </c>
      <c r="J106" s="159" t="s">
        <v>953</v>
      </c>
      <c r="K106" s="34"/>
      <c r="L106" s="34"/>
      <c r="M106" s="169" t="s">
        <v>268</v>
      </c>
      <c r="N106" s="166" t="s">
        <v>954</v>
      </c>
      <c r="O106" s="355" t="s">
        <v>955</v>
      </c>
      <c r="P106" s="122" t="s">
        <v>5</v>
      </c>
      <c r="Q106" s="122" t="str">
        <f>'PDS - Desenvolvimento'!$K$14</f>
        <v>Concluído</v>
      </c>
      <c r="R106" s="452">
        <v>45608</v>
      </c>
      <c r="S106" s="125" t="s">
        <v>5</v>
      </c>
      <c r="T106" s="34"/>
      <c r="U106" s="140" t="s">
        <v>565</v>
      </c>
      <c r="V106" s="131" t="s">
        <v>272</v>
      </c>
      <c r="W106" s="131" t="s">
        <v>956</v>
      </c>
      <c r="X106" s="131" t="s">
        <v>289</v>
      </c>
      <c r="Y106" s="141"/>
      <c r="Z106" s="253"/>
    </row>
    <row r="107" spans="1:26" ht="43.5" hidden="1" customHeight="1">
      <c r="A107" s="95" t="s">
        <v>957</v>
      </c>
      <c r="B107" s="89" t="s">
        <v>958</v>
      </c>
      <c r="C107" s="89" t="s">
        <v>959</v>
      </c>
      <c r="D107" s="89" t="s">
        <v>322</v>
      </c>
      <c r="E107" s="96" t="s">
        <v>960</v>
      </c>
      <c r="F107" s="45" t="s">
        <v>961</v>
      </c>
      <c r="G107" s="11"/>
      <c r="H107" s="95" t="s">
        <v>962</v>
      </c>
      <c r="I107" s="90" t="s">
        <v>959</v>
      </c>
      <c r="J107" s="96" t="s">
        <v>963</v>
      </c>
      <c r="K107" s="37"/>
      <c r="L107" s="37"/>
      <c r="M107" s="95" t="s">
        <v>268</v>
      </c>
      <c r="N107" s="89" t="s">
        <v>964</v>
      </c>
      <c r="O107" s="90" t="s">
        <v>965</v>
      </c>
      <c r="P107" s="89" t="s">
        <v>5</v>
      </c>
      <c r="Q107" s="103" t="str">
        <f>'PDS - Desenvolvimento'!$K$40</f>
        <v>Concluído</v>
      </c>
      <c r="R107" s="451">
        <v>45608</v>
      </c>
      <c r="S107" s="145" t="s">
        <v>5</v>
      </c>
      <c r="T107" s="37"/>
      <c r="U107" s="142" t="s">
        <v>966</v>
      </c>
      <c r="V107" s="90" t="s">
        <v>272</v>
      </c>
      <c r="W107" s="90" t="s">
        <v>967</v>
      </c>
      <c r="X107" s="90" t="s">
        <v>289</v>
      </c>
      <c r="Y107" s="96"/>
      <c r="Z107" s="254"/>
    </row>
    <row r="108" spans="1:26" ht="14.5" hidden="1" customHeight="1">
      <c r="A108" s="836" t="s">
        <v>968</v>
      </c>
      <c r="B108" s="835" t="s">
        <v>737</v>
      </c>
      <c r="C108" s="835" t="s">
        <v>969</v>
      </c>
      <c r="D108" s="835" t="s">
        <v>322</v>
      </c>
      <c r="E108" s="815" t="s">
        <v>970</v>
      </c>
      <c r="F108" s="949" t="s">
        <v>971</v>
      </c>
      <c r="G108" s="11"/>
      <c r="H108" s="821" t="s">
        <v>972</v>
      </c>
      <c r="I108" s="827" t="s">
        <v>969</v>
      </c>
      <c r="J108" s="830" t="s">
        <v>973</v>
      </c>
      <c r="K108" s="34"/>
      <c r="L108" s="34"/>
      <c r="M108" s="898" t="s">
        <v>268</v>
      </c>
      <c r="N108" s="900" t="s">
        <v>974</v>
      </c>
      <c r="O108" s="903" t="s">
        <v>975</v>
      </c>
      <c r="P108" s="784" t="s">
        <v>5</v>
      </c>
      <c r="Q108" s="784" t="str">
        <f>'PDS - Desenvolvimento'!$K$30</f>
        <v>Concluído</v>
      </c>
      <c r="R108" s="985">
        <v>45608</v>
      </c>
      <c r="S108" s="909" t="s">
        <v>5</v>
      </c>
      <c r="T108" s="34"/>
      <c r="U108" s="798" t="s">
        <v>821</v>
      </c>
      <c r="V108" s="793" t="s">
        <v>869</v>
      </c>
      <c r="W108" s="246" t="s">
        <v>976</v>
      </c>
      <c r="X108" s="793" t="s">
        <v>977</v>
      </c>
      <c r="Y108" s="791"/>
      <c r="Z108" s="955"/>
    </row>
    <row r="109" spans="1:26" ht="15" hidden="1" customHeight="1">
      <c r="A109" s="836"/>
      <c r="B109" s="835"/>
      <c r="C109" s="835"/>
      <c r="D109" s="835"/>
      <c r="E109" s="815"/>
      <c r="F109" s="950"/>
      <c r="G109" s="11"/>
      <c r="H109" s="821"/>
      <c r="I109" s="827"/>
      <c r="J109" s="830"/>
      <c r="K109" s="34"/>
      <c r="L109" s="34"/>
      <c r="M109" s="898"/>
      <c r="N109" s="900"/>
      <c r="O109" s="903"/>
      <c r="P109" s="784"/>
      <c r="Q109" s="784"/>
      <c r="R109" s="986"/>
      <c r="S109" s="909"/>
      <c r="T109" s="34"/>
      <c r="U109" s="798"/>
      <c r="V109" s="793"/>
      <c r="W109" s="246" t="s">
        <v>978</v>
      </c>
      <c r="X109" s="793"/>
      <c r="Y109" s="791"/>
      <c r="Z109" s="957"/>
    </row>
    <row r="110" spans="1:26" ht="15" hidden="1" customHeight="1">
      <c r="A110" s="836"/>
      <c r="B110" s="835"/>
      <c r="C110" s="835"/>
      <c r="D110" s="835"/>
      <c r="E110" s="815"/>
      <c r="F110" s="950"/>
      <c r="G110" s="11"/>
      <c r="H110" s="821"/>
      <c r="I110" s="827"/>
      <c r="J110" s="830"/>
      <c r="K110" s="34"/>
      <c r="L110" s="34"/>
      <c r="M110" s="898"/>
      <c r="N110" s="900"/>
      <c r="O110" s="903"/>
      <c r="P110" s="784"/>
      <c r="Q110" s="784"/>
      <c r="R110" s="986"/>
      <c r="S110" s="909"/>
      <c r="T110" s="34"/>
      <c r="U110" s="798"/>
      <c r="V110" s="793"/>
      <c r="W110" s="246" t="s">
        <v>979</v>
      </c>
      <c r="X110" s="793"/>
      <c r="Y110" s="791"/>
      <c r="Z110" s="957"/>
    </row>
    <row r="111" spans="1:26" ht="15" hidden="1" customHeight="1">
      <c r="A111" s="836"/>
      <c r="B111" s="835"/>
      <c r="C111" s="835"/>
      <c r="D111" s="835"/>
      <c r="E111" s="815"/>
      <c r="F111" s="950"/>
      <c r="G111" s="11"/>
      <c r="H111" s="821"/>
      <c r="I111" s="827"/>
      <c r="J111" s="830"/>
      <c r="K111" s="34"/>
      <c r="L111" s="34"/>
      <c r="M111" s="898"/>
      <c r="N111" s="900"/>
      <c r="O111" s="903"/>
      <c r="P111" s="784"/>
      <c r="Q111" s="784"/>
      <c r="R111" s="986"/>
      <c r="S111" s="909"/>
      <c r="T111" s="34"/>
      <c r="U111" s="798"/>
      <c r="V111" s="793"/>
      <c r="W111" s="246" t="s">
        <v>980</v>
      </c>
      <c r="X111" s="793"/>
      <c r="Y111" s="791"/>
      <c r="Z111" s="957"/>
    </row>
    <row r="112" spans="1:26" ht="15" hidden="1" customHeight="1">
      <c r="A112" s="836"/>
      <c r="B112" s="835"/>
      <c r="C112" s="835"/>
      <c r="D112" s="835"/>
      <c r="E112" s="815"/>
      <c r="F112" s="950"/>
      <c r="G112" s="11"/>
      <c r="H112" s="821"/>
      <c r="I112" s="827"/>
      <c r="J112" s="830"/>
      <c r="K112" s="34"/>
      <c r="L112" s="34"/>
      <c r="M112" s="898"/>
      <c r="N112" s="900"/>
      <c r="O112" s="903"/>
      <c r="P112" s="784"/>
      <c r="Q112" s="784"/>
      <c r="R112" s="986"/>
      <c r="S112" s="909"/>
      <c r="T112" s="34"/>
      <c r="U112" s="798"/>
      <c r="V112" s="793"/>
      <c r="W112" s="246" t="s">
        <v>981</v>
      </c>
      <c r="X112" s="793"/>
      <c r="Y112" s="791"/>
      <c r="Z112" s="957"/>
    </row>
    <row r="113" spans="1:26" ht="15" hidden="1" customHeight="1">
      <c r="A113" s="836"/>
      <c r="B113" s="835"/>
      <c r="C113" s="835"/>
      <c r="D113" s="835"/>
      <c r="E113" s="815"/>
      <c r="F113" s="950"/>
      <c r="G113" s="11"/>
      <c r="H113" s="821"/>
      <c r="I113" s="827"/>
      <c r="J113" s="830"/>
      <c r="K113" s="34"/>
      <c r="L113" s="34"/>
      <c r="M113" s="898"/>
      <c r="N113" s="900"/>
      <c r="O113" s="903"/>
      <c r="P113" s="784"/>
      <c r="Q113" s="784"/>
      <c r="R113" s="986"/>
      <c r="S113" s="909"/>
      <c r="T113" s="34"/>
      <c r="U113" s="798"/>
      <c r="V113" s="793"/>
      <c r="W113" s="246" t="s">
        <v>982</v>
      </c>
      <c r="X113" s="793"/>
      <c r="Y113" s="791"/>
      <c r="Z113" s="957"/>
    </row>
    <row r="114" spans="1:26" ht="15" hidden="1" customHeight="1">
      <c r="A114" s="836"/>
      <c r="B114" s="835"/>
      <c r="C114" s="835"/>
      <c r="D114" s="835"/>
      <c r="E114" s="815"/>
      <c r="F114" s="950"/>
      <c r="G114" s="11"/>
      <c r="H114" s="821"/>
      <c r="I114" s="827"/>
      <c r="J114" s="830"/>
      <c r="K114" s="34"/>
      <c r="L114" s="34"/>
      <c r="M114" s="898"/>
      <c r="N114" s="900"/>
      <c r="O114" s="903"/>
      <c r="P114" s="784"/>
      <c r="Q114" s="784"/>
      <c r="R114" s="986"/>
      <c r="S114" s="909"/>
      <c r="T114" s="34"/>
      <c r="U114" s="798"/>
      <c r="V114" s="793"/>
      <c r="W114" s="246" t="s">
        <v>983</v>
      </c>
      <c r="X114" s="793"/>
      <c r="Y114" s="791"/>
      <c r="Z114" s="957"/>
    </row>
    <row r="115" spans="1:26" ht="15" hidden="1" customHeight="1">
      <c r="A115" s="836"/>
      <c r="B115" s="835"/>
      <c r="C115" s="835"/>
      <c r="D115" s="835"/>
      <c r="E115" s="815"/>
      <c r="F115" s="950"/>
      <c r="G115" s="11"/>
      <c r="H115" s="821"/>
      <c r="I115" s="827"/>
      <c r="J115" s="830"/>
      <c r="K115" s="34"/>
      <c r="L115" s="34"/>
      <c r="M115" s="898"/>
      <c r="N115" s="900"/>
      <c r="O115" s="903"/>
      <c r="P115" s="784"/>
      <c r="Q115" s="784"/>
      <c r="R115" s="986"/>
      <c r="S115" s="909"/>
      <c r="T115" s="34"/>
      <c r="U115" s="798"/>
      <c r="V115" s="793"/>
      <c r="W115" s="246" t="s">
        <v>984</v>
      </c>
      <c r="X115" s="793"/>
      <c r="Y115" s="791"/>
      <c r="Z115" s="957"/>
    </row>
    <row r="116" spans="1:26" ht="15" hidden="1" customHeight="1">
      <c r="A116" s="836"/>
      <c r="B116" s="835"/>
      <c r="C116" s="835"/>
      <c r="D116" s="835"/>
      <c r="E116" s="815"/>
      <c r="F116" s="950"/>
      <c r="G116" s="11"/>
      <c r="H116" s="821"/>
      <c r="I116" s="827"/>
      <c r="J116" s="830"/>
      <c r="K116" s="34"/>
      <c r="L116" s="34"/>
      <c r="M116" s="898"/>
      <c r="N116" s="900"/>
      <c r="O116" s="903"/>
      <c r="P116" s="784"/>
      <c r="Q116" s="784"/>
      <c r="R116" s="986"/>
      <c r="S116" s="909"/>
      <c r="T116" s="34"/>
      <c r="U116" s="798"/>
      <c r="V116" s="793"/>
      <c r="W116" s="246" t="s">
        <v>985</v>
      </c>
      <c r="X116" s="793"/>
      <c r="Y116" s="791"/>
      <c r="Z116" s="957"/>
    </row>
    <row r="117" spans="1:26" ht="15" hidden="1" customHeight="1">
      <c r="A117" s="836"/>
      <c r="B117" s="835"/>
      <c r="C117" s="835"/>
      <c r="D117" s="835"/>
      <c r="E117" s="815"/>
      <c r="F117" s="950"/>
      <c r="G117" s="11"/>
      <c r="H117" s="821"/>
      <c r="I117" s="827"/>
      <c r="J117" s="830"/>
      <c r="K117" s="34"/>
      <c r="L117" s="34"/>
      <c r="M117" s="898"/>
      <c r="N117" s="900"/>
      <c r="O117" s="903"/>
      <c r="P117" s="784"/>
      <c r="Q117" s="784"/>
      <c r="R117" s="986"/>
      <c r="S117" s="909"/>
      <c r="T117" s="34"/>
      <c r="U117" s="798"/>
      <c r="V117" s="793"/>
      <c r="W117" s="246" t="s">
        <v>986</v>
      </c>
      <c r="X117" s="793"/>
      <c r="Y117" s="791"/>
      <c r="Z117" s="957"/>
    </row>
    <row r="118" spans="1:26" ht="15" hidden="1" customHeight="1">
      <c r="A118" s="836"/>
      <c r="B118" s="835"/>
      <c r="C118" s="835"/>
      <c r="D118" s="835"/>
      <c r="E118" s="815"/>
      <c r="F118" s="950"/>
      <c r="G118" s="11"/>
      <c r="H118" s="821"/>
      <c r="I118" s="827"/>
      <c r="J118" s="830"/>
      <c r="K118" s="34"/>
      <c r="L118" s="34"/>
      <c r="M118" s="898"/>
      <c r="N118" s="900"/>
      <c r="O118" s="903"/>
      <c r="P118" s="784"/>
      <c r="Q118" s="784"/>
      <c r="R118" s="986"/>
      <c r="S118" s="909"/>
      <c r="T118" s="34"/>
      <c r="U118" s="798"/>
      <c r="V118" s="793"/>
      <c r="W118" s="246" t="s">
        <v>987</v>
      </c>
      <c r="X118" s="793"/>
      <c r="Y118" s="791"/>
      <c r="Z118" s="957"/>
    </row>
    <row r="119" spans="1:26" ht="15" hidden="1" customHeight="1">
      <c r="A119" s="836"/>
      <c r="B119" s="835"/>
      <c r="C119" s="835"/>
      <c r="D119" s="835"/>
      <c r="E119" s="815"/>
      <c r="F119" s="950"/>
      <c r="G119" s="11"/>
      <c r="H119" s="821"/>
      <c r="I119" s="827"/>
      <c r="J119" s="830"/>
      <c r="K119" s="34"/>
      <c r="L119" s="34"/>
      <c r="M119" s="898"/>
      <c r="N119" s="900"/>
      <c r="O119" s="903"/>
      <c r="P119" s="784"/>
      <c r="Q119" s="784"/>
      <c r="R119" s="986"/>
      <c r="S119" s="909"/>
      <c r="T119" s="34"/>
      <c r="U119" s="798"/>
      <c r="V119" s="793"/>
      <c r="W119" s="246" t="s">
        <v>988</v>
      </c>
      <c r="X119" s="793"/>
      <c r="Y119" s="791"/>
      <c r="Z119" s="957"/>
    </row>
    <row r="120" spans="1:26" ht="15" hidden="1" customHeight="1">
      <c r="A120" s="836"/>
      <c r="B120" s="835"/>
      <c r="C120" s="835"/>
      <c r="D120" s="835"/>
      <c r="E120" s="815"/>
      <c r="F120" s="950"/>
      <c r="G120" s="11"/>
      <c r="H120" s="821"/>
      <c r="I120" s="827"/>
      <c r="J120" s="830"/>
      <c r="K120" s="34"/>
      <c r="L120" s="34"/>
      <c r="M120" s="898"/>
      <c r="N120" s="900"/>
      <c r="O120" s="903"/>
      <c r="P120" s="784"/>
      <c r="Q120" s="784"/>
      <c r="R120" s="986"/>
      <c r="S120" s="909"/>
      <c r="T120" s="34"/>
      <c r="U120" s="798"/>
      <c r="V120" s="793"/>
      <c r="W120" s="246" t="s">
        <v>989</v>
      </c>
      <c r="X120" s="793"/>
      <c r="Y120" s="791"/>
      <c r="Z120" s="957"/>
    </row>
    <row r="121" spans="1:26" ht="15" hidden="1" customHeight="1">
      <c r="A121" s="836"/>
      <c r="B121" s="835"/>
      <c r="C121" s="835"/>
      <c r="D121" s="835"/>
      <c r="E121" s="815"/>
      <c r="F121" s="950"/>
      <c r="G121" s="11"/>
      <c r="H121" s="821"/>
      <c r="I121" s="827"/>
      <c r="J121" s="830"/>
      <c r="K121" s="34"/>
      <c r="L121" s="34"/>
      <c r="M121" s="898"/>
      <c r="N121" s="900"/>
      <c r="O121" s="903"/>
      <c r="P121" s="784"/>
      <c r="Q121" s="784"/>
      <c r="R121" s="986"/>
      <c r="S121" s="909"/>
      <c r="T121" s="34"/>
      <c r="U121" s="798"/>
      <c r="V121" s="793"/>
      <c r="W121" s="246" t="s">
        <v>990</v>
      </c>
      <c r="X121" s="793"/>
      <c r="Y121" s="791"/>
      <c r="Z121" s="957"/>
    </row>
    <row r="122" spans="1:26" ht="15" hidden="1" customHeight="1">
      <c r="A122" s="836"/>
      <c r="B122" s="835"/>
      <c r="C122" s="835"/>
      <c r="D122" s="835"/>
      <c r="E122" s="815"/>
      <c r="F122" s="950"/>
      <c r="G122" s="11"/>
      <c r="H122" s="821"/>
      <c r="I122" s="827"/>
      <c r="J122" s="830"/>
      <c r="K122" s="34"/>
      <c r="L122" s="34"/>
      <c r="M122" s="898"/>
      <c r="N122" s="900"/>
      <c r="O122" s="903"/>
      <c r="P122" s="784"/>
      <c r="Q122" s="784"/>
      <c r="R122" s="986"/>
      <c r="S122" s="909"/>
      <c r="T122" s="34"/>
      <c r="U122" s="798"/>
      <c r="V122" s="793"/>
      <c r="W122" s="246" t="s">
        <v>991</v>
      </c>
      <c r="X122" s="793"/>
      <c r="Y122" s="791"/>
      <c r="Z122" s="957"/>
    </row>
    <row r="123" spans="1:26" ht="15" hidden="1" customHeight="1">
      <c r="A123" s="836"/>
      <c r="B123" s="835"/>
      <c r="C123" s="835"/>
      <c r="D123" s="835"/>
      <c r="E123" s="815"/>
      <c r="F123" s="950"/>
      <c r="G123" s="11"/>
      <c r="H123" s="821"/>
      <c r="I123" s="827"/>
      <c r="J123" s="830"/>
      <c r="K123" s="34"/>
      <c r="L123" s="34"/>
      <c r="M123" s="898"/>
      <c r="N123" s="900"/>
      <c r="O123" s="903"/>
      <c r="P123" s="784"/>
      <c r="Q123" s="784"/>
      <c r="R123" s="986"/>
      <c r="S123" s="909"/>
      <c r="T123" s="34"/>
      <c r="U123" s="798"/>
      <c r="V123" s="793"/>
      <c r="W123" s="246" t="s">
        <v>992</v>
      </c>
      <c r="X123" s="793"/>
      <c r="Y123" s="791"/>
      <c r="Z123" s="957"/>
    </row>
    <row r="124" spans="1:26" ht="15" hidden="1" customHeight="1">
      <c r="A124" s="836"/>
      <c r="B124" s="835"/>
      <c r="C124" s="835"/>
      <c r="D124" s="835"/>
      <c r="E124" s="815"/>
      <c r="F124" s="950"/>
      <c r="G124" s="11"/>
      <c r="H124" s="821"/>
      <c r="I124" s="827"/>
      <c r="J124" s="830"/>
      <c r="K124" s="34"/>
      <c r="L124" s="34"/>
      <c r="M124" s="898"/>
      <c r="N124" s="900"/>
      <c r="O124" s="903"/>
      <c r="P124" s="784"/>
      <c r="Q124" s="784"/>
      <c r="R124" s="986"/>
      <c r="S124" s="909"/>
      <c r="T124" s="34"/>
      <c r="U124" s="798"/>
      <c r="V124" s="793"/>
      <c r="W124" s="246" t="s">
        <v>993</v>
      </c>
      <c r="X124" s="793"/>
      <c r="Y124" s="791"/>
      <c r="Z124" s="957"/>
    </row>
    <row r="125" spans="1:26" ht="15" hidden="1" customHeight="1">
      <c r="A125" s="836"/>
      <c r="B125" s="835"/>
      <c r="C125" s="835"/>
      <c r="D125" s="835"/>
      <c r="E125" s="815"/>
      <c r="F125" s="950"/>
      <c r="G125" s="11"/>
      <c r="H125" s="821"/>
      <c r="I125" s="827"/>
      <c r="J125" s="830"/>
      <c r="K125" s="34"/>
      <c r="L125" s="34"/>
      <c r="M125" s="898"/>
      <c r="N125" s="900"/>
      <c r="O125" s="903"/>
      <c r="P125" s="784"/>
      <c r="Q125" s="784"/>
      <c r="R125" s="986"/>
      <c r="S125" s="909"/>
      <c r="T125" s="34"/>
      <c r="U125" s="798"/>
      <c r="V125" s="793"/>
      <c r="W125" s="246" t="s">
        <v>994</v>
      </c>
      <c r="X125" s="793"/>
      <c r="Y125" s="791"/>
      <c r="Z125" s="957"/>
    </row>
    <row r="126" spans="1:26" ht="15" hidden="1" customHeight="1">
      <c r="A126" s="836"/>
      <c r="B126" s="835"/>
      <c r="C126" s="835"/>
      <c r="D126" s="835"/>
      <c r="E126" s="815"/>
      <c r="F126" s="950"/>
      <c r="G126" s="11"/>
      <c r="H126" s="821"/>
      <c r="I126" s="827"/>
      <c r="J126" s="830"/>
      <c r="K126" s="34"/>
      <c r="L126" s="34"/>
      <c r="M126" s="898"/>
      <c r="N126" s="900"/>
      <c r="O126" s="903"/>
      <c r="P126" s="784"/>
      <c r="Q126" s="784"/>
      <c r="R126" s="986"/>
      <c r="S126" s="909"/>
      <c r="T126" s="34"/>
      <c r="U126" s="798"/>
      <c r="V126" s="793"/>
      <c r="W126" s="246" t="s">
        <v>995</v>
      </c>
      <c r="X126" s="793"/>
      <c r="Y126" s="791"/>
      <c r="Z126" s="957"/>
    </row>
    <row r="127" spans="1:26" ht="15" hidden="1" customHeight="1">
      <c r="A127" s="836"/>
      <c r="B127" s="835"/>
      <c r="C127" s="835"/>
      <c r="D127" s="835"/>
      <c r="E127" s="815"/>
      <c r="F127" s="950"/>
      <c r="G127" s="11"/>
      <c r="H127" s="821"/>
      <c r="I127" s="827"/>
      <c r="J127" s="830"/>
      <c r="K127" s="34"/>
      <c r="L127" s="34"/>
      <c r="M127" s="898"/>
      <c r="N127" s="900"/>
      <c r="O127" s="903"/>
      <c r="P127" s="784"/>
      <c r="Q127" s="784"/>
      <c r="R127" s="986"/>
      <c r="S127" s="909"/>
      <c r="T127" s="34"/>
      <c r="U127" s="798"/>
      <c r="V127" s="793"/>
      <c r="W127" s="246" t="s">
        <v>996</v>
      </c>
      <c r="X127" s="793"/>
      <c r="Y127" s="791"/>
      <c r="Z127" s="957"/>
    </row>
    <row r="128" spans="1:26" ht="15" hidden="1" customHeight="1">
      <c r="A128" s="836"/>
      <c r="B128" s="835"/>
      <c r="C128" s="835"/>
      <c r="D128" s="835"/>
      <c r="E128" s="815"/>
      <c r="F128" s="950"/>
      <c r="G128" s="11"/>
      <c r="H128" s="821"/>
      <c r="I128" s="827"/>
      <c r="J128" s="830"/>
      <c r="K128" s="34"/>
      <c r="L128" s="34"/>
      <c r="M128" s="898"/>
      <c r="N128" s="900"/>
      <c r="O128" s="903"/>
      <c r="P128" s="784"/>
      <c r="Q128" s="784"/>
      <c r="R128" s="986"/>
      <c r="S128" s="909"/>
      <c r="T128" s="34"/>
      <c r="U128" s="798"/>
      <c r="V128" s="793"/>
      <c r="W128" s="246" t="s">
        <v>997</v>
      </c>
      <c r="X128" s="793"/>
      <c r="Y128" s="791"/>
      <c r="Z128" s="957"/>
    </row>
    <row r="129" spans="1:26" ht="15" hidden="1" customHeight="1">
      <c r="A129" s="836"/>
      <c r="B129" s="835"/>
      <c r="C129" s="835"/>
      <c r="D129" s="835"/>
      <c r="E129" s="815"/>
      <c r="F129" s="950"/>
      <c r="G129" s="11"/>
      <c r="H129" s="821"/>
      <c r="I129" s="827"/>
      <c r="J129" s="830"/>
      <c r="K129" s="34"/>
      <c r="L129" s="34"/>
      <c r="M129" s="898"/>
      <c r="N129" s="900"/>
      <c r="O129" s="903"/>
      <c r="P129" s="784"/>
      <c r="Q129" s="784"/>
      <c r="R129" s="986"/>
      <c r="S129" s="909"/>
      <c r="T129" s="34"/>
      <c r="U129" s="798"/>
      <c r="V129" s="793"/>
      <c r="W129" s="246" t="s">
        <v>998</v>
      </c>
      <c r="X129" s="793"/>
      <c r="Y129" s="791"/>
      <c r="Z129" s="957"/>
    </row>
    <row r="130" spans="1:26" ht="15" hidden="1" customHeight="1">
      <c r="A130" s="836"/>
      <c r="B130" s="835"/>
      <c r="C130" s="835"/>
      <c r="D130" s="835"/>
      <c r="E130" s="815"/>
      <c r="F130" s="950"/>
      <c r="G130" s="11"/>
      <c r="H130" s="821"/>
      <c r="I130" s="827"/>
      <c r="J130" s="830"/>
      <c r="K130" s="34"/>
      <c r="L130" s="34"/>
      <c r="M130" s="898"/>
      <c r="N130" s="900"/>
      <c r="O130" s="903"/>
      <c r="P130" s="784"/>
      <c r="Q130" s="784"/>
      <c r="R130" s="986"/>
      <c r="S130" s="909"/>
      <c r="T130" s="34"/>
      <c r="U130" s="798"/>
      <c r="V130" s="793"/>
      <c r="W130" s="246" t="s">
        <v>999</v>
      </c>
      <c r="X130" s="793"/>
      <c r="Y130" s="791"/>
      <c r="Z130" s="957"/>
    </row>
    <row r="131" spans="1:26" ht="15" hidden="1" customHeight="1">
      <c r="A131" s="836"/>
      <c r="B131" s="835"/>
      <c r="C131" s="835"/>
      <c r="D131" s="835"/>
      <c r="E131" s="815"/>
      <c r="F131" s="950"/>
      <c r="G131" s="11"/>
      <c r="H131" s="821"/>
      <c r="I131" s="827"/>
      <c r="J131" s="830"/>
      <c r="K131" s="34"/>
      <c r="L131" s="34"/>
      <c r="M131" s="898"/>
      <c r="N131" s="900"/>
      <c r="O131" s="903"/>
      <c r="P131" s="784"/>
      <c r="Q131" s="784"/>
      <c r="R131" s="986"/>
      <c r="S131" s="909"/>
      <c r="T131" s="34"/>
      <c r="U131" s="798"/>
      <c r="V131" s="793"/>
      <c r="W131" s="246" t="s">
        <v>1000</v>
      </c>
      <c r="X131" s="793"/>
      <c r="Y131" s="791"/>
      <c r="Z131" s="957"/>
    </row>
    <row r="132" spans="1:26" ht="14.5" hidden="1" customHeight="1">
      <c r="A132" s="836"/>
      <c r="B132" s="835"/>
      <c r="C132" s="835"/>
      <c r="D132" s="835"/>
      <c r="E132" s="815"/>
      <c r="F132" s="950"/>
      <c r="G132" s="11"/>
      <c r="H132" s="821"/>
      <c r="I132" s="827"/>
      <c r="J132" s="830"/>
      <c r="K132" s="34"/>
      <c r="L132" s="34"/>
      <c r="M132" s="898"/>
      <c r="N132" s="900"/>
      <c r="O132" s="903"/>
      <c r="P132" s="784"/>
      <c r="Q132" s="784"/>
      <c r="R132" s="986"/>
      <c r="S132" s="909"/>
      <c r="T132" s="34"/>
      <c r="U132" s="798"/>
      <c r="V132" s="793"/>
      <c r="W132" s="131" t="s">
        <v>870</v>
      </c>
      <c r="X132" s="793"/>
      <c r="Y132" s="791"/>
      <c r="Z132" s="957"/>
    </row>
    <row r="133" spans="1:26" ht="14.5" hidden="1" customHeight="1">
      <c r="A133" s="836"/>
      <c r="B133" s="835"/>
      <c r="C133" s="835"/>
      <c r="D133" s="835"/>
      <c r="E133" s="815"/>
      <c r="F133" s="950"/>
      <c r="G133" s="11"/>
      <c r="H133" s="821"/>
      <c r="I133" s="827"/>
      <c r="J133" s="830"/>
      <c r="K133" s="34"/>
      <c r="L133" s="34"/>
      <c r="M133" s="898"/>
      <c r="N133" s="900"/>
      <c r="O133" s="903"/>
      <c r="P133" s="784"/>
      <c r="Q133" s="784"/>
      <c r="R133" s="986"/>
      <c r="S133" s="909"/>
      <c r="T133" s="34"/>
      <c r="U133" s="798"/>
      <c r="V133" s="793"/>
      <c r="W133" s="131" t="s">
        <v>1001</v>
      </c>
      <c r="X133" s="793"/>
      <c r="Y133" s="791"/>
      <c r="Z133" s="957"/>
    </row>
    <row r="134" spans="1:26" ht="11.25" hidden="1" customHeight="1">
      <c r="A134" s="836"/>
      <c r="B134" s="835"/>
      <c r="C134" s="835"/>
      <c r="D134" s="835"/>
      <c r="E134" s="815"/>
      <c r="F134" s="951"/>
      <c r="G134" s="11"/>
      <c r="H134" s="821"/>
      <c r="I134" s="827"/>
      <c r="J134" s="830"/>
      <c r="K134" s="34"/>
      <c r="L134" s="34"/>
      <c r="M134" s="898"/>
      <c r="N134" s="900"/>
      <c r="O134" s="903"/>
      <c r="P134" s="784"/>
      <c r="Q134" s="784"/>
      <c r="R134" s="987"/>
      <c r="S134" s="909"/>
      <c r="T134" s="34"/>
      <c r="U134" s="798"/>
      <c r="V134" s="793"/>
      <c r="W134" s="131" t="s">
        <v>1002</v>
      </c>
      <c r="X134" s="793"/>
      <c r="Y134" s="791"/>
      <c r="Z134" s="956"/>
    </row>
    <row r="135" spans="1:26" ht="14.5" hidden="1" customHeight="1">
      <c r="A135" s="841" t="s">
        <v>1003</v>
      </c>
      <c r="B135" s="842" t="s">
        <v>737</v>
      </c>
      <c r="C135" s="842" t="s">
        <v>1004</v>
      </c>
      <c r="D135" s="842" t="s">
        <v>294</v>
      </c>
      <c r="E135" s="795" t="s">
        <v>1005</v>
      </c>
      <c r="F135" s="946" t="s">
        <v>1006</v>
      </c>
      <c r="G135" s="11"/>
      <c r="H135" s="841" t="s">
        <v>50</v>
      </c>
      <c r="I135" s="942" t="s">
        <v>50</v>
      </c>
      <c r="J135" s="1009" t="s">
        <v>50</v>
      </c>
      <c r="K135" s="37"/>
      <c r="L135" s="37"/>
      <c r="M135" s="841" t="s">
        <v>268</v>
      </c>
      <c r="N135" s="842" t="s">
        <v>1007</v>
      </c>
      <c r="O135" s="885" t="s">
        <v>1008</v>
      </c>
      <c r="P135" s="842" t="s">
        <v>5</v>
      </c>
      <c r="Q135" s="842" t="str">
        <f>'PDS - Desenvolvimento'!$K$67</f>
        <v>Concluído</v>
      </c>
      <c r="R135" s="842"/>
      <c r="S135" s="853" t="s">
        <v>5</v>
      </c>
      <c r="T135" s="37"/>
      <c r="U135" s="852" t="s">
        <v>300</v>
      </c>
      <c r="V135" s="889" t="s">
        <v>1009</v>
      </c>
      <c r="W135" s="135" t="s">
        <v>302</v>
      </c>
      <c r="X135" s="833" t="s">
        <v>844</v>
      </c>
      <c r="Y135" s="795"/>
      <c r="Z135" s="943"/>
    </row>
    <row r="136" spans="1:26" ht="14.5" hidden="1" customHeight="1">
      <c r="A136" s="841"/>
      <c r="B136" s="842"/>
      <c r="C136" s="842"/>
      <c r="D136" s="842"/>
      <c r="E136" s="795"/>
      <c r="F136" s="947"/>
      <c r="G136" s="11"/>
      <c r="H136" s="841"/>
      <c r="I136" s="842"/>
      <c r="J136" s="853"/>
      <c r="K136" s="37"/>
      <c r="L136" s="37"/>
      <c r="M136" s="841"/>
      <c r="N136" s="842"/>
      <c r="O136" s="885"/>
      <c r="P136" s="842"/>
      <c r="Q136" s="842"/>
      <c r="R136" s="842"/>
      <c r="S136" s="853"/>
      <c r="T136" s="37"/>
      <c r="U136" s="852"/>
      <c r="V136" s="889"/>
      <c r="W136" s="135" t="s">
        <v>304</v>
      </c>
      <c r="X136" s="833"/>
      <c r="Y136" s="795"/>
      <c r="Z136" s="944"/>
    </row>
    <row r="137" spans="1:26" ht="14.5" hidden="1" customHeight="1">
      <c r="A137" s="841"/>
      <c r="B137" s="842"/>
      <c r="C137" s="842"/>
      <c r="D137" s="842"/>
      <c r="E137" s="795"/>
      <c r="F137" s="947"/>
      <c r="G137" s="11"/>
      <c r="H137" s="841"/>
      <c r="I137" s="842"/>
      <c r="J137" s="853"/>
      <c r="K137" s="37"/>
      <c r="L137" s="37"/>
      <c r="M137" s="841"/>
      <c r="N137" s="842"/>
      <c r="O137" s="885"/>
      <c r="P137" s="842"/>
      <c r="Q137" s="842"/>
      <c r="R137" s="842"/>
      <c r="S137" s="853"/>
      <c r="T137" s="37"/>
      <c r="U137" s="852" t="s">
        <v>317</v>
      </c>
      <c r="V137" s="889" t="s">
        <v>272</v>
      </c>
      <c r="W137" s="135" t="s">
        <v>273</v>
      </c>
      <c r="X137" s="833"/>
      <c r="Y137" s="795"/>
      <c r="Z137" s="944"/>
    </row>
    <row r="138" spans="1:26" ht="14.5" hidden="1" customHeight="1">
      <c r="A138" s="841"/>
      <c r="B138" s="842"/>
      <c r="C138" s="842"/>
      <c r="D138" s="842"/>
      <c r="E138" s="795"/>
      <c r="F138" s="947"/>
      <c r="G138" s="11"/>
      <c r="H138" s="841"/>
      <c r="I138" s="842"/>
      <c r="J138" s="853"/>
      <c r="K138" s="37"/>
      <c r="L138" s="37"/>
      <c r="M138" s="841"/>
      <c r="N138" s="842"/>
      <c r="O138" s="885"/>
      <c r="P138" s="842"/>
      <c r="Q138" s="842"/>
      <c r="R138" s="842"/>
      <c r="S138" s="853"/>
      <c r="T138" s="37"/>
      <c r="U138" s="852"/>
      <c r="V138" s="889"/>
      <c r="W138" s="135" t="s">
        <v>276</v>
      </c>
      <c r="X138" s="833"/>
      <c r="Y138" s="795"/>
      <c r="Z138" s="944"/>
    </row>
    <row r="139" spans="1:26" ht="14.5" hidden="1" customHeight="1">
      <c r="A139" s="841"/>
      <c r="B139" s="842"/>
      <c r="C139" s="842"/>
      <c r="D139" s="842"/>
      <c r="E139" s="795"/>
      <c r="F139" s="947"/>
      <c r="G139" s="11"/>
      <c r="H139" s="841"/>
      <c r="I139" s="842"/>
      <c r="J139" s="853"/>
      <c r="K139" s="37"/>
      <c r="L139" s="37"/>
      <c r="M139" s="841"/>
      <c r="N139" s="842"/>
      <c r="O139" s="885"/>
      <c r="P139" s="842"/>
      <c r="Q139" s="842"/>
      <c r="R139" s="842"/>
      <c r="S139" s="853"/>
      <c r="T139" s="37"/>
      <c r="U139" s="852"/>
      <c r="V139" s="889"/>
      <c r="W139" s="135" t="s">
        <v>277</v>
      </c>
      <c r="X139" s="833"/>
      <c r="Y139" s="795"/>
      <c r="Z139" s="944"/>
    </row>
    <row r="140" spans="1:26" ht="14.5" hidden="1" customHeight="1">
      <c r="A140" s="841"/>
      <c r="B140" s="842"/>
      <c r="C140" s="842"/>
      <c r="D140" s="842"/>
      <c r="E140" s="795"/>
      <c r="F140" s="947"/>
      <c r="G140" s="11"/>
      <c r="H140" s="841"/>
      <c r="I140" s="842"/>
      <c r="J140" s="853"/>
      <c r="K140" s="37"/>
      <c r="L140" s="37"/>
      <c r="M140" s="841"/>
      <c r="N140" s="842"/>
      <c r="O140" s="885"/>
      <c r="P140" s="842"/>
      <c r="Q140" s="842"/>
      <c r="R140" s="842"/>
      <c r="S140" s="853"/>
      <c r="T140" s="37"/>
      <c r="U140" s="852"/>
      <c r="V140" s="889"/>
      <c r="W140" s="135" t="s">
        <v>278</v>
      </c>
      <c r="X140" s="833"/>
      <c r="Y140" s="795"/>
      <c r="Z140" s="944"/>
    </row>
    <row r="141" spans="1:26" ht="14.5" hidden="1" customHeight="1">
      <c r="A141" s="841"/>
      <c r="B141" s="842"/>
      <c r="C141" s="842"/>
      <c r="D141" s="842"/>
      <c r="E141" s="795"/>
      <c r="F141" s="948"/>
      <c r="G141" s="11"/>
      <c r="H141" s="841"/>
      <c r="I141" s="842"/>
      <c r="J141" s="853"/>
      <c r="K141" s="37"/>
      <c r="L141" s="37"/>
      <c r="M141" s="841"/>
      <c r="N141" s="842"/>
      <c r="O141" s="885"/>
      <c r="P141" s="842"/>
      <c r="Q141" s="842"/>
      <c r="R141" s="842"/>
      <c r="S141" s="853"/>
      <c r="T141" s="37"/>
      <c r="U141" s="852"/>
      <c r="V141" s="889"/>
      <c r="W141" s="135" t="s">
        <v>845</v>
      </c>
      <c r="X141" s="833"/>
      <c r="Y141" s="795"/>
      <c r="Z141" s="945"/>
    </row>
    <row r="142" spans="1:26" ht="43.5" hidden="1">
      <c r="A142" s="97" t="s">
        <v>1010</v>
      </c>
      <c r="B142" s="98" t="s">
        <v>1011</v>
      </c>
      <c r="C142" s="98" t="s">
        <v>1012</v>
      </c>
      <c r="D142" s="98" t="s">
        <v>322</v>
      </c>
      <c r="E142" s="99" t="s">
        <v>1013</v>
      </c>
      <c r="F142" s="157" t="s">
        <v>1014</v>
      </c>
      <c r="G142" s="11"/>
      <c r="H142" s="118" t="s">
        <v>1015</v>
      </c>
      <c r="I142" s="119" t="s">
        <v>1012</v>
      </c>
      <c r="J142" s="120" t="s">
        <v>1013</v>
      </c>
      <c r="K142" s="34"/>
      <c r="L142" s="34"/>
      <c r="M142" s="170" t="s">
        <v>268</v>
      </c>
      <c r="N142" s="171" t="s">
        <v>1016</v>
      </c>
      <c r="O142" s="356" t="s">
        <v>1017</v>
      </c>
      <c r="P142" s="127" t="s">
        <v>5</v>
      </c>
      <c r="Q142" s="127" t="str">
        <f>'PDS - Desenvolvimento'!$K$25</f>
        <v>Concluído</v>
      </c>
      <c r="R142" s="452">
        <v>45608</v>
      </c>
      <c r="S142" s="128" t="s">
        <v>5</v>
      </c>
      <c r="T142" s="34"/>
      <c r="U142" s="146" t="s">
        <v>565</v>
      </c>
      <c r="V142" s="148" t="s">
        <v>272</v>
      </c>
      <c r="W142" s="148" t="s">
        <v>1018</v>
      </c>
      <c r="X142" s="148" t="s">
        <v>289</v>
      </c>
      <c r="Y142" s="149"/>
      <c r="Z142" s="255"/>
    </row>
    <row r="143" spans="1:26" ht="14.5"/>
  </sheetData>
  <autoFilter ref="A2:Z142">
    <filterColumn colId="13">
      <filters>
        <filter val="outstanding_nominal_amount"/>
      </filters>
    </filterColumn>
  </autoFilter>
  <mergeCells count="558">
    <mergeCell ref="R89:R90"/>
    <mergeCell ref="R91:R93"/>
    <mergeCell ref="R94:R96"/>
    <mergeCell ref="R97:R99"/>
    <mergeCell ref="R103:R105"/>
    <mergeCell ref="R135:R141"/>
    <mergeCell ref="R46:R47"/>
    <mergeCell ref="R50:R51"/>
    <mergeCell ref="R54:R60"/>
    <mergeCell ref="R61:R62"/>
    <mergeCell ref="R64:R65"/>
    <mergeCell ref="R66:R67"/>
    <mergeCell ref="R68:R70"/>
    <mergeCell ref="R80:R86"/>
    <mergeCell ref="M54:M60"/>
    <mergeCell ref="M61:M62"/>
    <mergeCell ref="M64:M65"/>
    <mergeCell ref="M66:M67"/>
    <mergeCell ref="M68:M70"/>
    <mergeCell ref="M80:M86"/>
    <mergeCell ref="P54:P60"/>
    <mergeCell ref="P61:P62"/>
    <mergeCell ref="P64:P65"/>
    <mergeCell ref="P66:P67"/>
    <mergeCell ref="P68:P70"/>
    <mergeCell ref="P80:P86"/>
    <mergeCell ref="M1:S1"/>
    <mergeCell ref="M3:M6"/>
    <mergeCell ref="M10:M13"/>
    <mergeCell ref="M14:M16"/>
    <mergeCell ref="M17:M23"/>
    <mergeCell ref="N48:N49"/>
    <mergeCell ref="N50:N51"/>
    <mergeCell ref="M46:M47"/>
    <mergeCell ref="M48:M49"/>
    <mergeCell ref="M50:M51"/>
    <mergeCell ref="P3:P6"/>
    <mergeCell ref="P10:P13"/>
    <mergeCell ref="P14:P16"/>
    <mergeCell ref="P17:P23"/>
    <mergeCell ref="P24:P26"/>
    <mergeCell ref="P27:P30"/>
    <mergeCell ref="P31:P33"/>
    <mergeCell ref="P34:P36"/>
    <mergeCell ref="P37:P39"/>
    <mergeCell ref="P40:P41"/>
    <mergeCell ref="P46:P47"/>
    <mergeCell ref="P48:P49"/>
    <mergeCell ref="P50:P51"/>
    <mergeCell ref="R48:R49"/>
    <mergeCell ref="A1:E1"/>
    <mergeCell ref="H1:J1"/>
    <mergeCell ref="U1:Y1"/>
    <mergeCell ref="S46:S47"/>
    <mergeCell ref="S48:S49"/>
    <mergeCell ref="S50:S51"/>
    <mergeCell ref="S54:S60"/>
    <mergeCell ref="S61:S62"/>
    <mergeCell ref="Q46:Q47"/>
    <mergeCell ref="Q50:Q51"/>
    <mergeCell ref="Q54:Q60"/>
    <mergeCell ref="Q61:Q62"/>
    <mergeCell ref="U50:U51"/>
    <mergeCell ref="U54:U60"/>
    <mergeCell ref="U61:U62"/>
    <mergeCell ref="V17:V18"/>
    <mergeCell ref="V10:V13"/>
    <mergeCell ref="V24:V26"/>
    <mergeCell ref="V31:V33"/>
    <mergeCell ref="V40:V41"/>
    <mergeCell ref="V46:V47"/>
    <mergeCell ref="V48:V49"/>
    <mergeCell ref="J48:J49"/>
    <mergeCell ref="J50:J51"/>
    <mergeCell ref="J54:J60"/>
    <mergeCell ref="J61:J62"/>
    <mergeCell ref="J64:J65"/>
    <mergeCell ref="J66:J67"/>
    <mergeCell ref="U3:U6"/>
    <mergeCell ref="U10:U13"/>
    <mergeCell ref="U24:U26"/>
    <mergeCell ref="U31:U33"/>
    <mergeCell ref="U40:U41"/>
    <mergeCell ref="U17:U18"/>
    <mergeCell ref="U46:U47"/>
    <mergeCell ref="U48:U49"/>
    <mergeCell ref="Q3:Q6"/>
    <mergeCell ref="Q10:Q13"/>
    <mergeCell ref="Q14:Q16"/>
    <mergeCell ref="Q17:Q23"/>
    <mergeCell ref="Q24:Q26"/>
    <mergeCell ref="Q27:Q30"/>
    <mergeCell ref="Q31:Q33"/>
    <mergeCell ref="Q34:Q36"/>
    <mergeCell ref="N17:N23"/>
    <mergeCell ref="Q48:Q49"/>
    <mergeCell ref="N54:N60"/>
    <mergeCell ref="N61:N62"/>
    <mergeCell ref="V50:V51"/>
    <mergeCell ref="V54:V60"/>
    <mergeCell ref="V61:V62"/>
    <mergeCell ref="C37:C39"/>
    <mergeCell ref="B37:B39"/>
    <mergeCell ref="A37:A39"/>
    <mergeCell ref="O37:O39"/>
    <mergeCell ref="J27:J30"/>
    <mergeCell ref="J31:J33"/>
    <mergeCell ref="O34:O36"/>
    <mergeCell ref="J37:J39"/>
    <mergeCell ref="J34:J36"/>
    <mergeCell ref="E37:E39"/>
    <mergeCell ref="E34:E36"/>
    <mergeCell ref="D37:D39"/>
    <mergeCell ref="A34:A36"/>
    <mergeCell ref="E27:E30"/>
    <mergeCell ref="E31:E33"/>
    <mergeCell ref="D27:D30"/>
    <mergeCell ref="D31:D33"/>
    <mergeCell ref="C27:C30"/>
    <mergeCell ref="C31:C33"/>
    <mergeCell ref="D34:D36"/>
    <mergeCell ref="C34:C36"/>
    <mergeCell ref="B34:B36"/>
    <mergeCell ref="B27:B30"/>
    <mergeCell ref="B31:B33"/>
    <mergeCell ref="A17:A23"/>
    <mergeCell ref="F10:F13"/>
    <mergeCell ref="H10:H13"/>
    <mergeCell ref="O10:O13"/>
    <mergeCell ref="A10:A13"/>
    <mergeCell ref="E17:E23"/>
    <mergeCell ref="A14:A16"/>
    <mergeCell ref="B14:B16"/>
    <mergeCell ref="D17:D23"/>
    <mergeCell ref="C17:C23"/>
    <mergeCell ref="O14:O16"/>
    <mergeCell ref="O17:O23"/>
    <mergeCell ref="E10:E13"/>
    <mergeCell ref="D10:D13"/>
    <mergeCell ref="C10:C13"/>
    <mergeCell ref="B10:B13"/>
    <mergeCell ref="B17:B23"/>
    <mergeCell ref="D14:D16"/>
    <mergeCell ref="E14:E16"/>
    <mergeCell ref="H17:H23"/>
    <mergeCell ref="F31:F33"/>
    <mergeCell ref="A27:A30"/>
    <mergeCell ref="A31:A33"/>
    <mergeCell ref="F24:F26"/>
    <mergeCell ref="O24:O26"/>
    <mergeCell ref="H24:H26"/>
    <mergeCell ref="E24:E26"/>
    <mergeCell ref="A24:A26"/>
    <mergeCell ref="B24:B26"/>
    <mergeCell ref="C24:C26"/>
    <mergeCell ref="D24:D26"/>
    <mergeCell ref="N24:N26"/>
    <mergeCell ref="N27:N30"/>
    <mergeCell ref="N31:N33"/>
    <mergeCell ref="M24:M26"/>
    <mergeCell ref="M27:M30"/>
    <mergeCell ref="M31:M33"/>
    <mergeCell ref="H46:H47"/>
    <mergeCell ref="F46:F47"/>
    <mergeCell ref="E46:E47"/>
    <mergeCell ref="D46:D47"/>
    <mergeCell ref="C46:C47"/>
    <mergeCell ref="B46:B47"/>
    <mergeCell ref="A46:A47"/>
    <mergeCell ref="O46:O47"/>
    <mergeCell ref="H40:H41"/>
    <mergeCell ref="F40:F41"/>
    <mergeCell ref="E40:E41"/>
    <mergeCell ref="D40:D41"/>
    <mergeCell ref="C40:C41"/>
    <mergeCell ref="I46:I47"/>
    <mergeCell ref="A40:A41"/>
    <mergeCell ref="B40:B41"/>
    <mergeCell ref="O40:O41"/>
    <mergeCell ref="J40:J41"/>
    <mergeCell ref="J46:J47"/>
    <mergeCell ref="N40:N41"/>
    <mergeCell ref="N46:N47"/>
    <mergeCell ref="M40:M41"/>
    <mergeCell ref="A48:A49"/>
    <mergeCell ref="B48:B49"/>
    <mergeCell ref="C48:C49"/>
    <mergeCell ref="D48:D49"/>
    <mergeCell ref="E48:E49"/>
    <mergeCell ref="F48:F49"/>
    <mergeCell ref="H48:H49"/>
    <mergeCell ref="O48:O49"/>
    <mergeCell ref="A54:A60"/>
    <mergeCell ref="E50:E51"/>
    <mergeCell ref="D50:D51"/>
    <mergeCell ref="C50:C51"/>
    <mergeCell ref="B50:B51"/>
    <mergeCell ref="A50:A51"/>
    <mergeCell ref="F50:F51"/>
    <mergeCell ref="H50:H51"/>
    <mergeCell ref="O50:O51"/>
    <mergeCell ref="F54:F60"/>
    <mergeCell ref="H54:H60"/>
    <mergeCell ref="O54:O60"/>
    <mergeCell ref="E54:E60"/>
    <mergeCell ref="D54:D60"/>
    <mergeCell ref="C54:C60"/>
    <mergeCell ref="B54:B60"/>
    <mergeCell ref="F61:F62"/>
    <mergeCell ref="H61:H62"/>
    <mergeCell ref="O61:O62"/>
    <mergeCell ref="A61:A62"/>
    <mergeCell ref="B61:B62"/>
    <mergeCell ref="C61:C62"/>
    <mergeCell ref="D61:D62"/>
    <mergeCell ref="E61:E62"/>
    <mergeCell ref="A64:A65"/>
    <mergeCell ref="H64:H65"/>
    <mergeCell ref="O64:O65"/>
    <mergeCell ref="F64:F65"/>
    <mergeCell ref="E64:E65"/>
    <mergeCell ref="D64:D65"/>
    <mergeCell ref="C64:C65"/>
    <mergeCell ref="B64:B65"/>
    <mergeCell ref="N64:N65"/>
    <mergeCell ref="A80:A86"/>
    <mergeCell ref="B80:B86"/>
    <mergeCell ref="C80:C86"/>
    <mergeCell ref="D80:D86"/>
    <mergeCell ref="E80:E86"/>
    <mergeCell ref="F66:F67"/>
    <mergeCell ref="H66:H67"/>
    <mergeCell ref="O66:O67"/>
    <mergeCell ref="A66:A67"/>
    <mergeCell ref="B66:B67"/>
    <mergeCell ref="C66:C67"/>
    <mergeCell ref="D66:D67"/>
    <mergeCell ref="E66:E67"/>
    <mergeCell ref="O68:O70"/>
    <mergeCell ref="E68:E70"/>
    <mergeCell ref="D68:D70"/>
    <mergeCell ref="A68:A70"/>
    <mergeCell ref="B68:B70"/>
    <mergeCell ref="C68:C70"/>
    <mergeCell ref="J68:J70"/>
    <mergeCell ref="N66:N67"/>
    <mergeCell ref="N68:N70"/>
    <mergeCell ref="D89:D90"/>
    <mergeCell ref="C89:C90"/>
    <mergeCell ref="B89:B90"/>
    <mergeCell ref="A89:A90"/>
    <mergeCell ref="O89:O90"/>
    <mergeCell ref="J89:J90"/>
    <mergeCell ref="U89:U90"/>
    <mergeCell ref="V89:V90"/>
    <mergeCell ref="A91:A93"/>
    <mergeCell ref="B91:B93"/>
    <mergeCell ref="C91:C93"/>
    <mergeCell ref="D91:D93"/>
    <mergeCell ref="E91:E93"/>
    <mergeCell ref="O91:O93"/>
    <mergeCell ref="J91:J93"/>
    <mergeCell ref="F89:F90"/>
    <mergeCell ref="H89:H90"/>
    <mergeCell ref="E89:E90"/>
    <mergeCell ref="Q91:Q93"/>
    <mergeCell ref="S89:S90"/>
    <mergeCell ref="S91:S93"/>
    <mergeCell ref="N89:N90"/>
    <mergeCell ref="M91:M93"/>
    <mergeCell ref="P89:P90"/>
    <mergeCell ref="A94:A96"/>
    <mergeCell ref="B94:B96"/>
    <mergeCell ref="C94:C96"/>
    <mergeCell ref="D94:D96"/>
    <mergeCell ref="E94:E96"/>
    <mergeCell ref="O94:O96"/>
    <mergeCell ref="J94:J96"/>
    <mergeCell ref="H94:H96"/>
    <mergeCell ref="U94:U95"/>
    <mergeCell ref="Q94:Q96"/>
    <mergeCell ref="S94:S96"/>
    <mergeCell ref="N94:N96"/>
    <mergeCell ref="M94:M96"/>
    <mergeCell ref="P94:P96"/>
    <mergeCell ref="E103:E105"/>
    <mergeCell ref="D103:D105"/>
    <mergeCell ref="C103:C105"/>
    <mergeCell ref="B103:B105"/>
    <mergeCell ref="A103:A105"/>
    <mergeCell ref="J103:J105"/>
    <mergeCell ref="O103:O105"/>
    <mergeCell ref="A97:A99"/>
    <mergeCell ref="B97:B99"/>
    <mergeCell ref="C97:C99"/>
    <mergeCell ref="D97:D99"/>
    <mergeCell ref="E97:E99"/>
    <mergeCell ref="O97:O99"/>
    <mergeCell ref="J97:J99"/>
    <mergeCell ref="N97:N99"/>
    <mergeCell ref="N103:N105"/>
    <mergeCell ref="M103:M105"/>
    <mergeCell ref="M97:M99"/>
    <mergeCell ref="A135:A141"/>
    <mergeCell ref="B135:B141"/>
    <mergeCell ref="C135:C141"/>
    <mergeCell ref="D135:D141"/>
    <mergeCell ref="E135:E141"/>
    <mergeCell ref="O135:O141"/>
    <mergeCell ref="J135:J141"/>
    <mergeCell ref="V108:V134"/>
    <mergeCell ref="U108:U134"/>
    <mergeCell ref="J108:J134"/>
    <mergeCell ref="O108:O134"/>
    <mergeCell ref="A108:A134"/>
    <mergeCell ref="B108:B134"/>
    <mergeCell ref="C108:C134"/>
    <mergeCell ref="D108:D134"/>
    <mergeCell ref="E108:E134"/>
    <mergeCell ref="F108:F134"/>
    <mergeCell ref="H108:H134"/>
    <mergeCell ref="Q135:Q141"/>
    <mergeCell ref="S108:S134"/>
    <mergeCell ref="S135:S141"/>
    <mergeCell ref="N108:N134"/>
    <mergeCell ref="P108:P134"/>
    <mergeCell ref="X3:X6"/>
    <mergeCell ref="Y3:Y6"/>
    <mergeCell ref="X10:X13"/>
    <mergeCell ref="Y10:Y13"/>
    <mergeCell ref="H14:H16"/>
    <mergeCell ref="U14:U15"/>
    <mergeCell ref="V14:V15"/>
    <mergeCell ref="X14:X16"/>
    <mergeCell ref="Y14:Y16"/>
    <mergeCell ref="I3:I6"/>
    <mergeCell ref="J3:J6"/>
    <mergeCell ref="I10:I13"/>
    <mergeCell ref="J10:J13"/>
    <mergeCell ref="V3:V6"/>
    <mergeCell ref="S3:S6"/>
    <mergeCell ref="S10:S13"/>
    <mergeCell ref="S14:S16"/>
    <mergeCell ref="N3:N6"/>
    <mergeCell ref="N10:N13"/>
    <mergeCell ref="N14:N16"/>
    <mergeCell ref="R14:R16"/>
    <mergeCell ref="R3:R6"/>
    <mergeCell ref="R10:R13"/>
    <mergeCell ref="F3:F6"/>
    <mergeCell ref="H3:H6"/>
    <mergeCell ref="O3:O6"/>
    <mergeCell ref="E3:E6"/>
    <mergeCell ref="D3:D6"/>
    <mergeCell ref="C3:C6"/>
    <mergeCell ref="B3:B6"/>
    <mergeCell ref="A3:A6"/>
    <mergeCell ref="C14:C16"/>
    <mergeCell ref="X17:X23"/>
    <mergeCell ref="Y17:Y23"/>
    <mergeCell ref="U19:U23"/>
    <mergeCell ref="V19:V23"/>
    <mergeCell ref="X24:X26"/>
    <mergeCell ref="Y24:Y26"/>
    <mergeCell ref="H37:H39"/>
    <mergeCell ref="U37:U38"/>
    <mergeCell ref="V37:V38"/>
    <mergeCell ref="X37:X39"/>
    <mergeCell ref="Y37:Y39"/>
    <mergeCell ref="H31:H33"/>
    <mergeCell ref="O31:O33"/>
    <mergeCell ref="Q37:Q39"/>
    <mergeCell ref="S17:S23"/>
    <mergeCell ref="S24:S26"/>
    <mergeCell ref="S27:S30"/>
    <mergeCell ref="S31:S33"/>
    <mergeCell ref="S34:S36"/>
    <mergeCell ref="S37:S39"/>
    <mergeCell ref="N34:N36"/>
    <mergeCell ref="N37:N39"/>
    <mergeCell ref="R17:R23"/>
    <mergeCell ref="R24:R26"/>
    <mergeCell ref="X40:X41"/>
    <mergeCell ref="Y40:Y41"/>
    <mergeCell ref="H27:H30"/>
    <mergeCell ref="U27:U29"/>
    <mergeCell ref="V27:V29"/>
    <mergeCell ref="X27:X30"/>
    <mergeCell ref="Y27:Y30"/>
    <mergeCell ref="X31:X33"/>
    <mergeCell ref="Y31:Y33"/>
    <mergeCell ref="H34:H36"/>
    <mergeCell ref="U34:U35"/>
    <mergeCell ref="V34:V35"/>
    <mergeCell ref="X34:X36"/>
    <mergeCell ref="Y34:Y36"/>
    <mergeCell ref="O27:O30"/>
    <mergeCell ref="Q40:Q41"/>
    <mergeCell ref="S40:S41"/>
    <mergeCell ref="M34:M36"/>
    <mergeCell ref="M37:M39"/>
    <mergeCell ref="R34:R36"/>
    <mergeCell ref="R37:R39"/>
    <mergeCell ref="R40:R41"/>
    <mergeCell ref="R27:R30"/>
    <mergeCell ref="R31:R33"/>
    <mergeCell ref="X46:X47"/>
    <mergeCell ref="Y46:Y47"/>
    <mergeCell ref="X48:X49"/>
    <mergeCell ref="Y48:Y49"/>
    <mergeCell ref="X50:X51"/>
    <mergeCell ref="Y50:Y51"/>
    <mergeCell ref="X54:X60"/>
    <mergeCell ref="Y54:Y60"/>
    <mergeCell ref="X61:X62"/>
    <mergeCell ref="Y61:Y62"/>
    <mergeCell ref="X64:X65"/>
    <mergeCell ref="Y64:Y65"/>
    <mergeCell ref="X66:X67"/>
    <mergeCell ref="Y66:Y67"/>
    <mergeCell ref="H68:H70"/>
    <mergeCell ref="U68:U69"/>
    <mergeCell ref="V68:V69"/>
    <mergeCell ref="X68:X70"/>
    <mergeCell ref="Y68:Y70"/>
    <mergeCell ref="V64:V65"/>
    <mergeCell ref="V66:V67"/>
    <mergeCell ref="U64:U65"/>
    <mergeCell ref="U66:U67"/>
    <mergeCell ref="Q68:Q70"/>
    <mergeCell ref="S64:S65"/>
    <mergeCell ref="S66:S67"/>
    <mergeCell ref="S68:S70"/>
    <mergeCell ref="Q64:Q65"/>
    <mergeCell ref="Q66:Q67"/>
    <mergeCell ref="X80:X86"/>
    <mergeCell ref="Y80:Y86"/>
    <mergeCell ref="U82:U86"/>
    <mergeCell ref="V82:V86"/>
    <mergeCell ref="X89:X90"/>
    <mergeCell ref="Y89:Y90"/>
    <mergeCell ref="H91:H93"/>
    <mergeCell ref="U91:U92"/>
    <mergeCell ref="V91:V92"/>
    <mergeCell ref="X91:X93"/>
    <mergeCell ref="Y91:Y93"/>
    <mergeCell ref="I91:I93"/>
    <mergeCell ref="O80:O86"/>
    <mergeCell ref="J80:J86"/>
    <mergeCell ref="H80:H86"/>
    <mergeCell ref="U80:U81"/>
    <mergeCell ref="V80:V81"/>
    <mergeCell ref="Q80:Q86"/>
    <mergeCell ref="S80:S86"/>
    <mergeCell ref="N80:N86"/>
    <mergeCell ref="N91:N93"/>
    <mergeCell ref="M89:M90"/>
    <mergeCell ref="Q89:Q90"/>
    <mergeCell ref="P91:P93"/>
    <mergeCell ref="V94:V95"/>
    <mergeCell ref="X94:X96"/>
    <mergeCell ref="Y94:Y96"/>
    <mergeCell ref="H97:H99"/>
    <mergeCell ref="U97:U98"/>
    <mergeCell ref="V97:V98"/>
    <mergeCell ref="X97:X99"/>
    <mergeCell ref="Y97:Y99"/>
    <mergeCell ref="H103:H105"/>
    <mergeCell ref="U103:U104"/>
    <mergeCell ref="V103:V104"/>
    <mergeCell ref="X103:X105"/>
    <mergeCell ref="Y103:Y105"/>
    <mergeCell ref="I94:I96"/>
    <mergeCell ref="I97:I99"/>
    <mergeCell ref="I103:I105"/>
    <mergeCell ref="Q97:Q99"/>
    <mergeCell ref="Q103:Q105"/>
    <mergeCell ref="S97:S99"/>
    <mergeCell ref="S103:S105"/>
    <mergeCell ref="P97:P99"/>
    <mergeCell ref="P103:P105"/>
    <mergeCell ref="X108:X134"/>
    <mergeCell ref="Y108:Y134"/>
    <mergeCell ref="H135:H141"/>
    <mergeCell ref="U135:U136"/>
    <mergeCell ref="V135:V136"/>
    <mergeCell ref="X135:X141"/>
    <mergeCell ref="Y135:Y141"/>
    <mergeCell ref="U137:U141"/>
    <mergeCell ref="V137:V141"/>
    <mergeCell ref="I108:I134"/>
    <mergeCell ref="I135:I141"/>
    <mergeCell ref="N135:N141"/>
    <mergeCell ref="M108:M134"/>
    <mergeCell ref="M135:M141"/>
    <mergeCell ref="P135:P141"/>
    <mergeCell ref="Q108:Q134"/>
    <mergeCell ref="R108:R134"/>
    <mergeCell ref="Z3:Z6"/>
    <mergeCell ref="Z10:Z13"/>
    <mergeCell ref="Z14:Z16"/>
    <mergeCell ref="Z17:Z23"/>
    <mergeCell ref="Z24:Z26"/>
    <mergeCell ref="Z27:Z30"/>
    <mergeCell ref="Z31:Z33"/>
    <mergeCell ref="Z34:Z36"/>
    <mergeCell ref="Z37:Z39"/>
    <mergeCell ref="Z40:Z41"/>
    <mergeCell ref="Z42:Z43"/>
    <mergeCell ref="Z44:Z45"/>
    <mergeCell ref="Z46:Z47"/>
    <mergeCell ref="Z48:Z49"/>
    <mergeCell ref="Z50:Z51"/>
    <mergeCell ref="Z54:Z60"/>
    <mergeCell ref="Z61:Z62"/>
    <mergeCell ref="Z64:Z65"/>
    <mergeCell ref="Z66:Z67"/>
    <mergeCell ref="Z68:Z70"/>
    <mergeCell ref="Z80:Z86"/>
    <mergeCell ref="Z89:Z90"/>
    <mergeCell ref="Z91:Z93"/>
    <mergeCell ref="Z94:Z96"/>
    <mergeCell ref="Z97:Z99"/>
    <mergeCell ref="Z103:Z105"/>
    <mergeCell ref="Z108:Z134"/>
    <mergeCell ref="Z135:Z141"/>
    <mergeCell ref="F14:F16"/>
    <mergeCell ref="F17:F23"/>
    <mergeCell ref="F27:F30"/>
    <mergeCell ref="F34:F36"/>
    <mergeCell ref="F37:F39"/>
    <mergeCell ref="F68:F70"/>
    <mergeCell ref="F80:F86"/>
    <mergeCell ref="F91:F93"/>
    <mergeCell ref="F94:F96"/>
    <mergeCell ref="F97:F99"/>
    <mergeCell ref="F103:F105"/>
    <mergeCell ref="F135:F141"/>
    <mergeCell ref="I14:I16"/>
    <mergeCell ref="J14:J16"/>
    <mergeCell ref="I17:I23"/>
    <mergeCell ref="J17:J23"/>
    <mergeCell ref="I24:I26"/>
    <mergeCell ref="J24:J26"/>
    <mergeCell ref="I27:I30"/>
    <mergeCell ref="I31:I33"/>
    <mergeCell ref="I34:I36"/>
    <mergeCell ref="I37:I39"/>
    <mergeCell ref="I40:I41"/>
    <mergeCell ref="I48:I49"/>
    <mergeCell ref="I50:I51"/>
    <mergeCell ref="I54:I60"/>
    <mergeCell ref="I61:I62"/>
    <mergeCell ref="I64:I65"/>
    <mergeCell ref="I66:I67"/>
    <mergeCell ref="I68:I70"/>
    <mergeCell ref="I80:I86"/>
    <mergeCell ref="I89:I90"/>
  </mergeCells>
  <dataValidations count="1">
    <dataValidation allowBlank="1" showInputMessage="1" showErrorMessage="1" sqref="R34:R40 R42:R48 R3 R7:R10 R14:R24 R27 R31 R50:R108 R135:R142 Q3:Q142"/>
  </dataValidations>
  <pageMargins left="0.7" right="0.7" top="0.75" bottom="0.75" header="0.3" footer="0.3"/>
  <pageSetup paperSize="9" orientation="portrait" r:id="rId1"/>
  <drawing r:id="rId2"/>
  <legacyDrawing r:id="rId3"/>
  <oleObjects>
    <mc:AlternateContent xmlns:mc="http://schemas.openxmlformats.org/markup-compatibility/2006">
      <mc:Choice Requires="x14">
        <oleObject progId="Worksheet" dvAspect="DVASPECT_ICON" shapeId="6145" r:id="rId4">
          <objectPr defaultSize="0" autoPict="0" r:id="rId5">
            <anchor moveWithCells="1">
              <from>
                <xdr:col>4</xdr:col>
                <xdr:colOff>2368550</xdr:colOff>
                <xdr:row>83</xdr:row>
                <xdr:rowOff>6350</xdr:rowOff>
              </from>
              <to>
                <xdr:col>4</xdr:col>
                <xdr:colOff>2895600</xdr:colOff>
                <xdr:row>144</xdr:row>
                <xdr:rowOff>25400</xdr:rowOff>
              </to>
            </anchor>
          </objectPr>
        </oleObject>
      </mc:Choice>
      <mc:Fallback>
        <oleObject progId="Worksheet" dvAspect="DVASPECT_ICON" shapeId="6145" r:id="rId4"/>
      </mc:Fallback>
    </mc:AlternateContent>
  </oleObjects>
  <extLst>
    <ext xmlns:x14="http://schemas.microsoft.com/office/spreadsheetml/2009/9/main" uri="{CCE6A557-97BC-4b89-ADB6-D9C93CAAB3DF}">
      <x14:dataValidations xmlns:xm="http://schemas.microsoft.com/office/excel/2006/main" count="1">
        <x14:dataValidation type="list" allowBlank="1" showInputMessage="1" showErrorMessage="1">
          <x14:formula1>
            <xm:f>AUX!$A$2:$A$8</xm:f>
          </x14:formula1>
          <xm:sqref>P42:P142 P3:P40</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Y30"/>
  <sheetViews>
    <sheetView zoomScale="55" zoomScaleNormal="55" workbookViewId="0">
      <pane xSplit="6" ySplit="2" topLeftCell="I13" activePane="bottomRight" state="frozen"/>
      <selection pane="topRight" activeCell="G1" sqref="G1"/>
      <selection pane="bottomLeft" activeCell="A3" sqref="A3"/>
      <selection pane="bottomRight" activeCell="N13" sqref="N13:N23"/>
    </sheetView>
  </sheetViews>
  <sheetFormatPr defaultRowHeight="15" customHeight="1"/>
  <cols>
    <col min="1" max="1" width="6.26953125" customWidth="1"/>
    <col min="2" max="2" width="12.81640625" customWidth="1"/>
    <col min="3" max="3" width="24.453125" bestFit="1" customWidth="1"/>
    <col min="4" max="4" width="13" customWidth="1"/>
    <col min="5" max="5" width="47.7265625" customWidth="1"/>
    <col min="6" max="6" width="78.81640625" hidden="1" customWidth="1"/>
    <col min="7" max="7" width="4" customWidth="1"/>
    <col min="8" max="8" width="34.1796875" customWidth="1"/>
    <col min="9" max="10" width="35.81640625" customWidth="1"/>
    <col min="11" max="11" width="4" customWidth="1"/>
    <col min="12" max="12" width="18.54296875" bestFit="1" customWidth="1"/>
    <col min="13" max="13" width="28.7265625" bestFit="1" customWidth="1"/>
    <col min="14" max="16" width="52.453125" customWidth="1"/>
    <col min="17" max="17" width="52.453125" hidden="1" customWidth="1"/>
    <col min="18" max="18" width="40.81640625" hidden="1" customWidth="1"/>
    <col min="19" max="19" width="4.1796875" customWidth="1"/>
    <col min="20" max="21" width="36" hidden="1" customWidth="1"/>
    <col min="22" max="22" width="35.26953125" hidden="1" customWidth="1"/>
    <col min="23" max="23" width="86" hidden="1" customWidth="1"/>
    <col min="24" max="24" width="52.453125" hidden="1" customWidth="1"/>
  </cols>
  <sheetData>
    <row r="1" spans="1:25" ht="19" customHeight="1">
      <c r="A1" s="874" t="s">
        <v>234</v>
      </c>
      <c r="B1" s="875"/>
      <c r="C1" s="875"/>
      <c r="D1" s="875"/>
      <c r="E1" s="876"/>
      <c r="F1" s="84"/>
      <c r="G1" s="85"/>
      <c r="H1" s="877" t="s">
        <v>235</v>
      </c>
      <c r="I1" s="878"/>
      <c r="J1" s="879"/>
      <c r="K1" s="85"/>
      <c r="L1" s="1027" t="s">
        <v>236</v>
      </c>
      <c r="M1" s="1028"/>
      <c r="N1" s="1028"/>
      <c r="O1" s="1028"/>
      <c r="P1" s="1028"/>
      <c r="Q1" s="1028"/>
      <c r="R1" s="1029"/>
      <c r="S1" s="85"/>
      <c r="T1" s="886" t="s">
        <v>237</v>
      </c>
      <c r="U1" s="887"/>
      <c r="V1" s="887"/>
      <c r="W1" s="887"/>
      <c r="X1" s="888"/>
      <c r="Y1" s="129"/>
    </row>
    <row r="2" spans="1:25" ht="29">
      <c r="A2" s="91" t="s">
        <v>238</v>
      </c>
      <c r="B2" s="87" t="s">
        <v>239</v>
      </c>
      <c r="C2" s="87" t="s">
        <v>240</v>
      </c>
      <c r="D2" s="87" t="s">
        <v>241</v>
      </c>
      <c r="E2" s="92" t="s">
        <v>242</v>
      </c>
      <c r="F2" s="218" t="s">
        <v>242</v>
      </c>
      <c r="G2" s="35"/>
      <c r="H2" s="107" t="s">
        <v>244</v>
      </c>
      <c r="I2" s="100" t="s">
        <v>245</v>
      </c>
      <c r="J2" s="108" t="s">
        <v>246</v>
      </c>
      <c r="K2" s="36"/>
      <c r="L2" s="377" t="s">
        <v>366</v>
      </c>
      <c r="M2" s="378" t="s">
        <v>248</v>
      </c>
      <c r="N2" s="379" t="s">
        <v>249</v>
      </c>
      <c r="O2" s="379" t="s">
        <v>1</v>
      </c>
      <c r="P2" s="379" t="s">
        <v>250</v>
      </c>
      <c r="Q2" s="378" t="s">
        <v>251</v>
      </c>
      <c r="R2" s="380" t="s">
        <v>252</v>
      </c>
      <c r="S2" s="9"/>
      <c r="T2" s="138" t="s">
        <v>253</v>
      </c>
      <c r="U2" s="130" t="s">
        <v>254</v>
      </c>
      <c r="V2" s="130" t="s">
        <v>255</v>
      </c>
      <c r="W2" s="130" t="s">
        <v>256</v>
      </c>
      <c r="X2" s="139" t="s">
        <v>257</v>
      </c>
    </row>
    <row r="3" spans="1:25" ht="31" customHeight="1">
      <c r="A3" s="93" t="s">
        <v>279</v>
      </c>
      <c r="B3" s="88" t="s">
        <v>260</v>
      </c>
      <c r="C3" s="88" t="s">
        <v>280</v>
      </c>
      <c r="D3" s="88" t="s">
        <v>262</v>
      </c>
      <c r="E3" s="94" t="s">
        <v>281</v>
      </c>
      <c r="F3" s="43" t="s">
        <v>367</v>
      </c>
      <c r="G3" s="10"/>
      <c r="H3" s="109" t="s">
        <v>368</v>
      </c>
      <c r="I3" s="102" t="s">
        <v>369</v>
      </c>
      <c r="J3" s="159" t="s">
        <v>370</v>
      </c>
      <c r="K3" s="10"/>
      <c r="L3" s="368" t="s">
        <v>268</v>
      </c>
      <c r="M3" s="369" t="s">
        <v>285</v>
      </c>
      <c r="N3" s="370" t="s">
        <v>371</v>
      </c>
      <c r="O3" s="369" t="s">
        <v>5</v>
      </c>
      <c r="P3" s="369" t="str">
        <f>'PDS - Desenvolvimento'!$K$113</f>
        <v>Concluído</v>
      </c>
      <c r="Q3" s="453">
        <v>45608</v>
      </c>
      <c r="R3" s="371" t="s">
        <v>5</v>
      </c>
      <c r="S3" s="10"/>
      <c r="T3" s="266" t="s">
        <v>271</v>
      </c>
      <c r="U3" s="262" t="s">
        <v>272</v>
      </c>
      <c r="V3" s="263" t="s">
        <v>288</v>
      </c>
      <c r="W3" s="262" t="s">
        <v>289</v>
      </c>
      <c r="X3" s="141"/>
    </row>
    <row r="4" spans="1:25" ht="14.5">
      <c r="A4" s="841" t="s">
        <v>522</v>
      </c>
      <c r="B4" s="842" t="s">
        <v>320</v>
      </c>
      <c r="C4" s="842" t="s">
        <v>1019</v>
      </c>
      <c r="D4" s="842" t="s">
        <v>1020</v>
      </c>
      <c r="E4" s="795" t="s">
        <v>1021</v>
      </c>
      <c r="F4" s="946" t="s">
        <v>1022</v>
      </c>
      <c r="G4" s="11"/>
      <c r="H4" s="841" t="s">
        <v>1023</v>
      </c>
      <c r="I4" s="787" t="s">
        <v>1024</v>
      </c>
      <c r="J4" s="795" t="s">
        <v>1025</v>
      </c>
      <c r="K4" s="11"/>
      <c r="L4" s="1030" t="s">
        <v>268</v>
      </c>
      <c r="M4" s="1046" t="s">
        <v>1026</v>
      </c>
      <c r="N4" s="1034" t="s">
        <v>1027</v>
      </c>
      <c r="O4" s="1046" t="s">
        <v>5</v>
      </c>
      <c r="P4" s="1050" t="str">
        <f>'PDS - Desenvolvimento'!$K$127</f>
        <v>Concluído</v>
      </c>
      <c r="Q4" s="1049">
        <v>45608</v>
      </c>
      <c r="R4" s="1061" t="s">
        <v>5</v>
      </c>
      <c r="S4" s="11"/>
      <c r="T4" s="801" t="s">
        <v>305</v>
      </c>
      <c r="U4" s="787" t="s">
        <v>306</v>
      </c>
      <c r="V4" s="89" t="s">
        <v>329</v>
      </c>
      <c r="W4" s="787" t="s">
        <v>1028</v>
      </c>
      <c r="X4" s="795" t="s">
        <v>385</v>
      </c>
    </row>
    <row r="5" spans="1:25" ht="14.5">
      <c r="A5" s="841"/>
      <c r="B5" s="842"/>
      <c r="C5" s="842"/>
      <c r="D5" s="842"/>
      <c r="E5" s="795"/>
      <c r="F5" s="947"/>
      <c r="G5" s="11"/>
      <c r="H5" s="841"/>
      <c r="I5" s="787"/>
      <c r="J5" s="795"/>
      <c r="K5" s="11"/>
      <c r="L5" s="1031"/>
      <c r="M5" s="1047"/>
      <c r="N5" s="1035"/>
      <c r="O5" s="1047"/>
      <c r="P5" s="1051"/>
      <c r="Q5" s="1047"/>
      <c r="R5" s="1062"/>
      <c r="S5" s="11"/>
      <c r="T5" s="801"/>
      <c r="U5" s="787"/>
      <c r="V5" s="89" t="s">
        <v>333</v>
      </c>
      <c r="W5" s="787"/>
      <c r="X5" s="795"/>
    </row>
    <row r="6" spans="1:25" ht="14.5">
      <c r="A6" s="841"/>
      <c r="B6" s="842"/>
      <c r="C6" s="842"/>
      <c r="D6" s="842"/>
      <c r="E6" s="795"/>
      <c r="F6" s="947"/>
      <c r="G6" s="11"/>
      <c r="H6" s="841"/>
      <c r="I6" s="787"/>
      <c r="J6" s="795"/>
      <c r="K6" s="11"/>
      <c r="L6" s="1031"/>
      <c r="M6" s="1047"/>
      <c r="N6" s="1035"/>
      <c r="O6" s="1047"/>
      <c r="P6" s="1051"/>
      <c r="Q6" s="1047"/>
      <c r="R6" s="1062"/>
      <c r="S6" s="11"/>
      <c r="T6" s="801"/>
      <c r="U6" s="787"/>
      <c r="V6" s="89" t="s">
        <v>347</v>
      </c>
      <c r="W6" s="787"/>
      <c r="X6" s="795"/>
    </row>
    <row r="7" spans="1:25" ht="14.5">
      <c r="A7" s="841"/>
      <c r="B7" s="842"/>
      <c r="C7" s="842"/>
      <c r="D7" s="842"/>
      <c r="E7" s="795"/>
      <c r="F7" s="947"/>
      <c r="G7" s="11"/>
      <c r="H7" s="841"/>
      <c r="I7" s="787"/>
      <c r="J7" s="795"/>
      <c r="K7" s="11"/>
      <c r="L7" s="1031"/>
      <c r="M7" s="1047"/>
      <c r="N7" s="1035"/>
      <c r="O7" s="1047"/>
      <c r="P7" s="1051"/>
      <c r="Q7" s="1047"/>
      <c r="R7" s="1062"/>
      <c r="S7" s="11"/>
      <c r="T7" s="142" t="s">
        <v>348</v>
      </c>
      <c r="U7" s="90" t="s">
        <v>272</v>
      </c>
      <c r="V7" s="89" t="s">
        <v>1029</v>
      </c>
      <c r="W7" s="787"/>
      <c r="X7" s="795"/>
    </row>
    <row r="8" spans="1:25" ht="14.5">
      <c r="A8" s="841"/>
      <c r="B8" s="842"/>
      <c r="C8" s="842"/>
      <c r="D8" s="842"/>
      <c r="E8" s="795"/>
      <c r="F8" s="947"/>
      <c r="G8" s="11"/>
      <c r="H8" s="841"/>
      <c r="I8" s="787"/>
      <c r="J8" s="795"/>
      <c r="K8" s="11"/>
      <c r="L8" s="1031"/>
      <c r="M8" s="1047"/>
      <c r="N8" s="1035"/>
      <c r="O8" s="1047"/>
      <c r="P8" s="1051"/>
      <c r="Q8" s="1047"/>
      <c r="R8" s="1062"/>
      <c r="S8" s="11"/>
      <c r="T8" s="852" t="s">
        <v>271</v>
      </c>
      <c r="U8" s="854" t="s">
        <v>272</v>
      </c>
      <c r="V8" s="137" t="s">
        <v>273</v>
      </c>
      <c r="W8" s="787"/>
      <c r="X8" s="795"/>
    </row>
    <row r="9" spans="1:25" ht="14.5">
      <c r="A9" s="841"/>
      <c r="B9" s="842"/>
      <c r="C9" s="842"/>
      <c r="D9" s="842"/>
      <c r="E9" s="795"/>
      <c r="F9" s="947"/>
      <c r="G9" s="11"/>
      <c r="H9" s="841"/>
      <c r="I9" s="787"/>
      <c r="J9" s="795"/>
      <c r="K9" s="11"/>
      <c r="L9" s="1031"/>
      <c r="M9" s="1047"/>
      <c r="N9" s="1035"/>
      <c r="O9" s="1047"/>
      <c r="P9" s="1051"/>
      <c r="Q9" s="1047"/>
      <c r="R9" s="1062"/>
      <c r="S9" s="11"/>
      <c r="T9" s="852"/>
      <c r="U9" s="854"/>
      <c r="V9" s="137" t="s">
        <v>276</v>
      </c>
      <c r="W9" s="787"/>
      <c r="X9" s="795"/>
    </row>
    <row r="10" spans="1:25" ht="14.5">
      <c r="A10" s="841"/>
      <c r="B10" s="842"/>
      <c r="C10" s="842"/>
      <c r="D10" s="842"/>
      <c r="E10" s="795"/>
      <c r="F10" s="947"/>
      <c r="G10" s="11"/>
      <c r="H10" s="841"/>
      <c r="I10" s="787"/>
      <c r="J10" s="795"/>
      <c r="K10" s="11"/>
      <c r="L10" s="1031"/>
      <c r="M10" s="1047"/>
      <c r="N10" s="1035"/>
      <c r="O10" s="1047"/>
      <c r="P10" s="1051"/>
      <c r="Q10" s="1047"/>
      <c r="R10" s="1062"/>
      <c r="S10" s="11"/>
      <c r="T10" s="852"/>
      <c r="U10" s="854"/>
      <c r="V10" s="137" t="s">
        <v>277</v>
      </c>
      <c r="W10" s="787"/>
      <c r="X10" s="795"/>
    </row>
    <row r="11" spans="1:25" ht="34.5" customHeight="1">
      <c r="A11" s="841"/>
      <c r="B11" s="842"/>
      <c r="C11" s="842"/>
      <c r="D11" s="842"/>
      <c r="E11" s="795"/>
      <c r="F11" s="948"/>
      <c r="G11" s="11"/>
      <c r="H11" s="841"/>
      <c r="I11" s="787"/>
      <c r="J11" s="795"/>
      <c r="K11" s="11"/>
      <c r="L11" s="1032"/>
      <c r="M11" s="1048"/>
      <c r="N11" s="1036"/>
      <c r="O11" s="1048"/>
      <c r="P11" s="1052"/>
      <c r="Q11" s="1048"/>
      <c r="R11" s="1063"/>
      <c r="S11" s="11"/>
      <c r="T11" s="852"/>
      <c r="U11" s="854"/>
      <c r="V11" s="137" t="s">
        <v>278</v>
      </c>
      <c r="W11" s="787"/>
      <c r="X11" s="795"/>
    </row>
    <row r="12" spans="1:25" ht="111" customHeight="1">
      <c r="A12" s="93" t="s">
        <v>372</v>
      </c>
      <c r="B12" s="88" t="s">
        <v>320</v>
      </c>
      <c r="C12" s="88" t="s">
        <v>373</v>
      </c>
      <c r="D12" s="88" t="s">
        <v>1030</v>
      </c>
      <c r="E12" s="94" t="s">
        <v>1031</v>
      </c>
      <c r="F12" s="44" t="s">
        <v>1032</v>
      </c>
      <c r="G12" s="10"/>
      <c r="H12" s="109" t="s">
        <v>377</v>
      </c>
      <c r="I12" s="228" t="s">
        <v>378</v>
      </c>
      <c r="J12" s="234" t="s">
        <v>379</v>
      </c>
      <c r="K12" s="10"/>
      <c r="L12" s="124" t="s">
        <v>268</v>
      </c>
      <c r="M12" s="122" t="s">
        <v>380</v>
      </c>
      <c r="N12" s="367" t="s">
        <v>1033</v>
      </c>
      <c r="O12" s="122" t="s">
        <v>5</v>
      </c>
      <c r="P12" s="122" t="str">
        <f>'PDS - Desenvolvimento'!$K$124</f>
        <v>Concluído</v>
      </c>
      <c r="Q12" s="452">
        <v>45608</v>
      </c>
      <c r="R12" s="199" t="s">
        <v>5</v>
      </c>
      <c r="S12" s="10"/>
      <c r="T12" s="266" t="s">
        <v>382</v>
      </c>
      <c r="U12" s="262" t="s">
        <v>272</v>
      </c>
      <c r="V12" s="263" t="s">
        <v>383</v>
      </c>
      <c r="W12" s="131" t="s">
        <v>384</v>
      </c>
      <c r="X12" s="141" t="s">
        <v>385</v>
      </c>
    </row>
    <row r="13" spans="1:25" ht="15" customHeight="1">
      <c r="A13" s="841" t="s">
        <v>398</v>
      </c>
      <c r="B13" s="842" t="s">
        <v>320</v>
      </c>
      <c r="C13" s="842" t="s">
        <v>399</v>
      </c>
      <c r="D13" s="842" t="s">
        <v>337</v>
      </c>
      <c r="E13" s="795" t="s">
        <v>400</v>
      </c>
      <c r="F13" s="946" t="s">
        <v>1034</v>
      </c>
      <c r="G13" s="11"/>
      <c r="H13" s="884" t="s">
        <v>402</v>
      </c>
      <c r="I13" s="787"/>
      <c r="J13" s="795"/>
      <c r="K13" s="10"/>
      <c r="L13" s="841" t="s">
        <v>403</v>
      </c>
      <c r="M13" s="842" t="s">
        <v>404</v>
      </c>
      <c r="N13" s="885" t="s">
        <v>405</v>
      </c>
      <c r="O13" s="1046" t="s">
        <v>5</v>
      </c>
      <c r="P13" s="1046" t="str">
        <f>'PDS - Desenvolvimento'!$K$130</f>
        <v>Concluído</v>
      </c>
      <c r="Q13" s="1037"/>
      <c r="R13" s="1053" t="s">
        <v>406</v>
      </c>
      <c r="S13" s="11"/>
      <c r="T13" s="1033" t="s">
        <v>305</v>
      </c>
      <c r="U13" s="787" t="s">
        <v>306</v>
      </c>
      <c r="V13" s="265" t="s">
        <v>329</v>
      </c>
      <c r="W13" s="787" t="s">
        <v>407</v>
      </c>
      <c r="X13" s="795" t="s">
        <v>408</v>
      </c>
    </row>
    <row r="14" spans="1:25" ht="14.5">
      <c r="A14" s="841"/>
      <c r="B14" s="842"/>
      <c r="C14" s="842"/>
      <c r="D14" s="842"/>
      <c r="E14" s="795"/>
      <c r="F14" s="947"/>
      <c r="G14" s="11"/>
      <c r="H14" s="884"/>
      <c r="I14" s="787"/>
      <c r="J14" s="795"/>
      <c r="K14" s="11"/>
      <c r="L14" s="841"/>
      <c r="M14" s="842"/>
      <c r="N14" s="885"/>
      <c r="O14" s="1047"/>
      <c r="P14" s="1047"/>
      <c r="Q14" s="1038"/>
      <c r="R14" s="1054"/>
      <c r="S14" s="11"/>
      <c r="T14" s="1033"/>
      <c r="U14" s="787"/>
      <c r="V14" s="265" t="s">
        <v>333</v>
      </c>
      <c r="W14" s="787"/>
      <c r="X14" s="795"/>
    </row>
    <row r="15" spans="1:25" ht="14.5">
      <c r="A15" s="841"/>
      <c r="B15" s="842"/>
      <c r="C15" s="842"/>
      <c r="D15" s="842"/>
      <c r="E15" s="795"/>
      <c r="F15" s="947"/>
      <c r="G15" s="11"/>
      <c r="H15" s="884"/>
      <c r="I15" s="787"/>
      <c r="J15" s="795"/>
      <c r="K15" s="10"/>
      <c r="L15" s="841"/>
      <c r="M15" s="842"/>
      <c r="N15" s="885"/>
      <c r="O15" s="1047"/>
      <c r="P15" s="1047"/>
      <c r="Q15" s="1038"/>
      <c r="R15" s="1054"/>
      <c r="S15" s="11"/>
      <c r="T15" s="1033"/>
      <c r="U15" s="787"/>
      <c r="V15" s="265" t="s">
        <v>410</v>
      </c>
      <c r="W15" s="787"/>
      <c r="X15" s="795"/>
    </row>
    <row r="16" spans="1:25" ht="14.5">
      <c r="A16" s="841"/>
      <c r="B16" s="842"/>
      <c r="C16" s="842"/>
      <c r="D16" s="842"/>
      <c r="E16" s="795"/>
      <c r="F16" s="947"/>
      <c r="G16" s="11"/>
      <c r="H16" s="884"/>
      <c r="I16" s="787"/>
      <c r="J16" s="795"/>
      <c r="K16" s="10"/>
      <c r="L16" s="841"/>
      <c r="M16" s="842"/>
      <c r="N16" s="885"/>
      <c r="O16" s="1047"/>
      <c r="P16" s="1047"/>
      <c r="Q16" s="1038"/>
      <c r="R16" s="1054"/>
      <c r="S16" s="11"/>
      <c r="T16" s="852" t="s">
        <v>271</v>
      </c>
      <c r="U16" s="854" t="s">
        <v>272</v>
      </c>
      <c r="V16" s="137" t="s">
        <v>273</v>
      </c>
      <c r="W16" s="787"/>
      <c r="X16" s="795"/>
    </row>
    <row r="17" spans="1:24" ht="14.5">
      <c r="A17" s="841"/>
      <c r="B17" s="842"/>
      <c r="C17" s="842"/>
      <c r="D17" s="842"/>
      <c r="E17" s="795"/>
      <c r="F17" s="947"/>
      <c r="G17" s="11"/>
      <c r="H17" s="884"/>
      <c r="I17" s="787"/>
      <c r="J17" s="795"/>
      <c r="K17" s="10"/>
      <c r="L17" s="841"/>
      <c r="M17" s="842"/>
      <c r="N17" s="885"/>
      <c r="O17" s="1047"/>
      <c r="P17" s="1047"/>
      <c r="Q17" s="1038"/>
      <c r="R17" s="1054"/>
      <c r="S17" s="11"/>
      <c r="T17" s="852"/>
      <c r="U17" s="854"/>
      <c r="V17" s="137" t="s">
        <v>276</v>
      </c>
      <c r="W17" s="787"/>
      <c r="X17" s="795"/>
    </row>
    <row r="18" spans="1:24" ht="14.5">
      <c r="A18" s="841"/>
      <c r="B18" s="842"/>
      <c r="C18" s="842"/>
      <c r="D18" s="842"/>
      <c r="E18" s="795"/>
      <c r="F18" s="947"/>
      <c r="G18" s="11"/>
      <c r="H18" s="884"/>
      <c r="I18" s="787"/>
      <c r="J18" s="795"/>
      <c r="K18" s="11"/>
      <c r="L18" s="841"/>
      <c r="M18" s="842"/>
      <c r="N18" s="885"/>
      <c r="O18" s="1047"/>
      <c r="P18" s="1047"/>
      <c r="Q18" s="1038"/>
      <c r="R18" s="1054"/>
      <c r="S18" s="11"/>
      <c r="T18" s="852"/>
      <c r="U18" s="854"/>
      <c r="V18" s="137" t="s">
        <v>277</v>
      </c>
      <c r="W18" s="787"/>
      <c r="X18" s="795"/>
    </row>
    <row r="19" spans="1:24" ht="14.5">
      <c r="A19" s="841"/>
      <c r="B19" s="842"/>
      <c r="C19" s="842"/>
      <c r="D19" s="842"/>
      <c r="E19" s="795"/>
      <c r="F19" s="947"/>
      <c r="G19" s="11"/>
      <c r="H19" s="884"/>
      <c r="I19" s="787"/>
      <c r="J19" s="795"/>
      <c r="K19" s="11"/>
      <c r="L19" s="841"/>
      <c r="M19" s="842"/>
      <c r="N19" s="885"/>
      <c r="O19" s="1047"/>
      <c r="P19" s="1047"/>
      <c r="Q19" s="1038"/>
      <c r="R19" s="1054"/>
      <c r="S19" s="11"/>
      <c r="T19" s="852"/>
      <c r="U19" s="854"/>
      <c r="V19" s="137" t="s">
        <v>278</v>
      </c>
      <c r="W19" s="787"/>
      <c r="X19" s="795"/>
    </row>
    <row r="20" spans="1:24" ht="14.5">
      <c r="A20" s="841"/>
      <c r="B20" s="842"/>
      <c r="C20" s="842"/>
      <c r="D20" s="842"/>
      <c r="E20" s="795"/>
      <c r="F20" s="947"/>
      <c r="G20" s="11"/>
      <c r="H20" s="884"/>
      <c r="I20" s="787"/>
      <c r="J20" s="795"/>
      <c r="K20" s="11"/>
      <c r="L20" s="841"/>
      <c r="M20" s="842"/>
      <c r="N20" s="885"/>
      <c r="O20" s="1047"/>
      <c r="P20" s="1047"/>
      <c r="Q20" s="1038"/>
      <c r="R20" s="1054"/>
      <c r="S20" s="11"/>
      <c r="T20" s="852" t="s">
        <v>411</v>
      </c>
      <c r="U20" s="889" t="s">
        <v>360</v>
      </c>
      <c r="V20" s="137" t="s">
        <v>412</v>
      </c>
      <c r="W20" s="787"/>
      <c r="X20" s="795"/>
    </row>
    <row r="21" spans="1:24" ht="14.5">
      <c r="A21" s="841"/>
      <c r="B21" s="842"/>
      <c r="C21" s="842"/>
      <c r="D21" s="842"/>
      <c r="E21" s="795"/>
      <c r="F21" s="947"/>
      <c r="G21" s="11"/>
      <c r="H21" s="884"/>
      <c r="I21" s="787"/>
      <c r="J21" s="795"/>
      <c r="K21" s="11"/>
      <c r="L21" s="841"/>
      <c r="M21" s="842"/>
      <c r="N21" s="885"/>
      <c r="O21" s="1047"/>
      <c r="P21" s="1047"/>
      <c r="Q21" s="1038"/>
      <c r="R21" s="1054"/>
      <c r="S21" s="11"/>
      <c r="T21" s="852"/>
      <c r="U21" s="889"/>
      <c r="V21" s="137" t="s">
        <v>413</v>
      </c>
      <c r="W21" s="787"/>
      <c r="X21" s="795"/>
    </row>
    <row r="22" spans="1:24" ht="14.5">
      <c r="A22" s="841"/>
      <c r="B22" s="842"/>
      <c r="C22" s="842"/>
      <c r="D22" s="842"/>
      <c r="E22" s="795"/>
      <c r="F22" s="947"/>
      <c r="G22" s="11"/>
      <c r="H22" s="884"/>
      <c r="I22" s="787"/>
      <c r="J22" s="795"/>
      <c r="K22" s="11"/>
      <c r="L22" s="841"/>
      <c r="M22" s="842"/>
      <c r="N22" s="885"/>
      <c r="O22" s="1047"/>
      <c r="P22" s="1047"/>
      <c r="Q22" s="1038"/>
      <c r="R22" s="1054"/>
      <c r="S22" s="11"/>
      <c r="T22" s="852"/>
      <c r="U22" s="889"/>
      <c r="V22" s="137" t="s">
        <v>365</v>
      </c>
      <c r="W22" s="787"/>
      <c r="X22" s="795"/>
    </row>
    <row r="23" spans="1:24" ht="75" customHeight="1">
      <c r="A23" s="841"/>
      <c r="B23" s="842"/>
      <c r="C23" s="842"/>
      <c r="D23" s="842"/>
      <c r="E23" s="795"/>
      <c r="F23" s="948"/>
      <c r="G23" s="11"/>
      <c r="H23" s="884"/>
      <c r="I23" s="787"/>
      <c r="J23" s="795"/>
      <c r="K23" s="11"/>
      <c r="L23" s="841"/>
      <c r="M23" s="842"/>
      <c r="N23" s="885"/>
      <c r="O23" s="1048"/>
      <c r="P23" s="1048"/>
      <c r="Q23" s="1039"/>
      <c r="R23" s="1055"/>
      <c r="S23" s="11"/>
      <c r="T23" s="144" t="s">
        <v>414</v>
      </c>
      <c r="U23" s="135" t="s">
        <v>360</v>
      </c>
      <c r="V23" s="137" t="s">
        <v>415</v>
      </c>
      <c r="W23" s="787"/>
      <c r="X23" s="795"/>
    </row>
    <row r="24" spans="1:24" ht="174">
      <c r="A24" s="93" t="s">
        <v>416</v>
      </c>
      <c r="B24" s="88" t="s">
        <v>320</v>
      </c>
      <c r="C24" s="88" t="s">
        <v>417</v>
      </c>
      <c r="D24" s="88" t="s">
        <v>337</v>
      </c>
      <c r="E24" s="226" t="s">
        <v>1035</v>
      </c>
      <c r="F24" s="44" t="s">
        <v>1036</v>
      </c>
      <c r="G24" s="10"/>
      <c r="H24" s="113" t="s">
        <v>50</v>
      </c>
      <c r="I24" s="105" t="s">
        <v>50</v>
      </c>
      <c r="J24" s="114" t="s">
        <v>50</v>
      </c>
      <c r="K24" s="10"/>
      <c r="L24" s="124" t="s">
        <v>284</v>
      </c>
      <c r="M24" s="122" t="s">
        <v>420</v>
      </c>
      <c r="N24" s="351" t="s">
        <v>421</v>
      </c>
      <c r="O24" s="122" t="s">
        <v>5</v>
      </c>
      <c r="P24" s="122" t="str">
        <f>'PDS - Desenvolvimento'!$K$131</f>
        <v>Concluído</v>
      </c>
      <c r="Q24" s="452">
        <v>45608</v>
      </c>
      <c r="R24" s="125" t="s">
        <v>287</v>
      </c>
      <c r="S24" s="10"/>
      <c r="T24" s="268" t="s">
        <v>422</v>
      </c>
      <c r="U24" s="263" t="s">
        <v>422</v>
      </c>
      <c r="V24" s="263" t="s">
        <v>422</v>
      </c>
      <c r="W24" s="263" t="s">
        <v>422</v>
      </c>
      <c r="X24" s="269" t="s">
        <v>422</v>
      </c>
    </row>
    <row r="25" spans="1:24" ht="116">
      <c r="A25" s="95" t="s">
        <v>1037</v>
      </c>
      <c r="B25" s="89" t="s">
        <v>1038</v>
      </c>
      <c r="C25" s="89" t="s">
        <v>1039</v>
      </c>
      <c r="D25" s="89" t="s">
        <v>294</v>
      </c>
      <c r="E25" s="160" t="s">
        <v>1040</v>
      </c>
      <c r="F25" s="45" t="s">
        <v>1041</v>
      </c>
      <c r="G25" s="11"/>
      <c r="H25" s="95" t="s">
        <v>520</v>
      </c>
      <c r="I25" s="189" t="s">
        <v>50</v>
      </c>
      <c r="J25" s="145" t="s">
        <v>50</v>
      </c>
      <c r="K25" s="11"/>
      <c r="L25" s="95" t="s">
        <v>284</v>
      </c>
      <c r="M25" s="89" t="s">
        <v>1042</v>
      </c>
      <c r="N25" s="90" t="s">
        <v>521</v>
      </c>
      <c r="O25" s="89" t="s">
        <v>5</v>
      </c>
      <c r="P25" s="116" t="str">
        <f>'PDS - Desenvolvimento'!$K$132</f>
        <v>Concluído</v>
      </c>
      <c r="Q25" s="454">
        <v>45608</v>
      </c>
      <c r="R25" s="145" t="s">
        <v>287</v>
      </c>
      <c r="S25" s="11"/>
      <c r="T25" s="142" t="s">
        <v>621</v>
      </c>
      <c r="U25" s="90" t="s">
        <v>621</v>
      </c>
      <c r="V25" s="90" t="s">
        <v>621</v>
      </c>
      <c r="W25" s="90" t="s">
        <v>621</v>
      </c>
      <c r="X25" s="96" t="s">
        <v>621</v>
      </c>
    </row>
    <row r="26" spans="1:24" ht="39" customHeight="1">
      <c r="A26" s="836" t="s">
        <v>1043</v>
      </c>
      <c r="B26" s="835" t="s">
        <v>737</v>
      </c>
      <c r="C26" s="835" t="s">
        <v>1044</v>
      </c>
      <c r="D26" s="835" t="s">
        <v>294</v>
      </c>
      <c r="E26" s="912" t="s">
        <v>1045</v>
      </c>
      <c r="F26" s="949" t="s">
        <v>1046</v>
      </c>
      <c r="G26" s="10"/>
      <c r="H26" s="821" t="s">
        <v>1047</v>
      </c>
      <c r="I26" s="827" t="s">
        <v>1048</v>
      </c>
      <c r="J26" s="922" t="s">
        <v>1049</v>
      </c>
      <c r="K26" s="10"/>
      <c r="L26" s="1043" t="s">
        <v>268</v>
      </c>
      <c r="M26" s="1040" t="s">
        <v>1050</v>
      </c>
      <c r="N26" s="1058" t="s">
        <v>1051</v>
      </c>
      <c r="O26" s="1040" t="s">
        <v>5</v>
      </c>
      <c r="P26" s="1040" t="str">
        <f>'PDS - Desenvolvimento'!$K$120</f>
        <v>Concluído</v>
      </c>
      <c r="Q26" s="1040"/>
      <c r="R26" s="1056" t="s">
        <v>5</v>
      </c>
      <c r="S26" s="10"/>
      <c r="T26" s="798" t="s">
        <v>300</v>
      </c>
      <c r="U26" s="796" t="s">
        <v>563</v>
      </c>
      <c r="V26" s="133" t="s">
        <v>302</v>
      </c>
      <c r="W26" s="793" t="s">
        <v>1052</v>
      </c>
      <c r="X26" s="791" t="s">
        <v>385</v>
      </c>
    </row>
    <row r="27" spans="1:24" ht="68.25" customHeight="1">
      <c r="A27" s="836"/>
      <c r="B27" s="835"/>
      <c r="C27" s="835"/>
      <c r="D27" s="835"/>
      <c r="E27" s="912"/>
      <c r="F27" s="950"/>
      <c r="G27" s="10"/>
      <c r="H27" s="821"/>
      <c r="I27" s="827"/>
      <c r="J27" s="922"/>
      <c r="K27" s="10"/>
      <c r="L27" s="1044"/>
      <c r="M27" s="1041"/>
      <c r="N27" s="1059"/>
      <c r="O27" s="1041"/>
      <c r="P27" s="1041"/>
      <c r="Q27" s="1041"/>
      <c r="R27" s="1057"/>
      <c r="S27" s="10"/>
      <c r="T27" s="798"/>
      <c r="U27" s="796"/>
      <c r="V27" s="133" t="s">
        <v>304</v>
      </c>
      <c r="W27" s="793"/>
      <c r="X27" s="791"/>
    </row>
    <row r="28" spans="1:24" ht="46.5" customHeight="1">
      <c r="A28" s="836"/>
      <c r="B28" s="835"/>
      <c r="C28" s="835"/>
      <c r="D28" s="835"/>
      <c r="E28" s="912"/>
      <c r="F28" s="951"/>
      <c r="G28" s="10"/>
      <c r="H28" s="821"/>
      <c r="I28" s="827"/>
      <c r="J28" s="922"/>
      <c r="K28" s="10"/>
      <c r="L28" s="1045"/>
      <c r="M28" s="1042"/>
      <c r="N28" s="1060"/>
      <c r="O28" s="1042"/>
      <c r="P28" s="1042"/>
      <c r="Q28" s="1042"/>
      <c r="R28" s="908"/>
      <c r="S28" s="10"/>
      <c r="T28" s="140" t="s">
        <v>565</v>
      </c>
      <c r="U28" s="131" t="s">
        <v>272</v>
      </c>
      <c r="V28" s="133" t="s">
        <v>747</v>
      </c>
      <c r="W28" s="793"/>
      <c r="X28" s="791"/>
    </row>
    <row r="29" spans="1:24" ht="116.25" customHeight="1">
      <c r="A29" s="185" t="s">
        <v>1053</v>
      </c>
      <c r="B29" s="186" t="s">
        <v>737</v>
      </c>
      <c r="C29" s="186" t="s">
        <v>1054</v>
      </c>
      <c r="D29" s="186" t="s">
        <v>917</v>
      </c>
      <c r="E29" s="187" t="s">
        <v>1055</v>
      </c>
      <c r="F29" s="260" t="s">
        <v>1056</v>
      </c>
      <c r="G29" s="11"/>
      <c r="H29" s="185" t="s">
        <v>1057</v>
      </c>
      <c r="I29" s="261" t="s">
        <v>753</v>
      </c>
      <c r="J29" s="187" t="s">
        <v>1058</v>
      </c>
      <c r="K29" s="11"/>
      <c r="L29" s="185" t="s">
        <v>268</v>
      </c>
      <c r="M29" s="186" t="s">
        <v>1059</v>
      </c>
      <c r="N29" s="261" t="s">
        <v>1060</v>
      </c>
      <c r="O29" s="186" t="s">
        <v>5</v>
      </c>
      <c r="P29" s="186" t="str">
        <f>'PDS - Desenvolvimento'!$K$115</f>
        <v>Concluído</v>
      </c>
      <c r="Q29" s="455">
        <v>45608</v>
      </c>
      <c r="R29" s="205" t="s">
        <v>5</v>
      </c>
      <c r="S29" s="11"/>
      <c r="T29" s="270" t="s">
        <v>565</v>
      </c>
      <c r="U29" s="261" t="s">
        <v>272</v>
      </c>
      <c r="V29" s="186" t="s">
        <v>757</v>
      </c>
      <c r="W29" s="261" t="s">
        <v>1061</v>
      </c>
      <c r="X29" s="271" t="s">
        <v>385</v>
      </c>
    </row>
    <row r="30" spans="1:24" ht="14.5">
      <c r="Q30" s="456"/>
    </row>
  </sheetData>
  <autoFilter ref="A2:Y29"/>
  <mergeCells count="70">
    <mergeCell ref="T1:X1"/>
    <mergeCell ref="R4:R11"/>
    <mergeCell ref="I4:I11"/>
    <mergeCell ref="J4:J11"/>
    <mergeCell ref="E4:E11"/>
    <mergeCell ref="X4:X11"/>
    <mergeCell ref="U4:U6"/>
    <mergeCell ref="W4:W11"/>
    <mergeCell ref="U8:U11"/>
    <mergeCell ref="A1:E1"/>
    <mergeCell ref="H1:J1"/>
    <mergeCell ref="D4:D11"/>
    <mergeCell ref="A4:A11"/>
    <mergeCell ref="C4:C11"/>
    <mergeCell ref="B4:B11"/>
    <mergeCell ref="H4:H11"/>
    <mergeCell ref="D13:D23"/>
    <mergeCell ref="C13:C23"/>
    <mergeCell ref="B13:B23"/>
    <mergeCell ref="E13:E23"/>
    <mergeCell ref="A26:A28"/>
    <mergeCell ref="A13:A23"/>
    <mergeCell ref="D26:D28"/>
    <mergeCell ref="E26:E28"/>
    <mergeCell ref="B26:B28"/>
    <mergeCell ref="C26:C28"/>
    <mergeCell ref="W26:W28"/>
    <mergeCell ref="I13:I23"/>
    <mergeCell ref="J13:J23"/>
    <mergeCell ref="I26:I28"/>
    <mergeCell ref="J26:J28"/>
    <mergeCell ref="R13:R23"/>
    <mergeCell ref="R26:R28"/>
    <mergeCell ref="T26:T27"/>
    <mergeCell ref="U26:U27"/>
    <mergeCell ref="N13:N23"/>
    <mergeCell ref="N26:N28"/>
    <mergeCell ref="O13:O23"/>
    <mergeCell ref="O26:O28"/>
    <mergeCell ref="P13:P23"/>
    <mergeCell ref="P26:P28"/>
    <mergeCell ref="T4:T6"/>
    <mergeCell ref="T8:T11"/>
    <mergeCell ref="N4:N11"/>
    <mergeCell ref="H26:H28"/>
    <mergeCell ref="Q13:Q23"/>
    <mergeCell ref="Q26:Q28"/>
    <mergeCell ref="M26:M28"/>
    <mergeCell ref="L26:L28"/>
    <mergeCell ref="M4:M11"/>
    <mergeCell ref="M13:M23"/>
    <mergeCell ref="O4:O11"/>
    <mergeCell ref="Q4:Q11"/>
    <mergeCell ref="P4:P11"/>
    <mergeCell ref="L1:R1"/>
    <mergeCell ref="L4:L11"/>
    <mergeCell ref="L13:L23"/>
    <mergeCell ref="X26:X28"/>
    <mergeCell ref="F4:F11"/>
    <mergeCell ref="F13:F23"/>
    <mergeCell ref="F26:F28"/>
    <mergeCell ref="H13:H23"/>
    <mergeCell ref="T13:T15"/>
    <mergeCell ref="U13:U15"/>
    <mergeCell ref="W13:W23"/>
    <mergeCell ref="X13:X23"/>
    <mergeCell ref="T16:T19"/>
    <mergeCell ref="U16:U19"/>
    <mergeCell ref="T20:T22"/>
    <mergeCell ref="U20:U22"/>
  </mergeCells>
  <dataValidations count="1">
    <dataValidation allowBlank="1" showInputMessage="1" showErrorMessage="1" sqref="P3:P29"/>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AUX!$A$2:$A$8</xm:f>
          </x14:formula1>
          <xm:sqref>O3:O29</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Y27"/>
  <sheetViews>
    <sheetView zoomScale="67" zoomScaleNormal="55" workbookViewId="0">
      <pane xSplit="6" ySplit="2" topLeftCell="G8" activePane="bottomRight" state="frozen"/>
      <selection pane="topRight" activeCell="G1" sqref="G1"/>
      <selection pane="bottomLeft" activeCell="A3" sqref="A3"/>
      <selection pane="bottomRight" activeCell="G3" sqref="G3"/>
    </sheetView>
  </sheetViews>
  <sheetFormatPr defaultRowHeight="15" customHeight="1"/>
  <cols>
    <col min="1" max="1" width="6.26953125" customWidth="1"/>
    <col min="2" max="2" width="12.81640625" customWidth="1"/>
    <col min="3" max="3" width="24.453125" bestFit="1" customWidth="1"/>
    <col min="4" max="4" width="13" customWidth="1"/>
    <col min="5" max="5" width="47.7265625" customWidth="1"/>
    <col min="6" max="6" width="0" hidden="1" customWidth="1"/>
    <col min="7" max="7" width="4" customWidth="1"/>
    <col min="8" max="8" width="34.1796875" customWidth="1"/>
    <col min="9" max="10" width="35.81640625" customWidth="1"/>
    <col min="11" max="11" width="4" customWidth="1"/>
    <col min="12" max="12" width="18.54296875" bestFit="1" customWidth="1"/>
    <col min="13" max="13" width="28.7265625" bestFit="1" customWidth="1"/>
    <col min="14" max="16" width="52.453125" customWidth="1"/>
    <col min="17" max="17" width="52.453125" hidden="1" customWidth="1"/>
    <col min="18" max="18" width="36.1796875" hidden="1" customWidth="1"/>
    <col min="19" max="19" width="4.1796875" customWidth="1"/>
    <col min="20" max="21" width="36" hidden="1" customWidth="1"/>
    <col min="22" max="22" width="35.26953125" hidden="1" customWidth="1"/>
    <col min="23" max="23" width="86" hidden="1" customWidth="1"/>
    <col min="24" max="24" width="52.453125" hidden="1" customWidth="1"/>
  </cols>
  <sheetData>
    <row r="1" spans="1:25" ht="19" customHeight="1">
      <c r="A1" s="874" t="s">
        <v>234</v>
      </c>
      <c r="B1" s="875"/>
      <c r="C1" s="875"/>
      <c r="D1" s="875"/>
      <c r="E1" s="876"/>
      <c r="F1" s="84"/>
      <c r="G1" s="85"/>
      <c r="H1" s="877" t="s">
        <v>235</v>
      </c>
      <c r="I1" s="878"/>
      <c r="J1" s="879"/>
      <c r="K1" s="85"/>
      <c r="L1" s="869" t="s">
        <v>236</v>
      </c>
      <c r="M1" s="870"/>
      <c r="N1" s="870"/>
      <c r="O1" s="870"/>
      <c r="P1" s="870"/>
      <c r="Q1" s="871"/>
      <c r="R1" s="317"/>
      <c r="S1" s="85"/>
      <c r="T1" s="886" t="s">
        <v>237</v>
      </c>
      <c r="U1" s="887"/>
      <c r="V1" s="887"/>
      <c r="W1" s="887"/>
      <c r="X1" s="888"/>
      <c r="Y1" s="129"/>
    </row>
    <row r="2" spans="1:25" ht="29">
      <c r="A2" s="91" t="s">
        <v>238</v>
      </c>
      <c r="B2" s="87" t="s">
        <v>239</v>
      </c>
      <c r="C2" s="87" t="s">
        <v>240</v>
      </c>
      <c r="D2" s="87" t="s">
        <v>241</v>
      </c>
      <c r="E2" s="92" t="s">
        <v>242</v>
      </c>
      <c r="F2" s="218" t="s">
        <v>242</v>
      </c>
      <c r="G2" s="35"/>
      <c r="H2" s="107" t="s">
        <v>244</v>
      </c>
      <c r="I2" s="100" t="s">
        <v>245</v>
      </c>
      <c r="J2" s="108" t="s">
        <v>246</v>
      </c>
      <c r="K2" s="36"/>
      <c r="L2" s="333" t="s">
        <v>423</v>
      </c>
      <c r="M2" s="334" t="s">
        <v>248</v>
      </c>
      <c r="N2" s="121" t="s">
        <v>249</v>
      </c>
      <c r="O2" s="121" t="s">
        <v>1</v>
      </c>
      <c r="P2" s="121" t="s">
        <v>250</v>
      </c>
      <c r="Q2" s="123" t="s">
        <v>251</v>
      </c>
      <c r="R2" s="332" t="s">
        <v>252</v>
      </c>
      <c r="S2" s="9"/>
      <c r="T2" s="138" t="s">
        <v>253</v>
      </c>
      <c r="U2" s="130" t="s">
        <v>254</v>
      </c>
      <c r="V2" s="130" t="s">
        <v>255</v>
      </c>
      <c r="W2" s="130" t="s">
        <v>256</v>
      </c>
      <c r="X2" s="139" t="s">
        <v>257</v>
      </c>
    </row>
    <row r="3" spans="1:25" ht="14.5">
      <c r="A3" s="836" t="s">
        <v>424</v>
      </c>
      <c r="B3" s="835" t="s">
        <v>260</v>
      </c>
      <c r="C3" s="835" t="s">
        <v>425</v>
      </c>
      <c r="D3" s="835" t="s">
        <v>262</v>
      </c>
      <c r="E3" s="815" t="s">
        <v>426</v>
      </c>
      <c r="F3" s="1071" t="s">
        <v>1062</v>
      </c>
      <c r="G3" s="34"/>
      <c r="H3" s="821" t="s">
        <v>428</v>
      </c>
      <c r="I3" s="827" t="s">
        <v>429</v>
      </c>
      <c r="J3" s="830" t="s">
        <v>430</v>
      </c>
      <c r="K3" s="34"/>
      <c r="L3" s="813" t="s">
        <v>268</v>
      </c>
      <c r="M3" s="784" t="s">
        <v>431</v>
      </c>
      <c r="N3" s="824" t="s">
        <v>432</v>
      </c>
      <c r="O3" s="784" t="s">
        <v>5</v>
      </c>
      <c r="P3" s="784" t="str">
        <f>'PDS - Desenvolvimento'!$K$148</f>
        <v>Concluído</v>
      </c>
      <c r="Q3" s="1067">
        <v>45608</v>
      </c>
      <c r="R3" s="811" t="s">
        <v>5</v>
      </c>
      <c r="S3" s="34"/>
      <c r="T3" s="798" t="s">
        <v>1063</v>
      </c>
      <c r="U3" s="793" t="s">
        <v>272</v>
      </c>
      <c r="V3" s="133" t="s">
        <v>273</v>
      </c>
      <c r="W3" s="793" t="s">
        <v>1064</v>
      </c>
      <c r="X3" s="855"/>
    </row>
    <row r="4" spans="1:25" ht="14.5">
      <c r="A4" s="836"/>
      <c r="B4" s="835"/>
      <c r="C4" s="835"/>
      <c r="D4" s="835"/>
      <c r="E4" s="815"/>
      <c r="F4" s="1072"/>
      <c r="G4" s="34"/>
      <c r="H4" s="821"/>
      <c r="I4" s="827"/>
      <c r="J4" s="830"/>
      <c r="K4" s="34"/>
      <c r="L4" s="813"/>
      <c r="M4" s="784"/>
      <c r="N4" s="824"/>
      <c r="O4" s="784"/>
      <c r="P4" s="784"/>
      <c r="Q4" s="909"/>
      <c r="R4" s="811"/>
      <c r="S4" s="34"/>
      <c r="T4" s="798"/>
      <c r="U4" s="793"/>
      <c r="V4" s="133" t="s">
        <v>436</v>
      </c>
      <c r="W4" s="793"/>
      <c r="X4" s="855"/>
    </row>
    <row r="5" spans="1:25" ht="14.5">
      <c r="A5" s="836"/>
      <c r="B5" s="835"/>
      <c r="C5" s="835"/>
      <c r="D5" s="835"/>
      <c r="E5" s="815"/>
      <c r="F5" s="1072"/>
      <c r="G5" s="34"/>
      <c r="H5" s="821"/>
      <c r="I5" s="827"/>
      <c r="J5" s="830"/>
      <c r="K5" s="34"/>
      <c r="L5" s="813"/>
      <c r="M5" s="784"/>
      <c r="N5" s="824"/>
      <c r="O5" s="784"/>
      <c r="P5" s="784"/>
      <c r="Q5" s="909"/>
      <c r="R5" s="811"/>
      <c r="S5" s="34"/>
      <c r="T5" s="798"/>
      <c r="U5" s="793"/>
      <c r="V5" s="133" t="s">
        <v>437</v>
      </c>
      <c r="W5" s="793"/>
      <c r="X5" s="855"/>
    </row>
    <row r="6" spans="1:25" ht="14.5">
      <c r="A6" s="836"/>
      <c r="B6" s="835"/>
      <c r="C6" s="835"/>
      <c r="D6" s="835"/>
      <c r="E6" s="815"/>
      <c r="F6" s="1073"/>
      <c r="G6" s="34"/>
      <c r="H6" s="821"/>
      <c r="I6" s="827"/>
      <c r="J6" s="830"/>
      <c r="K6" s="34"/>
      <c r="L6" s="813"/>
      <c r="M6" s="784"/>
      <c r="N6" s="824"/>
      <c r="O6" s="784"/>
      <c r="P6" s="784"/>
      <c r="Q6" s="909"/>
      <c r="R6" s="811"/>
      <c r="S6" s="34"/>
      <c r="T6" s="798"/>
      <c r="U6" s="793"/>
      <c r="V6" s="133" t="s">
        <v>438</v>
      </c>
      <c r="W6" s="793"/>
      <c r="X6" s="855"/>
    </row>
    <row r="7" spans="1:25" ht="127.5" customHeight="1">
      <c r="A7" s="95" t="s">
        <v>1065</v>
      </c>
      <c r="B7" s="89" t="s">
        <v>260</v>
      </c>
      <c r="C7" s="89" t="s">
        <v>1066</v>
      </c>
      <c r="D7" s="89" t="s">
        <v>262</v>
      </c>
      <c r="E7" s="160" t="s">
        <v>1067</v>
      </c>
      <c r="F7" s="13" t="s">
        <v>1068</v>
      </c>
      <c r="G7" s="11"/>
      <c r="H7" s="95" t="s">
        <v>1069</v>
      </c>
      <c r="I7" s="90" t="s">
        <v>1070</v>
      </c>
      <c r="J7" s="160" t="s">
        <v>1071</v>
      </c>
      <c r="K7" s="11"/>
      <c r="L7" s="111" t="s">
        <v>268</v>
      </c>
      <c r="M7" s="103" t="s">
        <v>1072</v>
      </c>
      <c r="N7" s="106" t="s">
        <v>1073</v>
      </c>
      <c r="O7" s="89" t="s">
        <v>5</v>
      </c>
      <c r="P7" s="89" t="str">
        <f>'PDS - Desenvolvimento'!$K$150</f>
        <v>Concluído</v>
      </c>
      <c r="Q7" s="458">
        <v>45608</v>
      </c>
      <c r="R7" s="326" t="s">
        <v>5</v>
      </c>
      <c r="S7" s="11"/>
      <c r="T7" s="142" t="s">
        <v>1063</v>
      </c>
      <c r="U7" s="90" t="s">
        <v>272</v>
      </c>
      <c r="V7" s="89" t="s">
        <v>1074</v>
      </c>
      <c r="W7" s="90" t="s">
        <v>289</v>
      </c>
      <c r="X7" s="145"/>
    </row>
    <row r="8" spans="1:25" ht="86.25" customHeight="1">
      <c r="A8" s="836" t="s">
        <v>259</v>
      </c>
      <c r="B8" s="835" t="s">
        <v>260</v>
      </c>
      <c r="C8" s="835" t="s">
        <v>261</v>
      </c>
      <c r="D8" s="835" t="s">
        <v>262</v>
      </c>
      <c r="E8" s="815" t="s">
        <v>439</v>
      </c>
      <c r="F8" s="1071" t="s">
        <v>264</v>
      </c>
      <c r="G8" s="34"/>
      <c r="H8" s="821" t="s">
        <v>1075</v>
      </c>
      <c r="I8" s="856" t="s">
        <v>50</v>
      </c>
      <c r="J8" s="858" t="s">
        <v>50</v>
      </c>
      <c r="K8" s="34"/>
      <c r="L8" s="813" t="s">
        <v>284</v>
      </c>
      <c r="M8" s="1066" t="s">
        <v>269</v>
      </c>
      <c r="N8" s="824" t="s">
        <v>1076</v>
      </c>
      <c r="O8" s="784" t="s">
        <v>5</v>
      </c>
      <c r="P8" s="784" t="str">
        <f>'PDS - Desenvolvimento'!$K$163</f>
        <v>Concluído</v>
      </c>
      <c r="Q8" s="1065">
        <v>45608</v>
      </c>
      <c r="R8" s="811" t="s">
        <v>287</v>
      </c>
      <c r="S8" s="34"/>
      <c r="T8" s="798" t="s">
        <v>442</v>
      </c>
      <c r="U8" s="793" t="s">
        <v>272</v>
      </c>
      <c r="V8" s="133" t="s">
        <v>273</v>
      </c>
      <c r="W8" s="793" t="s">
        <v>1077</v>
      </c>
      <c r="X8" s="855"/>
    </row>
    <row r="9" spans="1:25" ht="14.5">
      <c r="A9" s="836"/>
      <c r="B9" s="835"/>
      <c r="C9" s="835"/>
      <c r="D9" s="835"/>
      <c r="E9" s="815"/>
      <c r="F9" s="1072"/>
      <c r="G9" s="34"/>
      <c r="H9" s="821"/>
      <c r="I9" s="857"/>
      <c r="J9" s="859"/>
      <c r="K9" s="34"/>
      <c r="L9" s="813"/>
      <c r="M9" s="784"/>
      <c r="N9" s="824"/>
      <c r="O9" s="784"/>
      <c r="P9" s="784"/>
      <c r="Q9" s="909"/>
      <c r="R9" s="811"/>
      <c r="S9" s="34"/>
      <c r="T9" s="798"/>
      <c r="U9" s="793"/>
      <c r="V9" s="133" t="s">
        <v>276</v>
      </c>
      <c r="W9" s="793"/>
      <c r="X9" s="855"/>
    </row>
    <row r="10" spans="1:25" ht="14.5">
      <c r="A10" s="836"/>
      <c r="B10" s="835"/>
      <c r="C10" s="835"/>
      <c r="D10" s="835"/>
      <c r="E10" s="815"/>
      <c r="F10" s="1072"/>
      <c r="G10" s="34"/>
      <c r="H10" s="821"/>
      <c r="I10" s="857"/>
      <c r="J10" s="859"/>
      <c r="K10" s="34"/>
      <c r="L10" s="813"/>
      <c r="M10" s="784"/>
      <c r="N10" s="824"/>
      <c r="O10" s="784"/>
      <c r="P10" s="784"/>
      <c r="Q10" s="909"/>
      <c r="R10" s="811"/>
      <c r="S10" s="34"/>
      <c r="T10" s="798"/>
      <c r="U10" s="793"/>
      <c r="V10" s="133" t="s">
        <v>277</v>
      </c>
      <c r="W10" s="793"/>
      <c r="X10" s="855"/>
    </row>
    <row r="11" spans="1:25" ht="14.5">
      <c r="A11" s="836"/>
      <c r="B11" s="835"/>
      <c r="C11" s="835"/>
      <c r="D11" s="835"/>
      <c r="E11" s="815"/>
      <c r="F11" s="1073"/>
      <c r="G11" s="34"/>
      <c r="H11" s="821"/>
      <c r="I11" s="857"/>
      <c r="J11" s="859"/>
      <c r="K11" s="34"/>
      <c r="L11" s="813"/>
      <c r="M11" s="784"/>
      <c r="N11" s="824"/>
      <c r="O11" s="784"/>
      <c r="P11" s="784"/>
      <c r="Q11" s="909"/>
      <c r="R11" s="811"/>
      <c r="S11" s="34"/>
      <c r="T11" s="798"/>
      <c r="U11" s="793"/>
      <c r="V11" s="133" t="s">
        <v>278</v>
      </c>
      <c r="W11" s="793"/>
      <c r="X11" s="855"/>
    </row>
    <row r="12" spans="1:25" ht="14.5">
      <c r="A12" s="841" t="s">
        <v>443</v>
      </c>
      <c r="B12" s="842" t="s">
        <v>260</v>
      </c>
      <c r="C12" s="842" t="s">
        <v>444</v>
      </c>
      <c r="D12" s="842" t="s">
        <v>294</v>
      </c>
      <c r="E12" s="795" t="s">
        <v>1078</v>
      </c>
      <c r="F12" s="1068" t="s">
        <v>1079</v>
      </c>
      <c r="G12" s="37"/>
      <c r="H12" s="841" t="s">
        <v>447</v>
      </c>
      <c r="I12" s="787" t="s">
        <v>448</v>
      </c>
      <c r="J12" s="795" t="s">
        <v>449</v>
      </c>
      <c r="K12" s="37"/>
      <c r="L12" s="841" t="s">
        <v>268</v>
      </c>
      <c r="M12" s="842" t="s">
        <v>450</v>
      </c>
      <c r="N12" s="787" t="s">
        <v>1080</v>
      </c>
      <c r="O12" s="842" t="s">
        <v>5</v>
      </c>
      <c r="P12" s="842" t="str">
        <f>'PDS - Desenvolvimento'!$K$152</f>
        <v>Concluído</v>
      </c>
      <c r="Q12" s="1064">
        <v>45665</v>
      </c>
      <c r="R12" s="832" t="s">
        <v>5</v>
      </c>
      <c r="S12" s="37"/>
      <c r="T12" s="801" t="s">
        <v>300</v>
      </c>
      <c r="U12" s="787" t="s">
        <v>452</v>
      </c>
      <c r="V12" s="89" t="s">
        <v>302</v>
      </c>
      <c r="W12" s="787" t="s">
        <v>1081</v>
      </c>
      <c r="X12" s="853"/>
    </row>
    <row r="13" spans="1:25" ht="14.5">
      <c r="A13" s="841"/>
      <c r="B13" s="842"/>
      <c r="C13" s="842"/>
      <c r="D13" s="842"/>
      <c r="E13" s="795"/>
      <c r="F13" s="1069"/>
      <c r="G13" s="37"/>
      <c r="H13" s="841"/>
      <c r="I13" s="787"/>
      <c r="J13" s="795"/>
      <c r="K13" s="37"/>
      <c r="L13" s="841"/>
      <c r="M13" s="842"/>
      <c r="N13" s="787"/>
      <c r="O13" s="842"/>
      <c r="P13" s="842"/>
      <c r="Q13" s="853"/>
      <c r="R13" s="832"/>
      <c r="S13" s="37"/>
      <c r="T13" s="801"/>
      <c r="U13" s="787"/>
      <c r="V13" s="89" t="s">
        <v>304</v>
      </c>
      <c r="W13" s="787"/>
      <c r="X13" s="853"/>
    </row>
    <row r="14" spans="1:25" ht="119.25" customHeight="1">
      <c r="A14" s="841"/>
      <c r="B14" s="842"/>
      <c r="C14" s="842"/>
      <c r="D14" s="842"/>
      <c r="E14" s="795"/>
      <c r="F14" s="1070"/>
      <c r="G14" s="37"/>
      <c r="H14" s="841"/>
      <c r="I14" s="787"/>
      <c r="J14" s="795"/>
      <c r="K14" s="37"/>
      <c r="L14" s="841"/>
      <c r="M14" s="842"/>
      <c r="N14" s="787"/>
      <c r="O14" s="842"/>
      <c r="P14" s="842"/>
      <c r="Q14" s="853"/>
      <c r="R14" s="832"/>
      <c r="S14" s="37"/>
      <c r="T14" s="142" t="s">
        <v>454</v>
      </c>
      <c r="U14" s="90" t="s">
        <v>272</v>
      </c>
      <c r="V14" s="89" t="s">
        <v>455</v>
      </c>
      <c r="W14" s="787"/>
      <c r="X14" s="853"/>
    </row>
    <row r="15" spans="1:25" ht="409.5" customHeight="1">
      <c r="A15" s="93" t="s">
        <v>456</v>
      </c>
      <c r="B15" s="88" t="s">
        <v>457</v>
      </c>
      <c r="C15" s="88" t="s">
        <v>458</v>
      </c>
      <c r="D15" s="88" t="s">
        <v>459</v>
      </c>
      <c r="E15" s="226" t="s">
        <v>1082</v>
      </c>
      <c r="F15" s="14" t="s">
        <v>1083</v>
      </c>
      <c r="G15" s="10"/>
      <c r="H15" s="113" t="s">
        <v>50</v>
      </c>
      <c r="I15" s="105" t="s">
        <v>50</v>
      </c>
      <c r="J15" s="114" t="s">
        <v>50</v>
      </c>
      <c r="K15" s="10"/>
      <c r="L15" s="124" t="s">
        <v>462</v>
      </c>
      <c r="M15" s="122" t="s">
        <v>463</v>
      </c>
      <c r="N15" s="367" t="s">
        <v>464</v>
      </c>
      <c r="O15" s="122" t="s">
        <v>5</v>
      </c>
      <c r="P15" s="122" t="str">
        <f>'PDS - Desenvolvimento'!$K$159</f>
        <v>Concluído</v>
      </c>
      <c r="Q15" s="457">
        <v>45611</v>
      </c>
      <c r="R15" s="327" t="s">
        <v>465</v>
      </c>
      <c r="S15" s="10"/>
      <c r="T15" s="140" t="s">
        <v>1084</v>
      </c>
      <c r="U15" s="131" t="s">
        <v>1084</v>
      </c>
      <c r="V15" s="133" t="s">
        <v>1084</v>
      </c>
      <c r="W15" s="131" t="s">
        <v>1084</v>
      </c>
      <c r="X15" s="143" t="s">
        <v>1084</v>
      </c>
    </row>
    <row r="16" spans="1:25" ht="116">
      <c r="A16" s="111" t="s">
        <v>468</v>
      </c>
      <c r="B16" s="89" t="s">
        <v>457</v>
      </c>
      <c r="C16" s="89" t="s">
        <v>469</v>
      </c>
      <c r="D16" s="89" t="s">
        <v>459</v>
      </c>
      <c r="E16" s="96" t="s">
        <v>1085</v>
      </c>
      <c r="F16" s="13" t="s">
        <v>1086</v>
      </c>
      <c r="G16" s="11"/>
      <c r="H16" s="193" t="s">
        <v>50</v>
      </c>
      <c r="I16" s="189" t="s">
        <v>50</v>
      </c>
      <c r="J16" s="194" t="s">
        <v>50</v>
      </c>
      <c r="K16" s="11"/>
      <c r="L16" s="301" t="s">
        <v>472</v>
      </c>
      <c r="M16" s="104" t="s">
        <v>473</v>
      </c>
      <c r="N16" s="360" t="s">
        <v>474</v>
      </c>
      <c r="O16" s="103" t="s">
        <v>5</v>
      </c>
      <c r="P16" s="103" t="str">
        <f>'PDS - Desenvolvimento'!$K$160</f>
        <v>Concluído</v>
      </c>
      <c r="Q16" s="517">
        <v>45611</v>
      </c>
      <c r="R16" s="321" t="s">
        <v>465</v>
      </c>
      <c r="S16" s="11"/>
      <c r="T16" s="142" t="s">
        <v>1084</v>
      </c>
      <c r="U16" s="90" t="s">
        <v>1084</v>
      </c>
      <c r="V16" s="89" t="s">
        <v>1084</v>
      </c>
      <c r="W16" s="90" t="s">
        <v>1084</v>
      </c>
      <c r="X16" s="145" t="s">
        <v>1084</v>
      </c>
    </row>
    <row r="17" spans="1:24" ht="92.25" customHeight="1">
      <c r="A17" s="93" t="s">
        <v>475</v>
      </c>
      <c r="B17" s="88" t="s">
        <v>476</v>
      </c>
      <c r="C17" s="88" t="s">
        <v>477</v>
      </c>
      <c r="D17" s="88" t="s">
        <v>459</v>
      </c>
      <c r="E17" s="226" t="s">
        <v>1087</v>
      </c>
      <c r="F17" s="14" t="s">
        <v>1088</v>
      </c>
      <c r="G17" s="10"/>
      <c r="H17" s="109" t="s">
        <v>480</v>
      </c>
      <c r="I17" s="102" t="s">
        <v>481</v>
      </c>
      <c r="J17" s="110" t="s">
        <v>482</v>
      </c>
      <c r="K17" s="10"/>
      <c r="L17" s="124" t="s">
        <v>268</v>
      </c>
      <c r="M17" s="122" t="s">
        <v>483</v>
      </c>
      <c r="N17" s="351" t="s">
        <v>484</v>
      </c>
      <c r="O17" s="122" t="s">
        <v>5</v>
      </c>
      <c r="P17" s="122" t="str">
        <f>'PDS - Desenvolvimento'!$K$151</f>
        <v>Concluído</v>
      </c>
      <c r="Q17" s="457">
        <v>45608</v>
      </c>
      <c r="R17" s="318" t="s">
        <v>5</v>
      </c>
      <c r="S17" s="10"/>
      <c r="T17" s="140" t="s">
        <v>454</v>
      </c>
      <c r="U17" s="131" t="s">
        <v>272</v>
      </c>
      <c r="V17" s="133" t="s">
        <v>485</v>
      </c>
      <c r="W17" s="131" t="s">
        <v>289</v>
      </c>
      <c r="X17" s="143"/>
    </row>
    <row r="18" spans="1:24" ht="79.5" customHeight="1">
      <c r="A18" s="111" t="s">
        <v>486</v>
      </c>
      <c r="B18" s="89" t="s">
        <v>487</v>
      </c>
      <c r="C18" s="89" t="s">
        <v>488</v>
      </c>
      <c r="D18" s="89" t="s">
        <v>459</v>
      </c>
      <c r="E18" s="160" t="s">
        <v>1089</v>
      </c>
      <c r="F18" s="13" t="s">
        <v>1090</v>
      </c>
      <c r="G18" s="11"/>
      <c r="H18" s="193" t="s">
        <v>50</v>
      </c>
      <c r="I18" s="189" t="s">
        <v>50</v>
      </c>
      <c r="J18" s="194" t="s">
        <v>50</v>
      </c>
      <c r="K18" s="11"/>
      <c r="L18" s="111" t="s">
        <v>284</v>
      </c>
      <c r="M18" s="103" t="s">
        <v>491</v>
      </c>
      <c r="N18" s="363" t="s">
        <v>1091</v>
      </c>
      <c r="O18" s="103" t="s">
        <v>5</v>
      </c>
      <c r="P18" s="103" t="str">
        <f>'PDS - Desenvolvimento'!$K$161</f>
        <v>Concluído</v>
      </c>
      <c r="Q18" s="458">
        <v>45608</v>
      </c>
      <c r="R18" s="300" t="s">
        <v>287</v>
      </c>
      <c r="S18" s="11"/>
      <c r="T18" s="142" t="s">
        <v>493</v>
      </c>
      <c r="U18" s="90" t="s">
        <v>272</v>
      </c>
      <c r="V18" s="89" t="s">
        <v>494</v>
      </c>
      <c r="W18" s="90" t="s">
        <v>289</v>
      </c>
      <c r="X18" s="145"/>
    </row>
    <row r="19" spans="1:24" ht="91.5" customHeight="1">
      <c r="A19" s="93" t="s">
        <v>1092</v>
      </c>
      <c r="B19" s="88" t="s">
        <v>1011</v>
      </c>
      <c r="C19" s="88" t="s">
        <v>1093</v>
      </c>
      <c r="D19" s="88" t="s">
        <v>917</v>
      </c>
      <c r="E19" s="226" t="s">
        <v>1094</v>
      </c>
      <c r="F19" s="14" t="s">
        <v>1095</v>
      </c>
      <c r="G19" s="10"/>
      <c r="H19" s="109" t="s">
        <v>1096</v>
      </c>
      <c r="I19" s="102" t="s">
        <v>1093</v>
      </c>
      <c r="J19" s="159" t="s">
        <v>1097</v>
      </c>
      <c r="K19" s="10"/>
      <c r="L19" s="124" t="s">
        <v>268</v>
      </c>
      <c r="M19" s="122" t="s">
        <v>1098</v>
      </c>
      <c r="N19" s="351" t="s">
        <v>1099</v>
      </c>
      <c r="O19" s="122" t="s">
        <v>5</v>
      </c>
      <c r="P19" s="122" t="str">
        <f>'PDS - Desenvolvimento'!$K$155</f>
        <v>Concluído</v>
      </c>
      <c r="Q19" s="457">
        <v>45608</v>
      </c>
      <c r="R19" s="318" t="s">
        <v>5</v>
      </c>
      <c r="S19" s="10"/>
      <c r="T19" s="140" t="s">
        <v>433</v>
      </c>
      <c r="U19" s="131" t="s">
        <v>272</v>
      </c>
      <c r="V19" s="133" t="s">
        <v>1100</v>
      </c>
      <c r="W19" s="131" t="s">
        <v>289</v>
      </c>
      <c r="X19" s="143"/>
    </row>
    <row r="20" spans="1:24" ht="30" customHeight="1">
      <c r="A20" s="95" t="s">
        <v>1101</v>
      </c>
      <c r="B20" s="89" t="s">
        <v>1011</v>
      </c>
      <c r="C20" s="89" t="s">
        <v>1102</v>
      </c>
      <c r="D20" s="89" t="s">
        <v>322</v>
      </c>
      <c r="E20" s="160" t="s">
        <v>1103</v>
      </c>
      <c r="F20" s="13" t="s">
        <v>1104</v>
      </c>
      <c r="G20" s="11"/>
      <c r="H20" s="95" t="s">
        <v>1105</v>
      </c>
      <c r="I20" s="90" t="s">
        <v>1106</v>
      </c>
      <c r="J20" s="160" t="s">
        <v>1107</v>
      </c>
      <c r="K20" s="11"/>
      <c r="L20" s="111" t="s">
        <v>268</v>
      </c>
      <c r="M20" s="103" t="s">
        <v>1108</v>
      </c>
      <c r="N20" s="106" t="s">
        <v>1109</v>
      </c>
      <c r="O20" s="89" t="s">
        <v>5</v>
      </c>
      <c r="P20" s="89" t="str">
        <f>'PDS - Desenvolvimento'!$K$157</f>
        <v>Concluído</v>
      </c>
      <c r="Q20" s="458">
        <v>45608</v>
      </c>
      <c r="R20" s="326" t="s">
        <v>5</v>
      </c>
      <c r="S20" s="11"/>
      <c r="T20" s="142" t="s">
        <v>433</v>
      </c>
      <c r="U20" s="90" t="s">
        <v>272</v>
      </c>
      <c r="V20" s="89" t="s">
        <v>1110</v>
      </c>
      <c r="W20" s="90" t="s">
        <v>289</v>
      </c>
      <c r="X20" s="145"/>
    </row>
    <row r="21" spans="1:24" ht="66.75" customHeight="1">
      <c r="A21" s="93" t="s">
        <v>1111</v>
      </c>
      <c r="B21" s="88" t="s">
        <v>1112</v>
      </c>
      <c r="C21" s="88" t="s">
        <v>1113</v>
      </c>
      <c r="D21" s="88" t="s">
        <v>917</v>
      </c>
      <c r="E21" s="226" t="s">
        <v>1114</v>
      </c>
      <c r="F21" s="14" t="s">
        <v>1115</v>
      </c>
      <c r="G21" s="10"/>
      <c r="H21" s="109" t="s">
        <v>1116</v>
      </c>
      <c r="I21" s="102" t="s">
        <v>1113</v>
      </c>
      <c r="J21" s="159" t="s">
        <v>1114</v>
      </c>
      <c r="K21" s="10"/>
      <c r="L21" s="124" t="s">
        <v>268</v>
      </c>
      <c r="M21" s="122" t="s">
        <v>1117</v>
      </c>
      <c r="N21" s="351" t="s">
        <v>1118</v>
      </c>
      <c r="O21" s="122" t="s">
        <v>5</v>
      </c>
      <c r="P21" s="122" t="str">
        <f>'PDS - Desenvolvimento'!$K$149</f>
        <v>Concluído</v>
      </c>
      <c r="Q21" s="457">
        <v>45608</v>
      </c>
      <c r="R21" s="318" t="s">
        <v>5</v>
      </c>
      <c r="S21" s="10"/>
      <c r="T21" s="140" t="s">
        <v>433</v>
      </c>
      <c r="U21" s="131" t="s">
        <v>272</v>
      </c>
      <c r="V21" s="133" t="s">
        <v>1119</v>
      </c>
      <c r="W21" s="131" t="s">
        <v>289</v>
      </c>
      <c r="X21" s="143"/>
    </row>
    <row r="22" spans="1:24" ht="85.5" customHeight="1">
      <c r="A22" s="95" t="s">
        <v>1120</v>
      </c>
      <c r="B22" s="89" t="s">
        <v>1011</v>
      </c>
      <c r="C22" s="89" t="s">
        <v>1121</v>
      </c>
      <c r="D22" s="89" t="s">
        <v>322</v>
      </c>
      <c r="E22" s="160" t="s">
        <v>1122</v>
      </c>
      <c r="F22" s="13" t="s">
        <v>1123</v>
      </c>
      <c r="G22" s="11"/>
      <c r="H22" s="95" t="s">
        <v>1124</v>
      </c>
      <c r="I22" s="90" t="s">
        <v>1125</v>
      </c>
      <c r="J22" s="160" t="s">
        <v>1126</v>
      </c>
      <c r="K22" s="11"/>
      <c r="L22" s="111" t="s">
        <v>268</v>
      </c>
      <c r="M22" s="103" t="s">
        <v>1127</v>
      </c>
      <c r="N22" s="106" t="s">
        <v>1128</v>
      </c>
      <c r="O22" s="89" t="s">
        <v>5</v>
      </c>
      <c r="P22" s="89" t="str">
        <f>'PDS - Desenvolvimento'!$K$156</f>
        <v>Concluído</v>
      </c>
      <c r="Q22" s="458">
        <v>45608</v>
      </c>
      <c r="R22" s="326" t="s">
        <v>5</v>
      </c>
      <c r="S22" s="11"/>
      <c r="T22" s="142" t="s">
        <v>433</v>
      </c>
      <c r="U22" s="90" t="s">
        <v>272</v>
      </c>
      <c r="V22" s="89" t="s">
        <v>1129</v>
      </c>
      <c r="W22" s="90" t="s">
        <v>289</v>
      </c>
      <c r="X22" s="145"/>
    </row>
    <row r="23" spans="1:24" ht="123" customHeight="1">
      <c r="A23" s="93" t="s">
        <v>1130</v>
      </c>
      <c r="B23" s="88" t="s">
        <v>1011</v>
      </c>
      <c r="C23" s="88" t="s">
        <v>1131</v>
      </c>
      <c r="D23" s="88" t="s">
        <v>917</v>
      </c>
      <c r="E23" s="226" t="s">
        <v>1132</v>
      </c>
      <c r="F23" s="14" t="s">
        <v>1133</v>
      </c>
      <c r="G23" s="10"/>
      <c r="H23" s="109" t="s">
        <v>1134</v>
      </c>
      <c r="I23" s="102" t="s">
        <v>1131</v>
      </c>
      <c r="J23" s="159" t="s">
        <v>1135</v>
      </c>
      <c r="K23" s="10"/>
      <c r="L23" s="124" t="s">
        <v>268</v>
      </c>
      <c r="M23" s="122" t="s">
        <v>1136</v>
      </c>
      <c r="N23" s="367" t="s">
        <v>1137</v>
      </c>
      <c r="O23" s="122" t="s">
        <v>5</v>
      </c>
      <c r="P23" s="122" t="str">
        <f>'PDS - Desenvolvimento'!$K$154</f>
        <v>Concluído</v>
      </c>
      <c r="Q23" s="457">
        <v>45608</v>
      </c>
      <c r="R23" s="320" t="s">
        <v>5</v>
      </c>
      <c r="S23" s="10"/>
      <c r="T23" s="140" t="s">
        <v>433</v>
      </c>
      <c r="U23" s="131" t="s">
        <v>272</v>
      </c>
      <c r="V23" s="133" t="s">
        <v>1138</v>
      </c>
      <c r="W23" s="131" t="s">
        <v>289</v>
      </c>
      <c r="X23" s="143"/>
    </row>
    <row r="24" spans="1:24" ht="87.75" customHeight="1">
      <c r="A24" s="95" t="s">
        <v>1139</v>
      </c>
      <c r="B24" s="89" t="s">
        <v>1011</v>
      </c>
      <c r="C24" s="89" t="s">
        <v>1140</v>
      </c>
      <c r="D24" s="89" t="s">
        <v>294</v>
      </c>
      <c r="E24" s="160" t="s">
        <v>1141</v>
      </c>
      <c r="F24" s="13" t="s">
        <v>1142</v>
      </c>
      <c r="G24" s="11"/>
      <c r="H24" s="95" t="s">
        <v>1143</v>
      </c>
      <c r="I24" s="90" t="s">
        <v>1140</v>
      </c>
      <c r="J24" s="96" t="s">
        <v>1144</v>
      </c>
      <c r="K24" s="11"/>
      <c r="L24" s="95" t="s">
        <v>268</v>
      </c>
      <c r="M24" s="89" t="s">
        <v>1145</v>
      </c>
      <c r="N24" s="349" t="s">
        <v>1146</v>
      </c>
      <c r="O24" s="89" t="s">
        <v>5</v>
      </c>
      <c r="P24" s="89" t="str">
        <f>'PDS - Desenvolvimento'!$K$153</f>
        <v>Concluído</v>
      </c>
      <c r="Q24" s="145"/>
      <c r="R24" s="326" t="s">
        <v>5</v>
      </c>
      <c r="S24" s="11"/>
      <c r="T24" s="142"/>
      <c r="U24" s="90"/>
      <c r="V24" s="89"/>
      <c r="W24" s="90" t="s">
        <v>1147</v>
      </c>
      <c r="X24" s="145"/>
    </row>
    <row r="25" spans="1:24" ht="107.25" customHeight="1">
      <c r="A25" s="93" t="s">
        <v>1148</v>
      </c>
      <c r="B25" s="88" t="s">
        <v>1011</v>
      </c>
      <c r="C25" s="88" t="s">
        <v>1149</v>
      </c>
      <c r="D25" s="88" t="s">
        <v>294</v>
      </c>
      <c r="E25" s="226" t="s">
        <v>1150</v>
      </c>
      <c r="F25" s="14" t="s">
        <v>1151</v>
      </c>
      <c r="G25" s="10"/>
      <c r="H25" s="109" t="s">
        <v>1152</v>
      </c>
      <c r="I25" s="102" t="s">
        <v>1149</v>
      </c>
      <c r="J25" s="110" t="s">
        <v>1153</v>
      </c>
      <c r="K25" s="10"/>
      <c r="L25" s="305" t="s">
        <v>268</v>
      </c>
      <c r="M25" s="304" t="s">
        <v>1154</v>
      </c>
      <c r="N25" s="365" t="s">
        <v>1155</v>
      </c>
      <c r="O25" s="304" t="s">
        <v>5</v>
      </c>
      <c r="P25" s="304" t="str">
        <f>'PDS - Desenvolvimento'!$K$158</f>
        <v>Concluído</v>
      </c>
      <c r="Q25" s="319"/>
      <c r="R25" s="318" t="s">
        <v>5</v>
      </c>
      <c r="S25" s="10"/>
      <c r="T25" s="140"/>
      <c r="U25" s="131"/>
      <c r="V25" s="133"/>
      <c r="W25" s="131" t="s">
        <v>1156</v>
      </c>
      <c r="X25" s="143"/>
    </row>
    <row r="26" spans="1:24" ht="360" customHeight="1">
      <c r="A26" s="95" t="s">
        <v>1157</v>
      </c>
      <c r="B26" s="89" t="s">
        <v>1011</v>
      </c>
      <c r="C26" s="89" t="s">
        <v>1158</v>
      </c>
      <c r="D26" s="89" t="s">
        <v>322</v>
      </c>
      <c r="E26" s="160" t="s">
        <v>1159</v>
      </c>
      <c r="F26" s="13" t="s">
        <v>1160</v>
      </c>
      <c r="G26" s="11"/>
      <c r="H26" s="272" t="s">
        <v>1161</v>
      </c>
      <c r="I26" s="189" t="s">
        <v>50</v>
      </c>
      <c r="J26" s="194" t="s">
        <v>50</v>
      </c>
      <c r="K26" s="11"/>
      <c r="L26" s="111" t="s">
        <v>284</v>
      </c>
      <c r="M26" s="103" t="s">
        <v>1162</v>
      </c>
      <c r="N26" s="363" t="s">
        <v>1163</v>
      </c>
      <c r="O26" s="103" t="s">
        <v>5</v>
      </c>
      <c r="P26" s="103" t="str">
        <f>'PDS - Desenvolvimento'!$K$164</f>
        <v>Concluído</v>
      </c>
      <c r="Q26" s="458">
        <v>45608</v>
      </c>
      <c r="R26" s="321" t="s">
        <v>5</v>
      </c>
      <c r="S26" s="11"/>
      <c r="T26" s="142" t="s">
        <v>493</v>
      </c>
      <c r="U26" s="90" t="s">
        <v>272</v>
      </c>
      <c r="V26" s="89" t="s">
        <v>1164</v>
      </c>
      <c r="W26" s="90" t="s">
        <v>289</v>
      </c>
      <c r="X26" s="145"/>
    </row>
    <row r="27" spans="1:24" ht="141" customHeight="1">
      <c r="A27" s="97" t="s">
        <v>1165</v>
      </c>
      <c r="B27" s="98" t="s">
        <v>487</v>
      </c>
      <c r="C27" s="98" t="s">
        <v>1166</v>
      </c>
      <c r="D27" s="98" t="s">
        <v>322</v>
      </c>
      <c r="E27" s="158" t="s">
        <v>1167</v>
      </c>
      <c r="F27" s="42" t="s">
        <v>1168</v>
      </c>
      <c r="G27" s="10"/>
      <c r="H27" s="273" t="s">
        <v>1161</v>
      </c>
      <c r="I27" s="162" t="s">
        <v>50</v>
      </c>
      <c r="J27" s="163" t="s">
        <v>50</v>
      </c>
      <c r="K27" s="10"/>
      <c r="L27" s="433" t="s">
        <v>284</v>
      </c>
      <c r="M27" s="434" t="s">
        <v>1169</v>
      </c>
      <c r="N27" s="435" t="s">
        <v>1170</v>
      </c>
      <c r="O27" s="434" t="s">
        <v>5</v>
      </c>
      <c r="P27" s="434" t="str">
        <f>'PDS - Desenvolvimento'!$K$165</f>
        <v>Concluído</v>
      </c>
      <c r="Q27" s="459">
        <v>45608</v>
      </c>
      <c r="R27" s="328" t="s">
        <v>287</v>
      </c>
      <c r="S27" s="10"/>
      <c r="T27" s="146" t="s">
        <v>493</v>
      </c>
      <c r="U27" s="148" t="s">
        <v>272</v>
      </c>
      <c r="V27" s="147" t="s">
        <v>494</v>
      </c>
      <c r="W27" s="148" t="s">
        <v>289</v>
      </c>
      <c r="X27" s="181"/>
    </row>
  </sheetData>
  <autoFilter ref="A2:Y27"/>
  <mergeCells count="64">
    <mergeCell ref="A1:E1"/>
    <mergeCell ref="H1:J1"/>
    <mergeCell ref="T1:X1"/>
    <mergeCell ref="R3:R6"/>
    <mergeCell ref="T3:T6"/>
    <mergeCell ref="W3:W6"/>
    <mergeCell ref="X3:X6"/>
    <mergeCell ref="F3:F6"/>
    <mergeCell ref="N3:N6"/>
    <mergeCell ref="A3:A6"/>
    <mergeCell ref="B3:B6"/>
    <mergeCell ref="C3:C6"/>
    <mergeCell ref="D3:D6"/>
    <mergeCell ref="E3:E6"/>
    <mergeCell ref="H3:H6"/>
    <mergeCell ref="U3:U6"/>
    <mergeCell ref="F8:F11"/>
    <mergeCell ref="H8:H11"/>
    <mergeCell ref="N8:N11"/>
    <mergeCell ref="M12:M14"/>
    <mergeCell ref="L12:L14"/>
    <mergeCell ref="I3:I6"/>
    <mergeCell ref="J3:J6"/>
    <mergeCell ref="L3:L6"/>
    <mergeCell ref="L8:L11"/>
    <mergeCell ref="O12:O14"/>
    <mergeCell ref="N12:N14"/>
    <mergeCell ref="I12:I14"/>
    <mergeCell ref="J12:J14"/>
    <mergeCell ref="P12:P14"/>
    <mergeCell ref="A12:A14"/>
    <mergeCell ref="B12:B14"/>
    <mergeCell ref="C12:C14"/>
    <mergeCell ref="D12:D14"/>
    <mergeCell ref="E12:E14"/>
    <mergeCell ref="F12:F14"/>
    <mergeCell ref="A8:A11"/>
    <mergeCell ref="B8:B11"/>
    <mergeCell ref="C8:C11"/>
    <mergeCell ref="D8:D11"/>
    <mergeCell ref="E8:E11"/>
    <mergeCell ref="L1:Q1"/>
    <mergeCell ref="M3:M6"/>
    <mergeCell ref="Q3:Q6"/>
    <mergeCell ref="O3:O6"/>
    <mergeCell ref="O8:O11"/>
    <mergeCell ref="P3:P6"/>
    <mergeCell ref="P8:P11"/>
    <mergeCell ref="X8:X11"/>
    <mergeCell ref="H12:H14"/>
    <mergeCell ref="T12:T13"/>
    <mergeCell ref="U12:U13"/>
    <mergeCell ref="W12:W14"/>
    <mergeCell ref="X12:X14"/>
    <mergeCell ref="Q12:Q14"/>
    <mergeCell ref="T8:T11"/>
    <mergeCell ref="U8:U11"/>
    <mergeCell ref="Q8:Q11"/>
    <mergeCell ref="I8:I11"/>
    <mergeCell ref="J8:J11"/>
    <mergeCell ref="R12:R14"/>
    <mergeCell ref="M8:M11"/>
    <mergeCell ref="W8:W11"/>
    <mergeCell ref="R8:R11"/>
  </mergeCells>
  <dataValidations count="1">
    <dataValidation allowBlank="1" showInputMessage="1" showErrorMessage="1" sqref="P3:P27"/>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AUX!$A$2:$A$8</xm:f>
          </x14:formula1>
          <xm:sqref>O3:O27</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Z9"/>
  <sheetViews>
    <sheetView zoomScale="70" zoomScaleNormal="70" workbookViewId="0">
      <pane xSplit="6" ySplit="2" topLeftCell="G7" activePane="bottomRight" state="frozen"/>
      <selection pane="topRight" activeCell="G1" sqref="G1"/>
      <selection pane="bottomLeft" activeCell="A3" sqref="A3"/>
      <selection pane="bottomRight" activeCell="G3" sqref="G3"/>
    </sheetView>
  </sheetViews>
  <sheetFormatPr defaultColWidth="9.1796875" defaultRowHeight="15" customHeight="1"/>
  <cols>
    <col min="1" max="1" width="6.26953125" customWidth="1"/>
    <col min="2" max="2" width="12.81640625" customWidth="1"/>
    <col min="3" max="3" width="24.453125" bestFit="1" customWidth="1"/>
    <col min="4" max="4" width="13" customWidth="1"/>
    <col min="5" max="5" width="47.7265625" customWidth="1"/>
    <col min="6" max="6" width="0" hidden="1" customWidth="1"/>
    <col min="7" max="7" width="4" customWidth="1"/>
    <col min="8" max="8" width="34.1796875" customWidth="1"/>
    <col min="9" max="9" width="35.81640625" customWidth="1"/>
    <col min="10" max="10" width="42.1796875" customWidth="1"/>
    <col min="11" max="12" width="4" customWidth="1"/>
    <col min="13" max="13" width="18.54296875" bestFit="1" customWidth="1"/>
    <col min="14" max="14" width="28.7265625" bestFit="1" customWidth="1"/>
    <col min="15" max="17" width="52.453125" customWidth="1"/>
    <col min="18" max="18" width="52.453125" hidden="1" customWidth="1"/>
    <col min="19" max="19" width="39.7265625" hidden="1" customWidth="1"/>
    <col min="20" max="20" width="4.1796875" customWidth="1"/>
    <col min="21" max="21" width="36" hidden="1" customWidth="1"/>
    <col min="22" max="22" width="27.54296875" hidden="1" customWidth="1"/>
    <col min="23" max="23" width="35.26953125" hidden="1" customWidth="1"/>
    <col min="24" max="24" width="75.26953125" hidden="1" customWidth="1"/>
    <col min="25" max="25" width="52.453125" hidden="1" customWidth="1"/>
    <col min="26" max="26" width="0" hidden="1" customWidth="1"/>
  </cols>
  <sheetData>
    <row r="1" spans="1:26" ht="19" customHeight="1">
      <c r="A1" s="874" t="s">
        <v>234</v>
      </c>
      <c r="B1" s="875"/>
      <c r="C1" s="875"/>
      <c r="D1" s="875"/>
      <c r="E1" s="876"/>
      <c r="F1" s="84"/>
      <c r="G1" s="85"/>
      <c r="H1" s="877" t="s">
        <v>235</v>
      </c>
      <c r="I1" s="878"/>
      <c r="J1" s="879"/>
      <c r="K1" s="85"/>
      <c r="L1" s="153"/>
      <c r="M1" s="869" t="s">
        <v>236</v>
      </c>
      <c r="N1" s="870"/>
      <c r="O1" s="870"/>
      <c r="P1" s="870"/>
      <c r="Q1" s="870"/>
      <c r="R1" s="871"/>
      <c r="S1" s="339"/>
      <c r="T1" s="85"/>
      <c r="U1" s="886" t="s">
        <v>237</v>
      </c>
      <c r="V1" s="887"/>
      <c r="W1" s="887"/>
      <c r="X1" s="887"/>
      <c r="Y1" s="888"/>
      <c r="Z1" s="129"/>
    </row>
    <row r="2" spans="1:26" ht="29">
      <c r="A2" s="91" t="s">
        <v>238</v>
      </c>
      <c r="B2" s="87" t="s">
        <v>239</v>
      </c>
      <c r="C2" s="87" t="s">
        <v>240</v>
      </c>
      <c r="D2" s="87" t="s">
        <v>241</v>
      </c>
      <c r="E2" s="92" t="s">
        <v>242</v>
      </c>
      <c r="F2" s="218" t="s">
        <v>242</v>
      </c>
      <c r="G2" s="35"/>
      <c r="H2" s="107" t="s">
        <v>244</v>
      </c>
      <c r="I2" s="100" t="s">
        <v>245</v>
      </c>
      <c r="J2" s="108" t="s">
        <v>246</v>
      </c>
      <c r="K2" s="36"/>
      <c r="L2" s="36"/>
      <c r="M2" s="333" t="s">
        <v>504</v>
      </c>
      <c r="N2" s="334" t="s">
        <v>248</v>
      </c>
      <c r="O2" s="121" t="s">
        <v>249</v>
      </c>
      <c r="P2" s="121" t="s">
        <v>1</v>
      </c>
      <c r="Q2" s="121" t="s">
        <v>250</v>
      </c>
      <c r="R2" s="436" t="s">
        <v>251</v>
      </c>
      <c r="S2" s="332" t="s">
        <v>252</v>
      </c>
      <c r="T2" s="9"/>
      <c r="U2" s="138" t="s">
        <v>253</v>
      </c>
      <c r="V2" s="130" t="s">
        <v>254</v>
      </c>
      <c r="W2" s="130" t="s">
        <v>255</v>
      </c>
      <c r="X2" s="130" t="s">
        <v>256</v>
      </c>
      <c r="Y2" s="179" t="s">
        <v>257</v>
      </c>
      <c r="Z2" s="218" t="s">
        <v>258</v>
      </c>
    </row>
    <row r="3" spans="1:26" ht="14.5">
      <c r="A3" s="836" t="s">
        <v>259</v>
      </c>
      <c r="B3" s="835" t="s">
        <v>260</v>
      </c>
      <c r="C3" s="835" t="s">
        <v>261</v>
      </c>
      <c r="D3" s="835" t="s">
        <v>262</v>
      </c>
      <c r="E3" s="815" t="s">
        <v>263</v>
      </c>
      <c r="F3" s="837" t="s">
        <v>264</v>
      </c>
      <c r="G3" s="10"/>
      <c r="H3" s="821" t="s">
        <v>505</v>
      </c>
      <c r="I3" s="827" t="s">
        <v>266</v>
      </c>
      <c r="J3" s="922" t="s">
        <v>506</v>
      </c>
      <c r="K3" s="10"/>
      <c r="L3" s="10"/>
      <c r="M3" s="1078" t="s">
        <v>268</v>
      </c>
      <c r="N3" s="1079" t="s">
        <v>269</v>
      </c>
      <c r="O3" s="1074" t="s">
        <v>507</v>
      </c>
      <c r="P3" s="1079" t="s">
        <v>5</v>
      </c>
      <c r="Q3" s="1079" t="str">
        <f>'PDS - Desenvolvimento'!$K$144</f>
        <v>Concluído</v>
      </c>
      <c r="R3" s="1075">
        <v>45608</v>
      </c>
      <c r="S3" s="1077" t="s">
        <v>5</v>
      </c>
      <c r="T3" s="10"/>
      <c r="U3" s="798" t="s">
        <v>271</v>
      </c>
      <c r="V3" s="796" t="s">
        <v>272</v>
      </c>
      <c r="W3" s="133" t="s">
        <v>273</v>
      </c>
      <c r="X3" s="793" t="s">
        <v>274</v>
      </c>
      <c r="Y3" s="791"/>
      <c r="Z3" s="920" t="s">
        <v>435</v>
      </c>
    </row>
    <row r="4" spans="1:26" ht="14.5">
      <c r="A4" s="836"/>
      <c r="B4" s="835"/>
      <c r="C4" s="835"/>
      <c r="D4" s="835"/>
      <c r="E4" s="815"/>
      <c r="F4" s="816"/>
      <c r="G4" s="10"/>
      <c r="H4" s="821"/>
      <c r="I4" s="827"/>
      <c r="J4" s="922"/>
      <c r="K4" s="10"/>
      <c r="L4" s="10"/>
      <c r="M4" s="1078"/>
      <c r="N4" s="1079"/>
      <c r="O4" s="1074"/>
      <c r="P4" s="1079"/>
      <c r="Q4" s="1079"/>
      <c r="R4" s="1076"/>
      <c r="S4" s="1077"/>
      <c r="T4" s="10"/>
      <c r="U4" s="798"/>
      <c r="V4" s="796"/>
      <c r="W4" s="133" t="s">
        <v>276</v>
      </c>
      <c r="X4" s="793"/>
      <c r="Y4" s="791"/>
      <c r="Z4" s="921"/>
    </row>
    <row r="5" spans="1:26" ht="14.5">
      <c r="A5" s="836"/>
      <c r="B5" s="835"/>
      <c r="C5" s="835"/>
      <c r="D5" s="835"/>
      <c r="E5" s="815"/>
      <c r="F5" s="816"/>
      <c r="G5" s="10"/>
      <c r="H5" s="821"/>
      <c r="I5" s="827"/>
      <c r="J5" s="922"/>
      <c r="K5" s="10"/>
      <c r="L5" s="10"/>
      <c r="M5" s="1078"/>
      <c r="N5" s="1079"/>
      <c r="O5" s="1074"/>
      <c r="P5" s="1079"/>
      <c r="Q5" s="1079"/>
      <c r="R5" s="1076"/>
      <c r="S5" s="1077"/>
      <c r="T5" s="10"/>
      <c r="U5" s="798"/>
      <c r="V5" s="796"/>
      <c r="W5" s="133" t="s">
        <v>277</v>
      </c>
      <c r="X5" s="793"/>
      <c r="Y5" s="791"/>
      <c r="Z5" s="921"/>
    </row>
    <row r="6" spans="1:26" ht="14.5">
      <c r="A6" s="836"/>
      <c r="B6" s="835"/>
      <c r="C6" s="835"/>
      <c r="D6" s="835"/>
      <c r="E6" s="815"/>
      <c r="F6" s="816"/>
      <c r="G6" s="10"/>
      <c r="H6" s="821"/>
      <c r="I6" s="827"/>
      <c r="J6" s="922"/>
      <c r="K6" s="10"/>
      <c r="L6" s="10"/>
      <c r="M6" s="1078"/>
      <c r="N6" s="1079"/>
      <c r="O6" s="1074"/>
      <c r="P6" s="1079"/>
      <c r="Q6" s="1079"/>
      <c r="R6" s="1076"/>
      <c r="S6" s="1077"/>
      <c r="T6" s="10"/>
      <c r="U6" s="798"/>
      <c r="V6" s="796"/>
      <c r="W6" s="133" t="s">
        <v>278</v>
      </c>
      <c r="X6" s="793"/>
      <c r="Y6" s="791"/>
      <c r="Z6" s="915"/>
    </row>
    <row r="7" spans="1:26" ht="43.5" customHeight="1">
      <c r="A7" s="222" t="s">
        <v>279</v>
      </c>
      <c r="B7" s="229" t="s">
        <v>260</v>
      </c>
      <c r="C7" s="137" t="s">
        <v>280</v>
      </c>
      <c r="D7" s="137" t="s">
        <v>262</v>
      </c>
      <c r="E7" s="203" t="s">
        <v>281</v>
      </c>
      <c r="F7" s="43" t="s">
        <v>367</v>
      </c>
      <c r="G7" s="10"/>
      <c r="H7" s="190" t="s">
        <v>508</v>
      </c>
      <c r="I7" s="135" t="s">
        <v>369</v>
      </c>
      <c r="J7" s="235" t="s">
        <v>509</v>
      </c>
      <c r="K7" s="10"/>
      <c r="L7" s="10"/>
      <c r="M7" s="190" t="s">
        <v>268</v>
      </c>
      <c r="N7" s="137" t="s">
        <v>285</v>
      </c>
      <c r="O7" s="135" t="s">
        <v>510</v>
      </c>
      <c r="P7" s="137" t="s">
        <v>5</v>
      </c>
      <c r="Q7" s="137" t="str">
        <f>'PDS - Desenvolvimento'!$K$145</f>
        <v>Concluído</v>
      </c>
      <c r="R7" s="460">
        <v>45608</v>
      </c>
      <c r="S7" s="300" t="s">
        <v>5</v>
      </c>
      <c r="T7" s="10"/>
      <c r="U7" s="275" t="s">
        <v>271</v>
      </c>
      <c r="V7" s="217" t="s">
        <v>272</v>
      </c>
      <c r="W7" s="206" t="s">
        <v>288</v>
      </c>
      <c r="X7" s="217" t="s">
        <v>289</v>
      </c>
      <c r="Y7" s="203"/>
      <c r="Z7" s="33"/>
    </row>
    <row r="8" spans="1:26" ht="105" customHeight="1">
      <c r="A8" s="93" t="s">
        <v>824</v>
      </c>
      <c r="B8" s="88" t="s">
        <v>737</v>
      </c>
      <c r="C8" s="88" t="s">
        <v>825</v>
      </c>
      <c r="D8" s="88" t="s">
        <v>322</v>
      </c>
      <c r="E8" s="94" t="s">
        <v>826</v>
      </c>
      <c r="F8" s="44" t="s">
        <v>827</v>
      </c>
      <c r="G8" s="11"/>
      <c r="H8" s="109" t="s">
        <v>1171</v>
      </c>
      <c r="I8" s="102" t="s">
        <v>1172</v>
      </c>
      <c r="J8" s="159" t="s">
        <v>1173</v>
      </c>
      <c r="K8" s="34"/>
      <c r="L8" s="34"/>
      <c r="M8" s="169" t="s">
        <v>268</v>
      </c>
      <c r="N8" s="166" t="s">
        <v>829</v>
      </c>
      <c r="O8" s="355" t="s">
        <v>1174</v>
      </c>
      <c r="P8" s="166" t="s">
        <v>5</v>
      </c>
      <c r="Q8" s="166" t="str">
        <f>'PDS - Desenvolvimento'!$K$146</f>
        <v>Concluído</v>
      </c>
      <c r="R8" s="461">
        <v>45608</v>
      </c>
      <c r="S8" s="320" t="s">
        <v>5</v>
      </c>
      <c r="T8" s="34"/>
      <c r="U8" s="140" t="s">
        <v>831</v>
      </c>
      <c r="V8" s="131" t="s">
        <v>272</v>
      </c>
      <c r="W8" s="131" t="s">
        <v>832</v>
      </c>
      <c r="X8" s="131" t="s">
        <v>289</v>
      </c>
      <c r="Y8" s="141"/>
      <c r="Z8" s="33"/>
    </row>
    <row r="9" spans="1:26" ht="174" customHeight="1">
      <c r="A9" s="185" t="s">
        <v>1037</v>
      </c>
      <c r="B9" s="186" t="s">
        <v>1038</v>
      </c>
      <c r="C9" s="186" t="s">
        <v>1039</v>
      </c>
      <c r="D9" s="186" t="s">
        <v>294</v>
      </c>
      <c r="E9" s="187" t="s">
        <v>1040</v>
      </c>
      <c r="F9" s="45" t="s">
        <v>1041</v>
      </c>
      <c r="G9" s="11"/>
      <c r="H9" s="195" t="s">
        <v>50</v>
      </c>
      <c r="I9" s="196" t="s">
        <v>50</v>
      </c>
      <c r="J9" s="197" t="s">
        <v>50</v>
      </c>
      <c r="K9" s="11"/>
      <c r="L9" s="11"/>
      <c r="M9" s="185" t="s">
        <v>284</v>
      </c>
      <c r="N9" s="186" t="s">
        <v>1042</v>
      </c>
      <c r="O9" s="573" t="s">
        <v>1175</v>
      </c>
      <c r="P9" s="186" t="s">
        <v>5</v>
      </c>
      <c r="Q9" s="186" t="str">
        <f>'PDS - Desenvolvimento'!$K$147</f>
        <v>Concluído</v>
      </c>
      <c r="R9" s="205"/>
      <c r="S9" s="324" t="s">
        <v>299</v>
      </c>
      <c r="T9" s="11"/>
      <c r="U9" s="270" t="s">
        <v>621</v>
      </c>
      <c r="V9" s="261" t="s">
        <v>621</v>
      </c>
      <c r="W9" s="261" t="s">
        <v>621</v>
      </c>
      <c r="X9" s="261" t="s">
        <v>621</v>
      </c>
      <c r="Y9" s="271" t="s">
        <v>621</v>
      </c>
    </row>
  </sheetData>
  <mergeCells count="25">
    <mergeCell ref="A1:E1"/>
    <mergeCell ref="H1:J1"/>
    <mergeCell ref="U1:Y1"/>
    <mergeCell ref="X3:X6"/>
    <mergeCell ref="Y3:Y6"/>
    <mergeCell ref="N3:N6"/>
    <mergeCell ref="M1:R1"/>
    <mergeCell ref="P3:P6"/>
    <mergeCell ref="Q3:Q6"/>
    <mergeCell ref="Z3:Z6"/>
    <mergeCell ref="A3:A6"/>
    <mergeCell ref="B3:B6"/>
    <mergeCell ref="C3:C6"/>
    <mergeCell ref="D3:D6"/>
    <mergeCell ref="E3:E6"/>
    <mergeCell ref="F3:F6"/>
    <mergeCell ref="H3:H6"/>
    <mergeCell ref="O3:O6"/>
    <mergeCell ref="U3:U6"/>
    <mergeCell ref="I3:I6"/>
    <mergeCell ref="J3:J6"/>
    <mergeCell ref="R3:R6"/>
    <mergeCell ref="S3:S6"/>
    <mergeCell ref="V3:V6"/>
    <mergeCell ref="M3:M6"/>
  </mergeCells>
  <dataValidations count="1">
    <dataValidation allowBlank="1" showInputMessage="1" showErrorMessage="1" sqref="Q3:Q9"/>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AUX!$A$2:$A$8</xm:f>
          </x14:formula1>
          <xm:sqref>P3:P9</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Y12"/>
  <sheetViews>
    <sheetView zoomScale="70" zoomScaleNormal="70" workbookViewId="0">
      <pane xSplit="6" ySplit="2" topLeftCell="G3" activePane="bottomRight" state="frozen"/>
      <selection pane="topRight" activeCell="G1" sqref="G1"/>
      <selection pane="bottomLeft" activeCell="A3" sqref="A3"/>
      <selection pane="bottomRight" activeCell="G3" sqref="G3"/>
    </sheetView>
  </sheetViews>
  <sheetFormatPr defaultRowHeight="15" customHeight="1"/>
  <cols>
    <col min="1" max="1" width="6.26953125" customWidth="1"/>
    <col min="2" max="2" width="12.81640625" customWidth="1"/>
    <col min="3" max="3" width="24.453125" bestFit="1" customWidth="1"/>
    <col min="4" max="4" width="13" customWidth="1"/>
    <col min="5" max="5" width="47.7265625" customWidth="1"/>
    <col min="6" max="6" width="0" hidden="1" customWidth="1"/>
    <col min="7" max="7" width="4" customWidth="1"/>
    <col min="8" max="8" width="34.1796875" customWidth="1"/>
    <col min="9" max="9" width="35.81640625" customWidth="1"/>
    <col min="10" max="10" width="41.7265625" customWidth="1"/>
    <col min="11" max="11" width="4" customWidth="1"/>
    <col min="12" max="12" width="18.54296875" bestFit="1" customWidth="1"/>
    <col min="13" max="13" width="28.7265625" bestFit="1" customWidth="1"/>
    <col min="14" max="16" width="52.453125" customWidth="1"/>
    <col min="17" max="17" width="52.453125" hidden="1" customWidth="1"/>
    <col min="18" max="18" width="31.453125" hidden="1" customWidth="1"/>
    <col min="19" max="19" width="4.1796875" customWidth="1"/>
    <col min="20" max="20" width="36" hidden="1" customWidth="1"/>
    <col min="21" max="21" width="27.54296875" hidden="1" customWidth="1"/>
    <col min="22" max="22" width="35.26953125" hidden="1" customWidth="1"/>
    <col min="23" max="23" width="75.26953125" hidden="1" customWidth="1"/>
    <col min="24" max="24" width="52.453125" hidden="1" customWidth="1"/>
    <col min="25" max="25" width="0" hidden="1" customWidth="1"/>
  </cols>
  <sheetData>
    <row r="1" spans="1:25" ht="19" customHeight="1">
      <c r="A1" s="874" t="s">
        <v>234</v>
      </c>
      <c r="B1" s="875"/>
      <c r="C1" s="875"/>
      <c r="D1" s="875"/>
      <c r="E1" s="876"/>
      <c r="F1" s="84"/>
      <c r="G1" s="85"/>
      <c r="H1" s="877" t="s">
        <v>235</v>
      </c>
      <c r="I1" s="878"/>
      <c r="J1" s="879"/>
      <c r="K1" s="85"/>
      <c r="L1" s="869" t="s">
        <v>236</v>
      </c>
      <c r="M1" s="870"/>
      <c r="N1" s="870"/>
      <c r="O1" s="870"/>
      <c r="P1" s="870"/>
      <c r="Q1" s="871"/>
      <c r="R1" s="339"/>
      <c r="S1" s="85"/>
      <c r="T1" s="886" t="s">
        <v>237</v>
      </c>
      <c r="U1" s="887"/>
      <c r="V1" s="887"/>
      <c r="W1" s="887"/>
      <c r="X1" s="888"/>
      <c r="Y1" s="129"/>
    </row>
    <row r="2" spans="1:25" ht="29">
      <c r="A2" s="91" t="s">
        <v>238</v>
      </c>
      <c r="B2" s="87" t="s">
        <v>239</v>
      </c>
      <c r="C2" s="87" t="s">
        <v>240</v>
      </c>
      <c r="D2" s="87" t="s">
        <v>241</v>
      </c>
      <c r="E2" s="92" t="s">
        <v>242</v>
      </c>
      <c r="F2" s="218" t="s">
        <v>242</v>
      </c>
      <c r="G2" s="35"/>
      <c r="H2" s="107" t="s">
        <v>244</v>
      </c>
      <c r="I2" s="100" t="s">
        <v>245</v>
      </c>
      <c r="J2" s="108" t="s">
        <v>246</v>
      </c>
      <c r="K2" s="36"/>
      <c r="L2" s="333" t="s">
        <v>511</v>
      </c>
      <c r="M2" s="334" t="s">
        <v>248</v>
      </c>
      <c r="N2" s="121" t="s">
        <v>249</v>
      </c>
      <c r="O2" s="121" t="s">
        <v>1</v>
      </c>
      <c r="P2" s="121" t="s">
        <v>250</v>
      </c>
      <c r="Q2" s="123" t="s">
        <v>251</v>
      </c>
      <c r="R2" s="332" t="s">
        <v>252</v>
      </c>
      <c r="S2" s="9"/>
      <c r="T2" s="138" t="s">
        <v>253</v>
      </c>
      <c r="U2" s="130" t="s">
        <v>254</v>
      </c>
      <c r="V2" s="130" t="s">
        <v>255</v>
      </c>
      <c r="W2" s="130" t="s">
        <v>256</v>
      </c>
      <c r="X2" s="179" t="s">
        <v>257</v>
      </c>
      <c r="Y2" s="218" t="s">
        <v>258</v>
      </c>
    </row>
    <row r="3" spans="1:25" ht="14.5">
      <c r="A3" s="836" t="s">
        <v>259</v>
      </c>
      <c r="B3" s="835" t="s">
        <v>260</v>
      </c>
      <c r="C3" s="835" t="s">
        <v>261</v>
      </c>
      <c r="D3" s="835" t="s">
        <v>262</v>
      </c>
      <c r="E3" s="815" t="s">
        <v>263</v>
      </c>
      <c r="F3" s="837" t="s">
        <v>264</v>
      </c>
      <c r="G3" s="10"/>
      <c r="H3" s="821" t="s">
        <v>512</v>
      </c>
      <c r="I3" s="827" t="s">
        <v>266</v>
      </c>
      <c r="J3" s="830" t="s">
        <v>506</v>
      </c>
      <c r="K3" s="10"/>
      <c r="L3" s="898" t="s">
        <v>268</v>
      </c>
      <c r="M3" s="900" t="s">
        <v>269</v>
      </c>
      <c r="N3" s="900" t="s">
        <v>513</v>
      </c>
      <c r="O3" s="900" t="s">
        <v>5</v>
      </c>
      <c r="P3" s="900" t="str">
        <f>'PDS - Desenvolvimento'!$K$166</f>
        <v>Concluído</v>
      </c>
      <c r="Q3" s="1085">
        <v>45608</v>
      </c>
      <c r="R3" s="1084" t="s">
        <v>5</v>
      </c>
      <c r="S3" s="10"/>
      <c r="T3" s="798" t="s">
        <v>271</v>
      </c>
      <c r="U3" s="796" t="s">
        <v>272</v>
      </c>
      <c r="V3" s="133" t="s">
        <v>273</v>
      </c>
      <c r="W3" s="793" t="s">
        <v>274</v>
      </c>
      <c r="X3" s="791"/>
      <c r="Y3" s="920" t="s">
        <v>435</v>
      </c>
    </row>
    <row r="4" spans="1:25" ht="14.5">
      <c r="A4" s="836"/>
      <c r="B4" s="835"/>
      <c r="C4" s="835"/>
      <c r="D4" s="835"/>
      <c r="E4" s="815"/>
      <c r="F4" s="816"/>
      <c r="G4" s="10"/>
      <c r="H4" s="821"/>
      <c r="I4" s="827"/>
      <c r="J4" s="830"/>
      <c r="K4" s="10"/>
      <c r="L4" s="898"/>
      <c r="M4" s="900"/>
      <c r="N4" s="900"/>
      <c r="O4" s="900"/>
      <c r="P4" s="900"/>
      <c r="Q4" s="910"/>
      <c r="R4" s="1084"/>
      <c r="S4" s="10"/>
      <c r="T4" s="798"/>
      <c r="U4" s="796"/>
      <c r="V4" s="133" t="s">
        <v>276</v>
      </c>
      <c r="W4" s="793"/>
      <c r="X4" s="791"/>
      <c r="Y4" s="921"/>
    </row>
    <row r="5" spans="1:25" ht="14.5">
      <c r="A5" s="836"/>
      <c r="B5" s="835"/>
      <c r="C5" s="835"/>
      <c r="D5" s="835"/>
      <c r="E5" s="815"/>
      <c r="F5" s="816"/>
      <c r="G5" s="10"/>
      <c r="H5" s="821"/>
      <c r="I5" s="827"/>
      <c r="J5" s="830"/>
      <c r="K5" s="10"/>
      <c r="L5" s="898"/>
      <c r="M5" s="900"/>
      <c r="N5" s="900"/>
      <c r="O5" s="900"/>
      <c r="P5" s="900"/>
      <c r="Q5" s="910"/>
      <c r="R5" s="1084"/>
      <c r="S5" s="10"/>
      <c r="T5" s="798"/>
      <c r="U5" s="796"/>
      <c r="V5" s="133" t="s">
        <v>277</v>
      </c>
      <c r="W5" s="793"/>
      <c r="X5" s="791"/>
      <c r="Y5" s="921"/>
    </row>
    <row r="6" spans="1:25" ht="34.5" customHeight="1">
      <c r="A6" s="836"/>
      <c r="B6" s="835"/>
      <c r="C6" s="835"/>
      <c r="D6" s="835"/>
      <c r="E6" s="815"/>
      <c r="F6" s="816"/>
      <c r="G6" s="10"/>
      <c r="H6" s="821"/>
      <c r="I6" s="827"/>
      <c r="J6" s="830"/>
      <c r="K6" s="10"/>
      <c r="L6" s="898"/>
      <c r="M6" s="900"/>
      <c r="N6" s="900"/>
      <c r="O6" s="900"/>
      <c r="P6" s="900"/>
      <c r="Q6" s="910"/>
      <c r="R6" s="1084"/>
      <c r="S6" s="10"/>
      <c r="T6" s="798"/>
      <c r="U6" s="796"/>
      <c r="V6" s="133" t="s">
        <v>278</v>
      </c>
      <c r="W6" s="793"/>
      <c r="X6" s="791"/>
      <c r="Y6" s="915"/>
    </row>
    <row r="7" spans="1:25" ht="14.5">
      <c r="A7" s="899" t="s">
        <v>424</v>
      </c>
      <c r="B7" s="894" t="s">
        <v>260</v>
      </c>
      <c r="C7" s="894" t="s">
        <v>425</v>
      </c>
      <c r="D7" s="894" t="s">
        <v>262</v>
      </c>
      <c r="E7" s="913" t="s">
        <v>426</v>
      </c>
      <c r="F7" s="1081" t="s">
        <v>1062</v>
      </c>
      <c r="G7" s="34"/>
      <c r="H7" s="899" t="s">
        <v>514</v>
      </c>
      <c r="I7" s="889" t="s">
        <v>429</v>
      </c>
      <c r="J7" s="913" t="s">
        <v>515</v>
      </c>
      <c r="K7" s="34"/>
      <c r="L7" s="841" t="s">
        <v>268</v>
      </c>
      <c r="M7" s="842" t="s">
        <v>431</v>
      </c>
      <c r="N7" s="842" t="s">
        <v>516</v>
      </c>
      <c r="O7" s="842" t="s">
        <v>5</v>
      </c>
      <c r="P7" s="842" t="str">
        <f>'PDS - Desenvolvimento'!$K$167</f>
        <v>Concluído</v>
      </c>
      <c r="Q7" s="1064">
        <v>45608</v>
      </c>
      <c r="R7" s="1080" t="s">
        <v>5</v>
      </c>
      <c r="S7" s="34"/>
      <c r="T7" s="852" t="s">
        <v>1063</v>
      </c>
      <c r="U7" s="889" t="s">
        <v>272</v>
      </c>
      <c r="V7" s="137" t="s">
        <v>273</v>
      </c>
      <c r="W7" s="889" t="s">
        <v>1064</v>
      </c>
      <c r="X7" s="896"/>
      <c r="Y7" s="33"/>
    </row>
    <row r="8" spans="1:25" ht="14.5">
      <c r="A8" s="899"/>
      <c r="B8" s="894"/>
      <c r="C8" s="894"/>
      <c r="D8" s="894"/>
      <c r="E8" s="913"/>
      <c r="F8" s="1082"/>
      <c r="G8" s="34"/>
      <c r="H8" s="899"/>
      <c r="I8" s="889"/>
      <c r="J8" s="913"/>
      <c r="K8" s="34"/>
      <c r="L8" s="841"/>
      <c r="M8" s="842"/>
      <c r="N8" s="842"/>
      <c r="O8" s="842"/>
      <c r="P8" s="842"/>
      <c r="Q8" s="853"/>
      <c r="R8" s="1080"/>
      <c r="S8" s="34"/>
      <c r="T8" s="852"/>
      <c r="U8" s="889"/>
      <c r="V8" s="137" t="s">
        <v>436</v>
      </c>
      <c r="W8" s="889"/>
      <c r="X8" s="896"/>
      <c r="Y8" s="33"/>
    </row>
    <row r="9" spans="1:25" ht="14.5">
      <c r="A9" s="899"/>
      <c r="B9" s="894"/>
      <c r="C9" s="894"/>
      <c r="D9" s="894"/>
      <c r="E9" s="913"/>
      <c r="F9" s="1082"/>
      <c r="G9" s="34"/>
      <c r="H9" s="899"/>
      <c r="I9" s="889"/>
      <c r="J9" s="913"/>
      <c r="K9" s="34"/>
      <c r="L9" s="841"/>
      <c r="M9" s="842"/>
      <c r="N9" s="842"/>
      <c r="O9" s="842"/>
      <c r="P9" s="842"/>
      <c r="Q9" s="853"/>
      <c r="R9" s="1080"/>
      <c r="S9" s="34"/>
      <c r="T9" s="852"/>
      <c r="U9" s="889"/>
      <c r="V9" s="137" t="s">
        <v>437</v>
      </c>
      <c r="W9" s="889"/>
      <c r="X9" s="896"/>
    </row>
    <row r="10" spans="1:25" ht="25.5" customHeight="1">
      <c r="A10" s="899"/>
      <c r="B10" s="894"/>
      <c r="C10" s="894"/>
      <c r="D10" s="894"/>
      <c r="E10" s="913"/>
      <c r="F10" s="1083"/>
      <c r="G10" s="34"/>
      <c r="H10" s="899"/>
      <c r="I10" s="889"/>
      <c r="J10" s="913"/>
      <c r="K10" s="34"/>
      <c r="L10" s="841"/>
      <c r="M10" s="842"/>
      <c r="N10" s="842"/>
      <c r="O10" s="842"/>
      <c r="P10" s="842"/>
      <c r="Q10" s="853"/>
      <c r="R10" s="1080"/>
      <c r="S10" s="34"/>
      <c r="T10" s="852"/>
      <c r="U10" s="889"/>
      <c r="V10" s="137" t="s">
        <v>438</v>
      </c>
      <c r="W10" s="889"/>
      <c r="X10" s="896"/>
    </row>
    <row r="11" spans="1:25" ht="118.5" customHeight="1">
      <c r="A11" s="93" t="s">
        <v>1157</v>
      </c>
      <c r="B11" s="88" t="s">
        <v>1011</v>
      </c>
      <c r="C11" s="88" t="s">
        <v>1158</v>
      </c>
      <c r="D11" s="88" t="s">
        <v>322</v>
      </c>
      <c r="E11" s="94" t="s">
        <v>1159</v>
      </c>
      <c r="F11" s="42" t="s">
        <v>1160</v>
      </c>
      <c r="G11" s="10"/>
      <c r="H11" s="109" t="s">
        <v>1176</v>
      </c>
      <c r="I11" s="102" t="s">
        <v>1158</v>
      </c>
      <c r="J11" s="110" t="s">
        <v>1159</v>
      </c>
      <c r="K11" s="10"/>
      <c r="L11" s="169" t="s">
        <v>268</v>
      </c>
      <c r="M11" s="166" t="s">
        <v>1162</v>
      </c>
      <c r="N11" s="166" t="s">
        <v>1177</v>
      </c>
      <c r="O11" s="166" t="s">
        <v>5</v>
      </c>
      <c r="P11" s="166" t="str">
        <f>'PDS - Desenvolvimento'!$K$168</f>
        <v>Concluído</v>
      </c>
      <c r="Q11" s="461">
        <v>45608</v>
      </c>
      <c r="R11" s="320" t="s">
        <v>5</v>
      </c>
      <c r="S11" s="10"/>
      <c r="T11" s="140" t="s">
        <v>493</v>
      </c>
      <c r="U11" s="131" t="s">
        <v>272</v>
      </c>
      <c r="V11" s="133" t="s">
        <v>1164</v>
      </c>
      <c r="W11" s="131" t="s">
        <v>289</v>
      </c>
      <c r="X11" s="143"/>
    </row>
    <row r="12" spans="1:25" ht="74.25" customHeight="1">
      <c r="A12" s="213" t="s">
        <v>1165</v>
      </c>
      <c r="B12" s="211" t="s">
        <v>487</v>
      </c>
      <c r="C12" s="211" t="s">
        <v>1178</v>
      </c>
      <c r="D12" s="211" t="s">
        <v>322</v>
      </c>
      <c r="E12" s="212" t="s">
        <v>1167</v>
      </c>
      <c r="F12" s="46" t="s">
        <v>1168</v>
      </c>
      <c r="G12" s="10"/>
      <c r="H12" s="213" t="s">
        <v>1179</v>
      </c>
      <c r="I12" s="214" t="s">
        <v>1180</v>
      </c>
      <c r="J12" s="212" t="s">
        <v>1167</v>
      </c>
      <c r="K12" s="10"/>
      <c r="L12" s="185" t="s">
        <v>268</v>
      </c>
      <c r="M12" s="186" t="s">
        <v>1169</v>
      </c>
      <c r="N12" s="186" t="s">
        <v>1181</v>
      </c>
      <c r="O12" s="186" t="s">
        <v>5</v>
      </c>
      <c r="P12" s="186" t="str">
        <f>'PDS - Desenvolvimento'!$K$169</f>
        <v>Concluído</v>
      </c>
      <c r="Q12" s="462">
        <v>45608</v>
      </c>
      <c r="R12" s="330" t="s">
        <v>5</v>
      </c>
      <c r="S12" s="10"/>
      <c r="T12" s="223" t="s">
        <v>493</v>
      </c>
      <c r="U12" s="214" t="s">
        <v>272</v>
      </c>
      <c r="V12" s="211" t="s">
        <v>494</v>
      </c>
      <c r="W12" s="214" t="s">
        <v>289</v>
      </c>
      <c r="X12" s="216"/>
    </row>
  </sheetData>
  <autoFilter ref="A2:Y12"/>
  <mergeCells count="45">
    <mergeCell ref="O7:O10"/>
    <mergeCell ref="T1:X1"/>
    <mergeCell ref="R3:R6"/>
    <mergeCell ref="H3:H6"/>
    <mergeCell ref="T3:T6"/>
    <mergeCell ref="I3:I6"/>
    <mergeCell ref="J3:J6"/>
    <mergeCell ref="Q3:Q6"/>
    <mergeCell ref="M3:M6"/>
    <mergeCell ref="N3:N6"/>
    <mergeCell ref="L1:Q1"/>
    <mergeCell ref="L3:L6"/>
    <mergeCell ref="O3:O6"/>
    <mergeCell ref="P3:P6"/>
    <mergeCell ref="P7:P10"/>
    <mergeCell ref="A1:E1"/>
    <mergeCell ref="H1:J1"/>
    <mergeCell ref="F7:F10"/>
    <mergeCell ref="A3:A6"/>
    <mergeCell ref="B3:B6"/>
    <mergeCell ref="C3:C6"/>
    <mergeCell ref="D3:D6"/>
    <mergeCell ref="E3:E6"/>
    <mergeCell ref="F3:F6"/>
    <mergeCell ref="A7:A10"/>
    <mergeCell ref="B7:B10"/>
    <mergeCell ref="C7:C10"/>
    <mergeCell ref="D7:D10"/>
    <mergeCell ref="E7:E10"/>
    <mergeCell ref="Y3:Y6"/>
    <mergeCell ref="H7:H10"/>
    <mergeCell ref="N7:N10"/>
    <mergeCell ref="T7:T10"/>
    <mergeCell ref="U7:U10"/>
    <mergeCell ref="W7:W10"/>
    <mergeCell ref="R7:R10"/>
    <mergeCell ref="I7:I10"/>
    <mergeCell ref="J7:J10"/>
    <mergeCell ref="X7:X10"/>
    <mergeCell ref="U3:U6"/>
    <mergeCell ref="W3:W6"/>
    <mergeCell ref="X3:X6"/>
    <mergeCell ref="Q7:Q10"/>
    <mergeCell ref="M7:M10"/>
    <mergeCell ref="L7:L10"/>
  </mergeCells>
  <dataValidations count="1">
    <dataValidation allowBlank="1" showInputMessage="1" showErrorMessage="1" sqref="P3:P12"/>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AUX!$A$2:$A$8</xm:f>
          </x14:formula1>
          <xm:sqref>O3:O12</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A2"/>
  <sheetViews>
    <sheetView zoomScaleNormal="100" workbookViewId="0"/>
  </sheetViews>
  <sheetFormatPr defaultRowHeight="14.5"/>
  <cols>
    <col min="1" max="1" width="167.81640625" customWidth="1"/>
  </cols>
  <sheetData>
    <row r="1" spans="1:1" ht="207" customHeight="1" thickBot="1">
      <c r="A1" s="50" t="s">
        <v>1182</v>
      </c>
    </row>
    <row r="2" spans="1:1" ht="207.5" hidden="1" thickBot="1">
      <c r="A2" s="1" t="s">
        <v>1183</v>
      </c>
    </row>
  </sheetData>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filterMode="1"/>
  <dimension ref="A1:AA68"/>
  <sheetViews>
    <sheetView zoomScale="55" zoomScaleNormal="55" workbookViewId="0">
      <pane xSplit="6" ySplit="2" topLeftCell="G43" activePane="bottomRight" state="frozen"/>
      <selection pane="topRight" activeCell="G1" sqref="G1"/>
      <selection pane="bottomLeft" activeCell="A3" sqref="A3"/>
      <selection pane="bottomRight" activeCell="N43" sqref="N43"/>
    </sheetView>
  </sheetViews>
  <sheetFormatPr defaultRowHeight="15" customHeight="1"/>
  <cols>
    <col min="1" max="1" width="6.26953125" customWidth="1"/>
    <col min="2" max="2" width="12.81640625" customWidth="1"/>
    <col min="3" max="3" width="24.453125" bestFit="1" customWidth="1"/>
    <col min="4" max="4" width="13" customWidth="1"/>
    <col min="5" max="5" width="47.7265625" customWidth="1"/>
    <col min="6" max="6" width="8.7265625" hidden="1" customWidth="1"/>
    <col min="7" max="7" width="4" customWidth="1"/>
    <col min="8" max="8" width="34.1796875" customWidth="1"/>
    <col min="9" max="10" width="35.81640625" customWidth="1"/>
    <col min="11" max="11" width="4" customWidth="1"/>
    <col min="12" max="12" width="18.54296875" bestFit="1" customWidth="1"/>
    <col min="13" max="13" width="28.7265625" bestFit="1" customWidth="1"/>
    <col min="14" max="16" width="52.453125" customWidth="1"/>
    <col min="17" max="17" width="52.453125" hidden="1" customWidth="1"/>
    <col min="18" max="18" width="36.81640625" hidden="1" customWidth="1"/>
    <col min="19" max="19" width="4.1796875" customWidth="1"/>
    <col min="20" max="20" width="40.81640625" hidden="1" customWidth="1"/>
    <col min="21" max="21" width="90.26953125" hidden="1" customWidth="1"/>
    <col min="22" max="22" width="24.54296875" hidden="1" customWidth="1"/>
    <col min="23" max="23" width="88.453125" hidden="1" customWidth="1"/>
    <col min="24" max="24" width="86.453125" hidden="1" customWidth="1"/>
    <col min="25" max="26" width="0" hidden="1" customWidth="1"/>
  </cols>
  <sheetData>
    <row r="1" spans="1:27" ht="18.5">
      <c r="A1" s="874" t="s">
        <v>234</v>
      </c>
      <c r="B1" s="875"/>
      <c r="C1" s="875"/>
      <c r="D1" s="875"/>
      <c r="E1" s="876"/>
      <c r="F1" s="84"/>
      <c r="G1" s="85"/>
      <c r="H1" s="877" t="s">
        <v>235</v>
      </c>
      <c r="I1" s="878"/>
      <c r="J1" s="879"/>
      <c r="K1" s="85"/>
      <c r="L1" s="869" t="s">
        <v>236</v>
      </c>
      <c r="M1" s="870"/>
      <c r="N1" s="870"/>
      <c r="O1" s="870"/>
      <c r="P1" s="870"/>
      <c r="Q1" s="432"/>
      <c r="R1" s="317"/>
      <c r="S1" s="85"/>
      <c r="T1" s="886" t="s">
        <v>237</v>
      </c>
      <c r="U1" s="887"/>
      <c r="V1" s="887"/>
      <c r="W1" s="887"/>
      <c r="X1" s="888"/>
      <c r="Y1" s="129"/>
    </row>
    <row r="2" spans="1:27" s="4" customFormat="1" ht="29">
      <c r="A2" s="91" t="s">
        <v>238</v>
      </c>
      <c r="B2" s="87" t="s">
        <v>239</v>
      </c>
      <c r="C2" s="87" t="s">
        <v>240</v>
      </c>
      <c r="D2" s="87" t="s">
        <v>241</v>
      </c>
      <c r="E2" s="92" t="s">
        <v>242</v>
      </c>
      <c r="F2" s="218" t="s">
        <v>242</v>
      </c>
      <c r="G2" s="35"/>
      <c r="H2" s="107" t="s">
        <v>244</v>
      </c>
      <c r="I2" s="100" t="s">
        <v>245</v>
      </c>
      <c r="J2" s="108" t="s">
        <v>246</v>
      </c>
      <c r="K2" s="36"/>
      <c r="L2" s="333" t="s">
        <v>247</v>
      </c>
      <c r="M2" s="334" t="s">
        <v>248</v>
      </c>
      <c r="N2" s="121" t="s">
        <v>249</v>
      </c>
      <c r="O2" s="121" t="s">
        <v>1</v>
      </c>
      <c r="P2" s="121" t="s">
        <v>250</v>
      </c>
      <c r="Q2" s="123" t="s">
        <v>251</v>
      </c>
      <c r="R2" s="332" t="s">
        <v>252</v>
      </c>
      <c r="S2" s="9"/>
      <c r="T2" s="138" t="s">
        <v>253</v>
      </c>
      <c r="U2" s="277" t="s">
        <v>254</v>
      </c>
      <c r="V2" s="130" t="s">
        <v>255</v>
      </c>
      <c r="W2" s="277" t="s">
        <v>256</v>
      </c>
      <c r="X2" s="278" t="s">
        <v>257</v>
      </c>
      <c r="Y2" s="48"/>
      <c r="Z2" s="32" t="s">
        <v>1184</v>
      </c>
      <c r="AA2" s="3"/>
    </row>
    <row r="3" spans="1:27" ht="14.5" hidden="1">
      <c r="A3" s="836" t="s">
        <v>259</v>
      </c>
      <c r="B3" s="835" t="s">
        <v>260</v>
      </c>
      <c r="C3" s="835" t="s">
        <v>261</v>
      </c>
      <c r="D3" s="835" t="s">
        <v>262</v>
      </c>
      <c r="E3" s="815" t="s">
        <v>439</v>
      </c>
      <c r="F3" s="840" t="s">
        <v>264</v>
      </c>
      <c r="G3" s="10"/>
      <c r="H3" s="821" t="s">
        <v>265</v>
      </c>
      <c r="I3" s="827" t="s">
        <v>266</v>
      </c>
      <c r="J3" s="830" t="s">
        <v>267</v>
      </c>
      <c r="K3" s="10"/>
      <c r="L3" s="813" t="s">
        <v>268</v>
      </c>
      <c r="M3" s="784" t="s">
        <v>269</v>
      </c>
      <c r="N3" s="824" t="s">
        <v>270</v>
      </c>
      <c r="O3" s="784" t="s">
        <v>5</v>
      </c>
      <c r="P3" s="784" t="str">
        <f>'PDS - Desenvolvimento'!$K$3</f>
        <v>Concluído</v>
      </c>
      <c r="Q3" s="802">
        <v>45608</v>
      </c>
      <c r="R3" s="811" t="s">
        <v>5</v>
      </c>
      <c r="S3" s="10"/>
      <c r="T3" s="798" t="s">
        <v>271</v>
      </c>
      <c r="U3" s="793" t="s">
        <v>272</v>
      </c>
      <c r="V3" s="133" t="s">
        <v>273</v>
      </c>
      <c r="W3" s="793" t="s">
        <v>1077</v>
      </c>
      <c r="X3" s="791"/>
      <c r="Y3" s="10"/>
      <c r="Z3" s="1089"/>
      <c r="AA3" s="3"/>
    </row>
    <row r="4" spans="1:27" ht="15" hidden="1" customHeight="1">
      <c r="A4" s="836"/>
      <c r="B4" s="835"/>
      <c r="C4" s="835"/>
      <c r="D4" s="835"/>
      <c r="E4" s="815"/>
      <c r="F4" s="1095"/>
      <c r="G4" s="10"/>
      <c r="H4" s="821"/>
      <c r="I4" s="827"/>
      <c r="J4" s="830"/>
      <c r="K4" s="10"/>
      <c r="L4" s="813"/>
      <c r="M4" s="784"/>
      <c r="N4" s="824"/>
      <c r="O4" s="784"/>
      <c r="P4" s="784"/>
      <c r="Q4" s="803"/>
      <c r="R4" s="811"/>
      <c r="S4" s="10"/>
      <c r="T4" s="798"/>
      <c r="U4" s="793"/>
      <c r="V4" s="133" t="s">
        <v>276</v>
      </c>
      <c r="W4" s="793"/>
      <c r="X4" s="791"/>
      <c r="Y4" s="10"/>
      <c r="Z4" s="1091"/>
      <c r="AA4" s="3"/>
    </row>
    <row r="5" spans="1:27" ht="15" hidden="1" customHeight="1">
      <c r="A5" s="836"/>
      <c r="B5" s="835"/>
      <c r="C5" s="835"/>
      <c r="D5" s="835"/>
      <c r="E5" s="815"/>
      <c r="F5" s="1095"/>
      <c r="G5" s="10"/>
      <c r="H5" s="821"/>
      <c r="I5" s="827"/>
      <c r="J5" s="830"/>
      <c r="K5" s="10"/>
      <c r="L5" s="813"/>
      <c r="M5" s="784"/>
      <c r="N5" s="824"/>
      <c r="O5" s="784"/>
      <c r="P5" s="784"/>
      <c r="Q5" s="803"/>
      <c r="R5" s="811"/>
      <c r="S5" s="10"/>
      <c r="T5" s="798"/>
      <c r="U5" s="793"/>
      <c r="V5" s="133" t="s">
        <v>277</v>
      </c>
      <c r="W5" s="793"/>
      <c r="X5" s="791"/>
      <c r="Y5" s="10"/>
      <c r="Z5" s="1091"/>
      <c r="AA5" s="3"/>
    </row>
    <row r="6" spans="1:27" ht="15" hidden="1" customHeight="1">
      <c r="A6" s="836"/>
      <c r="B6" s="835"/>
      <c r="C6" s="835"/>
      <c r="D6" s="835"/>
      <c r="E6" s="815"/>
      <c r="F6" s="837"/>
      <c r="G6" s="10"/>
      <c r="H6" s="821"/>
      <c r="I6" s="827"/>
      <c r="J6" s="830"/>
      <c r="K6" s="10"/>
      <c r="L6" s="813"/>
      <c r="M6" s="784"/>
      <c r="N6" s="824"/>
      <c r="O6" s="784"/>
      <c r="P6" s="784"/>
      <c r="Q6" s="803"/>
      <c r="R6" s="811"/>
      <c r="S6" s="10"/>
      <c r="T6" s="798"/>
      <c r="U6" s="793"/>
      <c r="V6" s="133" t="s">
        <v>278</v>
      </c>
      <c r="W6" s="793"/>
      <c r="X6" s="791"/>
      <c r="Y6" s="10"/>
      <c r="Z6" s="1090"/>
      <c r="AA6" s="3"/>
    </row>
    <row r="7" spans="1:27" ht="159.5" hidden="1">
      <c r="A7" s="95" t="s">
        <v>279</v>
      </c>
      <c r="B7" s="89" t="s">
        <v>260</v>
      </c>
      <c r="C7" s="89" t="s">
        <v>280</v>
      </c>
      <c r="D7" s="89" t="s">
        <v>262</v>
      </c>
      <c r="E7" s="96" t="s">
        <v>281</v>
      </c>
      <c r="F7" s="13" t="s">
        <v>367</v>
      </c>
      <c r="G7" s="11"/>
      <c r="H7" s="95" t="s">
        <v>1185</v>
      </c>
      <c r="I7" s="189" t="s">
        <v>50</v>
      </c>
      <c r="J7" s="194" t="s">
        <v>50</v>
      </c>
      <c r="K7" s="11"/>
      <c r="L7" s="95" t="s">
        <v>284</v>
      </c>
      <c r="M7" s="89" t="s">
        <v>285</v>
      </c>
      <c r="N7" s="90" t="s">
        <v>1186</v>
      </c>
      <c r="O7" s="89" t="s">
        <v>5</v>
      </c>
      <c r="P7" s="89" t="str">
        <f>'PDS - Desenvolvimento'!$K$77</f>
        <v>Concluído</v>
      </c>
      <c r="Q7" s="463">
        <v>45608</v>
      </c>
      <c r="R7" s="326" t="s">
        <v>287</v>
      </c>
      <c r="S7" s="11"/>
      <c r="T7" s="142" t="s">
        <v>271</v>
      </c>
      <c r="U7" s="90" t="s">
        <v>272</v>
      </c>
      <c r="V7" s="89" t="s">
        <v>288</v>
      </c>
      <c r="W7" s="90" t="s">
        <v>289</v>
      </c>
      <c r="X7" s="96"/>
      <c r="Y7" s="11"/>
      <c r="Z7" s="23"/>
      <c r="AA7" s="3"/>
    </row>
    <row r="8" spans="1:27" ht="203" hidden="1">
      <c r="A8" s="93" t="s">
        <v>522</v>
      </c>
      <c r="B8" s="88" t="s">
        <v>260</v>
      </c>
      <c r="C8" s="88" t="s">
        <v>523</v>
      </c>
      <c r="D8" s="88" t="s">
        <v>262</v>
      </c>
      <c r="E8" s="226" t="s">
        <v>1187</v>
      </c>
      <c r="F8" s="14" t="s">
        <v>1187</v>
      </c>
      <c r="G8" s="10"/>
      <c r="H8" s="109" t="s">
        <v>526</v>
      </c>
      <c r="I8" s="102" t="s">
        <v>527</v>
      </c>
      <c r="J8" s="110" t="s">
        <v>528</v>
      </c>
      <c r="K8" s="10"/>
      <c r="L8" s="124" t="s">
        <v>268</v>
      </c>
      <c r="M8" s="122" t="s">
        <v>529</v>
      </c>
      <c r="N8" s="351" t="s">
        <v>530</v>
      </c>
      <c r="O8" s="122" t="s">
        <v>5</v>
      </c>
      <c r="P8" s="122" t="str">
        <f>'PDS - Desenvolvimento'!$K$76</f>
        <v>Concluído</v>
      </c>
      <c r="Q8" s="445">
        <v>45608</v>
      </c>
      <c r="R8" s="318" t="s">
        <v>5</v>
      </c>
      <c r="S8" s="10"/>
      <c r="T8" s="140"/>
      <c r="U8" s="131"/>
      <c r="V8" s="133"/>
      <c r="W8" s="131" t="s">
        <v>531</v>
      </c>
      <c r="X8" s="141"/>
      <c r="Y8" s="10"/>
      <c r="Z8" s="23"/>
      <c r="AA8" s="3"/>
    </row>
    <row r="9" spans="1:27" ht="406" hidden="1">
      <c r="A9" s="95" t="s">
        <v>532</v>
      </c>
      <c r="B9" s="89" t="s">
        <v>260</v>
      </c>
      <c r="C9" s="89" t="s">
        <v>533</v>
      </c>
      <c r="D9" s="89" t="s">
        <v>262</v>
      </c>
      <c r="E9" s="96" t="s">
        <v>1188</v>
      </c>
      <c r="F9" s="13" t="s">
        <v>1189</v>
      </c>
      <c r="G9" s="11"/>
      <c r="H9" s="95" t="s">
        <v>536</v>
      </c>
      <c r="I9" s="90" t="s">
        <v>533</v>
      </c>
      <c r="J9" s="96" t="s">
        <v>537</v>
      </c>
      <c r="K9" s="11"/>
      <c r="L9" s="111" t="s">
        <v>268</v>
      </c>
      <c r="M9" s="103" t="s">
        <v>538</v>
      </c>
      <c r="N9" s="106" t="s">
        <v>539</v>
      </c>
      <c r="O9" s="89" t="s">
        <v>5</v>
      </c>
      <c r="P9" s="89" t="str">
        <f>'PDS - Desenvolvimento'!$K$7</f>
        <v>Concluído</v>
      </c>
      <c r="Q9" s="464">
        <v>45608</v>
      </c>
      <c r="R9" s="326" t="s">
        <v>5</v>
      </c>
      <c r="S9" s="11"/>
      <c r="T9" s="142"/>
      <c r="U9" s="90"/>
      <c r="V9" s="89"/>
      <c r="W9" s="90" t="s">
        <v>531</v>
      </c>
      <c r="X9" s="96"/>
      <c r="Y9" s="11"/>
      <c r="Z9" s="23"/>
      <c r="AA9" s="3"/>
    </row>
    <row r="10" spans="1:27" ht="15" hidden="1" customHeight="1">
      <c r="A10" s="836" t="s">
        <v>540</v>
      </c>
      <c r="B10" s="835" t="s">
        <v>260</v>
      </c>
      <c r="C10" s="835" t="s">
        <v>541</v>
      </c>
      <c r="D10" s="835" t="s">
        <v>262</v>
      </c>
      <c r="E10" s="815" t="s">
        <v>542</v>
      </c>
      <c r="F10" s="840" t="s">
        <v>1190</v>
      </c>
      <c r="G10" s="10"/>
      <c r="H10" s="821" t="s">
        <v>544</v>
      </c>
      <c r="I10" s="827" t="s">
        <v>545</v>
      </c>
      <c r="J10" s="830" t="s">
        <v>546</v>
      </c>
      <c r="K10" s="10"/>
      <c r="L10" s="813" t="s">
        <v>268</v>
      </c>
      <c r="M10" s="784" t="s">
        <v>361</v>
      </c>
      <c r="N10" s="824" t="s">
        <v>547</v>
      </c>
      <c r="O10" s="784" t="s">
        <v>5</v>
      </c>
      <c r="P10" s="784" t="str">
        <f>'PDS - Desenvolvimento'!$K$4</f>
        <v>Concluído</v>
      </c>
      <c r="Q10" s="802">
        <v>45608</v>
      </c>
      <c r="R10" s="811" t="s">
        <v>5</v>
      </c>
      <c r="S10" s="10"/>
      <c r="T10" s="798" t="s">
        <v>271</v>
      </c>
      <c r="U10" s="793" t="s">
        <v>272</v>
      </c>
      <c r="V10" s="133" t="s">
        <v>273</v>
      </c>
      <c r="W10" s="793" t="s">
        <v>1077</v>
      </c>
      <c r="X10" s="791"/>
      <c r="Y10" s="10"/>
      <c r="Z10" s="1089"/>
      <c r="AA10" s="3"/>
    </row>
    <row r="11" spans="1:27" ht="15" hidden="1" customHeight="1">
      <c r="A11" s="836"/>
      <c r="B11" s="835"/>
      <c r="C11" s="835"/>
      <c r="D11" s="835"/>
      <c r="E11" s="815"/>
      <c r="F11" s="1095"/>
      <c r="G11" s="10"/>
      <c r="H11" s="821"/>
      <c r="I11" s="827"/>
      <c r="J11" s="830"/>
      <c r="K11" s="10"/>
      <c r="L11" s="813"/>
      <c r="M11" s="784"/>
      <c r="N11" s="824"/>
      <c r="O11" s="784"/>
      <c r="P11" s="784"/>
      <c r="Q11" s="803"/>
      <c r="R11" s="811"/>
      <c r="S11" s="10"/>
      <c r="T11" s="798"/>
      <c r="U11" s="793"/>
      <c r="V11" s="133" t="s">
        <v>276</v>
      </c>
      <c r="W11" s="793"/>
      <c r="X11" s="791"/>
      <c r="Y11" s="10"/>
      <c r="Z11" s="1091"/>
      <c r="AA11" s="3"/>
    </row>
    <row r="12" spans="1:27" ht="15" hidden="1" customHeight="1">
      <c r="A12" s="836"/>
      <c r="B12" s="835"/>
      <c r="C12" s="835"/>
      <c r="D12" s="835"/>
      <c r="E12" s="815"/>
      <c r="F12" s="1095"/>
      <c r="G12" s="10"/>
      <c r="H12" s="821"/>
      <c r="I12" s="827"/>
      <c r="J12" s="830"/>
      <c r="K12" s="10"/>
      <c r="L12" s="813"/>
      <c r="M12" s="784"/>
      <c r="N12" s="824"/>
      <c r="O12" s="784"/>
      <c r="P12" s="784"/>
      <c r="Q12" s="803"/>
      <c r="R12" s="811"/>
      <c r="S12" s="10"/>
      <c r="T12" s="798"/>
      <c r="U12" s="793"/>
      <c r="V12" s="133" t="s">
        <v>277</v>
      </c>
      <c r="W12" s="793"/>
      <c r="X12" s="791"/>
      <c r="Y12" s="10"/>
      <c r="Z12" s="1091"/>
      <c r="AA12" s="3"/>
    </row>
    <row r="13" spans="1:27" ht="15" hidden="1" customHeight="1">
      <c r="A13" s="836"/>
      <c r="B13" s="835"/>
      <c r="C13" s="835"/>
      <c r="D13" s="835"/>
      <c r="E13" s="815"/>
      <c r="F13" s="837"/>
      <c r="G13" s="10"/>
      <c r="H13" s="821"/>
      <c r="I13" s="827"/>
      <c r="J13" s="830"/>
      <c r="K13" s="10"/>
      <c r="L13" s="813"/>
      <c r="M13" s="784"/>
      <c r="N13" s="824"/>
      <c r="O13" s="784"/>
      <c r="P13" s="784"/>
      <c r="Q13" s="803"/>
      <c r="R13" s="811"/>
      <c r="S13" s="10"/>
      <c r="T13" s="798"/>
      <c r="U13" s="793"/>
      <c r="V13" s="133" t="s">
        <v>278</v>
      </c>
      <c r="W13" s="793"/>
      <c r="X13" s="791"/>
      <c r="Y13" s="10"/>
      <c r="Z13" s="1090"/>
      <c r="AA13" s="3"/>
    </row>
    <row r="14" spans="1:27" ht="333.5" hidden="1">
      <c r="A14" s="95" t="s">
        <v>1191</v>
      </c>
      <c r="B14" s="89" t="s">
        <v>292</v>
      </c>
      <c r="C14" s="89" t="s">
        <v>1192</v>
      </c>
      <c r="D14" s="89" t="s">
        <v>294</v>
      </c>
      <c r="E14" s="96" t="s">
        <v>1193</v>
      </c>
      <c r="F14" s="13" t="s">
        <v>1194</v>
      </c>
      <c r="G14" s="11"/>
      <c r="H14" s="193" t="s">
        <v>50</v>
      </c>
      <c r="I14" s="189" t="s">
        <v>50</v>
      </c>
      <c r="J14" s="194" t="s">
        <v>50</v>
      </c>
      <c r="K14" s="11"/>
      <c r="L14" s="193" t="s">
        <v>284</v>
      </c>
      <c r="M14" s="189" t="s">
        <v>1195</v>
      </c>
      <c r="N14" s="572" t="s">
        <v>1196</v>
      </c>
      <c r="O14" s="89" t="s">
        <v>5</v>
      </c>
      <c r="P14" s="89" t="str">
        <f>'PDS - Desenvolvimento'!$K$90</f>
        <v>Concluído</v>
      </c>
      <c r="Q14" s="590">
        <v>45674</v>
      </c>
      <c r="R14" s="321" t="s">
        <v>299</v>
      </c>
      <c r="S14" s="11"/>
      <c r="T14" s="142" t="s">
        <v>1084</v>
      </c>
      <c r="U14" s="90" t="s">
        <v>1084</v>
      </c>
      <c r="V14" s="89" t="s">
        <v>1084</v>
      </c>
      <c r="W14" s="90" t="s">
        <v>1084</v>
      </c>
      <c r="X14" s="96" t="s">
        <v>1084</v>
      </c>
      <c r="Y14" s="11"/>
      <c r="Z14" s="22" t="s">
        <v>1084</v>
      </c>
      <c r="AA14" s="3"/>
    </row>
    <row r="15" spans="1:27" ht="15" hidden="1" customHeight="1">
      <c r="A15" s="836" t="s">
        <v>291</v>
      </c>
      <c r="B15" s="835" t="s">
        <v>292</v>
      </c>
      <c r="C15" s="835" t="s">
        <v>293</v>
      </c>
      <c r="D15" s="835" t="s">
        <v>294</v>
      </c>
      <c r="E15" s="912" t="s">
        <v>1197</v>
      </c>
      <c r="F15" s="840" t="s">
        <v>1198</v>
      </c>
      <c r="G15" s="10"/>
      <c r="H15" s="872" t="s">
        <v>50</v>
      </c>
      <c r="I15" s="856" t="s">
        <v>50</v>
      </c>
      <c r="J15" s="858" t="s">
        <v>50</v>
      </c>
      <c r="K15" s="10"/>
      <c r="L15" s="898" t="s">
        <v>284</v>
      </c>
      <c r="M15" s="900" t="s">
        <v>297</v>
      </c>
      <c r="N15" s="1097" t="s">
        <v>298</v>
      </c>
      <c r="O15" s="900" t="s">
        <v>5</v>
      </c>
      <c r="P15" s="900" t="str">
        <f>'PDS - Desenvolvimento'!$K$81</f>
        <v>Concluído</v>
      </c>
      <c r="Q15" s="1100" t="s">
        <v>1199</v>
      </c>
      <c r="R15" s="850" t="s">
        <v>299</v>
      </c>
      <c r="S15" s="10"/>
      <c r="T15" s="798" t="s">
        <v>300</v>
      </c>
      <c r="U15" s="793" t="s">
        <v>301</v>
      </c>
      <c r="V15" s="133" t="s">
        <v>302</v>
      </c>
      <c r="W15" s="793" t="s">
        <v>1200</v>
      </c>
      <c r="X15" s="791"/>
      <c r="Y15" s="10"/>
      <c r="Z15" s="1089"/>
      <c r="AA15" s="3"/>
    </row>
    <row r="16" spans="1:27" ht="14.5" hidden="1" customHeight="1">
      <c r="A16" s="836"/>
      <c r="B16" s="835"/>
      <c r="C16" s="835"/>
      <c r="D16" s="835"/>
      <c r="E16" s="912"/>
      <c r="F16" s="1095"/>
      <c r="G16" s="10"/>
      <c r="H16" s="821"/>
      <c r="I16" s="857"/>
      <c r="J16" s="859"/>
      <c r="K16" s="10"/>
      <c r="L16" s="898"/>
      <c r="M16" s="900"/>
      <c r="N16" s="1097"/>
      <c r="O16" s="900"/>
      <c r="P16" s="900"/>
      <c r="Q16" s="1101"/>
      <c r="R16" s="850"/>
      <c r="S16" s="10"/>
      <c r="T16" s="798"/>
      <c r="U16" s="793"/>
      <c r="V16" s="133" t="s">
        <v>304</v>
      </c>
      <c r="W16" s="793"/>
      <c r="X16" s="791"/>
      <c r="Y16" s="10"/>
      <c r="Z16" s="1091"/>
      <c r="AA16" s="3"/>
    </row>
    <row r="17" spans="1:27" ht="45" hidden="1" customHeight="1">
      <c r="A17" s="836"/>
      <c r="B17" s="835"/>
      <c r="C17" s="835"/>
      <c r="D17" s="835"/>
      <c r="E17" s="912"/>
      <c r="F17" s="837"/>
      <c r="G17" s="10"/>
      <c r="H17" s="821"/>
      <c r="I17" s="857"/>
      <c r="J17" s="859"/>
      <c r="K17" s="10"/>
      <c r="L17" s="898"/>
      <c r="M17" s="900"/>
      <c r="N17" s="1097"/>
      <c r="O17" s="900"/>
      <c r="P17" s="900"/>
      <c r="Q17" s="1101"/>
      <c r="R17" s="850"/>
      <c r="S17" s="10"/>
      <c r="T17" s="140" t="s">
        <v>305</v>
      </c>
      <c r="U17" s="131" t="s">
        <v>1201</v>
      </c>
      <c r="V17" s="133" t="s">
        <v>307</v>
      </c>
      <c r="W17" s="793"/>
      <c r="X17" s="791"/>
      <c r="Y17" s="10"/>
      <c r="Z17" s="1090"/>
      <c r="AA17" s="3"/>
    </row>
    <row r="18" spans="1:27" ht="15" hidden="1" customHeight="1">
      <c r="A18" s="841" t="s">
        <v>308</v>
      </c>
      <c r="B18" s="842" t="s">
        <v>292</v>
      </c>
      <c r="C18" s="842" t="s">
        <v>309</v>
      </c>
      <c r="D18" s="842" t="s">
        <v>294</v>
      </c>
      <c r="E18" s="882" t="s">
        <v>310</v>
      </c>
      <c r="F18" s="1092" t="s">
        <v>1202</v>
      </c>
      <c r="G18" s="11"/>
      <c r="H18" s="1020" t="s">
        <v>50</v>
      </c>
      <c r="I18" s="942" t="s">
        <v>50</v>
      </c>
      <c r="J18" s="1009" t="s">
        <v>50</v>
      </c>
      <c r="K18" s="11"/>
      <c r="L18" s="1020" t="s">
        <v>268</v>
      </c>
      <c r="M18" s="942" t="s">
        <v>312</v>
      </c>
      <c r="N18" s="1011" t="s">
        <v>1203</v>
      </c>
      <c r="O18" s="842" t="s">
        <v>5</v>
      </c>
      <c r="P18" s="842" t="str">
        <f>'PDS - Desenvolvimento'!$K$19</f>
        <v>Concluído</v>
      </c>
      <c r="Q18" s="1102"/>
      <c r="R18" s="832" t="s">
        <v>5</v>
      </c>
      <c r="S18" s="11"/>
      <c r="T18" s="801" t="s">
        <v>300</v>
      </c>
      <c r="U18" s="787" t="s">
        <v>314</v>
      </c>
      <c r="V18" s="89" t="s">
        <v>302</v>
      </c>
      <c r="W18" s="787" t="s">
        <v>1204</v>
      </c>
      <c r="X18" s="795"/>
      <c r="Y18" s="11"/>
      <c r="Z18" s="1089"/>
      <c r="AA18" s="3"/>
    </row>
    <row r="19" spans="1:27" ht="14.5" hidden="1">
      <c r="A19" s="841"/>
      <c r="B19" s="842"/>
      <c r="C19" s="842"/>
      <c r="D19" s="842"/>
      <c r="E19" s="882"/>
      <c r="F19" s="1093"/>
      <c r="G19" s="11"/>
      <c r="H19" s="841"/>
      <c r="I19" s="842"/>
      <c r="J19" s="853"/>
      <c r="K19" s="11"/>
      <c r="L19" s="841"/>
      <c r="M19" s="942"/>
      <c r="N19" s="1011"/>
      <c r="O19" s="942"/>
      <c r="P19" s="842"/>
      <c r="Q19" s="1102"/>
      <c r="R19" s="832"/>
      <c r="S19" s="11"/>
      <c r="T19" s="801"/>
      <c r="U19" s="787"/>
      <c r="V19" s="89" t="s">
        <v>304</v>
      </c>
      <c r="W19" s="787"/>
      <c r="X19" s="795"/>
      <c r="Y19" s="11"/>
      <c r="Z19" s="1091"/>
      <c r="AA19" s="3"/>
    </row>
    <row r="20" spans="1:27" ht="14.5" hidden="1">
      <c r="A20" s="841"/>
      <c r="B20" s="842"/>
      <c r="C20" s="842"/>
      <c r="D20" s="842"/>
      <c r="E20" s="882"/>
      <c r="F20" s="1094"/>
      <c r="G20" s="11"/>
      <c r="H20" s="841"/>
      <c r="I20" s="842"/>
      <c r="J20" s="853"/>
      <c r="K20" s="11"/>
      <c r="L20" s="841"/>
      <c r="M20" s="942"/>
      <c r="N20" s="1011"/>
      <c r="O20" s="942"/>
      <c r="P20" s="842"/>
      <c r="Q20" s="1102"/>
      <c r="R20" s="832"/>
      <c r="S20" s="11"/>
      <c r="T20" s="142" t="s">
        <v>317</v>
      </c>
      <c r="U20" s="90" t="s">
        <v>272</v>
      </c>
      <c r="V20" s="89" t="s">
        <v>318</v>
      </c>
      <c r="W20" s="787"/>
      <c r="X20" s="795"/>
      <c r="Y20" s="11"/>
      <c r="Z20" s="1090"/>
      <c r="AA20" s="3"/>
    </row>
    <row r="21" spans="1:27" ht="15" hidden="1" customHeight="1">
      <c r="A21" s="836" t="s">
        <v>1205</v>
      </c>
      <c r="B21" s="835" t="s">
        <v>320</v>
      </c>
      <c r="C21" s="835" t="s">
        <v>1206</v>
      </c>
      <c r="D21" s="835" t="s">
        <v>337</v>
      </c>
      <c r="E21" s="815" t="s">
        <v>1207</v>
      </c>
      <c r="F21" s="840" t="s">
        <v>1208</v>
      </c>
      <c r="G21" s="10"/>
      <c r="H21" s="821" t="s">
        <v>1209</v>
      </c>
      <c r="I21" s="827" t="s">
        <v>1210</v>
      </c>
      <c r="J21" s="830" t="s">
        <v>1211</v>
      </c>
      <c r="K21" s="10"/>
      <c r="L21" s="898" t="s">
        <v>268</v>
      </c>
      <c r="M21" s="900" t="s">
        <v>1212</v>
      </c>
      <c r="N21" s="903" t="s">
        <v>1213</v>
      </c>
      <c r="O21" s="900" t="s">
        <v>5</v>
      </c>
      <c r="P21" s="900" t="str">
        <f>'PDS - Desenvolvimento'!$K$28</f>
        <v>Concluído</v>
      </c>
      <c r="Q21" s="1100">
        <v>45608</v>
      </c>
      <c r="R21" s="1084" t="s">
        <v>5</v>
      </c>
      <c r="S21" s="10"/>
      <c r="T21" s="798" t="s">
        <v>305</v>
      </c>
      <c r="U21" s="793" t="s">
        <v>1201</v>
      </c>
      <c r="V21" s="133" t="s">
        <v>1214</v>
      </c>
      <c r="W21" s="793" t="s">
        <v>1215</v>
      </c>
      <c r="X21" s="791" t="s">
        <v>408</v>
      </c>
      <c r="Y21" s="10"/>
      <c r="Z21" s="1089"/>
      <c r="AA21" s="3"/>
    </row>
    <row r="22" spans="1:27" ht="15" hidden="1" customHeight="1">
      <c r="A22" s="836"/>
      <c r="B22" s="835"/>
      <c r="C22" s="835"/>
      <c r="D22" s="835"/>
      <c r="E22" s="815"/>
      <c r="F22" s="1095"/>
      <c r="G22" s="10"/>
      <c r="H22" s="821"/>
      <c r="I22" s="827"/>
      <c r="J22" s="830"/>
      <c r="K22" s="10"/>
      <c r="L22" s="898"/>
      <c r="M22" s="900"/>
      <c r="N22" s="903"/>
      <c r="O22" s="900"/>
      <c r="P22" s="900"/>
      <c r="Q22" s="1101"/>
      <c r="R22" s="1084"/>
      <c r="S22" s="10"/>
      <c r="T22" s="798"/>
      <c r="U22" s="793"/>
      <c r="V22" s="133" t="s">
        <v>347</v>
      </c>
      <c r="W22" s="793"/>
      <c r="X22" s="791"/>
      <c r="Y22" s="10"/>
      <c r="Z22" s="1091"/>
      <c r="AA22" s="3"/>
    </row>
    <row r="23" spans="1:27" ht="15" hidden="1" customHeight="1">
      <c r="A23" s="836"/>
      <c r="B23" s="835"/>
      <c r="C23" s="835"/>
      <c r="D23" s="835"/>
      <c r="E23" s="815"/>
      <c r="F23" s="1095"/>
      <c r="G23" s="10"/>
      <c r="H23" s="821"/>
      <c r="I23" s="827"/>
      <c r="J23" s="830"/>
      <c r="K23" s="10"/>
      <c r="L23" s="898"/>
      <c r="M23" s="900"/>
      <c r="N23" s="903"/>
      <c r="O23" s="900"/>
      <c r="P23" s="900"/>
      <c r="Q23" s="1101"/>
      <c r="R23" s="1084"/>
      <c r="S23" s="10"/>
      <c r="T23" s="798"/>
      <c r="U23" s="793"/>
      <c r="V23" s="133" t="s">
        <v>329</v>
      </c>
      <c r="W23" s="793"/>
      <c r="X23" s="791"/>
      <c r="Y23" s="10"/>
      <c r="Z23" s="1091"/>
      <c r="AA23" s="3"/>
    </row>
    <row r="24" spans="1:27" ht="15" hidden="1" customHeight="1">
      <c r="A24" s="836"/>
      <c r="B24" s="835"/>
      <c r="C24" s="835"/>
      <c r="D24" s="835"/>
      <c r="E24" s="815"/>
      <c r="F24" s="1095"/>
      <c r="G24" s="10"/>
      <c r="H24" s="821"/>
      <c r="I24" s="827"/>
      <c r="J24" s="830"/>
      <c r="K24" s="10"/>
      <c r="L24" s="898"/>
      <c r="M24" s="900"/>
      <c r="N24" s="903"/>
      <c r="O24" s="900"/>
      <c r="P24" s="900"/>
      <c r="Q24" s="1101"/>
      <c r="R24" s="1084"/>
      <c r="S24" s="10"/>
      <c r="T24" s="798"/>
      <c r="U24" s="793"/>
      <c r="V24" s="133" t="s">
        <v>333</v>
      </c>
      <c r="W24" s="793"/>
      <c r="X24" s="791"/>
      <c r="Y24" s="10"/>
      <c r="Z24" s="1091"/>
      <c r="AA24" s="3"/>
    </row>
    <row r="25" spans="1:27" ht="15" hidden="1" customHeight="1">
      <c r="A25" s="836"/>
      <c r="B25" s="835"/>
      <c r="C25" s="835"/>
      <c r="D25" s="835"/>
      <c r="E25" s="815"/>
      <c r="F25" s="1095"/>
      <c r="G25" s="10"/>
      <c r="H25" s="821"/>
      <c r="I25" s="827"/>
      <c r="J25" s="830"/>
      <c r="K25" s="10"/>
      <c r="L25" s="898"/>
      <c r="M25" s="900"/>
      <c r="N25" s="903"/>
      <c r="O25" s="900"/>
      <c r="P25" s="900"/>
      <c r="Q25" s="1101"/>
      <c r="R25" s="1084"/>
      <c r="S25" s="10"/>
      <c r="T25" s="798" t="s">
        <v>442</v>
      </c>
      <c r="U25" s="793" t="s">
        <v>272</v>
      </c>
      <c r="V25" s="133" t="s">
        <v>273</v>
      </c>
      <c r="W25" s="793"/>
      <c r="X25" s="791"/>
      <c r="Y25" s="10"/>
      <c r="Z25" s="1091"/>
      <c r="AA25" s="3"/>
    </row>
    <row r="26" spans="1:27" ht="15" hidden="1" customHeight="1">
      <c r="A26" s="836"/>
      <c r="B26" s="835"/>
      <c r="C26" s="835"/>
      <c r="D26" s="835"/>
      <c r="E26" s="815"/>
      <c r="F26" s="1095"/>
      <c r="G26" s="10"/>
      <c r="H26" s="821"/>
      <c r="I26" s="827"/>
      <c r="J26" s="830"/>
      <c r="K26" s="10"/>
      <c r="L26" s="898"/>
      <c r="M26" s="900"/>
      <c r="N26" s="903"/>
      <c r="O26" s="900"/>
      <c r="P26" s="900"/>
      <c r="Q26" s="1101"/>
      <c r="R26" s="1084"/>
      <c r="S26" s="10"/>
      <c r="T26" s="798"/>
      <c r="U26" s="793"/>
      <c r="V26" s="133" t="s">
        <v>276</v>
      </c>
      <c r="W26" s="793"/>
      <c r="X26" s="791"/>
      <c r="Y26" s="10"/>
      <c r="Z26" s="1091"/>
      <c r="AA26" s="3"/>
    </row>
    <row r="27" spans="1:27" ht="15" hidden="1" customHeight="1">
      <c r="A27" s="836"/>
      <c r="B27" s="835"/>
      <c r="C27" s="835"/>
      <c r="D27" s="835"/>
      <c r="E27" s="815"/>
      <c r="F27" s="1095"/>
      <c r="G27" s="10"/>
      <c r="H27" s="821"/>
      <c r="I27" s="827"/>
      <c r="J27" s="830"/>
      <c r="K27" s="10"/>
      <c r="L27" s="898"/>
      <c r="M27" s="900"/>
      <c r="N27" s="903"/>
      <c r="O27" s="900"/>
      <c r="P27" s="900"/>
      <c r="Q27" s="1101"/>
      <c r="R27" s="1084"/>
      <c r="S27" s="10"/>
      <c r="T27" s="798"/>
      <c r="U27" s="793"/>
      <c r="V27" s="133" t="s">
        <v>277</v>
      </c>
      <c r="W27" s="793"/>
      <c r="X27" s="791"/>
      <c r="Y27" s="10"/>
      <c r="Z27" s="1091"/>
      <c r="AA27" s="3"/>
    </row>
    <row r="28" spans="1:27" ht="15" hidden="1" customHeight="1">
      <c r="A28" s="836"/>
      <c r="B28" s="835"/>
      <c r="C28" s="835"/>
      <c r="D28" s="835"/>
      <c r="E28" s="815"/>
      <c r="F28" s="837"/>
      <c r="G28" s="10"/>
      <c r="H28" s="821"/>
      <c r="I28" s="827"/>
      <c r="J28" s="830"/>
      <c r="K28" s="10"/>
      <c r="L28" s="898"/>
      <c r="M28" s="900"/>
      <c r="N28" s="903"/>
      <c r="O28" s="900"/>
      <c r="P28" s="900"/>
      <c r="Q28" s="1101"/>
      <c r="R28" s="1084"/>
      <c r="S28" s="10"/>
      <c r="T28" s="798"/>
      <c r="U28" s="793"/>
      <c r="V28" s="133" t="s">
        <v>278</v>
      </c>
      <c r="W28" s="793"/>
      <c r="X28" s="791"/>
      <c r="Y28" s="10"/>
      <c r="Z28" s="1090"/>
      <c r="AA28" s="3"/>
    </row>
    <row r="29" spans="1:27" ht="15" hidden="1" customHeight="1">
      <c r="A29" s="841" t="s">
        <v>319</v>
      </c>
      <c r="B29" s="842" t="s">
        <v>320</v>
      </c>
      <c r="C29" s="842" t="s">
        <v>321</v>
      </c>
      <c r="D29" s="842" t="s">
        <v>322</v>
      </c>
      <c r="E29" s="795" t="s">
        <v>323</v>
      </c>
      <c r="F29" s="1092" t="s">
        <v>1216</v>
      </c>
      <c r="G29" s="11"/>
      <c r="H29" s="841" t="s">
        <v>325</v>
      </c>
      <c r="I29" s="787" t="s">
        <v>98</v>
      </c>
      <c r="J29" s="795" t="s">
        <v>326</v>
      </c>
      <c r="K29" s="11"/>
      <c r="L29" s="841" t="s">
        <v>268</v>
      </c>
      <c r="M29" s="842" t="s">
        <v>327</v>
      </c>
      <c r="N29" s="787" t="s">
        <v>328</v>
      </c>
      <c r="O29" s="842" t="s">
        <v>5</v>
      </c>
      <c r="P29" s="842" t="str">
        <f>'PDS - Desenvolvimento'!$K$36</f>
        <v>Concluído</v>
      </c>
      <c r="Q29" s="1103">
        <v>45608</v>
      </c>
      <c r="R29" s="1080" t="s">
        <v>5</v>
      </c>
      <c r="S29" s="11"/>
      <c r="T29" s="801" t="s">
        <v>305</v>
      </c>
      <c r="U29" s="787" t="s">
        <v>1201</v>
      </c>
      <c r="V29" s="89" t="s">
        <v>329</v>
      </c>
      <c r="W29" s="787" t="s">
        <v>330</v>
      </c>
      <c r="X29" s="795" t="s">
        <v>331</v>
      </c>
      <c r="Y29" s="11"/>
      <c r="Z29" s="1089"/>
      <c r="AA29" s="3"/>
    </row>
    <row r="30" spans="1:27" ht="15" hidden="1" customHeight="1">
      <c r="A30" s="841"/>
      <c r="B30" s="842"/>
      <c r="C30" s="842"/>
      <c r="D30" s="842"/>
      <c r="E30" s="795"/>
      <c r="F30" s="1093"/>
      <c r="G30" s="11"/>
      <c r="H30" s="841"/>
      <c r="I30" s="787"/>
      <c r="J30" s="795"/>
      <c r="K30" s="11"/>
      <c r="L30" s="841"/>
      <c r="M30" s="842"/>
      <c r="N30" s="787"/>
      <c r="O30" s="842"/>
      <c r="P30" s="842"/>
      <c r="Q30" s="795"/>
      <c r="R30" s="1080"/>
      <c r="S30" s="11"/>
      <c r="T30" s="801"/>
      <c r="U30" s="787"/>
      <c r="V30" s="89" t="s">
        <v>1217</v>
      </c>
      <c r="W30" s="787"/>
      <c r="X30" s="795"/>
      <c r="Y30" s="11"/>
      <c r="Z30" s="1091"/>
      <c r="AA30" s="3"/>
    </row>
    <row r="31" spans="1:27" ht="15" hidden="1" customHeight="1">
      <c r="A31" s="841"/>
      <c r="B31" s="842"/>
      <c r="C31" s="842"/>
      <c r="D31" s="842"/>
      <c r="E31" s="795"/>
      <c r="F31" s="1094"/>
      <c r="G31" s="11"/>
      <c r="H31" s="841"/>
      <c r="I31" s="787"/>
      <c r="J31" s="795"/>
      <c r="K31" s="11"/>
      <c r="L31" s="841"/>
      <c r="M31" s="842"/>
      <c r="N31" s="787"/>
      <c r="O31" s="842"/>
      <c r="P31" s="842"/>
      <c r="Q31" s="795"/>
      <c r="R31" s="1080"/>
      <c r="S31" s="11"/>
      <c r="T31" s="801"/>
      <c r="U31" s="787"/>
      <c r="V31" s="89" t="s">
        <v>334</v>
      </c>
      <c r="W31" s="787"/>
      <c r="X31" s="795"/>
      <c r="Y31" s="11"/>
      <c r="Z31" s="1090"/>
      <c r="AA31" s="3"/>
    </row>
    <row r="32" spans="1:27" ht="15" hidden="1" customHeight="1">
      <c r="A32" s="836" t="s">
        <v>335</v>
      </c>
      <c r="B32" s="835" t="s">
        <v>320</v>
      </c>
      <c r="C32" s="835" t="s">
        <v>336</v>
      </c>
      <c r="D32" s="835" t="s">
        <v>322</v>
      </c>
      <c r="E32" s="815" t="s">
        <v>338</v>
      </c>
      <c r="F32" s="840" t="s">
        <v>1218</v>
      </c>
      <c r="G32" s="10"/>
      <c r="H32" s="821" t="s">
        <v>340</v>
      </c>
      <c r="I32" s="827" t="s">
        <v>341</v>
      </c>
      <c r="J32" s="830" t="s">
        <v>342</v>
      </c>
      <c r="K32" s="10"/>
      <c r="L32" s="813" t="s">
        <v>268</v>
      </c>
      <c r="M32" s="784" t="s">
        <v>343</v>
      </c>
      <c r="N32" s="824" t="s">
        <v>344</v>
      </c>
      <c r="O32" s="784" t="s">
        <v>5</v>
      </c>
      <c r="P32" s="784" t="str">
        <f>'PDS - Desenvolvimento'!$K$44</f>
        <v>Concluído</v>
      </c>
      <c r="Q32" s="802">
        <v>45608</v>
      </c>
      <c r="R32" s="811" t="s">
        <v>5</v>
      </c>
      <c r="S32" s="10"/>
      <c r="T32" s="140" t="s">
        <v>348</v>
      </c>
      <c r="U32" s="131" t="s">
        <v>272</v>
      </c>
      <c r="V32" s="133" t="s">
        <v>349</v>
      </c>
      <c r="W32" s="793" t="s">
        <v>1219</v>
      </c>
      <c r="X32" s="791" t="s">
        <v>408</v>
      </c>
      <c r="Y32" s="10"/>
      <c r="Z32" s="1089"/>
      <c r="AA32" s="3"/>
    </row>
    <row r="33" spans="1:27" ht="15" hidden="1" customHeight="1">
      <c r="A33" s="836"/>
      <c r="B33" s="835"/>
      <c r="C33" s="835"/>
      <c r="D33" s="835"/>
      <c r="E33" s="815"/>
      <c r="F33" s="1095"/>
      <c r="G33" s="10"/>
      <c r="H33" s="821"/>
      <c r="I33" s="827"/>
      <c r="J33" s="830"/>
      <c r="K33" s="10"/>
      <c r="L33" s="813"/>
      <c r="M33" s="784"/>
      <c r="N33" s="824"/>
      <c r="O33" s="784"/>
      <c r="P33" s="784"/>
      <c r="Q33" s="803"/>
      <c r="R33" s="811"/>
      <c r="S33" s="10"/>
      <c r="T33" s="798" t="s">
        <v>305</v>
      </c>
      <c r="U33" s="793" t="s">
        <v>1201</v>
      </c>
      <c r="V33" s="133" t="s">
        <v>347</v>
      </c>
      <c r="W33" s="793"/>
      <c r="X33" s="791"/>
      <c r="Y33" s="10"/>
      <c r="Z33" s="1091"/>
      <c r="AA33" s="3"/>
    </row>
    <row r="34" spans="1:27" ht="15" hidden="1" customHeight="1">
      <c r="A34" s="836"/>
      <c r="B34" s="835"/>
      <c r="C34" s="835"/>
      <c r="D34" s="835"/>
      <c r="E34" s="815"/>
      <c r="F34" s="1095"/>
      <c r="G34" s="10"/>
      <c r="H34" s="821"/>
      <c r="I34" s="827"/>
      <c r="J34" s="830"/>
      <c r="K34" s="10"/>
      <c r="L34" s="813"/>
      <c r="M34" s="784"/>
      <c r="N34" s="824"/>
      <c r="O34" s="784"/>
      <c r="P34" s="784"/>
      <c r="Q34" s="803"/>
      <c r="R34" s="811"/>
      <c r="S34" s="10"/>
      <c r="T34" s="798"/>
      <c r="U34" s="793"/>
      <c r="V34" s="133" t="s">
        <v>329</v>
      </c>
      <c r="W34" s="793"/>
      <c r="X34" s="791"/>
      <c r="Y34" s="10"/>
      <c r="Z34" s="1091"/>
      <c r="AA34" s="3"/>
    </row>
    <row r="35" spans="1:27" ht="15" hidden="1" customHeight="1">
      <c r="A35" s="836"/>
      <c r="B35" s="835"/>
      <c r="C35" s="835"/>
      <c r="D35" s="835"/>
      <c r="E35" s="815"/>
      <c r="F35" s="1095"/>
      <c r="G35" s="10"/>
      <c r="H35" s="821"/>
      <c r="I35" s="827"/>
      <c r="J35" s="830"/>
      <c r="K35" s="10"/>
      <c r="L35" s="813"/>
      <c r="M35" s="784"/>
      <c r="N35" s="824"/>
      <c r="O35" s="784"/>
      <c r="P35" s="784"/>
      <c r="Q35" s="803"/>
      <c r="R35" s="811"/>
      <c r="S35" s="10"/>
      <c r="T35" s="798"/>
      <c r="U35" s="793"/>
      <c r="V35" s="133" t="s">
        <v>333</v>
      </c>
      <c r="W35" s="793"/>
      <c r="X35" s="791"/>
      <c r="Y35" s="10"/>
      <c r="Z35" s="1091"/>
      <c r="AA35" s="3"/>
    </row>
    <row r="36" spans="1:27" ht="15" hidden="1" customHeight="1">
      <c r="A36" s="836"/>
      <c r="B36" s="835"/>
      <c r="C36" s="835"/>
      <c r="D36" s="835"/>
      <c r="E36" s="815"/>
      <c r="F36" s="1095"/>
      <c r="G36" s="10"/>
      <c r="H36" s="821"/>
      <c r="I36" s="827"/>
      <c r="J36" s="830"/>
      <c r="K36" s="10"/>
      <c r="L36" s="813"/>
      <c r="M36" s="784"/>
      <c r="N36" s="824"/>
      <c r="O36" s="784"/>
      <c r="P36" s="784"/>
      <c r="Q36" s="803"/>
      <c r="R36" s="811"/>
      <c r="S36" s="10"/>
      <c r="T36" s="798" t="s">
        <v>442</v>
      </c>
      <c r="U36" s="793" t="s">
        <v>272</v>
      </c>
      <c r="V36" s="133" t="s">
        <v>273</v>
      </c>
      <c r="W36" s="793"/>
      <c r="X36" s="791"/>
      <c r="Y36" s="10"/>
      <c r="Z36" s="1091"/>
      <c r="AA36" s="3"/>
    </row>
    <row r="37" spans="1:27" ht="15" hidden="1" customHeight="1">
      <c r="A37" s="836"/>
      <c r="B37" s="835"/>
      <c r="C37" s="835"/>
      <c r="D37" s="835"/>
      <c r="E37" s="815"/>
      <c r="F37" s="1095"/>
      <c r="G37" s="10"/>
      <c r="H37" s="821"/>
      <c r="I37" s="827"/>
      <c r="J37" s="830"/>
      <c r="K37" s="10"/>
      <c r="L37" s="813"/>
      <c r="M37" s="784"/>
      <c r="N37" s="824"/>
      <c r="O37" s="784"/>
      <c r="P37" s="784"/>
      <c r="Q37" s="803"/>
      <c r="R37" s="811"/>
      <c r="S37" s="10"/>
      <c r="T37" s="798"/>
      <c r="U37" s="793"/>
      <c r="V37" s="133" t="s">
        <v>276</v>
      </c>
      <c r="W37" s="793"/>
      <c r="X37" s="791"/>
      <c r="Y37" s="10"/>
      <c r="Z37" s="1091"/>
      <c r="AA37" s="3"/>
    </row>
    <row r="38" spans="1:27" ht="15" hidden="1" customHeight="1">
      <c r="A38" s="836"/>
      <c r="B38" s="835"/>
      <c r="C38" s="835"/>
      <c r="D38" s="835"/>
      <c r="E38" s="815"/>
      <c r="F38" s="1095"/>
      <c r="G38" s="10"/>
      <c r="H38" s="821"/>
      <c r="I38" s="827"/>
      <c r="J38" s="830"/>
      <c r="K38" s="10"/>
      <c r="L38" s="813"/>
      <c r="M38" s="784"/>
      <c r="N38" s="824"/>
      <c r="O38" s="784"/>
      <c r="P38" s="784"/>
      <c r="Q38" s="803"/>
      <c r="R38" s="811"/>
      <c r="S38" s="10"/>
      <c r="T38" s="798"/>
      <c r="U38" s="793"/>
      <c r="V38" s="133" t="s">
        <v>277</v>
      </c>
      <c r="W38" s="793"/>
      <c r="X38" s="791"/>
      <c r="Y38" s="10"/>
      <c r="Z38" s="1091"/>
      <c r="AA38" s="3"/>
    </row>
    <row r="39" spans="1:27" ht="15" hidden="1" customHeight="1">
      <c r="A39" s="836"/>
      <c r="B39" s="835"/>
      <c r="C39" s="835"/>
      <c r="D39" s="835"/>
      <c r="E39" s="815"/>
      <c r="F39" s="837"/>
      <c r="G39" s="10"/>
      <c r="H39" s="821"/>
      <c r="I39" s="827"/>
      <c r="J39" s="830"/>
      <c r="K39" s="10"/>
      <c r="L39" s="813"/>
      <c r="M39" s="784"/>
      <c r="N39" s="824"/>
      <c r="O39" s="784"/>
      <c r="P39" s="784"/>
      <c r="Q39" s="803"/>
      <c r="R39" s="811"/>
      <c r="S39" s="10"/>
      <c r="T39" s="798"/>
      <c r="U39" s="793"/>
      <c r="V39" s="133" t="s">
        <v>278</v>
      </c>
      <c r="W39" s="793"/>
      <c r="X39" s="791"/>
      <c r="Y39" s="10"/>
      <c r="Z39" s="1090"/>
      <c r="AA39" s="3"/>
    </row>
    <row r="40" spans="1:27" ht="15" hidden="1" customHeight="1">
      <c r="A40" s="841" t="s">
        <v>350</v>
      </c>
      <c r="B40" s="842" t="s">
        <v>320</v>
      </c>
      <c r="C40" s="842" t="s">
        <v>351</v>
      </c>
      <c r="D40" s="842" t="s">
        <v>322</v>
      </c>
      <c r="E40" s="795" t="s">
        <v>352</v>
      </c>
      <c r="F40" s="1092" t="s">
        <v>1220</v>
      </c>
      <c r="G40" s="11"/>
      <c r="H40" s="841" t="s">
        <v>354</v>
      </c>
      <c r="I40" s="787" t="s">
        <v>355</v>
      </c>
      <c r="J40" s="882" t="s">
        <v>356</v>
      </c>
      <c r="K40" s="11"/>
      <c r="L40" s="841" t="s">
        <v>268</v>
      </c>
      <c r="M40" s="842" t="s">
        <v>357</v>
      </c>
      <c r="N40" s="787" t="s">
        <v>358</v>
      </c>
      <c r="O40" s="842" t="s">
        <v>5</v>
      </c>
      <c r="P40" s="842" t="str">
        <f>'PDS - Desenvolvimento'!$K$43</f>
        <v>Concluído</v>
      </c>
      <c r="Q40" s="1103">
        <v>45608</v>
      </c>
      <c r="R40" s="1080" t="s">
        <v>5</v>
      </c>
      <c r="S40" s="11"/>
      <c r="T40" s="801" t="s">
        <v>359</v>
      </c>
      <c r="U40" s="787" t="s">
        <v>360</v>
      </c>
      <c r="V40" s="89" t="s">
        <v>361</v>
      </c>
      <c r="W40" s="787" t="s">
        <v>362</v>
      </c>
      <c r="X40" s="795" t="s">
        <v>331</v>
      </c>
      <c r="Y40" s="11"/>
      <c r="Z40" s="1089"/>
      <c r="AA40" s="3"/>
    </row>
    <row r="41" spans="1:27" ht="15" hidden="1" customHeight="1">
      <c r="A41" s="841"/>
      <c r="B41" s="842"/>
      <c r="C41" s="842"/>
      <c r="D41" s="842"/>
      <c r="E41" s="795"/>
      <c r="F41" s="1093"/>
      <c r="G41" s="11"/>
      <c r="H41" s="841"/>
      <c r="I41" s="787"/>
      <c r="J41" s="882"/>
      <c r="K41" s="11"/>
      <c r="L41" s="841"/>
      <c r="M41" s="842"/>
      <c r="N41" s="787"/>
      <c r="O41" s="842"/>
      <c r="P41" s="842"/>
      <c r="Q41" s="795"/>
      <c r="R41" s="1080"/>
      <c r="S41" s="11"/>
      <c r="T41" s="801"/>
      <c r="U41" s="787"/>
      <c r="V41" s="89" t="s">
        <v>365</v>
      </c>
      <c r="W41" s="787"/>
      <c r="X41" s="795"/>
      <c r="Y41" s="11"/>
      <c r="Z41" s="1091"/>
      <c r="AA41" s="3"/>
    </row>
    <row r="42" spans="1:27" ht="15" hidden="1" customHeight="1">
      <c r="A42" s="841"/>
      <c r="B42" s="842"/>
      <c r="C42" s="842"/>
      <c r="D42" s="842"/>
      <c r="E42" s="795"/>
      <c r="F42" s="1094"/>
      <c r="G42" s="11"/>
      <c r="H42" s="841"/>
      <c r="I42" s="787"/>
      <c r="J42" s="882"/>
      <c r="K42" s="11"/>
      <c r="L42" s="841"/>
      <c r="M42" s="842"/>
      <c r="N42" s="787"/>
      <c r="O42" s="842"/>
      <c r="P42" s="842"/>
      <c r="Q42" s="795"/>
      <c r="R42" s="1080"/>
      <c r="S42" s="11"/>
      <c r="T42" s="801"/>
      <c r="U42" s="787"/>
      <c r="V42" s="89" t="s">
        <v>364</v>
      </c>
      <c r="W42" s="787"/>
      <c r="X42" s="795"/>
      <c r="Y42" s="11"/>
      <c r="Z42" s="1090"/>
      <c r="AA42" s="3"/>
    </row>
    <row r="43" spans="1:27" ht="409.6" customHeight="1">
      <c r="A43" s="93" t="s">
        <v>1221</v>
      </c>
      <c r="B43" s="88" t="s">
        <v>737</v>
      </c>
      <c r="C43" s="88" t="s">
        <v>1222</v>
      </c>
      <c r="D43" s="88" t="s">
        <v>322</v>
      </c>
      <c r="E43" s="94" t="s">
        <v>1223</v>
      </c>
      <c r="F43" s="14" t="s">
        <v>1224</v>
      </c>
      <c r="G43" s="10"/>
      <c r="H43" s="109" t="s">
        <v>816</v>
      </c>
      <c r="I43" s="102" t="s">
        <v>817</v>
      </c>
      <c r="J43" s="159" t="s">
        <v>818</v>
      </c>
      <c r="K43" s="10"/>
      <c r="L43" s="124" t="s">
        <v>268</v>
      </c>
      <c r="M43" s="122" t="s">
        <v>1225</v>
      </c>
      <c r="N43" s="443" t="s">
        <v>8925</v>
      </c>
      <c r="O43" s="122" t="s">
        <v>5</v>
      </c>
      <c r="P43" s="122" t="str">
        <f>'PDS - Desenvolvimento'!$K$33</f>
        <v>Concluído</v>
      </c>
      <c r="Q43" s="559">
        <v>45674</v>
      </c>
      <c r="R43" s="320" t="s">
        <v>299</v>
      </c>
      <c r="S43" s="10"/>
      <c r="T43" s="140" t="s">
        <v>821</v>
      </c>
      <c r="U43" s="131" t="s">
        <v>272</v>
      </c>
      <c r="V43" s="133" t="s">
        <v>822</v>
      </c>
      <c r="W43" s="131" t="s">
        <v>1226</v>
      </c>
      <c r="X43" s="141" t="s">
        <v>1227</v>
      </c>
      <c r="Y43" s="10"/>
      <c r="Z43" s="23" t="s">
        <v>1228</v>
      </c>
      <c r="AA43" s="3"/>
    </row>
    <row r="44" spans="1:27" ht="87" hidden="1">
      <c r="A44" s="95" t="s">
        <v>1229</v>
      </c>
      <c r="B44" s="89" t="s">
        <v>737</v>
      </c>
      <c r="C44" s="89" t="s">
        <v>1230</v>
      </c>
      <c r="D44" s="89" t="s">
        <v>1231</v>
      </c>
      <c r="E44" s="96" t="s">
        <v>1232</v>
      </c>
      <c r="F44" s="13" t="s">
        <v>1233</v>
      </c>
      <c r="G44" s="11"/>
      <c r="H44" s="95" t="s">
        <v>668</v>
      </c>
      <c r="I44" s="90" t="s">
        <v>669</v>
      </c>
      <c r="J44" s="96" t="s">
        <v>670</v>
      </c>
      <c r="K44" s="11"/>
      <c r="L44" s="111" t="s">
        <v>268</v>
      </c>
      <c r="M44" s="103" t="s">
        <v>671</v>
      </c>
      <c r="N44" s="106" t="s">
        <v>672</v>
      </c>
      <c r="O44" s="103" t="s">
        <v>5</v>
      </c>
      <c r="P44" s="103" t="str">
        <f>'PDS - Desenvolvimento'!$K$31</f>
        <v>Concluído</v>
      </c>
      <c r="Q44" s="464">
        <v>45608</v>
      </c>
      <c r="R44" s="321" t="s">
        <v>5</v>
      </c>
      <c r="S44" s="11"/>
      <c r="T44" s="142" t="s">
        <v>1234</v>
      </c>
      <c r="U44" s="90" t="s">
        <v>272</v>
      </c>
      <c r="V44" s="89" t="s">
        <v>673</v>
      </c>
      <c r="W44" s="90" t="s">
        <v>289</v>
      </c>
      <c r="X44" s="96"/>
      <c r="Y44" s="11"/>
      <c r="Z44" s="23"/>
      <c r="AA44" s="3"/>
    </row>
    <row r="45" spans="1:27" ht="14.5">
      <c r="A45" s="836" t="s">
        <v>1235</v>
      </c>
      <c r="B45" s="835" t="s">
        <v>737</v>
      </c>
      <c r="C45" s="835" t="s">
        <v>1236</v>
      </c>
      <c r="D45" s="835" t="s">
        <v>337</v>
      </c>
      <c r="E45" s="815" t="s">
        <v>1237</v>
      </c>
      <c r="F45" s="840" t="s">
        <v>1237</v>
      </c>
      <c r="G45" s="10"/>
      <c r="H45" s="872" t="s">
        <v>50</v>
      </c>
      <c r="I45" s="856" t="s">
        <v>50</v>
      </c>
      <c r="J45" s="858" t="s">
        <v>50</v>
      </c>
      <c r="K45" s="10"/>
      <c r="L45" s="1098" t="s">
        <v>284</v>
      </c>
      <c r="M45" s="1086" t="s">
        <v>1238</v>
      </c>
      <c r="N45" s="1096" t="s">
        <v>1239</v>
      </c>
      <c r="O45" s="1086" t="s">
        <v>5</v>
      </c>
      <c r="P45" s="1087" t="str">
        <f>'PDS - Desenvolvimento'!$K$91</f>
        <v>Concluído</v>
      </c>
      <c r="Q45" s="1104"/>
      <c r="R45" s="1084" t="s">
        <v>406</v>
      </c>
      <c r="S45" s="10"/>
      <c r="T45" s="798" t="s">
        <v>1234</v>
      </c>
      <c r="U45" s="793" t="s">
        <v>272</v>
      </c>
      <c r="V45" s="133" t="s">
        <v>693</v>
      </c>
      <c r="W45" s="793" t="s">
        <v>289</v>
      </c>
      <c r="X45" s="791"/>
      <c r="Y45" s="10"/>
      <c r="Z45" s="1089"/>
      <c r="AA45" s="3"/>
    </row>
    <row r="46" spans="1:27" ht="83.25" hidden="1" customHeight="1">
      <c r="A46" s="836"/>
      <c r="B46" s="835"/>
      <c r="C46" s="835"/>
      <c r="D46" s="835"/>
      <c r="E46" s="815"/>
      <c r="F46" s="837"/>
      <c r="G46" s="10"/>
      <c r="H46" s="821"/>
      <c r="I46" s="857"/>
      <c r="J46" s="859"/>
      <c r="K46" s="10"/>
      <c r="L46" s="1098"/>
      <c r="M46" s="1086"/>
      <c r="N46" s="1096"/>
      <c r="O46" s="1086"/>
      <c r="P46" s="1088"/>
      <c r="Q46" s="1104"/>
      <c r="R46" s="1084"/>
      <c r="S46" s="10"/>
      <c r="T46" s="798"/>
      <c r="U46" s="793"/>
      <c r="V46" s="133" t="s">
        <v>691</v>
      </c>
      <c r="W46" s="793"/>
      <c r="X46" s="791"/>
      <c r="Y46" s="10"/>
      <c r="Z46" s="1090"/>
      <c r="AA46" s="3"/>
    </row>
    <row r="47" spans="1:27" ht="14.5" hidden="1">
      <c r="A47" s="841" t="s">
        <v>736</v>
      </c>
      <c r="B47" s="842" t="s">
        <v>737</v>
      </c>
      <c r="C47" s="842" t="s">
        <v>738</v>
      </c>
      <c r="D47" s="842" t="s">
        <v>294</v>
      </c>
      <c r="E47" s="882" t="s">
        <v>1240</v>
      </c>
      <c r="F47" s="1092" t="s">
        <v>1241</v>
      </c>
      <c r="G47" s="11"/>
      <c r="H47" s="841" t="s">
        <v>741</v>
      </c>
      <c r="I47" s="787" t="s">
        <v>738</v>
      </c>
      <c r="J47" s="795" t="s">
        <v>742</v>
      </c>
      <c r="K47" s="11"/>
      <c r="L47" s="841" t="s">
        <v>268</v>
      </c>
      <c r="M47" s="842" t="s">
        <v>743</v>
      </c>
      <c r="N47" s="885" t="s">
        <v>1242</v>
      </c>
      <c r="O47" s="842" t="s">
        <v>5</v>
      </c>
      <c r="P47" s="1046" t="str">
        <f>'PDS - Desenvolvimento'!$K$10</f>
        <v>Concluído</v>
      </c>
      <c r="Q47" s="795"/>
      <c r="R47" s="1080" t="s">
        <v>5</v>
      </c>
      <c r="S47" s="11"/>
      <c r="T47" s="801" t="s">
        <v>300</v>
      </c>
      <c r="U47" s="787" t="s">
        <v>745</v>
      </c>
      <c r="V47" s="89" t="s">
        <v>302</v>
      </c>
      <c r="W47" s="787" t="s">
        <v>1243</v>
      </c>
      <c r="X47" s="795"/>
      <c r="Y47" s="11"/>
      <c r="Z47" s="1089"/>
      <c r="AA47" s="3"/>
    </row>
    <row r="48" spans="1:27" ht="14.5" hidden="1">
      <c r="A48" s="841"/>
      <c r="B48" s="842"/>
      <c r="C48" s="842"/>
      <c r="D48" s="842"/>
      <c r="E48" s="882"/>
      <c r="F48" s="1093"/>
      <c r="G48" s="11"/>
      <c r="H48" s="841"/>
      <c r="I48" s="787"/>
      <c r="J48" s="795"/>
      <c r="K48" s="11"/>
      <c r="L48" s="841"/>
      <c r="M48" s="842"/>
      <c r="N48" s="885"/>
      <c r="O48" s="842"/>
      <c r="P48" s="1047"/>
      <c r="Q48" s="795"/>
      <c r="R48" s="1080"/>
      <c r="S48" s="11"/>
      <c r="T48" s="801"/>
      <c r="U48" s="787"/>
      <c r="V48" s="89" t="s">
        <v>304</v>
      </c>
      <c r="W48" s="787"/>
      <c r="X48" s="795"/>
      <c r="Y48" s="11"/>
      <c r="Z48" s="1091"/>
      <c r="AA48" s="3"/>
    </row>
    <row r="49" spans="1:27" ht="14.5" hidden="1">
      <c r="A49" s="841"/>
      <c r="B49" s="842"/>
      <c r="C49" s="842"/>
      <c r="D49" s="842"/>
      <c r="E49" s="882"/>
      <c r="F49" s="1094"/>
      <c r="G49" s="11"/>
      <c r="H49" s="841"/>
      <c r="I49" s="787"/>
      <c r="J49" s="795"/>
      <c r="K49" s="11"/>
      <c r="L49" s="841"/>
      <c r="M49" s="842"/>
      <c r="N49" s="885"/>
      <c r="O49" s="842"/>
      <c r="P49" s="1048"/>
      <c r="Q49" s="795"/>
      <c r="R49" s="1080"/>
      <c r="S49" s="11"/>
      <c r="T49" s="142" t="s">
        <v>565</v>
      </c>
      <c r="U49" s="90" t="s">
        <v>272</v>
      </c>
      <c r="V49" s="89" t="s">
        <v>747</v>
      </c>
      <c r="W49" s="787"/>
      <c r="X49" s="795"/>
      <c r="Y49" s="11"/>
      <c r="Z49" s="1090"/>
      <c r="AA49" s="3"/>
    </row>
    <row r="50" spans="1:27" ht="290" hidden="1">
      <c r="A50" s="93" t="s">
        <v>748</v>
      </c>
      <c r="B50" s="88" t="s">
        <v>737</v>
      </c>
      <c r="C50" s="88" t="s">
        <v>749</v>
      </c>
      <c r="D50" s="88" t="s">
        <v>1231</v>
      </c>
      <c r="E50" s="94" t="s">
        <v>750</v>
      </c>
      <c r="F50" s="14" t="s">
        <v>1244</v>
      </c>
      <c r="G50" s="10"/>
      <c r="H50" s="109" t="s">
        <v>752</v>
      </c>
      <c r="I50" s="102" t="s">
        <v>753</v>
      </c>
      <c r="J50" s="159" t="s">
        <v>754</v>
      </c>
      <c r="K50" s="10"/>
      <c r="L50" s="124" t="s">
        <v>268</v>
      </c>
      <c r="M50" s="122" t="s">
        <v>755</v>
      </c>
      <c r="N50" s="351" t="s">
        <v>756</v>
      </c>
      <c r="O50" s="122" t="s">
        <v>5</v>
      </c>
      <c r="P50" s="122" t="str">
        <f>'PDS - Desenvolvimento'!$K$12</f>
        <v>Concluído</v>
      </c>
      <c r="Q50" s="445">
        <v>45608</v>
      </c>
      <c r="R50" s="318" t="s">
        <v>5</v>
      </c>
      <c r="S50" s="10"/>
      <c r="T50" s="140" t="s">
        <v>565</v>
      </c>
      <c r="U50" s="131" t="s">
        <v>272</v>
      </c>
      <c r="V50" s="133" t="s">
        <v>757</v>
      </c>
      <c r="W50" s="131" t="s">
        <v>289</v>
      </c>
      <c r="X50" s="141"/>
      <c r="Y50" s="10"/>
      <c r="Z50" s="23"/>
      <c r="AA50" s="3"/>
    </row>
    <row r="51" spans="1:27" ht="348" hidden="1">
      <c r="A51" s="95" t="s">
        <v>763</v>
      </c>
      <c r="B51" s="89" t="s">
        <v>737</v>
      </c>
      <c r="C51" s="89" t="s">
        <v>764</v>
      </c>
      <c r="D51" s="89" t="s">
        <v>322</v>
      </c>
      <c r="E51" s="160" t="s">
        <v>1245</v>
      </c>
      <c r="F51" s="13" t="s">
        <v>1246</v>
      </c>
      <c r="G51" s="11"/>
      <c r="H51" s="95" t="s">
        <v>767</v>
      </c>
      <c r="I51" s="90" t="s">
        <v>768</v>
      </c>
      <c r="J51" s="160" t="s">
        <v>765</v>
      </c>
      <c r="K51" s="11"/>
      <c r="L51" s="95" t="s">
        <v>268</v>
      </c>
      <c r="M51" s="89" t="s">
        <v>769</v>
      </c>
      <c r="N51" s="90" t="s">
        <v>770</v>
      </c>
      <c r="O51" s="89" t="s">
        <v>5</v>
      </c>
      <c r="P51" s="103" t="str">
        <f>'PDS - Desenvolvimento'!$K$39</f>
        <v>Concluído</v>
      </c>
      <c r="Q51" s="463">
        <v>45608</v>
      </c>
      <c r="R51" s="326" t="s">
        <v>5</v>
      </c>
      <c r="S51" s="11"/>
      <c r="T51" s="142" t="s">
        <v>565</v>
      </c>
      <c r="U51" s="90" t="s">
        <v>272</v>
      </c>
      <c r="V51" s="89" t="s">
        <v>771</v>
      </c>
      <c r="W51" s="90" t="s">
        <v>289</v>
      </c>
      <c r="X51" s="96"/>
      <c r="Y51" s="11"/>
      <c r="Z51" s="22" t="s">
        <v>1247</v>
      </c>
      <c r="AA51" s="3"/>
    </row>
    <row r="52" spans="1:27" ht="232" hidden="1">
      <c r="A52" s="93" t="s">
        <v>772</v>
      </c>
      <c r="B52" s="88" t="s">
        <v>737</v>
      </c>
      <c r="C52" s="88" t="s">
        <v>773</v>
      </c>
      <c r="D52" s="88" t="s">
        <v>1231</v>
      </c>
      <c r="E52" s="94" t="s">
        <v>774</v>
      </c>
      <c r="F52" s="14" t="s">
        <v>1248</v>
      </c>
      <c r="G52" s="10"/>
      <c r="H52" s="109" t="s">
        <v>776</v>
      </c>
      <c r="I52" s="102" t="s">
        <v>777</v>
      </c>
      <c r="J52" s="159" t="s">
        <v>778</v>
      </c>
      <c r="K52" s="10"/>
      <c r="L52" s="124" t="s">
        <v>268</v>
      </c>
      <c r="M52" s="122" t="s">
        <v>779</v>
      </c>
      <c r="N52" s="351" t="s">
        <v>780</v>
      </c>
      <c r="O52" s="122" t="s">
        <v>5</v>
      </c>
      <c r="P52" s="122" t="str">
        <f>'PDS - Desenvolvimento'!$K$41</f>
        <v>Concluído</v>
      </c>
      <c r="Q52" s="445">
        <v>45608</v>
      </c>
      <c r="R52" s="318" t="s">
        <v>5</v>
      </c>
      <c r="S52" s="10"/>
      <c r="T52" s="140" t="s">
        <v>1249</v>
      </c>
      <c r="U52" s="131" t="s">
        <v>272</v>
      </c>
      <c r="V52" s="133" t="s">
        <v>782</v>
      </c>
      <c r="W52" s="131" t="s">
        <v>289</v>
      </c>
      <c r="X52" s="141"/>
      <c r="Y52" s="10"/>
      <c r="Z52" s="23"/>
      <c r="AA52" s="3"/>
    </row>
    <row r="53" spans="1:27" ht="304.5" hidden="1">
      <c r="A53" s="95" t="s">
        <v>824</v>
      </c>
      <c r="B53" s="89" t="s">
        <v>737</v>
      </c>
      <c r="C53" s="89" t="s">
        <v>825</v>
      </c>
      <c r="D53" s="89" t="s">
        <v>322</v>
      </c>
      <c r="E53" s="96" t="s">
        <v>826</v>
      </c>
      <c r="F53" s="13" t="s">
        <v>1250</v>
      </c>
      <c r="G53" s="11"/>
      <c r="H53" s="95" t="s">
        <v>1251</v>
      </c>
      <c r="I53" s="189" t="s">
        <v>50</v>
      </c>
      <c r="J53" s="194" t="s">
        <v>50</v>
      </c>
      <c r="K53" s="11"/>
      <c r="L53" s="95" t="s">
        <v>284</v>
      </c>
      <c r="M53" s="89" t="s">
        <v>829</v>
      </c>
      <c r="N53" s="90" t="s">
        <v>1252</v>
      </c>
      <c r="O53" s="89" t="s">
        <v>5</v>
      </c>
      <c r="P53" s="103" t="str">
        <f>'PDS - Desenvolvimento'!$K$88</f>
        <v>Concluído</v>
      </c>
      <c r="Q53" s="463">
        <v>45608</v>
      </c>
      <c r="R53" s="326" t="s">
        <v>287</v>
      </c>
      <c r="S53" s="11"/>
      <c r="T53" s="142" t="s">
        <v>831</v>
      </c>
      <c r="U53" s="90" t="s">
        <v>272</v>
      </c>
      <c r="V53" s="89" t="s">
        <v>832</v>
      </c>
      <c r="W53" s="90" t="s">
        <v>289</v>
      </c>
      <c r="X53" s="96"/>
      <c r="Y53" s="11"/>
      <c r="Z53" s="23"/>
      <c r="AA53" s="3"/>
    </row>
    <row r="54" spans="1:27" ht="15" hidden="1" customHeight="1">
      <c r="A54" s="836" t="s">
        <v>860</v>
      </c>
      <c r="B54" s="835" t="s">
        <v>737</v>
      </c>
      <c r="C54" s="835" t="s">
        <v>861</v>
      </c>
      <c r="D54" s="835" t="s">
        <v>322</v>
      </c>
      <c r="E54" s="912" t="s">
        <v>1253</v>
      </c>
      <c r="F54" s="840" t="s">
        <v>1254</v>
      </c>
      <c r="G54" s="10"/>
      <c r="H54" s="821" t="s">
        <v>864</v>
      </c>
      <c r="I54" s="827" t="s">
        <v>865</v>
      </c>
      <c r="J54" s="922" t="s">
        <v>1255</v>
      </c>
      <c r="K54" s="10"/>
      <c r="L54" s="813" t="s">
        <v>268</v>
      </c>
      <c r="M54" s="784" t="s">
        <v>867</v>
      </c>
      <c r="N54" s="824" t="s">
        <v>868</v>
      </c>
      <c r="O54" s="784" t="s">
        <v>5</v>
      </c>
      <c r="P54" s="784" t="str">
        <f>'PDS - Desenvolvimento'!$K$37</f>
        <v>Concluído</v>
      </c>
      <c r="Q54" s="802">
        <v>45608</v>
      </c>
      <c r="R54" s="811" t="s">
        <v>5</v>
      </c>
      <c r="S54" s="10"/>
      <c r="T54" s="798" t="s">
        <v>821</v>
      </c>
      <c r="U54" s="793" t="s">
        <v>272</v>
      </c>
      <c r="V54" s="133" t="s">
        <v>870</v>
      </c>
      <c r="W54" s="793" t="s">
        <v>1256</v>
      </c>
      <c r="X54" s="791"/>
      <c r="Y54" s="10"/>
      <c r="Z54" s="1089" t="s">
        <v>1257</v>
      </c>
      <c r="AA54" s="3"/>
    </row>
    <row r="55" spans="1:27" ht="15" hidden="1" customHeight="1">
      <c r="A55" s="836"/>
      <c r="B55" s="835"/>
      <c r="C55" s="835"/>
      <c r="D55" s="835"/>
      <c r="E55" s="912"/>
      <c r="F55" s="837"/>
      <c r="G55" s="10"/>
      <c r="H55" s="821"/>
      <c r="I55" s="827"/>
      <c r="J55" s="922"/>
      <c r="K55" s="10"/>
      <c r="L55" s="813"/>
      <c r="M55" s="784"/>
      <c r="N55" s="824"/>
      <c r="O55" s="784"/>
      <c r="P55" s="784"/>
      <c r="Q55" s="803"/>
      <c r="R55" s="811"/>
      <c r="S55" s="10"/>
      <c r="T55" s="798"/>
      <c r="U55" s="793"/>
      <c r="V55" s="133" t="s">
        <v>872</v>
      </c>
      <c r="W55" s="793"/>
      <c r="X55" s="791"/>
      <c r="Y55" s="10"/>
      <c r="Z55" s="1090"/>
      <c r="AA55" s="3"/>
    </row>
    <row r="56" spans="1:27" ht="15" hidden="1" customHeight="1">
      <c r="A56" s="841" t="s">
        <v>873</v>
      </c>
      <c r="B56" s="842" t="s">
        <v>737</v>
      </c>
      <c r="C56" s="842" t="s">
        <v>874</v>
      </c>
      <c r="D56" s="842" t="s">
        <v>294</v>
      </c>
      <c r="E56" s="795" t="s">
        <v>1258</v>
      </c>
      <c r="F56" s="1092" t="s">
        <v>1259</v>
      </c>
      <c r="G56" s="11"/>
      <c r="H56" s="841" t="s">
        <v>877</v>
      </c>
      <c r="I56" s="787" t="s">
        <v>878</v>
      </c>
      <c r="J56" s="795" t="s">
        <v>879</v>
      </c>
      <c r="K56" s="11"/>
      <c r="L56" s="841" t="s">
        <v>268</v>
      </c>
      <c r="M56" s="842" t="s">
        <v>880</v>
      </c>
      <c r="N56" s="885" t="s">
        <v>1260</v>
      </c>
      <c r="O56" s="842" t="s">
        <v>5</v>
      </c>
      <c r="P56" s="842" t="str">
        <f>'PDS - Desenvolvimento'!$K$17</f>
        <v>Concluído</v>
      </c>
      <c r="Q56" s="795"/>
      <c r="R56" s="1080" t="s">
        <v>5</v>
      </c>
      <c r="S56" s="11"/>
      <c r="T56" s="801" t="s">
        <v>300</v>
      </c>
      <c r="U56" s="787" t="s">
        <v>882</v>
      </c>
      <c r="V56" s="89" t="s">
        <v>302</v>
      </c>
      <c r="W56" s="787" t="s">
        <v>1261</v>
      </c>
      <c r="X56" s="795"/>
      <c r="Y56" s="11"/>
      <c r="Z56" s="1089"/>
      <c r="AA56" s="3"/>
    </row>
    <row r="57" spans="1:27" ht="14.5" hidden="1">
      <c r="A57" s="841"/>
      <c r="B57" s="842"/>
      <c r="C57" s="842"/>
      <c r="D57" s="842"/>
      <c r="E57" s="795"/>
      <c r="F57" s="1093"/>
      <c r="G57" s="11"/>
      <c r="H57" s="841"/>
      <c r="I57" s="787"/>
      <c r="J57" s="795"/>
      <c r="K57" s="11"/>
      <c r="L57" s="841"/>
      <c r="M57" s="842"/>
      <c r="N57" s="885"/>
      <c r="O57" s="842"/>
      <c r="P57" s="842"/>
      <c r="Q57" s="795"/>
      <c r="R57" s="1080"/>
      <c r="S57" s="11"/>
      <c r="T57" s="801"/>
      <c r="U57" s="787"/>
      <c r="V57" s="89" t="s">
        <v>304</v>
      </c>
      <c r="W57" s="787"/>
      <c r="X57" s="795"/>
      <c r="Y57" s="11"/>
      <c r="Z57" s="1091"/>
      <c r="AA57" s="3"/>
    </row>
    <row r="58" spans="1:27" ht="14.5" hidden="1">
      <c r="A58" s="841"/>
      <c r="B58" s="842"/>
      <c r="C58" s="842"/>
      <c r="D58" s="842"/>
      <c r="E58" s="795"/>
      <c r="F58" s="1094"/>
      <c r="G58" s="11"/>
      <c r="H58" s="841"/>
      <c r="I58" s="787"/>
      <c r="J58" s="795"/>
      <c r="K58" s="11"/>
      <c r="L58" s="841"/>
      <c r="M58" s="842"/>
      <c r="N58" s="885"/>
      <c r="O58" s="842"/>
      <c r="P58" s="842"/>
      <c r="Q58" s="795"/>
      <c r="R58" s="1080"/>
      <c r="S58" s="11"/>
      <c r="T58" s="142" t="s">
        <v>1249</v>
      </c>
      <c r="U58" s="90" t="s">
        <v>272</v>
      </c>
      <c r="V58" s="89" t="s">
        <v>884</v>
      </c>
      <c r="W58" s="787"/>
      <c r="X58" s="795"/>
      <c r="Y58" s="11"/>
      <c r="Z58" s="1090"/>
      <c r="AA58" s="3"/>
    </row>
    <row r="59" spans="1:27" ht="15" hidden="1" customHeight="1">
      <c r="A59" s="836" t="s">
        <v>885</v>
      </c>
      <c r="B59" s="835" t="s">
        <v>737</v>
      </c>
      <c r="C59" s="835" t="s">
        <v>886</v>
      </c>
      <c r="D59" s="835" t="s">
        <v>294</v>
      </c>
      <c r="E59" s="912" t="s">
        <v>1262</v>
      </c>
      <c r="F59" s="840" t="s">
        <v>1263</v>
      </c>
      <c r="G59" s="10"/>
      <c r="H59" s="821" t="s">
        <v>889</v>
      </c>
      <c r="I59" s="827" t="s">
        <v>886</v>
      </c>
      <c r="J59" s="922" t="s">
        <v>890</v>
      </c>
      <c r="K59" s="10"/>
      <c r="L59" s="995" t="s">
        <v>268</v>
      </c>
      <c r="M59" s="997" t="s">
        <v>891</v>
      </c>
      <c r="N59" s="1010" t="s">
        <v>1264</v>
      </c>
      <c r="O59" s="997" t="s">
        <v>5</v>
      </c>
      <c r="P59" s="997" t="str">
        <f>'PDS - Desenvolvimento'!$K$42</f>
        <v>Concluído</v>
      </c>
      <c r="Q59" s="1099"/>
      <c r="R59" s="811" t="s">
        <v>5</v>
      </c>
      <c r="S59" s="10"/>
      <c r="T59" s="798" t="s">
        <v>300</v>
      </c>
      <c r="U59" s="793" t="s">
        <v>893</v>
      </c>
      <c r="V59" s="133" t="s">
        <v>302</v>
      </c>
      <c r="W59" s="793" t="s">
        <v>1265</v>
      </c>
      <c r="X59" s="791"/>
      <c r="Y59" s="10"/>
      <c r="Z59" s="1089"/>
      <c r="AA59" s="3"/>
    </row>
    <row r="60" spans="1:27" ht="14.5" hidden="1">
      <c r="A60" s="836"/>
      <c r="B60" s="835"/>
      <c r="C60" s="835"/>
      <c r="D60" s="835"/>
      <c r="E60" s="912"/>
      <c r="F60" s="1095"/>
      <c r="G60" s="10"/>
      <c r="H60" s="821"/>
      <c r="I60" s="827"/>
      <c r="J60" s="922"/>
      <c r="K60" s="10"/>
      <c r="L60" s="995"/>
      <c r="M60" s="997"/>
      <c r="N60" s="1010"/>
      <c r="O60" s="997"/>
      <c r="P60" s="997"/>
      <c r="Q60" s="1099"/>
      <c r="R60" s="811"/>
      <c r="S60" s="10"/>
      <c r="T60" s="798"/>
      <c r="U60" s="793"/>
      <c r="V60" s="133" t="s">
        <v>304</v>
      </c>
      <c r="W60" s="793"/>
      <c r="X60" s="791"/>
      <c r="Y60" s="10"/>
      <c r="Z60" s="1091"/>
      <c r="AA60" s="3"/>
    </row>
    <row r="61" spans="1:27" ht="14.5" hidden="1">
      <c r="A61" s="836"/>
      <c r="B61" s="835"/>
      <c r="C61" s="835"/>
      <c r="D61" s="835"/>
      <c r="E61" s="912"/>
      <c r="F61" s="837"/>
      <c r="G61" s="10"/>
      <c r="H61" s="821"/>
      <c r="I61" s="827"/>
      <c r="J61" s="922"/>
      <c r="K61" s="10"/>
      <c r="L61" s="995"/>
      <c r="M61" s="997"/>
      <c r="N61" s="1010"/>
      <c r="O61" s="997"/>
      <c r="P61" s="997"/>
      <c r="Q61" s="1099"/>
      <c r="R61" s="811"/>
      <c r="S61" s="10"/>
      <c r="T61" s="140" t="s">
        <v>1249</v>
      </c>
      <c r="U61" s="131" t="s">
        <v>272</v>
      </c>
      <c r="V61" s="133" t="s">
        <v>895</v>
      </c>
      <c r="W61" s="793"/>
      <c r="X61" s="791"/>
      <c r="Y61" s="10"/>
      <c r="Z61" s="1090"/>
      <c r="AA61" s="3"/>
    </row>
    <row r="62" spans="1:27" ht="391.5" hidden="1">
      <c r="A62" s="95" t="s">
        <v>905</v>
      </c>
      <c r="B62" s="89" t="s">
        <v>737</v>
      </c>
      <c r="C62" s="89" t="s">
        <v>906</v>
      </c>
      <c r="D62" s="89" t="s">
        <v>294</v>
      </c>
      <c r="E62" s="96" t="s">
        <v>1266</v>
      </c>
      <c r="F62" s="13" t="s">
        <v>1267</v>
      </c>
      <c r="G62" s="11"/>
      <c r="H62" s="95" t="s">
        <v>909</v>
      </c>
      <c r="I62" s="90" t="s">
        <v>910</v>
      </c>
      <c r="J62" s="160" t="s">
        <v>911</v>
      </c>
      <c r="K62" s="11"/>
      <c r="L62" s="95" t="s">
        <v>268</v>
      </c>
      <c r="M62" s="89" t="s">
        <v>912</v>
      </c>
      <c r="N62" s="349" t="s">
        <v>1268</v>
      </c>
      <c r="O62" s="89" t="s">
        <v>5</v>
      </c>
      <c r="P62" s="89" t="str">
        <f>'PDS - Desenvolvimento'!$K$20</f>
        <v>Concluído</v>
      </c>
      <c r="Q62" s="96"/>
      <c r="R62" s="326" t="s">
        <v>5</v>
      </c>
      <c r="S62" s="11"/>
      <c r="T62" s="142" t="s">
        <v>1269</v>
      </c>
      <c r="U62" s="90" t="s">
        <v>360</v>
      </c>
      <c r="V62" s="89" t="s">
        <v>415</v>
      </c>
      <c r="W62" s="90" t="s">
        <v>1270</v>
      </c>
      <c r="X62" s="96"/>
      <c r="Y62" s="11"/>
      <c r="Z62" s="23"/>
      <c r="AA62" s="3"/>
    </row>
    <row r="63" spans="1:27" ht="333.5" hidden="1">
      <c r="A63" s="93" t="s">
        <v>915</v>
      </c>
      <c r="B63" s="88" t="s">
        <v>737</v>
      </c>
      <c r="C63" s="88" t="s">
        <v>916</v>
      </c>
      <c r="D63" s="88" t="s">
        <v>1231</v>
      </c>
      <c r="E63" s="94" t="s">
        <v>918</v>
      </c>
      <c r="F63" s="14" t="s">
        <v>1271</v>
      </c>
      <c r="G63" s="10"/>
      <c r="H63" s="109" t="s">
        <v>920</v>
      </c>
      <c r="I63" s="102" t="s">
        <v>921</v>
      </c>
      <c r="J63" s="159" t="s">
        <v>922</v>
      </c>
      <c r="K63" s="10"/>
      <c r="L63" s="124" t="s">
        <v>268</v>
      </c>
      <c r="M63" s="122" t="s">
        <v>923</v>
      </c>
      <c r="N63" s="351" t="s">
        <v>924</v>
      </c>
      <c r="O63" s="122" t="s">
        <v>5</v>
      </c>
      <c r="P63" s="122" t="str">
        <f>'PDS - Desenvolvimento'!$K$15</f>
        <v>Concluído</v>
      </c>
      <c r="Q63" s="445">
        <v>45608</v>
      </c>
      <c r="R63" s="318" t="s">
        <v>5</v>
      </c>
      <c r="S63" s="10"/>
      <c r="T63" s="140"/>
      <c r="U63" s="131"/>
      <c r="V63" s="133"/>
      <c r="W63" s="131" t="s">
        <v>466</v>
      </c>
      <c r="X63" s="141"/>
      <c r="Y63" s="10"/>
      <c r="Z63" s="23"/>
      <c r="AA63" s="3"/>
    </row>
    <row r="64" spans="1:27" ht="15" hidden="1" customHeight="1">
      <c r="A64" s="841" t="s">
        <v>934</v>
      </c>
      <c r="B64" s="842" t="s">
        <v>935</v>
      </c>
      <c r="C64" s="842" t="s">
        <v>936</v>
      </c>
      <c r="D64" s="842" t="s">
        <v>294</v>
      </c>
      <c r="E64" s="795" t="s">
        <v>1272</v>
      </c>
      <c r="F64" s="1092" t="s">
        <v>1273</v>
      </c>
      <c r="G64" s="11"/>
      <c r="H64" s="841" t="s">
        <v>939</v>
      </c>
      <c r="I64" s="787" t="s">
        <v>940</v>
      </c>
      <c r="J64" s="795" t="s">
        <v>941</v>
      </c>
      <c r="K64" s="11"/>
      <c r="L64" s="841" t="s">
        <v>268</v>
      </c>
      <c r="M64" s="842" t="s">
        <v>942</v>
      </c>
      <c r="N64" s="885" t="s">
        <v>1274</v>
      </c>
      <c r="O64" s="842" t="s">
        <v>5</v>
      </c>
      <c r="P64" s="842" t="str">
        <f>'PDS - Desenvolvimento'!$K$16</f>
        <v>Concluído</v>
      </c>
      <c r="Q64" s="795"/>
      <c r="R64" s="1080" t="s">
        <v>5</v>
      </c>
      <c r="S64" s="11"/>
      <c r="T64" s="801" t="s">
        <v>300</v>
      </c>
      <c r="U64" s="787" t="s">
        <v>944</v>
      </c>
      <c r="V64" s="89" t="s">
        <v>302</v>
      </c>
      <c r="W64" s="787" t="s">
        <v>1275</v>
      </c>
      <c r="X64" s="795"/>
      <c r="Y64" s="11"/>
      <c r="Z64" s="1089"/>
      <c r="AA64" s="3"/>
    </row>
    <row r="65" spans="1:27" ht="14.5" hidden="1">
      <c r="A65" s="841"/>
      <c r="B65" s="842"/>
      <c r="C65" s="842"/>
      <c r="D65" s="842"/>
      <c r="E65" s="795"/>
      <c r="F65" s="1093"/>
      <c r="G65" s="11"/>
      <c r="H65" s="841"/>
      <c r="I65" s="787"/>
      <c r="J65" s="795"/>
      <c r="K65" s="11"/>
      <c r="L65" s="841"/>
      <c r="M65" s="842"/>
      <c r="N65" s="885"/>
      <c r="O65" s="842"/>
      <c r="P65" s="842"/>
      <c r="Q65" s="795"/>
      <c r="R65" s="1080"/>
      <c r="S65" s="11"/>
      <c r="T65" s="801"/>
      <c r="U65" s="787"/>
      <c r="V65" s="89" t="s">
        <v>304</v>
      </c>
      <c r="W65" s="787"/>
      <c r="X65" s="795"/>
      <c r="Y65" s="11"/>
      <c r="Z65" s="1091"/>
      <c r="AA65" s="3"/>
    </row>
    <row r="66" spans="1:27" ht="14.5" hidden="1">
      <c r="A66" s="841"/>
      <c r="B66" s="842"/>
      <c r="C66" s="842"/>
      <c r="D66" s="842"/>
      <c r="E66" s="795"/>
      <c r="F66" s="1094"/>
      <c r="G66" s="11"/>
      <c r="H66" s="841"/>
      <c r="I66" s="787"/>
      <c r="J66" s="795"/>
      <c r="K66" s="11"/>
      <c r="L66" s="841"/>
      <c r="M66" s="842"/>
      <c r="N66" s="885"/>
      <c r="O66" s="842"/>
      <c r="P66" s="842"/>
      <c r="Q66" s="795"/>
      <c r="R66" s="1080"/>
      <c r="S66" s="11"/>
      <c r="T66" s="142" t="s">
        <v>565</v>
      </c>
      <c r="U66" s="90" t="s">
        <v>272</v>
      </c>
      <c r="V66" s="89" t="s">
        <v>946</v>
      </c>
      <c r="W66" s="787"/>
      <c r="X66" s="795"/>
      <c r="Y66" s="11"/>
      <c r="Z66" s="1090"/>
      <c r="AA66" s="3"/>
    </row>
    <row r="67" spans="1:27" ht="333.5" hidden="1">
      <c r="A67" s="97" t="s">
        <v>947</v>
      </c>
      <c r="B67" s="98" t="s">
        <v>935</v>
      </c>
      <c r="C67" s="98" t="s">
        <v>948</v>
      </c>
      <c r="D67" s="98" t="s">
        <v>1231</v>
      </c>
      <c r="E67" s="99" t="s">
        <v>949</v>
      </c>
      <c r="F67" s="42" t="s">
        <v>950</v>
      </c>
      <c r="G67" s="10"/>
      <c r="H67" s="118" t="s">
        <v>951</v>
      </c>
      <c r="I67" s="119" t="s">
        <v>952</v>
      </c>
      <c r="J67" s="276" t="s">
        <v>953</v>
      </c>
      <c r="K67" s="10"/>
      <c r="L67" s="126" t="s">
        <v>268</v>
      </c>
      <c r="M67" s="127" t="s">
        <v>954</v>
      </c>
      <c r="N67" s="352" t="s">
        <v>955</v>
      </c>
      <c r="O67" s="127" t="s">
        <v>5</v>
      </c>
      <c r="P67" s="127" t="str">
        <f>'PDS - Desenvolvimento'!$K$14</f>
        <v>Concluído</v>
      </c>
      <c r="Q67" s="466">
        <v>45608</v>
      </c>
      <c r="R67" s="331" t="s">
        <v>5</v>
      </c>
      <c r="S67" s="10"/>
      <c r="T67" s="146" t="s">
        <v>565</v>
      </c>
      <c r="U67" s="148" t="s">
        <v>272</v>
      </c>
      <c r="V67" s="147" t="s">
        <v>956</v>
      </c>
      <c r="W67" s="148" t="s">
        <v>289</v>
      </c>
      <c r="X67" s="149"/>
      <c r="Y67" s="10"/>
      <c r="Z67" s="23"/>
      <c r="AA67" s="3"/>
    </row>
    <row r="68" spans="1:27" ht="14.5"/>
  </sheetData>
  <autoFilter ref="A2:AA67">
    <filterColumn colId="12">
      <filters>
        <filter val="nominal_amount"/>
        <filter val="nominal_interest_rate_fee"/>
      </filters>
    </filterColumn>
  </autoFilter>
  <mergeCells count="302">
    <mergeCell ref="Q54:Q55"/>
    <mergeCell ref="Q56:Q58"/>
    <mergeCell ref="Q59:Q61"/>
    <mergeCell ref="Q64:Q66"/>
    <mergeCell ref="Q10:Q13"/>
    <mergeCell ref="Q15:Q17"/>
    <mergeCell ref="Q18:Q20"/>
    <mergeCell ref="Q21:Q28"/>
    <mergeCell ref="Q29:Q31"/>
    <mergeCell ref="Q32:Q39"/>
    <mergeCell ref="Q40:Q42"/>
    <mergeCell ref="Q45:Q46"/>
    <mergeCell ref="Q47:Q49"/>
    <mergeCell ref="L54:L55"/>
    <mergeCell ref="L56:L58"/>
    <mergeCell ref="L59:L61"/>
    <mergeCell ref="L64:L66"/>
    <mergeCell ref="M59:M61"/>
    <mergeCell ref="M64:M66"/>
    <mergeCell ref="L3:L6"/>
    <mergeCell ref="L10:L13"/>
    <mergeCell ref="L15:L17"/>
    <mergeCell ref="L18:L20"/>
    <mergeCell ref="L21:L28"/>
    <mergeCell ref="L29:L31"/>
    <mergeCell ref="L32:L39"/>
    <mergeCell ref="L40:L42"/>
    <mergeCell ref="L45:L46"/>
    <mergeCell ref="M40:M42"/>
    <mergeCell ref="M45:M46"/>
    <mergeCell ref="M47:M49"/>
    <mergeCell ref="M54:M55"/>
    <mergeCell ref="M56:M58"/>
    <mergeCell ref="M10:M13"/>
    <mergeCell ref="M15:M17"/>
    <mergeCell ref="M18:M20"/>
    <mergeCell ref="M21:M28"/>
    <mergeCell ref="R54:R55"/>
    <mergeCell ref="R56:R58"/>
    <mergeCell ref="R59:R61"/>
    <mergeCell ref="R64:R66"/>
    <mergeCell ref="R10:R13"/>
    <mergeCell ref="R15:R17"/>
    <mergeCell ref="R18:R20"/>
    <mergeCell ref="R21:R28"/>
    <mergeCell ref="R29:R31"/>
    <mergeCell ref="R32:R39"/>
    <mergeCell ref="R40:R42"/>
    <mergeCell ref="R45:R46"/>
    <mergeCell ref="R47:R49"/>
    <mergeCell ref="T18:T19"/>
    <mergeCell ref="U18:U19"/>
    <mergeCell ref="A29:A31"/>
    <mergeCell ref="B29:B31"/>
    <mergeCell ref="C29:C31"/>
    <mergeCell ref="D29:D31"/>
    <mergeCell ref="E29:E31"/>
    <mergeCell ref="F29:F31"/>
    <mergeCell ref="H29:H31"/>
    <mergeCell ref="M29:M31"/>
    <mergeCell ref="N18:N20"/>
    <mergeCell ref="U3:U6"/>
    <mergeCell ref="W3:W6"/>
    <mergeCell ref="X3:X6"/>
    <mergeCell ref="I3:I6"/>
    <mergeCell ref="J3:J6"/>
    <mergeCell ref="R3:R6"/>
    <mergeCell ref="A1:E1"/>
    <mergeCell ref="H1:J1"/>
    <mergeCell ref="T1:X1"/>
    <mergeCell ref="A3:A6"/>
    <mergeCell ref="B3:B6"/>
    <mergeCell ref="C3:C6"/>
    <mergeCell ref="D3:D6"/>
    <mergeCell ref="E3:E6"/>
    <mergeCell ref="F3:F6"/>
    <mergeCell ref="H3:H6"/>
    <mergeCell ref="N3:N6"/>
    <mergeCell ref="T3:T6"/>
    <mergeCell ref="M3:M6"/>
    <mergeCell ref="L1:P1"/>
    <mergeCell ref="O3:O6"/>
    <mergeCell ref="Q3:Q6"/>
    <mergeCell ref="W10:W13"/>
    <mergeCell ref="X10:X13"/>
    <mergeCell ref="A15:A17"/>
    <mergeCell ref="B15:B17"/>
    <mergeCell ref="C15:C17"/>
    <mergeCell ref="D15:D17"/>
    <mergeCell ref="E15:E17"/>
    <mergeCell ref="F15:F17"/>
    <mergeCell ref="H15:H17"/>
    <mergeCell ref="N15:N17"/>
    <mergeCell ref="T15:T16"/>
    <mergeCell ref="U15:U16"/>
    <mergeCell ref="W15:W17"/>
    <mergeCell ref="X15:X17"/>
    <mergeCell ref="F10:F13"/>
    <mergeCell ref="H10:H13"/>
    <mergeCell ref="N10:N13"/>
    <mergeCell ref="A10:A13"/>
    <mergeCell ref="B10:B13"/>
    <mergeCell ref="C10:C13"/>
    <mergeCell ref="D10:D13"/>
    <mergeCell ref="E10:E13"/>
    <mergeCell ref="T10:T13"/>
    <mergeCell ref="U10:U13"/>
    <mergeCell ref="X29:X31"/>
    <mergeCell ref="W18:W20"/>
    <mergeCell ref="X18:X20"/>
    <mergeCell ref="A21:A28"/>
    <mergeCell ref="B21:B28"/>
    <mergeCell ref="C21:C28"/>
    <mergeCell ref="D21:D28"/>
    <mergeCell ref="E21:E28"/>
    <mergeCell ref="F21:F28"/>
    <mergeCell ref="H21:H28"/>
    <mergeCell ref="N21:N28"/>
    <mergeCell ref="T21:T24"/>
    <mergeCell ref="U21:U24"/>
    <mergeCell ref="W21:W28"/>
    <mergeCell ref="X21:X28"/>
    <mergeCell ref="T25:T28"/>
    <mergeCell ref="U25:U28"/>
    <mergeCell ref="A18:A20"/>
    <mergeCell ref="B18:B20"/>
    <mergeCell ref="C18:C20"/>
    <mergeCell ref="D18:D20"/>
    <mergeCell ref="E18:E20"/>
    <mergeCell ref="F18:F20"/>
    <mergeCell ref="H18:H20"/>
    <mergeCell ref="A32:A39"/>
    <mergeCell ref="B32:B39"/>
    <mergeCell ref="C32:C39"/>
    <mergeCell ref="D32:D39"/>
    <mergeCell ref="E32:E39"/>
    <mergeCell ref="N29:N31"/>
    <mergeCell ref="T29:T31"/>
    <mergeCell ref="U29:U31"/>
    <mergeCell ref="W29:W31"/>
    <mergeCell ref="F32:F39"/>
    <mergeCell ref="H32:H39"/>
    <mergeCell ref="N32:N39"/>
    <mergeCell ref="W32:W39"/>
    <mergeCell ref="I32:I39"/>
    <mergeCell ref="J32:J39"/>
    <mergeCell ref="M32:M39"/>
    <mergeCell ref="X32:X39"/>
    <mergeCell ref="T33:T35"/>
    <mergeCell ref="U33:U35"/>
    <mergeCell ref="T36:T39"/>
    <mergeCell ref="U36:U39"/>
    <mergeCell ref="X47:X49"/>
    <mergeCell ref="W40:W42"/>
    <mergeCell ref="X40:X42"/>
    <mergeCell ref="A45:A46"/>
    <mergeCell ref="B45:B46"/>
    <mergeCell ref="C45:C46"/>
    <mergeCell ref="D45:D46"/>
    <mergeCell ref="F45:F46"/>
    <mergeCell ref="H45:H46"/>
    <mergeCell ref="N45:N46"/>
    <mergeCell ref="T45:T46"/>
    <mergeCell ref="U45:U46"/>
    <mergeCell ref="W45:W46"/>
    <mergeCell ref="X45:X46"/>
    <mergeCell ref="F40:F42"/>
    <mergeCell ref="H40:H42"/>
    <mergeCell ref="N40:N42"/>
    <mergeCell ref="T40:T42"/>
    <mergeCell ref="U40:U42"/>
    <mergeCell ref="A40:A42"/>
    <mergeCell ref="B40:B42"/>
    <mergeCell ref="C40:C42"/>
    <mergeCell ref="D40:D42"/>
    <mergeCell ref="E40:E42"/>
    <mergeCell ref="A54:A55"/>
    <mergeCell ref="B54:B55"/>
    <mergeCell ref="C54:C55"/>
    <mergeCell ref="D54:D55"/>
    <mergeCell ref="E54:E55"/>
    <mergeCell ref="E45:E46"/>
    <mergeCell ref="T47:T48"/>
    <mergeCell ref="U47:U48"/>
    <mergeCell ref="W47:W49"/>
    <mergeCell ref="A47:A49"/>
    <mergeCell ref="B47:B49"/>
    <mergeCell ref="C47:C49"/>
    <mergeCell ref="D47:D49"/>
    <mergeCell ref="E47:E49"/>
    <mergeCell ref="F47:F49"/>
    <mergeCell ref="H47:H49"/>
    <mergeCell ref="L47:L49"/>
    <mergeCell ref="N47:N49"/>
    <mergeCell ref="A59:A61"/>
    <mergeCell ref="B59:B61"/>
    <mergeCell ref="C59:C61"/>
    <mergeCell ref="D59:D61"/>
    <mergeCell ref="E59:E61"/>
    <mergeCell ref="W54:W55"/>
    <mergeCell ref="X54:X55"/>
    <mergeCell ref="A56:A58"/>
    <mergeCell ref="B56:B58"/>
    <mergeCell ref="C56:C58"/>
    <mergeCell ref="D56:D58"/>
    <mergeCell ref="E56:E58"/>
    <mergeCell ref="F56:F58"/>
    <mergeCell ref="H56:H58"/>
    <mergeCell ref="N56:N58"/>
    <mergeCell ref="T56:T57"/>
    <mergeCell ref="U56:U57"/>
    <mergeCell ref="W56:W58"/>
    <mergeCell ref="X56:X58"/>
    <mergeCell ref="F54:F55"/>
    <mergeCell ref="H54:H55"/>
    <mergeCell ref="N54:N55"/>
    <mergeCell ref="T54:T55"/>
    <mergeCell ref="U54:U55"/>
    <mergeCell ref="Z3:Z6"/>
    <mergeCell ref="Z10:Z13"/>
    <mergeCell ref="Z15:Z17"/>
    <mergeCell ref="Z18:Z20"/>
    <mergeCell ref="Z21:Z28"/>
    <mergeCell ref="W59:W61"/>
    <mergeCell ref="X59:X61"/>
    <mergeCell ref="A64:A66"/>
    <mergeCell ref="B64:B66"/>
    <mergeCell ref="C64:C66"/>
    <mergeCell ref="D64:D66"/>
    <mergeCell ref="E64:E66"/>
    <mergeCell ref="F64:F66"/>
    <mergeCell ref="H64:H66"/>
    <mergeCell ref="N64:N66"/>
    <mergeCell ref="T64:T65"/>
    <mergeCell ref="U64:U65"/>
    <mergeCell ref="W64:W66"/>
    <mergeCell ref="X64:X66"/>
    <mergeCell ref="F59:F61"/>
    <mergeCell ref="H59:H61"/>
    <mergeCell ref="N59:N61"/>
    <mergeCell ref="T59:T60"/>
    <mergeCell ref="U59:U60"/>
    <mergeCell ref="Z54:Z55"/>
    <mergeCell ref="Z56:Z58"/>
    <mergeCell ref="Z59:Z61"/>
    <mergeCell ref="Z64:Z66"/>
    <mergeCell ref="Z29:Z31"/>
    <mergeCell ref="Z32:Z39"/>
    <mergeCell ref="Z40:Z42"/>
    <mergeCell ref="Z45:Z46"/>
    <mergeCell ref="Z47:Z49"/>
    <mergeCell ref="I54:I55"/>
    <mergeCell ref="J54:J55"/>
    <mergeCell ref="I56:I58"/>
    <mergeCell ref="J56:J58"/>
    <mergeCell ref="I10:I13"/>
    <mergeCell ref="J10:J13"/>
    <mergeCell ref="I15:I17"/>
    <mergeCell ref="J15:J17"/>
    <mergeCell ref="I18:I20"/>
    <mergeCell ref="J18:J20"/>
    <mergeCell ref="I21:I28"/>
    <mergeCell ref="J21:J28"/>
    <mergeCell ref="I29:I31"/>
    <mergeCell ref="J29:J31"/>
    <mergeCell ref="I59:I61"/>
    <mergeCell ref="J59:J61"/>
    <mergeCell ref="I64:I66"/>
    <mergeCell ref="J64:J66"/>
    <mergeCell ref="P3:P6"/>
    <mergeCell ref="P10:P13"/>
    <mergeCell ref="P15:P17"/>
    <mergeCell ref="P18:P20"/>
    <mergeCell ref="P21:P28"/>
    <mergeCell ref="P29:P31"/>
    <mergeCell ref="P32:P39"/>
    <mergeCell ref="P40:P42"/>
    <mergeCell ref="P45:P46"/>
    <mergeCell ref="P47:P49"/>
    <mergeCell ref="P54:P55"/>
    <mergeCell ref="P56:P58"/>
    <mergeCell ref="P59:P61"/>
    <mergeCell ref="P64:P66"/>
    <mergeCell ref="I40:I42"/>
    <mergeCell ref="J40:J42"/>
    <mergeCell ref="I45:I46"/>
    <mergeCell ref="J45:J46"/>
    <mergeCell ref="I47:I49"/>
    <mergeCell ref="J47:J49"/>
    <mergeCell ref="O54:O55"/>
    <mergeCell ref="O56:O58"/>
    <mergeCell ref="O59:O61"/>
    <mergeCell ref="O64:O66"/>
    <mergeCell ref="O10:O13"/>
    <mergeCell ref="O15:O17"/>
    <mergeCell ref="O18:O20"/>
    <mergeCell ref="O21:O28"/>
    <mergeCell ref="O29:O31"/>
    <mergeCell ref="O32:O39"/>
    <mergeCell ref="O40:O42"/>
    <mergeCell ref="O45:O46"/>
    <mergeCell ref="O47:O49"/>
  </mergeCells>
  <dataValidations count="1">
    <dataValidation allowBlank="1" showInputMessage="1" showErrorMessage="1" sqref="Q3:Q1048576 P3:P67"/>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AUX!$A$2:$A$8</xm:f>
          </x14:formula1>
          <xm:sqref>O3:O67</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filterMode="1"/>
  <dimension ref="A1:AA60"/>
  <sheetViews>
    <sheetView zoomScale="55" zoomScaleNormal="55" workbookViewId="0">
      <pane xSplit="6" ySplit="2" topLeftCell="L34" activePane="bottomRight" state="frozen"/>
      <selection pane="topRight" activeCell="G1" sqref="G1"/>
      <selection pane="bottomLeft" activeCell="A3" sqref="A3"/>
      <selection pane="bottomRight" activeCell="N34" sqref="N34"/>
    </sheetView>
  </sheetViews>
  <sheetFormatPr defaultColWidth="8.7265625" defaultRowHeight="15" customHeight="1"/>
  <cols>
    <col min="1" max="1" width="6.26953125" style="2" customWidth="1"/>
    <col min="2" max="2" width="12.81640625" style="2" customWidth="1"/>
    <col min="3" max="3" width="24.453125" style="2" bestFit="1" customWidth="1"/>
    <col min="4" max="4" width="13" style="2" customWidth="1"/>
    <col min="5" max="5" width="22" style="3" customWidth="1"/>
    <col min="6" max="6" width="0" style="3" hidden="1" customWidth="1"/>
    <col min="7" max="7" width="4" style="3" customWidth="1"/>
    <col min="8" max="8" width="34.1796875" style="3" customWidth="1"/>
    <col min="9" max="9" width="35.81640625" style="3" customWidth="1"/>
    <col min="10" max="10" width="43.81640625" style="3" customWidth="1"/>
    <col min="11" max="11" width="4" style="3" customWidth="1"/>
    <col min="12" max="12" width="18.54296875" style="3" bestFit="1" customWidth="1"/>
    <col min="13" max="13" width="28.7265625" style="3" bestFit="1" customWidth="1"/>
    <col min="14" max="16" width="52.453125" style="3" customWidth="1"/>
    <col min="17" max="17" width="52.453125" style="3" hidden="1" customWidth="1"/>
    <col min="18" max="18" width="44" style="3" hidden="1" customWidth="1"/>
    <col min="19" max="19" width="4.1796875" style="3" customWidth="1"/>
    <col min="20" max="20" width="45.26953125" style="3" hidden="1" customWidth="1"/>
    <col min="21" max="21" width="122.453125" style="3" hidden="1" customWidth="1"/>
    <col min="22" max="22" width="25.81640625" style="3" hidden="1" customWidth="1"/>
    <col min="23" max="23" width="73" style="3" hidden="1" customWidth="1"/>
    <col min="24" max="24" width="86.453125" style="3" hidden="1" customWidth="1"/>
    <col min="25" max="26" width="0" style="3" hidden="1" customWidth="1"/>
    <col min="27" max="27" width="8.7265625" style="3" bestFit="1" customWidth="1"/>
    <col min="28" max="16384" width="8.7265625" style="3"/>
  </cols>
  <sheetData>
    <row r="1" spans="1:27" customFormat="1" ht="19" customHeight="1">
      <c r="A1" s="874" t="s">
        <v>234</v>
      </c>
      <c r="B1" s="875"/>
      <c r="C1" s="875"/>
      <c r="D1" s="875"/>
      <c r="E1" s="876"/>
      <c r="F1" s="84"/>
      <c r="G1" s="85"/>
      <c r="H1" s="877" t="s">
        <v>235</v>
      </c>
      <c r="I1" s="878"/>
      <c r="J1" s="879"/>
      <c r="K1" s="85"/>
      <c r="L1" s="869" t="s">
        <v>236</v>
      </c>
      <c r="M1" s="870"/>
      <c r="N1" s="870"/>
      <c r="O1" s="870"/>
      <c r="P1" s="870"/>
      <c r="Q1" s="871"/>
      <c r="R1" s="339"/>
      <c r="S1" s="85"/>
      <c r="T1" s="886" t="s">
        <v>237</v>
      </c>
      <c r="U1" s="887"/>
      <c r="V1" s="887"/>
      <c r="W1" s="887"/>
      <c r="X1" s="888"/>
      <c r="Y1" s="129"/>
    </row>
    <row r="2" spans="1:27" ht="29">
      <c r="A2" s="91" t="s">
        <v>238</v>
      </c>
      <c r="B2" s="87" t="s">
        <v>239</v>
      </c>
      <c r="C2" s="87" t="s">
        <v>240</v>
      </c>
      <c r="D2" s="87" t="s">
        <v>241</v>
      </c>
      <c r="E2" s="92" t="s">
        <v>242</v>
      </c>
      <c r="F2" s="218" t="s">
        <v>242</v>
      </c>
      <c r="G2" s="35"/>
      <c r="H2" s="107" t="s">
        <v>244</v>
      </c>
      <c r="I2" s="100" t="s">
        <v>245</v>
      </c>
      <c r="J2" s="108" t="s">
        <v>246</v>
      </c>
      <c r="K2" s="36"/>
      <c r="L2" s="333" t="s">
        <v>366</v>
      </c>
      <c r="M2" s="334" t="s">
        <v>248</v>
      </c>
      <c r="N2" s="121" t="s">
        <v>249</v>
      </c>
      <c r="O2" s="121" t="s">
        <v>1</v>
      </c>
      <c r="P2" s="121" t="s">
        <v>250</v>
      </c>
      <c r="Q2" s="123" t="s">
        <v>251</v>
      </c>
      <c r="R2" s="332" t="s">
        <v>252</v>
      </c>
      <c r="S2" s="9"/>
      <c r="T2" s="138" t="s">
        <v>253</v>
      </c>
      <c r="U2" s="277" t="s">
        <v>254</v>
      </c>
      <c r="V2" s="130" t="s">
        <v>255</v>
      </c>
      <c r="W2" s="277" t="s">
        <v>256</v>
      </c>
      <c r="X2" s="278" t="s">
        <v>257</v>
      </c>
      <c r="Y2" s="9" t="s">
        <v>1276</v>
      </c>
      <c r="Z2" s="24" t="s">
        <v>1184</v>
      </c>
      <c r="AA2" s="4"/>
    </row>
    <row r="3" spans="1:27" ht="30" hidden="1" customHeight="1">
      <c r="A3" s="93" t="s">
        <v>279</v>
      </c>
      <c r="B3" s="88" t="s">
        <v>260</v>
      </c>
      <c r="C3" s="88" t="s">
        <v>280</v>
      </c>
      <c r="D3" s="88" t="s">
        <v>262</v>
      </c>
      <c r="E3" s="94" t="s">
        <v>281</v>
      </c>
      <c r="F3" s="14" t="s">
        <v>367</v>
      </c>
      <c r="G3" s="10"/>
      <c r="H3" s="109" t="s">
        <v>368</v>
      </c>
      <c r="I3" s="102" t="s">
        <v>369</v>
      </c>
      <c r="J3" s="159" t="s">
        <v>370</v>
      </c>
      <c r="K3" s="10"/>
      <c r="L3" s="124" t="s">
        <v>268</v>
      </c>
      <c r="M3" s="122" t="s">
        <v>285</v>
      </c>
      <c r="N3" s="351" t="s">
        <v>371</v>
      </c>
      <c r="O3" s="122" t="s">
        <v>5</v>
      </c>
      <c r="P3" s="122" t="str">
        <f>'PDS - Desenvolvimento'!$K$113</f>
        <v>Concluído</v>
      </c>
      <c r="Q3" s="457">
        <v>45608</v>
      </c>
      <c r="R3" s="332"/>
      <c r="S3" s="10"/>
      <c r="T3" s="140" t="s">
        <v>271</v>
      </c>
      <c r="U3" s="131" t="s">
        <v>272</v>
      </c>
      <c r="V3" s="133" t="s">
        <v>288</v>
      </c>
      <c r="W3" s="131" t="s">
        <v>289</v>
      </c>
      <c r="X3" s="141"/>
      <c r="Y3" s="10"/>
      <c r="Z3" s="25"/>
      <c r="AA3"/>
    </row>
    <row r="4" spans="1:27" ht="14.5" hidden="1">
      <c r="A4" s="841" t="s">
        <v>522</v>
      </c>
      <c r="B4" s="842" t="s">
        <v>320</v>
      </c>
      <c r="C4" s="842" t="s">
        <v>1019</v>
      </c>
      <c r="D4" s="842" t="s">
        <v>337</v>
      </c>
      <c r="E4" s="795" t="s">
        <v>1021</v>
      </c>
      <c r="F4" s="819" t="s">
        <v>1277</v>
      </c>
      <c r="G4" s="11"/>
      <c r="H4" s="841" t="s">
        <v>1023</v>
      </c>
      <c r="I4" s="787" t="s">
        <v>1024</v>
      </c>
      <c r="J4" s="795" t="s">
        <v>1025</v>
      </c>
      <c r="K4" s="11"/>
      <c r="L4" s="841" t="s">
        <v>268</v>
      </c>
      <c r="M4" s="842" t="s">
        <v>1026</v>
      </c>
      <c r="N4" s="787" t="s">
        <v>1027</v>
      </c>
      <c r="O4" s="842" t="s">
        <v>5</v>
      </c>
      <c r="P4" s="842" t="str">
        <f>'PDS - Desenvolvimento'!$K$127</f>
        <v>Concluído</v>
      </c>
      <c r="Q4" s="1064">
        <v>45608</v>
      </c>
      <c r="R4" s="318" t="s">
        <v>5</v>
      </c>
      <c r="S4" s="11"/>
      <c r="T4" s="801" t="s">
        <v>305</v>
      </c>
      <c r="U4" s="787" t="s">
        <v>306</v>
      </c>
      <c r="V4" s="89" t="s">
        <v>347</v>
      </c>
      <c r="W4" s="787" t="s">
        <v>1278</v>
      </c>
      <c r="X4" s="795" t="s">
        <v>408</v>
      </c>
      <c r="Y4" s="11"/>
      <c r="Z4" s="1105" t="s">
        <v>1279</v>
      </c>
      <c r="AA4"/>
    </row>
    <row r="5" spans="1:27" ht="14.5" hidden="1">
      <c r="A5" s="841"/>
      <c r="B5" s="842"/>
      <c r="C5" s="842"/>
      <c r="D5" s="842"/>
      <c r="E5" s="795"/>
      <c r="F5" s="819"/>
      <c r="G5" s="11"/>
      <c r="H5" s="841"/>
      <c r="I5" s="787"/>
      <c r="J5" s="795"/>
      <c r="K5" s="11"/>
      <c r="L5" s="841"/>
      <c r="M5" s="842"/>
      <c r="N5" s="787"/>
      <c r="O5" s="842"/>
      <c r="P5" s="842"/>
      <c r="Q5" s="853"/>
      <c r="R5" s="1121" t="s">
        <v>5</v>
      </c>
      <c r="S5" s="11"/>
      <c r="T5" s="801"/>
      <c r="U5" s="787"/>
      <c r="V5" s="89" t="s">
        <v>329</v>
      </c>
      <c r="W5" s="787"/>
      <c r="X5" s="795"/>
      <c r="Y5" s="11"/>
      <c r="Z5" s="1105"/>
      <c r="AA5"/>
    </row>
    <row r="6" spans="1:27" ht="14.5" hidden="1">
      <c r="A6" s="841"/>
      <c r="B6" s="842"/>
      <c r="C6" s="842"/>
      <c r="D6" s="842"/>
      <c r="E6" s="795"/>
      <c r="F6" s="819"/>
      <c r="G6" s="11"/>
      <c r="H6" s="841"/>
      <c r="I6" s="787"/>
      <c r="J6" s="795"/>
      <c r="K6" s="11"/>
      <c r="L6" s="841"/>
      <c r="M6" s="842"/>
      <c r="N6" s="787"/>
      <c r="O6" s="842"/>
      <c r="P6" s="842"/>
      <c r="Q6" s="853"/>
      <c r="R6" s="1122"/>
      <c r="S6" s="11"/>
      <c r="T6" s="801"/>
      <c r="U6" s="787"/>
      <c r="V6" s="89" t="s">
        <v>333</v>
      </c>
      <c r="W6" s="787"/>
      <c r="X6" s="795"/>
      <c r="Y6" s="11"/>
      <c r="Z6" s="1105"/>
      <c r="AA6"/>
    </row>
    <row r="7" spans="1:27" ht="14.5" hidden="1">
      <c r="A7" s="841"/>
      <c r="B7" s="842"/>
      <c r="C7" s="842"/>
      <c r="D7" s="842"/>
      <c r="E7" s="795"/>
      <c r="F7" s="819"/>
      <c r="G7" s="11"/>
      <c r="H7" s="841"/>
      <c r="I7" s="787"/>
      <c r="J7" s="795"/>
      <c r="K7" s="11"/>
      <c r="L7" s="841"/>
      <c r="M7" s="842"/>
      <c r="N7" s="787"/>
      <c r="O7" s="842"/>
      <c r="P7" s="842"/>
      <c r="Q7" s="853"/>
      <c r="R7" s="1122"/>
      <c r="S7" s="11"/>
      <c r="T7" s="801"/>
      <c r="U7" s="787"/>
      <c r="V7" s="89" t="s">
        <v>1029</v>
      </c>
      <c r="W7" s="787"/>
      <c r="X7" s="795"/>
      <c r="Y7" s="11"/>
      <c r="Z7" s="1105"/>
      <c r="AA7"/>
    </row>
    <row r="8" spans="1:27" ht="14.5" hidden="1">
      <c r="A8" s="841"/>
      <c r="B8" s="842"/>
      <c r="C8" s="842"/>
      <c r="D8" s="842"/>
      <c r="E8" s="795"/>
      <c r="F8" s="819"/>
      <c r="G8" s="11"/>
      <c r="H8" s="841"/>
      <c r="I8" s="787"/>
      <c r="J8" s="795"/>
      <c r="K8" s="11"/>
      <c r="L8" s="841"/>
      <c r="M8" s="842"/>
      <c r="N8" s="787"/>
      <c r="O8" s="842"/>
      <c r="P8" s="842"/>
      <c r="Q8" s="853"/>
      <c r="R8" s="1122"/>
      <c r="S8" s="11"/>
      <c r="T8" s="801" t="s">
        <v>442</v>
      </c>
      <c r="U8" s="787" t="s">
        <v>272</v>
      </c>
      <c r="V8" s="89" t="s">
        <v>273</v>
      </c>
      <c r="W8" s="787"/>
      <c r="X8" s="795"/>
      <c r="Y8" s="11"/>
      <c r="Z8" s="1105"/>
      <c r="AA8"/>
    </row>
    <row r="9" spans="1:27" ht="14.5" hidden="1">
      <c r="A9" s="841"/>
      <c r="B9" s="842"/>
      <c r="C9" s="842"/>
      <c r="D9" s="842"/>
      <c r="E9" s="795"/>
      <c r="F9" s="819"/>
      <c r="G9" s="11"/>
      <c r="H9" s="841"/>
      <c r="I9" s="787"/>
      <c r="J9" s="795"/>
      <c r="K9" s="11"/>
      <c r="L9" s="841"/>
      <c r="M9" s="842"/>
      <c r="N9" s="787"/>
      <c r="O9" s="842"/>
      <c r="P9" s="842"/>
      <c r="Q9" s="853"/>
      <c r="R9" s="1122"/>
      <c r="S9" s="11"/>
      <c r="T9" s="801"/>
      <c r="U9" s="787"/>
      <c r="V9" s="89" t="s">
        <v>276</v>
      </c>
      <c r="W9" s="787"/>
      <c r="X9" s="795"/>
      <c r="Y9" s="11"/>
      <c r="Z9" s="1105"/>
      <c r="AA9"/>
    </row>
    <row r="10" spans="1:27" ht="14.5" hidden="1">
      <c r="A10" s="841"/>
      <c r="B10" s="842"/>
      <c r="C10" s="842"/>
      <c r="D10" s="842"/>
      <c r="E10" s="795"/>
      <c r="F10" s="819"/>
      <c r="G10" s="11"/>
      <c r="H10" s="841"/>
      <c r="I10" s="787"/>
      <c r="J10" s="795"/>
      <c r="K10" s="11"/>
      <c r="L10" s="841"/>
      <c r="M10" s="842"/>
      <c r="N10" s="787"/>
      <c r="O10" s="842"/>
      <c r="P10" s="842"/>
      <c r="Q10" s="853"/>
      <c r="R10" s="1122"/>
      <c r="S10" s="11"/>
      <c r="T10" s="801"/>
      <c r="U10" s="787"/>
      <c r="V10" s="89" t="s">
        <v>277</v>
      </c>
      <c r="W10" s="787"/>
      <c r="X10" s="795"/>
      <c r="Y10" s="11"/>
      <c r="Z10" s="1105"/>
      <c r="AA10"/>
    </row>
    <row r="11" spans="1:27" ht="14.5" hidden="1">
      <c r="A11" s="841"/>
      <c r="B11" s="842"/>
      <c r="C11" s="842"/>
      <c r="D11" s="842"/>
      <c r="E11" s="795"/>
      <c r="F11" s="819"/>
      <c r="G11" s="11"/>
      <c r="H11" s="841"/>
      <c r="I11" s="787"/>
      <c r="J11" s="795"/>
      <c r="K11" s="11"/>
      <c r="L11" s="841"/>
      <c r="M11" s="842"/>
      <c r="N11" s="787"/>
      <c r="O11" s="842"/>
      <c r="P11" s="842"/>
      <c r="Q11" s="853"/>
      <c r="R11" s="1122"/>
      <c r="S11" s="11"/>
      <c r="T11" s="801"/>
      <c r="U11" s="787"/>
      <c r="V11" s="89" t="s">
        <v>278</v>
      </c>
      <c r="W11" s="787"/>
      <c r="X11" s="795"/>
      <c r="Y11" s="11"/>
      <c r="Z11" s="1105"/>
      <c r="AA11"/>
    </row>
    <row r="12" spans="1:27" ht="134.25" hidden="1" customHeight="1">
      <c r="A12" s="93" t="s">
        <v>372</v>
      </c>
      <c r="B12" s="88" t="s">
        <v>320</v>
      </c>
      <c r="C12" s="88" t="s">
        <v>373</v>
      </c>
      <c r="D12" s="88" t="s">
        <v>1030</v>
      </c>
      <c r="E12" s="94" t="s">
        <v>1031</v>
      </c>
      <c r="F12" s="14" t="s">
        <v>1032</v>
      </c>
      <c r="G12" s="10"/>
      <c r="H12" s="109" t="s">
        <v>377</v>
      </c>
      <c r="I12" s="102" t="s">
        <v>378</v>
      </c>
      <c r="J12" s="110" t="s">
        <v>379</v>
      </c>
      <c r="K12" s="10"/>
      <c r="L12" s="167" t="s">
        <v>268</v>
      </c>
      <c r="M12" s="164" t="s">
        <v>380</v>
      </c>
      <c r="N12" s="357" t="s">
        <v>1033</v>
      </c>
      <c r="O12" s="122" t="s">
        <v>5</v>
      </c>
      <c r="P12" s="122" t="str">
        <f>'PDS - Desenvolvimento'!$K$124</f>
        <v>Concluído</v>
      </c>
      <c r="Q12" s="322"/>
      <c r="R12" s="1123"/>
      <c r="S12" s="10"/>
      <c r="T12" s="140" t="s">
        <v>382</v>
      </c>
      <c r="U12" s="131" t="s">
        <v>272</v>
      </c>
      <c r="V12" s="133" t="s">
        <v>383</v>
      </c>
      <c r="W12" s="131" t="s">
        <v>384</v>
      </c>
      <c r="X12" s="141"/>
      <c r="Y12" s="10"/>
      <c r="Z12" s="25"/>
      <c r="AA12"/>
    </row>
    <row r="13" spans="1:27" ht="34" hidden="1" customHeight="1">
      <c r="A13" s="95" t="s">
        <v>387</v>
      </c>
      <c r="B13" s="89" t="s">
        <v>320</v>
      </c>
      <c r="C13" s="89" t="s">
        <v>1280</v>
      </c>
      <c r="D13" s="89" t="s">
        <v>262</v>
      </c>
      <c r="E13" s="96" t="s">
        <v>1281</v>
      </c>
      <c r="F13" s="13" t="s">
        <v>1282</v>
      </c>
      <c r="G13" s="11"/>
      <c r="H13" s="95" t="s">
        <v>391</v>
      </c>
      <c r="I13" s="90" t="s">
        <v>392</v>
      </c>
      <c r="J13" s="96" t="s">
        <v>393</v>
      </c>
      <c r="K13" s="11"/>
      <c r="L13" s="95" t="s">
        <v>268</v>
      </c>
      <c r="M13" s="89" t="s">
        <v>394</v>
      </c>
      <c r="N13" s="90" t="s">
        <v>395</v>
      </c>
      <c r="O13" s="89" t="s">
        <v>5</v>
      </c>
      <c r="P13" s="89" t="str">
        <f>'PDS - Desenvolvimento'!$K$123</f>
        <v>Concluído</v>
      </c>
      <c r="Q13" s="444">
        <v>45608</v>
      </c>
      <c r="R13" s="320" t="s">
        <v>5</v>
      </c>
      <c r="S13" s="11"/>
      <c r="T13" s="142" t="s">
        <v>382</v>
      </c>
      <c r="U13" s="90" t="s">
        <v>272</v>
      </c>
      <c r="V13" s="89" t="s">
        <v>396</v>
      </c>
      <c r="W13" s="90" t="s">
        <v>397</v>
      </c>
      <c r="X13" s="96"/>
      <c r="Y13" s="11"/>
      <c r="Z13" s="26"/>
      <c r="AA13"/>
    </row>
    <row r="14" spans="1:27" ht="15" hidden="1" customHeight="1">
      <c r="A14" s="836" t="s">
        <v>398</v>
      </c>
      <c r="B14" s="835" t="s">
        <v>320</v>
      </c>
      <c r="C14" s="835" t="s">
        <v>399</v>
      </c>
      <c r="D14" s="835" t="s">
        <v>337</v>
      </c>
      <c r="E14" s="912" t="s">
        <v>400</v>
      </c>
      <c r="F14" s="816" t="s">
        <v>1283</v>
      </c>
      <c r="G14" s="10"/>
      <c r="H14" s="1124" t="s">
        <v>402</v>
      </c>
      <c r="I14" s="827"/>
      <c r="J14" s="1124"/>
      <c r="K14" s="10"/>
      <c r="L14" s="1111" t="s">
        <v>403</v>
      </c>
      <c r="M14" s="1117" t="s">
        <v>404</v>
      </c>
      <c r="N14" s="1114" t="s">
        <v>405</v>
      </c>
      <c r="O14" s="1117" t="s">
        <v>5</v>
      </c>
      <c r="P14" s="1117" t="str">
        <f>'PDS - Desenvolvimento'!$K$130</f>
        <v>Concluído</v>
      </c>
      <c r="Q14" s="1107"/>
      <c r="R14" s="326" t="s">
        <v>5</v>
      </c>
      <c r="S14" s="10"/>
      <c r="T14" s="798" t="s">
        <v>305</v>
      </c>
      <c r="U14" s="793" t="s">
        <v>306</v>
      </c>
      <c r="V14" s="1120" t="s">
        <v>410</v>
      </c>
      <c r="W14" s="793" t="s">
        <v>407</v>
      </c>
      <c r="X14" s="791" t="s">
        <v>408</v>
      </c>
      <c r="Y14" s="10"/>
      <c r="Z14" s="958"/>
      <c r="AA14"/>
    </row>
    <row r="15" spans="1:27" ht="14.5" hidden="1">
      <c r="A15" s="836"/>
      <c r="B15" s="835"/>
      <c r="C15" s="835"/>
      <c r="D15" s="835"/>
      <c r="E15" s="912"/>
      <c r="F15" s="816"/>
      <c r="G15" s="10"/>
      <c r="H15" s="1125"/>
      <c r="I15" s="827"/>
      <c r="J15" s="1125"/>
      <c r="K15" s="10"/>
      <c r="L15" s="1112"/>
      <c r="M15" s="1118"/>
      <c r="N15" s="1115"/>
      <c r="O15" s="1118"/>
      <c r="P15" s="1118"/>
      <c r="Q15" s="1108"/>
      <c r="R15" s="1126" t="s">
        <v>406</v>
      </c>
      <c r="S15" s="10"/>
      <c r="T15" s="798"/>
      <c r="U15" s="793"/>
      <c r="V15" s="1120"/>
      <c r="W15" s="793"/>
      <c r="X15" s="791"/>
      <c r="Y15" s="10"/>
      <c r="Z15" s="1106"/>
      <c r="AA15"/>
    </row>
    <row r="16" spans="1:27" ht="14.5" hidden="1">
      <c r="A16" s="836"/>
      <c r="B16" s="835"/>
      <c r="C16" s="835"/>
      <c r="D16" s="835"/>
      <c r="E16" s="912"/>
      <c r="F16" s="816"/>
      <c r="G16" s="10"/>
      <c r="H16" s="1125"/>
      <c r="I16" s="827"/>
      <c r="J16" s="1125"/>
      <c r="K16" s="10"/>
      <c r="L16" s="1112"/>
      <c r="M16" s="1118"/>
      <c r="N16" s="1115"/>
      <c r="O16" s="1118"/>
      <c r="P16" s="1118"/>
      <c r="Q16" s="1108"/>
      <c r="R16" s="1127"/>
      <c r="S16" s="10"/>
      <c r="T16" s="798"/>
      <c r="U16" s="793"/>
      <c r="V16" s="1120"/>
      <c r="W16" s="793"/>
      <c r="X16" s="791"/>
      <c r="Y16" s="10"/>
      <c r="Z16" s="1106"/>
      <c r="AA16"/>
    </row>
    <row r="17" spans="1:27" ht="14.5" hidden="1">
      <c r="A17" s="836"/>
      <c r="B17" s="835"/>
      <c r="C17" s="835"/>
      <c r="D17" s="835"/>
      <c r="E17" s="912"/>
      <c r="F17" s="816"/>
      <c r="G17" s="10"/>
      <c r="H17" s="1125"/>
      <c r="I17" s="827"/>
      <c r="J17" s="1125"/>
      <c r="K17" s="10"/>
      <c r="L17" s="1112"/>
      <c r="M17" s="1118"/>
      <c r="N17" s="1115"/>
      <c r="O17" s="1118"/>
      <c r="P17" s="1118"/>
      <c r="Q17" s="1108"/>
      <c r="R17" s="1127"/>
      <c r="S17" s="10"/>
      <c r="T17" s="798"/>
      <c r="U17" s="793"/>
      <c r="V17" s="133" t="s">
        <v>329</v>
      </c>
      <c r="W17" s="793"/>
      <c r="X17" s="791"/>
      <c r="Y17" s="10"/>
      <c r="Z17" s="1106"/>
      <c r="AA17"/>
    </row>
    <row r="18" spans="1:27" ht="14.5" hidden="1">
      <c r="A18" s="836"/>
      <c r="B18" s="835"/>
      <c r="C18" s="835"/>
      <c r="D18" s="835"/>
      <c r="E18" s="912"/>
      <c r="F18" s="816"/>
      <c r="G18" s="10"/>
      <c r="H18" s="1125"/>
      <c r="I18" s="827"/>
      <c r="J18" s="1125"/>
      <c r="K18" s="10"/>
      <c r="L18" s="1112"/>
      <c r="M18" s="1118"/>
      <c r="N18" s="1115"/>
      <c r="O18" s="1118"/>
      <c r="P18" s="1118"/>
      <c r="Q18" s="1108"/>
      <c r="R18" s="1127"/>
      <c r="S18" s="10"/>
      <c r="T18" s="798"/>
      <c r="U18" s="793"/>
      <c r="V18" s="133" t="s">
        <v>333</v>
      </c>
      <c r="W18" s="793"/>
      <c r="X18" s="791"/>
      <c r="Y18" s="10"/>
      <c r="Z18" s="1106"/>
      <c r="AA18"/>
    </row>
    <row r="19" spans="1:27" ht="30" hidden="1" customHeight="1">
      <c r="A19" s="836"/>
      <c r="B19" s="835"/>
      <c r="C19" s="835"/>
      <c r="D19" s="835"/>
      <c r="E19" s="912"/>
      <c r="F19" s="816"/>
      <c r="G19" s="10"/>
      <c r="H19" s="1125"/>
      <c r="I19" s="827"/>
      <c r="J19" s="1125"/>
      <c r="K19" s="10"/>
      <c r="L19" s="1112"/>
      <c r="M19" s="1118"/>
      <c r="N19" s="1115"/>
      <c r="O19" s="1118"/>
      <c r="P19" s="1118"/>
      <c r="Q19" s="1108"/>
      <c r="R19" s="1127"/>
      <c r="S19" s="10"/>
      <c r="T19" s="140" t="s">
        <v>1269</v>
      </c>
      <c r="U19" s="131" t="s">
        <v>360</v>
      </c>
      <c r="V19" s="133" t="s">
        <v>415</v>
      </c>
      <c r="W19" s="793"/>
      <c r="X19" s="791"/>
      <c r="Y19" s="10"/>
      <c r="Z19" s="1106"/>
      <c r="AA19"/>
    </row>
    <row r="20" spans="1:27" ht="14.5" hidden="1">
      <c r="A20" s="836"/>
      <c r="B20" s="835"/>
      <c r="C20" s="835"/>
      <c r="D20" s="835"/>
      <c r="E20" s="912"/>
      <c r="F20" s="816"/>
      <c r="G20" s="10"/>
      <c r="H20" s="1125"/>
      <c r="I20" s="827"/>
      <c r="J20" s="1125"/>
      <c r="K20" s="10"/>
      <c r="L20" s="1112"/>
      <c r="M20" s="1118"/>
      <c r="N20" s="1115"/>
      <c r="O20" s="1118"/>
      <c r="P20" s="1118"/>
      <c r="Q20" s="1108"/>
      <c r="R20" s="1127"/>
      <c r="S20" s="10"/>
      <c r="T20" s="798" t="s">
        <v>359</v>
      </c>
      <c r="U20" s="793" t="s">
        <v>360</v>
      </c>
      <c r="V20" s="133" t="s">
        <v>412</v>
      </c>
      <c r="W20" s="793"/>
      <c r="X20" s="791"/>
      <c r="Y20" s="10"/>
      <c r="Z20" s="1106"/>
      <c r="AA20"/>
    </row>
    <row r="21" spans="1:27" ht="14.5" hidden="1">
      <c r="A21" s="836"/>
      <c r="B21" s="835"/>
      <c r="C21" s="835"/>
      <c r="D21" s="835"/>
      <c r="E21" s="912"/>
      <c r="F21" s="816"/>
      <c r="G21" s="10"/>
      <c r="H21" s="1125"/>
      <c r="I21" s="827"/>
      <c r="J21" s="1125"/>
      <c r="K21" s="10"/>
      <c r="L21" s="1112"/>
      <c r="M21" s="1118"/>
      <c r="N21" s="1115"/>
      <c r="O21" s="1118"/>
      <c r="P21" s="1118"/>
      <c r="Q21" s="1108"/>
      <c r="R21" s="1127"/>
      <c r="S21" s="10"/>
      <c r="T21" s="798"/>
      <c r="U21" s="793"/>
      <c r="V21" s="133" t="s">
        <v>413</v>
      </c>
      <c r="W21" s="793"/>
      <c r="X21" s="791"/>
      <c r="Y21" s="10"/>
      <c r="Z21" s="1106"/>
      <c r="AA21"/>
    </row>
    <row r="22" spans="1:27" ht="14.5" hidden="1">
      <c r="A22" s="836"/>
      <c r="B22" s="835"/>
      <c r="C22" s="835"/>
      <c r="D22" s="835"/>
      <c r="E22" s="912"/>
      <c r="F22" s="816"/>
      <c r="G22" s="10"/>
      <c r="H22" s="1125"/>
      <c r="I22" s="827"/>
      <c r="J22" s="1125"/>
      <c r="K22" s="10"/>
      <c r="L22" s="1112"/>
      <c r="M22" s="1118"/>
      <c r="N22" s="1115"/>
      <c r="O22" s="1118"/>
      <c r="P22" s="1118"/>
      <c r="Q22" s="1108"/>
      <c r="R22" s="1127"/>
      <c r="S22" s="10"/>
      <c r="T22" s="798"/>
      <c r="U22" s="793"/>
      <c r="V22" s="240" t="s">
        <v>365</v>
      </c>
      <c r="W22" s="793"/>
      <c r="X22" s="791"/>
      <c r="Y22" s="10"/>
      <c r="Z22" s="1106"/>
      <c r="AA22"/>
    </row>
    <row r="23" spans="1:27" ht="14.5" hidden="1">
      <c r="A23" s="836"/>
      <c r="B23" s="835"/>
      <c r="C23" s="835"/>
      <c r="D23" s="835"/>
      <c r="E23" s="912"/>
      <c r="F23" s="816"/>
      <c r="G23" s="10"/>
      <c r="H23" s="1125"/>
      <c r="I23" s="827"/>
      <c r="J23" s="1125"/>
      <c r="K23" s="10"/>
      <c r="L23" s="1112"/>
      <c r="M23" s="1118"/>
      <c r="N23" s="1115"/>
      <c r="O23" s="1118"/>
      <c r="P23" s="1118"/>
      <c r="Q23" s="1108"/>
      <c r="R23" s="1127"/>
      <c r="S23" s="10"/>
      <c r="T23" s="798" t="s">
        <v>442</v>
      </c>
      <c r="U23" s="793" t="s">
        <v>272</v>
      </c>
      <c r="V23" s="133" t="s">
        <v>273</v>
      </c>
      <c r="W23" s="793"/>
      <c r="X23" s="791"/>
      <c r="Y23" s="10"/>
      <c r="Z23" s="1106"/>
      <c r="AA23"/>
    </row>
    <row r="24" spans="1:27" ht="14.5" hidden="1">
      <c r="A24" s="836"/>
      <c r="B24" s="835"/>
      <c r="C24" s="835"/>
      <c r="D24" s="835"/>
      <c r="E24" s="912"/>
      <c r="F24" s="816"/>
      <c r="G24" s="10"/>
      <c r="H24" s="1125"/>
      <c r="I24" s="827"/>
      <c r="J24" s="1125"/>
      <c r="K24" s="10"/>
      <c r="L24" s="1112"/>
      <c r="M24" s="1118"/>
      <c r="N24" s="1115"/>
      <c r="O24" s="1118"/>
      <c r="P24" s="1118"/>
      <c r="Q24" s="1108"/>
      <c r="R24" s="1127"/>
      <c r="S24" s="10"/>
      <c r="T24" s="798"/>
      <c r="U24" s="793"/>
      <c r="V24" s="133" t="s">
        <v>276</v>
      </c>
      <c r="W24" s="793"/>
      <c r="X24" s="791"/>
      <c r="Y24" s="10"/>
      <c r="Z24" s="1106"/>
      <c r="AA24"/>
    </row>
    <row r="25" spans="1:27" ht="14.5" hidden="1">
      <c r="A25" s="836"/>
      <c r="B25" s="835"/>
      <c r="C25" s="835"/>
      <c r="D25" s="835"/>
      <c r="E25" s="912"/>
      <c r="F25" s="816"/>
      <c r="G25" s="10"/>
      <c r="H25" s="1125"/>
      <c r="I25" s="827"/>
      <c r="J25" s="1125"/>
      <c r="K25" s="10"/>
      <c r="L25" s="1112"/>
      <c r="M25" s="1118"/>
      <c r="N25" s="1115"/>
      <c r="O25" s="1118"/>
      <c r="P25" s="1118"/>
      <c r="Q25" s="1108"/>
      <c r="R25" s="1127"/>
      <c r="S25" s="10"/>
      <c r="T25" s="798"/>
      <c r="U25" s="793"/>
      <c r="V25" s="133" t="s">
        <v>277</v>
      </c>
      <c r="W25" s="793"/>
      <c r="X25" s="791"/>
      <c r="Y25" s="10"/>
      <c r="Z25" s="1106"/>
      <c r="AA25"/>
    </row>
    <row r="26" spans="1:27" ht="14.5" hidden="1">
      <c r="A26" s="836"/>
      <c r="B26" s="835"/>
      <c r="C26" s="835"/>
      <c r="D26" s="835"/>
      <c r="E26" s="912"/>
      <c r="F26" s="816"/>
      <c r="G26" s="10"/>
      <c r="H26" s="829"/>
      <c r="I26" s="827"/>
      <c r="J26" s="829"/>
      <c r="K26" s="10"/>
      <c r="L26" s="1113"/>
      <c r="M26" s="1119"/>
      <c r="N26" s="1116"/>
      <c r="O26" s="1119"/>
      <c r="P26" s="1119"/>
      <c r="Q26" s="1109"/>
      <c r="R26" s="1127"/>
      <c r="S26" s="10"/>
      <c r="T26" s="798"/>
      <c r="U26" s="793"/>
      <c r="V26" s="133" t="s">
        <v>278</v>
      </c>
      <c r="W26" s="793"/>
      <c r="X26" s="791"/>
      <c r="Y26" s="10"/>
      <c r="Z26" s="959"/>
      <c r="AA26"/>
    </row>
    <row r="27" spans="1:27" ht="409.6" hidden="1" customHeight="1">
      <c r="A27" s="95" t="s">
        <v>416</v>
      </c>
      <c r="B27" s="89" t="s">
        <v>320</v>
      </c>
      <c r="C27" s="89" t="s">
        <v>417</v>
      </c>
      <c r="D27" s="89" t="s">
        <v>337</v>
      </c>
      <c r="E27" s="160" t="s">
        <v>1284</v>
      </c>
      <c r="F27" s="13" t="s">
        <v>1285</v>
      </c>
      <c r="G27" s="11"/>
      <c r="H27" s="193" t="s">
        <v>50</v>
      </c>
      <c r="I27" s="189" t="s">
        <v>50</v>
      </c>
      <c r="J27" s="194" t="s">
        <v>50</v>
      </c>
      <c r="K27" s="11"/>
      <c r="L27" s="95" t="s">
        <v>284</v>
      </c>
      <c r="M27" s="89" t="s">
        <v>420</v>
      </c>
      <c r="N27" s="90" t="s">
        <v>1286</v>
      </c>
      <c r="O27" s="89" t="s">
        <v>5</v>
      </c>
      <c r="P27" s="89" t="str">
        <f>'PDS - Desenvolvimento'!$K$131</f>
        <v>Concluído</v>
      </c>
      <c r="Q27" s="444">
        <v>45608</v>
      </c>
      <c r="R27" s="1128"/>
      <c r="S27" s="11"/>
      <c r="T27" s="95" t="s">
        <v>422</v>
      </c>
      <c r="U27" s="89" t="s">
        <v>422</v>
      </c>
      <c r="V27" s="89" t="s">
        <v>422</v>
      </c>
      <c r="W27" s="89" t="s">
        <v>422</v>
      </c>
      <c r="X27" s="145" t="s">
        <v>422</v>
      </c>
      <c r="Y27" s="11"/>
      <c r="Z27" s="26"/>
      <c r="AA27"/>
    </row>
    <row r="28" spans="1:27" ht="14.5" hidden="1" customHeight="1">
      <c r="A28" s="836" t="s">
        <v>1043</v>
      </c>
      <c r="B28" s="835" t="s">
        <v>737</v>
      </c>
      <c r="C28" s="835" t="s">
        <v>1287</v>
      </c>
      <c r="D28" s="835" t="s">
        <v>294</v>
      </c>
      <c r="E28" s="815" t="s">
        <v>1288</v>
      </c>
      <c r="F28" s="816" t="s">
        <v>1289</v>
      </c>
      <c r="G28" s="10"/>
      <c r="H28" s="821" t="s">
        <v>1047</v>
      </c>
      <c r="I28" s="827" t="s">
        <v>1048</v>
      </c>
      <c r="J28" s="830" t="s">
        <v>1049</v>
      </c>
      <c r="K28" s="10"/>
      <c r="L28" s="995" t="s">
        <v>268</v>
      </c>
      <c r="M28" s="997" t="s">
        <v>1050</v>
      </c>
      <c r="N28" s="1010" t="s">
        <v>1290</v>
      </c>
      <c r="O28" s="997" t="s">
        <v>5</v>
      </c>
      <c r="P28" s="997" t="str">
        <f>'PDS - Desenvolvimento'!$K$120</f>
        <v>Concluído</v>
      </c>
      <c r="Q28" s="1110"/>
      <c r="R28" s="326" t="s">
        <v>287</v>
      </c>
      <c r="S28" s="10"/>
      <c r="T28" s="798" t="s">
        <v>300</v>
      </c>
      <c r="U28" s="793" t="s">
        <v>1291</v>
      </c>
      <c r="V28" s="133" t="s">
        <v>302</v>
      </c>
      <c r="W28" s="793" t="s">
        <v>1292</v>
      </c>
      <c r="X28" s="791"/>
      <c r="Y28" s="10"/>
      <c r="Z28" s="958"/>
      <c r="AA28"/>
    </row>
    <row r="29" spans="1:27" ht="14.5" hidden="1">
      <c r="A29" s="836"/>
      <c r="B29" s="835"/>
      <c r="C29" s="835"/>
      <c r="D29" s="835"/>
      <c r="E29" s="815"/>
      <c r="F29" s="816"/>
      <c r="G29" s="10"/>
      <c r="H29" s="821"/>
      <c r="I29" s="827"/>
      <c r="J29" s="830"/>
      <c r="K29" s="10"/>
      <c r="L29" s="995"/>
      <c r="M29" s="997"/>
      <c r="N29" s="1010"/>
      <c r="O29" s="997"/>
      <c r="P29" s="997"/>
      <c r="Q29" s="1110"/>
      <c r="R29" s="811" t="s">
        <v>5</v>
      </c>
      <c r="S29" s="10"/>
      <c r="T29" s="798"/>
      <c r="U29" s="793"/>
      <c r="V29" s="133" t="s">
        <v>304</v>
      </c>
      <c r="W29" s="793"/>
      <c r="X29" s="791"/>
      <c r="Y29" s="10"/>
      <c r="Z29" s="1106"/>
      <c r="AA29"/>
    </row>
    <row r="30" spans="1:27" ht="14.5" hidden="1">
      <c r="A30" s="836"/>
      <c r="B30" s="835"/>
      <c r="C30" s="835"/>
      <c r="D30" s="835"/>
      <c r="E30" s="815"/>
      <c r="F30" s="816"/>
      <c r="G30" s="10"/>
      <c r="H30" s="821"/>
      <c r="I30" s="827"/>
      <c r="J30" s="830"/>
      <c r="K30" s="10"/>
      <c r="L30" s="995"/>
      <c r="M30" s="997"/>
      <c r="N30" s="1010"/>
      <c r="O30" s="997"/>
      <c r="P30" s="997"/>
      <c r="Q30" s="1110"/>
      <c r="R30" s="811"/>
      <c r="S30" s="10"/>
      <c r="T30" s="140" t="s">
        <v>565</v>
      </c>
      <c r="U30" s="131" t="s">
        <v>272</v>
      </c>
      <c r="V30" s="133" t="s">
        <v>747</v>
      </c>
      <c r="W30" s="793"/>
      <c r="X30" s="791"/>
      <c r="Y30" s="10"/>
      <c r="Z30" s="959"/>
      <c r="AA30"/>
    </row>
    <row r="31" spans="1:27" ht="43.5" hidden="1" customHeight="1">
      <c r="A31" s="95" t="s">
        <v>1053</v>
      </c>
      <c r="B31" s="89" t="s">
        <v>737</v>
      </c>
      <c r="C31" s="89" t="s">
        <v>1054</v>
      </c>
      <c r="D31" s="89" t="s">
        <v>917</v>
      </c>
      <c r="E31" s="160" t="s">
        <v>1293</v>
      </c>
      <c r="F31" s="13" t="s">
        <v>1056</v>
      </c>
      <c r="G31" s="11"/>
      <c r="H31" s="95" t="s">
        <v>1057</v>
      </c>
      <c r="I31" s="90" t="s">
        <v>753</v>
      </c>
      <c r="J31" s="160" t="s">
        <v>1058</v>
      </c>
      <c r="K31" s="11"/>
      <c r="L31" s="95" t="s">
        <v>268</v>
      </c>
      <c r="M31" s="89" t="s">
        <v>1059</v>
      </c>
      <c r="N31" s="90" t="s">
        <v>1060</v>
      </c>
      <c r="O31" s="89" t="s">
        <v>5</v>
      </c>
      <c r="P31" s="89" t="str">
        <f>'PDS - Desenvolvimento'!$K$115</f>
        <v>Concluído</v>
      </c>
      <c r="Q31" s="444">
        <v>45608</v>
      </c>
      <c r="R31" s="811"/>
      <c r="S31" s="11"/>
      <c r="T31" s="142" t="s">
        <v>565</v>
      </c>
      <c r="U31" s="90" t="s">
        <v>272</v>
      </c>
      <c r="V31" s="89" t="s">
        <v>757</v>
      </c>
      <c r="W31" s="90" t="s">
        <v>1294</v>
      </c>
      <c r="X31" s="96"/>
      <c r="Y31" s="11"/>
      <c r="Z31" s="26"/>
      <c r="AA31"/>
    </row>
    <row r="32" spans="1:27" ht="30" hidden="1" customHeight="1">
      <c r="A32" s="93" t="s">
        <v>1295</v>
      </c>
      <c r="B32" s="88" t="s">
        <v>260</v>
      </c>
      <c r="C32" s="88" t="s">
        <v>1296</v>
      </c>
      <c r="D32" s="88" t="s">
        <v>262</v>
      </c>
      <c r="E32" s="226" t="s">
        <v>1297</v>
      </c>
      <c r="F32" s="14" t="s">
        <v>1298</v>
      </c>
      <c r="G32" s="10"/>
      <c r="H32" s="109" t="s">
        <v>1299</v>
      </c>
      <c r="I32" s="102" t="s">
        <v>1300</v>
      </c>
      <c r="J32" s="110" t="s">
        <v>1301</v>
      </c>
      <c r="K32" s="10"/>
      <c r="L32" s="167" t="s">
        <v>268</v>
      </c>
      <c r="M32" s="164" t="s">
        <v>1302</v>
      </c>
      <c r="N32" s="353" t="s">
        <v>1303</v>
      </c>
      <c r="O32" s="122" t="s">
        <v>5</v>
      </c>
      <c r="P32" s="122" t="str">
        <f>'PDS - Desenvolvimento'!$K$117</f>
        <v>Concluído</v>
      </c>
      <c r="Q32" s="467">
        <v>45608</v>
      </c>
      <c r="R32" s="326" t="s">
        <v>5</v>
      </c>
      <c r="S32" s="10"/>
      <c r="T32" s="140" t="s">
        <v>1304</v>
      </c>
      <c r="U32" s="131" t="s">
        <v>272</v>
      </c>
      <c r="V32" s="133" t="s">
        <v>1305</v>
      </c>
      <c r="W32" s="131" t="s">
        <v>1306</v>
      </c>
      <c r="X32" s="141"/>
      <c r="Y32" s="10"/>
      <c r="Z32" s="25"/>
      <c r="AA32"/>
    </row>
    <row r="33" spans="1:27" ht="58.5" hidden="1" customHeight="1">
      <c r="A33" s="95" t="s">
        <v>1307</v>
      </c>
      <c r="B33" s="89" t="s">
        <v>260</v>
      </c>
      <c r="C33" s="89" t="s">
        <v>1308</v>
      </c>
      <c r="D33" s="89" t="s">
        <v>262</v>
      </c>
      <c r="E33" s="160" t="s">
        <v>1309</v>
      </c>
      <c r="F33" s="13" t="s">
        <v>1310</v>
      </c>
      <c r="G33" s="11"/>
      <c r="H33" s="95" t="s">
        <v>1311</v>
      </c>
      <c r="I33" s="90" t="s">
        <v>1312</v>
      </c>
      <c r="J33" s="96" t="s">
        <v>1313</v>
      </c>
      <c r="K33" s="11"/>
      <c r="L33" s="95" t="s">
        <v>268</v>
      </c>
      <c r="M33" s="89" t="s">
        <v>1314</v>
      </c>
      <c r="N33" s="90" t="s">
        <v>1315</v>
      </c>
      <c r="O33" s="89" t="s">
        <v>5</v>
      </c>
      <c r="P33" s="89" t="str">
        <f>'PDS - Desenvolvimento'!$K$129</f>
        <v>Concluído</v>
      </c>
      <c r="Q33" s="444">
        <v>45608</v>
      </c>
      <c r="R33" s="318" t="s">
        <v>5</v>
      </c>
      <c r="S33" s="11"/>
      <c r="T33" s="142" t="s">
        <v>1304</v>
      </c>
      <c r="U33" s="90" t="s">
        <v>272</v>
      </c>
      <c r="V33" s="89" t="s">
        <v>1316</v>
      </c>
      <c r="W33" s="90" t="s">
        <v>1317</v>
      </c>
      <c r="X33" s="96"/>
      <c r="Y33" s="11"/>
      <c r="Z33" s="26"/>
      <c r="AA33"/>
    </row>
    <row r="34" spans="1:27" ht="81.75" customHeight="1">
      <c r="A34" s="93" t="s">
        <v>1318</v>
      </c>
      <c r="B34" s="88" t="s">
        <v>260</v>
      </c>
      <c r="C34" s="88" t="s">
        <v>1319</v>
      </c>
      <c r="D34" s="88" t="s">
        <v>262</v>
      </c>
      <c r="E34" s="226" t="s">
        <v>1320</v>
      </c>
      <c r="F34" s="14" t="s">
        <v>1321</v>
      </c>
      <c r="G34" s="10"/>
      <c r="H34" s="113" t="s">
        <v>50</v>
      </c>
      <c r="I34" s="101" t="s">
        <v>50</v>
      </c>
      <c r="J34" s="115" t="s">
        <v>50</v>
      </c>
      <c r="K34" s="10"/>
      <c r="L34" s="167" t="s">
        <v>284</v>
      </c>
      <c r="M34" s="164" t="s">
        <v>1322</v>
      </c>
      <c r="N34" s="357" t="s">
        <v>1323</v>
      </c>
      <c r="O34" s="122" t="s">
        <v>5</v>
      </c>
      <c r="P34" s="122" t="str">
        <f>'PDS - Desenvolvimento'!$K$133</f>
        <v>Concluído</v>
      </c>
      <c r="Q34" s="329"/>
      <c r="R34" s="326" t="s">
        <v>5</v>
      </c>
      <c r="S34" s="10"/>
      <c r="T34" s="140" t="s">
        <v>1324</v>
      </c>
      <c r="U34" s="131" t="s">
        <v>272</v>
      </c>
      <c r="V34" s="133" t="s">
        <v>1325</v>
      </c>
      <c r="W34" s="131" t="s">
        <v>1326</v>
      </c>
      <c r="X34" s="141"/>
      <c r="Y34" s="10"/>
      <c r="Z34" s="27" t="s">
        <v>1327</v>
      </c>
      <c r="AA34"/>
    </row>
    <row r="35" spans="1:27" ht="157.5" hidden="1" customHeight="1">
      <c r="A35" s="95" t="s">
        <v>1328</v>
      </c>
      <c r="B35" s="89" t="s">
        <v>260</v>
      </c>
      <c r="C35" s="89" t="s">
        <v>1329</v>
      </c>
      <c r="D35" s="89" t="s">
        <v>262</v>
      </c>
      <c r="E35" s="96" t="s">
        <v>1330</v>
      </c>
      <c r="F35" s="13" t="s">
        <v>1331</v>
      </c>
      <c r="H35" s="193" t="s">
        <v>50</v>
      </c>
      <c r="I35" s="89" t="s">
        <v>50</v>
      </c>
      <c r="J35" s="145" t="s">
        <v>50</v>
      </c>
      <c r="L35" s="95" t="s">
        <v>284</v>
      </c>
      <c r="M35" s="89" t="s">
        <v>1332</v>
      </c>
      <c r="N35" s="349" t="s">
        <v>1333</v>
      </c>
      <c r="O35" s="89" t="s">
        <v>5</v>
      </c>
      <c r="P35" s="89" t="str">
        <f>'PDS - Desenvolvimento'!$K$134</f>
        <v>Concluído</v>
      </c>
      <c r="Q35" s="145"/>
      <c r="R35" s="326" t="s">
        <v>406</v>
      </c>
      <c r="T35" s="142" t="s">
        <v>1324</v>
      </c>
      <c r="U35" s="90" t="s">
        <v>272</v>
      </c>
      <c r="V35" s="89" t="s">
        <v>1325</v>
      </c>
      <c r="W35" s="90" t="s">
        <v>1326</v>
      </c>
      <c r="X35" s="96"/>
      <c r="Z35" s="254" t="s">
        <v>1327</v>
      </c>
      <c r="AA35"/>
    </row>
    <row r="36" spans="1:27" ht="154.5" hidden="1" customHeight="1">
      <c r="A36" s="93" t="s">
        <v>1334</v>
      </c>
      <c r="B36" s="88" t="s">
        <v>260</v>
      </c>
      <c r="C36" s="88" t="s">
        <v>1335</v>
      </c>
      <c r="D36" s="88" t="s">
        <v>262</v>
      </c>
      <c r="E36" s="226" t="s">
        <v>1336</v>
      </c>
      <c r="F36" s="14" t="s">
        <v>1337</v>
      </c>
      <c r="G36" s="10"/>
      <c r="H36" s="113" t="s">
        <v>50</v>
      </c>
      <c r="I36" s="101" t="s">
        <v>50</v>
      </c>
      <c r="J36" s="115" t="s">
        <v>50</v>
      </c>
      <c r="K36" s="10"/>
      <c r="L36" s="167" t="s">
        <v>284</v>
      </c>
      <c r="M36" s="164" t="s">
        <v>1338</v>
      </c>
      <c r="N36" s="357" t="s">
        <v>1339</v>
      </c>
      <c r="O36" s="122" t="s">
        <v>5</v>
      </c>
      <c r="P36" s="122" t="str">
        <f>'PDS - Desenvolvimento'!$K$135</f>
        <v>Concluído</v>
      </c>
      <c r="Q36" s="329"/>
      <c r="R36" s="321" t="s">
        <v>406</v>
      </c>
      <c r="S36" s="10"/>
      <c r="T36" s="140" t="s">
        <v>1324</v>
      </c>
      <c r="U36" s="131" t="s">
        <v>272</v>
      </c>
      <c r="V36" s="133" t="s">
        <v>1325</v>
      </c>
      <c r="W36" s="131" t="s">
        <v>1326</v>
      </c>
      <c r="X36" s="141"/>
      <c r="Y36" s="10"/>
      <c r="Z36" s="27" t="s">
        <v>1327</v>
      </c>
      <c r="AA36"/>
    </row>
    <row r="37" spans="1:27" ht="70.5" hidden="1" customHeight="1">
      <c r="A37" s="95" t="s">
        <v>1340</v>
      </c>
      <c r="B37" s="89" t="s">
        <v>260</v>
      </c>
      <c r="C37" s="89" t="s">
        <v>1341</v>
      </c>
      <c r="D37" s="89" t="s">
        <v>262</v>
      </c>
      <c r="E37" s="96" t="s">
        <v>1342</v>
      </c>
      <c r="F37" s="13" t="s">
        <v>1343</v>
      </c>
      <c r="G37" s="11"/>
      <c r="H37" s="95" t="s">
        <v>1344</v>
      </c>
      <c r="I37" s="90" t="s">
        <v>1345</v>
      </c>
      <c r="J37" s="96" t="s">
        <v>1345</v>
      </c>
      <c r="K37" s="11"/>
      <c r="L37" s="111" t="s">
        <v>268</v>
      </c>
      <c r="M37" s="103" t="s">
        <v>1346</v>
      </c>
      <c r="N37" s="106" t="s">
        <v>1347</v>
      </c>
      <c r="O37" s="89" t="s">
        <v>5</v>
      </c>
      <c r="P37" s="89" t="str">
        <f>'PDS - Desenvolvimento'!$K$118</f>
        <v>Concluído</v>
      </c>
      <c r="Q37" s="458">
        <v>45608</v>
      </c>
      <c r="R37" s="320" t="s">
        <v>406</v>
      </c>
      <c r="S37" s="11"/>
      <c r="T37" s="142" t="s">
        <v>1304</v>
      </c>
      <c r="U37" s="90" t="s">
        <v>272</v>
      </c>
      <c r="V37" s="89" t="s">
        <v>1348</v>
      </c>
      <c r="W37" s="90" t="s">
        <v>1349</v>
      </c>
      <c r="X37" s="96"/>
      <c r="Y37" s="11"/>
      <c r="Z37" s="26"/>
      <c r="AA37"/>
    </row>
    <row r="38" spans="1:27" ht="206.25" hidden="1" customHeight="1">
      <c r="A38" s="93" t="s">
        <v>1350</v>
      </c>
      <c r="B38" s="88" t="s">
        <v>1351</v>
      </c>
      <c r="C38" s="88" t="s">
        <v>1352</v>
      </c>
      <c r="D38" s="88" t="s">
        <v>262</v>
      </c>
      <c r="E38" s="94" t="s">
        <v>1353</v>
      </c>
      <c r="F38" s="14" t="s">
        <v>1353</v>
      </c>
      <c r="G38" s="10"/>
      <c r="H38" s="113" t="s">
        <v>50</v>
      </c>
      <c r="I38" s="105" t="s">
        <v>50</v>
      </c>
      <c r="J38" s="114" t="s">
        <v>50</v>
      </c>
      <c r="K38" s="10"/>
      <c r="L38" s="169" t="s">
        <v>284</v>
      </c>
      <c r="M38" s="166" t="s">
        <v>1354</v>
      </c>
      <c r="N38" s="358" t="s">
        <v>1355</v>
      </c>
      <c r="O38" s="166" t="s">
        <v>5</v>
      </c>
      <c r="P38" s="166" t="str">
        <f>'PDS - Desenvolvimento'!$K$136</f>
        <v>Concluído</v>
      </c>
      <c r="Q38" s="199"/>
      <c r="R38" s="326" t="s">
        <v>5</v>
      </c>
      <c r="S38" s="10"/>
      <c r="T38" s="140" t="s">
        <v>1356</v>
      </c>
      <c r="U38" s="131" t="s">
        <v>1357</v>
      </c>
      <c r="V38" s="133" t="s">
        <v>1358</v>
      </c>
      <c r="W38" s="131" t="s">
        <v>1359</v>
      </c>
      <c r="X38" s="141"/>
      <c r="Y38" s="10"/>
      <c r="Z38" s="27" t="s">
        <v>1327</v>
      </c>
      <c r="AA38"/>
    </row>
    <row r="39" spans="1:27" ht="78.75" hidden="1" customHeight="1">
      <c r="A39" s="95" t="s">
        <v>1360</v>
      </c>
      <c r="B39" s="89" t="s">
        <v>1351</v>
      </c>
      <c r="C39" s="89" t="s">
        <v>1361</v>
      </c>
      <c r="D39" s="89" t="s">
        <v>262</v>
      </c>
      <c r="E39" s="96" t="s">
        <v>1362</v>
      </c>
      <c r="F39" s="13" t="s">
        <v>1363</v>
      </c>
      <c r="G39" s="11"/>
      <c r="H39" s="193" t="s">
        <v>50</v>
      </c>
      <c r="I39" s="189" t="s">
        <v>50</v>
      </c>
      <c r="J39" s="194" t="s">
        <v>50</v>
      </c>
      <c r="K39" s="11"/>
      <c r="L39" s="95" t="s">
        <v>284</v>
      </c>
      <c r="M39" s="89" t="s">
        <v>1364</v>
      </c>
      <c r="N39" s="349" t="s">
        <v>1365</v>
      </c>
      <c r="O39" s="89" t="s">
        <v>5</v>
      </c>
      <c r="P39" s="89" t="str">
        <f>'PDS - Desenvolvimento'!$K$137</f>
        <v>Concluído</v>
      </c>
      <c r="Q39" s="145"/>
      <c r="R39" s="320" t="s">
        <v>287</v>
      </c>
      <c r="S39" s="11"/>
      <c r="T39" s="142" t="s">
        <v>1356</v>
      </c>
      <c r="U39" s="90" t="s">
        <v>1357</v>
      </c>
      <c r="V39" s="89" t="s">
        <v>1366</v>
      </c>
      <c r="W39" s="90" t="s">
        <v>1367</v>
      </c>
      <c r="X39" s="96"/>
      <c r="Y39" s="11"/>
      <c r="Z39" s="27" t="s">
        <v>1327</v>
      </c>
      <c r="AA39"/>
    </row>
    <row r="40" spans="1:27" ht="76.5" hidden="1" customHeight="1">
      <c r="A40" s="93" t="s">
        <v>1368</v>
      </c>
      <c r="B40" s="88" t="s">
        <v>1351</v>
      </c>
      <c r="C40" s="88" t="s">
        <v>1369</v>
      </c>
      <c r="D40" s="88" t="s">
        <v>262</v>
      </c>
      <c r="E40" s="94" t="s">
        <v>1370</v>
      </c>
      <c r="F40" s="14" t="s">
        <v>1371</v>
      </c>
      <c r="G40" s="10"/>
      <c r="H40" s="113" t="s">
        <v>50</v>
      </c>
      <c r="I40" s="105" t="s">
        <v>50</v>
      </c>
      <c r="J40" s="114" t="s">
        <v>50</v>
      </c>
      <c r="K40" s="10"/>
      <c r="L40" s="167" t="s">
        <v>268</v>
      </c>
      <c r="M40" s="164" t="s">
        <v>1372</v>
      </c>
      <c r="N40" s="357" t="s">
        <v>1373</v>
      </c>
      <c r="O40" s="164" t="s">
        <v>5</v>
      </c>
      <c r="P40" s="164" t="str">
        <f>'PDS - Desenvolvimento'!$K$128</f>
        <v>Concluído</v>
      </c>
      <c r="Q40" s="467">
        <v>45608</v>
      </c>
      <c r="R40" s="326" t="s">
        <v>287</v>
      </c>
      <c r="S40" s="10"/>
      <c r="T40" s="140" t="s">
        <v>1356</v>
      </c>
      <c r="U40" s="131" t="s">
        <v>1357</v>
      </c>
      <c r="V40" s="133" t="s">
        <v>1374</v>
      </c>
      <c r="W40" s="131" t="s">
        <v>1375</v>
      </c>
      <c r="X40" s="141"/>
      <c r="Y40" s="10"/>
      <c r="Z40" s="27" t="s">
        <v>1327</v>
      </c>
      <c r="AA40"/>
    </row>
    <row r="41" spans="1:27" ht="135" hidden="1" customHeight="1">
      <c r="A41" s="95" t="s">
        <v>1376</v>
      </c>
      <c r="B41" s="89" t="s">
        <v>1351</v>
      </c>
      <c r="C41" s="89" t="s">
        <v>1377</v>
      </c>
      <c r="D41" s="89" t="s">
        <v>262</v>
      </c>
      <c r="E41" s="96" t="s">
        <v>1378</v>
      </c>
      <c r="F41" s="13" t="s">
        <v>1379</v>
      </c>
      <c r="G41" s="11"/>
      <c r="H41" s="193" t="s">
        <v>50</v>
      </c>
      <c r="I41" s="189" t="s">
        <v>50</v>
      </c>
      <c r="J41" s="194" t="s">
        <v>50</v>
      </c>
      <c r="K41" s="11"/>
      <c r="L41" s="111" t="s">
        <v>284</v>
      </c>
      <c r="M41" s="103" t="s">
        <v>1380</v>
      </c>
      <c r="N41" s="363" t="s">
        <v>1381</v>
      </c>
      <c r="O41" s="103" t="s">
        <v>5</v>
      </c>
      <c r="P41" s="103" t="str">
        <f>'PDS - Desenvolvimento'!$K$138</f>
        <v>Concluído</v>
      </c>
      <c r="Q41" s="116"/>
      <c r="R41" s="327" t="s">
        <v>287</v>
      </c>
      <c r="S41" s="11"/>
      <c r="T41" s="95" t="s">
        <v>422</v>
      </c>
      <c r="U41" s="89" t="s">
        <v>422</v>
      </c>
      <c r="V41" s="89" t="s">
        <v>422</v>
      </c>
      <c r="W41" s="89" t="s">
        <v>422</v>
      </c>
      <c r="X41" s="145" t="s">
        <v>422</v>
      </c>
      <c r="Y41" s="11"/>
      <c r="Z41" s="26"/>
      <c r="AA41"/>
    </row>
    <row r="42" spans="1:27" ht="104.25" hidden="1" customHeight="1">
      <c r="A42" s="93" t="s">
        <v>1382</v>
      </c>
      <c r="B42" s="88" t="s">
        <v>1351</v>
      </c>
      <c r="C42" s="88" t="s">
        <v>1383</v>
      </c>
      <c r="D42" s="88" t="s">
        <v>294</v>
      </c>
      <c r="E42" s="94" t="s">
        <v>1384</v>
      </c>
      <c r="F42" s="14" t="s">
        <v>1385</v>
      </c>
      <c r="G42" s="10"/>
      <c r="H42" s="109" t="s">
        <v>1386</v>
      </c>
      <c r="I42" s="102" t="s">
        <v>1387</v>
      </c>
      <c r="J42" s="110" t="s">
        <v>1388</v>
      </c>
      <c r="K42" s="10"/>
      <c r="L42" s="323" t="s">
        <v>268</v>
      </c>
      <c r="M42" s="242" t="s">
        <v>1389</v>
      </c>
      <c r="N42" s="362" t="s">
        <v>1390</v>
      </c>
      <c r="O42" s="242" t="s">
        <v>5</v>
      </c>
      <c r="P42" s="242" t="str">
        <f>'PDS - Desenvolvimento'!$K$114</f>
        <v>Concluído</v>
      </c>
      <c r="Q42" s="329"/>
      <c r="R42" s="321" t="s">
        <v>299</v>
      </c>
      <c r="S42" s="10"/>
      <c r="T42" s="140" t="s">
        <v>1391</v>
      </c>
      <c r="U42" s="131"/>
      <c r="V42" s="133" t="s">
        <v>1392</v>
      </c>
      <c r="W42" s="131" t="s">
        <v>1393</v>
      </c>
      <c r="X42" s="141"/>
      <c r="Y42" s="10"/>
      <c r="Z42" s="27" t="s">
        <v>1327</v>
      </c>
      <c r="AA42"/>
    </row>
    <row r="43" spans="1:27" ht="288" hidden="1" customHeight="1">
      <c r="A43" s="95" t="s">
        <v>1394</v>
      </c>
      <c r="B43" s="89" t="s">
        <v>1038</v>
      </c>
      <c r="C43" s="89" t="s">
        <v>1395</v>
      </c>
      <c r="D43" s="89" t="s">
        <v>294</v>
      </c>
      <c r="E43" s="96" t="s">
        <v>1396</v>
      </c>
      <c r="F43" s="13" t="s">
        <v>1397</v>
      </c>
      <c r="H43" s="193" t="s">
        <v>50</v>
      </c>
      <c r="I43" s="189" t="s">
        <v>50</v>
      </c>
      <c r="J43" s="194" t="s">
        <v>50</v>
      </c>
      <c r="L43" s="710" t="s">
        <v>284</v>
      </c>
      <c r="M43" s="711" t="s">
        <v>1398</v>
      </c>
      <c r="N43" s="712" t="s">
        <v>1399</v>
      </c>
      <c r="O43" s="89" t="s">
        <v>5</v>
      </c>
      <c r="P43" s="89" t="str">
        <f>'PDS - Desenvolvimento'!$K$139</f>
        <v>Concluído</v>
      </c>
      <c r="Q43" s="713"/>
      <c r="R43" s="326" t="s">
        <v>5</v>
      </c>
      <c r="T43" s="142" t="s">
        <v>1304</v>
      </c>
      <c r="U43" s="90" t="s">
        <v>272</v>
      </c>
      <c r="V43" s="89" t="s">
        <v>1400</v>
      </c>
      <c r="W43" s="90" t="s">
        <v>1401</v>
      </c>
      <c r="X43" s="96"/>
      <c r="Z43" s="254"/>
      <c r="AA43"/>
    </row>
    <row r="44" spans="1:27" ht="14.5" hidden="1" customHeight="1">
      <c r="A44" s="836" t="s">
        <v>1402</v>
      </c>
      <c r="B44" s="835" t="s">
        <v>1038</v>
      </c>
      <c r="C44" s="835" t="s">
        <v>1403</v>
      </c>
      <c r="D44" s="835" t="s">
        <v>294</v>
      </c>
      <c r="E44" s="912" t="s">
        <v>1404</v>
      </c>
      <c r="F44" s="816" t="s">
        <v>1405</v>
      </c>
      <c r="G44" s="10"/>
      <c r="H44" s="872" t="s">
        <v>50</v>
      </c>
      <c r="I44" s="856" t="s">
        <v>50</v>
      </c>
      <c r="J44" s="858" t="s">
        <v>50</v>
      </c>
      <c r="K44" s="10"/>
      <c r="L44" s="898" t="s">
        <v>284</v>
      </c>
      <c r="M44" s="900" t="s">
        <v>1406</v>
      </c>
      <c r="N44" s="1097" t="s">
        <v>1407</v>
      </c>
      <c r="O44" s="900" t="s">
        <v>5</v>
      </c>
      <c r="P44" s="784" t="str">
        <f>'PDS - Desenvolvimento'!$K$140</f>
        <v>Concluído</v>
      </c>
      <c r="Q44" s="1085">
        <v>45674</v>
      </c>
      <c r="R44" s="326" t="s">
        <v>299</v>
      </c>
      <c r="S44" s="10"/>
      <c r="T44" s="798" t="s">
        <v>300</v>
      </c>
      <c r="U44" s="793" t="s">
        <v>1408</v>
      </c>
      <c r="V44" s="133" t="s">
        <v>302</v>
      </c>
      <c r="W44" s="793" t="s">
        <v>1409</v>
      </c>
      <c r="X44" s="791" t="s">
        <v>385</v>
      </c>
      <c r="Y44" s="10"/>
      <c r="Z44" s="28"/>
      <c r="AA44"/>
    </row>
    <row r="45" spans="1:27" ht="14.5" hidden="1">
      <c r="A45" s="836"/>
      <c r="B45" s="835"/>
      <c r="C45" s="835"/>
      <c r="D45" s="835"/>
      <c r="E45" s="912"/>
      <c r="F45" s="816"/>
      <c r="G45" s="10"/>
      <c r="H45" s="821"/>
      <c r="I45" s="857"/>
      <c r="J45" s="859"/>
      <c r="K45" s="10"/>
      <c r="L45" s="898"/>
      <c r="M45" s="900"/>
      <c r="N45" s="1097"/>
      <c r="O45" s="900"/>
      <c r="P45" s="784"/>
      <c r="Q45" s="910"/>
      <c r="R45" s="1084" t="s">
        <v>299</v>
      </c>
      <c r="S45" s="10"/>
      <c r="T45" s="798"/>
      <c r="U45" s="793"/>
      <c r="V45" s="133" t="s">
        <v>304</v>
      </c>
      <c r="W45" s="793"/>
      <c r="X45" s="791"/>
      <c r="Y45" s="10"/>
      <c r="Z45" s="29"/>
      <c r="AA45"/>
    </row>
    <row r="46" spans="1:27" ht="200.25" hidden="1" customHeight="1">
      <c r="A46" s="836"/>
      <c r="B46" s="835"/>
      <c r="C46" s="835"/>
      <c r="D46" s="835"/>
      <c r="E46" s="912"/>
      <c r="F46" s="816"/>
      <c r="G46" s="10"/>
      <c r="H46" s="821"/>
      <c r="I46" s="857"/>
      <c r="J46" s="859"/>
      <c r="K46" s="10"/>
      <c r="L46" s="898"/>
      <c r="M46" s="900"/>
      <c r="N46" s="1097"/>
      <c r="O46" s="900"/>
      <c r="P46" s="784"/>
      <c r="Q46" s="910"/>
      <c r="R46" s="1084"/>
      <c r="S46" s="10"/>
      <c r="T46" s="140" t="s">
        <v>1304</v>
      </c>
      <c r="U46" s="131" t="s">
        <v>272</v>
      </c>
      <c r="V46" s="133" t="s">
        <v>1410</v>
      </c>
      <c r="W46" s="793"/>
      <c r="X46" s="791"/>
      <c r="Y46" s="10"/>
      <c r="Z46" s="30"/>
      <c r="AA46"/>
    </row>
    <row r="47" spans="1:27" ht="71.5" hidden="1" customHeight="1">
      <c r="A47" s="95" t="s">
        <v>1411</v>
      </c>
      <c r="B47" s="89" t="s">
        <v>1038</v>
      </c>
      <c r="C47" s="89" t="s">
        <v>1412</v>
      </c>
      <c r="D47" s="89" t="s">
        <v>294</v>
      </c>
      <c r="E47" s="160" t="s">
        <v>1413</v>
      </c>
      <c r="F47" s="13" t="s">
        <v>1414</v>
      </c>
      <c r="G47" s="11"/>
      <c r="H47" s="95" t="s">
        <v>1415</v>
      </c>
      <c r="I47" s="90" t="s">
        <v>1416</v>
      </c>
      <c r="J47" s="160" t="s">
        <v>1417</v>
      </c>
      <c r="K47" s="11"/>
      <c r="L47" s="95" t="s">
        <v>268</v>
      </c>
      <c r="M47" s="89" t="s">
        <v>1418</v>
      </c>
      <c r="N47" s="90" t="s">
        <v>1419</v>
      </c>
      <c r="O47" s="89" t="s">
        <v>5</v>
      </c>
      <c r="P47" s="89" t="str">
        <f>'PDS - Desenvolvimento'!$K$121</f>
        <v>Concluído</v>
      </c>
      <c r="Q47" s="520" t="s">
        <v>1420</v>
      </c>
      <c r="R47" s="1084"/>
      <c r="S47" s="11"/>
      <c r="T47" s="142" t="s">
        <v>1304</v>
      </c>
      <c r="U47" s="90" t="s">
        <v>272</v>
      </c>
      <c r="V47" s="89" t="s">
        <v>1421</v>
      </c>
      <c r="W47" s="90" t="s">
        <v>1422</v>
      </c>
      <c r="X47" s="96"/>
      <c r="Y47" s="11"/>
      <c r="Z47" s="26"/>
      <c r="AA47"/>
    </row>
    <row r="48" spans="1:27" ht="14.5" hidden="1">
      <c r="A48" s="836" t="s">
        <v>1423</v>
      </c>
      <c r="B48" s="835" t="s">
        <v>958</v>
      </c>
      <c r="C48" s="835" t="s">
        <v>1424</v>
      </c>
      <c r="D48" s="835" t="s">
        <v>294</v>
      </c>
      <c r="E48" s="815" t="s">
        <v>1425</v>
      </c>
      <c r="F48" s="816" t="s">
        <v>1426</v>
      </c>
      <c r="G48" s="10"/>
      <c r="H48" s="821" t="s">
        <v>1427</v>
      </c>
      <c r="I48" s="827" t="s">
        <v>1428</v>
      </c>
      <c r="J48" s="830" t="s">
        <v>1429</v>
      </c>
      <c r="K48" s="10"/>
      <c r="L48" s="995" t="s">
        <v>268</v>
      </c>
      <c r="M48" s="997" t="s">
        <v>1430</v>
      </c>
      <c r="N48" s="1010" t="s">
        <v>1431</v>
      </c>
      <c r="O48" s="997" t="s">
        <v>5</v>
      </c>
      <c r="P48" s="997" t="str">
        <f>'PDS - Desenvolvimento'!$K$125</f>
        <v>Concluído</v>
      </c>
      <c r="Q48" s="1110"/>
      <c r="R48" s="326" t="s">
        <v>5</v>
      </c>
      <c r="S48" s="10"/>
      <c r="T48" s="798" t="s">
        <v>300</v>
      </c>
      <c r="U48" s="793" t="s">
        <v>1432</v>
      </c>
      <c r="V48" s="133" t="s">
        <v>302</v>
      </c>
      <c r="W48" s="793" t="s">
        <v>1433</v>
      </c>
      <c r="X48" s="791" t="s">
        <v>385</v>
      </c>
      <c r="Y48" s="10"/>
      <c r="Z48" s="958"/>
      <c r="AA48"/>
    </row>
    <row r="49" spans="1:27" ht="14.5" hidden="1">
      <c r="A49" s="836"/>
      <c r="B49" s="835"/>
      <c r="C49" s="835"/>
      <c r="D49" s="835"/>
      <c r="E49" s="815"/>
      <c r="F49" s="816"/>
      <c r="G49" s="10"/>
      <c r="H49" s="821"/>
      <c r="I49" s="827"/>
      <c r="J49" s="830"/>
      <c r="K49" s="10"/>
      <c r="L49" s="995"/>
      <c r="M49" s="997"/>
      <c r="N49" s="1010"/>
      <c r="O49" s="997"/>
      <c r="P49" s="997"/>
      <c r="Q49" s="1110"/>
      <c r="R49" s="1084" t="s">
        <v>5</v>
      </c>
      <c r="S49" s="10"/>
      <c r="T49" s="798"/>
      <c r="U49" s="793"/>
      <c r="V49" s="133" t="s">
        <v>304</v>
      </c>
      <c r="W49" s="793"/>
      <c r="X49" s="791"/>
      <c r="Y49" s="10"/>
      <c r="Z49" s="1106"/>
      <c r="AA49"/>
    </row>
    <row r="50" spans="1:27" ht="14.5" hidden="1">
      <c r="A50" s="836"/>
      <c r="B50" s="835"/>
      <c r="C50" s="835"/>
      <c r="D50" s="835"/>
      <c r="E50" s="815"/>
      <c r="F50" s="816"/>
      <c r="G50" s="10"/>
      <c r="H50" s="821"/>
      <c r="I50" s="827"/>
      <c r="J50" s="830"/>
      <c r="K50" s="10"/>
      <c r="L50" s="995"/>
      <c r="M50" s="997"/>
      <c r="N50" s="1010"/>
      <c r="O50" s="997"/>
      <c r="P50" s="997"/>
      <c r="Q50" s="1110"/>
      <c r="R50" s="1084"/>
      <c r="S50" s="10"/>
      <c r="T50" s="140" t="s">
        <v>382</v>
      </c>
      <c r="U50" s="131" t="s">
        <v>272</v>
      </c>
      <c r="V50" s="133" t="s">
        <v>1434</v>
      </c>
      <c r="W50" s="793"/>
      <c r="X50" s="791"/>
      <c r="Y50" s="10"/>
      <c r="Z50" s="959"/>
      <c r="AA50"/>
    </row>
    <row r="51" spans="1:27" ht="112.5" hidden="1" customHeight="1">
      <c r="A51" s="95" t="s">
        <v>1435</v>
      </c>
      <c r="B51" s="89" t="s">
        <v>958</v>
      </c>
      <c r="C51" s="89" t="s">
        <v>1436</v>
      </c>
      <c r="D51" s="89" t="s">
        <v>917</v>
      </c>
      <c r="E51" s="160" t="s">
        <v>1437</v>
      </c>
      <c r="F51" s="13" t="s">
        <v>1438</v>
      </c>
      <c r="G51" s="11"/>
      <c r="H51" s="95" t="s">
        <v>1439</v>
      </c>
      <c r="I51" s="90" t="s">
        <v>1440</v>
      </c>
      <c r="J51" s="160" t="s">
        <v>1441</v>
      </c>
      <c r="K51" s="11"/>
      <c r="L51" s="95" t="s">
        <v>268</v>
      </c>
      <c r="M51" s="89" t="s">
        <v>1442</v>
      </c>
      <c r="N51" s="90" t="s">
        <v>1443</v>
      </c>
      <c r="O51" s="89" t="s">
        <v>5</v>
      </c>
      <c r="P51" s="89" t="str">
        <f>'PDS - Desenvolvimento'!$K$116</f>
        <v>Concluído</v>
      </c>
      <c r="Q51" s="444">
        <v>45608</v>
      </c>
      <c r="R51" s="1084"/>
      <c r="S51" s="11"/>
      <c r="T51" s="142" t="s">
        <v>382</v>
      </c>
      <c r="U51" s="90" t="s">
        <v>272</v>
      </c>
      <c r="V51" s="89" t="s">
        <v>1444</v>
      </c>
      <c r="W51" s="90" t="s">
        <v>1445</v>
      </c>
      <c r="X51" s="96"/>
      <c r="Y51" s="11"/>
      <c r="Z51" s="26"/>
      <c r="AA51"/>
    </row>
    <row r="52" spans="1:27" ht="14.5" hidden="1" customHeight="1">
      <c r="A52" s="836" t="s">
        <v>1446</v>
      </c>
      <c r="B52" s="835" t="s">
        <v>1038</v>
      </c>
      <c r="C52" s="835" t="s">
        <v>1447</v>
      </c>
      <c r="D52" s="835" t="s">
        <v>294</v>
      </c>
      <c r="E52" s="815" t="s">
        <v>1448</v>
      </c>
      <c r="F52" s="816" t="s">
        <v>1449</v>
      </c>
      <c r="G52" s="10"/>
      <c r="H52" s="821" t="s">
        <v>1450</v>
      </c>
      <c r="I52" s="827" t="s">
        <v>1451</v>
      </c>
      <c r="J52" s="830" t="s">
        <v>1452</v>
      </c>
      <c r="K52" s="10"/>
      <c r="L52" s="995" t="s">
        <v>268</v>
      </c>
      <c r="M52" s="997" t="s">
        <v>1453</v>
      </c>
      <c r="N52" s="1010" t="s">
        <v>1454</v>
      </c>
      <c r="O52" s="997" t="s">
        <v>5</v>
      </c>
      <c r="P52" s="997" t="str">
        <f>'PDS - Desenvolvimento'!$K$122</f>
        <v>Concluído</v>
      </c>
      <c r="Q52" s="1110"/>
      <c r="R52" s="326" t="s">
        <v>5</v>
      </c>
      <c r="S52" s="10"/>
      <c r="T52" s="798" t="s">
        <v>300</v>
      </c>
      <c r="U52" s="793" t="s">
        <v>1455</v>
      </c>
      <c r="V52" s="133" t="s">
        <v>302</v>
      </c>
      <c r="W52" s="793" t="s">
        <v>1456</v>
      </c>
      <c r="X52" s="791" t="s">
        <v>385</v>
      </c>
      <c r="Y52" s="10"/>
      <c r="Z52" s="28"/>
      <c r="AA52"/>
    </row>
    <row r="53" spans="1:27" ht="14.5" hidden="1">
      <c r="A53" s="836"/>
      <c r="B53" s="835"/>
      <c r="C53" s="835"/>
      <c r="D53" s="835"/>
      <c r="E53" s="815"/>
      <c r="F53" s="816"/>
      <c r="G53" s="10"/>
      <c r="H53" s="821"/>
      <c r="I53" s="827"/>
      <c r="J53" s="830"/>
      <c r="K53" s="10"/>
      <c r="L53" s="995"/>
      <c r="M53" s="997"/>
      <c r="N53" s="1010"/>
      <c r="O53" s="997"/>
      <c r="P53" s="997"/>
      <c r="Q53" s="1110"/>
      <c r="R53" s="1084" t="s">
        <v>5</v>
      </c>
      <c r="S53" s="10"/>
      <c r="T53" s="798"/>
      <c r="U53" s="793"/>
      <c r="V53" s="133" t="s">
        <v>304</v>
      </c>
      <c r="W53" s="793"/>
      <c r="X53" s="791"/>
      <c r="Y53" s="10"/>
      <c r="Z53" s="29"/>
      <c r="AA53"/>
    </row>
    <row r="54" spans="1:27" ht="90.75" hidden="1" customHeight="1">
      <c r="A54" s="836"/>
      <c r="B54" s="835"/>
      <c r="C54" s="835"/>
      <c r="D54" s="835"/>
      <c r="E54" s="815"/>
      <c r="F54" s="816"/>
      <c r="G54" s="10"/>
      <c r="H54" s="821"/>
      <c r="I54" s="827"/>
      <c r="J54" s="830"/>
      <c r="K54" s="10"/>
      <c r="L54" s="995"/>
      <c r="M54" s="997"/>
      <c r="N54" s="1010"/>
      <c r="O54" s="997"/>
      <c r="P54" s="997"/>
      <c r="Q54" s="1110"/>
      <c r="R54" s="1084"/>
      <c r="S54" s="10"/>
      <c r="T54" s="140" t="s">
        <v>382</v>
      </c>
      <c r="U54" s="131" t="s">
        <v>272</v>
      </c>
      <c r="V54" s="133" t="s">
        <v>1457</v>
      </c>
      <c r="W54" s="793"/>
      <c r="X54" s="791"/>
      <c r="Y54" s="10"/>
      <c r="Z54" s="30"/>
      <c r="AA54"/>
    </row>
    <row r="55" spans="1:27" ht="236.25" hidden="1" customHeight="1">
      <c r="A55" s="95" t="s">
        <v>1458</v>
      </c>
      <c r="B55" s="89" t="s">
        <v>1038</v>
      </c>
      <c r="C55" s="89" t="s">
        <v>1459</v>
      </c>
      <c r="D55" s="89" t="s">
        <v>917</v>
      </c>
      <c r="E55" s="160" t="s">
        <v>1460</v>
      </c>
      <c r="F55" s="13" t="s">
        <v>1461</v>
      </c>
      <c r="G55" s="11"/>
      <c r="H55" s="193" t="s">
        <v>50</v>
      </c>
      <c r="I55" s="189" t="s">
        <v>50</v>
      </c>
      <c r="J55" s="194" t="s">
        <v>50</v>
      </c>
      <c r="K55" s="11"/>
      <c r="L55" s="95" t="s">
        <v>284</v>
      </c>
      <c r="M55" s="89" t="s">
        <v>1462</v>
      </c>
      <c r="N55" s="349" t="s">
        <v>1463</v>
      </c>
      <c r="O55" s="89" t="s">
        <v>5</v>
      </c>
      <c r="P55" s="89" t="str">
        <f>'PDS - Desenvolvimento'!$K$141</f>
        <v>Concluído</v>
      </c>
      <c r="Q55" s="444">
        <v>45607.772916666669</v>
      </c>
      <c r="R55" s="1084"/>
      <c r="S55" s="11"/>
      <c r="T55" s="142"/>
      <c r="U55" s="90"/>
      <c r="V55" s="89"/>
      <c r="W55" s="90" t="s">
        <v>466</v>
      </c>
      <c r="X55" s="96"/>
      <c r="Y55" s="11"/>
      <c r="Z55" s="26"/>
      <c r="AA55"/>
    </row>
    <row r="56" spans="1:27" ht="160.5" hidden="1" customHeight="1">
      <c r="A56" s="93" t="s">
        <v>1464</v>
      </c>
      <c r="B56" s="88" t="s">
        <v>1038</v>
      </c>
      <c r="C56" s="88" t="s">
        <v>1465</v>
      </c>
      <c r="D56" s="88" t="s">
        <v>459</v>
      </c>
      <c r="E56" s="94" t="s">
        <v>1466</v>
      </c>
      <c r="F56" s="14" t="s">
        <v>1467</v>
      </c>
      <c r="G56" s="10"/>
      <c r="H56" s="113" t="s">
        <v>50</v>
      </c>
      <c r="I56" s="105" t="s">
        <v>50</v>
      </c>
      <c r="J56" s="114" t="s">
        <v>50</v>
      </c>
      <c r="K56" s="10"/>
      <c r="L56" s="167" t="s">
        <v>284</v>
      </c>
      <c r="M56" s="164" t="s">
        <v>1468</v>
      </c>
      <c r="N56" s="357" t="s">
        <v>1469</v>
      </c>
      <c r="O56" s="164" t="s">
        <v>5</v>
      </c>
      <c r="P56" s="164" t="str">
        <f>'PDS - Desenvolvimento'!$K$142</f>
        <v>Concluído</v>
      </c>
      <c r="Q56" s="200"/>
      <c r="R56" s="326" t="s">
        <v>406</v>
      </c>
      <c r="S56" s="10"/>
      <c r="T56" s="140" t="s">
        <v>1470</v>
      </c>
      <c r="U56" s="131" t="s">
        <v>272</v>
      </c>
      <c r="V56" s="133" t="s">
        <v>1471</v>
      </c>
      <c r="W56" s="131" t="s">
        <v>1472</v>
      </c>
      <c r="X56" s="141"/>
      <c r="Y56" s="10"/>
      <c r="Z56" s="25"/>
      <c r="AA56"/>
    </row>
    <row r="57" spans="1:27" ht="147.75" hidden="1" customHeight="1">
      <c r="A57" s="95" t="s">
        <v>1473</v>
      </c>
      <c r="B57" s="89" t="s">
        <v>737</v>
      </c>
      <c r="C57" s="89" t="s">
        <v>1474</v>
      </c>
      <c r="D57" s="89" t="s">
        <v>459</v>
      </c>
      <c r="E57" s="96" t="s">
        <v>1475</v>
      </c>
      <c r="F57" s="13" t="s">
        <v>1476</v>
      </c>
      <c r="G57" s="11"/>
      <c r="H57" s="193" t="s">
        <v>50</v>
      </c>
      <c r="I57" s="189" t="s">
        <v>50</v>
      </c>
      <c r="J57" s="194" t="s">
        <v>50</v>
      </c>
      <c r="K57" s="11"/>
      <c r="L57" s="95" t="s">
        <v>284</v>
      </c>
      <c r="M57" s="89" t="s">
        <v>1477</v>
      </c>
      <c r="N57" s="349" t="s">
        <v>1478</v>
      </c>
      <c r="O57" s="89" t="s">
        <v>5</v>
      </c>
      <c r="P57" s="89" t="str">
        <f>'PDS - Desenvolvimento'!$K$143</f>
        <v>Concluído</v>
      </c>
      <c r="Q57" s="145"/>
      <c r="R57" s="327" t="s">
        <v>287</v>
      </c>
      <c r="S57" s="11"/>
      <c r="T57" s="142" t="s">
        <v>1470</v>
      </c>
      <c r="U57" s="90" t="s">
        <v>272</v>
      </c>
      <c r="V57" s="89" t="s">
        <v>1479</v>
      </c>
      <c r="W57" s="90" t="s">
        <v>1480</v>
      </c>
      <c r="X57" s="96"/>
      <c r="Y57" s="11"/>
      <c r="Z57" s="26"/>
      <c r="AA57"/>
    </row>
    <row r="58" spans="1:27" ht="102.75" hidden="1" customHeight="1">
      <c r="A58" s="93" t="s">
        <v>1481</v>
      </c>
      <c r="B58" s="88" t="s">
        <v>737</v>
      </c>
      <c r="C58" s="88" t="s">
        <v>1482</v>
      </c>
      <c r="D58" s="88" t="s">
        <v>1483</v>
      </c>
      <c r="E58" s="226" t="s">
        <v>1484</v>
      </c>
      <c r="F58" s="14" t="s">
        <v>1484</v>
      </c>
      <c r="G58" s="10"/>
      <c r="H58" s="109" t="s">
        <v>1485</v>
      </c>
      <c r="I58" s="102" t="s">
        <v>1486</v>
      </c>
      <c r="J58" s="159" t="s">
        <v>1487</v>
      </c>
      <c r="K58" s="10"/>
      <c r="L58" s="169" t="s">
        <v>268</v>
      </c>
      <c r="M58" s="166" t="s">
        <v>1488</v>
      </c>
      <c r="N58" s="355" t="s">
        <v>1489</v>
      </c>
      <c r="O58" s="166" t="s">
        <v>5</v>
      </c>
      <c r="P58" s="166" t="str">
        <f>'PDS - Desenvolvimento'!$K$126</f>
        <v>Concluído</v>
      </c>
      <c r="Q58" s="461">
        <v>45608</v>
      </c>
      <c r="R58" s="326" t="s">
        <v>287</v>
      </c>
      <c r="S58" s="10"/>
      <c r="T58" s="140" t="s">
        <v>382</v>
      </c>
      <c r="U58" s="131" t="s">
        <v>272</v>
      </c>
      <c r="V58" s="133" t="s">
        <v>1490</v>
      </c>
      <c r="W58" s="131" t="s">
        <v>1491</v>
      </c>
      <c r="X58" s="141"/>
      <c r="Y58" s="10"/>
      <c r="Z58" s="25"/>
      <c r="AA58"/>
    </row>
    <row r="59" spans="1:27" ht="96.75" hidden="1" customHeight="1">
      <c r="A59" s="185" t="s">
        <v>1492</v>
      </c>
      <c r="B59" s="186" t="s">
        <v>737</v>
      </c>
      <c r="C59" s="186" t="s">
        <v>1493</v>
      </c>
      <c r="D59" s="186" t="s">
        <v>294</v>
      </c>
      <c r="E59" s="187" t="s">
        <v>1494</v>
      </c>
      <c r="F59" s="47" t="s">
        <v>1495</v>
      </c>
      <c r="G59" s="11"/>
      <c r="H59" s="185" t="s">
        <v>1496</v>
      </c>
      <c r="I59" s="261" t="s">
        <v>1497</v>
      </c>
      <c r="J59" s="271" t="s">
        <v>1498</v>
      </c>
      <c r="K59" s="11"/>
      <c r="L59" s="185" t="s">
        <v>268</v>
      </c>
      <c r="M59" s="186" t="s">
        <v>1499</v>
      </c>
      <c r="N59" s="565" t="s">
        <v>1500</v>
      </c>
      <c r="O59" s="186" t="s">
        <v>5</v>
      </c>
      <c r="P59" s="186" t="str">
        <f>'PDS - Desenvolvimento'!$K$119</f>
        <v>Concluído</v>
      </c>
      <c r="Q59" s="462">
        <v>45684</v>
      </c>
      <c r="R59" s="320" t="s">
        <v>5</v>
      </c>
      <c r="S59" s="11"/>
      <c r="T59" s="270"/>
      <c r="U59" s="261"/>
      <c r="V59" s="186"/>
      <c r="W59" s="261" t="s">
        <v>1501</v>
      </c>
      <c r="X59" s="271"/>
      <c r="Y59" s="11"/>
      <c r="Z59" s="31"/>
      <c r="AA59"/>
    </row>
    <row r="60" spans="1:27" ht="14.5">
      <c r="R60" s="330" t="s">
        <v>5</v>
      </c>
    </row>
  </sheetData>
  <autoFilter ref="A2:AA59">
    <filterColumn colId="12">
      <filters>
        <filter val="head_office_undertaking_id"/>
      </filters>
    </filterColumn>
  </autoFilter>
  <mergeCells count="135">
    <mergeCell ref="A1:E1"/>
    <mergeCell ref="H1:J1"/>
    <mergeCell ref="I14:I26"/>
    <mergeCell ref="J14:J26"/>
    <mergeCell ref="T1:X1"/>
    <mergeCell ref="R15:R27"/>
    <mergeCell ref="I4:I11"/>
    <mergeCell ref="J4:J11"/>
    <mergeCell ref="M4:M11"/>
    <mergeCell ref="M14:M26"/>
    <mergeCell ref="A4:A11"/>
    <mergeCell ref="B4:B11"/>
    <mergeCell ref="C4:C11"/>
    <mergeCell ref="D4:D11"/>
    <mergeCell ref="E4:E11"/>
    <mergeCell ref="A14:A26"/>
    <mergeCell ref="B14:B26"/>
    <mergeCell ref="C14:C26"/>
    <mergeCell ref="D14:D26"/>
    <mergeCell ref="E14:E26"/>
    <mergeCell ref="F14:F26"/>
    <mergeCell ref="H14:H26"/>
    <mergeCell ref="F4:F11"/>
    <mergeCell ref="H4:H11"/>
    <mergeCell ref="R29:R31"/>
    <mergeCell ref="R45:R47"/>
    <mergeCell ref="R49:R51"/>
    <mergeCell ref="O4:O11"/>
    <mergeCell ref="O14:O26"/>
    <mergeCell ref="O28:O30"/>
    <mergeCell ref="O44:O46"/>
    <mergeCell ref="O48:O50"/>
    <mergeCell ref="V14:V16"/>
    <mergeCell ref="T20:T22"/>
    <mergeCell ref="U20:U22"/>
    <mergeCell ref="T23:T26"/>
    <mergeCell ref="U23:U26"/>
    <mergeCell ref="R5:R12"/>
    <mergeCell ref="U8:U11"/>
    <mergeCell ref="T4:T7"/>
    <mergeCell ref="U4:U7"/>
    <mergeCell ref="T8:T11"/>
    <mergeCell ref="P4:P11"/>
    <mergeCell ref="P14:P26"/>
    <mergeCell ref="P28:P30"/>
    <mergeCell ref="P44:P46"/>
    <mergeCell ref="P48:P50"/>
    <mergeCell ref="A48:A50"/>
    <mergeCell ref="A44:A46"/>
    <mergeCell ref="B44:B46"/>
    <mergeCell ref="C44:C46"/>
    <mergeCell ref="D44:D46"/>
    <mergeCell ref="F44:F46"/>
    <mergeCell ref="H44:H46"/>
    <mergeCell ref="U28:U29"/>
    <mergeCell ref="T44:T45"/>
    <mergeCell ref="U44:U45"/>
    <mergeCell ref="T48:T49"/>
    <mergeCell ref="U48:U49"/>
    <mergeCell ref="N44:N46"/>
    <mergeCell ref="H48:H50"/>
    <mergeCell ref="N48:N50"/>
    <mergeCell ref="T28:T29"/>
    <mergeCell ref="M48:M50"/>
    <mergeCell ref="L28:L30"/>
    <mergeCell ref="L44:L46"/>
    <mergeCell ref="F48:F50"/>
    <mergeCell ref="E48:E50"/>
    <mergeCell ref="M28:M30"/>
    <mergeCell ref="M44:M46"/>
    <mergeCell ref="I28:I30"/>
    <mergeCell ref="A52:A54"/>
    <mergeCell ref="B52:B54"/>
    <mergeCell ref="C52:C54"/>
    <mergeCell ref="D52:D54"/>
    <mergeCell ref="E52:E54"/>
    <mergeCell ref="U52:U53"/>
    <mergeCell ref="T14:T18"/>
    <mergeCell ref="U14:U18"/>
    <mergeCell ref="F28:F30"/>
    <mergeCell ref="H28:H30"/>
    <mergeCell ref="N28:N30"/>
    <mergeCell ref="A28:A30"/>
    <mergeCell ref="B28:B30"/>
    <mergeCell ref="C28:C30"/>
    <mergeCell ref="D28:D30"/>
    <mergeCell ref="E28:E30"/>
    <mergeCell ref="E44:E46"/>
    <mergeCell ref="F52:F54"/>
    <mergeCell ref="H52:H54"/>
    <mergeCell ref="T52:T53"/>
    <mergeCell ref="B48:B50"/>
    <mergeCell ref="C48:C50"/>
    <mergeCell ref="D48:D50"/>
    <mergeCell ref="R53:R55"/>
    <mergeCell ref="I52:I54"/>
    <mergeCell ref="J52:J54"/>
    <mergeCell ref="O52:O54"/>
    <mergeCell ref="I48:I50"/>
    <mergeCell ref="J48:J50"/>
    <mergeCell ref="M52:M54"/>
    <mergeCell ref="L48:L50"/>
    <mergeCell ref="L52:L54"/>
    <mergeCell ref="L1:Q1"/>
    <mergeCell ref="Q14:Q26"/>
    <mergeCell ref="Q28:Q30"/>
    <mergeCell ref="Q48:Q50"/>
    <mergeCell ref="Q52:Q54"/>
    <mergeCell ref="N52:N54"/>
    <mergeCell ref="L4:L11"/>
    <mergeCell ref="L14:L26"/>
    <mergeCell ref="N14:N26"/>
    <mergeCell ref="N4:N11"/>
    <mergeCell ref="J28:J30"/>
    <mergeCell ref="I44:I46"/>
    <mergeCell ref="J44:J46"/>
    <mergeCell ref="Q4:Q11"/>
    <mergeCell ref="Q44:Q46"/>
    <mergeCell ref="P52:P54"/>
    <mergeCell ref="X52:X54"/>
    <mergeCell ref="Z4:Z11"/>
    <mergeCell ref="Z14:Z26"/>
    <mergeCell ref="Z28:Z30"/>
    <mergeCell ref="Z48:Z50"/>
    <mergeCell ref="X28:X30"/>
    <mergeCell ref="X44:X46"/>
    <mergeCell ref="W4:W11"/>
    <mergeCell ref="X4:X11"/>
    <mergeCell ref="X48:X50"/>
    <mergeCell ref="W14:W26"/>
    <mergeCell ref="X14:X26"/>
    <mergeCell ref="W28:W30"/>
    <mergeCell ref="W48:W50"/>
    <mergeCell ref="W44:W46"/>
    <mergeCell ref="W52:W54"/>
  </mergeCells>
  <dataValidations count="1">
    <dataValidation allowBlank="1" showInputMessage="1" showErrorMessage="1" sqref="P3:P59"/>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AUX!$A$2:$A$8</xm:f>
          </x14:formula1>
          <xm:sqref>O3:O59</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filterMode="1"/>
  <dimension ref="A1:Z27"/>
  <sheetViews>
    <sheetView zoomScale="55" zoomScaleNormal="55" workbookViewId="0">
      <pane xSplit="6" ySplit="2" topLeftCell="L15" activePane="bottomRight" state="frozen"/>
      <selection pane="topRight" activeCell="G1" sqref="G1"/>
      <selection pane="bottomLeft" activeCell="A3" sqref="A3"/>
      <selection pane="bottomRight" activeCell="L15" sqref="L15"/>
    </sheetView>
  </sheetViews>
  <sheetFormatPr defaultRowHeight="15" customHeight="1"/>
  <cols>
    <col min="1" max="1" width="6.26953125" customWidth="1"/>
    <col min="2" max="2" width="12.81640625" customWidth="1"/>
    <col min="3" max="3" width="24.453125" bestFit="1" customWidth="1"/>
    <col min="4" max="4" width="13" customWidth="1"/>
    <col min="5" max="5" width="47.7265625" customWidth="1"/>
    <col min="6" max="6" width="0" hidden="1" customWidth="1"/>
    <col min="7" max="7" width="4.1796875" customWidth="1"/>
    <col min="8" max="8" width="34.1796875" customWidth="1"/>
    <col min="9" max="10" width="35.81640625" customWidth="1"/>
    <col min="11" max="11" width="4" customWidth="1"/>
    <col min="12" max="12" width="18.54296875" bestFit="1" customWidth="1"/>
    <col min="13" max="13" width="28.7265625" bestFit="1" customWidth="1"/>
    <col min="14" max="16" width="52.453125" customWidth="1"/>
    <col min="17" max="17" width="52.453125" hidden="1" customWidth="1"/>
    <col min="18" max="18" width="38.1796875" hidden="1" customWidth="1"/>
    <col min="19" max="19" width="4.1796875" customWidth="1"/>
    <col min="20" max="20" width="35.1796875" hidden="1" customWidth="1"/>
    <col min="21" max="21" width="27.453125" hidden="1" customWidth="1"/>
    <col min="22" max="22" width="28.453125" hidden="1" customWidth="1"/>
    <col min="23" max="23" width="68.453125" hidden="1" customWidth="1"/>
    <col min="24" max="24" width="75.54296875" hidden="1" customWidth="1"/>
    <col min="25" max="26" width="0" hidden="1" customWidth="1"/>
  </cols>
  <sheetData>
    <row r="1" spans="1:26" ht="19" customHeight="1">
      <c r="A1" s="874" t="s">
        <v>234</v>
      </c>
      <c r="B1" s="875"/>
      <c r="C1" s="875"/>
      <c r="D1" s="875"/>
      <c r="E1" s="876"/>
      <c r="F1" s="84"/>
      <c r="G1" s="85"/>
      <c r="H1" s="877" t="s">
        <v>235</v>
      </c>
      <c r="I1" s="878"/>
      <c r="J1" s="879"/>
      <c r="K1" s="85"/>
      <c r="L1" s="869" t="s">
        <v>236</v>
      </c>
      <c r="M1" s="870"/>
      <c r="N1" s="870"/>
      <c r="O1" s="870"/>
      <c r="P1" s="870"/>
      <c r="Q1" s="871"/>
      <c r="R1" s="339"/>
      <c r="S1" s="85"/>
      <c r="T1" s="886" t="s">
        <v>237</v>
      </c>
      <c r="U1" s="887"/>
      <c r="V1" s="887"/>
      <c r="W1" s="887"/>
      <c r="X1" s="888"/>
      <c r="Y1" s="129"/>
    </row>
    <row r="2" spans="1:26" s="4" customFormat="1" ht="29">
      <c r="A2" s="91" t="s">
        <v>238</v>
      </c>
      <c r="B2" s="87" t="s">
        <v>239</v>
      </c>
      <c r="C2" s="87" t="s">
        <v>240</v>
      </c>
      <c r="D2" s="87" t="s">
        <v>241</v>
      </c>
      <c r="E2" s="92" t="s">
        <v>242</v>
      </c>
      <c r="F2" s="41" t="s">
        <v>1502</v>
      </c>
      <c r="G2" s="9"/>
      <c r="H2" s="107" t="s">
        <v>244</v>
      </c>
      <c r="I2" s="100" t="s">
        <v>245</v>
      </c>
      <c r="J2" s="108" t="s">
        <v>246</v>
      </c>
      <c r="K2" s="36"/>
      <c r="L2" s="333" t="s">
        <v>423</v>
      </c>
      <c r="M2" s="334" t="s">
        <v>248</v>
      </c>
      <c r="N2" s="121" t="s">
        <v>249</v>
      </c>
      <c r="O2" s="121" t="s">
        <v>1</v>
      </c>
      <c r="P2" s="121" t="s">
        <v>250</v>
      </c>
      <c r="Q2" s="436" t="s">
        <v>251</v>
      </c>
      <c r="R2" s="332" t="s">
        <v>252</v>
      </c>
      <c r="S2" s="35"/>
      <c r="T2" s="280" t="s">
        <v>253</v>
      </c>
      <c r="U2" s="279" t="s">
        <v>254</v>
      </c>
      <c r="V2" s="279" t="s">
        <v>255</v>
      </c>
      <c r="W2" s="279" t="s">
        <v>256</v>
      </c>
      <c r="X2" s="281" t="s">
        <v>257</v>
      </c>
      <c r="Y2" s="35"/>
      <c r="Z2" s="15" t="s">
        <v>1184</v>
      </c>
    </row>
    <row r="3" spans="1:26" ht="14.5" hidden="1">
      <c r="A3" s="836" t="s">
        <v>424</v>
      </c>
      <c r="B3" s="835" t="s">
        <v>260</v>
      </c>
      <c r="C3" s="835" t="s">
        <v>425</v>
      </c>
      <c r="D3" s="835" t="s">
        <v>262</v>
      </c>
      <c r="E3" s="815" t="s">
        <v>1503</v>
      </c>
      <c r="F3" s="816" t="s">
        <v>1504</v>
      </c>
      <c r="G3" s="10"/>
      <c r="H3" s="821" t="s">
        <v>428</v>
      </c>
      <c r="I3" s="827" t="s">
        <v>429</v>
      </c>
      <c r="J3" s="830" t="s">
        <v>430</v>
      </c>
      <c r="K3" s="10"/>
      <c r="L3" s="813" t="s">
        <v>268</v>
      </c>
      <c r="M3" s="784" t="s">
        <v>431</v>
      </c>
      <c r="N3" s="824" t="s">
        <v>432</v>
      </c>
      <c r="O3" s="784" t="s">
        <v>5</v>
      </c>
      <c r="P3" s="784" t="str">
        <f>'PDS - Desenvolvimento'!$K$148</f>
        <v>Concluído</v>
      </c>
      <c r="Q3" s="1067">
        <v>45608</v>
      </c>
      <c r="R3" s="811" t="s">
        <v>5</v>
      </c>
      <c r="S3" s="10"/>
      <c r="T3" s="798" t="s">
        <v>433</v>
      </c>
      <c r="U3" s="793" t="s">
        <v>272</v>
      </c>
      <c r="V3" s="133" t="s">
        <v>273</v>
      </c>
      <c r="W3" s="793" t="s">
        <v>1064</v>
      </c>
      <c r="X3" s="791"/>
      <c r="Y3" s="10"/>
      <c r="Z3" s="1131"/>
    </row>
    <row r="4" spans="1:26" ht="14.5" hidden="1">
      <c r="A4" s="836"/>
      <c r="B4" s="835"/>
      <c r="C4" s="835"/>
      <c r="D4" s="835"/>
      <c r="E4" s="815"/>
      <c r="F4" s="816"/>
      <c r="G4" s="10"/>
      <c r="H4" s="821"/>
      <c r="I4" s="827"/>
      <c r="J4" s="830"/>
      <c r="K4" s="10"/>
      <c r="L4" s="813"/>
      <c r="M4" s="784"/>
      <c r="N4" s="824"/>
      <c r="O4" s="784"/>
      <c r="P4" s="784"/>
      <c r="Q4" s="909"/>
      <c r="R4" s="811"/>
      <c r="S4" s="10"/>
      <c r="T4" s="798"/>
      <c r="U4" s="793"/>
      <c r="V4" s="133" t="s">
        <v>436</v>
      </c>
      <c r="W4" s="793"/>
      <c r="X4" s="791"/>
      <c r="Y4" s="10"/>
      <c r="Z4" s="1132"/>
    </row>
    <row r="5" spans="1:26" ht="14.5" hidden="1">
      <c r="A5" s="836"/>
      <c r="B5" s="835"/>
      <c r="C5" s="835"/>
      <c r="D5" s="835"/>
      <c r="E5" s="815"/>
      <c r="F5" s="816"/>
      <c r="G5" s="10"/>
      <c r="H5" s="821"/>
      <c r="I5" s="827"/>
      <c r="J5" s="830"/>
      <c r="K5" s="10"/>
      <c r="L5" s="813"/>
      <c r="M5" s="784"/>
      <c r="N5" s="824"/>
      <c r="O5" s="784"/>
      <c r="P5" s="784"/>
      <c r="Q5" s="909"/>
      <c r="R5" s="811"/>
      <c r="S5" s="10"/>
      <c r="T5" s="798"/>
      <c r="U5" s="793"/>
      <c r="V5" s="133" t="s">
        <v>437</v>
      </c>
      <c r="W5" s="793"/>
      <c r="X5" s="791"/>
      <c r="Y5" s="10"/>
      <c r="Z5" s="1132"/>
    </row>
    <row r="6" spans="1:26" ht="14.5" hidden="1">
      <c r="A6" s="836"/>
      <c r="B6" s="835"/>
      <c r="C6" s="835"/>
      <c r="D6" s="835"/>
      <c r="E6" s="815"/>
      <c r="F6" s="816"/>
      <c r="G6" s="10"/>
      <c r="H6" s="821"/>
      <c r="I6" s="827"/>
      <c r="J6" s="830"/>
      <c r="K6" s="10"/>
      <c r="L6" s="813"/>
      <c r="M6" s="784"/>
      <c r="N6" s="824"/>
      <c r="O6" s="784"/>
      <c r="P6" s="784"/>
      <c r="Q6" s="909"/>
      <c r="R6" s="811"/>
      <c r="S6" s="10"/>
      <c r="T6" s="798"/>
      <c r="U6" s="793"/>
      <c r="V6" s="133" t="s">
        <v>438</v>
      </c>
      <c r="W6" s="793"/>
      <c r="X6" s="791"/>
      <c r="Y6" s="10"/>
      <c r="Z6" s="1133"/>
    </row>
    <row r="7" spans="1:26" ht="15" hidden="1" customHeight="1">
      <c r="A7" s="841" t="s">
        <v>259</v>
      </c>
      <c r="B7" s="842" t="s">
        <v>260</v>
      </c>
      <c r="C7" s="842" t="s">
        <v>261</v>
      </c>
      <c r="D7" s="842" t="s">
        <v>262</v>
      </c>
      <c r="E7" s="795" t="s">
        <v>439</v>
      </c>
      <c r="F7" s="819" t="s">
        <v>264</v>
      </c>
      <c r="G7" s="11"/>
      <c r="H7" s="841" t="s">
        <v>1505</v>
      </c>
      <c r="I7" s="942" t="s">
        <v>50</v>
      </c>
      <c r="J7" s="1009" t="s">
        <v>50</v>
      </c>
      <c r="K7" s="11"/>
      <c r="L7" s="818" t="s">
        <v>284</v>
      </c>
      <c r="M7" s="785" t="s">
        <v>269</v>
      </c>
      <c r="N7" s="1134" t="s">
        <v>1506</v>
      </c>
      <c r="O7" s="842" t="s">
        <v>5</v>
      </c>
      <c r="P7" s="842" t="str">
        <f>'PDS - Desenvolvimento'!$K$163</f>
        <v>Concluído</v>
      </c>
      <c r="Q7" s="1129">
        <v>45608</v>
      </c>
      <c r="R7" s="1080" t="s">
        <v>287</v>
      </c>
      <c r="S7" s="11"/>
      <c r="T7" s="801" t="s">
        <v>1507</v>
      </c>
      <c r="U7" s="787" t="s">
        <v>272</v>
      </c>
      <c r="V7" s="89" t="s">
        <v>273</v>
      </c>
      <c r="W7" s="787" t="s">
        <v>1077</v>
      </c>
      <c r="X7" s="795"/>
      <c r="Y7" s="11"/>
      <c r="Z7" s="1089"/>
    </row>
    <row r="8" spans="1:26" ht="14.5" hidden="1">
      <c r="A8" s="841"/>
      <c r="B8" s="842"/>
      <c r="C8" s="842"/>
      <c r="D8" s="842"/>
      <c r="E8" s="795"/>
      <c r="F8" s="819"/>
      <c r="G8" s="11"/>
      <c r="H8" s="841"/>
      <c r="I8" s="842"/>
      <c r="J8" s="853"/>
      <c r="K8" s="11"/>
      <c r="L8" s="818"/>
      <c r="M8" s="785"/>
      <c r="N8" s="1134"/>
      <c r="O8" s="842"/>
      <c r="P8" s="842"/>
      <c r="Q8" s="862"/>
      <c r="R8" s="1080"/>
      <c r="S8" s="11"/>
      <c r="T8" s="801"/>
      <c r="U8" s="787"/>
      <c r="V8" s="89" t="s">
        <v>276</v>
      </c>
      <c r="W8" s="787"/>
      <c r="X8" s="795"/>
      <c r="Y8" s="11"/>
      <c r="Z8" s="1091"/>
    </row>
    <row r="9" spans="1:26" ht="14.5" hidden="1">
      <c r="A9" s="841"/>
      <c r="B9" s="842"/>
      <c r="C9" s="842"/>
      <c r="D9" s="842"/>
      <c r="E9" s="795"/>
      <c r="F9" s="819"/>
      <c r="G9" s="11"/>
      <c r="H9" s="841"/>
      <c r="I9" s="842"/>
      <c r="J9" s="853"/>
      <c r="K9" s="11"/>
      <c r="L9" s="818"/>
      <c r="M9" s="785"/>
      <c r="N9" s="1134"/>
      <c r="O9" s="842"/>
      <c r="P9" s="842"/>
      <c r="Q9" s="862"/>
      <c r="R9" s="1080"/>
      <c r="S9" s="11"/>
      <c r="T9" s="801"/>
      <c r="U9" s="787"/>
      <c r="V9" s="89" t="s">
        <v>277</v>
      </c>
      <c r="W9" s="787"/>
      <c r="X9" s="795"/>
      <c r="Y9" s="11"/>
      <c r="Z9" s="1091"/>
    </row>
    <row r="10" spans="1:26" ht="14.5" hidden="1">
      <c r="A10" s="841"/>
      <c r="B10" s="842"/>
      <c r="C10" s="842"/>
      <c r="D10" s="842"/>
      <c r="E10" s="795"/>
      <c r="F10" s="819"/>
      <c r="G10" s="11"/>
      <c r="H10" s="841"/>
      <c r="I10" s="842"/>
      <c r="J10" s="853"/>
      <c r="K10" s="11"/>
      <c r="L10" s="818"/>
      <c r="M10" s="785"/>
      <c r="N10" s="1134"/>
      <c r="O10" s="842"/>
      <c r="P10" s="842"/>
      <c r="Q10" s="862"/>
      <c r="R10" s="1080"/>
      <c r="S10" s="11"/>
      <c r="T10" s="801"/>
      <c r="U10" s="787"/>
      <c r="V10" s="89" t="s">
        <v>278</v>
      </c>
      <c r="W10" s="787"/>
      <c r="X10" s="795"/>
      <c r="Y10" s="11"/>
      <c r="Z10" s="1090"/>
    </row>
    <row r="11" spans="1:26" ht="43.5" hidden="1" customHeight="1">
      <c r="A11" s="93" t="s">
        <v>1065</v>
      </c>
      <c r="B11" s="88" t="s">
        <v>260</v>
      </c>
      <c r="C11" s="88" t="s">
        <v>1066</v>
      </c>
      <c r="D11" s="88" t="s">
        <v>262</v>
      </c>
      <c r="E11" s="226" t="s">
        <v>1067</v>
      </c>
      <c r="F11" s="14" t="s">
        <v>1068</v>
      </c>
      <c r="G11" s="10"/>
      <c r="H11" s="109" t="s">
        <v>1069</v>
      </c>
      <c r="I11" s="102" t="s">
        <v>1070</v>
      </c>
      <c r="J11" s="159" t="s">
        <v>1071</v>
      </c>
      <c r="K11" s="10"/>
      <c r="L11" s="124" t="s">
        <v>268</v>
      </c>
      <c r="M11" s="122" t="s">
        <v>1072</v>
      </c>
      <c r="N11" s="351" t="s">
        <v>1073</v>
      </c>
      <c r="O11" s="122" t="s">
        <v>5</v>
      </c>
      <c r="P11" s="122" t="str">
        <f>'PDS - Desenvolvimento'!$K$150</f>
        <v>Concluído</v>
      </c>
      <c r="Q11" s="457">
        <v>45608</v>
      </c>
      <c r="R11" s="318" t="s">
        <v>5</v>
      </c>
      <c r="S11" s="10"/>
      <c r="T11" s="140" t="s">
        <v>433</v>
      </c>
      <c r="U11" s="131" t="s">
        <v>272</v>
      </c>
      <c r="V11" s="133" t="s">
        <v>1074</v>
      </c>
      <c r="W11" s="131" t="s">
        <v>289</v>
      </c>
      <c r="X11" s="141"/>
      <c r="Y11" s="10"/>
      <c r="Z11" s="20"/>
    </row>
    <row r="12" spans="1:26" ht="14.5" hidden="1">
      <c r="A12" s="841" t="s">
        <v>443</v>
      </c>
      <c r="B12" s="842" t="s">
        <v>260</v>
      </c>
      <c r="C12" s="842" t="s">
        <v>444</v>
      </c>
      <c r="D12" s="842" t="s">
        <v>294</v>
      </c>
      <c r="E12" s="795" t="s">
        <v>1078</v>
      </c>
      <c r="F12" s="819" t="s">
        <v>1508</v>
      </c>
      <c r="G12" s="11"/>
      <c r="H12" s="841" t="s">
        <v>447</v>
      </c>
      <c r="I12" s="787" t="s">
        <v>448</v>
      </c>
      <c r="J12" s="795" t="s">
        <v>449</v>
      </c>
      <c r="K12" s="11"/>
      <c r="L12" s="841" t="s">
        <v>268</v>
      </c>
      <c r="M12" s="842" t="s">
        <v>450</v>
      </c>
      <c r="N12" s="787" t="s">
        <v>1509</v>
      </c>
      <c r="O12" s="842" t="s">
        <v>5</v>
      </c>
      <c r="P12" s="842" t="str">
        <f>'PDS - Desenvolvimento'!$K$152</f>
        <v>Concluído</v>
      </c>
      <c r="Q12" s="1130">
        <v>45665</v>
      </c>
      <c r="R12" s="832" t="s">
        <v>5</v>
      </c>
      <c r="S12" s="11"/>
      <c r="T12" s="801" t="s">
        <v>300</v>
      </c>
      <c r="U12" s="787" t="s">
        <v>452</v>
      </c>
      <c r="V12" s="89" t="s">
        <v>302</v>
      </c>
      <c r="W12" s="787" t="s">
        <v>1081</v>
      </c>
      <c r="X12" s="795"/>
      <c r="Y12" s="11"/>
      <c r="Z12" s="1089"/>
    </row>
    <row r="13" spans="1:26" ht="40.5" hidden="1" customHeight="1">
      <c r="A13" s="841"/>
      <c r="B13" s="842"/>
      <c r="C13" s="842"/>
      <c r="D13" s="842"/>
      <c r="E13" s="795"/>
      <c r="F13" s="819"/>
      <c r="G13" s="11"/>
      <c r="H13" s="841"/>
      <c r="I13" s="787"/>
      <c r="J13" s="795"/>
      <c r="K13" s="11"/>
      <c r="L13" s="841"/>
      <c r="M13" s="842"/>
      <c r="N13" s="787"/>
      <c r="O13" s="842"/>
      <c r="P13" s="842"/>
      <c r="Q13" s="1062"/>
      <c r="R13" s="832"/>
      <c r="S13" s="11"/>
      <c r="T13" s="801"/>
      <c r="U13" s="787"/>
      <c r="V13" s="89" t="s">
        <v>304</v>
      </c>
      <c r="W13" s="787"/>
      <c r="X13" s="795"/>
      <c r="Y13" s="11"/>
      <c r="Z13" s="1091"/>
    </row>
    <row r="14" spans="1:26" ht="168.75" hidden="1" customHeight="1">
      <c r="A14" s="841"/>
      <c r="B14" s="842"/>
      <c r="C14" s="842"/>
      <c r="D14" s="842"/>
      <c r="E14" s="795"/>
      <c r="F14" s="819"/>
      <c r="G14" s="11"/>
      <c r="H14" s="841"/>
      <c r="I14" s="787"/>
      <c r="J14" s="795"/>
      <c r="K14" s="11"/>
      <c r="L14" s="841"/>
      <c r="M14" s="842"/>
      <c r="N14" s="787"/>
      <c r="O14" s="842"/>
      <c r="P14" s="842"/>
      <c r="Q14" s="1063"/>
      <c r="R14" s="832"/>
      <c r="S14" s="11"/>
      <c r="T14" s="142" t="s">
        <v>454</v>
      </c>
      <c r="U14" s="90" t="s">
        <v>272</v>
      </c>
      <c r="V14" s="89" t="s">
        <v>455</v>
      </c>
      <c r="W14" s="787"/>
      <c r="X14" s="795"/>
      <c r="Y14" s="11"/>
      <c r="Z14" s="1090"/>
    </row>
    <row r="15" spans="1:26" ht="244.5" customHeight="1">
      <c r="A15" s="93" t="s">
        <v>456</v>
      </c>
      <c r="B15" s="88" t="s">
        <v>457</v>
      </c>
      <c r="C15" s="88" t="s">
        <v>458</v>
      </c>
      <c r="D15" s="88" t="s">
        <v>459</v>
      </c>
      <c r="E15" s="226" t="s">
        <v>1082</v>
      </c>
      <c r="F15" s="14" t="s">
        <v>1510</v>
      </c>
      <c r="G15" s="10"/>
      <c r="H15" s="113" t="s">
        <v>50</v>
      </c>
      <c r="I15" s="105" t="s">
        <v>50</v>
      </c>
      <c r="J15" s="114" t="s">
        <v>50</v>
      </c>
      <c r="K15" s="10"/>
      <c r="L15" s="124" t="s">
        <v>462</v>
      </c>
      <c r="M15" s="122" t="s">
        <v>463</v>
      </c>
      <c r="N15" s="367" t="s">
        <v>464</v>
      </c>
      <c r="O15" s="122" t="s">
        <v>5</v>
      </c>
      <c r="P15" s="122" t="str">
        <f>'PDS - Desenvolvimento'!$K$159</f>
        <v>Concluído</v>
      </c>
      <c r="Q15" s="457">
        <v>45611</v>
      </c>
      <c r="R15" s="327" t="s">
        <v>465</v>
      </c>
      <c r="S15" s="10"/>
      <c r="T15" s="140" t="s">
        <v>1084</v>
      </c>
      <c r="U15" s="131" t="s">
        <v>1084</v>
      </c>
      <c r="V15" s="133" t="s">
        <v>1084</v>
      </c>
      <c r="W15" s="131" t="s">
        <v>1084</v>
      </c>
      <c r="X15" s="141" t="s">
        <v>1084</v>
      </c>
      <c r="Y15" s="10"/>
      <c r="Z15" s="21" t="s">
        <v>1084</v>
      </c>
    </row>
    <row r="16" spans="1:26" ht="239.25" hidden="1" customHeight="1">
      <c r="A16" s="95" t="s">
        <v>468</v>
      </c>
      <c r="B16" s="89" t="s">
        <v>457</v>
      </c>
      <c r="C16" s="89" t="s">
        <v>469</v>
      </c>
      <c r="D16" s="89" t="s">
        <v>459</v>
      </c>
      <c r="E16" s="96" t="s">
        <v>1511</v>
      </c>
      <c r="F16" s="13" t="s">
        <v>1512</v>
      </c>
      <c r="G16" s="11"/>
      <c r="H16" s="193" t="s">
        <v>50</v>
      </c>
      <c r="I16" s="189" t="s">
        <v>50</v>
      </c>
      <c r="J16" s="194" t="s">
        <v>50</v>
      </c>
      <c r="K16" s="11"/>
      <c r="L16" s="301" t="s">
        <v>472</v>
      </c>
      <c r="M16" s="104" t="s">
        <v>473</v>
      </c>
      <c r="N16" s="360" t="s">
        <v>474</v>
      </c>
      <c r="O16" s="103" t="s">
        <v>5</v>
      </c>
      <c r="P16" s="103" t="str">
        <f>'PDS - Desenvolvimento'!$K$160</f>
        <v>Concluído</v>
      </c>
      <c r="Q16" s="517">
        <v>45611</v>
      </c>
      <c r="R16" s="321" t="s">
        <v>465</v>
      </c>
      <c r="S16" s="11"/>
      <c r="T16" s="142" t="s">
        <v>1084</v>
      </c>
      <c r="U16" s="90" t="s">
        <v>1084</v>
      </c>
      <c r="V16" s="89" t="s">
        <v>1084</v>
      </c>
      <c r="W16" s="90" t="s">
        <v>1084</v>
      </c>
      <c r="X16" s="96" t="s">
        <v>1084</v>
      </c>
      <c r="Y16" s="11"/>
      <c r="Z16" s="22" t="s">
        <v>1084</v>
      </c>
    </row>
    <row r="17" spans="1:26" ht="46.5" hidden="1" customHeight="1">
      <c r="A17" s="93" t="s">
        <v>475</v>
      </c>
      <c r="B17" s="88" t="s">
        <v>476</v>
      </c>
      <c r="C17" s="88" t="s">
        <v>477</v>
      </c>
      <c r="D17" s="88" t="s">
        <v>459</v>
      </c>
      <c r="E17" s="226" t="s">
        <v>1087</v>
      </c>
      <c r="F17" s="14" t="s">
        <v>1513</v>
      </c>
      <c r="G17" s="10"/>
      <c r="H17" s="109" t="s">
        <v>480</v>
      </c>
      <c r="I17" s="102" t="s">
        <v>481</v>
      </c>
      <c r="J17" s="110" t="s">
        <v>482</v>
      </c>
      <c r="K17" s="10"/>
      <c r="L17" s="124" t="s">
        <v>268</v>
      </c>
      <c r="M17" s="122" t="s">
        <v>483</v>
      </c>
      <c r="N17" s="351" t="s">
        <v>484</v>
      </c>
      <c r="O17" s="122" t="s">
        <v>5</v>
      </c>
      <c r="P17" s="122" t="str">
        <f>'PDS - Desenvolvimento'!$K$151</f>
        <v>Concluído</v>
      </c>
      <c r="Q17" s="457">
        <v>45608</v>
      </c>
      <c r="R17" s="318" t="s">
        <v>5</v>
      </c>
      <c r="S17" s="10"/>
      <c r="T17" s="140" t="s">
        <v>454</v>
      </c>
      <c r="U17" s="131" t="s">
        <v>272</v>
      </c>
      <c r="V17" s="133" t="s">
        <v>485</v>
      </c>
      <c r="W17" s="131" t="s">
        <v>289</v>
      </c>
      <c r="X17" s="141"/>
      <c r="Y17" s="10"/>
      <c r="Z17" s="20"/>
    </row>
    <row r="18" spans="1:26" ht="80.25" hidden="1" customHeight="1">
      <c r="A18" s="95" t="s">
        <v>486</v>
      </c>
      <c r="B18" s="89" t="s">
        <v>487</v>
      </c>
      <c r="C18" s="89" t="s">
        <v>488</v>
      </c>
      <c r="D18" s="89" t="s">
        <v>459</v>
      </c>
      <c r="E18" s="160" t="s">
        <v>1089</v>
      </c>
      <c r="F18" s="13" t="s">
        <v>1514</v>
      </c>
      <c r="G18" s="11"/>
      <c r="H18" s="193" t="s">
        <v>50</v>
      </c>
      <c r="I18" s="189" t="s">
        <v>50</v>
      </c>
      <c r="J18" s="194" t="s">
        <v>50</v>
      </c>
      <c r="K18" s="11"/>
      <c r="L18" s="111" t="s">
        <v>284</v>
      </c>
      <c r="M18" s="103" t="s">
        <v>491</v>
      </c>
      <c r="N18" s="363" t="s">
        <v>1091</v>
      </c>
      <c r="O18" s="137" t="s">
        <v>5</v>
      </c>
      <c r="P18" s="137" t="str">
        <f>'PDS - Desenvolvimento'!$K$161</f>
        <v>Concluído</v>
      </c>
      <c r="Q18" s="458">
        <v>45608</v>
      </c>
      <c r="R18" s="300" t="s">
        <v>287</v>
      </c>
      <c r="S18" s="11"/>
      <c r="T18" s="142" t="s">
        <v>493</v>
      </c>
      <c r="U18" s="90" t="s">
        <v>272</v>
      </c>
      <c r="V18" s="89" t="s">
        <v>494</v>
      </c>
      <c r="W18" s="90" t="s">
        <v>289</v>
      </c>
      <c r="X18" s="96"/>
      <c r="Y18" s="11"/>
      <c r="Z18" s="22" t="s">
        <v>1327</v>
      </c>
    </row>
    <row r="19" spans="1:26" ht="58" hidden="1" customHeight="1">
      <c r="A19" s="93" t="s">
        <v>1092</v>
      </c>
      <c r="B19" s="88" t="s">
        <v>1011</v>
      </c>
      <c r="C19" s="88" t="s">
        <v>1093</v>
      </c>
      <c r="D19" s="88" t="s">
        <v>917</v>
      </c>
      <c r="E19" s="94" t="s">
        <v>1097</v>
      </c>
      <c r="F19" s="14" t="s">
        <v>1515</v>
      </c>
      <c r="G19" s="10"/>
      <c r="H19" s="109" t="s">
        <v>1096</v>
      </c>
      <c r="I19" s="102" t="s">
        <v>1093</v>
      </c>
      <c r="J19" s="159" t="s">
        <v>1097</v>
      </c>
      <c r="K19" s="10"/>
      <c r="L19" s="169" t="s">
        <v>268</v>
      </c>
      <c r="M19" s="166" t="s">
        <v>1098</v>
      </c>
      <c r="N19" s="355" t="s">
        <v>1099</v>
      </c>
      <c r="O19" s="122" t="s">
        <v>5</v>
      </c>
      <c r="P19" s="122" t="str">
        <f>'PDS - Desenvolvimento'!$K$155</f>
        <v>Concluído</v>
      </c>
      <c r="Q19" s="461">
        <v>45608</v>
      </c>
      <c r="R19" s="318" t="s">
        <v>5</v>
      </c>
      <c r="S19" s="10"/>
      <c r="T19" s="140" t="s">
        <v>433</v>
      </c>
      <c r="U19" s="131" t="s">
        <v>272</v>
      </c>
      <c r="V19" s="133" t="s">
        <v>1100</v>
      </c>
      <c r="W19" s="131" t="s">
        <v>289</v>
      </c>
      <c r="X19" s="141"/>
      <c r="Y19" s="10"/>
      <c r="Z19" s="20"/>
    </row>
    <row r="20" spans="1:26" ht="45" hidden="1" customHeight="1">
      <c r="A20" s="95" t="s">
        <v>1101</v>
      </c>
      <c r="B20" s="89" t="s">
        <v>1011</v>
      </c>
      <c r="C20" s="89" t="s">
        <v>1102</v>
      </c>
      <c r="D20" s="89" t="s">
        <v>322</v>
      </c>
      <c r="E20" s="96" t="s">
        <v>1103</v>
      </c>
      <c r="F20" s="13" t="s">
        <v>1516</v>
      </c>
      <c r="G20" s="11"/>
      <c r="H20" s="95" t="s">
        <v>1105</v>
      </c>
      <c r="I20" s="90" t="s">
        <v>1106</v>
      </c>
      <c r="J20" s="160" t="s">
        <v>1107</v>
      </c>
      <c r="K20" s="11"/>
      <c r="L20" s="111" t="s">
        <v>268</v>
      </c>
      <c r="M20" s="103" t="s">
        <v>1108</v>
      </c>
      <c r="N20" s="106" t="s">
        <v>1109</v>
      </c>
      <c r="O20" s="89" t="s">
        <v>5</v>
      </c>
      <c r="P20" s="89" t="str">
        <f>'PDS - Desenvolvimento'!$K$157</f>
        <v>Concluído</v>
      </c>
      <c r="Q20" s="458">
        <v>45608</v>
      </c>
      <c r="R20" s="326" t="s">
        <v>5</v>
      </c>
      <c r="S20" s="11"/>
      <c r="T20" s="142" t="s">
        <v>433</v>
      </c>
      <c r="U20" s="90" t="s">
        <v>272</v>
      </c>
      <c r="V20" s="89" t="s">
        <v>1110</v>
      </c>
      <c r="W20" s="90" t="s">
        <v>289</v>
      </c>
      <c r="X20" s="96"/>
      <c r="Y20" s="11"/>
      <c r="Z20" s="23"/>
    </row>
    <row r="21" spans="1:26" ht="48.65" hidden="1" customHeight="1">
      <c r="A21" s="93" t="s">
        <v>1111</v>
      </c>
      <c r="B21" s="88" t="s">
        <v>1112</v>
      </c>
      <c r="C21" s="88" t="s">
        <v>1113</v>
      </c>
      <c r="D21" s="88" t="s">
        <v>917</v>
      </c>
      <c r="E21" s="226" t="s">
        <v>1114</v>
      </c>
      <c r="F21" s="14" t="s">
        <v>1517</v>
      </c>
      <c r="G21" s="10"/>
      <c r="H21" s="109" t="s">
        <v>1116</v>
      </c>
      <c r="I21" s="102" t="s">
        <v>1113</v>
      </c>
      <c r="J21" s="159" t="s">
        <v>1114</v>
      </c>
      <c r="K21" s="10"/>
      <c r="L21" s="169" t="s">
        <v>268</v>
      </c>
      <c r="M21" s="166" t="s">
        <v>1117</v>
      </c>
      <c r="N21" s="355" t="s">
        <v>1118</v>
      </c>
      <c r="O21" s="122" t="s">
        <v>5</v>
      </c>
      <c r="P21" s="122" t="str">
        <f>'PDS - Desenvolvimento'!$K$149</f>
        <v>Concluído</v>
      </c>
      <c r="Q21" s="461">
        <v>45608</v>
      </c>
      <c r="R21" s="318" t="s">
        <v>5</v>
      </c>
      <c r="S21" s="10"/>
      <c r="T21" s="140" t="s">
        <v>433</v>
      </c>
      <c r="U21" s="131" t="s">
        <v>272</v>
      </c>
      <c r="V21" s="133" t="s">
        <v>1119</v>
      </c>
      <c r="W21" s="131" t="s">
        <v>289</v>
      </c>
      <c r="X21" s="141"/>
      <c r="Y21" s="10"/>
      <c r="Z21" s="20"/>
    </row>
    <row r="22" spans="1:26" ht="46" hidden="1" customHeight="1">
      <c r="A22" s="95" t="s">
        <v>1120</v>
      </c>
      <c r="B22" s="89" t="s">
        <v>1011</v>
      </c>
      <c r="C22" s="89" t="s">
        <v>1121</v>
      </c>
      <c r="D22" s="89" t="s">
        <v>322</v>
      </c>
      <c r="E22" s="96" t="s">
        <v>1122</v>
      </c>
      <c r="F22" s="13" t="s">
        <v>1123</v>
      </c>
      <c r="G22" s="11"/>
      <c r="H22" s="95" t="s">
        <v>1124</v>
      </c>
      <c r="I22" s="90" t="s">
        <v>1125</v>
      </c>
      <c r="J22" s="160" t="s">
        <v>1126</v>
      </c>
      <c r="K22" s="11"/>
      <c r="L22" s="111" t="s">
        <v>268</v>
      </c>
      <c r="M22" s="103" t="s">
        <v>1127</v>
      </c>
      <c r="N22" s="106" t="s">
        <v>1128</v>
      </c>
      <c r="O22" s="89" t="s">
        <v>5</v>
      </c>
      <c r="P22" s="89" t="str">
        <f>'PDS - Desenvolvimento'!$K$156</f>
        <v>Concluído</v>
      </c>
      <c r="Q22" s="458">
        <v>45608</v>
      </c>
      <c r="R22" s="326" t="s">
        <v>5</v>
      </c>
      <c r="S22" s="11"/>
      <c r="T22" s="142" t="s">
        <v>433</v>
      </c>
      <c r="U22" s="90" t="s">
        <v>272</v>
      </c>
      <c r="V22" s="89" t="s">
        <v>1129</v>
      </c>
      <c r="W22" s="90" t="s">
        <v>289</v>
      </c>
      <c r="X22" s="96"/>
      <c r="Y22" s="11"/>
      <c r="Z22" s="23"/>
    </row>
    <row r="23" spans="1:26" ht="118.5" hidden="1" customHeight="1">
      <c r="A23" s="93" t="s">
        <v>1130</v>
      </c>
      <c r="B23" s="88" t="s">
        <v>1011</v>
      </c>
      <c r="C23" s="88" t="s">
        <v>1131</v>
      </c>
      <c r="D23" s="88" t="s">
        <v>917</v>
      </c>
      <c r="E23" s="94" t="s">
        <v>1132</v>
      </c>
      <c r="F23" s="14" t="s">
        <v>1518</v>
      </c>
      <c r="G23" s="10"/>
      <c r="H23" s="109" t="s">
        <v>1134</v>
      </c>
      <c r="I23" s="102" t="s">
        <v>1131</v>
      </c>
      <c r="J23" s="159" t="s">
        <v>1135</v>
      </c>
      <c r="K23" s="10"/>
      <c r="L23" s="323" t="s">
        <v>268</v>
      </c>
      <c r="M23" s="242" t="s">
        <v>1136</v>
      </c>
      <c r="N23" s="362" t="s">
        <v>1519</v>
      </c>
      <c r="O23" s="242" t="s">
        <v>5</v>
      </c>
      <c r="P23" s="242" t="str">
        <f>'PDS - Desenvolvimento'!$K$154</f>
        <v>Concluído</v>
      </c>
      <c r="Q23" s="468">
        <v>45608</v>
      </c>
      <c r="R23" s="320" t="s">
        <v>5</v>
      </c>
      <c r="S23" s="10"/>
      <c r="T23" s="140" t="s">
        <v>433</v>
      </c>
      <c r="U23" s="131" t="s">
        <v>272</v>
      </c>
      <c r="V23" s="133" t="s">
        <v>1138</v>
      </c>
      <c r="W23" s="131" t="s">
        <v>289</v>
      </c>
      <c r="X23" s="141"/>
      <c r="Y23" s="10"/>
      <c r="Z23" s="20"/>
    </row>
    <row r="24" spans="1:26" ht="110.25" hidden="1" customHeight="1">
      <c r="A24" s="95" t="s">
        <v>1139</v>
      </c>
      <c r="B24" s="89" t="s">
        <v>1011</v>
      </c>
      <c r="C24" s="89" t="s">
        <v>1140</v>
      </c>
      <c r="D24" s="89" t="s">
        <v>294</v>
      </c>
      <c r="E24" s="96" t="s">
        <v>1141</v>
      </c>
      <c r="F24" s="13" t="s">
        <v>1520</v>
      </c>
      <c r="G24" s="11"/>
      <c r="H24" s="95" t="s">
        <v>1143</v>
      </c>
      <c r="I24" s="90" t="s">
        <v>1140</v>
      </c>
      <c r="J24" s="96" t="s">
        <v>1144</v>
      </c>
      <c r="K24" s="11"/>
      <c r="L24" s="95" t="s">
        <v>268</v>
      </c>
      <c r="M24" s="89" t="s">
        <v>1145</v>
      </c>
      <c r="N24" s="349" t="s">
        <v>1521</v>
      </c>
      <c r="O24" s="89" t="s">
        <v>5</v>
      </c>
      <c r="P24" s="89" t="str">
        <f>'PDS - Desenvolvimento'!$K$153</f>
        <v>Concluído</v>
      </c>
      <c r="Q24" s="145"/>
      <c r="R24" s="326" t="s">
        <v>5</v>
      </c>
      <c r="S24" s="11"/>
      <c r="T24" s="142"/>
      <c r="U24" s="90"/>
      <c r="V24" s="89"/>
      <c r="W24" s="90" t="s">
        <v>1147</v>
      </c>
      <c r="X24" s="96"/>
      <c r="Y24" s="11"/>
      <c r="Z24" s="23"/>
    </row>
    <row r="25" spans="1:26" ht="97.5" hidden="1" customHeight="1">
      <c r="A25" s="93" t="s">
        <v>1148</v>
      </c>
      <c r="B25" s="88" t="s">
        <v>1011</v>
      </c>
      <c r="C25" s="88" t="s">
        <v>1149</v>
      </c>
      <c r="D25" s="88" t="s">
        <v>294</v>
      </c>
      <c r="E25" s="226" t="s">
        <v>1150</v>
      </c>
      <c r="F25" s="14" t="s">
        <v>1151</v>
      </c>
      <c r="G25" s="10"/>
      <c r="H25" s="109" t="s">
        <v>1152</v>
      </c>
      <c r="I25" s="102" t="s">
        <v>1149</v>
      </c>
      <c r="J25" s="110" t="s">
        <v>1153</v>
      </c>
      <c r="K25" s="10"/>
      <c r="L25" s="305" t="s">
        <v>268</v>
      </c>
      <c r="M25" s="304" t="s">
        <v>1154</v>
      </c>
      <c r="N25" s="365" t="s">
        <v>1522</v>
      </c>
      <c r="O25" s="304" t="s">
        <v>5</v>
      </c>
      <c r="P25" s="304" t="str">
        <f>'PDS - Desenvolvimento'!$K$158</f>
        <v>Concluído</v>
      </c>
      <c r="Q25" s="319"/>
      <c r="R25" s="327" t="s">
        <v>5</v>
      </c>
      <c r="S25" s="10"/>
      <c r="T25" s="140"/>
      <c r="U25" s="131"/>
      <c r="V25" s="133"/>
      <c r="W25" s="131" t="s">
        <v>1156</v>
      </c>
      <c r="X25" s="141"/>
      <c r="Y25" s="10"/>
      <c r="Z25" s="20"/>
    </row>
    <row r="26" spans="1:26" ht="153" hidden="1" customHeight="1">
      <c r="A26" s="95" t="s">
        <v>1523</v>
      </c>
      <c r="B26" s="89" t="s">
        <v>1011</v>
      </c>
      <c r="C26" s="89" t="s">
        <v>1158</v>
      </c>
      <c r="D26" s="89" t="s">
        <v>322</v>
      </c>
      <c r="E26" s="160" t="s">
        <v>1159</v>
      </c>
      <c r="F26" s="13" t="s">
        <v>1524</v>
      </c>
      <c r="G26" s="11"/>
      <c r="H26" s="272" t="s">
        <v>1525</v>
      </c>
      <c r="I26" s="189" t="s">
        <v>50</v>
      </c>
      <c r="J26" s="194" t="s">
        <v>50</v>
      </c>
      <c r="K26" s="11"/>
      <c r="L26" s="168" t="s">
        <v>284</v>
      </c>
      <c r="M26" s="165" t="s">
        <v>1162</v>
      </c>
      <c r="N26" s="354" t="s">
        <v>1526</v>
      </c>
      <c r="O26" s="165" t="s">
        <v>5</v>
      </c>
      <c r="P26" s="165" t="str">
        <f>'PDS - Desenvolvimento'!$K$164</f>
        <v>Concluído</v>
      </c>
      <c r="Q26" s="469"/>
      <c r="R26" s="321" t="s">
        <v>5</v>
      </c>
      <c r="S26" s="11"/>
      <c r="T26" s="142" t="s">
        <v>493</v>
      </c>
      <c r="U26" s="90" t="s">
        <v>272</v>
      </c>
      <c r="V26" s="89" t="s">
        <v>1164</v>
      </c>
      <c r="W26" s="90" t="s">
        <v>289</v>
      </c>
      <c r="X26" s="96"/>
      <c r="Y26" s="11"/>
      <c r="Z26" s="23"/>
    </row>
    <row r="27" spans="1:26" ht="146.25" hidden="1" customHeight="1">
      <c r="A27" s="97" t="s">
        <v>1527</v>
      </c>
      <c r="B27" s="98" t="s">
        <v>487</v>
      </c>
      <c r="C27" s="98" t="s">
        <v>1166</v>
      </c>
      <c r="D27" s="98" t="s">
        <v>322</v>
      </c>
      <c r="E27" s="158" t="s">
        <v>1167</v>
      </c>
      <c r="F27" s="42" t="s">
        <v>1528</v>
      </c>
      <c r="G27" s="10"/>
      <c r="H27" s="273" t="s">
        <v>1525</v>
      </c>
      <c r="I27" s="162" t="s">
        <v>50</v>
      </c>
      <c r="J27" s="163" t="s">
        <v>50</v>
      </c>
      <c r="K27" s="10"/>
      <c r="L27" s="325" t="s">
        <v>284</v>
      </c>
      <c r="M27" s="274" t="s">
        <v>1169</v>
      </c>
      <c r="N27" s="350" t="s">
        <v>1170</v>
      </c>
      <c r="O27" s="274" t="s">
        <v>5</v>
      </c>
      <c r="P27" s="274" t="str">
        <f>'PDS - Desenvolvimento'!$K$165</f>
        <v>Concluído</v>
      </c>
      <c r="Q27" s="470">
        <v>45608</v>
      </c>
      <c r="R27" s="328" t="s">
        <v>287</v>
      </c>
      <c r="S27" s="10"/>
      <c r="T27" s="146" t="s">
        <v>493</v>
      </c>
      <c r="U27" s="148" t="s">
        <v>272</v>
      </c>
      <c r="V27" s="147" t="s">
        <v>494</v>
      </c>
      <c r="W27" s="148" t="s">
        <v>289</v>
      </c>
      <c r="X27" s="149"/>
      <c r="Y27" s="10"/>
      <c r="Z27" s="20"/>
    </row>
  </sheetData>
  <autoFilter ref="A2:Z27">
    <filterColumn colId="12">
      <filters>
        <filter val="building_area_m2"/>
      </filters>
    </filterColumn>
  </autoFilter>
  <mergeCells count="67">
    <mergeCell ref="H1:J1"/>
    <mergeCell ref="T1:X1"/>
    <mergeCell ref="F12:F14"/>
    <mergeCell ref="N12:N14"/>
    <mergeCell ref="I12:I14"/>
    <mergeCell ref="J12:J14"/>
    <mergeCell ref="F7:F10"/>
    <mergeCell ref="H7:H10"/>
    <mergeCell ref="N7:N10"/>
    <mergeCell ref="T7:T10"/>
    <mergeCell ref="U7:U10"/>
    <mergeCell ref="I7:I10"/>
    <mergeCell ref="J7:J10"/>
    <mergeCell ref="O7:O10"/>
    <mergeCell ref="L3:L6"/>
    <mergeCell ref="H3:H6"/>
    <mergeCell ref="A12:A14"/>
    <mergeCell ref="B12:B14"/>
    <mergeCell ref="C12:C14"/>
    <mergeCell ref="D12:D14"/>
    <mergeCell ref="E12:E14"/>
    <mergeCell ref="E3:E6"/>
    <mergeCell ref="F3:F6"/>
    <mergeCell ref="A7:A10"/>
    <mergeCell ref="B7:B10"/>
    <mergeCell ref="C7:C10"/>
    <mergeCell ref="D7:D10"/>
    <mergeCell ref="E7:E10"/>
    <mergeCell ref="C3:C6"/>
    <mergeCell ref="A1:E1"/>
    <mergeCell ref="Z3:Z6"/>
    <mergeCell ref="W7:W10"/>
    <mergeCell ref="X7:X10"/>
    <mergeCell ref="Z7:Z10"/>
    <mergeCell ref="A3:A6"/>
    <mergeCell ref="B3:B6"/>
    <mergeCell ref="T3:T6"/>
    <mergeCell ref="U3:U6"/>
    <mergeCell ref="I3:I6"/>
    <mergeCell ref="J3:J6"/>
    <mergeCell ref="O3:O6"/>
    <mergeCell ref="R3:R6"/>
    <mergeCell ref="W3:W6"/>
    <mergeCell ref="X3:X6"/>
    <mergeCell ref="D3:D6"/>
    <mergeCell ref="H12:H14"/>
    <mergeCell ref="M12:M14"/>
    <mergeCell ref="M3:M6"/>
    <mergeCell ref="M7:M10"/>
    <mergeCell ref="R7:R10"/>
    <mergeCell ref="L12:L14"/>
    <mergeCell ref="L7:L10"/>
    <mergeCell ref="P3:P6"/>
    <mergeCell ref="P7:P10"/>
    <mergeCell ref="P12:P14"/>
    <mergeCell ref="L1:Q1"/>
    <mergeCell ref="Q3:Q6"/>
    <mergeCell ref="Q7:Q10"/>
    <mergeCell ref="Q12:Q14"/>
    <mergeCell ref="Z12:Z14"/>
    <mergeCell ref="T12:T13"/>
    <mergeCell ref="U12:U13"/>
    <mergeCell ref="W12:W14"/>
    <mergeCell ref="X12:X14"/>
    <mergeCell ref="N3:N6"/>
    <mergeCell ref="O12:O14"/>
    <mergeCell ref="R12:R14"/>
  </mergeCells>
  <dataValidations count="1">
    <dataValidation allowBlank="1" showInputMessage="1" showErrorMessage="1" sqref="P3:P27"/>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AUX!$A$2:$A$8</xm:f>
          </x14:formula1>
          <xm:sqref>O3:O27</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Y8"/>
  <sheetViews>
    <sheetView zoomScale="70" zoomScaleNormal="70" workbookViewId="0">
      <pane xSplit="6" ySplit="2" topLeftCell="Z3" activePane="bottomRight" state="frozen"/>
      <selection pane="topRight" activeCell="G1" sqref="G1"/>
      <selection pane="bottomLeft" activeCell="A3" sqref="A3"/>
      <selection pane="bottomRight" activeCell="Z8" sqref="Z8"/>
    </sheetView>
  </sheetViews>
  <sheetFormatPr defaultRowHeight="15" customHeight="1"/>
  <cols>
    <col min="1" max="1" width="6.26953125" customWidth="1"/>
    <col min="2" max="2" width="12.81640625" customWidth="1"/>
    <col min="3" max="3" width="24.453125" bestFit="1" customWidth="1"/>
    <col min="4" max="4" width="13" customWidth="1"/>
    <col min="5" max="5" width="47.7265625" customWidth="1"/>
    <col min="6" max="6" width="0" hidden="1" customWidth="1"/>
    <col min="7" max="7" width="4.1796875" customWidth="1"/>
    <col min="8" max="8" width="34.1796875" customWidth="1"/>
    <col min="9" max="10" width="35.81640625" customWidth="1"/>
    <col min="11" max="11" width="4" customWidth="1"/>
    <col min="12" max="12" width="18.54296875" bestFit="1" customWidth="1"/>
    <col min="13" max="13" width="28.7265625" bestFit="1" customWidth="1"/>
    <col min="14" max="16" width="52.453125" customWidth="1"/>
    <col min="17" max="17" width="52.453125" hidden="1" customWidth="1"/>
    <col min="18" max="18" width="38.453125" hidden="1" customWidth="1"/>
    <col min="19" max="19" width="4.1796875" customWidth="1"/>
    <col min="20" max="20" width="36" hidden="1" customWidth="1"/>
    <col min="21" max="21" width="27.54296875" hidden="1" customWidth="1"/>
    <col min="22" max="22" width="35.26953125" hidden="1" customWidth="1"/>
    <col min="23" max="23" width="75.26953125" hidden="1" customWidth="1"/>
    <col min="24" max="24" width="52.453125" hidden="1" customWidth="1"/>
    <col min="25" max="25" width="0" hidden="1" customWidth="1"/>
  </cols>
  <sheetData>
    <row r="1" spans="1:25" ht="19" customHeight="1">
      <c r="A1" s="874" t="s">
        <v>234</v>
      </c>
      <c r="B1" s="875"/>
      <c r="C1" s="875"/>
      <c r="D1" s="875"/>
      <c r="E1" s="876"/>
      <c r="F1" s="84"/>
      <c r="G1" s="85"/>
      <c r="H1" s="877" t="s">
        <v>235</v>
      </c>
      <c r="I1" s="878"/>
      <c r="J1" s="879"/>
      <c r="K1" s="85"/>
      <c r="L1" s="869" t="s">
        <v>236</v>
      </c>
      <c r="M1" s="870"/>
      <c r="N1" s="870"/>
      <c r="O1" s="870"/>
      <c r="P1" s="870"/>
      <c r="Q1" s="871"/>
      <c r="R1" s="338"/>
      <c r="S1" s="153"/>
      <c r="T1" s="1139" t="s">
        <v>237</v>
      </c>
      <c r="U1" s="887"/>
      <c r="V1" s="887"/>
      <c r="W1" s="887"/>
      <c r="X1" s="888"/>
      <c r="Y1" s="129"/>
    </row>
    <row r="2" spans="1:25" ht="29">
      <c r="A2" s="91" t="s">
        <v>238</v>
      </c>
      <c r="B2" s="87" t="s">
        <v>239</v>
      </c>
      <c r="C2" s="87" t="s">
        <v>240</v>
      </c>
      <c r="D2" s="87" t="s">
        <v>241</v>
      </c>
      <c r="E2" s="92" t="s">
        <v>242</v>
      </c>
      <c r="F2" s="41" t="s">
        <v>1502</v>
      </c>
      <c r="G2" s="9"/>
      <c r="H2" s="107" t="s">
        <v>244</v>
      </c>
      <c r="I2" s="100" t="s">
        <v>245</v>
      </c>
      <c r="J2" s="108" t="s">
        <v>246</v>
      </c>
      <c r="K2" s="36"/>
      <c r="L2" s="333" t="s">
        <v>504</v>
      </c>
      <c r="M2" s="334" t="s">
        <v>248</v>
      </c>
      <c r="N2" s="121" t="s">
        <v>249</v>
      </c>
      <c r="O2" s="121" t="s">
        <v>1</v>
      </c>
      <c r="P2" s="121" t="s">
        <v>250</v>
      </c>
      <c r="Q2" s="123" t="s">
        <v>251</v>
      </c>
      <c r="R2" s="341" t="s">
        <v>252</v>
      </c>
      <c r="S2" s="9"/>
      <c r="T2" s="344" t="s">
        <v>253</v>
      </c>
      <c r="U2" s="130" t="s">
        <v>254</v>
      </c>
      <c r="V2" s="130" t="s">
        <v>255</v>
      </c>
      <c r="W2" s="130" t="s">
        <v>256</v>
      </c>
      <c r="X2" s="179" t="s">
        <v>257</v>
      </c>
      <c r="Y2" s="218" t="s">
        <v>258</v>
      </c>
    </row>
    <row r="3" spans="1:25" ht="14.5">
      <c r="A3" s="836" t="s">
        <v>259</v>
      </c>
      <c r="B3" s="835" t="s">
        <v>260</v>
      </c>
      <c r="C3" s="835" t="s">
        <v>261</v>
      </c>
      <c r="D3" s="835" t="s">
        <v>262</v>
      </c>
      <c r="E3" s="815" t="s">
        <v>263</v>
      </c>
      <c r="F3" s="837" t="s">
        <v>264</v>
      </c>
      <c r="G3" s="10"/>
      <c r="H3" s="821" t="s">
        <v>505</v>
      </c>
      <c r="I3" s="827" t="s">
        <v>266</v>
      </c>
      <c r="J3" s="830" t="s">
        <v>506</v>
      </c>
      <c r="K3" s="10"/>
      <c r="L3" s="1078" t="s">
        <v>268</v>
      </c>
      <c r="M3" s="1079" t="s">
        <v>269</v>
      </c>
      <c r="N3" s="1074" t="s">
        <v>507</v>
      </c>
      <c r="O3" s="1079" t="s">
        <v>5</v>
      </c>
      <c r="P3" s="1079" t="str">
        <f>'PDS - Desenvolvimento'!$K$144</f>
        <v>Concluído</v>
      </c>
      <c r="Q3" s="1137">
        <v>45608</v>
      </c>
      <c r="R3" s="1136" t="s">
        <v>5</v>
      </c>
      <c r="S3" s="10"/>
      <c r="T3" s="1135" t="s">
        <v>271</v>
      </c>
      <c r="U3" s="796" t="s">
        <v>272</v>
      </c>
      <c r="V3" s="133" t="s">
        <v>273</v>
      </c>
      <c r="W3" s="793" t="s">
        <v>274</v>
      </c>
      <c r="X3" s="791"/>
      <c r="Y3" s="920" t="s">
        <v>435</v>
      </c>
    </row>
    <row r="4" spans="1:25" ht="14.5">
      <c r="A4" s="836"/>
      <c r="B4" s="835"/>
      <c r="C4" s="835"/>
      <c r="D4" s="835"/>
      <c r="E4" s="815"/>
      <c r="F4" s="816"/>
      <c r="G4" s="10"/>
      <c r="H4" s="821"/>
      <c r="I4" s="827"/>
      <c r="J4" s="830"/>
      <c r="K4" s="10"/>
      <c r="L4" s="1078"/>
      <c r="M4" s="1079"/>
      <c r="N4" s="1074"/>
      <c r="O4" s="1079"/>
      <c r="P4" s="1079"/>
      <c r="Q4" s="1138"/>
      <c r="R4" s="1136"/>
      <c r="S4" s="10"/>
      <c r="T4" s="1135"/>
      <c r="U4" s="796"/>
      <c r="V4" s="133" t="s">
        <v>276</v>
      </c>
      <c r="W4" s="793"/>
      <c r="X4" s="791"/>
      <c r="Y4" s="921"/>
    </row>
    <row r="5" spans="1:25" ht="14.5">
      <c r="A5" s="836"/>
      <c r="B5" s="835"/>
      <c r="C5" s="835"/>
      <c r="D5" s="835"/>
      <c r="E5" s="815"/>
      <c r="F5" s="816"/>
      <c r="G5" s="10"/>
      <c r="H5" s="821"/>
      <c r="I5" s="827"/>
      <c r="J5" s="830"/>
      <c r="K5" s="10"/>
      <c r="L5" s="1078"/>
      <c r="M5" s="1079"/>
      <c r="N5" s="1074"/>
      <c r="O5" s="1079"/>
      <c r="P5" s="1079"/>
      <c r="Q5" s="1138"/>
      <c r="R5" s="1136"/>
      <c r="S5" s="10"/>
      <c r="T5" s="1135"/>
      <c r="U5" s="796"/>
      <c r="V5" s="133" t="s">
        <v>277</v>
      </c>
      <c r="W5" s="793"/>
      <c r="X5" s="791"/>
      <c r="Y5" s="921"/>
    </row>
    <row r="6" spans="1:25" ht="14.5">
      <c r="A6" s="836"/>
      <c r="B6" s="835"/>
      <c r="C6" s="835"/>
      <c r="D6" s="835"/>
      <c r="E6" s="815"/>
      <c r="F6" s="816"/>
      <c r="G6" s="10"/>
      <c r="H6" s="821"/>
      <c r="I6" s="827"/>
      <c r="J6" s="830"/>
      <c r="K6" s="10"/>
      <c r="L6" s="1078"/>
      <c r="M6" s="1079"/>
      <c r="N6" s="1074"/>
      <c r="O6" s="1079"/>
      <c r="P6" s="1079"/>
      <c r="Q6" s="1138"/>
      <c r="R6" s="1136"/>
      <c r="S6" s="10"/>
      <c r="T6" s="1135"/>
      <c r="U6" s="796"/>
      <c r="V6" s="133" t="s">
        <v>278</v>
      </c>
      <c r="W6" s="793"/>
      <c r="X6" s="791"/>
      <c r="Y6" s="915"/>
    </row>
    <row r="7" spans="1:25" ht="135" customHeight="1">
      <c r="A7" s="222" t="s">
        <v>279</v>
      </c>
      <c r="B7" s="207" t="s">
        <v>260</v>
      </c>
      <c r="C7" s="137" t="s">
        <v>280</v>
      </c>
      <c r="D7" s="137" t="s">
        <v>262</v>
      </c>
      <c r="E7" s="203" t="s">
        <v>281</v>
      </c>
      <c r="F7" s="43" t="s">
        <v>367</v>
      </c>
      <c r="G7" s="10"/>
      <c r="H7" s="190" t="s">
        <v>508</v>
      </c>
      <c r="I7" s="135" t="s">
        <v>369</v>
      </c>
      <c r="J7" s="203" t="s">
        <v>509</v>
      </c>
      <c r="K7" s="10"/>
      <c r="L7" s="190" t="s">
        <v>268</v>
      </c>
      <c r="M7" s="137" t="s">
        <v>285</v>
      </c>
      <c r="N7" s="135" t="s">
        <v>510</v>
      </c>
      <c r="O7" s="137" t="s">
        <v>5</v>
      </c>
      <c r="P7" s="137" t="str">
        <f>'PDS - Desenvolvimento'!$K$145</f>
        <v>Concluído</v>
      </c>
      <c r="Q7" s="471">
        <v>45608</v>
      </c>
      <c r="R7" s="342" t="s">
        <v>5</v>
      </c>
      <c r="S7" s="10"/>
      <c r="T7" s="345" t="s">
        <v>271</v>
      </c>
      <c r="U7" s="217" t="s">
        <v>272</v>
      </c>
      <c r="V7" s="206" t="s">
        <v>288</v>
      </c>
      <c r="W7" s="217" t="s">
        <v>289</v>
      </c>
      <c r="X7" s="203"/>
      <c r="Y7" s="33"/>
    </row>
    <row r="8" spans="1:25" ht="138" customHeight="1">
      <c r="A8" s="97" t="s">
        <v>824</v>
      </c>
      <c r="B8" s="98" t="s">
        <v>737</v>
      </c>
      <c r="C8" s="98" t="s">
        <v>825</v>
      </c>
      <c r="D8" s="98" t="s">
        <v>322</v>
      </c>
      <c r="E8" s="99" t="s">
        <v>826</v>
      </c>
      <c r="F8" s="44" t="s">
        <v>827</v>
      </c>
      <c r="G8" s="11"/>
      <c r="H8" s="118" t="s">
        <v>1171</v>
      </c>
      <c r="I8" s="119" t="s">
        <v>1172</v>
      </c>
      <c r="J8" s="120" t="s">
        <v>1173</v>
      </c>
      <c r="K8" s="34"/>
      <c r="L8" s="282" t="s">
        <v>268</v>
      </c>
      <c r="M8" s="283" t="s">
        <v>829</v>
      </c>
      <c r="N8" s="364" t="s">
        <v>1174</v>
      </c>
      <c r="O8" s="283" t="s">
        <v>5</v>
      </c>
      <c r="P8" s="283" t="str">
        <f>'PDS - Desenvolvimento'!$K$146</f>
        <v>Concluído</v>
      </c>
      <c r="Q8" s="472">
        <v>45608</v>
      </c>
      <c r="R8" s="343" t="s">
        <v>5</v>
      </c>
      <c r="S8" s="34"/>
      <c r="T8" s="346" t="s">
        <v>831</v>
      </c>
      <c r="U8" s="148" t="s">
        <v>272</v>
      </c>
      <c r="V8" s="148" t="s">
        <v>832</v>
      </c>
      <c r="W8" s="148" t="s">
        <v>289</v>
      </c>
      <c r="X8" s="149"/>
      <c r="Y8" s="33"/>
    </row>
  </sheetData>
  <mergeCells count="25">
    <mergeCell ref="A1:E1"/>
    <mergeCell ref="H1:J1"/>
    <mergeCell ref="T1:X1"/>
    <mergeCell ref="W3:W6"/>
    <mergeCell ref="X3:X6"/>
    <mergeCell ref="M3:M6"/>
    <mergeCell ref="L3:L6"/>
    <mergeCell ref="L1:Q1"/>
    <mergeCell ref="P3:P6"/>
    <mergeCell ref="Y3:Y6"/>
    <mergeCell ref="A3:A6"/>
    <mergeCell ref="B3:B6"/>
    <mergeCell ref="C3:C6"/>
    <mergeCell ref="D3:D6"/>
    <mergeCell ref="E3:E6"/>
    <mergeCell ref="F3:F6"/>
    <mergeCell ref="H3:H6"/>
    <mergeCell ref="N3:N6"/>
    <mergeCell ref="T3:T6"/>
    <mergeCell ref="I3:I6"/>
    <mergeCell ref="J3:J6"/>
    <mergeCell ref="O3:O6"/>
    <mergeCell ref="R3:R6"/>
    <mergeCell ref="U3:U6"/>
    <mergeCell ref="Q3:Q6"/>
  </mergeCells>
  <dataValidations count="1">
    <dataValidation allowBlank="1" showInputMessage="1" showErrorMessage="1" sqref="P3:P8"/>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AUX!$A$2:$A$8</xm:f>
          </x14:formula1>
          <xm:sqref>O3:O8</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Z12"/>
  <sheetViews>
    <sheetView zoomScale="70" zoomScaleNormal="70" workbookViewId="0">
      <pane xSplit="6" ySplit="2" topLeftCell="N3" activePane="bottomRight" state="frozen"/>
      <selection pane="topRight" activeCell="G1" sqref="G1"/>
      <selection pane="bottomLeft" activeCell="A3" sqref="A3"/>
      <selection pane="bottomRight" activeCell="G3" sqref="G3"/>
    </sheetView>
  </sheetViews>
  <sheetFormatPr defaultRowHeight="15" customHeight="1"/>
  <cols>
    <col min="1" max="1" width="6.26953125" customWidth="1"/>
    <col min="2" max="2" width="12.81640625" customWidth="1"/>
    <col min="3" max="3" width="24.453125" bestFit="1" customWidth="1"/>
    <col min="4" max="4" width="13" customWidth="1"/>
    <col min="5" max="5" width="47.7265625" customWidth="1"/>
    <col min="6" max="6" width="0" hidden="1" customWidth="1"/>
    <col min="7" max="7" width="4.1796875" customWidth="1"/>
    <col min="8" max="8" width="34.1796875" customWidth="1"/>
    <col min="9" max="10" width="35.81640625" customWidth="1"/>
    <col min="11" max="11" width="4" customWidth="1"/>
    <col min="12" max="12" width="18.54296875" bestFit="1" customWidth="1"/>
    <col min="13" max="13" width="28.7265625" bestFit="1" customWidth="1"/>
    <col min="14" max="16" width="52.453125" customWidth="1"/>
    <col min="17" max="17" width="52.453125" hidden="1" customWidth="1"/>
    <col min="18" max="18" width="38.1796875" hidden="1" customWidth="1"/>
    <col min="19" max="19" width="4.1796875" style="49" customWidth="1"/>
    <col min="20" max="20" width="35.1796875" hidden="1" customWidth="1"/>
    <col min="21" max="21" width="27.453125" hidden="1" customWidth="1"/>
    <col min="22" max="22" width="28.453125" hidden="1" customWidth="1"/>
    <col min="23" max="23" width="68.453125" hidden="1" customWidth="1"/>
    <col min="24" max="24" width="75.54296875" hidden="1" customWidth="1"/>
    <col min="25" max="26" width="0" hidden="1" customWidth="1"/>
  </cols>
  <sheetData>
    <row r="1" spans="1:26" ht="19" customHeight="1">
      <c r="A1" s="874" t="s">
        <v>234</v>
      </c>
      <c r="B1" s="875"/>
      <c r="C1" s="875"/>
      <c r="D1" s="875"/>
      <c r="E1" s="876"/>
      <c r="F1" s="84"/>
      <c r="G1" s="85"/>
      <c r="H1" s="877" t="s">
        <v>235</v>
      </c>
      <c r="I1" s="878"/>
      <c r="J1" s="879"/>
      <c r="K1" s="85"/>
      <c r="L1" s="869" t="s">
        <v>236</v>
      </c>
      <c r="M1" s="870"/>
      <c r="N1" s="870"/>
      <c r="O1" s="870"/>
      <c r="P1" s="870"/>
      <c r="Q1" s="871"/>
      <c r="R1" s="339"/>
      <c r="S1" s="153"/>
      <c r="T1" s="886" t="s">
        <v>237</v>
      </c>
      <c r="U1" s="887"/>
      <c r="V1" s="887"/>
      <c r="W1" s="887"/>
      <c r="X1" s="888"/>
      <c r="Y1" s="129"/>
    </row>
    <row r="2" spans="1:26" ht="29">
      <c r="A2" s="91" t="s">
        <v>238</v>
      </c>
      <c r="B2" s="87" t="s">
        <v>239</v>
      </c>
      <c r="C2" s="87" t="s">
        <v>240</v>
      </c>
      <c r="D2" s="87" t="s">
        <v>241</v>
      </c>
      <c r="E2" s="92" t="s">
        <v>242</v>
      </c>
      <c r="F2" s="41" t="s">
        <v>1502</v>
      </c>
      <c r="G2" s="9"/>
      <c r="H2" s="107" t="s">
        <v>244</v>
      </c>
      <c r="I2" s="100" t="s">
        <v>245</v>
      </c>
      <c r="J2" s="108" t="s">
        <v>246</v>
      </c>
      <c r="K2" s="36"/>
      <c r="L2" s="333" t="s">
        <v>511</v>
      </c>
      <c r="M2" s="334" t="s">
        <v>248</v>
      </c>
      <c r="N2" s="121" t="s">
        <v>249</v>
      </c>
      <c r="O2" s="121" t="s">
        <v>1</v>
      </c>
      <c r="P2" s="121" t="s">
        <v>250</v>
      </c>
      <c r="Q2" s="123" t="s">
        <v>251</v>
      </c>
      <c r="R2" s="347" t="s">
        <v>252</v>
      </c>
      <c r="S2" s="35"/>
      <c r="T2" s="138" t="s">
        <v>253</v>
      </c>
      <c r="U2" s="130" t="s">
        <v>254</v>
      </c>
      <c r="V2" s="130" t="s">
        <v>255</v>
      </c>
      <c r="W2" s="130" t="s">
        <v>256</v>
      </c>
      <c r="X2" s="179" t="s">
        <v>257</v>
      </c>
      <c r="Y2" s="218" t="s">
        <v>258</v>
      </c>
    </row>
    <row r="3" spans="1:26" ht="14.5">
      <c r="A3" s="836" t="s">
        <v>259</v>
      </c>
      <c r="B3" s="835" t="s">
        <v>260</v>
      </c>
      <c r="C3" s="835" t="s">
        <v>261</v>
      </c>
      <c r="D3" s="835" t="s">
        <v>262</v>
      </c>
      <c r="E3" s="815" t="s">
        <v>263</v>
      </c>
      <c r="F3" s="837" t="s">
        <v>264</v>
      </c>
      <c r="G3" s="10"/>
      <c r="H3" s="821" t="s">
        <v>512</v>
      </c>
      <c r="I3" s="827" t="s">
        <v>266</v>
      </c>
      <c r="J3" s="830" t="s">
        <v>506</v>
      </c>
      <c r="K3" s="10"/>
      <c r="L3" s="898" t="s">
        <v>268</v>
      </c>
      <c r="M3" s="900" t="s">
        <v>269</v>
      </c>
      <c r="N3" s="900" t="s">
        <v>513</v>
      </c>
      <c r="O3" s="900" t="s">
        <v>5</v>
      </c>
      <c r="P3" s="900" t="str">
        <f>'PDS - Desenvolvimento'!$K$166</f>
        <v>Concluído</v>
      </c>
      <c r="Q3" s="1085">
        <v>45608</v>
      </c>
      <c r="R3" s="1142" t="s">
        <v>5</v>
      </c>
      <c r="S3" s="11"/>
      <c r="T3" s="798" t="s">
        <v>271</v>
      </c>
      <c r="U3" s="796" t="s">
        <v>272</v>
      </c>
      <c r="V3" s="133" t="s">
        <v>273</v>
      </c>
      <c r="W3" s="793" t="s">
        <v>274</v>
      </c>
      <c r="X3" s="791"/>
      <c r="Y3" s="920" t="s">
        <v>435</v>
      </c>
    </row>
    <row r="4" spans="1:26" ht="14.5">
      <c r="A4" s="836"/>
      <c r="B4" s="835"/>
      <c r="C4" s="835"/>
      <c r="D4" s="835"/>
      <c r="E4" s="815"/>
      <c r="F4" s="816"/>
      <c r="G4" s="10"/>
      <c r="H4" s="821"/>
      <c r="I4" s="827"/>
      <c r="J4" s="830"/>
      <c r="K4" s="10"/>
      <c r="L4" s="898"/>
      <c r="M4" s="900"/>
      <c r="N4" s="900"/>
      <c r="O4" s="900"/>
      <c r="P4" s="900"/>
      <c r="Q4" s="910"/>
      <c r="R4" s="1084"/>
      <c r="S4" s="11"/>
      <c r="T4" s="798"/>
      <c r="U4" s="796"/>
      <c r="V4" s="133" t="s">
        <v>276</v>
      </c>
      <c r="W4" s="793"/>
      <c r="X4" s="791"/>
      <c r="Y4" s="921"/>
    </row>
    <row r="5" spans="1:26" ht="14.5">
      <c r="A5" s="836"/>
      <c r="B5" s="835"/>
      <c r="C5" s="835"/>
      <c r="D5" s="835"/>
      <c r="E5" s="815"/>
      <c r="F5" s="816"/>
      <c r="G5" s="10"/>
      <c r="H5" s="821"/>
      <c r="I5" s="827"/>
      <c r="J5" s="830"/>
      <c r="K5" s="10"/>
      <c r="L5" s="898"/>
      <c r="M5" s="900"/>
      <c r="N5" s="900"/>
      <c r="O5" s="900"/>
      <c r="P5" s="900"/>
      <c r="Q5" s="910"/>
      <c r="R5" s="1084"/>
      <c r="S5" s="11"/>
      <c r="T5" s="798"/>
      <c r="U5" s="796"/>
      <c r="V5" s="133" t="s">
        <v>277</v>
      </c>
      <c r="W5" s="793"/>
      <c r="X5" s="791"/>
      <c r="Y5" s="921"/>
    </row>
    <row r="6" spans="1:26" ht="14.5">
      <c r="A6" s="836"/>
      <c r="B6" s="835"/>
      <c r="C6" s="835"/>
      <c r="D6" s="835"/>
      <c r="E6" s="815"/>
      <c r="F6" s="816"/>
      <c r="G6" s="10"/>
      <c r="H6" s="821"/>
      <c r="I6" s="827"/>
      <c r="J6" s="830"/>
      <c r="K6" s="10"/>
      <c r="L6" s="898"/>
      <c r="M6" s="900"/>
      <c r="N6" s="900"/>
      <c r="O6" s="900"/>
      <c r="P6" s="900"/>
      <c r="Q6" s="910"/>
      <c r="R6" s="1084"/>
      <c r="S6" s="11"/>
      <c r="T6" s="798"/>
      <c r="U6" s="796"/>
      <c r="V6" s="133" t="s">
        <v>278</v>
      </c>
      <c r="W6" s="793"/>
      <c r="X6" s="791"/>
      <c r="Y6" s="915"/>
    </row>
    <row r="7" spans="1:26" ht="14.5">
      <c r="A7" s="899" t="s">
        <v>424</v>
      </c>
      <c r="B7" s="894" t="s">
        <v>260</v>
      </c>
      <c r="C7" s="894" t="s">
        <v>425</v>
      </c>
      <c r="D7" s="894" t="s">
        <v>262</v>
      </c>
      <c r="E7" s="913" t="s">
        <v>426</v>
      </c>
      <c r="F7" s="1081" t="s">
        <v>1062</v>
      </c>
      <c r="G7" s="34"/>
      <c r="H7" s="899" t="s">
        <v>514</v>
      </c>
      <c r="I7" s="889" t="s">
        <v>429</v>
      </c>
      <c r="J7" s="913" t="s">
        <v>515</v>
      </c>
      <c r="K7" s="34"/>
      <c r="L7" s="899" t="s">
        <v>268</v>
      </c>
      <c r="M7" s="894" t="s">
        <v>431</v>
      </c>
      <c r="N7" s="894" t="s">
        <v>516</v>
      </c>
      <c r="O7" s="894" t="s">
        <v>5</v>
      </c>
      <c r="P7" s="894" t="str">
        <f>'PDS - Desenvolvimento'!$K$167</f>
        <v>Concluído</v>
      </c>
      <c r="Q7" s="1141">
        <v>45608</v>
      </c>
      <c r="R7" s="1140" t="s">
        <v>5</v>
      </c>
      <c r="S7" s="37"/>
      <c r="T7" s="852" t="s">
        <v>1063</v>
      </c>
      <c r="U7" s="889" t="s">
        <v>272</v>
      </c>
      <c r="V7" s="137" t="s">
        <v>273</v>
      </c>
      <c r="W7" s="889" t="s">
        <v>1064</v>
      </c>
      <c r="X7" s="896"/>
      <c r="Y7" s="33"/>
    </row>
    <row r="8" spans="1:26" ht="14.5">
      <c r="A8" s="899"/>
      <c r="B8" s="894"/>
      <c r="C8" s="894"/>
      <c r="D8" s="894"/>
      <c r="E8" s="913"/>
      <c r="F8" s="1082"/>
      <c r="G8" s="34"/>
      <c r="H8" s="899"/>
      <c r="I8" s="889"/>
      <c r="J8" s="913"/>
      <c r="K8" s="34"/>
      <c r="L8" s="899"/>
      <c r="M8" s="894"/>
      <c r="N8" s="894"/>
      <c r="O8" s="894"/>
      <c r="P8" s="894"/>
      <c r="Q8" s="896"/>
      <c r="R8" s="1140"/>
      <c r="S8" s="37"/>
      <c r="T8" s="852"/>
      <c r="U8" s="889"/>
      <c r="V8" s="137" t="s">
        <v>436</v>
      </c>
      <c r="W8" s="889"/>
      <c r="X8" s="896"/>
      <c r="Y8" s="33"/>
    </row>
    <row r="9" spans="1:26" ht="14.5">
      <c r="A9" s="899"/>
      <c r="B9" s="894"/>
      <c r="C9" s="894"/>
      <c r="D9" s="894"/>
      <c r="E9" s="913"/>
      <c r="F9" s="1082"/>
      <c r="G9" s="34"/>
      <c r="H9" s="899"/>
      <c r="I9" s="889"/>
      <c r="J9" s="913"/>
      <c r="K9" s="34"/>
      <c r="L9" s="899"/>
      <c r="M9" s="894"/>
      <c r="N9" s="894"/>
      <c r="O9" s="894"/>
      <c r="P9" s="894"/>
      <c r="Q9" s="896"/>
      <c r="R9" s="1140"/>
      <c r="S9" s="37"/>
      <c r="T9" s="852"/>
      <c r="U9" s="889"/>
      <c r="V9" s="137" t="s">
        <v>437</v>
      </c>
      <c r="W9" s="889"/>
      <c r="X9" s="896"/>
    </row>
    <row r="10" spans="1:26" ht="14.5">
      <c r="A10" s="899"/>
      <c r="B10" s="894"/>
      <c r="C10" s="894"/>
      <c r="D10" s="894"/>
      <c r="E10" s="913"/>
      <c r="F10" s="1083"/>
      <c r="G10" s="34"/>
      <c r="H10" s="899"/>
      <c r="I10" s="889"/>
      <c r="J10" s="913"/>
      <c r="K10" s="34"/>
      <c r="L10" s="899"/>
      <c r="M10" s="894"/>
      <c r="N10" s="894"/>
      <c r="O10" s="894"/>
      <c r="P10" s="894"/>
      <c r="Q10" s="896"/>
      <c r="R10" s="1140"/>
      <c r="S10" s="37"/>
      <c r="T10" s="852"/>
      <c r="U10" s="889"/>
      <c r="V10" s="137" t="s">
        <v>438</v>
      </c>
      <c r="W10" s="889"/>
      <c r="X10" s="896"/>
    </row>
    <row r="11" spans="1:26" ht="103" customHeight="1">
      <c r="A11" s="93" t="s">
        <v>1523</v>
      </c>
      <c r="B11" s="88" t="s">
        <v>1011</v>
      </c>
      <c r="C11" s="88" t="s">
        <v>1158</v>
      </c>
      <c r="D11" s="88" t="s">
        <v>322</v>
      </c>
      <c r="E11" s="94" t="s">
        <v>1159</v>
      </c>
      <c r="F11" s="42" t="s">
        <v>1524</v>
      </c>
      <c r="G11" s="10"/>
      <c r="H11" s="109" t="s">
        <v>1176</v>
      </c>
      <c r="I11" s="102" t="s">
        <v>1158</v>
      </c>
      <c r="J11" s="110" t="s">
        <v>1159</v>
      </c>
      <c r="K11" s="10"/>
      <c r="L11" s="169" t="s">
        <v>268</v>
      </c>
      <c r="M11" s="166" t="s">
        <v>1162</v>
      </c>
      <c r="N11" s="166" t="s">
        <v>1177</v>
      </c>
      <c r="O11" s="166" t="s">
        <v>5</v>
      </c>
      <c r="P11" s="166" t="str">
        <f>'PDS - Desenvolvimento'!$K$168</f>
        <v>Concluído</v>
      </c>
      <c r="Q11" s="461">
        <v>45608</v>
      </c>
      <c r="R11" s="320" t="s">
        <v>5</v>
      </c>
      <c r="S11" s="11"/>
      <c r="T11" s="140" t="s">
        <v>493</v>
      </c>
      <c r="U11" s="131" t="s">
        <v>272</v>
      </c>
      <c r="V11" s="133" t="s">
        <v>1164</v>
      </c>
      <c r="W11" s="131" t="s">
        <v>289</v>
      </c>
      <c r="X11" s="141"/>
      <c r="Y11" s="11"/>
      <c r="Z11" s="23"/>
    </row>
    <row r="12" spans="1:26" ht="62.15" customHeight="1">
      <c r="A12" s="213" t="s">
        <v>1527</v>
      </c>
      <c r="B12" s="211" t="s">
        <v>487</v>
      </c>
      <c r="C12" s="211" t="s">
        <v>1166</v>
      </c>
      <c r="D12" s="211" t="s">
        <v>322</v>
      </c>
      <c r="E12" s="212" t="s">
        <v>1167</v>
      </c>
      <c r="F12" s="46" t="s">
        <v>1528</v>
      </c>
      <c r="G12" s="10"/>
      <c r="H12" s="213" t="s">
        <v>1179</v>
      </c>
      <c r="I12" s="214" t="s">
        <v>1529</v>
      </c>
      <c r="J12" s="212" t="s">
        <v>1167</v>
      </c>
      <c r="K12" s="10"/>
      <c r="L12" s="213" t="s">
        <v>268</v>
      </c>
      <c r="M12" s="211" t="s">
        <v>1169</v>
      </c>
      <c r="N12" s="211" t="s">
        <v>1181</v>
      </c>
      <c r="O12" s="211" t="s">
        <v>5</v>
      </c>
      <c r="P12" s="211" t="str">
        <f>'PDS - Desenvolvimento'!$K$169</f>
        <v>Concluído</v>
      </c>
      <c r="Q12" s="473">
        <v>45608</v>
      </c>
      <c r="R12" s="348" t="s">
        <v>5</v>
      </c>
      <c r="S12" s="11"/>
      <c r="T12" s="223" t="s">
        <v>493</v>
      </c>
      <c r="U12" s="214" t="s">
        <v>272</v>
      </c>
      <c r="V12" s="211" t="s">
        <v>494</v>
      </c>
      <c r="W12" s="214" t="s">
        <v>289</v>
      </c>
      <c r="X12" s="212"/>
      <c r="Y12" s="10"/>
      <c r="Z12" s="20"/>
    </row>
  </sheetData>
  <mergeCells count="45">
    <mergeCell ref="L7:L10"/>
    <mergeCell ref="Q7:Q10"/>
    <mergeCell ref="T1:X1"/>
    <mergeCell ref="R3:R6"/>
    <mergeCell ref="H3:H6"/>
    <mergeCell ref="T3:T6"/>
    <mergeCell ref="I3:I6"/>
    <mergeCell ref="J3:J6"/>
    <mergeCell ref="O3:O6"/>
    <mergeCell ref="M3:M6"/>
    <mergeCell ref="N3:N6"/>
    <mergeCell ref="L3:L6"/>
    <mergeCell ref="L1:Q1"/>
    <mergeCell ref="Q3:Q6"/>
    <mergeCell ref="P3:P6"/>
    <mergeCell ref="A1:E1"/>
    <mergeCell ref="H1:J1"/>
    <mergeCell ref="F7:F10"/>
    <mergeCell ref="A3:A6"/>
    <mergeCell ref="B3:B6"/>
    <mergeCell ref="C3:C6"/>
    <mergeCell ref="D3:D6"/>
    <mergeCell ref="E3:E6"/>
    <mergeCell ref="F3:F6"/>
    <mergeCell ref="A7:A10"/>
    <mergeCell ref="B7:B10"/>
    <mergeCell ref="C7:C10"/>
    <mergeCell ref="D7:D10"/>
    <mergeCell ref="E7:E10"/>
    <mergeCell ref="Y3:Y6"/>
    <mergeCell ref="H7:H10"/>
    <mergeCell ref="N7:N10"/>
    <mergeCell ref="T7:T10"/>
    <mergeCell ref="U7:U10"/>
    <mergeCell ref="W7:W10"/>
    <mergeCell ref="R7:R10"/>
    <mergeCell ref="I7:I10"/>
    <mergeCell ref="J7:J10"/>
    <mergeCell ref="X7:X10"/>
    <mergeCell ref="U3:U6"/>
    <mergeCell ref="W3:W6"/>
    <mergeCell ref="X3:X6"/>
    <mergeCell ref="O7:O10"/>
    <mergeCell ref="M7:M10"/>
    <mergeCell ref="P7:P10"/>
  </mergeCells>
  <dataValidations count="1">
    <dataValidation allowBlank="1" showInputMessage="1" showErrorMessage="1" sqref="P3:P12"/>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AUX!$A$2:$A$8</xm:f>
          </x14:formula1>
          <xm:sqref>O3:O12</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A2"/>
  <sheetViews>
    <sheetView zoomScaleNormal="100" workbookViewId="0"/>
  </sheetViews>
  <sheetFormatPr defaultRowHeight="14.5"/>
  <cols>
    <col min="1" max="1" width="167.81640625" customWidth="1"/>
  </cols>
  <sheetData>
    <row r="1" spans="1:1" ht="409.6" thickBot="1">
      <c r="A1" s="50" t="s">
        <v>1530</v>
      </c>
    </row>
    <row r="2" spans="1:1" ht="381.5" hidden="1" thickBot="1">
      <c r="A2" s="1" t="s">
        <v>1531</v>
      </c>
    </row>
  </sheetData>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filterMode="1"/>
  <dimension ref="A1:Z69"/>
  <sheetViews>
    <sheetView tabSelected="1" zoomScale="70" zoomScaleNormal="70" workbookViewId="0">
      <pane xSplit="6" ySplit="2" topLeftCell="L13" activePane="bottomRight" state="frozen"/>
      <selection pane="topRight" activeCell="G1" sqref="G1"/>
      <selection pane="bottomLeft" activeCell="A3" sqref="A3"/>
      <selection pane="bottomRight" activeCell="N13" sqref="N13"/>
    </sheetView>
  </sheetViews>
  <sheetFormatPr defaultColWidth="8.7265625" defaultRowHeight="15" customHeight="1"/>
  <cols>
    <col min="1" max="1" width="6.7265625" style="3" customWidth="1"/>
    <col min="2" max="2" width="12.81640625" style="3" customWidth="1"/>
    <col min="3" max="3" width="24.453125" style="2" bestFit="1" customWidth="1"/>
    <col min="4" max="4" width="13" style="3" customWidth="1"/>
    <col min="5" max="5" width="47.7265625" style="3" customWidth="1"/>
    <col min="6" max="6" width="0" style="3" hidden="1" customWidth="1"/>
    <col min="7" max="7" width="4.1796875" style="3" customWidth="1"/>
    <col min="8" max="8" width="34.1796875" style="3" customWidth="1"/>
    <col min="9" max="9" width="14.54296875" style="3" customWidth="1"/>
    <col min="10" max="10" width="41.453125" style="3" customWidth="1"/>
    <col min="11" max="11" width="4" style="3" customWidth="1"/>
    <col min="12" max="12" width="18.54296875" style="3" bestFit="1" customWidth="1"/>
    <col min="13" max="13" width="28.7265625" style="2" bestFit="1" customWidth="1"/>
    <col min="14" max="16" width="52.453125" style="3" customWidth="1"/>
    <col min="17" max="17" width="52.453125" style="3" hidden="1" customWidth="1"/>
    <col min="18" max="18" width="45.7265625" style="3" hidden="1" customWidth="1"/>
    <col min="19" max="19" width="4.1796875" style="3" customWidth="1"/>
    <col min="20" max="20" width="41.7265625" style="3" hidden="1" customWidth="1"/>
    <col min="21" max="21" width="26.81640625" style="3" hidden="1" customWidth="1"/>
    <col min="22" max="22" width="24.453125" style="3" hidden="1" customWidth="1"/>
    <col min="23" max="23" width="147.54296875" style="3" hidden="1" customWidth="1"/>
    <col min="24" max="24" width="68.54296875" style="3" hidden="1" customWidth="1"/>
    <col min="25" max="26" width="0" style="3" hidden="1" customWidth="1"/>
    <col min="27" max="16384" width="8.7265625" style="3"/>
  </cols>
  <sheetData>
    <row r="1" spans="1:26" customFormat="1" ht="19" customHeight="1">
      <c r="A1" s="874" t="s">
        <v>234</v>
      </c>
      <c r="B1" s="875"/>
      <c r="C1" s="875"/>
      <c r="D1" s="875"/>
      <c r="E1" s="876"/>
      <c r="F1" s="84"/>
      <c r="G1" s="85"/>
      <c r="H1" s="877" t="s">
        <v>235</v>
      </c>
      <c r="I1" s="878"/>
      <c r="J1" s="879"/>
      <c r="K1" s="85"/>
      <c r="L1" s="869" t="s">
        <v>236</v>
      </c>
      <c r="M1" s="870"/>
      <c r="N1" s="870"/>
      <c r="O1" s="870"/>
      <c r="P1" s="870"/>
      <c r="Q1" s="432"/>
      <c r="R1" s="339"/>
      <c r="S1" s="153"/>
      <c r="T1" s="886" t="s">
        <v>237</v>
      </c>
      <c r="U1" s="887"/>
      <c r="V1" s="887"/>
      <c r="W1" s="887"/>
      <c r="X1" s="888"/>
      <c r="Y1" s="129"/>
    </row>
    <row r="2" spans="1:26" ht="29">
      <c r="A2" s="91" t="s">
        <v>238</v>
      </c>
      <c r="B2" s="87" t="s">
        <v>239</v>
      </c>
      <c r="C2" s="87" t="s">
        <v>240</v>
      </c>
      <c r="D2" s="87" t="s">
        <v>241</v>
      </c>
      <c r="E2" s="92" t="s">
        <v>242</v>
      </c>
      <c r="F2" s="41" t="s">
        <v>1502</v>
      </c>
      <c r="G2" s="9"/>
      <c r="H2" s="107" t="s">
        <v>244</v>
      </c>
      <c r="I2" s="100" t="s">
        <v>245</v>
      </c>
      <c r="J2" s="108" t="s">
        <v>246</v>
      </c>
      <c r="K2" s="36"/>
      <c r="L2" s="333" t="s">
        <v>247</v>
      </c>
      <c r="M2" s="334" t="s">
        <v>248</v>
      </c>
      <c r="N2" s="121" t="s">
        <v>249</v>
      </c>
      <c r="O2" s="121" t="s">
        <v>1</v>
      </c>
      <c r="P2" s="121" t="s">
        <v>250</v>
      </c>
      <c r="Q2" s="123" t="s">
        <v>251</v>
      </c>
      <c r="R2" s="347" t="s">
        <v>252</v>
      </c>
      <c r="S2" s="9"/>
      <c r="T2" s="284" t="s">
        <v>253</v>
      </c>
      <c r="U2" s="277" t="s">
        <v>254</v>
      </c>
      <c r="V2" s="130" t="s">
        <v>255</v>
      </c>
      <c r="W2" s="130" t="s">
        <v>256</v>
      </c>
      <c r="X2" s="139" t="s">
        <v>257</v>
      </c>
      <c r="Y2" s="9"/>
      <c r="Z2" s="15" t="s">
        <v>1184</v>
      </c>
    </row>
    <row r="3" spans="1:26" ht="14.5" hidden="1" customHeight="1">
      <c r="A3" s="836" t="s">
        <v>532</v>
      </c>
      <c r="B3" s="835" t="s">
        <v>1532</v>
      </c>
      <c r="C3" s="835" t="s">
        <v>1533</v>
      </c>
      <c r="D3" s="835" t="s">
        <v>1534</v>
      </c>
      <c r="E3" s="815" t="s">
        <v>1535</v>
      </c>
      <c r="F3" s="816" t="s">
        <v>1536</v>
      </c>
      <c r="G3" s="10"/>
      <c r="H3" s="872" t="s">
        <v>50</v>
      </c>
      <c r="I3" s="856"/>
      <c r="J3" s="858"/>
      <c r="K3" s="10"/>
      <c r="L3" s="1150" t="s">
        <v>284</v>
      </c>
      <c r="M3" s="1117" t="s">
        <v>1537</v>
      </c>
      <c r="N3" s="1153" t="s">
        <v>1538</v>
      </c>
      <c r="O3" s="1117" t="s">
        <v>5</v>
      </c>
      <c r="P3" s="1117" t="str">
        <f>'PDS - Desenvolvimento'!$K$92</f>
        <v>Concluído</v>
      </c>
      <c r="Q3" s="1104"/>
      <c r="R3" s="1142" t="s">
        <v>1539</v>
      </c>
      <c r="S3" s="10"/>
      <c r="T3" s="798" t="s">
        <v>1234</v>
      </c>
      <c r="U3" s="793" t="s">
        <v>272</v>
      </c>
      <c r="V3" s="133" t="s">
        <v>273</v>
      </c>
      <c r="W3" s="793" t="s">
        <v>1077</v>
      </c>
      <c r="X3" s="1143"/>
      <c r="Y3" s="10"/>
      <c r="Z3" s="1145"/>
    </row>
    <row r="4" spans="1:26" ht="14.5" hidden="1">
      <c r="A4" s="836"/>
      <c r="B4" s="835"/>
      <c r="C4" s="835"/>
      <c r="D4" s="835"/>
      <c r="E4" s="815"/>
      <c r="F4" s="816"/>
      <c r="G4" s="10"/>
      <c r="H4" s="821"/>
      <c r="I4" s="857"/>
      <c r="J4" s="859"/>
      <c r="K4" s="10"/>
      <c r="L4" s="1151"/>
      <c r="M4" s="1118"/>
      <c r="N4" s="1115"/>
      <c r="O4" s="1118"/>
      <c r="P4" s="1118"/>
      <c r="Q4" s="1104"/>
      <c r="R4" s="1084"/>
      <c r="S4" s="10"/>
      <c r="T4" s="798"/>
      <c r="U4" s="793"/>
      <c r="V4" s="133" t="s">
        <v>276</v>
      </c>
      <c r="W4" s="793"/>
      <c r="X4" s="1143"/>
      <c r="Y4" s="10"/>
      <c r="Z4" s="1145"/>
    </row>
    <row r="5" spans="1:26" ht="14.5" hidden="1">
      <c r="A5" s="836"/>
      <c r="B5" s="835"/>
      <c r="C5" s="835"/>
      <c r="D5" s="835"/>
      <c r="E5" s="815"/>
      <c r="F5" s="816"/>
      <c r="G5" s="10"/>
      <c r="H5" s="821"/>
      <c r="I5" s="857"/>
      <c r="J5" s="859"/>
      <c r="K5" s="10"/>
      <c r="L5" s="1151"/>
      <c r="M5" s="1118"/>
      <c r="N5" s="1115"/>
      <c r="O5" s="1118"/>
      <c r="P5" s="1118"/>
      <c r="Q5" s="1104"/>
      <c r="R5" s="1084"/>
      <c r="S5" s="10"/>
      <c r="T5" s="798"/>
      <c r="U5" s="793"/>
      <c r="V5" s="133" t="s">
        <v>277</v>
      </c>
      <c r="W5" s="793"/>
      <c r="X5" s="1143"/>
      <c r="Y5" s="10"/>
      <c r="Z5" s="1145"/>
    </row>
    <row r="6" spans="1:26" ht="183" hidden="1" customHeight="1">
      <c r="A6" s="836"/>
      <c r="B6" s="835"/>
      <c r="C6" s="835"/>
      <c r="D6" s="835"/>
      <c r="E6" s="815"/>
      <c r="F6" s="816"/>
      <c r="G6" s="10"/>
      <c r="H6" s="821"/>
      <c r="I6" s="857"/>
      <c r="J6" s="859"/>
      <c r="K6" s="10"/>
      <c r="L6" s="1152"/>
      <c r="M6" s="1119"/>
      <c r="N6" s="1116"/>
      <c r="O6" s="1119"/>
      <c r="P6" s="1119"/>
      <c r="Q6" s="1104"/>
      <c r="R6" s="1084"/>
      <c r="S6" s="10"/>
      <c r="T6" s="798"/>
      <c r="U6" s="793"/>
      <c r="V6" s="133" t="s">
        <v>278</v>
      </c>
      <c r="W6" s="793"/>
      <c r="X6" s="1143"/>
      <c r="Y6" s="10"/>
      <c r="Z6" s="1145"/>
    </row>
    <row r="7" spans="1:26" ht="14.5" hidden="1" customHeight="1">
      <c r="A7" s="841" t="s">
        <v>279</v>
      </c>
      <c r="B7" s="842" t="s">
        <v>1532</v>
      </c>
      <c r="C7" s="842" t="s">
        <v>1540</v>
      </c>
      <c r="D7" s="842" t="s">
        <v>262</v>
      </c>
      <c r="E7" s="795" t="s">
        <v>1541</v>
      </c>
      <c r="F7" s="819" t="s">
        <v>1542</v>
      </c>
      <c r="G7" s="11"/>
      <c r="H7" s="1020" t="s">
        <v>50</v>
      </c>
      <c r="I7" s="942"/>
      <c r="J7" s="1009"/>
      <c r="K7" s="11"/>
      <c r="L7" s="818" t="s">
        <v>284</v>
      </c>
      <c r="M7" s="785" t="s">
        <v>285</v>
      </c>
      <c r="N7" s="1134" t="s">
        <v>1543</v>
      </c>
      <c r="O7" s="785" t="s">
        <v>5</v>
      </c>
      <c r="P7" s="785" t="str">
        <f>'PDS - Desenvolvimento'!$K$77</f>
        <v>Concluído</v>
      </c>
      <c r="Q7" s="1157"/>
      <c r="R7" s="832" t="s">
        <v>299</v>
      </c>
      <c r="S7" s="11"/>
      <c r="T7" s="801" t="s">
        <v>1304</v>
      </c>
      <c r="U7" s="787" t="s">
        <v>272</v>
      </c>
      <c r="V7" s="89" t="s">
        <v>1305</v>
      </c>
      <c r="W7" s="787" t="s">
        <v>1544</v>
      </c>
      <c r="X7" s="1146"/>
      <c r="Y7" s="11"/>
      <c r="Z7" s="1147"/>
    </row>
    <row r="8" spans="1:26" ht="72" hidden="1" customHeight="1">
      <c r="A8" s="841"/>
      <c r="B8" s="842"/>
      <c r="C8" s="842"/>
      <c r="D8" s="842"/>
      <c r="E8" s="795"/>
      <c r="F8" s="819"/>
      <c r="G8" s="11"/>
      <c r="H8" s="841"/>
      <c r="I8" s="842"/>
      <c r="J8" s="853"/>
      <c r="K8" s="11"/>
      <c r="L8" s="818"/>
      <c r="M8" s="785"/>
      <c r="N8" s="1134"/>
      <c r="O8" s="785"/>
      <c r="P8" s="785"/>
      <c r="Q8" s="1157"/>
      <c r="R8" s="832"/>
      <c r="S8" s="11"/>
      <c r="T8" s="801"/>
      <c r="U8" s="787"/>
      <c r="V8" s="89" t="s">
        <v>1545</v>
      </c>
      <c r="W8" s="787"/>
      <c r="X8" s="1146"/>
      <c r="Y8" s="11"/>
      <c r="Z8" s="1147"/>
    </row>
    <row r="9" spans="1:26" ht="120.75" hidden="1" customHeight="1">
      <c r="A9" s="93" t="s">
        <v>1546</v>
      </c>
      <c r="B9" s="88" t="s">
        <v>1532</v>
      </c>
      <c r="C9" s="88" t="s">
        <v>1547</v>
      </c>
      <c r="D9" s="88" t="s">
        <v>294</v>
      </c>
      <c r="E9" s="94" t="s">
        <v>1548</v>
      </c>
      <c r="F9" s="14" t="s">
        <v>1549</v>
      </c>
      <c r="G9" s="10"/>
      <c r="H9" s="113" t="s">
        <v>50</v>
      </c>
      <c r="I9" s="105"/>
      <c r="J9" s="114"/>
      <c r="K9" s="10"/>
      <c r="L9" s="305" t="s">
        <v>284</v>
      </c>
      <c r="M9" s="304" t="s">
        <v>1550</v>
      </c>
      <c r="N9" s="365" t="s">
        <v>1551</v>
      </c>
      <c r="O9" s="304" t="s">
        <v>5</v>
      </c>
      <c r="P9" s="304" t="str">
        <f>'PDS - Desenvolvimento'!$K$78</f>
        <v>Concluído</v>
      </c>
      <c r="Q9" s="474" t="s">
        <v>1552</v>
      </c>
      <c r="R9" s="320" t="s">
        <v>5</v>
      </c>
      <c r="S9" s="10"/>
      <c r="T9" s="140" t="s">
        <v>565</v>
      </c>
      <c r="U9" s="131" t="s">
        <v>272</v>
      </c>
      <c r="V9" s="133" t="s">
        <v>1553</v>
      </c>
      <c r="W9" s="131" t="s">
        <v>289</v>
      </c>
      <c r="X9" s="285"/>
      <c r="Y9" s="10"/>
      <c r="Z9" s="17" t="s">
        <v>1327</v>
      </c>
    </row>
    <row r="10" spans="1:26" ht="102.75" hidden="1" customHeight="1">
      <c r="A10" s="95" t="s">
        <v>1554</v>
      </c>
      <c r="B10" s="89" t="s">
        <v>1532</v>
      </c>
      <c r="C10" s="89" t="s">
        <v>1555</v>
      </c>
      <c r="D10" s="89" t="s">
        <v>294</v>
      </c>
      <c r="E10" s="160" t="s">
        <v>1556</v>
      </c>
      <c r="F10" s="13" t="s">
        <v>1557</v>
      </c>
      <c r="G10" s="11"/>
      <c r="H10" s="193" t="s">
        <v>50</v>
      </c>
      <c r="I10" s="189"/>
      <c r="J10" s="194"/>
      <c r="K10" s="11"/>
      <c r="L10" s="111" t="s">
        <v>284</v>
      </c>
      <c r="M10" s="103" t="s">
        <v>1558</v>
      </c>
      <c r="N10" s="363" t="s">
        <v>1559</v>
      </c>
      <c r="O10" s="103" t="s">
        <v>5</v>
      </c>
      <c r="P10" s="103" t="str">
        <f>'PDS - Desenvolvimento'!$K$79</f>
        <v>Concluído</v>
      </c>
      <c r="Q10" s="440"/>
      <c r="R10" s="321" t="s">
        <v>5</v>
      </c>
      <c r="S10" s="11"/>
      <c r="T10" s="142" t="s">
        <v>1391</v>
      </c>
      <c r="U10" s="90"/>
      <c r="V10" s="89" t="s">
        <v>1392</v>
      </c>
      <c r="W10" s="90" t="s">
        <v>289</v>
      </c>
      <c r="X10" s="286"/>
      <c r="Y10" s="11"/>
      <c r="Z10" s="16" t="s">
        <v>1327</v>
      </c>
    </row>
    <row r="11" spans="1:26" ht="261" hidden="1" customHeight="1">
      <c r="A11" s="93" t="s">
        <v>1560</v>
      </c>
      <c r="B11" s="88" t="s">
        <v>292</v>
      </c>
      <c r="C11" s="88" t="s">
        <v>1561</v>
      </c>
      <c r="D11" s="88" t="s">
        <v>294</v>
      </c>
      <c r="E11" s="94" t="s">
        <v>1562</v>
      </c>
      <c r="F11" s="14" t="s">
        <v>1563</v>
      </c>
      <c r="G11" s="10"/>
      <c r="H11" s="113" t="s">
        <v>50</v>
      </c>
      <c r="I11" s="105"/>
      <c r="J11" s="114"/>
      <c r="K11" s="10"/>
      <c r="L11" s="167" t="s">
        <v>284</v>
      </c>
      <c r="M11" s="164" t="s">
        <v>1564</v>
      </c>
      <c r="N11" s="357" t="s">
        <v>1565</v>
      </c>
      <c r="O11" s="164" t="s">
        <v>5</v>
      </c>
      <c r="P11" s="164" t="str">
        <f>'PDS - Desenvolvimento'!$K$93</f>
        <v>Concluído</v>
      </c>
      <c r="Q11" s="437"/>
      <c r="R11" s="320" t="s">
        <v>465</v>
      </c>
      <c r="S11" s="10"/>
      <c r="T11" s="140" t="s">
        <v>1084</v>
      </c>
      <c r="U11" s="131" t="s">
        <v>1084</v>
      </c>
      <c r="V11" s="133" t="s">
        <v>1084</v>
      </c>
      <c r="W11" s="131" t="s">
        <v>1084</v>
      </c>
      <c r="X11" s="285" t="s">
        <v>1084</v>
      </c>
      <c r="Y11" s="10"/>
      <c r="Z11" s="17" t="s">
        <v>1084</v>
      </c>
    </row>
    <row r="12" spans="1:26" ht="43.5" hidden="1">
      <c r="A12" s="95" t="s">
        <v>1566</v>
      </c>
      <c r="B12" s="89" t="s">
        <v>1567</v>
      </c>
      <c r="C12" s="89" t="s">
        <v>1568</v>
      </c>
      <c r="D12" s="89" t="s">
        <v>262</v>
      </c>
      <c r="E12" s="96"/>
      <c r="F12" s="13"/>
      <c r="G12" s="11"/>
      <c r="H12" s="193" t="s">
        <v>50</v>
      </c>
      <c r="I12" s="189"/>
      <c r="J12" s="194"/>
      <c r="K12" s="11"/>
      <c r="L12" s="301" t="s">
        <v>268</v>
      </c>
      <c r="M12" s="104" t="s">
        <v>1569</v>
      </c>
      <c r="N12" s="366" t="s">
        <v>1570</v>
      </c>
      <c r="O12" s="103" t="s">
        <v>5</v>
      </c>
      <c r="P12" s="103" t="str">
        <f>'PDS - Desenvolvimento'!$K$9</f>
        <v>Concluído</v>
      </c>
      <c r="Q12" s="475">
        <v>45608</v>
      </c>
      <c r="R12" s="321" t="s">
        <v>5</v>
      </c>
      <c r="S12" s="11"/>
      <c r="T12" s="142" t="s">
        <v>271</v>
      </c>
      <c r="U12" s="90" t="s">
        <v>272</v>
      </c>
      <c r="V12" s="89" t="s">
        <v>1571</v>
      </c>
      <c r="W12" s="90" t="s">
        <v>289</v>
      </c>
      <c r="X12" s="286"/>
      <c r="Y12" s="11"/>
      <c r="Z12" s="18"/>
    </row>
    <row r="13" spans="1:26" ht="288" customHeight="1">
      <c r="A13" s="93" t="s">
        <v>1572</v>
      </c>
      <c r="B13" s="88" t="s">
        <v>1567</v>
      </c>
      <c r="C13" s="88" t="s">
        <v>1573</v>
      </c>
      <c r="D13" s="88" t="s">
        <v>294</v>
      </c>
      <c r="E13" s="226" t="s">
        <v>1574</v>
      </c>
      <c r="F13" s="14" t="s">
        <v>1575</v>
      </c>
      <c r="G13" s="10"/>
      <c r="H13" s="113" t="s">
        <v>50</v>
      </c>
      <c r="I13" s="105"/>
      <c r="J13" s="114"/>
      <c r="K13" s="10"/>
      <c r="L13" s="703" t="s">
        <v>284</v>
      </c>
      <c r="M13" s="704" t="s">
        <v>1576</v>
      </c>
      <c r="N13" s="739" t="s">
        <v>8926</v>
      </c>
      <c r="O13" s="164" t="s">
        <v>5</v>
      </c>
      <c r="P13" s="164" t="str">
        <f>'PDS - Desenvolvimento'!$K$94</f>
        <v>Concluído</v>
      </c>
      <c r="Q13" s="441"/>
      <c r="R13" s="320" t="s">
        <v>299</v>
      </c>
      <c r="S13" s="10"/>
      <c r="T13" s="198" t="s">
        <v>422</v>
      </c>
      <c r="U13" s="133" t="s">
        <v>422</v>
      </c>
      <c r="V13" s="133" t="s">
        <v>422</v>
      </c>
      <c r="W13" s="133" t="s">
        <v>422</v>
      </c>
      <c r="X13" s="143" t="s">
        <v>422</v>
      </c>
      <c r="Y13" s="10"/>
      <c r="Z13" s="19"/>
    </row>
    <row r="14" spans="1:26" ht="163.5" hidden="1" customHeight="1">
      <c r="A14" s="95" t="s">
        <v>1577</v>
      </c>
      <c r="B14" s="89" t="s">
        <v>1567</v>
      </c>
      <c r="C14" s="224" t="s">
        <v>1578</v>
      </c>
      <c r="D14" s="89" t="s">
        <v>294</v>
      </c>
      <c r="E14" s="160" t="s">
        <v>1579</v>
      </c>
      <c r="F14" s="13" t="s">
        <v>1580</v>
      </c>
      <c r="G14" s="11"/>
      <c r="H14" s="193" t="s">
        <v>50</v>
      </c>
      <c r="I14" s="189"/>
      <c r="J14" s="194"/>
      <c r="K14" s="11"/>
      <c r="L14" s="95" t="s">
        <v>284</v>
      </c>
      <c r="M14" s="89" t="s">
        <v>1581</v>
      </c>
      <c r="N14" s="349" t="s">
        <v>1582</v>
      </c>
      <c r="O14" s="89" t="s">
        <v>5</v>
      </c>
      <c r="P14" s="89" t="str">
        <f>'PDS - Desenvolvimento'!$K$95</f>
        <v>Concluído</v>
      </c>
      <c r="Q14" s="439"/>
      <c r="R14" s="321" t="s">
        <v>406</v>
      </c>
      <c r="S14" s="11"/>
      <c r="T14" s="95" t="s">
        <v>422</v>
      </c>
      <c r="U14" s="89" t="s">
        <v>422</v>
      </c>
      <c r="V14" s="89" t="s">
        <v>422</v>
      </c>
      <c r="W14" s="89" t="s">
        <v>422</v>
      </c>
      <c r="X14" s="145" t="s">
        <v>422</v>
      </c>
      <c r="Y14" s="11"/>
      <c r="Z14" s="18"/>
    </row>
    <row r="15" spans="1:26" ht="150" hidden="1" customHeight="1">
      <c r="A15" s="93" t="s">
        <v>1583</v>
      </c>
      <c r="B15" s="88" t="s">
        <v>1567</v>
      </c>
      <c r="C15" s="88" t="s">
        <v>1584</v>
      </c>
      <c r="D15" s="88" t="s">
        <v>294</v>
      </c>
      <c r="E15" s="226" t="s">
        <v>1585</v>
      </c>
      <c r="F15" s="14" t="s">
        <v>1586</v>
      </c>
      <c r="G15" s="10"/>
      <c r="H15" s="113" t="s">
        <v>50</v>
      </c>
      <c r="I15" s="105"/>
      <c r="J15" s="114"/>
      <c r="K15" s="10"/>
      <c r="L15" s="305" t="s">
        <v>284</v>
      </c>
      <c r="M15" s="304" t="s">
        <v>1587</v>
      </c>
      <c r="N15" s="365" t="s">
        <v>1588</v>
      </c>
      <c r="O15" s="304" t="s">
        <v>5</v>
      </c>
      <c r="P15" s="304" t="str">
        <f>'PDS - Desenvolvimento'!$K$96</f>
        <v>Concluído</v>
      </c>
      <c r="Q15" s="439"/>
      <c r="R15" s="320" t="s">
        <v>406</v>
      </c>
      <c r="S15" s="10"/>
      <c r="T15" s="198" t="s">
        <v>422</v>
      </c>
      <c r="U15" s="133" t="s">
        <v>422</v>
      </c>
      <c r="V15" s="133" t="s">
        <v>422</v>
      </c>
      <c r="W15" s="133" t="s">
        <v>422</v>
      </c>
      <c r="X15" s="143" t="s">
        <v>422</v>
      </c>
      <c r="Y15" s="10"/>
      <c r="Z15" s="19"/>
    </row>
    <row r="16" spans="1:26" s="11" customFormat="1" ht="164.25" hidden="1" customHeight="1">
      <c r="A16" s="111" t="s">
        <v>1589</v>
      </c>
      <c r="B16" s="103" t="s">
        <v>1567</v>
      </c>
      <c r="C16" s="103" t="s">
        <v>1590</v>
      </c>
      <c r="D16" s="103" t="s">
        <v>294</v>
      </c>
      <c r="E16" s="236" t="s">
        <v>1591</v>
      </c>
      <c r="F16" s="302" t="s">
        <v>1592</v>
      </c>
      <c r="H16" s="301" t="s">
        <v>50</v>
      </c>
      <c r="I16" s="104"/>
      <c r="J16" s="112"/>
      <c r="L16" s="95" t="s">
        <v>284</v>
      </c>
      <c r="M16" s="89" t="s">
        <v>1593</v>
      </c>
      <c r="N16" s="349" t="s">
        <v>1594</v>
      </c>
      <c r="O16" s="89" t="s">
        <v>5</v>
      </c>
      <c r="P16" s="89" t="str">
        <f>'PDS - Desenvolvimento'!$K$97</f>
        <v>Concluído</v>
      </c>
      <c r="Q16" s="439"/>
      <c r="R16" s="321" t="s">
        <v>406</v>
      </c>
      <c r="T16" s="111" t="s">
        <v>422</v>
      </c>
      <c r="U16" s="103" t="s">
        <v>422</v>
      </c>
      <c r="V16" s="103" t="s">
        <v>422</v>
      </c>
      <c r="W16" s="103" t="s">
        <v>422</v>
      </c>
      <c r="X16" s="116" t="s">
        <v>422</v>
      </c>
      <c r="Z16" s="303"/>
    </row>
    <row r="17" spans="1:26" ht="315.75" hidden="1" customHeight="1">
      <c r="A17" s="93" t="s">
        <v>1595</v>
      </c>
      <c r="B17" s="88" t="s">
        <v>1596</v>
      </c>
      <c r="C17" s="88" t="s">
        <v>1597</v>
      </c>
      <c r="D17" s="88" t="s">
        <v>294</v>
      </c>
      <c r="E17" s="226" t="s">
        <v>1598</v>
      </c>
      <c r="F17" s="14" t="s">
        <v>1599</v>
      </c>
      <c r="G17" s="10"/>
      <c r="H17" s="113" t="s">
        <v>50</v>
      </c>
      <c r="I17" s="105"/>
      <c r="J17" s="114"/>
      <c r="K17" s="10"/>
      <c r="L17" s="323" t="s">
        <v>284</v>
      </c>
      <c r="M17" s="242" t="s">
        <v>1600</v>
      </c>
      <c r="N17" s="737" t="s">
        <v>1601</v>
      </c>
      <c r="O17" s="242" t="s">
        <v>5</v>
      </c>
      <c r="P17" s="242" t="str">
        <f>'PDS - Desenvolvimento'!$K$98</f>
        <v>Concluído</v>
      </c>
      <c r="Q17" s="437"/>
      <c r="R17" s="320" t="s">
        <v>406</v>
      </c>
      <c r="S17" s="10"/>
      <c r="T17" s="198" t="s">
        <v>422</v>
      </c>
      <c r="U17" s="133" t="s">
        <v>422</v>
      </c>
      <c r="V17" s="133" t="s">
        <v>422</v>
      </c>
      <c r="W17" s="133" t="s">
        <v>422</v>
      </c>
      <c r="X17" s="143" t="s">
        <v>422</v>
      </c>
      <c r="Y17" s="10"/>
      <c r="Z17" s="19"/>
    </row>
    <row r="18" spans="1:26" ht="67.5" hidden="1" customHeight="1">
      <c r="A18" s="95" t="s">
        <v>1603</v>
      </c>
      <c r="B18" s="89" t="s">
        <v>1596</v>
      </c>
      <c r="C18" s="89" t="s">
        <v>1604</v>
      </c>
      <c r="D18" s="89" t="s">
        <v>322</v>
      </c>
      <c r="E18" s="738" t="s">
        <v>8923</v>
      </c>
      <c r="F18" s="13" t="s">
        <v>1605</v>
      </c>
      <c r="G18" s="11"/>
      <c r="H18" s="95" t="s">
        <v>1606</v>
      </c>
      <c r="I18" s="89"/>
      <c r="J18" s="145"/>
      <c r="K18" s="11"/>
      <c r="L18" s="323" t="s">
        <v>284</v>
      </c>
      <c r="M18" s="242" t="s">
        <v>1607</v>
      </c>
      <c r="N18" s="362" t="s">
        <v>1608</v>
      </c>
      <c r="O18" s="736" t="s">
        <v>5</v>
      </c>
      <c r="P18" s="165" t="str">
        <f>'PDS - Desenvolvimento'!$K$99</f>
        <v>Concluído</v>
      </c>
      <c r="Q18" s="437"/>
      <c r="R18" s="321" t="s">
        <v>406</v>
      </c>
      <c r="S18" s="11"/>
      <c r="T18" s="142" t="s">
        <v>1084</v>
      </c>
      <c r="U18" s="90" t="s">
        <v>1084</v>
      </c>
      <c r="V18" s="89" t="s">
        <v>1084</v>
      </c>
      <c r="W18" s="90" t="s">
        <v>1084</v>
      </c>
      <c r="X18" s="286" t="s">
        <v>1084</v>
      </c>
      <c r="Y18" s="11"/>
      <c r="Z18" s="16" t="s">
        <v>1084</v>
      </c>
    </row>
    <row r="19" spans="1:26" ht="63" hidden="1" customHeight="1">
      <c r="A19" s="93" t="s">
        <v>1609</v>
      </c>
      <c r="B19" s="88" t="s">
        <v>1596</v>
      </c>
      <c r="C19" s="88" t="s">
        <v>1610</v>
      </c>
      <c r="D19" s="88" t="s">
        <v>294</v>
      </c>
      <c r="E19" s="94" t="s">
        <v>1611</v>
      </c>
      <c r="F19" s="14" t="s">
        <v>1612</v>
      </c>
      <c r="G19" s="10"/>
      <c r="H19" s="113" t="s">
        <v>50</v>
      </c>
      <c r="I19" s="105"/>
      <c r="J19" s="114"/>
      <c r="K19" s="10"/>
      <c r="L19" s="323" t="s">
        <v>284</v>
      </c>
      <c r="M19" s="242" t="s">
        <v>1613</v>
      </c>
      <c r="N19" s="362" t="s">
        <v>1608</v>
      </c>
      <c r="O19" s="736" t="s">
        <v>5</v>
      </c>
      <c r="P19" s="242" t="str">
        <f>'PDS - Desenvolvimento'!$K$100</f>
        <v>Concluído</v>
      </c>
      <c r="Q19" s="437"/>
      <c r="R19" s="320" t="s">
        <v>406</v>
      </c>
      <c r="S19" s="10"/>
      <c r="T19" s="140" t="s">
        <v>1084</v>
      </c>
      <c r="U19" s="131" t="s">
        <v>1084</v>
      </c>
      <c r="V19" s="133" t="s">
        <v>1084</v>
      </c>
      <c r="W19" s="131" t="s">
        <v>1084</v>
      </c>
      <c r="X19" s="285" t="s">
        <v>1084</v>
      </c>
      <c r="Y19" s="10"/>
      <c r="Z19" s="17" t="s">
        <v>1084</v>
      </c>
    </row>
    <row r="20" spans="1:26" ht="63" hidden="1" customHeight="1">
      <c r="A20" s="95" t="s">
        <v>1614</v>
      </c>
      <c r="B20" s="89" t="s">
        <v>1596</v>
      </c>
      <c r="C20" s="89" t="s">
        <v>1615</v>
      </c>
      <c r="D20" s="89" t="s">
        <v>322</v>
      </c>
      <c r="E20" s="160" t="s">
        <v>1616</v>
      </c>
      <c r="F20" s="13" t="s">
        <v>1617</v>
      </c>
      <c r="G20" s="11"/>
      <c r="H20" s="95" t="s">
        <v>1618</v>
      </c>
      <c r="I20" s="89"/>
      <c r="J20" s="145"/>
      <c r="K20" s="11"/>
      <c r="L20" s="323" t="s">
        <v>284</v>
      </c>
      <c r="M20" s="242" t="s">
        <v>1619</v>
      </c>
      <c r="N20" s="362" t="s">
        <v>1608</v>
      </c>
      <c r="O20" s="736" t="s">
        <v>5</v>
      </c>
      <c r="P20" s="165" t="str">
        <f>'PDS - Desenvolvimento'!$K$101</f>
        <v>Concluído</v>
      </c>
      <c r="Q20" s="437"/>
      <c r="R20" s="321" t="s">
        <v>406</v>
      </c>
      <c r="S20" s="11"/>
      <c r="T20" s="142" t="s">
        <v>1084</v>
      </c>
      <c r="U20" s="90" t="s">
        <v>1084</v>
      </c>
      <c r="V20" s="89" t="s">
        <v>1084</v>
      </c>
      <c r="W20" s="90" t="s">
        <v>1084</v>
      </c>
      <c r="X20" s="286" t="s">
        <v>1084</v>
      </c>
      <c r="Y20" s="11"/>
      <c r="Z20" s="16" t="s">
        <v>1084</v>
      </c>
    </row>
    <row r="21" spans="1:26" ht="63.75" hidden="1" customHeight="1">
      <c r="A21" s="93" t="s">
        <v>1620</v>
      </c>
      <c r="B21" s="88" t="s">
        <v>1596</v>
      </c>
      <c r="C21" s="88" t="s">
        <v>1621</v>
      </c>
      <c r="D21" s="88" t="s">
        <v>294</v>
      </c>
      <c r="E21" s="94" t="s">
        <v>1622</v>
      </c>
      <c r="F21" s="14" t="s">
        <v>1623</v>
      </c>
      <c r="G21" s="10"/>
      <c r="H21" s="113" t="s">
        <v>50</v>
      </c>
      <c r="I21" s="105"/>
      <c r="J21" s="114"/>
      <c r="K21" s="10"/>
      <c r="L21" s="323" t="s">
        <v>284</v>
      </c>
      <c r="M21" s="242" t="s">
        <v>1624</v>
      </c>
      <c r="N21" s="362" t="s">
        <v>1608</v>
      </c>
      <c r="O21" s="736" t="s">
        <v>5</v>
      </c>
      <c r="P21" s="242" t="str">
        <f>'PDS - Desenvolvimento'!$K$102</f>
        <v>Concluído</v>
      </c>
      <c r="Q21" s="437"/>
      <c r="R21" s="320" t="s">
        <v>406</v>
      </c>
      <c r="S21" s="10"/>
      <c r="T21" s="140" t="s">
        <v>1084</v>
      </c>
      <c r="U21" s="131" t="s">
        <v>1084</v>
      </c>
      <c r="V21" s="133" t="s">
        <v>1084</v>
      </c>
      <c r="W21" s="131" t="s">
        <v>1084</v>
      </c>
      <c r="X21" s="285" t="s">
        <v>1084</v>
      </c>
      <c r="Y21" s="10"/>
      <c r="Z21" s="17" t="s">
        <v>1084</v>
      </c>
    </row>
    <row r="22" spans="1:26" ht="81" hidden="1" customHeight="1">
      <c r="A22" s="95" t="s">
        <v>1625</v>
      </c>
      <c r="B22" s="89" t="s">
        <v>1626</v>
      </c>
      <c r="C22" s="89" t="s">
        <v>1627</v>
      </c>
      <c r="D22" s="89" t="s">
        <v>294</v>
      </c>
      <c r="E22" s="96" t="s">
        <v>1628</v>
      </c>
      <c r="F22" s="13" t="s">
        <v>1629</v>
      </c>
      <c r="G22" s="11"/>
      <c r="H22" s="272" t="s">
        <v>1630</v>
      </c>
      <c r="I22" s="89"/>
      <c r="J22" s="145"/>
      <c r="K22" s="11"/>
      <c r="L22" s="111" t="s">
        <v>284</v>
      </c>
      <c r="M22" s="103" t="s">
        <v>1631</v>
      </c>
      <c r="N22" s="363" t="s">
        <v>1632</v>
      </c>
      <c r="O22" s="103" t="s">
        <v>5</v>
      </c>
      <c r="P22" s="103" t="str">
        <f>'PDS - Desenvolvimento'!$K$103</f>
        <v>Concluído</v>
      </c>
      <c r="Q22" s="504">
        <v>45608</v>
      </c>
      <c r="R22" s="321" t="s">
        <v>406</v>
      </c>
      <c r="S22" s="11"/>
      <c r="T22" s="95" t="s">
        <v>422</v>
      </c>
      <c r="U22" s="89" t="s">
        <v>422</v>
      </c>
      <c r="V22" s="89" t="s">
        <v>422</v>
      </c>
      <c r="W22" s="89" t="s">
        <v>422</v>
      </c>
      <c r="X22" s="145" t="s">
        <v>422</v>
      </c>
      <c r="Y22" s="11"/>
      <c r="Z22" s="18"/>
    </row>
    <row r="23" spans="1:26" ht="107.25" hidden="1" customHeight="1">
      <c r="A23" s="93" t="s">
        <v>1633</v>
      </c>
      <c r="B23" s="88" t="s">
        <v>1626</v>
      </c>
      <c r="C23" s="88" t="s">
        <v>1634</v>
      </c>
      <c r="D23" s="88" t="s">
        <v>294</v>
      </c>
      <c r="E23" s="226" t="s">
        <v>1635</v>
      </c>
      <c r="F23" s="14" t="s">
        <v>1636</v>
      </c>
      <c r="G23" s="10"/>
      <c r="H23" s="239" t="s">
        <v>1630</v>
      </c>
      <c r="I23" s="101"/>
      <c r="J23" s="115"/>
      <c r="K23" s="10"/>
      <c r="L23" s="305" t="s">
        <v>284</v>
      </c>
      <c r="M23" s="304" t="s">
        <v>1637</v>
      </c>
      <c r="N23" s="365" t="s">
        <v>1638</v>
      </c>
      <c r="O23" s="304" t="s">
        <v>5</v>
      </c>
      <c r="P23" s="304" t="str">
        <f>'PDS - Desenvolvimento'!$K$104</f>
        <v>Concluído</v>
      </c>
      <c r="Q23" s="505">
        <v>45608</v>
      </c>
      <c r="R23" s="320" t="s">
        <v>406</v>
      </c>
      <c r="S23" s="10"/>
      <c r="T23" s="198" t="s">
        <v>422</v>
      </c>
      <c r="U23" s="133" t="s">
        <v>422</v>
      </c>
      <c r="V23" s="133" t="s">
        <v>422</v>
      </c>
      <c r="W23" s="133" t="s">
        <v>422</v>
      </c>
      <c r="X23" s="143" t="s">
        <v>422</v>
      </c>
      <c r="Y23" s="10"/>
      <c r="Z23" s="19"/>
    </row>
    <row r="24" spans="1:26" s="11" customFormat="1" ht="81" hidden="1" customHeight="1">
      <c r="A24" s="111" t="s">
        <v>1639</v>
      </c>
      <c r="B24" s="707" t="s">
        <v>1640</v>
      </c>
      <c r="C24" s="103" t="s">
        <v>1641</v>
      </c>
      <c r="D24" s="103" t="s">
        <v>294</v>
      </c>
      <c r="E24" s="236" t="s">
        <v>1642</v>
      </c>
      <c r="F24" s="302" t="s">
        <v>1643</v>
      </c>
      <c r="H24" s="301" t="s">
        <v>50</v>
      </c>
      <c r="I24" s="104"/>
      <c r="J24" s="112"/>
      <c r="L24" s="111" t="s">
        <v>284</v>
      </c>
      <c r="M24" s="103" t="s">
        <v>1644</v>
      </c>
      <c r="N24" s="363" t="s">
        <v>1645</v>
      </c>
      <c r="O24" s="103" t="s">
        <v>5</v>
      </c>
      <c r="P24" s="103" t="str">
        <f>'PDS - Desenvolvimento'!$K$105</f>
        <v>Concluído</v>
      </c>
      <c r="Q24" s="236"/>
      <c r="R24" s="321" t="s">
        <v>287</v>
      </c>
      <c r="T24" s="243" t="s">
        <v>271</v>
      </c>
      <c r="U24" s="106" t="s">
        <v>272</v>
      </c>
      <c r="V24" s="103" t="s">
        <v>660</v>
      </c>
      <c r="W24" s="106" t="s">
        <v>289</v>
      </c>
      <c r="X24" s="708"/>
      <c r="Z24" s="303"/>
    </row>
    <row r="25" spans="1:26" ht="81" hidden="1" customHeight="1">
      <c r="A25" s="93" t="s">
        <v>1646</v>
      </c>
      <c r="B25" s="88" t="s">
        <v>1640</v>
      </c>
      <c r="C25" s="88" t="s">
        <v>1647</v>
      </c>
      <c r="D25" s="88" t="s">
        <v>294</v>
      </c>
      <c r="E25" s="94" t="s">
        <v>1648</v>
      </c>
      <c r="F25" s="14" t="s">
        <v>1649</v>
      </c>
      <c r="G25" s="10"/>
      <c r="H25" s="113" t="s">
        <v>50</v>
      </c>
      <c r="I25" s="105"/>
      <c r="J25" s="114"/>
      <c r="K25" s="10"/>
      <c r="L25" s="305" t="s">
        <v>284</v>
      </c>
      <c r="M25" s="304" t="s">
        <v>1650</v>
      </c>
      <c r="N25" s="365" t="s">
        <v>1651</v>
      </c>
      <c r="O25" s="304" t="s">
        <v>5</v>
      </c>
      <c r="P25" s="304" t="str">
        <f>'PDS - Desenvolvimento'!$K$106</f>
        <v>Concluído</v>
      </c>
      <c r="Q25" s="438"/>
      <c r="R25" s="320" t="s">
        <v>287</v>
      </c>
      <c r="S25" s="10"/>
      <c r="T25" s="140" t="s">
        <v>271</v>
      </c>
      <c r="U25" s="131" t="s">
        <v>272</v>
      </c>
      <c r="V25" s="133" t="s">
        <v>662</v>
      </c>
      <c r="W25" s="131" t="s">
        <v>289</v>
      </c>
      <c r="X25" s="285"/>
      <c r="Y25" s="10"/>
      <c r="Z25" s="19"/>
    </row>
    <row r="26" spans="1:26" ht="14.5" hidden="1" customHeight="1">
      <c r="A26" s="841" t="s">
        <v>1652</v>
      </c>
      <c r="B26" s="842" t="s">
        <v>1640</v>
      </c>
      <c r="C26" s="842" t="s">
        <v>1653</v>
      </c>
      <c r="D26" s="842" t="s">
        <v>294</v>
      </c>
      <c r="E26" s="795" t="s">
        <v>1654</v>
      </c>
      <c r="F26" s="819" t="s">
        <v>1655</v>
      </c>
      <c r="G26" s="11"/>
      <c r="H26" s="1020" t="s">
        <v>50</v>
      </c>
      <c r="I26" s="942"/>
      <c r="J26" s="1009"/>
      <c r="K26" s="11"/>
      <c r="L26" s="1159" t="s">
        <v>284</v>
      </c>
      <c r="M26" s="1050" t="s">
        <v>1656</v>
      </c>
      <c r="N26" s="1154" t="s">
        <v>1657</v>
      </c>
      <c r="O26" s="1050" t="s">
        <v>5</v>
      </c>
      <c r="P26" s="1050" t="str">
        <f>'PDS - Desenvolvimento'!$K$107</f>
        <v>Concluído</v>
      </c>
      <c r="Q26" s="1158"/>
      <c r="R26" s="832" t="s">
        <v>465</v>
      </c>
      <c r="S26" s="11"/>
      <c r="T26" s="801" t="s">
        <v>300</v>
      </c>
      <c r="U26" s="787" t="s">
        <v>1658</v>
      </c>
      <c r="V26" s="89" t="s">
        <v>302</v>
      </c>
      <c r="W26" s="787" t="s">
        <v>1659</v>
      </c>
      <c r="X26" s="1146"/>
      <c r="Y26" s="11"/>
      <c r="Z26" s="1147"/>
    </row>
    <row r="27" spans="1:26" ht="14.5" hidden="1">
      <c r="A27" s="841"/>
      <c r="B27" s="842"/>
      <c r="C27" s="842"/>
      <c r="D27" s="842"/>
      <c r="E27" s="795"/>
      <c r="F27" s="819"/>
      <c r="G27" s="11"/>
      <c r="H27" s="841"/>
      <c r="I27" s="842"/>
      <c r="J27" s="853"/>
      <c r="K27" s="11"/>
      <c r="L27" s="1160"/>
      <c r="M27" s="1051"/>
      <c r="N27" s="1155"/>
      <c r="O27" s="1051"/>
      <c r="P27" s="1051"/>
      <c r="Q27" s="1158"/>
      <c r="R27" s="832"/>
      <c r="S27" s="11"/>
      <c r="T27" s="801"/>
      <c r="U27" s="787"/>
      <c r="V27" s="89" t="s">
        <v>304</v>
      </c>
      <c r="W27" s="787"/>
      <c r="X27" s="1146"/>
      <c r="Y27" s="11"/>
      <c r="Z27" s="1147"/>
    </row>
    <row r="28" spans="1:26" ht="75.75" hidden="1" customHeight="1">
      <c r="A28" s="841"/>
      <c r="B28" s="842"/>
      <c r="C28" s="842"/>
      <c r="D28" s="842"/>
      <c r="E28" s="795"/>
      <c r="F28" s="819"/>
      <c r="G28" s="11"/>
      <c r="H28" s="841"/>
      <c r="I28" s="842"/>
      <c r="J28" s="853"/>
      <c r="K28" s="11"/>
      <c r="L28" s="1161"/>
      <c r="M28" s="1052"/>
      <c r="N28" s="1156"/>
      <c r="O28" s="1052"/>
      <c r="P28" s="1052"/>
      <c r="Q28" s="1158"/>
      <c r="R28" s="832"/>
      <c r="S28" s="11"/>
      <c r="T28" s="142" t="s">
        <v>271</v>
      </c>
      <c r="U28" s="90" t="s">
        <v>272</v>
      </c>
      <c r="V28" s="89" t="s">
        <v>638</v>
      </c>
      <c r="W28" s="787"/>
      <c r="X28" s="1146"/>
      <c r="Y28" s="11"/>
      <c r="Z28" s="1147"/>
    </row>
    <row r="29" spans="1:26" ht="15" hidden="1" customHeight="1">
      <c r="A29" s="836" t="s">
        <v>1660</v>
      </c>
      <c r="B29" s="835" t="s">
        <v>1640</v>
      </c>
      <c r="C29" s="835" t="s">
        <v>1661</v>
      </c>
      <c r="D29" s="835" t="s">
        <v>294</v>
      </c>
      <c r="E29" s="815" t="s">
        <v>1654</v>
      </c>
      <c r="F29" s="816" t="s">
        <v>1655</v>
      </c>
      <c r="G29" s="10"/>
      <c r="H29" s="872" t="s">
        <v>50</v>
      </c>
      <c r="I29" s="856"/>
      <c r="J29" s="858"/>
      <c r="K29" s="10"/>
      <c r="L29" s="1162" t="s">
        <v>284</v>
      </c>
      <c r="M29" s="1018" t="s">
        <v>1662</v>
      </c>
      <c r="N29" s="1114" t="s">
        <v>1663</v>
      </c>
      <c r="O29" s="1018" t="s">
        <v>5</v>
      </c>
      <c r="P29" s="1018" t="str">
        <f>'PDS - Desenvolvimento'!$K$108</f>
        <v>Concluído</v>
      </c>
      <c r="Q29" s="1164"/>
      <c r="R29" s="1084" t="s">
        <v>465</v>
      </c>
      <c r="S29" s="10"/>
      <c r="T29" s="798" t="s">
        <v>300</v>
      </c>
      <c r="U29" s="793" t="s">
        <v>1664</v>
      </c>
      <c r="V29" s="133" t="s">
        <v>302</v>
      </c>
      <c r="W29" s="793" t="s">
        <v>1665</v>
      </c>
      <c r="X29" s="1143"/>
      <c r="Y29" s="10"/>
      <c r="Z29" s="1145"/>
    </row>
    <row r="30" spans="1:26" ht="14.5" hidden="1">
      <c r="A30" s="836"/>
      <c r="B30" s="835"/>
      <c r="C30" s="835"/>
      <c r="D30" s="835"/>
      <c r="E30" s="815"/>
      <c r="F30" s="816"/>
      <c r="G30" s="10"/>
      <c r="H30" s="821"/>
      <c r="I30" s="857"/>
      <c r="J30" s="859"/>
      <c r="K30" s="10"/>
      <c r="L30" s="1162"/>
      <c r="M30" s="1018"/>
      <c r="N30" s="1115"/>
      <c r="O30" s="1018"/>
      <c r="P30" s="1018"/>
      <c r="Q30" s="1164"/>
      <c r="R30" s="1084"/>
      <c r="S30" s="10"/>
      <c r="T30" s="798"/>
      <c r="U30" s="793"/>
      <c r="V30" s="133" t="s">
        <v>304</v>
      </c>
      <c r="W30" s="793"/>
      <c r="X30" s="1143"/>
      <c r="Y30" s="10"/>
      <c r="Z30" s="1145"/>
    </row>
    <row r="31" spans="1:26" ht="77.25" hidden="1" customHeight="1">
      <c r="A31" s="836"/>
      <c r="B31" s="835"/>
      <c r="C31" s="835"/>
      <c r="D31" s="835"/>
      <c r="E31" s="815"/>
      <c r="F31" s="816"/>
      <c r="G31" s="10"/>
      <c r="H31" s="821"/>
      <c r="I31" s="857"/>
      <c r="J31" s="859"/>
      <c r="K31" s="10"/>
      <c r="L31" s="1162"/>
      <c r="M31" s="1018"/>
      <c r="N31" s="1116"/>
      <c r="O31" s="1018"/>
      <c r="P31" s="1018"/>
      <c r="Q31" s="1164"/>
      <c r="R31" s="1084"/>
      <c r="S31" s="10"/>
      <c r="T31" s="140" t="s">
        <v>271</v>
      </c>
      <c r="U31" s="131" t="s">
        <v>272</v>
      </c>
      <c r="V31" s="133" t="s">
        <v>640</v>
      </c>
      <c r="W31" s="793"/>
      <c r="X31" s="1143"/>
      <c r="Y31" s="10"/>
      <c r="Z31" s="1145"/>
    </row>
    <row r="32" spans="1:26" ht="72.75" hidden="1" customHeight="1">
      <c r="A32" s="95" t="s">
        <v>1666</v>
      </c>
      <c r="B32" s="89" t="s">
        <v>1667</v>
      </c>
      <c r="C32" s="89" t="s">
        <v>1668</v>
      </c>
      <c r="D32" s="89" t="s">
        <v>1020</v>
      </c>
      <c r="E32" s="96" t="s">
        <v>1669</v>
      </c>
      <c r="F32" s="13" t="s">
        <v>1670</v>
      </c>
      <c r="G32" s="11"/>
      <c r="H32" s="193" t="s">
        <v>50</v>
      </c>
      <c r="I32" s="189"/>
      <c r="J32" s="194"/>
      <c r="K32" s="11"/>
      <c r="L32" s="111" t="s">
        <v>284</v>
      </c>
      <c r="M32" s="103" t="s">
        <v>1671</v>
      </c>
      <c r="N32" s="106" t="s">
        <v>1672</v>
      </c>
      <c r="O32" s="103" t="s">
        <v>5</v>
      </c>
      <c r="P32" s="103" t="str">
        <f>'PDS - Desenvolvimento'!$K$109</f>
        <v>Concluído</v>
      </c>
      <c r="Q32" s="464">
        <v>45608</v>
      </c>
      <c r="R32" s="321" t="s">
        <v>287</v>
      </c>
      <c r="S32" s="11"/>
      <c r="T32" s="142" t="s">
        <v>1084</v>
      </c>
      <c r="U32" s="90" t="s">
        <v>1084</v>
      </c>
      <c r="V32" s="89" t="s">
        <v>1084</v>
      </c>
      <c r="W32" s="90" t="s">
        <v>1084</v>
      </c>
      <c r="X32" s="286" t="s">
        <v>1084</v>
      </c>
      <c r="Y32" s="11"/>
      <c r="Z32" s="16" t="s">
        <v>1084</v>
      </c>
    </row>
    <row r="33" spans="1:26" ht="260.25" hidden="1" customHeight="1">
      <c r="A33" s="93" t="s">
        <v>1673</v>
      </c>
      <c r="B33" s="88" t="s">
        <v>1674</v>
      </c>
      <c r="C33" s="88" t="s">
        <v>1675</v>
      </c>
      <c r="D33" s="88" t="s">
        <v>262</v>
      </c>
      <c r="E33" s="94" t="s">
        <v>1676</v>
      </c>
      <c r="F33" s="14" t="s">
        <v>1677</v>
      </c>
      <c r="G33" s="10"/>
      <c r="H33" s="113" t="s">
        <v>50</v>
      </c>
      <c r="I33" s="105"/>
      <c r="J33" s="114"/>
      <c r="K33" s="10"/>
      <c r="L33" s="305" t="s">
        <v>284</v>
      </c>
      <c r="M33" s="304" t="s">
        <v>1678</v>
      </c>
      <c r="N33" s="365" t="s">
        <v>1679</v>
      </c>
      <c r="O33" s="304" t="s">
        <v>5</v>
      </c>
      <c r="P33" s="304" t="str">
        <f>'PDS - Desenvolvimento'!$K$110</f>
        <v>Concluído</v>
      </c>
      <c r="Q33" s="591">
        <v>45674</v>
      </c>
      <c r="R33" s="320" t="s">
        <v>287</v>
      </c>
      <c r="S33" s="10"/>
      <c r="T33" s="140" t="s">
        <v>1680</v>
      </c>
      <c r="U33" s="131" t="s">
        <v>272</v>
      </c>
      <c r="V33" s="133" t="s">
        <v>1681</v>
      </c>
      <c r="W33" s="131" t="s">
        <v>289</v>
      </c>
      <c r="X33" s="285"/>
      <c r="Y33" s="10"/>
      <c r="Z33" s="19"/>
    </row>
    <row r="34" spans="1:26" ht="14.5" hidden="1">
      <c r="A34" s="841" t="s">
        <v>1682</v>
      </c>
      <c r="B34" s="842" t="s">
        <v>1683</v>
      </c>
      <c r="C34" s="842" t="s">
        <v>969</v>
      </c>
      <c r="D34" s="842" t="s">
        <v>459</v>
      </c>
      <c r="E34" s="795" t="s">
        <v>1684</v>
      </c>
      <c r="F34" s="819" t="s">
        <v>1685</v>
      </c>
      <c r="G34" s="11"/>
      <c r="H34" s="1020" t="s">
        <v>50</v>
      </c>
      <c r="I34" s="942"/>
      <c r="J34" s="1009"/>
      <c r="K34" s="11"/>
      <c r="L34" s="817" t="s">
        <v>268</v>
      </c>
      <c r="M34" s="860" t="s">
        <v>974</v>
      </c>
      <c r="N34" s="1163" t="s">
        <v>1686</v>
      </c>
      <c r="O34" s="785" t="s">
        <v>5</v>
      </c>
      <c r="P34" s="785" t="str">
        <f>'PDS - Desenvolvimento'!$K$24</f>
        <v>Concluído</v>
      </c>
      <c r="Q34" s="1165">
        <v>45608</v>
      </c>
      <c r="R34" s="832" t="s">
        <v>5</v>
      </c>
      <c r="S34" s="11"/>
      <c r="T34" s="801" t="s">
        <v>821</v>
      </c>
      <c r="U34" s="787" t="s">
        <v>272</v>
      </c>
      <c r="V34" s="89" t="s">
        <v>976</v>
      </c>
      <c r="W34" s="787" t="s">
        <v>1687</v>
      </c>
      <c r="X34" s="1146" t="s">
        <v>1688</v>
      </c>
      <c r="Y34" s="11"/>
      <c r="Z34" s="1147"/>
    </row>
    <row r="35" spans="1:26" ht="14.5" hidden="1">
      <c r="A35" s="841"/>
      <c r="B35" s="842"/>
      <c r="C35" s="842"/>
      <c r="D35" s="842"/>
      <c r="E35" s="795"/>
      <c r="F35" s="819"/>
      <c r="G35" s="11"/>
      <c r="H35" s="841"/>
      <c r="I35" s="842"/>
      <c r="J35" s="853"/>
      <c r="K35" s="11"/>
      <c r="L35" s="818"/>
      <c r="M35" s="785"/>
      <c r="N35" s="833"/>
      <c r="O35" s="785"/>
      <c r="P35" s="785"/>
      <c r="Q35" s="845"/>
      <c r="R35" s="832"/>
      <c r="S35" s="11"/>
      <c r="T35" s="801"/>
      <c r="U35" s="787"/>
      <c r="V35" s="89" t="s">
        <v>978</v>
      </c>
      <c r="W35" s="787"/>
      <c r="X35" s="1146"/>
      <c r="Y35" s="11"/>
      <c r="Z35" s="1147"/>
    </row>
    <row r="36" spans="1:26" ht="14.5" hidden="1">
      <c r="A36" s="841"/>
      <c r="B36" s="842"/>
      <c r="C36" s="842"/>
      <c r="D36" s="842"/>
      <c r="E36" s="795"/>
      <c r="F36" s="819"/>
      <c r="G36" s="11"/>
      <c r="H36" s="841"/>
      <c r="I36" s="842"/>
      <c r="J36" s="853"/>
      <c r="K36" s="11"/>
      <c r="L36" s="818"/>
      <c r="M36" s="785"/>
      <c r="N36" s="833"/>
      <c r="O36" s="785"/>
      <c r="P36" s="785"/>
      <c r="Q36" s="845"/>
      <c r="R36" s="832"/>
      <c r="S36" s="11"/>
      <c r="T36" s="801"/>
      <c r="U36" s="787"/>
      <c r="V36" s="89" t="s">
        <v>979</v>
      </c>
      <c r="W36" s="787"/>
      <c r="X36" s="1146"/>
      <c r="Y36" s="11"/>
      <c r="Z36" s="1147"/>
    </row>
    <row r="37" spans="1:26" ht="14.5" hidden="1">
      <c r="A37" s="841"/>
      <c r="B37" s="842"/>
      <c r="C37" s="842"/>
      <c r="D37" s="842"/>
      <c r="E37" s="795"/>
      <c r="F37" s="819"/>
      <c r="G37" s="11"/>
      <c r="H37" s="841"/>
      <c r="I37" s="842"/>
      <c r="J37" s="853"/>
      <c r="K37" s="11"/>
      <c r="L37" s="818"/>
      <c r="M37" s="785"/>
      <c r="N37" s="833"/>
      <c r="O37" s="785"/>
      <c r="P37" s="785"/>
      <c r="Q37" s="845"/>
      <c r="R37" s="832"/>
      <c r="S37" s="11"/>
      <c r="T37" s="801"/>
      <c r="U37" s="787"/>
      <c r="V37" s="89" t="s">
        <v>980</v>
      </c>
      <c r="W37" s="787"/>
      <c r="X37" s="1146"/>
      <c r="Y37" s="11"/>
      <c r="Z37" s="1147"/>
    </row>
    <row r="38" spans="1:26" ht="14.5" hidden="1">
      <c r="A38" s="841"/>
      <c r="B38" s="842"/>
      <c r="C38" s="842"/>
      <c r="D38" s="842"/>
      <c r="E38" s="795"/>
      <c r="F38" s="819"/>
      <c r="G38" s="11"/>
      <c r="H38" s="841"/>
      <c r="I38" s="842"/>
      <c r="J38" s="853"/>
      <c r="K38" s="11"/>
      <c r="L38" s="818"/>
      <c r="M38" s="785"/>
      <c r="N38" s="833"/>
      <c r="O38" s="785"/>
      <c r="P38" s="785"/>
      <c r="Q38" s="845"/>
      <c r="R38" s="832"/>
      <c r="S38" s="11"/>
      <c r="T38" s="801"/>
      <c r="U38" s="787"/>
      <c r="V38" s="89" t="s">
        <v>981</v>
      </c>
      <c r="W38" s="787"/>
      <c r="X38" s="1146"/>
      <c r="Y38" s="11"/>
      <c r="Z38" s="1147"/>
    </row>
    <row r="39" spans="1:26" ht="14.5" hidden="1">
      <c r="A39" s="841"/>
      <c r="B39" s="842"/>
      <c r="C39" s="842"/>
      <c r="D39" s="842"/>
      <c r="E39" s="795"/>
      <c r="F39" s="819"/>
      <c r="G39" s="11"/>
      <c r="H39" s="841"/>
      <c r="I39" s="842"/>
      <c r="J39" s="853"/>
      <c r="K39" s="11"/>
      <c r="L39" s="818"/>
      <c r="M39" s="785"/>
      <c r="N39" s="833"/>
      <c r="O39" s="785"/>
      <c r="P39" s="785"/>
      <c r="Q39" s="845"/>
      <c r="R39" s="832"/>
      <c r="S39" s="11"/>
      <c r="T39" s="801"/>
      <c r="U39" s="787"/>
      <c r="V39" s="89" t="s">
        <v>982</v>
      </c>
      <c r="W39" s="787"/>
      <c r="X39" s="1146"/>
      <c r="Y39" s="11"/>
      <c r="Z39" s="1147"/>
    </row>
    <row r="40" spans="1:26" ht="14.5" hidden="1">
      <c r="A40" s="841"/>
      <c r="B40" s="842"/>
      <c r="C40" s="842"/>
      <c r="D40" s="842"/>
      <c r="E40" s="795"/>
      <c r="F40" s="819"/>
      <c r="G40" s="11"/>
      <c r="H40" s="841"/>
      <c r="I40" s="842"/>
      <c r="J40" s="853"/>
      <c r="K40" s="11"/>
      <c r="L40" s="818"/>
      <c r="M40" s="785"/>
      <c r="N40" s="833"/>
      <c r="O40" s="785"/>
      <c r="P40" s="785"/>
      <c r="Q40" s="845"/>
      <c r="R40" s="832"/>
      <c r="S40" s="11"/>
      <c r="T40" s="801"/>
      <c r="U40" s="787"/>
      <c r="V40" s="89" t="s">
        <v>983</v>
      </c>
      <c r="W40" s="787"/>
      <c r="X40" s="1146"/>
      <c r="Y40" s="11"/>
      <c r="Z40" s="1147"/>
    </row>
    <row r="41" spans="1:26" ht="14.5" hidden="1">
      <c r="A41" s="841"/>
      <c r="B41" s="842"/>
      <c r="C41" s="842"/>
      <c r="D41" s="842"/>
      <c r="E41" s="795"/>
      <c r="F41" s="819"/>
      <c r="G41" s="11"/>
      <c r="H41" s="841"/>
      <c r="I41" s="842"/>
      <c r="J41" s="853"/>
      <c r="K41" s="11"/>
      <c r="L41" s="818"/>
      <c r="M41" s="785"/>
      <c r="N41" s="833"/>
      <c r="O41" s="785"/>
      <c r="P41" s="785"/>
      <c r="Q41" s="845"/>
      <c r="R41" s="832"/>
      <c r="S41" s="11"/>
      <c r="T41" s="801"/>
      <c r="U41" s="787"/>
      <c r="V41" s="89" t="s">
        <v>984</v>
      </c>
      <c r="W41" s="787"/>
      <c r="X41" s="1146"/>
      <c r="Y41" s="11"/>
      <c r="Z41" s="1147"/>
    </row>
    <row r="42" spans="1:26" ht="14.5" hidden="1">
      <c r="A42" s="841"/>
      <c r="B42" s="842"/>
      <c r="C42" s="842"/>
      <c r="D42" s="842"/>
      <c r="E42" s="795"/>
      <c r="F42" s="819"/>
      <c r="G42" s="11"/>
      <c r="H42" s="841"/>
      <c r="I42" s="842"/>
      <c r="J42" s="853"/>
      <c r="K42" s="11"/>
      <c r="L42" s="818"/>
      <c r="M42" s="785"/>
      <c r="N42" s="833"/>
      <c r="O42" s="785"/>
      <c r="P42" s="785"/>
      <c r="Q42" s="845"/>
      <c r="R42" s="832"/>
      <c r="S42" s="11"/>
      <c r="T42" s="801"/>
      <c r="U42" s="787"/>
      <c r="V42" s="89" t="s">
        <v>985</v>
      </c>
      <c r="W42" s="787"/>
      <c r="X42" s="1146"/>
      <c r="Y42" s="11"/>
      <c r="Z42" s="1147"/>
    </row>
    <row r="43" spans="1:26" ht="14.5" hidden="1">
      <c r="A43" s="841"/>
      <c r="B43" s="842"/>
      <c r="C43" s="842"/>
      <c r="D43" s="842"/>
      <c r="E43" s="795"/>
      <c r="F43" s="819"/>
      <c r="G43" s="11"/>
      <c r="H43" s="841"/>
      <c r="I43" s="842"/>
      <c r="J43" s="853"/>
      <c r="K43" s="11"/>
      <c r="L43" s="818"/>
      <c r="M43" s="785"/>
      <c r="N43" s="833"/>
      <c r="O43" s="785"/>
      <c r="P43" s="785"/>
      <c r="Q43" s="845"/>
      <c r="R43" s="832"/>
      <c r="S43" s="11"/>
      <c r="T43" s="801"/>
      <c r="U43" s="787"/>
      <c r="V43" s="89" t="s">
        <v>986</v>
      </c>
      <c r="W43" s="787"/>
      <c r="X43" s="1146"/>
      <c r="Y43" s="11"/>
      <c r="Z43" s="1147"/>
    </row>
    <row r="44" spans="1:26" ht="14.5" hidden="1">
      <c r="A44" s="841"/>
      <c r="B44" s="842"/>
      <c r="C44" s="842"/>
      <c r="D44" s="842"/>
      <c r="E44" s="795"/>
      <c r="F44" s="819"/>
      <c r="G44" s="11"/>
      <c r="H44" s="841"/>
      <c r="I44" s="842"/>
      <c r="J44" s="853"/>
      <c r="K44" s="11"/>
      <c r="L44" s="818"/>
      <c r="M44" s="785"/>
      <c r="N44" s="833"/>
      <c r="O44" s="785"/>
      <c r="P44" s="785"/>
      <c r="Q44" s="845"/>
      <c r="R44" s="832"/>
      <c r="S44" s="11"/>
      <c r="T44" s="801"/>
      <c r="U44" s="787"/>
      <c r="V44" s="89" t="s">
        <v>987</v>
      </c>
      <c r="W44" s="787"/>
      <c r="X44" s="1146"/>
      <c r="Y44" s="11"/>
      <c r="Z44" s="1147"/>
    </row>
    <row r="45" spans="1:26" ht="14.5" hidden="1">
      <c r="A45" s="841"/>
      <c r="B45" s="842"/>
      <c r="C45" s="842"/>
      <c r="D45" s="842"/>
      <c r="E45" s="795"/>
      <c r="F45" s="819"/>
      <c r="G45" s="11"/>
      <c r="H45" s="841"/>
      <c r="I45" s="842"/>
      <c r="J45" s="853"/>
      <c r="K45" s="11"/>
      <c r="L45" s="818"/>
      <c r="M45" s="785"/>
      <c r="N45" s="833"/>
      <c r="O45" s="785"/>
      <c r="P45" s="785"/>
      <c r="Q45" s="845"/>
      <c r="R45" s="832"/>
      <c r="S45" s="11"/>
      <c r="T45" s="801"/>
      <c r="U45" s="787"/>
      <c r="V45" s="89" t="s">
        <v>988</v>
      </c>
      <c r="W45" s="787"/>
      <c r="X45" s="1146"/>
      <c r="Y45" s="11"/>
      <c r="Z45" s="1147"/>
    </row>
    <row r="46" spans="1:26" ht="14.5" hidden="1">
      <c r="A46" s="841"/>
      <c r="B46" s="842"/>
      <c r="C46" s="842"/>
      <c r="D46" s="842"/>
      <c r="E46" s="795"/>
      <c r="F46" s="819"/>
      <c r="G46" s="11"/>
      <c r="H46" s="841"/>
      <c r="I46" s="842"/>
      <c r="J46" s="853"/>
      <c r="K46" s="11"/>
      <c r="L46" s="818"/>
      <c r="M46" s="785"/>
      <c r="N46" s="833"/>
      <c r="O46" s="785"/>
      <c r="P46" s="785"/>
      <c r="Q46" s="845"/>
      <c r="R46" s="832"/>
      <c r="S46" s="11"/>
      <c r="T46" s="801"/>
      <c r="U46" s="787"/>
      <c r="V46" s="89" t="s">
        <v>989</v>
      </c>
      <c r="W46" s="787"/>
      <c r="X46" s="1146"/>
      <c r="Y46" s="11"/>
      <c r="Z46" s="1147"/>
    </row>
    <row r="47" spans="1:26" ht="14.5" hidden="1">
      <c r="A47" s="841"/>
      <c r="B47" s="842"/>
      <c r="C47" s="842"/>
      <c r="D47" s="842"/>
      <c r="E47" s="795"/>
      <c r="F47" s="819"/>
      <c r="G47" s="11"/>
      <c r="H47" s="841"/>
      <c r="I47" s="842"/>
      <c r="J47" s="853"/>
      <c r="K47" s="11"/>
      <c r="L47" s="818"/>
      <c r="M47" s="785"/>
      <c r="N47" s="833"/>
      <c r="O47" s="785"/>
      <c r="P47" s="785"/>
      <c r="Q47" s="845"/>
      <c r="R47" s="832"/>
      <c r="S47" s="11"/>
      <c r="T47" s="801"/>
      <c r="U47" s="787"/>
      <c r="V47" s="89" t="s">
        <v>990</v>
      </c>
      <c r="W47" s="787"/>
      <c r="X47" s="1146"/>
      <c r="Y47" s="11"/>
      <c r="Z47" s="1147"/>
    </row>
    <row r="48" spans="1:26" ht="14.5" hidden="1">
      <c r="A48" s="841"/>
      <c r="B48" s="842"/>
      <c r="C48" s="842"/>
      <c r="D48" s="842"/>
      <c r="E48" s="795"/>
      <c r="F48" s="819"/>
      <c r="G48" s="11"/>
      <c r="H48" s="841"/>
      <c r="I48" s="842"/>
      <c r="J48" s="853"/>
      <c r="K48" s="11"/>
      <c r="L48" s="818"/>
      <c r="M48" s="785"/>
      <c r="N48" s="833"/>
      <c r="O48" s="785"/>
      <c r="P48" s="785"/>
      <c r="Q48" s="845"/>
      <c r="R48" s="832"/>
      <c r="S48" s="11"/>
      <c r="T48" s="801"/>
      <c r="U48" s="787"/>
      <c r="V48" s="89" t="s">
        <v>991</v>
      </c>
      <c r="W48" s="787"/>
      <c r="X48" s="1146"/>
      <c r="Y48" s="11"/>
      <c r="Z48" s="1147"/>
    </row>
    <row r="49" spans="1:26" ht="14.5" hidden="1">
      <c r="A49" s="841"/>
      <c r="B49" s="842"/>
      <c r="C49" s="842"/>
      <c r="D49" s="842"/>
      <c r="E49" s="795"/>
      <c r="F49" s="819"/>
      <c r="G49" s="11"/>
      <c r="H49" s="841"/>
      <c r="I49" s="842"/>
      <c r="J49" s="853"/>
      <c r="K49" s="11"/>
      <c r="L49" s="818"/>
      <c r="M49" s="785"/>
      <c r="N49" s="833"/>
      <c r="O49" s="785"/>
      <c r="P49" s="785"/>
      <c r="Q49" s="845"/>
      <c r="R49" s="832"/>
      <c r="S49" s="11"/>
      <c r="T49" s="801"/>
      <c r="U49" s="787"/>
      <c r="V49" s="89" t="s">
        <v>992</v>
      </c>
      <c r="W49" s="787"/>
      <c r="X49" s="1146"/>
      <c r="Y49" s="11"/>
      <c r="Z49" s="1147"/>
    </row>
    <row r="50" spans="1:26" ht="14.5" hidden="1">
      <c r="A50" s="841"/>
      <c r="B50" s="842"/>
      <c r="C50" s="842"/>
      <c r="D50" s="842"/>
      <c r="E50" s="795"/>
      <c r="F50" s="819"/>
      <c r="G50" s="11"/>
      <c r="H50" s="841"/>
      <c r="I50" s="842"/>
      <c r="J50" s="853"/>
      <c r="K50" s="11"/>
      <c r="L50" s="818"/>
      <c r="M50" s="785"/>
      <c r="N50" s="833"/>
      <c r="O50" s="785"/>
      <c r="P50" s="785"/>
      <c r="Q50" s="845"/>
      <c r="R50" s="832"/>
      <c r="S50" s="11"/>
      <c r="T50" s="801"/>
      <c r="U50" s="787"/>
      <c r="V50" s="89" t="s">
        <v>993</v>
      </c>
      <c r="W50" s="787"/>
      <c r="X50" s="1146"/>
      <c r="Y50" s="11"/>
      <c r="Z50" s="1147"/>
    </row>
    <row r="51" spans="1:26" ht="14.5" hidden="1">
      <c r="A51" s="841"/>
      <c r="B51" s="842"/>
      <c r="C51" s="842"/>
      <c r="D51" s="842"/>
      <c r="E51" s="795"/>
      <c r="F51" s="819"/>
      <c r="G51" s="11"/>
      <c r="H51" s="841"/>
      <c r="I51" s="842"/>
      <c r="J51" s="853"/>
      <c r="K51" s="11"/>
      <c r="L51" s="818"/>
      <c r="M51" s="785"/>
      <c r="N51" s="833"/>
      <c r="O51" s="785"/>
      <c r="P51" s="785"/>
      <c r="Q51" s="845"/>
      <c r="R51" s="832"/>
      <c r="S51" s="11"/>
      <c r="T51" s="801"/>
      <c r="U51" s="787"/>
      <c r="V51" s="89" t="s">
        <v>994</v>
      </c>
      <c r="W51" s="787"/>
      <c r="X51" s="1146"/>
      <c r="Y51" s="11"/>
      <c r="Z51" s="1147"/>
    </row>
    <row r="52" spans="1:26" ht="14.5" hidden="1">
      <c r="A52" s="841"/>
      <c r="B52" s="842"/>
      <c r="C52" s="842"/>
      <c r="D52" s="842"/>
      <c r="E52" s="795"/>
      <c r="F52" s="819"/>
      <c r="G52" s="11"/>
      <c r="H52" s="841"/>
      <c r="I52" s="842"/>
      <c r="J52" s="853"/>
      <c r="K52" s="11"/>
      <c r="L52" s="818"/>
      <c r="M52" s="785"/>
      <c r="N52" s="833"/>
      <c r="O52" s="785"/>
      <c r="P52" s="785"/>
      <c r="Q52" s="845"/>
      <c r="R52" s="832"/>
      <c r="S52" s="11"/>
      <c r="T52" s="801"/>
      <c r="U52" s="787"/>
      <c r="V52" s="89" t="s">
        <v>995</v>
      </c>
      <c r="W52" s="787"/>
      <c r="X52" s="1146"/>
      <c r="Y52" s="11"/>
      <c r="Z52" s="1147"/>
    </row>
    <row r="53" spans="1:26" ht="14.5" hidden="1">
      <c r="A53" s="841"/>
      <c r="B53" s="842"/>
      <c r="C53" s="842"/>
      <c r="D53" s="842"/>
      <c r="E53" s="795"/>
      <c r="F53" s="819"/>
      <c r="G53" s="11"/>
      <c r="H53" s="841"/>
      <c r="I53" s="842"/>
      <c r="J53" s="853"/>
      <c r="K53" s="11"/>
      <c r="L53" s="818"/>
      <c r="M53" s="785"/>
      <c r="N53" s="833"/>
      <c r="O53" s="785"/>
      <c r="P53" s="785"/>
      <c r="Q53" s="845"/>
      <c r="R53" s="832"/>
      <c r="S53" s="11"/>
      <c r="T53" s="801"/>
      <c r="U53" s="787"/>
      <c r="V53" s="89" t="s">
        <v>996</v>
      </c>
      <c r="W53" s="787"/>
      <c r="X53" s="1146"/>
      <c r="Y53" s="11"/>
      <c r="Z53" s="1147"/>
    </row>
    <row r="54" spans="1:26" ht="14.5" hidden="1">
      <c r="A54" s="841"/>
      <c r="B54" s="842"/>
      <c r="C54" s="842"/>
      <c r="D54" s="842"/>
      <c r="E54" s="795"/>
      <c r="F54" s="819"/>
      <c r="G54" s="11"/>
      <c r="H54" s="841"/>
      <c r="I54" s="842"/>
      <c r="J54" s="853"/>
      <c r="K54" s="11"/>
      <c r="L54" s="818"/>
      <c r="M54" s="785"/>
      <c r="N54" s="833"/>
      <c r="O54" s="785"/>
      <c r="P54" s="785"/>
      <c r="Q54" s="845"/>
      <c r="R54" s="832"/>
      <c r="S54" s="11"/>
      <c r="T54" s="801"/>
      <c r="U54" s="787"/>
      <c r="V54" s="89" t="s">
        <v>997</v>
      </c>
      <c r="W54" s="787"/>
      <c r="X54" s="1146"/>
      <c r="Y54" s="11"/>
      <c r="Z54" s="1147"/>
    </row>
    <row r="55" spans="1:26" ht="14.5" hidden="1">
      <c r="A55" s="841"/>
      <c r="B55" s="842"/>
      <c r="C55" s="842"/>
      <c r="D55" s="842"/>
      <c r="E55" s="795"/>
      <c r="F55" s="819"/>
      <c r="G55" s="11"/>
      <c r="H55" s="841"/>
      <c r="I55" s="842"/>
      <c r="J55" s="853"/>
      <c r="K55" s="11"/>
      <c r="L55" s="818"/>
      <c r="M55" s="785"/>
      <c r="N55" s="833"/>
      <c r="O55" s="785"/>
      <c r="P55" s="785"/>
      <c r="Q55" s="845"/>
      <c r="R55" s="832"/>
      <c r="S55" s="11"/>
      <c r="T55" s="801"/>
      <c r="U55" s="787"/>
      <c r="V55" s="89" t="s">
        <v>998</v>
      </c>
      <c r="W55" s="787"/>
      <c r="X55" s="1146"/>
      <c r="Y55" s="11"/>
      <c r="Z55" s="1147"/>
    </row>
    <row r="56" spans="1:26" ht="14.5" hidden="1">
      <c r="A56" s="841"/>
      <c r="B56" s="842"/>
      <c r="C56" s="842"/>
      <c r="D56" s="842"/>
      <c r="E56" s="795"/>
      <c r="F56" s="819"/>
      <c r="G56" s="11"/>
      <c r="H56" s="841"/>
      <c r="I56" s="842"/>
      <c r="J56" s="853"/>
      <c r="K56" s="11"/>
      <c r="L56" s="818"/>
      <c r="M56" s="785"/>
      <c r="N56" s="833"/>
      <c r="O56" s="785"/>
      <c r="P56" s="785"/>
      <c r="Q56" s="845"/>
      <c r="R56" s="832"/>
      <c r="S56" s="11"/>
      <c r="T56" s="801"/>
      <c r="U56" s="787"/>
      <c r="V56" s="89" t="s">
        <v>999</v>
      </c>
      <c r="W56" s="787"/>
      <c r="X56" s="1146"/>
      <c r="Y56" s="11"/>
      <c r="Z56" s="1147"/>
    </row>
    <row r="57" spans="1:26" ht="14.5" hidden="1">
      <c r="A57" s="841"/>
      <c r="B57" s="842"/>
      <c r="C57" s="842"/>
      <c r="D57" s="842"/>
      <c r="E57" s="795"/>
      <c r="F57" s="819"/>
      <c r="G57" s="11"/>
      <c r="H57" s="841"/>
      <c r="I57" s="842"/>
      <c r="J57" s="853"/>
      <c r="K57" s="11"/>
      <c r="L57" s="818"/>
      <c r="M57" s="785"/>
      <c r="N57" s="833"/>
      <c r="O57" s="785"/>
      <c r="P57" s="785"/>
      <c r="Q57" s="845"/>
      <c r="R57" s="832"/>
      <c r="S57" s="11"/>
      <c r="T57" s="801"/>
      <c r="U57" s="787"/>
      <c r="V57" s="89" t="s">
        <v>1000</v>
      </c>
      <c r="W57" s="787"/>
      <c r="X57" s="1146"/>
      <c r="Y57" s="11"/>
      <c r="Z57" s="1147"/>
    </row>
    <row r="58" spans="1:26" ht="14.5" hidden="1">
      <c r="A58" s="841"/>
      <c r="B58" s="842"/>
      <c r="C58" s="842"/>
      <c r="D58" s="842"/>
      <c r="E58" s="795"/>
      <c r="F58" s="819"/>
      <c r="G58" s="11"/>
      <c r="H58" s="841"/>
      <c r="I58" s="842"/>
      <c r="J58" s="853"/>
      <c r="K58" s="11"/>
      <c r="L58" s="818"/>
      <c r="M58" s="785"/>
      <c r="N58" s="833"/>
      <c r="O58" s="785"/>
      <c r="P58" s="785"/>
      <c r="Q58" s="845"/>
      <c r="R58" s="832"/>
      <c r="S58" s="11"/>
      <c r="T58" s="801"/>
      <c r="U58" s="787"/>
      <c r="V58" s="89" t="s">
        <v>870</v>
      </c>
      <c r="W58" s="787"/>
      <c r="X58" s="1146"/>
      <c r="Y58" s="11"/>
      <c r="Z58" s="1147"/>
    </row>
    <row r="59" spans="1:26" ht="14.5" hidden="1">
      <c r="A59" s="841"/>
      <c r="B59" s="842"/>
      <c r="C59" s="842"/>
      <c r="D59" s="842"/>
      <c r="E59" s="795"/>
      <c r="F59" s="819"/>
      <c r="G59" s="11"/>
      <c r="H59" s="841"/>
      <c r="I59" s="842"/>
      <c r="J59" s="853"/>
      <c r="K59" s="11"/>
      <c r="L59" s="818"/>
      <c r="M59" s="785"/>
      <c r="N59" s="833"/>
      <c r="O59" s="785"/>
      <c r="P59" s="785"/>
      <c r="Q59" s="845"/>
      <c r="R59" s="832"/>
      <c r="S59" s="11"/>
      <c r="T59" s="801"/>
      <c r="U59" s="787"/>
      <c r="V59" s="89" t="s">
        <v>1001</v>
      </c>
      <c r="W59" s="787"/>
      <c r="X59" s="1146"/>
      <c r="Y59" s="11"/>
      <c r="Z59" s="1147"/>
    </row>
    <row r="60" spans="1:26" ht="7.5" hidden="1" customHeight="1">
      <c r="A60" s="841"/>
      <c r="B60" s="842"/>
      <c r="C60" s="842"/>
      <c r="D60" s="842"/>
      <c r="E60" s="795"/>
      <c r="F60" s="819"/>
      <c r="G60" s="11"/>
      <c r="H60" s="841"/>
      <c r="I60" s="842"/>
      <c r="J60" s="853"/>
      <c r="K60" s="11"/>
      <c r="L60" s="818"/>
      <c r="M60" s="785"/>
      <c r="N60" s="833"/>
      <c r="O60" s="785"/>
      <c r="P60" s="785"/>
      <c r="Q60" s="845"/>
      <c r="R60" s="832"/>
      <c r="S60" s="11"/>
      <c r="T60" s="801"/>
      <c r="U60" s="787"/>
      <c r="V60" s="89" t="s">
        <v>1002</v>
      </c>
      <c r="W60" s="787"/>
      <c r="X60" s="1146"/>
      <c r="Y60" s="11"/>
      <c r="Z60" s="1147"/>
    </row>
    <row r="61" spans="1:26" ht="161.25" hidden="1" customHeight="1">
      <c r="A61" s="93" t="s">
        <v>1689</v>
      </c>
      <c r="B61" s="88" t="s">
        <v>1683</v>
      </c>
      <c r="C61" s="88" t="s">
        <v>1690</v>
      </c>
      <c r="D61" s="88" t="s">
        <v>294</v>
      </c>
      <c r="E61" s="94" t="s">
        <v>1691</v>
      </c>
      <c r="F61" s="14" t="s">
        <v>1692</v>
      </c>
      <c r="G61" s="10"/>
      <c r="H61" s="113" t="s">
        <v>50</v>
      </c>
      <c r="I61" s="105"/>
      <c r="J61" s="114"/>
      <c r="K61" s="10"/>
      <c r="L61" s="305" t="s">
        <v>268</v>
      </c>
      <c r="M61" s="304" t="s">
        <v>1499</v>
      </c>
      <c r="N61" s="359" t="s">
        <v>1693</v>
      </c>
      <c r="O61" s="304" t="s">
        <v>5</v>
      </c>
      <c r="P61" s="304" t="str">
        <f>'PDS - Desenvolvimento'!$K$26</f>
        <v>Concluído</v>
      </c>
      <c r="Q61" s="438"/>
      <c r="R61" s="320" t="s">
        <v>5</v>
      </c>
      <c r="S61" s="10"/>
      <c r="T61" s="140"/>
      <c r="U61" s="131"/>
      <c r="V61" s="133"/>
      <c r="W61" s="131" t="s">
        <v>1501</v>
      </c>
      <c r="X61" s="285"/>
      <c r="Y61" s="10"/>
      <c r="Z61" s="19"/>
    </row>
    <row r="62" spans="1:26" ht="14.5" hidden="1" customHeight="1">
      <c r="A62" s="841" t="s">
        <v>1694</v>
      </c>
      <c r="B62" s="842" t="s">
        <v>1683</v>
      </c>
      <c r="C62" s="842" t="s">
        <v>1695</v>
      </c>
      <c r="D62" s="842" t="s">
        <v>294</v>
      </c>
      <c r="E62" s="795" t="s">
        <v>1696</v>
      </c>
      <c r="F62" s="819" t="s">
        <v>1697</v>
      </c>
      <c r="G62" s="11"/>
      <c r="H62" s="1020" t="s">
        <v>50</v>
      </c>
      <c r="I62" s="942"/>
      <c r="J62" s="1009"/>
      <c r="K62" s="11"/>
      <c r="L62" s="1020" t="s">
        <v>268</v>
      </c>
      <c r="M62" s="942" t="s">
        <v>841</v>
      </c>
      <c r="N62" s="1011" t="s">
        <v>1698</v>
      </c>
      <c r="O62" s="842" t="s">
        <v>5</v>
      </c>
      <c r="P62" s="842" t="str">
        <f>'PDS - Desenvolvimento'!$K$67</f>
        <v>Concluído</v>
      </c>
      <c r="Q62" s="1166">
        <v>45684</v>
      </c>
      <c r="R62" s="832" t="s">
        <v>5</v>
      </c>
      <c r="S62" s="11"/>
      <c r="T62" s="801" t="s">
        <v>300</v>
      </c>
      <c r="U62" s="787" t="s">
        <v>1699</v>
      </c>
      <c r="V62" s="89" t="s">
        <v>302</v>
      </c>
      <c r="W62" s="787" t="s">
        <v>844</v>
      </c>
      <c r="X62" s="1146"/>
      <c r="Y62" s="11"/>
      <c r="Z62" s="1147"/>
    </row>
    <row r="63" spans="1:26" ht="14.5" hidden="1" customHeight="1">
      <c r="A63" s="841"/>
      <c r="B63" s="842"/>
      <c r="C63" s="842"/>
      <c r="D63" s="842"/>
      <c r="E63" s="795"/>
      <c r="F63" s="819"/>
      <c r="G63" s="11"/>
      <c r="H63" s="841"/>
      <c r="I63" s="842"/>
      <c r="J63" s="853"/>
      <c r="K63" s="11"/>
      <c r="L63" s="841"/>
      <c r="M63" s="842"/>
      <c r="N63" s="885"/>
      <c r="O63" s="842"/>
      <c r="P63" s="842"/>
      <c r="Q63" s="795"/>
      <c r="R63" s="832"/>
      <c r="S63" s="11"/>
      <c r="T63" s="801"/>
      <c r="U63" s="787"/>
      <c r="V63" s="89" t="s">
        <v>304</v>
      </c>
      <c r="W63" s="787"/>
      <c r="X63" s="1146"/>
      <c r="Y63" s="11"/>
      <c r="Z63" s="1147"/>
    </row>
    <row r="64" spans="1:26" ht="95.25" hidden="1" customHeight="1">
      <c r="A64" s="841"/>
      <c r="B64" s="842"/>
      <c r="C64" s="842"/>
      <c r="D64" s="842"/>
      <c r="E64" s="795"/>
      <c r="F64" s="819"/>
      <c r="G64" s="11"/>
      <c r="H64" s="841"/>
      <c r="I64" s="842"/>
      <c r="J64" s="853"/>
      <c r="K64" s="11"/>
      <c r="L64" s="841"/>
      <c r="M64" s="842"/>
      <c r="N64" s="885"/>
      <c r="O64" s="842"/>
      <c r="P64" s="842"/>
      <c r="Q64" s="795"/>
      <c r="R64" s="832"/>
      <c r="S64" s="11"/>
      <c r="T64" s="142" t="s">
        <v>317</v>
      </c>
      <c r="U64" s="90" t="s">
        <v>272</v>
      </c>
      <c r="V64" s="89" t="s">
        <v>845</v>
      </c>
      <c r="W64" s="787"/>
      <c r="X64" s="1146"/>
      <c r="Y64" s="11"/>
      <c r="Z64" s="1147"/>
    </row>
    <row r="65" spans="1:26" ht="254.25" hidden="1" customHeight="1">
      <c r="A65" s="93" t="s">
        <v>1700</v>
      </c>
      <c r="B65" s="88" t="s">
        <v>1683</v>
      </c>
      <c r="C65" s="88" t="s">
        <v>1701</v>
      </c>
      <c r="D65" s="88" t="s">
        <v>294</v>
      </c>
      <c r="E65" s="226" t="s">
        <v>1702</v>
      </c>
      <c r="F65" s="14" t="s">
        <v>1703</v>
      </c>
      <c r="G65" s="10"/>
      <c r="H65" s="113" t="s">
        <v>50</v>
      </c>
      <c r="I65" s="105"/>
      <c r="J65" s="114"/>
      <c r="K65" s="10"/>
      <c r="L65" s="305" t="s">
        <v>284</v>
      </c>
      <c r="M65" s="305" t="s">
        <v>1704</v>
      </c>
      <c r="N65" s="717" t="s">
        <v>1705</v>
      </c>
      <c r="O65" s="305" t="s">
        <v>5</v>
      </c>
      <c r="P65" s="305" t="str">
        <f>'PDS - Desenvolvimento'!$K$111</f>
        <v>Concluído</v>
      </c>
      <c r="Q65" s="442"/>
      <c r="R65" s="320" t="s">
        <v>406</v>
      </c>
      <c r="S65" s="10"/>
      <c r="T65" s="198" t="s">
        <v>422</v>
      </c>
      <c r="U65" s="133" t="s">
        <v>422</v>
      </c>
      <c r="V65" s="133" t="s">
        <v>422</v>
      </c>
      <c r="W65" s="133" t="s">
        <v>422</v>
      </c>
      <c r="X65" s="143" t="s">
        <v>422</v>
      </c>
      <c r="Y65" s="10"/>
      <c r="Z65" s="19"/>
    </row>
    <row r="66" spans="1:26" ht="106" hidden="1" customHeight="1">
      <c r="A66" s="95" t="s">
        <v>1706</v>
      </c>
      <c r="B66" s="89" t="s">
        <v>320</v>
      </c>
      <c r="C66" s="89" t="s">
        <v>1707</v>
      </c>
      <c r="D66" s="89" t="s">
        <v>262</v>
      </c>
      <c r="E66" s="96" t="s">
        <v>1708</v>
      </c>
      <c r="F66" s="13" t="s">
        <v>1709</v>
      </c>
      <c r="G66" s="11"/>
      <c r="H66" s="193" t="s">
        <v>50</v>
      </c>
      <c r="I66" s="189"/>
      <c r="J66" s="194"/>
      <c r="K66" s="11"/>
      <c r="L66" s="95" t="s">
        <v>268</v>
      </c>
      <c r="M66" s="89" t="s">
        <v>1710</v>
      </c>
      <c r="N66" s="349" t="s">
        <v>1711</v>
      </c>
      <c r="O66" s="89" t="s">
        <v>5</v>
      </c>
      <c r="P66" s="89" t="str">
        <f>'PDS - Desenvolvimento'!$K$53</f>
        <v>Concluído</v>
      </c>
      <c r="Q66" s="463" t="s">
        <v>1712</v>
      </c>
      <c r="R66" s="321" t="s">
        <v>299</v>
      </c>
      <c r="S66" s="11"/>
      <c r="T66" s="142" t="s">
        <v>565</v>
      </c>
      <c r="U66" s="90" t="s">
        <v>272</v>
      </c>
      <c r="V66" s="89" t="s">
        <v>1710</v>
      </c>
      <c r="W66" s="90" t="s">
        <v>289</v>
      </c>
      <c r="X66" s="286"/>
      <c r="Y66" s="11"/>
      <c r="Z66" s="18"/>
    </row>
    <row r="67" spans="1:26" ht="14.5" hidden="1" customHeight="1">
      <c r="A67" s="836" t="s">
        <v>319</v>
      </c>
      <c r="B67" s="835" t="s">
        <v>320</v>
      </c>
      <c r="C67" s="835" t="s">
        <v>321</v>
      </c>
      <c r="D67" s="835" t="s">
        <v>459</v>
      </c>
      <c r="E67" s="815" t="s">
        <v>1713</v>
      </c>
      <c r="F67" s="816" t="s">
        <v>1714</v>
      </c>
      <c r="G67" s="10"/>
      <c r="H67" s="872" t="s">
        <v>50</v>
      </c>
      <c r="I67" s="856"/>
      <c r="J67" s="858"/>
      <c r="K67" s="10"/>
      <c r="L67" s="898" t="s">
        <v>268</v>
      </c>
      <c r="M67" s="900" t="s">
        <v>327</v>
      </c>
      <c r="N67" s="903" t="s">
        <v>328</v>
      </c>
      <c r="O67" s="900" t="s">
        <v>5</v>
      </c>
      <c r="P67" s="900" t="str">
        <f>'PDS - Desenvolvimento'!$K$36</f>
        <v>Concluído</v>
      </c>
      <c r="Q67" s="1100">
        <v>45608</v>
      </c>
      <c r="R67" s="1084" t="s">
        <v>5</v>
      </c>
      <c r="S67" s="10"/>
      <c r="T67" s="798" t="s">
        <v>305</v>
      </c>
      <c r="U67" s="793" t="s">
        <v>306</v>
      </c>
      <c r="V67" s="133" t="s">
        <v>329</v>
      </c>
      <c r="W67" s="793" t="s">
        <v>330</v>
      </c>
      <c r="X67" s="1143" t="s">
        <v>331</v>
      </c>
      <c r="Y67" s="10"/>
      <c r="Z67" s="1145"/>
    </row>
    <row r="68" spans="1:26" ht="14.5" hidden="1" customHeight="1">
      <c r="A68" s="836"/>
      <c r="B68" s="835"/>
      <c r="C68" s="835"/>
      <c r="D68" s="835"/>
      <c r="E68" s="815"/>
      <c r="F68" s="816"/>
      <c r="G68" s="10"/>
      <c r="H68" s="821"/>
      <c r="I68" s="857"/>
      <c r="J68" s="859"/>
      <c r="K68" s="10"/>
      <c r="L68" s="898"/>
      <c r="M68" s="900"/>
      <c r="N68" s="903"/>
      <c r="O68" s="900"/>
      <c r="P68" s="900"/>
      <c r="Q68" s="1101"/>
      <c r="R68" s="1084"/>
      <c r="S68" s="10"/>
      <c r="T68" s="798"/>
      <c r="U68" s="793"/>
      <c r="V68" s="133" t="s">
        <v>333</v>
      </c>
      <c r="W68" s="793"/>
      <c r="X68" s="1143"/>
      <c r="Y68" s="10"/>
      <c r="Z68" s="1145"/>
    </row>
    <row r="69" spans="1:26" ht="65.25" hidden="1" customHeight="1">
      <c r="A69" s="838"/>
      <c r="B69" s="839"/>
      <c r="C69" s="839"/>
      <c r="D69" s="839"/>
      <c r="E69" s="823"/>
      <c r="F69" s="1168"/>
      <c r="G69" s="10"/>
      <c r="H69" s="844"/>
      <c r="I69" s="1170"/>
      <c r="J69" s="1171"/>
      <c r="K69" s="10"/>
      <c r="L69" s="1172"/>
      <c r="M69" s="1149"/>
      <c r="N69" s="1169"/>
      <c r="O69" s="1149"/>
      <c r="P69" s="1149"/>
      <c r="Q69" s="1167"/>
      <c r="R69" s="1148"/>
      <c r="S69" s="10"/>
      <c r="T69" s="799"/>
      <c r="U69" s="794"/>
      <c r="V69" s="147" t="s">
        <v>334</v>
      </c>
      <c r="W69" s="794"/>
      <c r="X69" s="1144"/>
      <c r="Y69" s="10"/>
      <c r="Z69" s="1145"/>
    </row>
  </sheetData>
  <autoFilter ref="A2:Z69">
    <filterColumn colId="12">
      <filters>
        <filter val="governing_law"/>
      </filters>
    </filterColumn>
  </autoFilter>
  <mergeCells count="151">
    <mergeCell ref="Q29:Q31"/>
    <mergeCell ref="Q34:Q60"/>
    <mergeCell ref="Q62:Q64"/>
    <mergeCell ref="Q67:Q69"/>
    <mergeCell ref="A67:A69"/>
    <mergeCell ref="B67:B69"/>
    <mergeCell ref="C67:C69"/>
    <mergeCell ref="D67:D69"/>
    <mergeCell ref="E67:E69"/>
    <mergeCell ref="F67:F69"/>
    <mergeCell ref="H67:H69"/>
    <mergeCell ref="N67:N69"/>
    <mergeCell ref="A62:A64"/>
    <mergeCell ref="B62:B64"/>
    <mergeCell ref="C62:C64"/>
    <mergeCell ref="D62:D64"/>
    <mergeCell ref="E62:E64"/>
    <mergeCell ref="I67:I69"/>
    <mergeCell ref="J67:J69"/>
    <mergeCell ref="M67:M69"/>
    <mergeCell ref="I62:I64"/>
    <mergeCell ref="J62:J64"/>
    <mergeCell ref="L62:L64"/>
    <mergeCell ref="L67:L69"/>
    <mergeCell ref="F34:F60"/>
    <mergeCell ref="H34:H60"/>
    <mergeCell ref="N34:N60"/>
    <mergeCell ref="T34:T60"/>
    <mergeCell ref="H62:H64"/>
    <mergeCell ref="T62:T63"/>
    <mergeCell ref="U34:U60"/>
    <mergeCell ref="A34:A60"/>
    <mergeCell ref="B34:B60"/>
    <mergeCell ref="C34:C60"/>
    <mergeCell ref="D34:D60"/>
    <mergeCell ref="E34:E60"/>
    <mergeCell ref="F62:F64"/>
    <mergeCell ref="N62:N64"/>
    <mergeCell ref="M34:M60"/>
    <mergeCell ref="M62:M64"/>
    <mergeCell ref="R34:R60"/>
    <mergeCell ref="R62:R64"/>
    <mergeCell ref="O34:O60"/>
    <mergeCell ref="O62:O64"/>
    <mergeCell ref="I34:I60"/>
    <mergeCell ref="J34:J60"/>
    <mergeCell ref="L34:L60"/>
    <mergeCell ref="A29:A31"/>
    <mergeCell ref="B29:B31"/>
    <mergeCell ref="C29:C31"/>
    <mergeCell ref="D29:D31"/>
    <mergeCell ref="E29:E31"/>
    <mergeCell ref="F29:F31"/>
    <mergeCell ref="N29:N31"/>
    <mergeCell ref="H29:H31"/>
    <mergeCell ref="A26:A28"/>
    <mergeCell ref="B26:B28"/>
    <mergeCell ref="C26:C28"/>
    <mergeCell ref="D26:D28"/>
    <mergeCell ref="E26:E28"/>
    <mergeCell ref="I26:I28"/>
    <mergeCell ref="L26:L28"/>
    <mergeCell ref="M29:M31"/>
    <mergeCell ref="I29:I31"/>
    <mergeCell ref="J29:J31"/>
    <mergeCell ref="L29:L31"/>
    <mergeCell ref="A7:A8"/>
    <mergeCell ref="B7:B8"/>
    <mergeCell ref="C7:C8"/>
    <mergeCell ref="D7:D8"/>
    <mergeCell ref="E7:E8"/>
    <mergeCell ref="O7:O8"/>
    <mergeCell ref="R7:R8"/>
    <mergeCell ref="F26:F28"/>
    <mergeCell ref="N26:N28"/>
    <mergeCell ref="L7:L8"/>
    <mergeCell ref="M26:M28"/>
    <mergeCell ref="P26:P28"/>
    <mergeCell ref="F7:F8"/>
    <mergeCell ref="H7:H8"/>
    <mergeCell ref="N7:N8"/>
    <mergeCell ref="Q7:Q8"/>
    <mergeCell ref="Q26:Q28"/>
    <mergeCell ref="T7:T8"/>
    <mergeCell ref="U7:U8"/>
    <mergeCell ref="I7:I8"/>
    <mergeCell ref="J7:J8"/>
    <mergeCell ref="L3:L6"/>
    <mergeCell ref="M3:M6"/>
    <mergeCell ref="M7:M8"/>
    <mergeCell ref="P7:P8"/>
    <mergeCell ref="B3:B6"/>
    <mergeCell ref="C3:C6"/>
    <mergeCell ref="D3:D6"/>
    <mergeCell ref="E3:E6"/>
    <mergeCell ref="N3:N6"/>
    <mergeCell ref="T3:T6"/>
    <mergeCell ref="U3:U6"/>
    <mergeCell ref="I3:I6"/>
    <mergeCell ref="J3:J6"/>
    <mergeCell ref="O3:O6"/>
    <mergeCell ref="R3:R6"/>
    <mergeCell ref="Q3:Q6"/>
    <mergeCell ref="W62:W64"/>
    <mergeCell ref="X62:X64"/>
    <mergeCell ref="P3:P6"/>
    <mergeCell ref="A1:E1"/>
    <mergeCell ref="H1:J1"/>
    <mergeCell ref="T1:X1"/>
    <mergeCell ref="Z3:Z6"/>
    <mergeCell ref="W7:W8"/>
    <mergeCell ref="X7:X8"/>
    <mergeCell ref="Z7:Z8"/>
    <mergeCell ref="H26:H28"/>
    <mergeCell ref="T26:T27"/>
    <mergeCell ref="U26:U27"/>
    <mergeCell ref="W26:W28"/>
    <mergeCell ref="X26:X28"/>
    <mergeCell ref="Z26:Z28"/>
    <mergeCell ref="J26:J28"/>
    <mergeCell ref="O26:O28"/>
    <mergeCell ref="R26:R28"/>
    <mergeCell ref="F3:F6"/>
    <mergeCell ref="H3:H6"/>
    <mergeCell ref="W3:W6"/>
    <mergeCell ref="X3:X6"/>
    <mergeCell ref="A3:A6"/>
    <mergeCell ref="P29:P31"/>
    <mergeCell ref="P34:P60"/>
    <mergeCell ref="P62:P64"/>
    <mergeCell ref="L1:P1"/>
    <mergeCell ref="W67:W69"/>
    <mergeCell ref="X67:X69"/>
    <mergeCell ref="Z67:Z69"/>
    <mergeCell ref="W34:W60"/>
    <mergeCell ref="X34:X60"/>
    <mergeCell ref="Z34:Z60"/>
    <mergeCell ref="Z62:Z64"/>
    <mergeCell ref="T67:T69"/>
    <mergeCell ref="U67:U69"/>
    <mergeCell ref="R67:R69"/>
    <mergeCell ref="O29:O31"/>
    <mergeCell ref="O67:O69"/>
    <mergeCell ref="R29:R31"/>
    <mergeCell ref="P67:P69"/>
    <mergeCell ref="T29:T30"/>
    <mergeCell ref="U29:U30"/>
    <mergeCell ref="W29:W31"/>
    <mergeCell ref="X29:X31"/>
    <mergeCell ref="Z29:Z31"/>
    <mergeCell ref="U62:U63"/>
  </mergeCells>
  <dataValidations count="1">
    <dataValidation allowBlank="1" showInputMessage="1" showErrorMessage="1" sqref="Q22:Q69 Q9 Q12 P3:P69"/>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AUX!$A$2:$A$8</xm:f>
          </x14:formula1>
          <xm:sqref>O3:O69</xm:sqref>
        </x14:dataValidation>
        <x14:dataValidation type="list" allowBlank="1" showInputMessage="1" showErrorMessage="1">
          <x14:formula1>
            <xm:f>AUX!$E$2:$E$5</xm:f>
          </x14:formula1>
          <xm:sqref>Q13:Q21 Q10:Q11 Q3:Q8</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
  <sheetViews>
    <sheetView zoomScaleNormal="100" workbookViewId="0"/>
  </sheetViews>
  <sheetFormatPr defaultRowHeight="14.5"/>
  <cols>
    <col min="1" max="1" width="167.81640625" customWidth="1"/>
  </cols>
  <sheetData>
    <row r="1" spans="1:1" ht="149.5" thickBot="1">
      <c r="A1" s="50" t="s">
        <v>1715</v>
      </c>
    </row>
  </sheetData>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filterMode="1"/>
  <dimension ref="A1:AD77"/>
  <sheetViews>
    <sheetView zoomScale="53" zoomScaleNormal="70" workbookViewId="0">
      <pane xSplit="6" ySplit="2" topLeftCell="M57" activePane="bottomRight" state="frozen"/>
      <selection pane="topRight" activeCell="G1" sqref="G1"/>
      <selection pane="bottomLeft" activeCell="A3" sqref="A3"/>
      <selection pane="bottomRight" activeCell="N57" sqref="N57:N59"/>
    </sheetView>
  </sheetViews>
  <sheetFormatPr defaultRowHeight="15" customHeight="1"/>
  <cols>
    <col min="1" max="1" width="6.26953125" customWidth="1"/>
    <col min="2" max="2" width="12.81640625" customWidth="1"/>
    <col min="3" max="3" width="23" customWidth="1"/>
    <col min="4" max="4" width="13" customWidth="1"/>
    <col min="5" max="5" width="26.26953125" customWidth="1"/>
    <col min="6" max="6" width="0" hidden="1" customWidth="1"/>
    <col min="7" max="7" width="2.26953125" customWidth="1"/>
    <col min="8" max="8" width="34.1796875" customWidth="1"/>
    <col min="9" max="9" width="32.7265625" customWidth="1"/>
    <col min="10" max="10" width="48.7265625" customWidth="1"/>
    <col min="11" max="11" width="4" customWidth="1"/>
    <col min="12" max="12" width="18.54296875" bestFit="1" customWidth="1"/>
    <col min="13" max="13" width="28.7265625" bestFit="1" customWidth="1"/>
    <col min="14" max="16" width="52.453125" customWidth="1"/>
    <col min="17" max="17" width="52.453125" hidden="1" customWidth="1"/>
    <col min="18" max="18" width="30.81640625" hidden="1" customWidth="1"/>
    <col min="19" max="19" width="4.1796875" customWidth="1"/>
    <col min="20" max="20" width="40" hidden="1" customWidth="1"/>
    <col min="21" max="21" width="26.1796875" hidden="1" customWidth="1"/>
    <col min="22" max="22" width="28.453125" hidden="1" customWidth="1"/>
    <col min="23" max="23" width="99.81640625" hidden="1" customWidth="1"/>
    <col min="24" max="24" width="74.54296875" hidden="1" customWidth="1"/>
    <col min="25" max="26" width="0" hidden="1" customWidth="1"/>
  </cols>
  <sheetData>
    <row r="1" spans="1:26" ht="19" customHeight="1">
      <c r="A1" s="874" t="s">
        <v>234</v>
      </c>
      <c r="B1" s="875"/>
      <c r="C1" s="875"/>
      <c r="D1" s="875"/>
      <c r="E1" s="876"/>
      <c r="F1" s="84"/>
      <c r="G1" s="85"/>
      <c r="H1" s="877" t="s">
        <v>235</v>
      </c>
      <c r="I1" s="878"/>
      <c r="J1" s="879"/>
      <c r="K1" s="85"/>
      <c r="L1" s="869" t="s">
        <v>236</v>
      </c>
      <c r="M1" s="870"/>
      <c r="N1" s="870"/>
      <c r="O1" s="870"/>
      <c r="P1" s="870"/>
      <c r="Q1" s="432"/>
      <c r="R1" s="339"/>
      <c r="S1" s="153"/>
      <c r="T1" s="886" t="s">
        <v>237</v>
      </c>
      <c r="U1" s="887"/>
      <c r="V1" s="887"/>
      <c r="W1" s="887"/>
      <c r="X1" s="888"/>
      <c r="Y1" s="129"/>
    </row>
    <row r="2" spans="1:26" s="3" customFormat="1" ht="29">
      <c r="A2" s="91" t="s">
        <v>238</v>
      </c>
      <c r="B2" s="87" t="s">
        <v>239</v>
      </c>
      <c r="C2" s="87" t="s">
        <v>240</v>
      </c>
      <c r="D2" s="87" t="s">
        <v>241</v>
      </c>
      <c r="E2" s="92" t="s">
        <v>242</v>
      </c>
      <c r="F2" s="41" t="s">
        <v>1502</v>
      </c>
      <c r="G2" s="9"/>
      <c r="H2" s="107" t="s">
        <v>244</v>
      </c>
      <c r="I2" s="100" t="s">
        <v>245</v>
      </c>
      <c r="J2" s="108" t="s">
        <v>246</v>
      </c>
      <c r="K2" s="36"/>
      <c r="L2" s="333" t="s">
        <v>247</v>
      </c>
      <c r="M2" s="334" t="s">
        <v>248</v>
      </c>
      <c r="N2" s="121" t="s">
        <v>249</v>
      </c>
      <c r="O2" s="121" t="s">
        <v>1</v>
      </c>
      <c r="P2" s="121" t="s">
        <v>250</v>
      </c>
      <c r="Q2" s="123" t="s">
        <v>251</v>
      </c>
      <c r="R2" s="332" t="s">
        <v>252</v>
      </c>
      <c r="S2" s="9"/>
      <c r="T2" s="138" t="s">
        <v>253</v>
      </c>
      <c r="U2" s="130" t="s">
        <v>254</v>
      </c>
      <c r="V2" s="130" t="s">
        <v>255</v>
      </c>
      <c r="W2" s="130" t="s">
        <v>256</v>
      </c>
      <c r="X2" s="139" t="s">
        <v>257</v>
      </c>
      <c r="Y2" s="9"/>
      <c r="Z2" s="15" t="s">
        <v>1184</v>
      </c>
    </row>
    <row r="3" spans="1:26" ht="14.5" hidden="1">
      <c r="A3" s="836" t="s">
        <v>1716</v>
      </c>
      <c r="B3" s="835" t="s">
        <v>1717</v>
      </c>
      <c r="C3" s="835" t="s">
        <v>1718</v>
      </c>
      <c r="D3" s="835" t="s">
        <v>459</v>
      </c>
      <c r="E3" s="815" t="s">
        <v>1719</v>
      </c>
      <c r="F3" s="816" t="s">
        <v>1720</v>
      </c>
      <c r="G3" s="10"/>
      <c r="H3" s="821" t="s">
        <v>265</v>
      </c>
      <c r="I3" s="827" t="s">
        <v>266</v>
      </c>
      <c r="J3" s="922" t="s">
        <v>267</v>
      </c>
      <c r="K3" s="10"/>
      <c r="L3" s="1185" t="s">
        <v>268</v>
      </c>
      <c r="M3" s="900" t="s">
        <v>1721</v>
      </c>
      <c r="N3" s="903" t="s">
        <v>270</v>
      </c>
      <c r="O3" s="900" t="s">
        <v>5</v>
      </c>
      <c r="P3" s="900" t="str">
        <f>'PDS - Desenvolvimento'!$K$3</f>
        <v>Concluído</v>
      </c>
      <c r="Q3" s="1085">
        <v>45608</v>
      </c>
      <c r="R3" s="1084" t="s">
        <v>5</v>
      </c>
      <c r="S3" s="10"/>
      <c r="T3" s="798" t="s">
        <v>271</v>
      </c>
      <c r="U3" s="793" t="s">
        <v>272</v>
      </c>
      <c r="V3" s="133" t="s">
        <v>273</v>
      </c>
      <c r="W3" s="793" t="s">
        <v>1077</v>
      </c>
      <c r="X3" s="791"/>
      <c r="Y3" s="10"/>
      <c r="Z3" s="1131"/>
    </row>
    <row r="4" spans="1:26" ht="14.5" hidden="1">
      <c r="A4" s="836"/>
      <c r="B4" s="835"/>
      <c r="C4" s="835"/>
      <c r="D4" s="835"/>
      <c r="E4" s="815"/>
      <c r="F4" s="816"/>
      <c r="G4" s="10"/>
      <c r="H4" s="821"/>
      <c r="I4" s="827"/>
      <c r="J4" s="922"/>
      <c r="K4" s="10"/>
      <c r="L4" s="898"/>
      <c r="M4" s="900"/>
      <c r="N4" s="903"/>
      <c r="O4" s="900"/>
      <c r="P4" s="900"/>
      <c r="Q4" s="910"/>
      <c r="R4" s="1084"/>
      <c r="S4" s="10"/>
      <c r="T4" s="798"/>
      <c r="U4" s="793"/>
      <c r="V4" s="133" t="s">
        <v>276</v>
      </c>
      <c r="W4" s="793"/>
      <c r="X4" s="791"/>
      <c r="Y4" s="10"/>
      <c r="Z4" s="1132"/>
    </row>
    <row r="5" spans="1:26" ht="14.5" hidden="1">
      <c r="A5" s="836"/>
      <c r="B5" s="835"/>
      <c r="C5" s="835"/>
      <c r="D5" s="835"/>
      <c r="E5" s="815"/>
      <c r="F5" s="816"/>
      <c r="G5" s="10"/>
      <c r="H5" s="821"/>
      <c r="I5" s="827"/>
      <c r="J5" s="922"/>
      <c r="K5" s="10"/>
      <c r="L5" s="898"/>
      <c r="M5" s="900"/>
      <c r="N5" s="903"/>
      <c r="O5" s="900"/>
      <c r="P5" s="900"/>
      <c r="Q5" s="910"/>
      <c r="R5" s="1084"/>
      <c r="S5" s="10"/>
      <c r="T5" s="798"/>
      <c r="U5" s="793"/>
      <c r="V5" s="133" t="s">
        <v>277</v>
      </c>
      <c r="W5" s="793"/>
      <c r="X5" s="791"/>
      <c r="Y5" s="10"/>
      <c r="Z5" s="1132"/>
    </row>
    <row r="6" spans="1:26" ht="14.5" hidden="1">
      <c r="A6" s="836"/>
      <c r="B6" s="835"/>
      <c r="C6" s="835"/>
      <c r="D6" s="835"/>
      <c r="E6" s="815"/>
      <c r="F6" s="816"/>
      <c r="G6" s="10"/>
      <c r="H6" s="821"/>
      <c r="I6" s="827"/>
      <c r="J6" s="922"/>
      <c r="K6" s="10"/>
      <c r="L6" s="898"/>
      <c r="M6" s="900"/>
      <c r="N6" s="903"/>
      <c r="O6" s="900"/>
      <c r="P6" s="900"/>
      <c r="Q6" s="910"/>
      <c r="R6" s="1084"/>
      <c r="S6" s="10"/>
      <c r="T6" s="798"/>
      <c r="U6" s="793"/>
      <c r="V6" s="133" t="s">
        <v>278</v>
      </c>
      <c r="W6" s="793"/>
      <c r="X6" s="791"/>
      <c r="Y6" s="10"/>
      <c r="Z6" s="1133"/>
    </row>
    <row r="7" spans="1:26" ht="29.5" hidden="1" customHeight="1">
      <c r="A7" s="95" t="s">
        <v>1722</v>
      </c>
      <c r="B7" s="89" t="s">
        <v>1723</v>
      </c>
      <c r="C7" s="89" t="s">
        <v>118</v>
      </c>
      <c r="D7" s="89" t="s">
        <v>262</v>
      </c>
      <c r="E7" s="96" t="s">
        <v>1724</v>
      </c>
      <c r="F7" s="13" t="s">
        <v>1725</v>
      </c>
      <c r="G7" s="11"/>
      <c r="H7" s="95" t="s">
        <v>1726</v>
      </c>
      <c r="I7" s="90" t="s">
        <v>118</v>
      </c>
      <c r="J7" s="96" t="s">
        <v>1727</v>
      </c>
      <c r="K7" s="11"/>
      <c r="L7" s="111" t="s">
        <v>268</v>
      </c>
      <c r="M7" s="103" t="s">
        <v>1728</v>
      </c>
      <c r="N7" s="106" t="s">
        <v>1729</v>
      </c>
      <c r="O7" s="103" t="s">
        <v>5</v>
      </c>
      <c r="P7" s="103" t="str">
        <f>'PDS - Desenvolvimento'!$K$56</f>
        <v>Concluído</v>
      </c>
      <c r="Q7" s="458">
        <v>45608</v>
      </c>
      <c r="R7" s="321" t="s">
        <v>5</v>
      </c>
      <c r="S7" s="11"/>
      <c r="T7" s="267" t="s">
        <v>1730</v>
      </c>
      <c r="U7" s="264" t="s">
        <v>272</v>
      </c>
      <c r="V7" s="137" t="s">
        <v>1728</v>
      </c>
      <c r="W7" s="264" t="s">
        <v>289</v>
      </c>
      <c r="X7" s="96"/>
      <c r="Y7" s="11"/>
      <c r="Z7" s="18"/>
    </row>
    <row r="8" spans="1:26" ht="48.65" hidden="1" customHeight="1">
      <c r="A8" s="93" t="s">
        <v>1731</v>
      </c>
      <c r="B8" s="88" t="s">
        <v>1723</v>
      </c>
      <c r="C8" s="88" t="s">
        <v>1732</v>
      </c>
      <c r="D8" s="88" t="s">
        <v>262</v>
      </c>
      <c r="E8" s="94" t="s">
        <v>1733</v>
      </c>
      <c r="F8" s="14" t="s">
        <v>1734</v>
      </c>
      <c r="G8" s="10"/>
      <c r="H8" s="109" t="s">
        <v>1735</v>
      </c>
      <c r="I8" s="102" t="s">
        <v>1732</v>
      </c>
      <c r="J8" s="110" t="s">
        <v>1733</v>
      </c>
      <c r="K8" s="10"/>
      <c r="L8" s="169" t="s">
        <v>268</v>
      </c>
      <c r="M8" s="166" t="s">
        <v>1736</v>
      </c>
      <c r="N8" s="355" t="s">
        <v>1737</v>
      </c>
      <c r="O8" s="166" t="s">
        <v>5</v>
      </c>
      <c r="P8" s="166" t="str">
        <f>'PDS - Desenvolvimento'!$K$59</f>
        <v>Concluído</v>
      </c>
      <c r="Q8" s="461">
        <v>45608</v>
      </c>
      <c r="R8" s="320" t="s">
        <v>5</v>
      </c>
      <c r="S8" s="10"/>
      <c r="T8" s="266" t="s">
        <v>565</v>
      </c>
      <c r="U8" s="262" t="s">
        <v>272</v>
      </c>
      <c r="V8" s="287" t="s">
        <v>1738</v>
      </c>
      <c r="W8" s="262" t="s">
        <v>289</v>
      </c>
      <c r="X8" s="141"/>
      <c r="Y8" s="10"/>
      <c r="Z8" s="19"/>
    </row>
    <row r="9" spans="1:26" ht="66" hidden="1" customHeight="1">
      <c r="A9" s="95" t="s">
        <v>1739</v>
      </c>
      <c r="B9" s="89" t="s">
        <v>1723</v>
      </c>
      <c r="C9" s="89" t="s">
        <v>1740</v>
      </c>
      <c r="D9" s="89" t="s">
        <v>294</v>
      </c>
      <c r="E9" s="160" t="s">
        <v>1741</v>
      </c>
      <c r="F9" s="13" t="s">
        <v>1742</v>
      </c>
      <c r="G9" s="11"/>
      <c r="H9" s="95" t="s">
        <v>1743</v>
      </c>
      <c r="I9" s="90" t="s">
        <v>1740</v>
      </c>
      <c r="J9" s="96" t="s">
        <v>1744</v>
      </c>
      <c r="K9" s="11"/>
      <c r="L9" s="95" t="s">
        <v>268</v>
      </c>
      <c r="M9" s="89" t="s">
        <v>1745</v>
      </c>
      <c r="N9" s="349" t="s">
        <v>1746</v>
      </c>
      <c r="O9" s="89" t="s">
        <v>5</v>
      </c>
      <c r="P9" s="89" t="str">
        <f>'PDS - Desenvolvimento'!$K$60</f>
        <v>Concluído</v>
      </c>
      <c r="Q9" s="444">
        <v>45608</v>
      </c>
      <c r="R9" s="321" t="s">
        <v>5</v>
      </c>
      <c r="S9" s="11"/>
      <c r="T9" s="267" t="s">
        <v>565</v>
      </c>
      <c r="U9" s="264" t="s">
        <v>272</v>
      </c>
      <c r="V9" s="265" t="s">
        <v>1553</v>
      </c>
      <c r="W9" s="264" t="s">
        <v>289</v>
      </c>
      <c r="X9" s="96"/>
      <c r="Y9" s="11"/>
      <c r="Z9" s="16" t="s">
        <v>1327</v>
      </c>
    </row>
    <row r="10" spans="1:26" ht="80.25" hidden="1" customHeight="1">
      <c r="A10" s="93" t="s">
        <v>1747</v>
      </c>
      <c r="B10" s="88" t="s">
        <v>1723</v>
      </c>
      <c r="C10" s="88" t="s">
        <v>1748</v>
      </c>
      <c r="D10" s="88" t="s">
        <v>294</v>
      </c>
      <c r="E10" s="226" t="s">
        <v>1749</v>
      </c>
      <c r="F10" s="14" t="s">
        <v>1750</v>
      </c>
      <c r="G10" s="10"/>
      <c r="H10" s="109" t="s">
        <v>1751</v>
      </c>
      <c r="I10" s="102" t="s">
        <v>1748</v>
      </c>
      <c r="J10" s="110" t="s">
        <v>1752</v>
      </c>
      <c r="K10" s="10"/>
      <c r="L10" s="305" t="s">
        <v>268</v>
      </c>
      <c r="M10" s="304" t="s">
        <v>1753</v>
      </c>
      <c r="N10" s="365" t="s">
        <v>1754</v>
      </c>
      <c r="O10" s="304" t="s">
        <v>5</v>
      </c>
      <c r="P10" s="304" t="str">
        <f>'PDS - Desenvolvimento'!$K$57</f>
        <v>Concluído</v>
      </c>
      <c r="Q10" s="319"/>
      <c r="R10" s="320" t="s">
        <v>5</v>
      </c>
      <c r="S10" s="10"/>
      <c r="T10" s="266" t="s">
        <v>1391</v>
      </c>
      <c r="U10" s="262"/>
      <c r="V10" s="287" t="s">
        <v>1392</v>
      </c>
      <c r="W10" s="262" t="s">
        <v>289</v>
      </c>
      <c r="X10" s="141"/>
      <c r="Y10" s="10"/>
      <c r="Z10" s="19"/>
    </row>
    <row r="11" spans="1:26" ht="79.5" hidden="1" customHeight="1">
      <c r="A11" s="95" t="s">
        <v>1755</v>
      </c>
      <c r="B11" s="89" t="s">
        <v>1723</v>
      </c>
      <c r="C11" s="89" t="s">
        <v>1756</v>
      </c>
      <c r="D11" s="89" t="s">
        <v>294</v>
      </c>
      <c r="E11" s="160" t="s">
        <v>1757</v>
      </c>
      <c r="F11" s="13" t="s">
        <v>1758</v>
      </c>
      <c r="G11" s="11"/>
      <c r="H11" s="95" t="s">
        <v>1759</v>
      </c>
      <c r="I11" s="90" t="s">
        <v>1756</v>
      </c>
      <c r="J11" s="96" t="s">
        <v>1760</v>
      </c>
      <c r="K11" s="11"/>
      <c r="L11" s="95" t="s">
        <v>268</v>
      </c>
      <c r="M11" s="89" t="s">
        <v>1761</v>
      </c>
      <c r="N11" s="349" t="s">
        <v>1762</v>
      </c>
      <c r="O11" s="89" t="s">
        <v>5</v>
      </c>
      <c r="P11" s="89" t="str">
        <f>'PDS - Desenvolvimento'!$K$58</f>
        <v>Concluído</v>
      </c>
      <c r="Q11" s="145"/>
      <c r="R11" s="321" t="s">
        <v>5</v>
      </c>
      <c r="S11" s="11"/>
      <c r="T11" s="142" t="s">
        <v>565</v>
      </c>
      <c r="U11" s="264" t="s">
        <v>272</v>
      </c>
      <c r="V11" s="265" t="s">
        <v>1763</v>
      </c>
      <c r="W11" s="264" t="s">
        <v>289</v>
      </c>
      <c r="X11" s="96"/>
      <c r="Y11" s="11"/>
      <c r="Z11" s="18"/>
    </row>
    <row r="12" spans="1:26" ht="228.75" hidden="1" customHeight="1">
      <c r="A12" s="93" t="s">
        <v>1764</v>
      </c>
      <c r="B12" s="88" t="s">
        <v>1723</v>
      </c>
      <c r="C12" s="88" t="s">
        <v>1765</v>
      </c>
      <c r="D12" s="88" t="s">
        <v>294</v>
      </c>
      <c r="E12" s="94" t="s">
        <v>1766</v>
      </c>
      <c r="F12" s="14" t="s">
        <v>1767</v>
      </c>
      <c r="G12" s="10"/>
      <c r="H12" s="109" t="s">
        <v>1768</v>
      </c>
      <c r="I12" s="102" t="s">
        <v>1765</v>
      </c>
      <c r="J12" s="110" t="s">
        <v>1769</v>
      </c>
      <c r="K12" s="10"/>
      <c r="L12" s="305" t="s">
        <v>268</v>
      </c>
      <c r="M12" s="304" t="s">
        <v>1770</v>
      </c>
      <c r="N12" s="365" t="s">
        <v>1771</v>
      </c>
      <c r="O12" s="304" t="s">
        <v>5</v>
      </c>
      <c r="P12" s="304" t="str">
        <f>'PDS - Desenvolvimento'!$K$61</f>
        <v>Concluído</v>
      </c>
      <c r="Q12" s="477">
        <v>45684</v>
      </c>
      <c r="R12" s="320" t="s">
        <v>5</v>
      </c>
      <c r="S12" s="10"/>
      <c r="T12" s="140" t="s">
        <v>1772</v>
      </c>
      <c r="U12" s="262" t="s">
        <v>272</v>
      </c>
      <c r="V12" s="263" t="s">
        <v>1773</v>
      </c>
      <c r="W12" s="262" t="s">
        <v>289</v>
      </c>
      <c r="X12" s="141"/>
      <c r="Y12" s="10"/>
      <c r="Z12" s="19"/>
    </row>
    <row r="13" spans="1:26" ht="89.15" hidden="1" customHeight="1">
      <c r="A13" s="95" t="s">
        <v>1774</v>
      </c>
      <c r="B13" s="89" t="s">
        <v>1775</v>
      </c>
      <c r="C13" s="89" t="s">
        <v>1776</v>
      </c>
      <c r="D13" s="89" t="s">
        <v>262</v>
      </c>
      <c r="E13" s="96" t="s">
        <v>1777</v>
      </c>
      <c r="F13" s="13" t="s">
        <v>1778</v>
      </c>
      <c r="G13" s="11"/>
      <c r="H13" s="95" t="s">
        <v>1779</v>
      </c>
      <c r="I13" s="90" t="s">
        <v>1780</v>
      </c>
      <c r="J13" s="96" t="s">
        <v>1781</v>
      </c>
      <c r="K13" s="11"/>
      <c r="L13" s="111" t="s">
        <v>268</v>
      </c>
      <c r="M13" s="103" t="s">
        <v>1782</v>
      </c>
      <c r="N13" s="106" t="s">
        <v>1783</v>
      </c>
      <c r="O13" s="103" t="s">
        <v>5</v>
      </c>
      <c r="P13" s="103" t="str">
        <f>'PDS - Desenvolvimento'!$K$62</f>
        <v>Concluído</v>
      </c>
      <c r="Q13" s="458">
        <v>45608</v>
      </c>
      <c r="R13" s="321" t="s">
        <v>5</v>
      </c>
      <c r="S13" s="11"/>
      <c r="T13" s="267" t="s">
        <v>382</v>
      </c>
      <c r="U13" s="264" t="s">
        <v>272</v>
      </c>
      <c r="V13" s="265" t="s">
        <v>396</v>
      </c>
      <c r="W13" s="264" t="s">
        <v>289</v>
      </c>
      <c r="X13" s="96"/>
      <c r="Y13" s="11"/>
      <c r="Z13" s="18"/>
    </row>
    <row r="14" spans="1:26" ht="114" hidden="1" customHeight="1">
      <c r="A14" s="93" t="s">
        <v>1784</v>
      </c>
      <c r="B14" s="88" t="s">
        <v>1775</v>
      </c>
      <c r="C14" s="88" t="s">
        <v>1785</v>
      </c>
      <c r="D14" s="88" t="s">
        <v>262</v>
      </c>
      <c r="E14" s="94" t="s">
        <v>1786</v>
      </c>
      <c r="F14" s="14" t="s">
        <v>1787</v>
      </c>
      <c r="G14" s="10"/>
      <c r="H14" s="109" t="s">
        <v>1788</v>
      </c>
      <c r="I14" s="102" t="s">
        <v>1789</v>
      </c>
      <c r="J14" s="110" t="s">
        <v>1786</v>
      </c>
      <c r="K14" s="10"/>
      <c r="L14" s="169" t="s">
        <v>268</v>
      </c>
      <c r="M14" s="166" t="s">
        <v>1790</v>
      </c>
      <c r="N14" s="355" t="s">
        <v>1791</v>
      </c>
      <c r="O14" s="166" t="s">
        <v>5</v>
      </c>
      <c r="P14" s="166" t="str">
        <f>'PDS - Desenvolvimento'!$K$63</f>
        <v>Concluído</v>
      </c>
      <c r="Q14" s="461">
        <v>45608</v>
      </c>
      <c r="R14" s="320" t="s">
        <v>5</v>
      </c>
      <c r="S14" s="10"/>
      <c r="T14" s="266" t="s">
        <v>565</v>
      </c>
      <c r="U14" s="262" t="s">
        <v>272</v>
      </c>
      <c r="V14" s="263" t="s">
        <v>1792</v>
      </c>
      <c r="W14" s="262" t="s">
        <v>289</v>
      </c>
      <c r="X14" s="141"/>
      <c r="Y14" s="10"/>
      <c r="Z14" s="17" t="s">
        <v>1327</v>
      </c>
    </row>
    <row r="15" spans="1:26" ht="106.5" hidden="1" customHeight="1">
      <c r="A15" s="95" t="s">
        <v>1793</v>
      </c>
      <c r="B15" s="89" t="s">
        <v>1532</v>
      </c>
      <c r="C15" s="89" t="s">
        <v>1794</v>
      </c>
      <c r="D15" s="89" t="s">
        <v>294</v>
      </c>
      <c r="E15" s="160" t="s">
        <v>1795</v>
      </c>
      <c r="F15" s="13" t="s">
        <v>1796</v>
      </c>
      <c r="G15" s="11"/>
      <c r="H15" s="95" t="s">
        <v>1797</v>
      </c>
      <c r="I15" s="90" t="s">
        <v>1794</v>
      </c>
      <c r="J15" s="96" t="s">
        <v>1798</v>
      </c>
      <c r="K15" s="11"/>
      <c r="L15" s="95" t="s">
        <v>268</v>
      </c>
      <c r="M15" s="89" t="s">
        <v>1799</v>
      </c>
      <c r="N15" s="349" t="s">
        <v>1800</v>
      </c>
      <c r="O15" s="89" t="s">
        <v>5</v>
      </c>
      <c r="P15" s="89" t="str">
        <f>'PDS - Desenvolvimento'!$K$64</f>
        <v>Concluído</v>
      </c>
      <c r="Q15" s="145"/>
      <c r="R15" s="321" t="s">
        <v>5</v>
      </c>
      <c r="S15" s="11"/>
      <c r="T15" s="267" t="s">
        <v>565</v>
      </c>
      <c r="U15" s="264" t="s">
        <v>272</v>
      </c>
      <c r="V15" s="265" t="s">
        <v>1801</v>
      </c>
      <c r="W15" s="264" t="s">
        <v>289</v>
      </c>
      <c r="X15" s="96"/>
      <c r="Y15" s="11"/>
      <c r="Z15" s="18"/>
    </row>
    <row r="16" spans="1:26" ht="89.25" hidden="1" customHeight="1">
      <c r="A16" s="93" t="s">
        <v>1802</v>
      </c>
      <c r="B16" s="88" t="s">
        <v>1011</v>
      </c>
      <c r="C16" s="88" t="s">
        <v>1803</v>
      </c>
      <c r="D16" s="88" t="s">
        <v>294</v>
      </c>
      <c r="E16" s="226" t="s">
        <v>1804</v>
      </c>
      <c r="F16" s="14" t="s">
        <v>1805</v>
      </c>
      <c r="G16" s="10"/>
      <c r="H16" s="109" t="s">
        <v>1806</v>
      </c>
      <c r="I16" s="102" t="s">
        <v>1803</v>
      </c>
      <c r="J16" s="110" t="s">
        <v>1807</v>
      </c>
      <c r="K16" s="10"/>
      <c r="L16" s="305" t="s">
        <v>268</v>
      </c>
      <c r="M16" s="304" t="s">
        <v>1808</v>
      </c>
      <c r="N16" s="365" t="s">
        <v>1809</v>
      </c>
      <c r="O16" s="304" t="s">
        <v>5</v>
      </c>
      <c r="P16" s="304" t="str">
        <f>'PDS - Desenvolvimento'!$K$74</f>
        <v>Concluído</v>
      </c>
      <c r="Q16" s="477">
        <v>45608</v>
      </c>
      <c r="R16" s="320" t="s">
        <v>5</v>
      </c>
      <c r="S16" s="10"/>
      <c r="T16" s="266" t="s">
        <v>1810</v>
      </c>
      <c r="U16" s="262"/>
      <c r="V16" s="263" t="s">
        <v>1811</v>
      </c>
      <c r="W16" s="262" t="s">
        <v>289</v>
      </c>
      <c r="X16" s="141"/>
      <c r="Y16" s="10"/>
      <c r="Z16" s="19"/>
    </row>
    <row r="17" spans="1:26" ht="130.5" hidden="1" customHeight="1">
      <c r="A17" s="95" t="s">
        <v>1812</v>
      </c>
      <c r="B17" s="89" t="s">
        <v>1011</v>
      </c>
      <c r="C17" s="89" t="s">
        <v>1813</v>
      </c>
      <c r="D17" s="89" t="s">
        <v>1231</v>
      </c>
      <c r="E17" s="96" t="s">
        <v>1814</v>
      </c>
      <c r="F17" s="13" t="s">
        <v>1815</v>
      </c>
      <c r="G17" s="11"/>
      <c r="H17" s="95" t="s">
        <v>1816</v>
      </c>
      <c r="I17" s="90" t="s">
        <v>1817</v>
      </c>
      <c r="J17" s="96" t="s">
        <v>1818</v>
      </c>
      <c r="K17" s="11"/>
      <c r="L17" s="111" t="s">
        <v>268</v>
      </c>
      <c r="M17" s="103" t="s">
        <v>1819</v>
      </c>
      <c r="N17" s="363" t="s">
        <v>1820</v>
      </c>
      <c r="O17" s="103" t="s">
        <v>5</v>
      </c>
      <c r="P17" s="103" t="str">
        <f>'PDS - Desenvolvimento'!$K$49</f>
        <v>Concluído</v>
      </c>
      <c r="Q17" s="458">
        <v>45608</v>
      </c>
      <c r="R17" s="321" t="s">
        <v>5</v>
      </c>
      <c r="S17" s="11"/>
      <c r="T17" s="267" t="s">
        <v>565</v>
      </c>
      <c r="U17" s="264" t="s">
        <v>272</v>
      </c>
      <c r="V17" s="265" t="s">
        <v>1821</v>
      </c>
      <c r="W17" s="264" t="s">
        <v>289</v>
      </c>
      <c r="X17" s="96"/>
      <c r="Y17" s="11"/>
      <c r="Z17" s="18"/>
    </row>
    <row r="18" spans="1:26" ht="14.5" hidden="1">
      <c r="A18" s="836" t="s">
        <v>1822</v>
      </c>
      <c r="B18" s="835" t="s">
        <v>1011</v>
      </c>
      <c r="C18" s="835" t="s">
        <v>1823</v>
      </c>
      <c r="D18" s="835" t="s">
        <v>294</v>
      </c>
      <c r="E18" s="815" t="s">
        <v>1824</v>
      </c>
      <c r="F18" s="816" t="s">
        <v>1825</v>
      </c>
      <c r="G18" s="10"/>
      <c r="H18" s="821" t="s">
        <v>1826</v>
      </c>
      <c r="I18" s="827" t="s">
        <v>1823</v>
      </c>
      <c r="J18" s="830" t="s">
        <v>1827</v>
      </c>
      <c r="K18" s="10"/>
      <c r="L18" s="1186" t="s">
        <v>268</v>
      </c>
      <c r="M18" s="1184" t="s">
        <v>1828</v>
      </c>
      <c r="N18" s="1183" t="s">
        <v>1829</v>
      </c>
      <c r="O18" s="1184" t="s">
        <v>5</v>
      </c>
      <c r="P18" s="1184" t="str">
        <f>'PDS - Desenvolvimento'!$K$75</f>
        <v>Concluído</v>
      </c>
      <c r="Q18" s="1187"/>
      <c r="R18" s="1084" t="s">
        <v>5</v>
      </c>
      <c r="S18" s="10"/>
      <c r="T18" s="798" t="s">
        <v>300</v>
      </c>
      <c r="U18" s="793" t="s">
        <v>1830</v>
      </c>
      <c r="V18" s="133" t="s">
        <v>302</v>
      </c>
      <c r="W18" s="793" t="s">
        <v>1831</v>
      </c>
      <c r="X18" s="791"/>
      <c r="Y18" s="10"/>
      <c r="Z18" s="1131"/>
    </row>
    <row r="19" spans="1:26" ht="14.5" hidden="1">
      <c r="A19" s="836"/>
      <c r="B19" s="835"/>
      <c r="C19" s="835"/>
      <c r="D19" s="835"/>
      <c r="E19" s="815"/>
      <c r="F19" s="816"/>
      <c r="G19" s="10"/>
      <c r="H19" s="821"/>
      <c r="I19" s="827"/>
      <c r="J19" s="830"/>
      <c r="K19" s="10"/>
      <c r="L19" s="1186"/>
      <c r="M19" s="1184"/>
      <c r="N19" s="1183"/>
      <c r="O19" s="1184"/>
      <c r="P19" s="1184"/>
      <c r="Q19" s="1187"/>
      <c r="R19" s="1084"/>
      <c r="S19" s="10"/>
      <c r="T19" s="798"/>
      <c r="U19" s="793"/>
      <c r="V19" s="133" t="s">
        <v>304</v>
      </c>
      <c r="W19" s="793"/>
      <c r="X19" s="791"/>
      <c r="Y19" s="10"/>
      <c r="Z19" s="1132"/>
    </row>
    <row r="20" spans="1:26" ht="79.5" hidden="1" customHeight="1">
      <c r="A20" s="836"/>
      <c r="B20" s="835"/>
      <c r="C20" s="835"/>
      <c r="D20" s="835"/>
      <c r="E20" s="815"/>
      <c r="F20" s="816"/>
      <c r="G20" s="10"/>
      <c r="H20" s="821"/>
      <c r="I20" s="827"/>
      <c r="J20" s="830"/>
      <c r="K20" s="10"/>
      <c r="L20" s="1186"/>
      <c r="M20" s="1184"/>
      <c r="N20" s="1183"/>
      <c r="O20" s="1184"/>
      <c r="P20" s="1184"/>
      <c r="Q20" s="1187"/>
      <c r="R20" s="1084"/>
      <c r="S20" s="10"/>
      <c r="T20" s="140" t="s">
        <v>565</v>
      </c>
      <c r="U20" s="131" t="s">
        <v>272</v>
      </c>
      <c r="V20" s="133" t="s">
        <v>1832</v>
      </c>
      <c r="W20" s="793"/>
      <c r="X20" s="791"/>
      <c r="Y20" s="10"/>
      <c r="Z20" s="1133"/>
    </row>
    <row r="21" spans="1:26" ht="14.5" hidden="1">
      <c r="A21" s="841" t="s">
        <v>1833</v>
      </c>
      <c r="B21" s="842" t="s">
        <v>1834</v>
      </c>
      <c r="C21" s="842" t="s">
        <v>1835</v>
      </c>
      <c r="D21" s="842" t="s">
        <v>294</v>
      </c>
      <c r="E21" s="795" t="s">
        <v>1836</v>
      </c>
      <c r="F21" s="819" t="s">
        <v>1837</v>
      </c>
      <c r="G21" s="11"/>
      <c r="H21" s="841" t="s">
        <v>1838</v>
      </c>
      <c r="I21" s="787" t="s">
        <v>1835</v>
      </c>
      <c r="J21" s="795" t="s">
        <v>1839</v>
      </c>
      <c r="K21" s="11"/>
      <c r="L21" s="841" t="s">
        <v>268</v>
      </c>
      <c r="M21" s="842" t="s">
        <v>1840</v>
      </c>
      <c r="N21" s="787" t="s">
        <v>1841</v>
      </c>
      <c r="O21" s="842" t="s">
        <v>5</v>
      </c>
      <c r="P21" s="842" t="str">
        <f>'PDS - Desenvolvimento'!$K$55</f>
        <v>Concluído</v>
      </c>
      <c r="Q21" s="853" t="s">
        <v>1842</v>
      </c>
      <c r="R21" s="832" t="s">
        <v>5</v>
      </c>
      <c r="S21" s="11"/>
      <c r="T21" s="801" t="s">
        <v>300</v>
      </c>
      <c r="U21" s="787" t="s">
        <v>1843</v>
      </c>
      <c r="V21" s="89" t="s">
        <v>302</v>
      </c>
      <c r="W21" s="787" t="s">
        <v>1844</v>
      </c>
      <c r="X21" s="795"/>
      <c r="Y21" s="11"/>
      <c r="Z21" s="1089"/>
    </row>
    <row r="22" spans="1:26" ht="14.5" hidden="1">
      <c r="A22" s="841"/>
      <c r="B22" s="842"/>
      <c r="C22" s="842"/>
      <c r="D22" s="842"/>
      <c r="E22" s="795"/>
      <c r="F22" s="819"/>
      <c r="G22" s="11"/>
      <c r="H22" s="841"/>
      <c r="I22" s="787"/>
      <c r="J22" s="795"/>
      <c r="K22" s="11"/>
      <c r="L22" s="841"/>
      <c r="M22" s="842"/>
      <c r="N22" s="787"/>
      <c r="O22" s="842"/>
      <c r="P22" s="842"/>
      <c r="Q22" s="853"/>
      <c r="R22" s="832"/>
      <c r="S22" s="11"/>
      <c r="T22" s="801"/>
      <c r="U22" s="787"/>
      <c r="V22" s="89" t="s">
        <v>304</v>
      </c>
      <c r="W22" s="787"/>
      <c r="X22" s="795"/>
      <c r="Y22" s="11"/>
      <c r="Z22" s="1091"/>
    </row>
    <row r="23" spans="1:26" ht="42" hidden="1" customHeight="1">
      <c r="A23" s="841"/>
      <c r="B23" s="842"/>
      <c r="C23" s="842"/>
      <c r="D23" s="842"/>
      <c r="E23" s="795"/>
      <c r="F23" s="819"/>
      <c r="G23" s="11"/>
      <c r="H23" s="841"/>
      <c r="I23" s="787"/>
      <c r="J23" s="795"/>
      <c r="K23" s="11"/>
      <c r="L23" s="841"/>
      <c r="M23" s="842"/>
      <c r="N23" s="787"/>
      <c r="O23" s="842"/>
      <c r="P23" s="842"/>
      <c r="Q23" s="853"/>
      <c r="R23" s="832"/>
      <c r="S23" s="11"/>
      <c r="T23" s="142" t="s">
        <v>565</v>
      </c>
      <c r="U23" s="90" t="s">
        <v>272</v>
      </c>
      <c r="V23" s="89" t="s">
        <v>1845</v>
      </c>
      <c r="W23" s="787"/>
      <c r="X23" s="795"/>
      <c r="Y23" s="11"/>
      <c r="Z23" s="1090"/>
    </row>
    <row r="24" spans="1:26" ht="14.5" hidden="1">
      <c r="A24" s="836" t="s">
        <v>1846</v>
      </c>
      <c r="B24" s="835" t="s">
        <v>1834</v>
      </c>
      <c r="C24" s="835" t="s">
        <v>1847</v>
      </c>
      <c r="D24" s="835" t="s">
        <v>294</v>
      </c>
      <c r="E24" s="815" t="s">
        <v>1848</v>
      </c>
      <c r="F24" s="816" t="s">
        <v>1849</v>
      </c>
      <c r="G24" s="10"/>
      <c r="H24" s="821" t="s">
        <v>1850</v>
      </c>
      <c r="I24" s="827" t="s">
        <v>1847</v>
      </c>
      <c r="J24" s="830" t="s">
        <v>1851</v>
      </c>
      <c r="K24" s="10"/>
      <c r="L24" s="995" t="s">
        <v>268</v>
      </c>
      <c r="M24" s="997" t="s">
        <v>1852</v>
      </c>
      <c r="N24" s="994" t="s">
        <v>1853</v>
      </c>
      <c r="O24" s="997" t="s">
        <v>5</v>
      </c>
      <c r="P24" s="997" t="str">
        <f>'PDS - Desenvolvimento'!$K$68</f>
        <v>Concluído</v>
      </c>
      <c r="Q24" s="1110" t="s">
        <v>1854</v>
      </c>
      <c r="R24" s="1084" t="s">
        <v>5</v>
      </c>
      <c r="S24" s="10"/>
      <c r="T24" s="798" t="s">
        <v>300</v>
      </c>
      <c r="U24" s="793" t="s">
        <v>1855</v>
      </c>
      <c r="V24" s="133" t="s">
        <v>302</v>
      </c>
      <c r="W24" s="793" t="s">
        <v>1856</v>
      </c>
      <c r="X24" s="791"/>
      <c r="Y24" s="10"/>
      <c r="Z24" s="1131"/>
    </row>
    <row r="25" spans="1:26" ht="14.5" hidden="1">
      <c r="A25" s="836"/>
      <c r="B25" s="835"/>
      <c r="C25" s="835"/>
      <c r="D25" s="835"/>
      <c r="E25" s="815"/>
      <c r="F25" s="816"/>
      <c r="G25" s="10"/>
      <c r="H25" s="821"/>
      <c r="I25" s="827"/>
      <c r="J25" s="830"/>
      <c r="K25" s="10"/>
      <c r="L25" s="995"/>
      <c r="M25" s="997"/>
      <c r="N25" s="994"/>
      <c r="O25" s="997"/>
      <c r="P25" s="997"/>
      <c r="Q25" s="1110"/>
      <c r="R25" s="1084"/>
      <c r="S25" s="10"/>
      <c r="T25" s="798"/>
      <c r="U25" s="793"/>
      <c r="V25" s="133" t="s">
        <v>304</v>
      </c>
      <c r="W25" s="793"/>
      <c r="X25" s="791"/>
      <c r="Y25" s="10"/>
      <c r="Z25" s="1132"/>
    </row>
    <row r="26" spans="1:26" ht="52.5" hidden="1" customHeight="1">
      <c r="A26" s="836"/>
      <c r="B26" s="835"/>
      <c r="C26" s="835"/>
      <c r="D26" s="835"/>
      <c r="E26" s="815"/>
      <c r="F26" s="816"/>
      <c r="G26" s="10"/>
      <c r="H26" s="821"/>
      <c r="I26" s="827"/>
      <c r="J26" s="830"/>
      <c r="K26" s="10"/>
      <c r="L26" s="995"/>
      <c r="M26" s="997"/>
      <c r="N26" s="994"/>
      <c r="O26" s="997"/>
      <c r="P26" s="997"/>
      <c r="Q26" s="1110"/>
      <c r="R26" s="1084"/>
      <c r="S26" s="10"/>
      <c r="T26" s="140" t="s">
        <v>565</v>
      </c>
      <c r="U26" s="131" t="s">
        <v>272</v>
      </c>
      <c r="V26" s="133" t="s">
        <v>1857</v>
      </c>
      <c r="W26" s="793"/>
      <c r="X26" s="791"/>
      <c r="Y26" s="10"/>
      <c r="Z26" s="1133"/>
    </row>
    <row r="27" spans="1:26" ht="14.5" hidden="1" customHeight="1">
      <c r="A27" s="841" t="s">
        <v>1858</v>
      </c>
      <c r="B27" s="842" t="s">
        <v>1834</v>
      </c>
      <c r="C27" s="842" t="s">
        <v>1859</v>
      </c>
      <c r="D27" s="842" t="s">
        <v>294</v>
      </c>
      <c r="E27" s="795" t="s">
        <v>1860</v>
      </c>
      <c r="F27" s="819" t="s">
        <v>1861</v>
      </c>
      <c r="G27" s="11"/>
      <c r="H27" s="841" t="s">
        <v>1862</v>
      </c>
      <c r="I27" s="787" t="s">
        <v>1859</v>
      </c>
      <c r="J27" s="795" t="s">
        <v>1863</v>
      </c>
      <c r="K27" s="11"/>
      <c r="L27" s="841" t="s">
        <v>268</v>
      </c>
      <c r="M27" s="842" t="s">
        <v>1864</v>
      </c>
      <c r="N27" s="885" t="s">
        <v>1865</v>
      </c>
      <c r="O27" s="842" t="s">
        <v>5</v>
      </c>
      <c r="P27" s="842" t="str">
        <f>'PDS - Desenvolvimento'!$K$47</f>
        <v>Concluído</v>
      </c>
      <c r="Q27" s="853"/>
      <c r="R27" s="832" t="s">
        <v>5</v>
      </c>
      <c r="S27" s="11"/>
      <c r="T27" s="801" t="s">
        <v>300</v>
      </c>
      <c r="U27" s="787" t="s">
        <v>1866</v>
      </c>
      <c r="V27" s="89" t="s">
        <v>302</v>
      </c>
      <c r="W27" s="787" t="s">
        <v>1867</v>
      </c>
      <c r="X27" s="795"/>
      <c r="Y27" s="11"/>
      <c r="Z27" s="1089"/>
    </row>
    <row r="28" spans="1:26" ht="14.5" hidden="1" customHeight="1">
      <c r="A28" s="841"/>
      <c r="B28" s="842"/>
      <c r="C28" s="842"/>
      <c r="D28" s="842"/>
      <c r="E28" s="795"/>
      <c r="F28" s="819"/>
      <c r="G28" s="11"/>
      <c r="H28" s="841"/>
      <c r="I28" s="787"/>
      <c r="J28" s="795"/>
      <c r="K28" s="11"/>
      <c r="L28" s="841"/>
      <c r="M28" s="842"/>
      <c r="N28" s="885"/>
      <c r="O28" s="842"/>
      <c r="P28" s="842"/>
      <c r="Q28" s="853"/>
      <c r="R28" s="832"/>
      <c r="S28" s="11"/>
      <c r="T28" s="801"/>
      <c r="U28" s="787"/>
      <c r="V28" s="89" t="s">
        <v>304</v>
      </c>
      <c r="W28" s="787"/>
      <c r="X28" s="795"/>
      <c r="Y28" s="11"/>
      <c r="Z28" s="1091"/>
    </row>
    <row r="29" spans="1:26" ht="54" hidden="1" customHeight="1">
      <c r="A29" s="841"/>
      <c r="B29" s="842"/>
      <c r="C29" s="842"/>
      <c r="D29" s="842"/>
      <c r="E29" s="795"/>
      <c r="F29" s="819"/>
      <c r="G29" s="11"/>
      <c r="H29" s="841"/>
      <c r="I29" s="787"/>
      <c r="J29" s="795"/>
      <c r="K29" s="11"/>
      <c r="L29" s="841"/>
      <c r="M29" s="842"/>
      <c r="N29" s="1182"/>
      <c r="O29" s="842"/>
      <c r="P29" s="842"/>
      <c r="Q29" s="853"/>
      <c r="R29" s="832"/>
      <c r="S29" s="11"/>
      <c r="T29" s="142" t="s">
        <v>565</v>
      </c>
      <c r="U29" s="90" t="s">
        <v>272</v>
      </c>
      <c r="V29" s="89" t="s">
        <v>1868</v>
      </c>
      <c r="W29" s="787"/>
      <c r="X29" s="795"/>
      <c r="Y29" s="11"/>
      <c r="Z29" s="1090"/>
    </row>
    <row r="30" spans="1:26" ht="117" hidden="1" customHeight="1">
      <c r="A30" s="93" t="s">
        <v>1869</v>
      </c>
      <c r="B30" s="88" t="s">
        <v>1834</v>
      </c>
      <c r="C30" s="88" t="s">
        <v>1870</v>
      </c>
      <c r="D30" s="88" t="s">
        <v>294</v>
      </c>
      <c r="E30" s="94" t="s">
        <v>1871</v>
      </c>
      <c r="F30" s="14" t="s">
        <v>1872</v>
      </c>
      <c r="G30" s="10"/>
      <c r="H30" s="109" t="s">
        <v>1873</v>
      </c>
      <c r="I30" s="102" t="s">
        <v>1870</v>
      </c>
      <c r="J30" s="110" t="s">
        <v>1874</v>
      </c>
      <c r="K30" s="10"/>
      <c r="L30" s="305" t="s">
        <v>268</v>
      </c>
      <c r="M30" s="587" t="s">
        <v>1875</v>
      </c>
      <c r="N30" s="365" t="s">
        <v>1876</v>
      </c>
      <c r="O30" s="588" t="s">
        <v>5</v>
      </c>
      <c r="P30" s="304" t="str">
        <f>'PDS - Desenvolvimento'!$K$73</f>
        <v>Concluído</v>
      </c>
      <c r="Q30" s="319" t="s">
        <v>1877</v>
      </c>
      <c r="R30" s="320" t="s">
        <v>5</v>
      </c>
      <c r="S30" s="10"/>
      <c r="T30" s="140" t="s">
        <v>1730</v>
      </c>
      <c r="U30" s="131" t="s">
        <v>272</v>
      </c>
      <c r="V30" s="133" t="s">
        <v>1878</v>
      </c>
      <c r="W30" s="131" t="s">
        <v>1879</v>
      </c>
      <c r="X30" s="141"/>
      <c r="Y30" s="10"/>
      <c r="Z30" s="19"/>
    </row>
    <row r="31" spans="1:26" ht="59.5" hidden="1" customHeight="1">
      <c r="A31" s="95" t="s">
        <v>1880</v>
      </c>
      <c r="B31" s="89" t="s">
        <v>1834</v>
      </c>
      <c r="C31" s="89" t="s">
        <v>1881</v>
      </c>
      <c r="D31" s="89" t="s">
        <v>1231</v>
      </c>
      <c r="E31" s="96" t="s">
        <v>1882</v>
      </c>
      <c r="F31" s="13" t="s">
        <v>1883</v>
      </c>
      <c r="G31" s="11"/>
      <c r="H31" s="95" t="s">
        <v>595</v>
      </c>
      <c r="I31" s="90" t="s">
        <v>596</v>
      </c>
      <c r="J31" s="96" t="s">
        <v>597</v>
      </c>
      <c r="K31" s="11"/>
      <c r="L31" s="111" t="s">
        <v>268</v>
      </c>
      <c r="M31" s="103" t="s">
        <v>1884</v>
      </c>
      <c r="N31" s="589" t="s">
        <v>599</v>
      </c>
      <c r="O31" s="103" t="s">
        <v>5</v>
      </c>
      <c r="P31" s="103" t="str">
        <f>'PDS - Desenvolvimento'!$K$6</f>
        <v>Concluído</v>
      </c>
      <c r="Q31" s="458">
        <v>45608</v>
      </c>
      <c r="R31" s="321" t="s">
        <v>5</v>
      </c>
      <c r="S31" s="11"/>
      <c r="T31" s="142" t="s">
        <v>1730</v>
      </c>
      <c r="U31" s="90" t="s">
        <v>272</v>
      </c>
      <c r="V31" s="89" t="s">
        <v>1885</v>
      </c>
      <c r="W31" s="90" t="s">
        <v>289</v>
      </c>
      <c r="X31" s="96"/>
      <c r="Y31" s="11"/>
      <c r="Z31" s="18"/>
    </row>
    <row r="32" spans="1:26" ht="73.5" hidden="1" customHeight="1">
      <c r="A32" s="93" t="s">
        <v>1886</v>
      </c>
      <c r="B32" s="88" t="s">
        <v>1834</v>
      </c>
      <c r="C32" s="88" t="s">
        <v>1887</v>
      </c>
      <c r="D32" s="88" t="s">
        <v>1231</v>
      </c>
      <c r="E32" s="94" t="s">
        <v>1888</v>
      </c>
      <c r="F32" s="14" t="s">
        <v>1889</v>
      </c>
      <c r="G32" s="10"/>
      <c r="H32" s="109" t="s">
        <v>668</v>
      </c>
      <c r="I32" s="102" t="s">
        <v>669</v>
      </c>
      <c r="J32" s="110" t="s">
        <v>670</v>
      </c>
      <c r="K32" s="10"/>
      <c r="L32" s="169" t="s">
        <v>268</v>
      </c>
      <c r="M32" s="166" t="s">
        <v>671</v>
      </c>
      <c r="N32" s="355" t="s">
        <v>672</v>
      </c>
      <c r="O32" s="122" t="s">
        <v>5</v>
      </c>
      <c r="P32" s="122" t="str">
        <f>'PDS - Desenvolvimento'!$K$31</f>
        <v>Concluído</v>
      </c>
      <c r="Q32" s="461">
        <v>45608</v>
      </c>
      <c r="R32" s="318" t="s">
        <v>5</v>
      </c>
      <c r="S32" s="10"/>
      <c r="T32" s="140" t="s">
        <v>1730</v>
      </c>
      <c r="U32" s="131" t="s">
        <v>272</v>
      </c>
      <c r="V32" s="133" t="s">
        <v>1890</v>
      </c>
      <c r="W32" s="131" t="s">
        <v>289</v>
      </c>
      <c r="X32" s="141"/>
      <c r="Y32" s="10"/>
      <c r="Z32" s="19"/>
    </row>
    <row r="33" spans="1:30" ht="14.5" hidden="1">
      <c r="A33" s="841" t="s">
        <v>1891</v>
      </c>
      <c r="B33" s="842" t="s">
        <v>1834</v>
      </c>
      <c r="C33" s="842" t="s">
        <v>1892</v>
      </c>
      <c r="D33" s="842" t="s">
        <v>262</v>
      </c>
      <c r="E33" s="795" t="s">
        <v>1893</v>
      </c>
      <c r="F33" s="819" t="s">
        <v>1894</v>
      </c>
      <c r="G33" s="11"/>
      <c r="H33" s="841" t="s">
        <v>1895</v>
      </c>
      <c r="I33" s="787" t="s">
        <v>1892</v>
      </c>
      <c r="J33" s="795" t="s">
        <v>1893</v>
      </c>
      <c r="K33" s="11"/>
      <c r="L33" s="818" t="s">
        <v>268</v>
      </c>
      <c r="M33" s="785" t="s">
        <v>1896</v>
      </c>
      <c r="N33" s="833" t="s">
        <v>1897</v>
      </c>
      <c r="O33" s="785" t="s">
        <v>5</v>
      </c>
      <c r="P33" s="785" t="str">
        <f>'PDS - Desenvolvimento'!$K$51</f>
        <v>Concluído</v>
      </c>
      <c r="Q33" s="1129">
        <v>45608</v>
      </c>
      <c r="R33" s="832" t="s">
        <v>5</v>
      </c>
      <c r="S33" s="11"/>
      <c r="T33" s="801" t="s">
        <v>1304</v>
      </c>
      <c r="U33" s="787" t="s">
        <v>272</v>
      </c>
      <c r="V33" s="89" t="s">
        <v>1305</v>
      </c>
      <c r="W33" s="787" t="s">
        <v>1544</v>
      </c>
      <c r="X33" s="795"/>
      <c r="Y33" s="11"/>
      <c r="Z33" s="1089"/>
    </row>
    <row r="34" spans="1:30" ht="14.5" hidden="1">
      <c r="A34" s="841"/>
      <c r="B34" s="842"/>
      <c r="C34" s="842"/>
      <c r="D34" s="842"/>
      <c r="E34" s="795"/>
      <c r="F34" s="819"/>
      <c r="G34" s="11"/>
      <c r="H34" s="841"/>
      <c r="I34" s="787"/>
      <c r="J34" s="795"/>
      <c r="K34" s="11"/>
      <c r="L34" s="818"/>
      <c r="M34" s="785"/>
      <c r="N34" s="833"/>
      <c r="O34" s="785"/>
      <c r="P34" s="785"/>
      <c r="Q34" s="862"/>
      <c r="R34" s="832"/>
      <c r="S34" s="11"/>
      <c r="T34" s="801"/>
      <c r="U34" s="787"/>
      <c r="V34" s="89" t="s">
        <v>1545</v>
      </c>
      <c r="W34" s="787"/>
      <c r="X34" s="795"/>
      <c r="Y34" s="11"/>
      <c r="Z34" s="1091"/>
    </row>
    <row r="35" spans="1:30" ht="29" hidden="1">
      <c r="A35" s="841"/>
      <c r="B35" s="842"/>
      <c r="C35" s="842"/>
      <c r="D35" s="842"/>
      <c r="E35" s="795"/>
      <c r="F35" s="819"/>
      <c r="G35" s="11"/>
      <c r="H35" s="841"/>
      <c r="I35" s="787"/>
      <c r="J35" s="795"/>
      <c r="K35" s="11"/>
      <c r="L35" s="818"/>
      <c r="M35" s="785"/>
      <c r="N35" s="833"/>
      <c r="O35" s="785"/>
      <c r="P35" s="785"/>
      <c r="Q35" s="862"/>
      <c r="R35" s="832"/>
      <c r="S35" s="11"/>
      <c r="T35" s="142" t="s">
        <v>271</v>
      </c>
      <c r="U35" s="90" t="s">
        <v>1898</v>
      </c>
      <c r="V35" s="89" t="s">
        <v>288</v>
      </c>
      <c r="W35" s="787"/>
      <c r="X35" s="795"/>
      <c r="Y35" s="11"/>
      <c r="Z35" s="1090"/>
    </row>
    <row r="36" spans="1:30" ht="59.25" hidden="1" customHeight="1">
      <c r="A36" s="93" t="s">
        <v>1899</v>
      </c>
      <c r="B36" s="88" t="s">
        <v>1834</v>
      </c>
      <c r="C36" s="88" t="s">
        <v>1900</v>
      </c>
      <c r="D36" s="88" t="s">
        <v>294</v>
      </c>
      <c r="E36" s="94" t="s">
        <v>1901</v>
      </c>
      <c r="F36" s="14"/>
      <c r="G36" s="10"/>
      <c r="H36" s="109" t="s">
        <v>1902</v>
      </c>
      <c r="I36" s="102" t="s">
        <v>1900</v>
      </c>
      <c r="J36" s="110" t="s">
        <v>1903</v>
      </c>
      <c r="K36" s="10"/>
      <c r="L36" s="305" t="s">
        <v>268</v>
      </c>
      <c r="M36" s="304" t="s">
        <v>1904</v>
      </c>
      <c r="N36" s="365" t="s">
        <v>1905</v>
      </c>
      <c r="O36" s="304" t="s">
        <v>5</v>
      </c>
      <c r="P36" s="304" t="str">
        <f>'PDS - Desenvolvimento'!$K$52</f>
        <v>Concluído</v>
      </c>
      <c r="Q36" s="477">
        <v>45608</v>
      </c>
      <c r="R36" s="320" t="s">
        <v>5</v>
      </c>
      <c r="S36" s="10"/>
      <c r="T36" s="140" t="s">
        <v>565</v>
      </c>
      <c r="U36" s="131" t="s">
        <v>272</v>
      </c>
      <c r="V36" s="133" t="s">
        <v>1906</v>
      </c>
      <c r="W36" s="131" t="s">
        <v>289</v>
      </c>
      <c r="X36" s="141"/>
      <c r="Y36" s="10"/>
      <c r="Z36" s="17" t="s">
        <v>1327</v>
      </c>
    </row>
    <row r="37" spans="1:30" ht="100" hidden="1" customHeight="1">
      <c r="A37" s="95" t="s">
        <v>1907</v>
      </c>
      <c r="B37" s="89" t="s">
        <v>1834</v>
      </c>
      <c r="C37" s="89" t="s">
        <v>1908</v>
      </c>
      <c r="D37" s="89" t="s">
        <v>262</v>
      </c>
      <c r="E37" s="96" t="s">
        <v>1909</v>
      </c>
      <c r="F37" s="13" t="s">
        <v>1910</v>
      </c>
      <c r="G37" s="11"/>
      <c r="H37" s="95" t="s">
        <v>1911</v>
      </c>
      <c r="I37" s="90" t="s">
        <v>378</v>
      </c>
      <c r="J37" s="96" t="s">
        <v>1912</v>
      </c>
      <c r="K37" s="11"/>
      <c r="L37" s="111" t="s">
        <v>284</v>
      </c>
      <c r="M37" s="103" t="s">
        <v>1913</v>
      </c>
      <c r="N37" s="589" t="s">
        <v>1914</v>
      </c>
      <c r="O37" s="103" t="s">
        <v>5</v>
      </c>
      <c r="P37" s="103" t="str">
        <f>'PDS - Desenvolvimento'!$K$112</f>
        <v>Concluído</v>
      </c>
      <c r="Q37" s="458"/>
      <c r="R37" s="321" t="s">
        <v>406</v>
      </c>
      <c r="S37" s="11"/>
      <c r="T37" s="142" t="s">
        <v>1084</v>
      </c>
      <c r="U37" s="90" t="s">
        <v>1084</v>
      </c>
      <c r="V37" s="89" t="s">
        <v>1084</v>
      </c>
      <c r="W37" s="90" t="s">
        <v>1084</v>
      </c>
      <c r="X37" s="96" t="s">
        <v>1084</v>
      </c>
      <c r="Y37" s="11"/>
      <c r="Z37" s="18" t="s">
        <v>1084</v>
      </c>
      <c r="AD37" t="s">
        <v>0</v>
      </c>
    </row>
    <row r="38" spans="1:30" ht="14.5" hidden="1">
      <c r="A38" s="836" t="s">
        <v>1915</v>
      </c>
      <c r="B38" s="835" t="s">
        <v>1834</v>
      </c>
      <c r="C38" s="835" t="s">
        <v>1916</v>
      </c>
      <c r="D38" s="835" t="s">
        <v>294</v>
      </c>
      <c r="E38" s="815" t="s">
        <v>1917</v>
      </c>
      <c r="F38" s="816" t="s">
        <v>1918</v>
      </c>
      <c r="G38" s="10"/>
      <c r="H38" s="821" t="s">
        <v>1919</v>
      </c>
      <c r="I38" s="827" t="s">
        <v>1916</v>
      </c>
      <c r="J38" s="830" t="s">
        <v>1920</v>
      </c>
      <c r="K38" s="10"/>
      <c r="L38" s="995" t="s">
        <v>268</v>
      </c>
      <c r="M38" s="997" t="s">
        <v>1921</v>
      </c>
      <c r="N38" s="1010" t="s">
        <v>1922</v>
      </c>
      <c r="O38" s="997" t="s">
        <v>5</v>
      </c>
      <c r="P38" s="997" t="str">
        <f>'PDS - Desenvolvimento'!$K$54</f>
        <v>Concluído</v>
      </c>
      <c r="Q38" s="1181">
        <v>45608</v>
      </c>
      <c r="R38" s="1084" t="s">
        <v>5</v>
      </c>
      <c r="S38" s="10"/>
      <c r="T38" s="798" t="s">
        <v>300</v>
      </c>
      <c r="U38" s="793" t="s">
        <v>1923</v>
      </c>
      <c r="V38" s="133" t="s">
        <v>302</v>
      </c>
      <c r="W38" s="793" t="s">
        <v>1924</v>
      </c>
      <c r="X38" s="791"/>
      <c r="Y38" s="10"/>
      <c r="Z38" s="1131"/>
    </row>
    <row r="39" spans="1:30" ht="14.5" hidden="1">
      <c r="A39" s="836"/>
      <c r="B39" s="835"/>
      <c r="C39" s="835"/>
      <c r="D39" s="835"/>
      <c r="E39" s="815"/>
      <c r="F39" s="816"/>
      <c r="G39" s="10"/>
      <c r="H39" s="821"/>
      <c r="I39" s="827"/>
      <c r="J39" s="830"/>
      <c r="K39" s="10"/>
      <c r="L39" s="995"/>
      <c r="M39" s="997"/>
      <c r="N39" s="1010"/>
      <c r="O39" s="997"/>
      <c r="P39" s="997"/>
      <c r="Q39" s="1110"/>
      <c r="R39" s="1084"/>
      <c r="S39" s="10"/>
      <c r="T39" s="798"/>
      <c r="U39" s="793"/>
      <c r="V39" s="133" t="s">
        <v>304</v>
      </c>
      <c r="W39" s="793"/>
      <c r="X39" s="791"/>
      <c r="Y39" s="10"/>
      <c r="Z39" s="1132"/>
    </row>
    <row r="40" spans="1:30" ht="52.5" hidden="1" customHeight="1">
      <c r="A40" s="836"/>
      <c r="B40" s="835"/>
      <c r="C40" s="835"/>
      <c r="D40" s="835"/>
      <c r="E40" s="815"/>
      <c r="F40" s="816"/>
      <c r="G40" s="10"/>
      <c r="H40" s="821"/>
      <c r="I40" s="827"/>
      <c r="J40" s="830"/>
      <c r="K40" s="10"/>
      <c r="L40" s="995"/>
      <c r="M40" s="997"/>
      <c r="N40" s="1010"/>
      <c r="O40" s="997"/>
      <c r="P40" s="997"/>
      <c r="Q40" s="1110"/>
      <c r="R40" s="1084"/>
      <c r="S40" s="10"/>
      <c r="T40" s="140" t="s">
        <v>565</v>
      </c>
      <c r="U40" s="131" t="s">
        <v>272</v>
      </c>
      <c r="V40" s="133" t="s">
        <v>1925</v>
      </c>
      <c r="W40" s="793"/>
      <c r="X40" s="791"/>
      <c r="Y40" s="10"/>
      <c r="Z40" s="1133"/>
    </row>
    <row r="41" spans="1:30" ht="14.5" hidden="1">
      <c r="A41" s="841" t="s">
        <v>1926</v>
      </c>
      <c r="B41" s="842" t="s">
        <v>1834</v>
      </c>
      <c r="C41" s="842" t="s">
        <v>1927</v>
      </c>
      <c r="D41" s="842" t="s">
        <v>294</v>
      </c>
      <c r="E41" s="795" t="s">
        <v>1928</v>
      </c>
      <c r="F41" s="819" t="s">
        <v>1929</v>
      </c>
      <c r="G41" s="11"/>
      <c r="H41" s="841" t="s">
        <v>655</v>
      </c>
      <c r="I41" s="787" t="s">
        <v>656</v>
      </c>
      <c r="J41" s="795" t="s">
        <v>657</v>
      </c>
      <c r="K41" s="11"/>
      <c r="L41" s="841" t="s">
        <v>268</v>
      </c>
      <c r="M41" s="842" t="s">
        <v>1930</v>
      </c>
      <c r="N41" s="885" t="s">
        <v>1931</v>
      </c>
      <c r="O41" s="842" t="s">
        <v>5</v>
      </c>
      <c r="P41" s="842" t="str">
        <f>'PDS - Desenvolvimento'!$K$23</f>
        <v>Concluído</v>
      </c>
      <c r="Q41" s="1064">
        <v>45665</v>
      </c>
      <c r="R41" s="832" t="s">
        <v>5</v>
      </c>
      <c r="S41" s="11"/>
      <c r="T41" s="801" t="s">
        <v>1730</v>
      </c>
      <c r="U41" s="787" t="s">
        <v>272</v>
      </c>
      <c r="V41" s="89" t="s">
        <v>1932</v>
      </c>
      <c r="W41" s="787" t="s">
        <v>1933</v>
      </c>
      <c r="X41" s="795"/>
      <c r="Y41" s="11"/>
      <c r="Z41" s="1089"/>
    </row>
    <row r="42" spans="1:30" ht="14.5" hidden="1">
      <c r="A42" s="841"/>
      <c r="B42" s="842"/>
      <c r="C42" s="842"/>
      <c r="D42" s="842"/>
      <c r="E42" s="795"/>
      <c r="F42" s="819"/>
      <c r="G42" s="11"/>
      <c r="H42" s="841"/>
      <c r="I42" s="787"/>
      <c r="J42" s="795"/>
      <c r="K42" s="11"/>
      <c r="L42" s="841"/>
      <c r="M42" s="842"/>
      <c r="N42" s="885"/>
      <c r="O42" s="842"/>
      <c r="P42" s="842"/>
      <c r="Q42" s="853"/>
      <c r="R42" s="832"/>
      <c r="S42" s="11"/>
      <c r="T42" s="801"/>
      <c r="U42" s="787"/>
      <c r="V42" s="89" t="s">
        <v>1934</v>
      </c>
      <c r="W42" s="787"/>
      <c r="X42" s="795"/>
      <c r="Y42" s="11"/>
      <c r="Z42" s="1091"/>
    </row>
    <row r="43" spans="1:30" ht="69.75" hidden="1" customHeight="1">
      <c r="A43" s="841"/>
      <c r="B43" s="842"/>
      <c r="C43" s="842"/>
      <c r="D43" s="842"/>
      <c r="E43" s="795"/>
      <c r="F43" s="819"/>
      <c r="G43" s="11"/>
      <c r="H43" s="841"/>
      <c r="I43" s="787"/>
      <c r="J43" s="795"/>
      <c r="K43" s="11"/>
      <c r="L43" s="841"/>
      <c r="M43" s="842"/>
      <c r="N43" s="885"/>
      <c r="O43" s="842"/>
      <c r="P43" s="842"/>
      <c r="Q43" s="853"/>
      <c r="R43" s="832"/>
      <c r="S43" s="11"/>
      <c r="T43" s="801"/>
      <c r="U43" s="787"/>
      <c r="V43" s="89" t="s">
        <v>1935</v>
      </c>
      <c r="W43" s="787"/>
      <c r="X43" s="795"/>
      <c r="Y43" s="11"/>
      <c r="Z43" s="1090"/>
    </row>
    <row r="44" spans="1:30" ht="95.25" hidden="1" customHeight="1">
      <c r="A44" s="93" t="s">
        <v>1936</v>
      </c>
      <c r="B44" s="88" t="s">
        <v>1834</v>
      </c>
      <c r="C44" s="88" t="s">
        <v>1937</v>
      </c>
      <c r="D44" s="88" t="s">
        <v>294</v>
      </c>
      <c r="E44" s="226" t="s">
        <v>1938</v>
      </c>
      <c r="F44" s="14" t="s">
        <v>1939</v>
      </c>
      <c r="G44" s="10"/>
      <c r="H44" s="109" t="s">
        <v>687</v>
      </c>
      <c r="I44" s="102" t="s">
        <v>684</v>
      </c>
      <c r="J44" s="110" t="s">
        <v>688</v>
      </c>
      <c r="K44" s="10"/>
      <c r="L44" s="305" t="s">
        <v>268</v>
      </c>
      <c r="M44" s="304" t="s">
        <v>1940</v>
      </c>
      <c r="N44" s="365" t="s">
        <v>1941</v>
      </c>
      <c r="O44" s="304" t="s">
        <v>5</v>
      </c>
      <c r="P44" s="304" t="str">
        <f>'PDS - Desenvolvimento'!$K$35</f>
        <v>Concluído</v>
      </c>
      <c r="Q44" s="319"/>
      <c r="R44" s="320" t="s">
        <v>5</v>
      </c>
      <c r="S44" s="10"/>
      <c r="T44" s="140" t="s">
        <v>1730</v>
      </c>
      <c r="U44" s="131" t="s">
        <v>272</v>
      </c>
      <c r="V44" s="133" t="s">
        <v>1942</v>
      </c>
      <c r="W44" s="131" t="s">
        <v>1943</v>
      </c>
      <c r="X44" s="141"/>
      <c r="Y44" s="10"/>
      <c r="Z44" s="19"/>
    </row>
    <row r="45" spans="1:30" ht="14.5" hidden="1" customHeight="1">
      <c r="A45" s="841" t="s">
        <v>1944</v>
      </c>
      <c r="B45" s="842" t="s">
        <v>1834</v>
      </c>
      <c r="C45" s="842" t="s">
        <v>1945</v>
      </c>
      <c r="D45" s="842" t="s">
        <v>294</v>
      </c>
      <c r="E45" s="795" t="s">
        <v>1946</v>
      </c>
      <c r="F45" s="819" t="s">
        <v>1947</v>
      </c>
      <c r="G45" s="11"/>
      <c r="H45" s="841" t="s">
        <v>1948</v>
      </c>
      <c r="I45" s="787" t="s">
        <v>1949</v>
      </c>
      <c r="J45" s="795" t="s">
        <v>1950</v>
      </c>
      <c r="K45" s="11"/>
      <c r="L45" s="841" t="s">
        <v>268</v>
      </c>
      <c r="M45" s="842" t="s">
        <v>1951</v>
      </c>
      <c r="N45" s="885" t="s">
        <v>1952</v>
      </c>
      <c r="O45" s="842" t="s">
        <v>5</v>
      </c>
      <c r="P45" s="842" t="str">
        <f>'PDS - Desenvolvimento'!$K$11</f>
        <v>Concluído</v>
      </c>
      <c r="Q45" s="1064">
        <v>45608</v>
      </c>
      <c r="R45" s="832" t="s">
        <v>5</v>
      </c>
      <c r="S45" s="11"/>
      <c r="T45" s="801" t="s">
        <v>300</v>
      </c>
      <c r="U45" s="787" t="s">
        <v>1953</v>
      </c>
      <c r="V45" s="89" t="s">
        <v>302</v>
      </c>
      <c r="W45" s="787" t="s">
        <v>1954</v>
      </c>
      <c r="X45" s="795"/>
      <c r="Y45" s="11"/>
      <c r="Z45" s="1089"/>
    </row>
    <row r="46" spans="1:30" ht="14.5" hidden="1" customHeight="1">
      <c r="A46" s="841"/>
      <c r="B46" s="842"/>
      <c r="C46" s="842"/>
      <c r="D46" s="842"/>
      <c r="E46" s="795"/>
      <c r="F46" s="819"/>
      <c r="G46" s="11"/>
      <c r="H46" s="841"/>
      <c r="I46" s="787"/>
      <c r="J46" s="795"/>
      <c r="K46" s="11"/>
      <c r="L46" s="841"/>
      <c r="M46" s="842"/>
      <c r="N46" s="885"/>
      <c r="O46" s="842"/>
      <c r="P46" s="842"/>
      <c r="Q46" s="853"/>
      <c r="R46" s="832"/>
      <c r="S46" s="11"/>
      <c r="T46" s="801"/>
      <c r="U46" s="787"/>
      <c r="V46" s="89" t="s">
        <v>304</v>
      </c>
      <c r="W46" s="787"/>
      <c r="X46" s="795"/>
      <c r="Y46" s="11"/>
      <c r="Z46" s="1091"/>
    </row>
    <row r="47" spans="1:30" ht="24" hidden="1" customHeight="1">
      <c r="A47" s="841"/>
      <c r="B47" s="842"/>
      <c r="C47" s="842"/>
      <c r="D47" s="842"/>
      <c r="E47" s="795"/>
      <c r="F47" s="819"/>
      <c r="G47" s="11"/>
      <c r="H47" s="841"/>
      <c r="I47" s="787"/>
      <c r="J47" s="795"/>
      <c r="K47" s="11"/>
      <c r="L47" s="841"/>
      <c r="M47" s="842"/>
      <c r="N47" s="885"/>
      <c r="O47" s="842"/>
      <c r="P47" s="842"/>
      <c r="Q47" s="853"/>
      <c r="R47" s="832"/>
      <c r="S47" s="11"/>
      <c r="T47" s="142" t="s">
        <v>1391</v>
      </c>
      <c r="U47" s="90"/>
      <c r="V47" s="89" t="s">
        <v>1811</v>
      </c>
      <c r="W47" s="787"/>
      <c r="X47" s="795"/>
      <c r="Y47" s="11"/>
      <c r="Z47" s="1090"/>
    </row>
    <row r="48" spans="1:30" ht="43.5" hidden="1" customHeight="1">
      <c r="A48" s="93" t="s">
        <v>1955</v>
      </c>
      <c r="B48" s="88" t="s">
        <v>1834</v>
      </c>
      <c r="C48" s="88" t="s">
        <v>1956</v>
      </c>
      <c r="D48" s="88" t="s">
        <v>1020</v>
      </c>
      <c r="E48" s="94" t="s">
        <v>1957</v>
      </c>
      <c r="F48" s="14" t="s">
        <v>1958</v>
      </c>
      <c r="G48" s="10"/>
      <c r="H48" s="109" t="s">
        <v>1959</v>
      </c>
      <c r="I48" s="102" t="s">
        <v>1956</v>
      </c>
      <c r="J48" s="110" t="s">
        <v>1957</v>
      </c>
      <c r="K48" s="10"/>
      <c r="L48" s="305" t="s">
        <v>268</v>
      </c>
      <c r="M48" s="166" t="s">
        <v>1960</v>
      </c>
      <c r="N48" s="355" t="s">
        <v>1961</v>
      </c>
      <c r="O48" s="166" t="s">
        <v>5</v>
      </c>
      <c r="P48" s="166" t="str">
        <f>'PDS - Desenvolvimento'!$K$48</f>
        <v>Concluído</v>
      </c>
      <c r="Q48" s="461">
        <v>45608</v>
      </c>
      <c r="R48" s="320" t="s">
        <v>5</v>
      </c>
      <c r="S48" s="10"/>
      <c r="T48" s="140" t="s">
        <v>1730</v>
      </c>
      <c r="U48" s="131" t="s">
        <v>272</v>
      </c>
      <c r="V48" s="133" t="s">
        <v>1934</v>
      </c>
      <c r="W48" s="131" t="s">
        <v>289</v>
      </c>
      <c r="X48" s="141"/>
      <c r="Y48" s="10"/>
      <c r="Z48" s="19"/>
    </row>
    <row r="49" spans="1:26" ht="72.650000000000006" hidden="1" customHeight="1">
      <c r="A49" s="95" t="s">
        <v>1962</v>
      </c>
      <c r="B49" s="89" t="s">
        <v>1834</v>
      </c>
      <c r="C49" s="89" t="s">
        <v>700</v>
      </c>
      <c r="D49" s="89" t="s">
        <v>1020</v>
      </c>
      <c r="E49" s="96" t="s">
        <v>1963</v>
      </c>
      <c r="F49" s="13" t="s">
        <v>1964</v>
      </c>
      <c r="G49" s="11"/>
      <c r="H49" s="95" t="s">
        <v>1965</v>
      </c>
      <c r="I49" s="90" t="s">
        <v>700</v>
      </c>
      <c r="J49" s="96" t="s">
        <v>1963</v>
      </c>
      <c r="K49" s="11"/>
      <c r="L49" s="111" t="s">
        <v>268</v>
      </c>
      <c r="M49" s="103" t="s">
        <v>704</v>
      </c>
      <c r="N49" s="106" t="s">
        <v>1966</v>
      </c>
      <c r="O49" s="103" t="s">
        <v>5</v>
      </c>
      <c r="P49" s="103" t="str">
        <f>'PDS - Desenvolvimento'!$K$70</f>
        <v>Concluído</v>
      </c>
      <c r="Q49" s="458">
        <v>45608</v>
      </c>
      <c r="R49" s="321" t="s">
        <v>5</v>
      </c>
      <c r="S49" s="11"/>
      <c r="T49" s="142" t="s">
        <v>1730</v>
      </c>
      <c r="U49" s="90" t="s">
        <v>272</v>
      </c>
      <c r="V49" s="89" t="s">
        <v>1967</v>
      </c>
      <c r="W49" s="90" t="s">
        <v>289</v>
      </c>
      <c r="X49" s="96"/>
      <c r="Y49" s="11"/>
      <c r="Z49" s="18"/>
    </row>
    <row r="50" spans="1:26" ht="101.5" hidden="1">
      <c r="A50" s="93" t="s">
        <v>1968</v>
      </c>
      <c r="B50" s="88" t="s">
        <v>1834</v>
      </c>
      <c r="C50" s="88" t="s">
        <v>1969</v>
      </c>
      <c r="D50" s="88" t="s">
        <v>1020</v>
      </c>
      <c r="E50" s="94" t="s">
        <v>1970</v>
      </c>
      <c r="F50" s="14" t="s">
        <v>1971</v>
      </c>
      <c r="G50" s="10"/>
      <c r="H50" s="109" t="s">
        <v>1972</v>
      </c>
      <c r="I50" s="102" t="s">
        <v>1969</v>
      </c>
      <c r="J50" s="110" t="s">
        <v>1970</v>
      </c>
      <c r="K50" s="10"/>
      <c r="L50" s="169" t="s">
        <v>268</v>
      </c>
      <c r="M50" s="166" t="s">
        <v>1973</v>
      </c>
      <c r="N50" s="355" t="s">
        <v>1974</v>
      </c>
      <c r="O50" s="166" t="s">
        <v>5</v>
      </c>
      <c r="P50" s="166" t="str">
        <f>'PDS - Desenvolvimento'!$K$71</f>
        <v>Concluído</v>
      </c>
      <c r="Q50" s="461">
        <v>45608</v>
      </c>
      <c r="R50" s="320" t="s">
        <v>5</v>
      </c>
      <c r="S50" s="10"/>
      <c r="T50" s="140" t="s">
        <v>1730</v>
      </c>
      <c r="U50" s="131" t="s">
        <v>272</v>
      </c>
      <c r="V50" s="133" t="s">
        <v>1935</v>
      </c>
      <c r="W50" s="131" t="s">
        <v>1975</v>
      </c>
      <c r="X50" s="141"/>
      <c r="Y50" s="10"/>
      <c r="Z50" s="19"/>
    </row>
    <row r="51" spans="1:26" ht="14.5" hidden="1" customHeight="1">
      <c r="A51" s="841" t="s">
        <v>1976</v>
      </c>
      <c r="B51" s="842" t="s">
        <v>1834</v>
      </c>
      <c r="C51" s="842" t="s">
        <v>1977</v>
      </c>
      <c r="D51" s="842" t="s">
        <v>294</v>
      </c>
      <c r="E51" s="795" t="s">
        <v>1978</v>
      </c>
      <c r="F51" s="819" t="s">
        <v>1979</v>
      </c>
      <c r="G51" s="11"/>
      <c r="H51" s="841" t="s">
        <v>582</v>
      </c>
      <c r="I51" s="787" t="s">
        <v>583</v>
      </c>
      <c r="J51" s="795" t="s">
        <v>580</v>
      </c>
      <c r="K51" s="11"/>
      <c r="L51" s="841" t="s">
        <v>268</v>
      </c>
      <c r="M51" s="842" t="s">
        <v>1980</v>
      </c>
      <c r="N51" s="787" t="s">
        <v>585</v>
      </c>
      <c r="O51" s="842" t="s">
        <v>5</v>
      </c>
      <c r="P51" s="842" t="str">
        <f>'PDS - Desenvolvimento'!$K$5</f>
        <v>Concluído</v>
      </c>
      <c r="Q51" s="1130">
        <v>45608</v>
      </c>
      <c r="R51" s="832" t="s">
        <v>5</v>
      </c>
      <c r="S51" s="11"/>
      <c r="T51" s="801" t="s">
        <v>300</v>
      </c>
      <c r="U51" s="787" t="s">
        <v>1981</v>
      </c>
      <c r="V51" s="89" t="s">
        <v>302</v>
      </c>
      <c r="W51" s="787" t="s">
        <v>1954</v>
      </c>
      <c r="X51" s="795"/>
      <c r="Y51" s="11"/>
      <c r="Z51" s="1089"/>
    </row>
    <row r="52" spans="1:26" ht="14.5" hidden="1" customHeight="1">
      <c r="A52" s="841"/>
      <c r="B52" s="842"/>
      <c r="C52" s="842"/>
      <c r="D52" s="842"/>
      <c r="E52" s="795"/>
      <c r="F52" s="819"/>
      <c r="G52" s="11"/>
      <c r="H52" s="841"/>
      <c r="I52" s="787"/>
      <c r="J52" s="795"/>
      <c r="K52" s="11"/>
      <c r="L52" s="841"/>
      <c r="M52" s="842"/>
      <c r="N52" s="787"/>
      <c r="O52" s="842"/>
      <c r="P52" s="842"/>
      <c r="Q52" s="1179"/>
      <c r="R52" s="832"/>
      <c r="S52" s="11"/>
      <c r="T52" s="801"/>
      <c r="U52" s="787"/>
      <c r="V52" s="89" t="s">
        <v>304</v>
      </c>
      <c r="W52" s="787"/>
      <c r="X52" s="795"/>
      <c r="Y52" s="11"/>
      <c r="Z52" s="1091"/>
    </row>
    <row r="53" spans="1:26" ht="21" hidden="1" customHeight="1">
      <c r="A53" s="841"/>
      <c r="B53" s="842"/>
      <c r="C53" s="842"/>
      <c r="D53" s="842"/>
      <c r="E53" s="795"/>
      <c r="F53" s="819"/>
      <c r="G53" s="11"/>
      <c r="H53" s="841"/>
      <c r="I53" s="787"/>
      <c r="J53" s="795"/>
      <c r="K53" s="11"/>
      <c r="L53" s="841"/>
      <c r="M53" s="842"/>
      <c r="N53" s="787"/>
      <c r="O53" s="842"/>
      <c r="P53" s="842"/>
      <c r="Q53" s="1180"/>
      <c r="R53" s="832"/>
      <c r="S53" s="11"/>
      <c r="T53" s="142" t="s">
        <v>1391</v>
      </c>
      <c r="U53" s="90"/>
      <c r="V53" s="89" t="s">
        <v>1811</v>
      </c>
      <c r="W53" s="787"/>
      <c r="X53" s="795"/>
      <c r="Y53" s="11"/>
      <c r="Z53" s="1090"/>
    </row>
    <row r="54" spans="1:26" ht="14.5" hidden="1" customHeight="1">
      <c r="A54" s="836" t="s">
        <v>1982</v>
      </c>
      <c r="B54" s="835" t="s">
        <v>1983</v>
      </c>
      <c r="C54" s="835" t="s">
        <v>1984</v>
      </c>
      <c r="D54" s="835" t="s">
        <v>294</v>
      </c>
      <c r="E54" s="815" t="s">
        <v>1985</v>
      </c>
      <c r="F54" s="816" t="s">
        <v>1986</v>
      </c>
      <c r="G54" s="10"/>
      <c r="H54" s="821" t="s">
        <v>1987</v>
      </c>
      <c r="I54" s="827" t="s">
        <v>1984</v>
      </c>
      <c r="J54" s="830" t="s">
        <v>1988</v>
      </c>
      <c r="K54" s="10"/>
      <c r="L54" s="995" t="s">
        <v>268</v>
      </c>
      <c r="M54" s="997" t="s">
        <v>1989</v>
      </c>
      <c r="N54" s="1010" t="s">
        <v>1990</v>
      </c>
      <c r="O54" s="997" t="s">
        <v>5</v>
      </c>
      <c r="P54" s="997" t="str">
        <f>'PDS - Desenvolvimento'!$K$66</f>
        <v>Concluído</v>
      </c>
      <c r="Q54" s="1181">
        <v>45665</v>
      </c>
      <c r="R54" s="1084" t="s">
        <v>5</v>
      </c>
      <c r="S54" s="10"/>
      <c r="T54" s="798" t="s">
        <v>300</v>
      </c>
      <c r="U54" s="793" t="s">
        <v>1991</v>
      </c>
      <c r="V54" s="133" t="s">
        <v>302</v>
      </c>
      <c r="W54" s="793" t="s">
        <v>1992</v>
      </c>
      <c r="X54" s="791"/>
      <c r="Y54" s="10"/>
      <c r="Z54" s="1131"/>
    </row>
    <row r="55" spans="1:26" ht="14.5" hidden="1" customHeight="1">
      <c r="A55" s="836"/>
      <c r="B55" s="835"/>
      <c r="C55" s="835"/>
      <c r="D55" s="835"/>
      <c r="E55" s="815"/>
      <c r="F55" s="816"/>
      <c r="G55" s="10"/>
      <c r="H55" s="821"/>
      <c r="I55" s="827"/>
      <c r="J55" s="830"/>
      <c r="K55" s="10"/>
      <c r="L55" s="995"/>
      <c r="M55" s="997"/>
      <c r="N55" s="1010"/>
      <c r="O55" s="997"/>
      <c r="P55" s="997"/>
      <c r="Q55" s="1110"/>
      <c r="R55" s="1084"/>
      <c r="S55" s="10"/>
      <c r="T55" s="798"/>
      <c r="U55" s="793"/>
      <c r="V55" s="133" t="s">
        <v>304</v>
      </c>
      <c r="W55" s="793"/>
      <c r="X55" s="791"/>
      <c r="Y55" s="10"/>
      <c r="Z55" s="1132"/>
    </row>
    <row r="56" spans="1:26" ht="60.75" hidden="1" customHeight="1">
      <c r="A56" s="836"/>
      <c r="B56" s="835"/>
      <c r="C56" s="835"/>
      <c r="D56" s="835"/>
      <c r="E56" s="815"/>
      <c r="F56" s="816"/>
      <c r="G56" s="10"/>
      <c r="H56" s="821"/>
      <c r="I56" s="827"/>
      <c r="J56" s="830"/>
      <c r="K56" s="10"/>
      <c r="L56" s="995"/>
      <c r="M56" s="997"/>
      <c r="N56" s="1010"/>
      <c r="O56" s="997"/>
      <c r="P56" s="997"/>
      <c r="Q56" s="1110"/>
      <c r="R56" s="1084"/>
      <c r="S56" s="10"/>
      <c r="T56" s="140" t="s">
        <v>565</v>
      </c>
      <c r="U56" s="131" t="s">
        <v>272</v>
      </c>
      <c r="V56" s="133" t="s">
        <v>1993</v>
      </c>
      <c r="W56" s="793"/>
      <c r="X56" s="791"/>
      <c r="Y56" s="10"/>
      <c r="Z56" s="1133"/>
    </row>
    <row r="57" spans="1:26" ht="196.5" customHeight="1">
      <c r="A57" s="841" t="s">
        <v>1994</v>
      </c>
      <c r="B57" s="842" t="s">
        <v>1983</v>
      </c>
      <c r="C57" s="842" t="s">
        <v>897</v>
      </c>
      <c r="D57" s="842" t="s">
        <v>294</v>
      </c>
      <c r="E57" s="795" t="s">
        <v>1995</v>
      </c>
      <c r="F57" s="819" t="s">
        <v>1996</v>
      </c>
      <c r="G57" s="11"/>
      <c r="H57" s="841" t="s">
        <v>1997</v>
      </c>
      <c r="I57" s="787" t="s">
        <v>897</v>
      </c>
      <c r="J57" s="795" t="s">
        <v>1998</v>
      </c>
      <c r="K57" s="11"/>
      <c r="L57" s="841" t="s">
        <v>268</v>
      </c>
      <c r="M57" s="842" t="s">
        <v>1999</v>
      </c>
      <c r="N57" s="885" t="s">
        <v>2000</v>
      </c>
      <c r="O57" s="842" t="s">
        <v>5</v>
      </c>
      <c r="P57" s="842" t="str">
        <f>'PDS - Desenvolvimento'!$K$72</f>
        <v>Concluído</v>
      </c>
      <c r="Q57" s="853"/>
      <c r="R57" s="832" t="s">
        <v>5</v>
      </c>
      <c r="S57" s="11"/>
      <c r="T57" s="801" t="s">
        <v>300</v>
      </c>
      <c r="U57" s="1178" t="s">
        <v>2001</v>
      </c>
      <c r="V57" s="89" t="s">
        <v>302</v>
      </c>
      <c r="W57" s="787" t="s">
        <v>2002</v>
      </c>
      <c r="X57" s="795"/>
      <c r="Y57" s="11"/>
      <c r="Z57" s="1089"/>
    </row>
    <row r="58" spans="1:26" ht="14.5" hidden="1" customHeight="1">
      <c r="A58" s="841"/>
      <c r="B58" s="842"/>
      <c r="C58" s="842"/>
      <c r="D58" s="842"/>
      <c r="E58" s="795"/>
      <c r="F58" s="819"/>
      <c r="G58" s="11"/>
      <c r="H58" s="841"/>
      <c r="I58" s="787"/>
      <c r="J58" s="795"/>
      <c r="K58" s="11"/>
      <c r="L58" s="841"/>
      <c r="M58" s="842"/>
      <c r="N58" s="885"/>
      <c r="O58" s="842"/>
      <c r="P58" s="842"/>
      <c r="Q58" s="853"/>
      <c r="R58" s="832"/>
      <c r="S58" s="11"/>
      <c r="T58" s="801"/>
      <c r="U58" s="1178"/>
      <c r="V58" s="89" t="s">
        <v>304</v>
      </c>
      <c r="W58" s="787"/>
      <c r="X58" s="795"/>
      <c r="Y58" s="11"/>
      <c r="Z58" s="1091"/>
    </row>
    <row r="59" spans="1:26" ht="52.5" hidden="1" customHeight="1">
      <c r="A59" s="841"/>
      <c r="B59" s="842"/>
      <c r="C59" s="842"/>
      <c r="D59" s="842"/>
      <c r="E59" s="795"/>
      <c r="F59" s="819"/>
      <c r="G59" s="11"/>
      <c r="H59" s="841"/>
      <c r="I59" s="787"/>
      <c r="J59" s="795"/>
      <c r="K59" s="11"/>
      <c r="L59" s="841"/>
      <c r="M59" s="842"/>
      <c r="N59" s="885"/>
      <c r="O59" s="842"/>
      <c r="P59" s="842"/>
      <c r="Q59" s="853"/>
      <c r="R59" s="832"/>
      <c r="S59" s="11"/>
      <c r="T59" s="142" t="s">
        <v>565</v>
      </c>
      <c r="U59" s="90" t="s">
        <v>272</v>
      </c>
      <c r="V59" s="89" t="s">
        <v>904</v>
      </c>
      <c r="W59" s="787"/>
      <c r="X59" s="795"/>
      <c r="Y59" s="11"/>
      <c r="Z59" s="1090"/>
    </row>
    <row r="60" spans="1:26" ht="14.5" hidden="1" customHeight="1">
      <c r="A60" s="836" t="s">
        <v>2003</v>
      </c>
      <c r="B60" s="835" t="s">
        <v>1983</v>
      </c>
      <c r="C60" s="835" t="s">
        <v>2004</v>
      </c>
      <c r="D60" s="835" t="s">
        <v>294</v>
      </c>
      <c r="E60" s="815" t="s">
        <v>2005</v>
      </c>
      <c r="F60" s="816" t="s">
        <v>2006</v>
      </c>
      <c r="G60" s="10"/>
      <c r="H60" s="821" t="s">
        <v>2007</v>
      </c>
      <c r="I60" s="827" t="s">
        <v>2004</v>
      </c>
      <c r="J60" s="830" t="s">
        <v>2008</v>
      </c>
      <c r="K60" s="10"/>
      <c r="L60" s="995" t="s">
        <v>268</v>
      </c>
      <c r="M60" s="997" t="s">
        <v>2009</v>
      </c>
      <c r="N60" s="1010" t="s">
        <v>2010</v>
      </c>
      <c r="O60" s="997" t="s">
        <v>5</v>
      </c>
      <c r="P60" s="997" t="str">
        <f>'PDS - Desenvolvimento'!$K$50</f>
        <v>Concluído</v>
      </c>
      <c r="Q60" s="1181">
        <v>45665</v>
      </c>
      <c r="R60" s="1084" t="s">
        <v>5</v>
      </c>
      <c r="S60" s="10"/>
      <c r="T60" s="798" t="s">
        <v>300</v>
      </c>
      <c r="U60" s="793" t="s">
        <v>2011</v>
      </c>
      <c r="V60" s="133" t="s">
        <v>302</v>
      </c>
      <c r="W60" s="793" t="s">
        <v>2012</v>
      </c>
      <c r="X60" s="791"/>
      <c r="Y60" s="10"/>
      <c r="Z60" s="1131"/>
    </row>
    <row r="61" spans="1:26" ht="14.5" hidden="1" customHeight="1">
      <c r="A61" s="836"/>
      <c r="B61" s="835"/>
      <c r="C61" s="835"/>
      <c r="D61" s="835"/>
      <c r="E61" s="815"/>
      <c r="F61" s="816"/>
      <c r="G61" s="10"/>
      <c r="H61" s="821"/>
      <c r="I61" s="827"/>
      <c r="J61" s="830"/>
      <c r="K61" s="10"/>
      <c r="L61" s="995"/>
      <c r="M61" s="997"/>
      <c r="N61" s="1010"/>
      <c r="O61" s="997"/>
      <c r="P61" s="997"/>
      <c r="Q61" s="1110"/>
      <c r="R61" s="1084"/>
      <c r="S61" s="10"/>
      <c r="T61" s="798"/>
      <c r="U61" s="793"/>
      <c r="V61" s="133" t="s">
        <v>304</v>
      </c>
      <c r="W61" s="793"/>
      <c r="X61" s="791"/>
      <c r="Y61" s="10"/>
      <c r="Z61" s="1132"/>
    </row>
    <row r="62" spans="1:26" ht="63.75" hidden="1" customHeight="1">
      <c r="A62" s="836"/>
      <c r="B62" s="835"/>
      <c r="C62" s="835"/>
      <c r="D62" s="835"/>
      <c r="E62" s="815"/>
      <c r="F62" s="816"/>
      <c r="G62" s="10"/>
      <c r="H62" s="821"/>
      <c r="I62" s="827"/>
      <c r="J62" s="830"/>
      <c r="K62" s="10"/>
      <c r="L62" s="995"/>
      <c r="M62" s="997"/>
      <c r="N62" s="1010"/>
      <c r="O62" s="997"/>
      <c r="P62" s="997"/>
      <c r="Q62" s="1110"/>
      <c r="R62" s="1084"/>
      <c r="S62" s="10"/>
      <c r="T62" s="140" t="s">
        <v>1730</v>
      </c>
      <c r="U62" s="131" t="s">
        <v>272</v>
      </c>
      <c r="V62" s="133" t="s">
        <v>2013</v>
      </c>
      <c r="W62" s="793"/>
      <c r="X62" s="791"/>
      <c r="Y62" s="10"/>
      <c r="Z62" s="1133"/>
    </row>
    <row r="63" spans="1:26" ht="19.5" hidden="1" customHeight="1">
      <c r="A63" s="841" t="s">
        <v>2014</v>
      </c>
      <c r="B63" s="842" t="s">
        <v>1983</v>
      </c>
      <c r="C63" s="842" t="s">
        <v>2015</v>
      </c>
      <c r="D63" s="842" t="s">
        <v>294</v>
      </c>
      <c r="E63" s="795" t="s">
        <v>2016</v>
      </c>
      <c r="F63" s="819" t="s">
        <v>2017</v>
      </c>
      <c r="G63" s="11"/>
      <c r="H63" s="841" t="s">
        <v>2018</v>
      </c>
      <c r="I63" s="787" t="s">
        <v>2015</v>
      </c>
      <c r="J63" s="795" t="s">
        <v>2019</v>
      </c>
      <c r="K63" s="11"/>
      <c r="L63" s="841" t="s">
        <v>268</v>
      </c>
      <c r="M63" s="842" t="s">
        <v>2020</v>
      </c>
      <c r="N63" s="885" t="s">
        <v>2021</v>
      </c>
      <c r="O63" s="842" t="s">
        <v>5</v>
      </c>
      <c r="P63" s="842" t="str">
        <f>'PDS - Desenvolvimento'!$K$69</f>
        <v>Concluído</v>
      </c>
      <c r="Q63" s="1064">
        <v>45665</v>
      </c>
      <c r="R63" s="832" t="s">
        <v>5</v>
      </c>
      <c r="S63" s="11"/>
      <c r="T63" s="801" t="s">
        <v>300</v>
      </c>
      <c r="U63" s="787" t="s">
        <v>2011</v>
      </c>
      <c r="V63" s="89" t="s">
        <v>302</v>
      </c>
      <c r="W63" s="787" t="s">
        <v>2012</v>
      </c>
      <c r="X63" s="795"/>
      <c r="Y63" s="11"/>
      <c r="Z63" s="1089"/>
    </row>
    <row r="64" spans="1:26" ht="19.5" hidden="1" customHeight="1">
      <c r="A64" s="841"/>
      <c r="B64" s="842"/>
      <c r="C64" s="842"/>
      <c r="D64" s="842"/>
      <c r="E64" s="795"/>
      <c r="F64" s="819"/>
      <c r="G64" s="11"/>
      <c r="H64" s="841"/>
      <c r="I64" s="787"/>
      <c r="J64" s="795"/>
      <c r="K64" s="11"/>
      <c r="L64" s="841"/>
      <c r="M64" s="842"/>
      <c r="N64" s="885"/>
      <c r="O64" s="842"/>
      <c r="P64" s="842"/>
      <c r="Q64" s="853"/>
      <c r="R64" s="832"/>
      <c r="S64" s="11"/>
      <c r="T64" s="801"/>
      <c r="U64" s="787"/>
      <c r="V64" s="89" t="s">
        <v>304</v>
      </c>
      <c r="W64" s="787"/>
      <c r="X64" s="795"/>
      <c r="Y64" s="11"/>
      <c r="Z64" s="1091"/>
    </row>
    <row r="65" spans="1:26" ht="70.5" hidden="1" customHeight="1">
      <c r="A65" s="841"/>
      <c r="B65" s="842"/>
      <c r="C65" s="842"/>
      <c r="D65" s="842"/>
      <c r="E65" s="795"/>
      <c r="F65" s="819"/>
      <c r="G65" s="11"/>
      <c r="H65" s="841"/>
      <c r="I65" s="787"/>
      <c r="J65" s="795"/>
      <c r="K65" s="11"/>
      <c r="L65" s="841"/>
      <c r="M65" s="842"/>
      <c r="N65" s="885"/>
      <c r="O65" s="842"/>
      <c r="P65" s="842"/>
      <c r="Q65" s="853"/>
      <c r="R65" s="832"/>
      <c r="S65" s="11"/>
      <c r="T65" s="142" t="s">
        <v>1730</v>
      </c>
      <c r="U65" s="90" t="s">
        <v>272</v>
      </c>
      <c r="V65" s="89" t="s">
        <v>2013</v>
      </c>
      <c r="W65" s="787"/>
      <c r="X65" s="795"/>
      <c r="Y65" s="11"/>
      <c r="Z65" s="1090"/>
    </row>
    <row r="66" spans="1:26" ht="111.75" hidden="1" customHeight="1">
      <c r="A66" s="93" t="s">
        <v>2022</v>
      </c>
      <c r="B66" s="88" t="s">
        <v>1983</v>
      </c>
      <c r="C66" s="88" t="s">
        <v>2023</v>
      </c>
      <c r="D66" s="88" t="s">
        <v>294</v>
      </c>
      <c r="E66" s="226" t="s">
        <v>2024</v>
      </c>
      <c r="F66" s="14" t="s">
        <v>2025</v>
      </c>
      <c r="G66" s="10"/>
      <c r="H66" s="109" t="s">
        <v>2026</v>
      </c>
      <c r="I66" s="102" t="s">
        <v>2023</v>
      </c>
      <c r="J66" s="110" t="s">
        <v>2027</v>
      </c>
      <c r="K66" s="10"/>
      <c r="L66" s="305" t="s">
        <v>268</v>
      </c>
      <c r="M66" s="304" t="s">
        <v>2028</v>
      </c>
      <c r="N66" s="365" t="s">
        <v>2029</v>
      </c>
      <c r="O66" s="304" t="s">
        <v>5</v>
      </c>
      <c r="P66" s="304" t="str">
        <f>'PDS - Desenvolvimento'!$K$65</f>
        <v>Concluído</v>
      </c>
      <c r="Q66" s="319"/>
      <c r="R66" s="320" t="s">
        <v>5</v>
      </c>
      <c r="S66" s="10"/>
      <c r="T66" s="140" t="s">
        <v>1730</v>
      </c>
      <c r="U66" s="131" t="s">
        <v>272</v>
      </c>
      <c r="V66" s="133" t="s">
        <v>2030</v>
      </c>
      <c r="W66" s="131" t="s">
        <v>2031</v>
      </c>
      <c r="X66" s="141"/>
      <c r="Y66" s="10"/>
      <c r="Z66" s="19"/>
    </row>
    <row r="67" spans="1:26" ht="14.5" hidden="1" customHeight="1">
      <c r="A67" s="841" t="s">
        <v>2032</v>
      </c>
      <c r="B67" s="842" t="s">
        <v>1683</v>
      </c>
      <c r="C67" s="842" t="s">
        <v>2033</v>
      </c>
      <c r="D67" s="842" t="s">
        <v>294</v>
      </c>
      <c r="E67" s="795" t="s">
        <v>2034</v>
      </c>
      <c r="F67" s="819" t="s">
        <v>2035</v>
      </c>
      <c r="G67" s="11"/>
      <c r="H67" s="841" t="s">
        <v>838</v>
      </c>
      <c r="I67" s="787" t="s">
        <v>839</v>
      </c>
      <c r="J67" s="795" t="s">
        <v>840</v>
      </c>
      <c r="K67" s="11"/>
      <c r="L67" s="841" t="s">
        <v>268</v>
      </c>
      <c r="M67" s="842" t="s">
        <v>841</v>
      </c>
      <c r="N67" s="787" t="s">
        <v>2036</v>
      </c>
      <c r="O67" s="842" t="s">
        <v>5</v>
      </c>
      <c r="P67" s="842" t="str">
        <f>'PDS - Desenvolvimento'!$K$26</f>
        <v>Concluído</v>
      </c>
      <c r="Q67" s="853" t="s">
        <v>2037</v>
      </c>
      <c r="R67" s="832" t="s">
        <v>5</v>
      </c>
      <c r="S67" s="11"/>
      <c r="T67" s="801" t="s">
        <v>300</v>
      </c>
      <c r="U67" s="787" t="s">
        <v>2038</v>
      </c>
      <c r="V67" s="89" t="s">
        <v>302</v>
      </c>
      <c r="W67" s="787" t="s">
        <v>844</v>
      </c>
      <c r="X67" s="795"/>
      <c r="Y67" s="11"/>
      <c r="Z67" s="1089"/>
    </row>
    <row r="68" spans="1:26" ht="14.5" hidden="1" customHeight="1">
      <c r="A68" s="841"/>
      <c r="B68" s="842"/>
      <c r="C68" s="842"/>
      <c r="D68" s="842"/>
      <c r="E68" s="795"/>
      <c r="F68" s="819"/>
      <c r="G68" s="11"/>
      <c r="H68" s="841"/>
      <c r="I68" s="787"/>
      <c r="J68" s="795"/>
      <c r="K68" s="11"/>
      <c r="L68" s="841"/>
      <c r="M68" s="842"/>
      <c r="N68" s="787"/>
      <c r="O68" s="842"/>
      <c r="P68" s="842"/>
      <c r="Q68" s="853"/>
      <c r="R68" s="832"/>
      <c r="S68" s="11"/>
      <c r="T68" s="801"/>
      <c r="U68" s="787"/>
      <c r="V68" s="89" t="s">
        <v>304</v>
      </c>
      <c r="W68" s="787"/>
      <c r="X68" s="795"/>
      <c r="Y68" s="11"/>
      <c r="Z68" s="1091"/>
    </row>
    <row r="69" spans="1:26" ht="132.75" hidden="1" customHeight="1">
      <c r="A69" s="841"/>
      <c r="B69" s="842"/>
      <c r="C69" s="842"/>
      <c r="D69" s="842"/>
      <c r="E69" s="795"/>
      <c r="F69" s="819"/>
      <c r="G69" s="11"/>
      <c r="H69" s="841"/>
      <c r="I69" s="787"/>
      <c r="J69" s="795"/>
      <c r="K69" s="11"/>
      <c r="L69" s="841"/>
      <c r="M69" s="842"/>
      <c r="N69" s="787"/>
      <c r="O69" s="842"/>
      <c r="P69" s="842"/>
      <c r="Q69" s="853"/>
      <c r="R69" s="832"/>
      <c r="S69" s="11"/>
      <c r="T69" s="142" t="s">
        <v>317</v>
      </c>
      <c r="U69" s="90" t="s">
        <v>272</v>
      </c>
      <c r="V69" s="89" t="s">
        <v>845</v>
      </c>
      <c r="W69" s="787"/>
      <c r="X69" s="795"/>
      <c r="Y69" s="11"/>
      <c r="Z69" s="1090"/>
    </row>
    <row r="70" spans="1:26" ht="123" hidden="1" customHeight="1">
      <c r="A70" s="93" t="s">
        <v>2039</v>
      </c>
      <c r="B70" s="88" t="s">
        <v>1683</v>
      </c>
      <c r="C70" s="88" t="s">
        <v>906</v>
      </c>
      <c r="D70" s="88" t="s">
        <v>294</v>
      </c>
      <c r="E70" s="94" t="s">
        <v>2040</v>
      </c>
      <c r="F70" s="14" t="s">
        <v>2041</v>
      </c>
      <c r="G70" s="10"/>
      <c r="H70" s="109" t="s">
        <v>909</v>
      </c>
      <c r="I70" s="102" t="s">
        <v>910</v>
      </c>
      <c r="J70" s="159" t="s">
        <v>911</v>
      </c>
      <c r="K70" s="10"/>
      <c r="L70" s="305" t="s">
        <v>268</v>
      </c>
      <c r="M70" s="304" t="s">
        <v>2042</v>
      </c>
      <c r="N70" s="365" t="s">
        <v>2043</v>
      </c>
      <c r="O70" s="304" t="s">
        <v>5</v>
      </c>
      <c r="P70" s="304" t="str">
        <f>'PDS - Desenvolvimento'!$K$20</f>
        <v>Concluído</v>
      </c>
      <c r="Q70" s="319" t="s">
        <v>2044</v>
      </c>
      <c r="R70" s="320" t="s">
        <v>5</v>
      </c>
      <c r="S70" s="10"/>
      <c r="T70" s="140" t="s">
        <v>781</v>
      </c>
      <c r="U70" s="131" t="s">
        <v>272</v>
      </c>
      <c r="V70" s="133" t="s">
        <v>884</v>
      </c>
      <c r="W70" s="131" t="s">
        <v>2045</v>
      </c>
      <c r="X70" s="141"/>
      <c r="Y70" s="10"/>
      <c r="Z70" s="19"/>
    </row>
    <row r="71" spans="1:26" ht="14.5" hidden="1" customHeight="1">
      <c r="A71" s="841" t="s">
        <v>2046</v>
      </c>
      <c r="B71" s="842" t="s">
        <v>1683</v>
      </c>
      <c r="C71" s="842" t="s">
        <v>2047</v>
      </c>
      <c r="D71" s="842" t="s">
        <v>294</v>
      </c>
      <c r="E71" s="795" t="s">
        <v>2048</v>
      </c>
      <c r="F71" s="819" t="s">
        <v>2049</v>
      </c>
      <c r="G71" s="11"/>
      <c r="H71" s="841" t="s">
        <v>2050</v>
      </c>
      <c r="I71" s="787" t="s">
        <v>2047</v>
      </c>
      <c r="J71" s="795" t="s">
        <v>2051</v>
      </c>
      <c r="K71" s="11"/>
      <c r="L71" s="818" t="s">
        <v>268</v>
      </c>
      <c r="M71" s="785" t="s">
        <v>1007</v>
      </c>
      <c r="N71" s="1134" t="s">
        <v>2052</v>
      </c>
      <c r="O71" s="785" t="s">
        <v>5</v>
      </c>
      <c r="P71" s="785" t="str">
        <f>'PDS - Desenvolvimento'!$K$67</f>
        <v>Concluído</v>
      </c>
      <c r="Q71" s="862" t="s">
        <v>2044</v>
      </c>
      <c r="R71" s="832" t="s">
        <v>5</v>
      </c>
      <c r="S71" s="11"/>
      <c r="T71" s="801" t="s">
        <v>300</v>
      </c>
      <c r="U71" s="787" t="s">
        <v>2053</v>
      </c>
      <c r="V71" s="89" t="s">
        <v>302</v>
      </c>
      <c r="W71" s="787" t="s">
        <v>844</v>
      </c>
      <c r="X71" s="795"/>
      <c r="Y71" s="11"/>
      <c r="Z71" s="1089"/>
    </row>
    <row r="72" spans="1:26" ht="14.5" hidden="1" customHeight="1">
      <c r="A72" s="841"/>
      <c r="B72" s="842"/>
      <c r="C72" s="842"/>
      <c r="D72" s="842"/>
      <c r="E72" s="795"/>
      <c r="F72" s="819"/>
      <c r="G72" s="11"/>
      <c r="H72" s="841"/>
      <c r="I72" s="787"/>
      <c r="J72" s="795"/>
      <c r="K72" s="11"/>
      <c r="L72" s="818"/>
      <c r="M72" s="785"/>
      <c r="N72" s="1134"/>
      <c r="O72" s="785"/>
      <c r="P72" s="785"/>
      <c r="Q72" s="862"/>
      <c r="R72" s="832"/>
      <c r="S72" s="11"/>
      <c r="T72" s="801"/>
      <c r="U72" s="787"/>
      <c r="V72" s="89" t="s">
        <v>304</v>
      </c>
      <c r="W72" s="787"/>
      <c r="X72" s="795"/>
      <c r="Y72" s="11"/>
      <c r="Z72" s="1091"/>
    </row>
    <row r="73" spans="1:26" ht="81" hidden="1" customHeight="1">
      <c r="A73" s="841"/>
      <c r="B73" s="842"/>
      <c r="C73" s="842"/>
      <c r="D73" s="842"/>
      <c r="E73" s="795"/>
      <c r="F73" s="819"/>
      <c r="G73" s="11"/>
      <c r="H73" s="841"/>
      <c r="I73" s="787"/>
      <c r="J73" s="795"/>
      <c r="K73" s="11"/>
      <c r="L73" s="818"/>
      <c r="M73" s="785"/>
      <c r="N73" s="1134"/>
      <c r="O73" s="785"/>
      <c r="P73" s="785"/>
      <c r="Q73" s="862"/>
      <c r="R73" s="832"/>
      <c r="S73" s="11"/>
      <c r="T73" s="142" t="s">
        <v>317</v>
      </c>
      <c r="U73" s="90" t="s">
        <v>272</v>
      </c>
      <c r="V73" s="89" t="s">
        <v>845</v>
      </c>
      <c r="W73" s="787"/>
      <c r="X73" s="795"/>
      <c r="Y73" s="11"/>
      <c r="Z73" s="1090"/>
    </row>
    <row r="74" spans="1:26" ht="80.25" hidden="1" customHeight="1">
      <c r="A74" s="93" t="s">
        <v>2054</v>
      </c>
      <c r="B74" s="88" t="s">
        <v>320</v>
      </c>
      <c r="C74" s="88" t="s">
        <v>1707</v>
      </c>
      <c r="D74" s="88" t="s">
        <v>262</v>
      </c>
      <c r="E74" s="94" t="s">
        <v>1708</v>
      </c>
      <c r="F74" s="14" t="s">
        <v>2055</v>
      </c>
      <c r="G74" s="10"/>
      <c r="H74" s="109" t="s">
        <v>2056</v>
      </c>
      <c r="I74" s="102" t="s">
        <v>1707</v>
      </c>
      <c r="J74" s="110" t="s">
        <v>2057</v>
      </c>
      <c r="K74" s="10"/>
      <c r="L74" s="169" t="s">
        <v>268</v>
      </c>
      <c r="M74" s="166" t="s">
        <v>1710</v>
      </c>
      <c r="N74" s="358" t="s">
        <v>1711</v>
      </c>
      <c r="O74" s="166" t="s">
        <v>5</v>
      </c>
      <c r="P74" s="166" t="str">
        <f>'PDS - Desenvolvimento'!$K$53</f>
        <v>Concluído</v>
      </c>
      <c r="Q74" s="461" t="s">
        <v>1712</v>
      </c>
      <c r="R74" s="320" t="s">
        <v>5</v>
      </c>
      <c r="S74" s="10"/>
      <c r="T74" s="140" t="s">
        <v>565</v>
      </c>
      <c r="U74" s="131" t="s">
        <v>272</v>
      </c>
      <c r="V74" s="133" t="s">
        <v>1710</v>
      </c>
      <c r="W74" s="131" t="s">
        <v>289</v>
      </c>
      <c r="X74" s="141"/>
      <c r="Y74" s="10"/>
      <c r="Z74" s="19"/>
    </row>
    <row r="75" spans="1:26" ht="14.5" hidden="1">
      <c r="A75" s="841" t="s">
        <v>319</v>
      </c>
      <c r="B75" s="842" t="s">
        <v>320</v>
      </c>
      <c r="C75" s="842" t="s">
        <v>321</v>
      </c>
      <c r="D75" s="842" t="s">
        <v>459</v>
      </c>
      <c r="E75" s="795" t="s">
        <v>2058</v>
      </c>
      <c r="F75" s="819" t="s">
        <v>1714</v>
      </c>
      <c r="G75" s="11"/>
      <c r="H75" s="841" t="s">
        <v>325</v>
      </c>
      <c r="I75" s="787" t="s">
        <v>98</v>
      </c>
      <c r="J75" s="795" t="s">
        <v>326</v>
      </c>
      <c r="K75" s="11"/>
      <c r="L75" s="818" t="s">
        <v>268</v>
      </c>
      <c r="M75" s="1188" t="s">
        <v>327</v>
      </c>
      <c r="N75" s="833" t="s">
        <v>328</v>
      </c>
      <c r="O75" s="785" t="s">
        <v>5</v>
      </c>
      <c r="P75" s="785" t="str">
        <f>'PDS - Desenvolvimento'!$K$36</f>
        <v>Concluído</v>
      </c>
      <c r="Q75" s="1192">
        <v>45608</v>
      </c>
      <c r="R75" s="832" t="s">
        <v>5</v>
      </c>
      <c r="S75" s="11"/>
      <c r="T75" s="801" t="s">
        <v>305</v>
      </c>
      <c r="U75" s="787" t="s">
        <v>306</v>
      </c>
      <c r="V75" s="89" t="s">
        <v>329</v>
      </c>
      <c r="W75" s="787" t="s">
        <v>330</v>
      </c>
      <c r="X75" s="795" t="s">
        <v>331</v>
      </c>
      <c r="Y75" s="11"/>
      <c r="Z75" s="1147"/>
    </row>
    <row r="76" spans="1:26" ht="31.5" hidden="1" customHeight="1">
      <c r="A76" s="841"/>
      <c r="B76" s="842"/>
      <c r="C76" s="842"/>
      <c r="D76" s="842"/>
      <c r="E76" s="795"/>
      <c r="F76" s="819"/>
      <c r="G76" s="11"/>
      <c r="H76" s="841"/>
      <c r="I76" s="787"/>
      <c r="J76" s="795"/>
      <c r="K76" s="11"/>
      <c r="L76" s="818"/>
      <c r="M76" s="785"/>
      <c r="N76" s="833"/>
      <c r="O76" s="785"/>
      <c r="P76" s="785"/>
      <c r="Q76" s="862"/>
      <c r="R76" s="832"/>
      <c r="S76" s="11"/>
      <c r="T76" s="801"/>
      <c r="U76" s="787"/>
      <c r="V76" s="89" t="s">
        <v>333</v>
      </c>
      <c r="W76" s="787"/>
      <c r="X76" s="795"/>
      <c r="Y76" s="11"/>
      <c r="Z76" s="1147"/>
    </row>
    <row r="77" spans="1:26" ht="45" hidden="1" customHeight="1">
      <c r="A77" s="1190"/>
      <c r="B77" s="1191"/>
      <c r="C77" s="1191"/>
      <c r="D77" s="1191"/>
      <c r="E77" s="1174"/>
      <c r="F77" s="1189"/>
      <c r="G77" s="11"/>
      <c r="H77" s="1190"/>
      <c r="I77" s="1173"/>
      <c r="J77" s="1174"/>
      <c r="K77" s="11"/>
      <c r="L77" s="822"/>
      <c r="M77" s="1176"/>
      <c r="N77" s="834"/>
      <c r="O77" s="1176"/>
      <c r="P77" s="1176"/>
      <c r="Q77" s="1193"/>
      <c r="R77" s="1177"/>
      <c r="S77" s="11"/>
      <c r="T77" s="1175"/>
      <c r="U77" s="1173"/>
      <c r="V77" s="186" t="s">
        <v>334</v>
      </c>
      <c r="W77" s="1173"/>
      <c r="X77" s="1174"/>
      <c r="Y77" s="11"/>
      <c r="Z77" s="1147"/>
    </row>
  </sheetData>
  <autoFilter ref="A2:Z77">
    <filterColumn colId="12">
      <filters>
        <filter val="sources_encumbrance"/>
      </filters>
    </filterColumn>
  </autoFilter>
  <mergeCells count="361">
    <mergeCell ref="Q71:Q73"/>
    <mergeCell ref="Q75:Q77"/>
    <mergeCell ref="L1:P1"/>
    <mergeCell ref="A1:E1"/>
    <mergeCell ref="H1:J1"/>
    <mergeCell ref="T1:X1"/>
    <mergeCell ref="R18:R20"/>
    <mergeCell ref="R21:R23"/>
    <mergeCell ref="R24:R26"/>
    <mergeCell ref="R27:R29"/>
    <mergeCell ref="R33:R35"/>
    <mergeCell ref="A24:A26"/>
    <mergeCell ref="B24:B26"/>
    <mergeCell ref="C24:C26"/>
    <mergeCell ref="D24:D26"/>
    <mergeCell ref="E24:E26"/>
    <mergeCell ref="T3:T6"/>
    <mergeCell ref="H21:H23"/>
    <mergeCell ref="T21:T22"/>
    <mergeCell ref="F21:F23"/>
    <mergeCell ref="H3:H6"/>
    <mergeCell ref="N3:N6"/>
    <mergeCell ref="A75:A77"/>
    <mergeCell ref="B75:B77"/>
    <mergeCell ref="C75:C77"/>
    <mergeCell ref="D75:D77"/>
    <mergeCell ref="E75:E77"/>
    <mergeCell ref="A71:A73"/>
    <mergeCell ref="B71:B73"/>
    <mergeCell ref="C71:C73"/>
    <mergeCell ref="D71:D73"/>
    <mergeCell ref="E71:E73"/>
    <mergeCell ref="O67:O69"/>
    <mergeCell ref="R60:R62"/>
    <mergeCell ref="R63:R65"/>
    <mergeCell ref="R67:R69"/>
    <mergeCell ref="N63:N65"/>
    <mergeCell ref="A67:A69"/>
    <mergeCell ref="B67:B69"/>
    <mergeCell ref="E21:E23"/>
    <mergeCell ref="C3:C6"/>
    <mergeCell ref="D3:D6"/>
    <mergeCell ref="E3:E6"/>
    <mergeCell ref="C67:C69"/>
    <mergeCell ref="D67:D69"/>
    <mergeCell ref="E67:E69"/>
    <mergeCell ref="A63:A65"/>
    <mergeCell ref="B63:B65"/>
    <mergeCell ref="C63:C65"/>
    <mergeCell ref="D63:D65"/>
    <mergeCell ref="E63:E65"/>
    <mergeCell ref="A60:A62"/>
    <mergeCell ref="B60:B62"/>
    <mergeCell ref="Q63:Q65"/>
    <mergeCell ref="Q67:Q69"/>
    <mergeCell ref="F63:F65"/>
    <mergeCell ref="N21:N23"/>
    <mergeCell ref="A21:A23"/>
    <mergeCell ref="B21:B23"/>
    <mergeCell ref="C21:C23"/>
    <mergeCell ref="D21:D23"/>
    <mergeCell ref="F71:F73"/>
    <mergeCell ref="I71:I73"/>
    <mergeCell ref="J71:J73"/>
    <mergeCell ref="M71:M73"/>
    <mergeCell ref="M38:M40"/>
    <mergeCell ref="M41:M43"/>
    <mergeCell ref="L38:L40"/>
    <mergeCell ref="L41:L43"/>
    <mergeCell ref="F45:F47"/>
    <mergeCell ref="F41:F43"/>
    <mergeCell ref="H41:H43"/>
    <mergeCell ref="F24:F26"/>
    <mergeCell ref="I41:I43"/>
    <mergeCell ref="J41:J43"/>
    <mergeCell ref="A41:A43"/>
    <mergeCell ref="B41:B43"/>
    <mergeCell ref="C41:C43"/>
    <mergeCell ref="D41:D43"/>
    <mergeCell ref="E41:E43"/>
    <mergeCell ref="A38:A40"/>
    <mergeCell ref="U60:U61"/>
    <mergeCell ref="A57:A59"/>
    <mergeCell ref="B57:B59"/>
    <mergeCell ref="C57:C59"/>
    <mergeCell ref="D57:D59"/>
    <mergeCell ref="E57:E59"/>
    <mergeCell ref="F57:F59"/>
    <mergeCell ref="N57:N59"/>
    <mergeCell ref="M75:M77"/>
    <mergeCell ref="L71:L73"/>
    <mergeCell ref="L75:L77"/>
    <mergeCell ref="F60:F62"/>
    <mergeCell ref="N71:N73"/>
    <mergeCell ref="F67:F69"/>
    <mergeCell ref="N67:N69"/>
    <mergeCell ref="H67:H69"/>
    <mergeCell ref="F75:F77"/>
    <mergeCell ref="H75:H77"/>
    <mergeCell ref="N75:N77"/>
    <mergeCell ref="I75:I77"/>
    <mergeCell ref="J75:J77"/>
    <mergeCell ref="T67:T68"/>
    <mergeCell ref="O71:O73"/>
    <mergeCell ref="R71:R73"/>
    <mergeCell ref="Q54:Q56"/>
    <mergeCell ref="Q57:Q59"/>
    <mergeCell ref="Q60:Q62"/>
    <mergeCell ref="A51:A53"/>
    <mergeCell ref="B51:B53"/>
    <mergeCell ref="C51:C53"/>
    <mergeCell ref="D51:D53"/>
    <mergeCell ref="E51:E53"/>
    <mergeCell ref="F51:F53"/>
    <mergeCell ref="N51:N53"/>
    <mergeCell ref="I51:I53"/>
    <mergeCell ref="J51:J53"/>
    <mergeCell ref="F54:F56"/>
    <mergeCell ref="N54:N56"/>
    <mergeCell ref="A54:A56"/>
    <mergeCell ref="B54:B56"/>
    <mergeCell ref="C54:C56"/>
    <mergeCell ref="D54:D56"/>
    <mergeCell ref="E54:E56"/>
    <mergeCell ref="I54:I56"/>
    <mergeCell ref="J54:J56"/>
    <mergeCell ref="C60:C62"/>
    <mergeCell ref="D60:D62"/>
    <mergeCell ref="E60:E62"/>
    <mergeCell ref="A45:A47"/>
    <mergeCell ref="B45:B47"/>
    <mergeCell ref="C45:C47"/>
    <mergeCell ref="D45:D47"/>
    <mergeCell ref="E45:E47"/>
    <mergeCell ref="H45:H47"/>
    <mergeCell ref="I45:I47"/>
    <mergeCell ref="J45:J47"/>
    <mergeCell ref="M45:M47"/>
    <mergeCell ref="H38:H40"/>
    <mergeCell ref="F33:F35"/>
    <mergeCell ref="F27:F29"/>
    <mergeCell ref="F38:F40"/>
    <mergeCell ref="I24:I26"/>
    <mergeCell ref="J24:J26"/>
    <mergeCell ref="I27:I29"/>
    <mergeCell ref="J27:J29"/>
    <mergeCell ref="I33:I35"/>
    <mergeCell ref="J33:J35"/>
    <mergeCell ref="I38:I40"/>
    <mergeCell ref="J38:J40"/>
    <mergeCell ref="A27:A29"/>
    <mergeCell ref="B27:B29"/>
    <mergeCell ref="C27:C29"/>
    <mergeCell ref="D27:D29"/>
    <mergeCell ref="E27:E29"/>
    <mergeCell ref="B38:B40"/>
    <mergeCell ref="C38:C40"/>
    <mergeCell ref="D38:D40"/>
    <mergeCell ref="E38:E40"/>
    <mergeCell ref="A33:A35"/>
    <mergeCell ref="B33:B35"/>
    <mergeCell ref="C33:C35"/>
    <mergeCell ref="D33:D35"/>
    <mergeCell ref="E33:E35"/>
    <mergeCell ref="X3:X6"/>
    <mergeCell ref="Z3:Z6"/>
    <mergeCell ref="H18:H20"/>
    <mergeCell ref="T18:T19"/>
    <mergeCell ref="U18:U19"/>
    <mergeCell ref="W18:W20"/>
    <mergeCell ref="X18:X20"/>
    <mergeCell ref="Z18:Z20"/>
    <mergeCell ref="U3:U6"/>
    <mergeCell ref="O3:O6"/>
    <mergeCell ref="O18:O20"/>
    <mergeCell ref="R3:R6"/>
    <mergeCell ref="P3:P6"/>
    <mergeCell ref="P18:P20"/>
    <mergeCell ref="I3:I6"/>
    <mergeCell ref="J3:J6"/>
    <mergeCell ref="I18:I20"/>
    <mergeCell ref="W3:W6"/>
    <mergeCell ref="M3:M6"/>
    <mergeCell ref="M18:M20"/>
    <mergeCell ref="L3:L6"/>
    <mergeCell ref="L18:L20"/>
    <mergeCell ref="Q3:Q6"/>
    <mergeCell ref="Q18:Q20"/>
    <mergeCell ref="A18:A20"/>
    <mergeCell ref="B18:B20"/>
    <mergeCell ref="C18:C20"/>
    <mergeCell ref="D18:D20"/>
    <mergeCell ref="E18:E20"/>
    <mergeCell ref="F18:F20"/>
    <mergeCell ref="N18:N20"/>
    <mergeCell ref="A3:A6"/>
    <mergeCell ref="B3:B6"/>
    <mergeCell ref="J18:J20"/>
    <mergeCell ref="F3:F6"/>
    <mergeCell ref="X21:X23"/>
    <mergeCell ref="Z21:Z23"/>
    <mergeCell ref="H24:H26"/>
    <mergeCell ref="T24:T25"/>
    <mergeCell ref="U24:U25"/>
    <mergeCell ref="W24:W26"/>
    <mergeCell ref="X24:X26"/>
    <mergeCell ref="Z24:Z26"/>
    <mergeCell ref="I21:I23"/>
    <mergeCell ref="J21:J23"/>
    <mergeCell ref="O21:O23"/>
    <mergeCell ref="O24:O26"/>
    <mergeCell ref="M24:M26"/>
    <mergeCell ref="P21:P23"/>
    <mergeCell ref="P24:P26"/>
    <mergeCell ref="U21:U22"/>
    <mergeCell ref="W21:W23"/>
    <mergeCell ref="M21:M23"/>
    <mergeCell ref="L21:L23"/>
    <mergeCell ref="Q21:Q23"/>
    <mergeCell ref="Q24:Q26"/>
    <mergeCell ref="N24:N26"/>
    <mergeCell ref="L24:L26"/>
    <mergeCell ref="T27:T28"/>
    <mergeCell ref="U27:U28"/>
    <mergeCell ref="W27:W29"/>
    <mergeCell ref="X27:X29"/>
    <mergeCell ref="Z27:Z29"/>
    <mergeCell ref="H33:H35"/>
    <mergeCell ref="T33:T34"/>
    <mergeCell ref="U33:U34"/>
    <mergeCell ref="W33:W35"/>
    <mergeCell ref="X33:X35"/>
    <mergeCell ref="Z33:Z35"/>
    <mergeCell ref="O27:O29"/>
    <mergeCell ref="O33:O35"/>
    <mergeCell ref="M33:M35"/>
    <mergeCell ref="L27:L29"/>
    <mergeCell ref="L33:L35"/>
    <mergeCell ref="P27:P29"/>
    <mergeCell ref="P33:P35"/>
    <mergeCell ref="Q27:Q29"/>
    <mergeCell ref="Q33:Q35"/>
    <mergeCell ref="N33:N35"/>
    <mergeCell ref="N27:N29"/>
    <mergeCell ref="H27:H29"/>
    <mergeCell ref="M27:M29"/>
    <mergeCell ref="T38:T39"/>
    <mergeCell ref="U38:U39"/>
    <mergeCell ref="W38:W40"/>
    <mergeCell ref="X38:X40"/>
    <mergeCell ref="Z38:Z40"/>
    <mergeCell ref="W41:W43"/>
    <mergeCell ref="X41:X43"/>
    <mergeCell ref="Z41:Z43"/>
    <mergeCell ref="N41:N43"/>
    <mergeCell ref="T41:T43"/>
    <mergeCell ref="U41:U43"/>
    <mergeCell ref="O38:O40"/>
    <mergeCell ref="O41:O43"/>
    <mergeCell ref="R38:R40"/>
    <mergeCell ref="R41:R43"/>
    <mergeCell ref="P38:P40"/>
    <mergeCell ref="P41:P43"/>
    <mergeCell ref="Q38:Q40"/>
    <mergeCell ref="Q41:Q43"/>
    <mergeCell ref="N38:N40"/>
    <mergeCell ref="T45:T46"/>
    <mergeCell ref="U45:U46"/>
    <mergeCell ref="W45:W47"/>
    <mergeCell ref="X45:X47"/>
    <mergeCell ref="Z45:Z47"/>
    <mergeCell ref="H51:H53"/>
    <mergeCell ref="T51:T52"/>
    <mergeCell ref="U51:U52"/>
    <mergeCell ref="W51:W53"/>
    <mergeCell ref="X51:X53"/>
    <mergeCell ref="Z51:Z53"/>
    <mergeCell ref="O45:O47"/>
    <mergeCell ref="O51:O53"/>
    <mergeCell ref="R45:R47"/>
    <mergeCell ref="R51:R53"/>
    <mergeCell ref="M51:M53"/>
    <mergeCell ref="L45:L47"/>
    <mergeCell ref="L51:L53"/>
    <mergeCell ref="P45:P47"/>
    <mergeCell ref="P51:P53"/>
    <mergeCell ref="Q45:Q47"/>
    <mergeCell ref="Q51:Q53"/>
    <mergeCell ref="N45:N47"/>
    <mergeCell ref="W54:W56"/>
    <mergeCell ref="X54:X56"/>
    <mergeCell ref="Z54:Z56"/>
    <mergeCell ref="H57:H59"/>
    <mergeCell ref="T57:T58"/>
    <mergeCell ref="U57:U58"/>
    <mergeCell ref="W57:W59"/>
    <mergeCell ref="X57:X59"/>
    <mergeCell ref="Z57:Z59"/>
    <mergeCell ref="I57:I59"/>
    <mergeCell ref="J57:J59"/>
    <mergeCell ref="O54:O56"/>
    <mergeCell ref="O57:O59"/>
    <mergeCell ref="R54:R56"/>
    <mergeCell ref="R57:R59"/>
    <mergeCell ref="M57:M59"/>
    <mergeCell ref="M54:M56"/>
    <mergeCell ref="L54:L56"/>
    <mergeCell ref="L57:L59"/>
    <mergeCell ref="P54:P56"/>
    <mergeCell ref="P57:P59"/>
    <mergeCell ref="H54:H56"/>
    <mergeCell ref="T54:T55"/>
    <mergeCell ref="U54:U55"/>
    <mergeCell ref="W60:W62"/>
    <mergeCell ref="X60:X62"/>
    <mergeCell ref="Z60:Z62"/>
    <mergeCell ref="H63:H65"/>
    <mergeCell ref="T63:T64"/>
    <mergeCell ref="U63:U64"/>
    <mergeCell ref="W63:W65"/>
    <mergeCell ref="X63:X65"/>
    <mergeCell ref="Z63:Z65"/>
    <mergeCell ref="N60:N62"/>
    <mergeCell ref="M60:M62"/>
    <mergeCell ref="M63:M65"/>
    <mergeCell ref="L60:L62"/>
    <mergeCell ref="L63:L65"/>
    <mergeCell ref="P60:P62"/>
    <mergeCell ref="P63:P65"/>
    <mergeCell ref="I60:I62"/>
    <mergeCell ref="J60:J62"/>
    <mergeCell ref="I63:I65"/>
    <mergeCell ref="J63:J65"/>
    <mergeCell ref="O60:O62"/>
    <mergeCell ref="O63:O65"/>
    <mergeCell ref="H60:H62"/>
    <mergeCell ref="T60:T61"/>
    <mergeCell ref="W75:W77"/>
    <mergeCell ref="X75:X77"/>
    <mergeCell ref="Z75:Z77"/>
    <mergeCell ref="W67:W69"/>
    <mergeCell ref="X67:X69"/>
    <mergeCell ref="Z67:Z69"/>
    <mergeCell ref="H71:H73"/>
    <mergeCell ref="T71:T72"/>
    <mergeCell ref="U71:U72"/>
    <mergeCell ref="W71:W73"/>
    <mergeCell ref="X71:X73"/>
    <mergeCell ref="Z71:Z73"/>
    <mergeCell ref="T75:T77"/>
    <mergeCell ref="U75:U77"/>
    <mergeCell ref="O75:O77"/>
    <mergeCell ref="R75:R77"/>
    <mergeCell ref="M67:M69"/>
    <mergeCell ref="L67:L69"/>
    <mergeCell ref="P67:P69"/>
    <mergeCell ref="P71:P73"/>
    <mergeCell ref="P75:P77"/>
    <mergeCell ref="U67:U68"/>
    <mergeCell ref="I67:I69"/>
    <mergeCell ref="J67:J69"/>
  </mergeCells>
  <dataValidations count="1">
    <dataValidation allowBlank="1" showInputMessage="1" showErrorMessage="1" sqref="P3:Q77"/>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AUX!$A$2:$A$8</xm:f>
          </x14:formula1>
          <xm:sqref>O3:O77</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A1"/>
  <sheetViews>
    <sheetView workbookViewId="0"/>
  </sheetViews>
  <sheetFormatPr defaultRowHeight="14.5"/>
  <cols>
    <col min="1" max="1" width="167.81640625" customWidth="1"/>
  </cols>
  <sheetData>
    <row r="1" spans="1:1" ht="120.5" thickBot="1">
      <c r="A1" s="1" t="s">
        <v>2059</v>
      </c>
    </row>
  </sheetData>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filterMode="1"/>
  <dimension ref="A1:Y54"/>
  <sheetViews>
    <sheetView zoomScale="55" zoomScaleNormal="55" workbookViewId="0">
      <pane xSplit="6" ySplit="2" topLeftCell="G3" activePane="bottomRight" state="frozen"/>
      <selection pane="topRight" activeCell="G1" sqref="G1"/>
      <selection pane="bottomLeft" activeCell="A3" sqref="A3"/>
      <selection pane="bottomRight" activeCell="N11" sqref="N11"/>
    </sheetView>
  </sheetViews>
  <sheetFormatPr defaultRowHeight="15" customHeight="1"/>
  <cols>
    <col min="1" max="1" width="6.26953125" customWidth="1"/>
    <col min="2" max="2" width="12.81640625" customWidth="1"/>
    <col min="3" max="3" width="24.453125" bestFit="1" customWidth="1"/>
    <col min="4" max="4" width="13" customWidth="1"/>
    <col min="5" max="5" width="47.7265625" style="6" customWidth="1"/>
    <col min="6" max="6" width="0" style="7" hidden="1" customWidth="1"/>
    <col min="7" max="7" width="4.1796875" style="7" customWidth="1"/>
    <col min="8" max="8" width="37.26953125" bestFit="1" customWidth="1"/>
    <col min="9" max="9" width="18.26953125" bestFit="1" customWidth="1"/>
    <col min="10" max="10" width="30.54296875" bestFit="1" customWidth="1"/>
    <col min="11" max="11" width="4" customWidth="1"/>
    <col min="12" max="12" width="18.54296875" bestFit="1" customWidth="1"/>
    <col min="13" max="13" width="28.7265625" bestFit="1" customWidth="1"/>
    <col min="14" max="16" width="52.453125" customWidth="1"/>
    <col min="17" max="17" width="52.453125" hidden="1" customWidth="1"/>
    <col min="18" max="18" width="35.54296875" hidden="1" customWidth="1"/>
    <col min="19" max="19" width="4" customWidth="1"/>
    <col min="20" max="20" width="36" hidden="1" customWidth="1"/>
    <col min="21" max="21" width="27.54296875" hidden="1" customWidth="1"/>
    <col min="22" max="22" width="35.26953125" hidden="1" customWidth="1"/>
    <col min="23" max="23" width="75.26953125" hidden="1" customWidth="1"/>
    <col min="24" max="24" width="52.453125" hidden="1" customWidth="1"/>
    <col min="25" max="25" width="0" hidden="1" customWidth="1"/>
  </cols>
  <sheetData>
    <row r="1" spans="1:25" ht="19" customHeight="1">
      <c r="A1" s="874" t="s">
        <v>234</v>
      </c>
      <c r="B1" s="875"/>
      <c r="C1" s="875"/>
      <c r="D1" s="875"/>
      <c r="E1" s="876"/>
      <c r="F1" s="84"/>
      <c r="G1" s="85"/>
      <c r="H1" s="877" t="s">
        <v>235</v>
      </c>
      <c r="I1" s="878"/>
      <c r="J1" s="879"/>
      <c r="K1" s="85"/>
      <c r="L1" s="869" t="s">
        <v>236</v>
      </c>
      <c r="M1" s="870"/>
      <c r="N1" s="870"/>
      <c r="O1" s="870"/>
      <c r="P1" s="870"/>
      <c r="Q1" s="432"/>
      <c r="R1" s="339"/>
      <c r="S1" s="153"/>
      <c r="T1" s="886" t="s">
        <v>2060</v>
      </c>
      <c r="U1" s="887"/>
      <c r="V1" s="887"/>
      <c r="W1" s="887"/>
      <c r="X1" s="888"/>
      <c r="Y1" s="129"/>
    </row>
    <row r="2" spans="1:25" s="5" customFormat="1" ht="29">
      <c r="A2" s="91" t="s">
        <v>238</v>
      </c>
      <c r="B2" s="87" t="s">
        <v>239</v>
      </c>
      <c r="C2" s="87" t="s">
        <v>240</v>
      </c>
      <c r="D2" s="87" t="s">
        <v>241</v>
      </c>
      <c r="E2" s="92" t="s">
        <v>242</v>
      </c>
      <c r="F2" s="41" t="s">
        <v>1502</v>
      </c>
      <c r="G2" s="9"/>
      <c r="H2" s="107" t="s">
        <v>244</v>
      </c>
      <c r="I2" s="100" t="s">
        <v>245</v>
      </c>
      <c r="J2" s="108" t="s">
        <v>246</v>
      </c>
      <c r="K2" s="36"/>
      <c r="L2" s="333" t="s">
        <v>247</v>
      </c>
      <c r="M2" s="334" t="s">
        <v>248</v>
      </c>
      <c r="N2" s="121" t="s">
        <v>249</v>
      </c>
      <c r="O2" s="121" t="s">
        <v>1</v>
      </c>
      <c r="P2" s="121" t="s">
        <v>250</v>
      </c>
      <c r="Q2" s="123" t="s">
        <v>251</v>
      </c>
      <c r="R2" s="332" t="s">
        <v>252</v>
      </c>
      <c r="S2" s="9"/>
      <c r="T2" s="284" t="s">
        <v>253</v>
      </c>
      <c r="U2" s="277" t="s">
        <v>254</v>
      </c>
      <c r="V2" s="130" t="s">
        <v>255</v>
      </c>
      <c r="W2" s="130" t="s">
        <v>256</v>
      </c>
      <c r="X2" s="139" t="s">
        <v>257</v>
      </c>
      <c r="Y2" s="9"/>
    </row>
    <row r="3" spans="1:25" ht="14.5" hidden="1" customHeight="1">
      <c r="A3" s="836" t="s">
        <v>1716</v>
      </c>
      <c r="B3" s="835" t="s">
        <v>1834</v>
      </c>
      <c r="C3" s="835" t="s">
        <v>1718</v>
      </c>
      <c r="D3" s="835" t="s">
        <v>459</v>
      </c>
      <c r="E3" s="815" t="s">
        <v>2061</v>
      </c>
      <c r="F3" s="840" t="s">
        <v>2062</v>
      </c>
      <c r="G3" s="10"/>
      <c r="H3" s="872" t="s">
        <v>50</v>
      </c>
      <c r="I3" s="856"/>
      <c r="J3" s="858"/>
      <c r="K3" s="10"/>
      <c r="L3" s="1206" t="s">
        <v>268</v>
      </c>
      <c r="M3" s="1066" t="s">
        <v>1721</v>
      </c>
      <c r="N3" s="824" t="s">
        <v>270</v>
      </c>
      <c r="O3" s="784" t="s">
        <v>5</v>
      </c>
      <c r="P3" s="784" t="str">
        <f>'PDS - Desenvolvimento'!$K$3</f>
        <v>Concluído</v>
      </c>
      <c r="Q3" s="802">
        <v>45608</v>
      </c>
      <c r="R3" s="811" t="s">
        <v>5</v>
      </c>
      <c r="S3" s="10"/>
      <c r="T3" s="1198" t="s">
        <v>271</v>
      </c>
      <c r="U3" s="1199" t="s">
        <v>272</v>
      </c>
      <c r="V3" s="133" t="s">
        <v>273</v>
      </c>
      <c r="W3" s="793" t="s">
        <v>548</v>
      </c>
      <c r="X3" s="855"/>
      <c r="Y3" s="10"/>
    </row>
    <row r="4" spans="1:25" ht="14.5" hidden="1" customHeight="1">
      <c r="A4" s="836"/>
      <c r="B4" s="835"/>
      <c r="C4" s="835"/>
      <c r="D4" s="835"/>
      <c r="E4" s="815"/>
      <c r="F4" s="1095"/>
      <c r="G4" s="10"/>
      <c r="H4" s="821"/>
      <c r="I4" s="857"/>
      <c r="J4" s="859"/>
      <c r="K4" s="10"/>
      <c r="L4" s="1206"/>
      <c r="M4" s="784"/>
      <c r="N4" s="824"/>
      <c r="O4" s="784"/>
      <c r="P4" s="784"/>
      <c r="Q4" s="803"/>
      <c r="R4" s="811"/>
      <c r="S4" s="10"/>
      <c r="T4" s="1198"/>
      <c r="U4" s="1199"/>
      <c r="V4" s="133" t="s">
        <v>276</v>
      </c>
      <c r="W4" s="793"/>
      <c r="X4" s="855"/>
      <c r="Y4" s="10"/>
    </row>
    <row r="5" spans="1:25" ht="14.5" hidden="1" customHeight="1">
      <c r="A5" s="836"/>
      <c r="B5" s="835"/>
      <c r="C5" s="835"/>
      <c r="D5" s="835"/>
      <c r="E5" s="815"/>
      <c r="F5" s="1095"/>
      <c r="G5" s="10"/>
      <c r="H5" s="821"/>
      <c r="I5" s="857"/>
      <c r="J5" s="859"/>
      <c r="K5" s="10"/>
      <c r="L5" s="1206"/>
      <c r="M5" s="784"/>
      <c r="N5" s="824"/>
      <c r="O5" s="784"/>
      <c r="P5" s="784"/>
      <c r="Q5" s="803"/>
      <c r="R5" s="811"/>
      <c r="S5" s="10"/>
      <c r="T5" s="1198"/>
      <c r="U5" s="1199"/>
      <c r="V5" s="133" t="s">
        <v>277</v>
      </c>
      <c r="W5" s="793"/>
      <c r="X5" s="855"/>
      <c r="Y5" s="10"/>
    </row>
    <row r="6" spans="1:25" ht="14.5" hidden="1" customHeight="1">
      <c r="A6" s="836"/>
      <c r="B6" s="835"/>
      <c r="C6" s="835"/>
      <c r="D6" s="835"/>
      <c r="E6" s="815"/>
      <c r="F6" s="837"/>
      <c r="G6" s="10"/>
      <c r="H6" s="821"/>
      <c r="I6" s="857"/>
      <c r="J6" s="859"/>
      <c r="K6" s="10"/>
      <c r="L6" s="1206"/>
      <c r="M6" s="784"/>
      <c r="N6" s="824"/>
      <c r="O6" s="784"/>
      <c r="P6" s="784"/>
      <c r="Q6" s="803"/>
      <c r="R6" s="811"/>
      <c r="S6" s="10"/>
      <c r="T6" s="1198"/>
      <c r="U6" s="1199"/>
      <c r="V6" s="133" t="s">
        <v>278</v>
      </c>
      <c r="W6" s="793"/>
      <c r="X6" s="855"/>
      <c r="Y6" s="10"/>
    </row>
    <row r="7" spans="1:25" ht="51.75" hidden="1" customHeight="1">
      <c r="A7" s="95" t="s">
        <v>1722</v>
      </c>
      <c r="B7" s="89" t="s">
        <v>1723</v>
      </c>
      <c r="C7" s="89" t="s">
        <v>118</v>
      </c>
      <c r="D7" s="89" t="s">
        <v>262</v>
      </c>
      <c r="E7" s="96" t="s">
        <v>2063</v>
      </c>
      <c r="F7" s="13" t="s">
        <v>2064</v>
      </c>
      <c r="G7" s="11"/>
      <c r="H7" s="193" t="s">
        <v>50</v>
      </c>
      <c r="I7" s="189"/>
      <c r="J7" s="194"/>
      <c r="K7" s="11"/>
      <c r="L7" s="95" t="s">
        <v>268</v>
      </c>
      <c r="M7" s="89" t="s">
        <v>1728</v>
      </c>
      <c r="N7" s="349" t="s">
        <v>2065</v>
      </c>
      <c r="O7" s="89" t="s">
        <v>5</v>
      </c>
      <c r="P7" s="89" t="str">
        <f>'PDS - Desenvolvimento'!$K$56</f>
        <v>Concluído</v>
      </c>
      <c r="Q7" s="463">
        <v>45608</v>
      </c>
      <c r="R7" s="326" t="s">
        <v>5</v>
      </c>
      <c r="S7" s="11"/>
      <c r="T7" s="267" t="s">
        <v>1730</v>
      </c>
      <c r="U7" s="264" t="s">
        <v>272</v>
      </c>
      <c r="V7" s="137" t="s">
        <v>1728</v>
      </c>
      <c r="W7" s="264" t="s">
        <v>2066</v>
      </c>
      <c r="X7" s="145"/>
      <c r="Y7" s="11"/>
    </row>
    <row r="8" spans="1:25" ht="39" hidden="1" customHeight="1">
      <c r="A8" s="93" t="s">
        <v>1731</v>
      </c>
      <c r="B8" s="88" t="s">
        <v>1723</v>
      </c>
      <c r="C8" s="88" t="s">
        <v>1732</v>
      </c>
      <c r="D8" s="88" t="s">
        <v>262</v>
      </c>
      <c r="E8" s="94" t="s">
        <v>2067</v>
      </c>
      <c r="F8" s="14" t="s">
        <v>2068</v>
      </c>
      <c r="G8" s="10"/>
      <c r="H8" s="113" t="s">
        <v>50</v>
      </c>
      <c r="I8" s="105"/>
      <c r="J8" s="114"/>
      <c r="K8" s="10"/>
      <c r="L8" s="124" t="s">
        <v>268</v>
      </c>
      <c r="M8" s="122" t="s">
        <v>1736</v>
      </c>
      <c r="N8" s="367" t="s">
        <v>2069</v>
      </c>
      <c r="O8" s="122" t="s">
        <v>5</v>
      </c>
      <c r="P8" s="122" t="str">
        <f>'PDS - Desenvolvimento'!$K$59</f>
        <v>Concluído</v>
      </c>
      <c r="Q8" s="445" t="s">
        <v>2070</v>
      </c>
      <c r="R8" s="318" t="s">
        <v>5</v>
      </c>
      <c r="S8" s="10"/>
      <c r="T8" s="266" t="s">
        <v>565</v>
      </c>
      <c r="U8" s="262" t="s">
        <v>272</v>
      </c>
      <c r="V8" s="287" t="s">
        <v>1738</v>
      </c>
      <c r="W8" s="262" t="s">
        <v>2066</v>
      </c>
      <c r="X8" s="143"/>
      <c r="Y8" s="10"/>
    </row>
    <row r="9" spans="1:25" ht="51.75" hidden="1" customHeight="1">
      <c r="A9" s="95" t="s">
        <v>1739</v>
      </c>
      <c r="B9" s="89" t="s">
        <v>1723</v>
      </c>
      <c r="C9" s="89" t="s">
        <v>1740</v>
      </c>
      <c r="D9" s="89" t="s">
        <v>294</v>
      </c>
      <c r="E9" s="96" t="s">
        <v>2071</v>
      </c>
      <c r="F9" s="13" t="s">
        <v>2072</v>
      </c>
      <c r="G9" s="11"/>
      <c r="H9" s="193" t="s">
        <v>50</v>
      </c>
      <c r="I9" s="189"/>
      <c r="J9" s="194"/>
      <c r="K9" s="11"/>
      <c r="L9" s="95" t="s">
        <v>268</v>
      </c>
      <c r="M9" s="89" t="s">
        <v>2073</v>
      </c>
      <c r="N9" s="349" t="s">
        <v>2074</v>
      </c>
      <c r="O9" s="89" t="s">
        <v>5</v>
      </c>
      <c r="P9" s="89" t="str">
        <f>'PDS - Desenvolvimento'!$K$60</f>
        <v>Concluído</v>
      </c>
      <c r="Q9" s="476" t="s">
        <v>2070</v>
      </c>
      <c r="R9" s="326" t="s">
        <v>5</v>
      </c>
      <c r="S9" s="11"/>
      <c r="T9" s="267" t="s">
        <v>565</v>
      </c>
      <c r="U9" s="264" t="s">
        <v>272</v>
      </c>
      <c r="V9" s="265" t="s">
        <v>1553</v>
      </c>
      <c r="W9" s="264" t="s">
        <v>289</v>
      </c>
      <c r="X9" s="145"/>
      <c r="Y9" s="11"/>
    </row>
    <row r="10" spans="1:25" ht="44.5" hidden="1" customHeight="1">
      <c r="A10" s="93" t="s">
        <v>1747</v>
      </c>
      <c r="B10" s="88" t="s">
        <v>1723</v>
      </c>
      <c r="C10" s="88" t="s">
        <v>1748</v>
      </c>
      <c r="D10" s="88" t="s">
        <v>294</v>
      </c>
      <c r="E10" s="94" t="s">
        <v>2075</v>
      </c>
      <c r="F10" s="14" t="s">
        <v>1750</v>
      </c>
      <c r="G10" s="10"/>
      <c r="H10" s="113" t="s">
        <v>50</v>
      </c>
      <c r="I10" s="105"/>
      <c r="J10" s="114"/>
      <c r="K10" s="10"/>
      <c r="L10" s="305" t="s">
        <v>268</v>
      </c>
      <c r="M10" s="304" t="s">
        <v>2076</v>
      </c>
      <c r="N10" s="365" t="s">
        <v>2077</v>
      </c>
      <c r="O10" s="304" t="s">
        <v>5</v>
      </c>
      <c r="P10" s="304" t="str">
        <f>'PDS - Desenvolvimento'!$K$57</f>
        <v>Concluído</v>
      </c>
      <c r="Q10" s="438"/>
      <c r="R10" s="318" t="s">
        <v>5</v>
      </c>
      <c r="S10" s="10"/>
      <c r="T10" s="266" t="s">
        <v>1391</v>
      </c>
      <c r="U10" s="262"/>
      <c r="V10" s="287" t="s">
        <v>1392</v>
      </c>
      <c r="W10" s="262" t="s">
        <v>2066</v>
      </c>
      <c r="X10" s="143"/>
      <c r="Y10" s="10"/>
    </row>
    <row r="11" spans="1:25" ht="59.25" customHeight="1">
      <c r="A11" s="95" t="s">
        <v>1755</v>
      </c>
      <c r="B11" s="89" t="s">
        <v>1723</v>
      </c>
      <c r="C11" s="89" t="s">
        <v>1756</v>
      </c>
      <c r="D11" s="89" t="s">
        <v>294</v>
      </c>
      <c r="E11" s="96" t="s">
        <v>2078</v>
      </c>
      <c r="F11" s="13" t="s">
        <v>2079</v>
      </c>
      <c r="G11" s="11"/>
      <c r="H11" s="193" t="s">
        <v>50</v>
      </c>
      <c r="I11" s="189"/>
      <c r="J11" s="194"/>
      <c r="K11" s="11"/>
      <c r="L11" s="95" t="s">
        <v>268</v>
      </c>
      <c r="M11" s="89" t="s">
        <v>1761</v>
      </c>
      <c r="N11" s="349" t="s">
        <v>2080</v>
      </c>
      <c r="O11" s="89" t="s">
        <v>5</v>
      </c>
      <c r="P11" s="89" t="str">
        <f>'PDS - Desenvolvimento'!$K$58</f>
        <v>Concluído</v>
      </c>
      <c r="Q11" s="96"/>
      <c r="R11" s="326" t="s">
        <v>5</v>
      </c>
      <c r="S11" s="11"/>
      <c r="T11" s="267" t="s">
        <v>565</v>
      </c>
      <c r="U11" s="264" t="s">
        <v>272</v>
      </c>
      <c r="V11" s="265" t="s">
        <v>1763</v>
      </c>
      <c r="W11" s="264" t="s">
        <v>289</v>
      </c>
      <c r="X11" s="145"/>
      <c r="Y11" s="11"/>
    </row>
    <row r="12" spans="1:25" ht="57.75" hidden="1" customHeight="1">
      <c r="A12" s="93" t="s">
        <v>1764</v>
      </c>
      <c r="B12" s="88" t="s">
        <v>1723</v>
      </c>
      <c r="C12" s="88" t="s">
        <v>1765</v>
      </c>
      <c r="D12" s="88" t="s">
        <v>294</v>
      </c>
      <c r="E12" s="94" t="s">
        <v>2081</v>
      </c>
      <c r="F12" s="14" t="s">
        <v>1767</v>
      </c>
      <c r="G12" s="10"/>
      <c r="H12" s="113" t="s">
        <v>50</v>
      </c>
      <c r="I12" s="105"/>
      <c r="J12" s="114"/>
      <c r="K12" s="10"/>
      <c r="L12" s="305" t="s">
        <v>268</v>
      </c>
      <c r="M12" s="304" t="s">
        <v>1770</v>
      </c>
      <c r="N12" s="365" t="s">
        <v>2082</v>
      </c>
      <c r="O12" s="304" t="s">
        <v>5</v>
      </c>
      <c r="P12" s="304" t="str">
        <f>'PDS - Desenvolvimento'!$K$61</f>
        <v>Concluído</v>
      </c>
      <c r="Q12" s="438"/>
      <c r="R12" s="318" t="s">
        <v>5</v>
      </c>
      <c r="S12" s="10"/>
      <c r="T12" s="266" t="s">
        <v>382</v>
      </c>
      <c r="U12" s="262" t="s">
        <v>272</v>
      </c>
      <c r="V12" s="263" t="s">
        <v>1773</v>
      </c>
      <c r="W12" s="262" t="s">
        <v>2066</v>
      </c>
      <c r="X12" s="143"/>
      <c r="Y12" s="10"/>
    </row>
    <row r="13" spans="1:25" ht="74.5" hidden="1" customHeight="1">
      <c r="A13" s="95" t="s">
        <v>1774</v>
      </c>
      <c r="B13" s="89" t="s">
        <v>2083</v>
      </c>
      <c r="C13" s="89" t="s">
        <v>1780</v>
      </c>
      <c r="D13" s="89" t="s">
        <v>262</v>
      </c>
      <c r="E13" s="96" t="s">
        <v>2084</v>
      </c>
      <c r="F13" s="13" t="s">
        <v>2085</v>
      </c>
      <c r="G13" s="11"/>
      <c r="H13" s="193" t="s">
        <v>50</v>
      </c>
      <c r="I13" s="189"/>
      <c r="J13" s="194"/>
      <c r="K13" s="11"/>
      <c r="L13" s="95" t="s">
        <v>268</v>
      </c>
      <c r="M13" s="89" t="s">
        <v>1782</v>
      </c>
      <c r="N13" s="349" t="s">
        <v>2086</v>
      </c>
      <c r="O13" s="89" t="s">
        <v>5</v>
      </c>
      <c r="P13" s="89" t="str">
        <f>'PDS - Desenvolvimento'!$K$62</f>
        <v>Concluído</v>
      </c>
      <c r="Q13" s="463" t="s">
        <v>2070</v>
      </c>
      <c r="R13" s="326" t="s">
        <v>5</v>
      </c>
      <c r="S13" s="11"/>
      <c r="T13" s="267" t="s">
        <v>382</v>
      </c>
      <c r="U13" s="264" t="s">
        <v>272</v>
      </c>
      <c r="V13" s="265" t="s">
        <v>396</v>
      </c>
      <c r="W13" s="264" t="s">
        <v>289</v>
      </c>
      <c r="X13" s="145"/>
      <c r="Y13" s="11"/>
    </row>
    <row r="14" spans="1:25" ht="123" hidden="1" customHeight="1">
      <c r="A14" s="93" t="s">
        <v>1784</v>
      </c>
      <c r="B14" s="88" t="s">
        <v>2083</v>
      </c>
      <c r="C14" s="88" t="s">
        <v>2087</v>
      </c>
      <c r="D14" s="88" t="s">
        <v>262</v>
      </c>
      <c r="E14" s="94" t="s">
        <v>2088</v>
      </c>
      <c r="F14" s="14" t="s">
        <v>1787</v>
      </c>
      <c r="G14" s="10"/>
      <c r="H14" s="113" t="s">
        <v>50</v>
      </c>
      <c r="I14" s="105"/>
      <c r="J14" s="114"/>
      <c r="K14" s="10"/>
      <c r="L14" s="169" t="s">
        <v>268</v>
      </c>
      <c r="M14" s="166" t="s">
        <v>1790</v>
      </c>
      <c r="N14" s="358" t="s">
        <v>2089</v>
      </c>
      <c r="O14" s="122" t="s">
        <v>5</v>
      </c>
      <c r="P14" s="122" t="str">
        <f>'PDS - Desenvolvimento'!$K$63</f>
        <v>Concluído</v>
      </c>
      <c r="Q14" s="465" t="s">
        <v>2070</v>
      </c>
      <c r="R14" s="318" t="s">
        <v>5</v>
      </c>
      <c r="S14" s="10"/>
      <c r="T14" s="266" t="s">
        <v>565</v>
      </c>
      <c r="U14" s="262" t="s">
        <v>272</v>
      </c>
      <c r="V14" s="263" t="s">
        <v>1792</v>
      </c>
      <c r="W14" s="262" t="s">
        <v>289</v>
      </c>
      <c r="X14" s="143"/>
      <c r="Y14" s="10"/>
    </row>
    <row r="15" spans="1:25" ht="87.65" hidden="1" customHeight="1">
      <c r="A15" s="95" t="s">
        <v>1793</v>
      </c>
      <c r="B15" s="89" t="s">
        <v>1532</v>
      </c>
      <c r="C15" s="89" t="s">
        <v>1794</v>
      </c>
      <c r="D15" s="89" t="s">
        <v>294</v>
      </c>
      <c r="E15" s="96" t="s">
        <v>2090</v>
      </c>
      <c r="F15" s="13" t="s">
        <v>1796</v>
      </c>
      <c r="G15" s="11"/>
      <c r="H15" s="193" t="s">
        <v>50</v>
      </c>
      <c r="I15" s="189"/>
      <c r="J15" s="194"/>
      <c r="K15" s="11"/>
      <c r="L15" s="95" t="s">
        <v>268</v>
      </c>
      <c r="M15" s="89" t="s">
        <v>2091</v>
      </c>
      <c r="N15" s="349" t="s">
        <v>2092</v>
      </c>
      <c r="O15" s="89" t="s">
        <v>5</v>
      </c>
      <c r="P15" s="89" t="str">
        <f>'PDS - Desenvolvimento'!$K$64</f>
        <v>Concluído</v>
      </c>
      <c r="Q15" s="96"/>
      <c r="R15" s="326" t="s">
        <v>5</v>
      </c>
      <c r="S15" s="11"/>
      <c r="T15" s="267" t="s">
        <v>565</v>
      </c>
      <c r="U15" s="264" t="s">
        <v>272</v>
      </c>
      <c r="V15" s="265" t="s">
        <v>1801</v>
      </c>
      <c r="W15" s="264" t="s">
        <v>2066</v>
      </c>
      <c r="X15" s="145"/>
      <c r="Y15" s="11"/>
    </row>
    <row r="16" spans="1:25" ht="75.75" hidden="1" customHeight="1">
      <c r="A16" s="93" t="s">
        <v>1802</v>
      </c>
      <c r="B16" s="88" t="s">
        <v>1011</v>
      </c>
      <c r="C16" s="88" t="s">
        <v>1803</v>
      </c>
      <c r="D16" s="88" t="s">
        <v>294</v>
      </c>
      <c r="E16" s="226" t="s">
        <v>1804</v>
      </c>
      <c r="F16" s="14" t="s">
        <v>1805</v>
      </c>
      <c r="G16" s="10"/>
      <c r="H16" s="113" t="s">
        <v>50</v>
      </c>
      <c r="I16" s="105"/>
      <c r="J16" s="114"/>
      <c r="K16" s="10"/>
      <c r="L16" s="305" t="s">
        <v>268</v>
      </c>
      <c r="M16" s="304" t="s">
        <v>1808</v>
      </c>
      <c r="N16" s="365" t="s">
        <v>2093</v>
      </c>
      <c r="O16" s="304" t="s">
        <v>5</v>
      </c>
      <c r="P16" s="304" t="str">
        <f>'PDS - Desenvolvimento'!$K$74</f>
        <v>Concluído</v>
      </c>
      <c r="Q16" s="474">
        <v>45608</v>
      </c>
      <c r="R16" s="318" t="s">
        <v>5</v>
      </c>
      <c r="S16" s="10"/>
      <c r="T16" s="266" t="s">
        <v>1810</v>
      </c>
      <c r="U16" s="262"/>
      <c r="V16" s="263" t="s">
        <v>1811</v>
      </c>
      <c r="W16" s="262" t="s">
        <v>2066</v>
      </c>
      <c r="X16" s="143"/>
      <c r="Y16" s="10"/>
    </row>
    <row r="17" spans="1:25" ht="71.25" hidden="1" customHeight="1">
      <c r="A17" s="95" t="s">
        <v>1812</v>
      </c>
      <c r="B17" s="89" t="s">
        <v>1011</v>
      </c>
      <c r="C17" s="89" t="s">
        <v>1813</v>
      </c>
      <c r="D17" s="89" t="s">
        <v>1231</v>
      </c>
      <c r="E17" s="96" t="s">
        <v>1814</v>
      </c>
      <c r="F17" s="13" t="s">
        <v>1815</v>
      </c>
      <c r="G17" s="11"/>
      <c r="H17" s="193" t="s">
        <v>50</v>
      </c>
      <c r="I17" s="189"/>
      <c r="J17" s="194"/>
      <c r="K17" s="11"/>
      <c r="L17" s="111" t="s">
        <v>268</v>
      </c>
      <c r="M17" s="103" t="s">
        <v>1819</v>
      </c>
      <c r="N17" s="363" t="s">
        <v>2094</v>
      </c>
      <c r="O17" s="89" t="s">
        <v>5</v>
      </c>
      <c r="P17" s="89" t="str">
        <f>'PDS - Desenvolvimento'!$K$49</f>
        <v>Concluído</v>
      </c>
      <c r="Q17" s="478">
        <v>45608</v>
      </c>
      <c r="R17" s="326" t="s">
        <v>5</v>
      </c>
      <c r="S17" s="11"/>
      <c r="T17" s="267" t="s">
        <v>565</v>
      </c>
      <c r="U17" s="264" t="s">
        <v>272</v>
      </c>
      <c r="V17" s="265" t="s">
        <v>1821</v>
      </c>
      <c r="W17" s="264" t="s">
        <v>2066</v>
      </c>
      <c r="X17" s="145"/>
      <c r="Y17" s="11"/>
    </row>
    <row r="18" spans="1:25" ht="14.5" hidden="1" customHeight="1">
      <c r="A18" s="836" t="s">
        <v>1822</v>
      </c>
      <c r="B18" s="835" t="s">
        <v>1011</v>
      </c>
      <c r="C18" s="835" t="s">
        <v>1823</v>
      </c>
      <c r="D18" s="835" t="s">
        <v>294</v>
      </c>
      <c r="E18" s="815" t="s">
        <v>2095</v>
      </c>
      <c r="F18" s="840" t="s">
        <v>1825</v>
      </c>
      <c r="G18" s="10"/>
      <c r="H18" s="872" t="s">
        <v>50</v>
      </c>
      <c r="I18" s="856"/>
      <c r="J18" s="858"/>
      <c r="K18" s="10"/>
      <c r="L18" s="813" t="s">
        <v>268</v>
      </c>
      <c r="M18" s="784" t="s">
        <v>1828</v>
      </c>
      <c r="N18" s="863" t="s">
        <v>2096</v>
      </c>
      <c r="O18" s="784" t="s">
        <v>5</v>
      </c>
      <c r="P18" s="784" t="str">
        <f>'PDS - Desenvolvimento'!$K$75</f>
        <v>Concluído</v>
      </c>
      <c r="Q18" s="805"/>
      <c r="R18" s="811" t="s">
        <v>5</v>
      </c>
      <c r="S18" s="10"/>
      <c r="T18" s="1198" t="s">
        <v>300</v>
      </c>
      <c r="U18" s="1199" t="s">
        <v>2097</v>
      </c>
      <c r="V18" s="263" t="s">
        <v>302</v>
      </c>
      <c r="W18" s="793" t="s">
        <v>2098</v>
      </c>
      <c r="X18" s="855"/>
      <c r="Y18" s="10"/>
    </row>
    <row r="19" spans="1:25" ht="14.5" hidden="1">
      <c r="A19" s="836"/>
      <c r="B19" s="835"/>
      <c r="C19" s="835"/>
      <c r="D19" s="835"/>
      <c r="E19" s="815"/>
      <c r="F19" s="1095"/>
      <c r="G19" s="10"/>
      <c r="H19" s="821"/>
      <c r="I19" s="857"/>
      <c r="J19" s="859"/>
      <c r="K19" s="10"/>
      <c r="L19" s="813"/>
      <c r="M19" s="784"/>
      <c r="N19" s="863"/>
      <c r="O19" s="784"/>
      <c r="P19" s="784"/>
      <c r="Q19" s="805"/>
      <c r="R19" s="811"/>
      <c r="S19" s="10"/>
      <c r="T19" s="1198"/>
      <c r="U19" s="1199"/>
      <c r="V19" s="263" t="s">
        <v>304</v>
      </c>
      <c r="W19" s="793"/>
      <c r="X19" s="855"/>
      <c r="Y19" s="10"/>
    </row>
    <row r="20" spans="1:25" ht="14.5" hidden="1">
      <c r="A20" s="836"/>
      <c r="B20" s="835"/>
      <c r="C20" s="835"/>
      <c r="D20" s="835"/>
      <c r="E20" s="815"/>
      <c r="F20" s="837"/>
      <c r="G20" s="10"/>
      <c r="H20" s="821"/>
      <c r="I20" s="857"/>
      <c r="J20" s="859"/>
      <c r="K20" s="10"/>
      <c r="L20" s="813"/>
      <c r="M20" s="784"/>
      <c r="N20" s="863"/>
      <c r="O20" s="784"/>
      <c r="P20" s="784"/>
      <c r="Q20" s="805"/>
      <c r="R20" s="811"/>
      <c r="S20" s="10"/>
      <c r="T20" s="266" t="s">
        <v>565</v>
      </c>
      <c r="U20" s="262" t="s">
        <v>272</v>
      </c>
      <c r="V20" s="263" t="s">
        <v>1832</v>
      </c>
      <c r="W20" s="793"/>
      <c r="X20" s="855"/>
      <c r="Y20" s="10"/>
    </row>
    <row r="21" spans="1:25" ht="14.5" hidden="1" customHeight="1">
      <c r="A21" s="899" t="s">
        <v>2099</v>
      </c>
      <c r="B21" s="894" t="s">
        <v>1011</v>
      </c>
      <c r="C21" s="894" t="s">
        <v>2100</v>
      </c>
      <c r="D21" s="894" t="s">
        <v>294</v>
      </c>
      <c r="E21" s="913" t="s">
        <v>2101</v>
      </c>
      <c r="F21" s="1208" t="s">
        <v>2102</v>
      </c>
      <c r="G21" s="10"/>
      <c r="H21" s="1005" t="s">
        <v>50</v>
      </c>
      <c r="I21" s="893"/>
      <c r="J21" s="895"/>
      <c r="K21" s="10"/>
      <c r="L21" s="899" t="s">
        <v>284</v>
      </c>
      <c r="M21" s="894" t="s">
        <v>2103</v>
      </c>
      <c r="N21" s="1205" t="s">
        <v>2104</v>
      </c>
      <c r="O21" s="894" t="s">
        <v>5</v>
      </c>
      <c r="P21" s="894" t="str">
        <f>'PDS - Desenvolvimento'!$K$80</f>
        <v>Concluído</v>
      </c>
      <c r="Q21" s="1202">
        <v>45608</v>
      </c>
      <c r="R21" s="1080" t="s">
        <v>287</v>
      </c>
      <c r="S21" s="10"/>
      <c r="T21" s="899" t="s">
        <v>422</v>
      </c>
      <c r="U21" s="894" t="s">
        <v>422</v>
      </c>
      <c r="V21" s="894" t="s">
        <v>422</v>
      </c>
      <c r="W21" s="894" t="s">
        <v>422</v>
      </c>
      <c r="X21" s="896" t="s">
        <v>422</v>
      </c>
      <c r="Y21" s="10"/>
    </row>
    <row r="22" spans="1:25" ht="14.5" hidden="1">
      <c r="A22" s="899"/>
      <c r="B22" s="894"/>
      <c r="C22" s="894"/>
      <c r="D22" s="894"/>
      <c r="E22" s="913"/>
      <c r="F22" s="1209"/>
      <c r="G22" s="10"/>
      <c r="H22" s="899"/>
      <c r="I22" s="894"/>
      <c r="J22" s="896"/>
      <c r="K22" s="10"/>
      <c r="L22" s="899"/>
      <c r="M22" s="894"/>
      <c r="N22" s="1205"/>
      <c r="O22" s="894"/>
      <c r="P22" s="894"/>
      <c r="Q22" s="913"/>
      <c r="R22" s="1080"/>
      <c r="S22" s="10"/>
      <c r="T22" s="899"/>
      <c r="U22" s="894"/>
      <c r="V22" s="894"/>
      <c r="W22" s="894"/>
      <c r="X22" s="896"/>
      <c r="Y22" s="10"/>
    </row>
    <row r="23" spans="1:25" ht="72.75" hidden="1" customHeight="1">
      <c r="A23" s="899"/>
      <c r="B23" s="894"/>
      <c r="C23" s="894"/>
      <c r="D23" s="894"/>
      <c r="E23" s="913"/>
      <c r="F23" s="1210"/>
      <c r="G23" s="10"/>
      <c r="H23" s="899"/>
      <c r="I23" s="894"/>
      <c r="J23" s="896"/>
      <c r="K23" s="10"/>
      <c r="L23" s="899"/>
      <c r="M23" s="894"/>
      <c r="N23" s="1205"/>
      <c r="O23" s="894"/>
      <c r="P23" s="894"/>
      <c r="Q23" s="913"/>
      <c r="R23" s="1080"/>
      <c r="S23" s="10"/>
      <c r="T23" s="899"/>
      <c r="U23" s="894"/>
      <c r="V23" s="894"/>
      <c r="W23" s="894"/>
      <c r="X23" s="896"/>
      <c r="Y23" s="10"/>
    </row>
    <row r="24" spans="1:25" ht="14.5" hidden="1" customHeight="1">
      <c r="A24" s="1211" t="s">
        <v>2014</v>
      </c>
      <c r="B24" s="1212" t="s">
        <v>1983</v>
      </c>
      <c r="C24" s="1212" t="s">
        <v>2105</v>
      </c>
      <c r="D24" s="1212" t="s">
        <v>294</v>
      </c>
      <c r="E24" s="1213" t="s">
        <v>2016</v>
      </c>
      <c r="F24" s="1214" t="s">
        <v>2017</v>
      </c>
      <c r="G24" s="11"/>
      <c r="H24" s="1014" t="s">
        <v>50</v>
      </c>
      <c r="I24" s="952"/>
      <c r="J24" s="953"/>
      <c r="K24" s="11"/>
      <c r="L24" s="1222" t="s">
        <v>268</v>
      </c>
      <c r="M24" s="997" t="s">
        <v>2020</v>
      </c>
      <c r="N24" s="1010" t="s">
        <v>2106</v>
      </c>
      <c r="O24" s="997" t="s">
        <v>5</v>
      </c>
      <c r="P24" s="997" t="str">
        <f>'PDS - Desenvolvimento'!$K$69</f>
        <v>Concluído</v>
      </c>
      <c r="Q24" s="1203"/>
      <c r="R24" s="1201" t="s">
        <v>5</v>
      </c>
      <c r="S24" s="11"/>
      <c r="T24" s="1207" t="s">
        <v>300</v>
      </c>
      <c r="U24" s="1200" t="s">
        <v>2011</v>
      </c>
      <c r="V24" s="287" t="s">
        <v>302</v>
      </c>
      <c r="W24" s="988" t="s">
        <v>2012</v>
      </c>
      <c r="X24" s="1194"/>
      <c r="Y24" s="11"/>
    </row>
    <row r="25" spans="1:25" ht="14.5" hidden="1">
      <c r="A25" s="1211"/>
      <c r="B25" s="1212"/>
      <c r="C25" s="1212"/>
      <c r="D25" s="1212"/>
      <c r="E25" s="1213"/>
      <c r="F25" s="1215"/>
      <c r="G25" s="11"/>
      <c r="H25" s="990"/>
      <c r="I25" s="1217"/>
      <c r="J25" s="1218"/>
      <c r="K25" s="11"/>
      <c r="L25" s="995"/>
      <c r="M25" s="997"/>
      <c r="N25" s="1010"/>
      <c r="O25" s="997"/>
      <c r="P25" s="997"/>
      <c r="Q25" s="1203"/>
      <c r="R25" s="1201"/>
      <c r="S25" s="11"/>
      <c r="T25" s="1207"/>
      <c r="U25" s="1200"/>
      <c r="V25" s="287" t="s">
        <v>304</v>
      </c>
      <c r="W25" s="988"/>
      <c r="X25" s="1194"/>
      <c r="Y25" s="11"/>
    </row>
    <row r="26" spans="1:25" ht="14.5" hidden="1">
      <c r="A26" s="1211"/>
      <c r="B26" s="1212"/>
      <c r="C26" s="1212"/>
      <c r="D26" s="1212"/>
      <c r="E26" s="1213"/>
      <c r="F26" s="1216"/>
      <c r="G26" s="11"/>
      <c r="H26" s="990"/>
      <c r="I26" s="1217"/>
      <c r="J26" s="1218"/>
      <c r="K26" s="11"/>
      <c r="L26" s="995"/>
      <c r="M26" s="997"/>
      <c r="N26" s="1010"/>
      <c r="O26" s="997"/>
      <c r="P26" s="997"/>
      <c r="Q26" s="1203"/>
      <c r="R26" s="1201"/>
      <c r="S26" s="11"/>
      <c r="T26" s="291" t="s">
        <v>1730</v>
      </c>
      <c r="U26" s="288" t="s">
        <v>272</v>
      </c>
      <c r="V26" s="287" t="s">
        <v>2013</v>
      </c>
      <c r="W26" s="988"/>
      <c r="X26" s="1194"/>
      <c r="Y26" s="11"/>
    </row>
    <row r="27" spans="1:25" ht="14.5" hidden="1" customHeight="1">
      <c r="A27" s="818" t="s">
        <v>2032</v>
      </c>
      <c r="B27" s="785" t="s">
        <v>1683</v>
      </c>
      <c r="C27" s="785" t="s">
        <v>2033</v>
      </c>
      <c r="D27" s="785" t="s">
        <v>294</v>
      </c>
      <c r="E27" s="845" t="s">
        <v>2107</v>
      </c>
      <c r="F27" s="1219" t="s">
        <v>2035</v>
      </c>
      <c r="G27" s="11"/>
      <c r="H27" s="817" t="s">
        <v>50</v>
      </c>
      <c r="I27" s="860"/>
      <c r="J27" s="861"/>
      <c r="K27" s="11"/>
      <c r="L27" s="818" t="s">
        <v>268</v>
      </c>
      <c r="M27" s="785" t="s">
        <v>841</v>
      </c>
      <c r="N27" s="1134" t="s">
        <v>2036</v>
      </c>
      <c r="O27" s="785" t="s">
        <v>5</v>
      </c>
      <c r="P27" s="785" t="str">
        <f>'PDS - Desenvolvimento'!$K$26</f>
        <v>Concluído</v>
      </c>
      <c r="Q27" s="845" t="s">
        <v>2037</v>
      </c>
      <c r="R27" s="832" t="s">
        <v>5</v>
      </c>
      <c r="S27" s="11"/>
      <c r="T27" s="1195" t="s">
        <v>300</v>
      </c>
      <c r="U27" s="1204" t="s">
        <v>2038</v>
      </c>
      <c r="V27" s="290" t="s">
        <v>302</v>
      </c>
      <c r="W27" s="833" t="s">
        <v>844</v>
      </c>
      <c r="X27" s="862"/>
      <c r="Y27" s="11"/>
    </row>
    <row r="28" spans="1:25" ht="14.5" hidden="1">
      <c r="A28" s="818"/>
      <c r="B28" s="785"/>
      <c r="C28" s="785"/>
      <c r="D28" s="785"/>
      <c r="E28" s="845"/>
      <c r="F28" s="1220"/>
      <c r="G28" s="11"/>
      <c r="H28" s="818"/>
      <c r="I28" s="785"/>
      <c r="J28" s="862"/>
      <c r="K28" s="11"/>
      <c r="L28" s="818"/>
      <c r="M28" s="785"/>
      <c r="N28" s="1134"/>
      <c r="O28" s="785"/>
      <c r="P28" s="785"/>
      <c r="Q28" s="845"/>
      <c r="R28" s="832"/>
      <c r="S28" s="11"/>
      <c r="T28" s="1195"/>
      <c r="U28" s="1204"/>
      <c r="V28" s="290" t="s">
        <v>304</v>
      </c>
      <c r="W28" s="833"/>
      <c r="X28" s="862"/>
      <c r="Y28" s="11"/>
    </row>
    <row r="29" spans="1:25" ht="14.5" hidden="1">
      <c r="A29" s="818"/>
      <c r="B29" s="785"/>
      <c r="C29" s="785"/>
      <c r="D29" s="785"/>
      <c r="E29" s="845"/>
      <c r="F29" s="1221"/>
      <c r="G29" s="11"/>
      <c r="H29" s="818"/>
      <c r="I29" s="785"/>
      <c r="J29" s="862"/>
      <c r="K29" s="11"/>
      <c r="L29" s="818"/>
      <c r="M29" s="785"/>
      <c r="N29" s="1134"/>
      <c r="O29" s="785"/>
      <c r="P29" s="785"/>
      <c r="Q29" s="845"/>
      <c r="R29" s="832"/>
      <c r="S29" s="11"/>
      <c r="T29" s="292" t="s">
        <v>317</v>
      </c>
      <c r="U29" s="289" t="s">
        <v>272</v>
      </c>
      <c r="V29" s="290" t="s">
        <v>845</v>
      </c>
      <c r="W29" s="833"/>
      <c r="X29" s="862"/>
      <c r="Y29" s="11"/>
    </row>
    <row r="30" spans="1:25" ht="14.5" hidden="1" customHeight="1">
      <c r="A30" s="1211" t="s">
        <v>2046</v>
      </c>
      <c r="B30" s="1212" t="s">
        <v>1683</v>
      </c>
      <c r="C30" s="1212" t="s">
        <v>2108</v>
      </c>
      <c r="D30" s="1212" t="s">
        <v>294</v>
      </c>
      <c r="E30" s="1213" t="s">
        <v>2048</v>
      </c>
      <c r="F30" s="1214" t="s">
        <v>2049</v>
      </c>
      <c r="G30" s="11"/>
      <c r="H30" s="1014" t="s">
        <v>50</v>
      </c>
      <c r="I30" s="952"/>
      <c r="J30" s="953"/>
      <c r="K30" s="11"/>
      <c r="L30" s="995" t="s">
        <v>268</v>
      </c>
      <c r="M30" s="997" t="s">
        <v>1007</v>
      </c>
      <c r="N30" s="1010" t="s">
        <v>2109</v>
      </c>
      <c r="O30" s="997" t="s">
        <v>5</v>
      </c>
      <c r="P30" s="997" t="str">
        <f>'PDS - Desenvolvimento'!$K$67</f>
        <v>Concluído</v>
      </c>
      <c r="Q30" s="1099"/>
      <c r="R30" s="1201" t="s">
        <v>5</v>
      </c>
      <c r="S30" s="11"/>
      <c r="T30" s="1207" t="s">
        <v>300</v>
      </c>
      <c r="U30" s="1200" t="s">
        <v>2053</v>
      </c>
      <c r="V30" s="287" t="s">
        <v>302</v>
      </c>
      <c r="W30" s="988" t="s">
        <v>844</v>
      </c>
      <c r="X30" s="1194"/>
      <c r="Y30" s="11"/>
    </row>
    <row r="31" spans="1:25" ht="14.5" hidden="1">
      <c r="A31" s="1211"/>
      <c r="B31" s="1212"/>
      <c r="C31" s="1212"/>
      <c r="D31" s="1212"/>
      <c r="E31" s="1213"/>
      <c r="F31" s="1215"/>
      <c r="G31" s="11"/>
      <c r="H31" s="990"/>
      <c r="I31" s="1217"/>
      <c r="J31" s="1218"/>
      <c r="K31" s="11"/>
      <c r="L31" s="995"/>
      <c r="M31" s="997"/>
      <c r="N31" s="1010"/>
      <c r="O31" s="997"/>
      <c r="P31" s="997"/>
      <c r="Q31" s="1099"/>
      <c r="R31" s="1201"/>
      <c r="S31" s="11"/>
      <c r="T31" s="1207"/>
      <c r="U31" s="1200"/>
      <c r="V31" s="287" t="s">
        <v>304</v>
      </c>
      <c r="W31" s="988"/>
      <c r="X31" s="1194"/>
      <c r="Y31" s="11"/>
    </row>
    <row r="32" spans="1:25" ht="14.5" hidden="1">
      <c r="A32" s="1211"/>
      <c r="B32" s="1212"/>
      <c r="C32" s="1212"/>
      <c r="D32" s="1212"/>
      <c r="E32" s="1213"/>
      <c r="F32" s="1216"/>
      <c r="G32" s="11"/>
      <c r="H32" s="990"/>
      <c r="I32" s="1217"/>
      <c r="J32" s="1218"/>
      <c r="K32" s="11"/>
      <c r="L32" s="995"/>
      <c r="M32" s="997"/>
      <c r="N32" s="1010"/>
      <c r="O32" s="997"/>
      <c r="P32" s="997"/>
      <c r="Q32" s="1099"/>
      <c r="R32" s="1201"/>
      <c r="S32" s="11"/>
      <c r="T32" s="291" t="s">
        <v>317</v>
      </c>
      <c r="U32" s="288" t="s">
        <v>272</v>
      </c>
      <c r="V32" s="287" t="s">
        <v>845</v>
      </c>
      <c r="W32" s="988"/>
      <c r="X32" s="1194"/>
      <c r="Y32" s="11"/>
    </row>
    <row r="33" spans="1:25" ht="14.5" hidden="1" customHeight="1">
      <c r="A33" s="818" t="s">
        <v>319</v>
      </c>
      <c r="B33" s="785" t="s">
        <v>320</v>
      </c>
      <c r="C33" s="785" t="s">
        <v>321</v>
      </c>
      <c r="D33" s="785" t="s">
        <v>459</v>
      </c>
      <c r="E33" s="845" t="s">
        <v>2058</v>
      </c>
      <c r="F33" s="1219" t="s">
        <v>1714</v>
      </c>
      <c r="G33" s="11"/>
      <c r="H33" s="817" t="s">
        <v>50</v>
      </c>
      <c r="I33" s="860"/>
      <c r="J33" s="861"/>
      <c r="K33" s="11"/>
      <c r="L33" s="818" t="s">
        <v>268</v>
      </c>
      <c r="M33" s="785" t="s">
        <v>327</v>
      </c>
      <c r="N33" s="833" t="s">
        <v>328</v>
      </c>
      <c r="O33" s="785" t="s">
        <v>5</v>
      </c>
      <c r="P33" s="785" t="str">
        <f>'PDS - Desenvolvimento'!$K$36</f>
        <v>Concluído</v>
      </c>
      <c r="Q33" s="1197">
        <v>45608</v>
      </c>
      <c r="R33" s="832" t="s">
        <v>5</v>
      </c>
      <c r="S33" s="11"/>
      <c r="T33" s="1195" t="s">
        <v>305</v>
      </c>
      <c r="U33" s="833" t="s">
        <v>306</v>
      </c>
      <c r="V33" s="137" t="s">
        <v>329</v>
      </c>
      <c r="W33" s="833" t="s">
        <v>330</v>
      </c>
      <c r="X33" s="845" t="s">
        <v>331</v>
      </c>
      <c r="Y33" s="11"/>
    </row>
    <row r="34" spans="1:25" ht="14.5" hidden="1" customHeight="1">
      <c r="A34" s="818"/>
      <c r="B34" s="785"/>
      <c r="C34" s="785"/>
      <c r="D34" s="785"/>
      <c r="E34" s="845"/>
      <c r="F34" s="1220"/>
      <c r="G34" s="11"/>
      <c r="H34" s="818"/>
      <c r="I34" s="785"/>
      <c r="J34" s="862"/>
      <c r="K34" s="11"/>
      <c r="L34" s="818"/>
      <c r="M34" s="785"/>
      <c r="N34" s="833"/>
      <c r="O34" s="785"/>
      <c r="P34" s="785"/>
      <c r="Q34" s="845"/>
      <c r="R34" s="832"/>
      <c r="S34" s="11"/>
      <c r="T34" s="1195"/>
      <c r="U34" s="833"/>
      <c r="V34" s="137" t="s">
        <v>333</v>
      </c>
      <c r="W34" s="833"/>
      <c r="X34" s="845"/>
      <c r="Y34" s="11"/>
    </row>
    <row r="35" spans="1:25" ht="14.5" hidden="1">
      <c r="A35" s="822"/>
      <c r="B35" s="1176"/>
      <c r="C35" s="1176"/>
      <c r="D35" s="1176"/>
      <c r="E35" s="846"/>
      <c r="F35" s="1223"/>
      <c r="G35" s="11"/>
      <c r="H35" s="822"/>
      <c r="I35" s="1176"/>
      <c r="J35" s="1193"/>
      <c r="K35" s="11"/>
      <c r="L35" s="822"/>
      <c r="M35" s="1176"/>
      <c r="N35" s="834"/>
      <c r="O35" s="1176"/>
      <c r="P35" s="1176"/>
      <c r="Q35" s="846"/>
      <c r="R35" s="1177"/>
      <c r="S35" s="11"/>
      <c r="T35" s="1196"/>
      <c r="U35" s="834"/>
      <c r="V35" s="211" t="s">
        <v>334</v>
      </c>
      <c r="W35" s="834"/>
      <c r="X35" s="846"/>
      <c r="Y35" s="11"/>
    </row>
    <row r="38" spans="1:25" ht="14.5" customHeight="1"/>
    <row r="41" spans="1:25" ht="14.5" customHeight="1"/>
    <row r="45" spans="1:25" ht="14.5" customHeight="1"/>
    <row r="51" ht="14.5" customHeight="1"/>
    <row r="54" ht="14.5" customHeight="1"/>
  </sheetData>
  <autoFilter ref="A2:Y35">
    <filterColumn colId="12">
      <filters>
        <filter val="issuer_esa_2010"/>
      </filters>
    </filterColumn>
  </autoFilter>
  <mergeCells count="145">
    <mergeCell ref="A1:E1"/>
    <mergeCell ref="H1:J1"/>
    <mergeCell ref="A27:A29"/>
    <mergeCell ref="B27:B29"/>
    <mergeCell ref="C27:C29"/>
    <mergeCell ref="D27:D29"/>
    <mergeCell ref="E27:E29"/>
    <mergeCell ref="F24:F26"/>
    <mergeCell ref="A21:A23"/>
    <mergeCell ref="B21:B23"/>
    <mergeCell ref="C21:C23"/>
    <mergeCell ref="A24:A26"/>
    <mergeCell ref="B24:B26"/>
    <mergeCell ref="C24:C26"/>
    <mergeCell ref="I21:I23"/>
    <mergeCell ref="J21:J23"/>
    <mergeCell ref="I24:I26"/>
    <mergeCell ref="J24:J26"/>
    <mergeCell ref="I27:I29"/>
    <mergeCell ref="J27:J29"/>
    <mergeCell ref="J18:J20"/>
    <mergeCell ref="D24:D26"/>
    <mergeCell ref="F3:F6"/>
    <mergeCell ref="D21:D23"/>
    <mergeCell ref="A33:A35"/>
    <mergeCell ref="B33:B35"/>
    <mergeCell ref="C33:C35"/>
    <mergeCell ref="D33:D35"/>
    <mergeCell ref="E33:E35"/>
    <mergeCell ref="F33:F35"/>
    <mergeCell ref="H33:H35"/>
    <mergeCell ref="R33:R35"/>
    <mergeCell ref="O3:O6"/>
    <mergeCell ref="O18:O20"/>
    <mergeCell ref="O21:O23"/>
    <mergeCell ref="O24:O26"/>
    <mergeCell ref="O27:O29"/>
    <mergeCell ref="O30:O32"/>
    <mergeCell ref="O33:O35"/>
    <mergeCell ref="I33:I35"/>
    <mergeCell ref="J33:J35"/>
    <mergeCell ref="R3:R6"/>
    <mergeCell ref="R18:R20"/>
    <mergeCell ref="R21:R23"/>
    <mergeCell ref="R24:R26"/>
    <mergeCell ref="R27:R29"/>
    <mergeCell ref="M3:M6"/>
    <mergeCell ref="E24:E26"/>
    <mergeCell ref="E21:E23"/>
    <mergeCell ref="H24:H26"/>
    <mergeCell ref="T24:T25"/>
    <mergeCell ref="F21:F23"/>
    <mergeCell ref="H21:H23"/>
    <mergeCell ref="A30:A32"/>
    <mergeCell ref="B30:B32"/>
    <mergeCell ref="C30:C32"/>
    <mergeCell ref="D30:D32"/>
    <mergeCell ref="E30:E32"/>
    <mergeCell ref="F30:F32"/>
    <mergeCell ref="I30:I32"/>
    <mergeCell ref="J30:J32"/>
    <mergeCell ref="N30:N32"/>
    <mergeCell ref="H30:H32"/>
    <mergeCell ref="M27:M29"/>
    <mergeCell ref="M30:M32"/>
    <mergeCell ref="F27:F29"/>
    <mergeCell ref="T30:T31"/>
    <mergeCell ref="M21:M23"/>
    <mergeCell ref="M24:M26"/>
    <mergeCell ref="H27:H29"/>
    <mergeCell ref="T27:T28"/>
    <mergeCell ref="L24:L26"/>
    <mergeCell ref="H3:H6"/>
    <mergeCell ref="N18:N20"/>
    <mergeCell ref="I3:I6"/>
    <mergeCell ref="J3:J6"/>
    <mergeCell ref="H18:H20"/>
    <mergeCell ref="T18:T19"/>
    <mergeCell ref="A3:A6"/>
    <mergeCell ref="B3:B6"/>
    <mergeCell ref="C3:C6"/>
    <mergeCell ref="D3:D6"/>
    <mergeCell ref="E3:E6"/>
    <mergeCell ref="A18:A20"/>
    <mergeCell ref="B18:B20"/>
    <mergeCell ref="C18:C20"/>
    <mergeCell ref="D18:D20"/>
    <mergeCell ref="E18:E20"/>
    <mergeCell ref="M18:M20"/>
    <mergeCell ref="F18:F20"/>
    <mergeCell ref="I18:I20"/>
    <mergeCell ref="Q3:Q6"/>
    <mergeCell ref="Q18:Q20"/>
    <mergeCell ref="T1:X1"/>
    <mergeCell ref="X3:X6"/>
    <mergeCell ref="X24:X26"/>
    <mergeCell ref="U27:U28"/>
    <mergeCell ref="W27:W29"/>
    <mergeCell ref="X27:X29"/>
    <mergeCell ref="N27:N29"/>
    <mergeCell ref="N21:N23"/>
    <mergeCell ref="T21:T23"/>
    <mergeCell ref="U21:U23"/>
    <mergeCell ref="V21:V23"/>
    <mergeCell ref="N24:N26"/>
    <mergeCell ref="U24:U25"/>
    <mergeCell ref="W21:W23"/>
    <mergeCell ref="X21:X23"/>
    <mergeCell ref="W24:W26"/>
    <mergeCell ref="W3:W6"/>
    <mergeCell ref="N3:N6"/>
    <mergeCell ref="W18:W20"/>
    <mergeCell ref="U18:U19"/>
    <mergeCell ref="L1:P1"/>
    <mergeCell ref="L3:L6"/>
    <mergeCell ref="L18:L20"/>
    <mergeCell ref="L21:L23"/>
    <mergeCell ref="X18:X20"/>
    <mergeCell ref="T3:T6"/>
    <mergeCell ref="U3:U6"/>
    <mergeCell ref="U30:U31"/>
    <mergeCell ref="W30:W32"/>
    <mergeCell ref="R30:R32"/>
    <mergeCell ref="P3:P6"/>
    <mergeCell ref="P18:P20"/>
    <mergeCell ref="P21:P23"/>
    <mergeCell ref="P24:P26"/>
    <mergeCell ref="P27:P29"/>
    <mergeCell ref="P30:P32"/>
    <mergeCell ref="Q21:Q23"/>
    <mergeCell ref="Q24:Q26"/>
    <mergeCell ref="Q27:Q29"/>
    <mergeCell ref="Q30:Q32"/>
    <mergeCell ref="L27:L29"/>
    <mergeCell ref="L30:L32"/>
    <mergeCell ref="L33:L35"/>
    <mergeCell ref="M33:M35"/>
    <mergeCell ref="X30:X32"/>
    <mergeCell ref="W33:W35"/>
    <mergeCell ref="X33:X35"/>
    <mergeCell ref="U33:U35"/>
    <mergeCell ref="N33:N35"/>
    <mergeCell ref="T33:T35"/>
    <mergeCell ref="P33:P35"/>
    <mergeCell ref="Q33:Q35"/>
  </mergeCells>
  <dataValidations disablePrompts="1" count="1">
    <dataValidation allowBlank="1" showInputMessage="1" showErrorMessage="1" sqref="P3:Q35"/>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AUX!$A$2:$A$8</xm:f>
          </x14:formula1>
          <xm:sqref>O10:O12 O21:O23 O16</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dimension ref="A1"/>
  <sheetViews>
    <sheetView workbookViewId="0"/>
  </sheetViews>
  <sheetFormatPr defaultRowHeight="14.5"/>
  <cols>
    <col min="1" max="1" width="167.81640625" customWidth="1"/>
  </cols>
  <sheetData>
    <row r="1" spans="1:1" ht="120.5" thickBot="1">
      <c r="A1" s="1" t="s">
        <v>2110</v>
      </c>
    </row>
  </sheetData>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dimension ref="A1:U21"/>
  <sheetViews>
    <sheetView zoomScale="80" zoomScaleNormal="80" workbookViewId="0">
      <pane xSplit="5" ySplit="2" topLeftCell="F3" activePane="bottomRight" state="frozen"/>
      <selection pane="topRight" activeCell="F1" sqref="F1"/>
      <selection pane="bottomLeft" activeCell="A3" sqref="A3"/>
      <selection pane="bottomRight" activeCell="D5" sqref="D5"/>
    </sheetView>
  </sheetViews>
  <sheetFormatPr defaultColWidth="9.1796875" defaultRowHeight="14.5"/>
  <cols>
    <col min="1" max="1" width="7.26953125" bestFit="1" customWidth="1"/>
    <col min="2" max="2" width="18.54296875" bestFit="1" customWidth="1"/>
    <col min="3" max="3" width="44.81640625" bestFit="1" customWidth="1"/>
    <col min="4" max="4" width="17.81640625" bestFit="1" customWidth="1"/>
    <col min="5" max="5" width="84" customWidth="1"/>
    <col min="6" max="6" width="3.54296875" customWidth="1"/>
    <col min="7" max="7" width="4" hidden="1" customWidth="1"/>
    <col min="8" max="8" width="29.26953125" customWidth="1"/>
    <col min="9" max="9" width="13.7265625" bestFit="1" customWidth="1"/>
    <col min="10" max="10" width="42" customWidth="1"/>
    <col min="11" max="11" width="4" customWidth="1"/>
    <col min="12" max="12" width="47.26953125" bestFit="1" customWidth="1"/>
    <col min="13" max="13" width="26.7265625" bestFit="1" customWidth="1"/>
    <col min="14" max="14" width="26.7265625" customWidth="1"/>
    <col min="15" max="15" width="4" customWidth="1"/>
    <col min="16" max="16" width="26.7265625" hidden="1" customWidth="1"/>
    <col min="17" max="17" width="8.7265625" hidden="1" customWidth="1"/>
    <col min="18" max="18" width="9.54296875" hidden="1" customWidth="1"/>
    <col min="19" max="19" width="31.7265625" hidden="1" customWidth="1"/>
    <col min="20" max="20" width="15.26953125" hidden="1" customWidth="1"/>
    <col min="21" max="21" width="0" hidden="1" customWidth="1"/>
  </cols>
  <sheetData>
    <row r="1" spans="1:21" ht="19" customHeight="1">
      <c r="A1" s="874" t="s">
        <v>234</v>
      </c>
      <c r="B1" s="875"/>
      <c r="C1" s="875"/>
      <c r="D1" s="875"/>
      <c r="E1" s="876"/>
      <c r="F1" s="84"/>
      <c r="G1" s="85"/>
      <c r="H1" s="877" t="s">
        <v>235</v>
      </c>
      <c r="I1" s="878"/>
      <c r="J1" s="879"/>
      <c r="K1" s="85"/>
      <c r="L1" s="1224" t="s">
        <v>236</v>
      </c>
      <c r="M1" s="1225"/>
      <c r="N1" s="1226"/>
      <c r="O1" s="153"/>
      <c r="P1" s="886" t="s">
        <v>237</v>
      </c>
      <c r="Q1" s="887"/>
      <c r="R1" s="887"/>
      <c r="S1" s="887"/>
      <c r="T1" s="888"/>
      <c r="U1" s="129"/>
    </row>
    <row r="2" spans="1:21" ht="18.5">
      <c r="A2" s="91" t="s">
        <v>238</v>
      </c>
      <c r="B2" s="87" t="s">
        <v>239</v>
      </c>
      <c r="C2" s="87" t="s">
        <v>240</v>
      </c>
      <c r="D2" s="87" t="s">
        <v>241</v>
      </c>
      <c r="E2" s="92" t="s">
        <v>242</v>
      </c>
      <c r="F2" s="9"/>
      <c r="G2" s="9"/>
      <c r="H2" s="107" t="s">
        <v>244</v>
      </c>
      <c r="I2" s="100" t="s">
        <v>245</v>
      </c>
      <c r="J2" s="108" t="s">
        <v>246</v>
      </c>
      <c r="K2" s="9"/>
      <c r="L2" s="419" t="s">
        <v>249</v>
      </c>
      <c r="M2" s="419" t="s">
        <v>1</v>
      </c>
      <c r="N2" s="418" t="s">
        <v>250</v>
      </c>
      <c r="O2" s="153"/>
      <c r="P2" s="138" t="s">
        <v>253</v>
      </c>
      <c r="Q2" s="130" t="s">
        <v>254</v>
      </c>
      <c r="R2" s="130" t="s">
        <v>255</v>
      </c>
      <c r="S2" s="130" t="s">
        <v>256</v>
      </c>
      <c r="T2" s="139" t="s">
        <v>257</v>
      </c>
    </row>
    <row r="3" spans="1:21" ht="18.5">
      <c r="A3" s="294" t="s">
        <v>2111</v>
      </c>
      <c r="B3" s="293" t="s">
        <v>2112</v>
      </c>
      <c r="C3" s="88" t="s">
        <v>2113</v>
      </c>
      <c r="D3" s="293" t="s">
        <v>262</v>
      </c>
      <c r="E3" s="94" t="s">
        <v>2114</v>
      </c>
      <c r="F3" s="10"/>
      <c r="G3" s="10"/>
      <c r="H3" s="113" t="s">
        <v>50</v>
      </c>
      <c r="I3" s="105"/>
      <c r="J3" s="114"/>
      <c r="K3" s="10"/>
      <c r="L3" s="417" t="s">
        <v>2115</v>
      </c>
      <c r="M3" s="369" t="s">
        <v>5</v>
      </c>
      <c r="N3" s="420" t="s">
        <v>5</v>
      </c>
      <c r="O3" s="153"/>
      <c r="P3" s="266"/>
      <c r="Q3" s="262"/>
      <c r="R3" s="287"/>
      <c r="S3" s="262"/>
      <c r="T3" s="143"/>
    </row>
    <row r="4" spans="1:21" s="49" customFormat="1">
      <c r="A4" s="222" t="s">
        <v>2116</v>
      </c>
      <c r="B4" s="206" t="s">
        <v>2112</v>
      </c>
      <c r="C4" s="137" t="s">
        <v>2117</v>
      </c>
      <c r="D4" s="206" t="s">
        <v>262</v>
      </c>
      <c r="E4" s="203" t="s">
        <v>2118</v>
      </c>
      <c r="F4" s="10"/>
      <c r="G4" s="10"/>
      <c r="H4" s="231" t="s">
        <v>50</v>
      </c>
      <c r="I4" s="188"/>
      <c r="J4" s="191"/>
      <c r="K4" s="10"/>
      <c r="L4" s="421" t="s">
        <v>2119</v>
      </c>
      <c r="M4" s="89" t="s">
        <v>5</v>
      </c>
      <c r="N4" s="422" t="s">
        <v>5</v>
      </c>
      <c r="O4" s="9"/>
      <c r="P4" s="275"/>
      <c r="Q4" s="217"/>
      <c r="R4" s="290"/>
      <c r="S4" s="217"/>
      <c r="T4" s="192"/>
    </row>
    <row r="5" spans="1:21">
      <c r="A5" s="294" t="s">
        <v>2120</v>
      </c>
      <c r="B5" s="293" t="s">
        <v>2112</v>
      </c>
      <c r="C5" s="88" t="s">
        <v>2121</v>
      </c>
      <c r="D5" s="293" t="s">
        <v>459</v>
      </c>
      <c r="E5" s="94" t="s">
        <v>2122</v>
      </c>
      <c r="F5" s="10"/>
      <c r="G5" s="10"/>
      <c r="H5" s="113" t="s">
        <v>50</v>
      </c>
      <c r="I5" s="105"/>
      <c r="J5" s="114"/>
      <c r="K5" s="10"/>
      <c r="L5" s="416" t="s">
        <v>2119</v>
      </c>
      <c r="M5" s="122" t="s">
        <v>5</v>
      </c>
      <c r="N5" s="420" t="s">
        <v>5</v>
      </c>
      <c r="O5" s="10"/>
      <c r="P5" s="266"/>
      <c r="Q5" s="262"/>
      <c r="R5" s="287"/>
      <c r="S5" s="262"/>
      <c r="T5" s="143"/>
    </row>
    <row r="6" spans="1:21" s="49" customFormat="1">
      <c r="A6" s="222" t="s">
        <v>2123</v>
      </c>
      <c r="B6" s="206" t="s">
        <v>2112</v>
      </c>
      <c r="C6" s="137" t="s">
        <v>2124</v>
      </c>
      <c r="D6" s="206" t="s">
        <v>459</v>
      </c>
      <c r="E6" s="203" t="s">
        <v>2125</v>
      </c>
      <c r="F6" s="10"/>
      <c r="G6" s="10"/>
      <c r="H6" s="231" t="s">
        <v>50</v>
      </c>
      <c r="I6" s="188"/>
      <c r="J6" s="191"/>
      <c r="K6" s="10"/>
      <c r="L6" s="421" t="s">
        <v>2119</v>
      </c>
      <c r="M6" s="89" t="s">
        <v>5</v>
      </c>
      <c r="N6" s="422" t="s">
        <v>5</v>
      </c>
      <c r="O6" s="10"/>
      <c r="P6" s="275"/>
      <c r="Q6" s="217"/>
      <c r="R6" s="290"/>
      <c r="S6" s="217"/>
      <c r="T6" s="192"/>
    </row>
    <row r="7" spans="1:21" ht="72.5">
      <c r="A7" s="294" t="s">
        <v>2126</v>
      </c>
      <c r="B7" s="293" t="s">
        <v>2112</v>
      </c>
      <c r="C7" s="88" t="s">
        <v>2127</v>
      </c>
      <c r="D7" s="293" t="s">
        <v>294</v>
      </c>
      <c r="E7" s="94" t="s">
        <v>2128</v>
      </c>
      <c r="F7" s="10"/>
      <c r="G7" s="10"/>
      <c r="H7" s="113" t="s">
        <v>50</v>
      </c>
      <c r="I7" s="105"/>
      <c r="J7" s="114"/>
      <c r="K7" s="10"/>
      <c r="L7" s="416" t="s">
        <v>2119</v>
      </c>
      <c r="M7" s="122" t="s">
        <v>5</v>
      </c>
      <c r="N7" s="420" t="s">
        <v>5</v>
      </c>
      <c r="O7" s="10"/>
      <c r="P7" s="266"/>
      <c r="Q7" s="262"/>
      <c r="R7" s="287"/>
      <c r="S7" s="262"/>
      <c r="T7" s="143"/>
    </row>
    <row r="8" spans="1:21" s="49" customFormat="1">
      <c r="A8" s="222" t="s">
        <v>2129</v>
      </c>
      <c r="B8" s="206" t="s">
        <v>2130</v>
      </c>
      <c r="C8" s="137" t="s">
        <v>2131</v>
      </c>
      <c r="D8" s="206" t="s">
        <v>459</v>
      </c>
      <c r="E8" s="203" t="s">
        <v>2132</v>
      </c>
      <c r="F8" s="10"/>
      <c r="G8" s="10"/>
      <c r="H8" s="231" t="s">
        <v>50</v>
      </c>
      <c r="I8" s="188"/>
      <c r="J8" s="191"/>
      <c r="K8" s="10"/>
      <c r="L8" s="421" t="s">
        <v>2119</v>
      </c>
      <c r="M8" s="89" t="s">
        <v>5</v>
      </c>
      <c r="N8" s="422" t="s">
        <v>5</v>
      </c>
      <c r="O8" s="10"/>
      <c r="P8" s="275"/>
      <c r="Q8" s="217"/>
      <c r="R8" s="290"/>
      <c r="S8" s="217"/>
      <c r="T8" s="192"/>
    </row>
    <row r="9" spans="1:21">
      <c r="A9" s="294" t="s">
        <v>2133</v>
      </c>
      <c r="B9" s="293" t="s">
        <v>2130</v>
      </c>
      <c r="C9" s="88" t="s">
        <v>2134</v>
      </c>
      <c r="D9" s="293" t="s">
        <v>459</v>
      </c>
      <c r="E9" s="94" t="s">
        <v>2135</v>
      </c>
      <c r="F9" s="10"/>
      <c r="G9" s="10"/>
      <c r="H9" s="113" t="s">
        <v>50</v>
      </c>
      <c r="I9" s="105"/>
      <c r="J9" s="114"/>
      <c r="K9" s="10"/>
      <c r="L9" s="416" t="s">
        <v>2119</v>
      </c>
      <c r="M9" s="122" t="s">
        <v>5</v>
      </c>
      <c r="N9" s="420" t="s">
        <v>5</v>
      </c>
      <c r="O9" s="10"/>
      <c r="P9" s="266"/>
      <c r="Q9" s="262"/>
      <c r="R9" s="287"/>
      <c r="S9" s="262"/>
      <c r="T9" s="143"/>
    </row>
    <row r="10" spans="1:21" s="49" customFormat="1">
      <c r="A10" s="222" t="s">
        <v>2136</v>
      </c>
      <c r="B10" s="206" t="s">
        <v>2137</v>
      </c>
      <c r="C10" s="137" t="s">
        <v>2138</v>
      </c>
      <c r="D10" s="206" t="s">
        <v>459</v>
      </c>
      <c r="E10" s="203" t="s">
        <v>2139</v>
      </c>
      <c r="F10" s="10"/>
      <c r="G10" s="10"/>
      <c r="H10" s="231" t="s">
        <v>50</v>
      </c>
      <c r="I10" s="188"/>
      <c r="J10" s="191"/>
      <c r="K10" s="10"/>
      <c r="L10" s="421" t="s">
        <v>2119</v>
      </c>
      <c r="M10" s="89" t="s">
        <v>5</v>
      </c>
      <c r="N10" s="422" t="s">
        <v>5</v>
      </c>
      <c r="O10" s="10"/>
      <c r="P10" s="275"/>
      <c r="Q10" s="217"/>
      <c r="R10" s="290"/>
      <c r="S10" s="217"/>
      <c r="T10" s="192"/>
    </row>
    <row r="11" spans="1:21">
      <c r="A11" s="294" t="s">
        <v>2140</v>
      </c>
      <c r="B11" s="293" t="s">
        <v>2137</v>
      </c>
      <c r="C11" s="88" t="s">
        <v>2141</v>
      </c>
      <c r="D11" s="293" t="s">
        <v>459</v>
      </c>
      <c r="E11" s="94" t="s">
        <v>2142</v>
      </c>
      <c r="F11" s="10"/>
      <c r="G11" s="10"/>
      <c r="H11" s="113" t="s">
        <v>50</v>
      </c>
      <c r="I11" s="105"/>
      <c r="J11" s="114"/>
      <c r="K11" s="10"/>
      <c r="L11" s="416" t="s">
        <v>2119</v>
      </c>
      <c r="M11" s="122" t="s">
        <v>5</v>
      </c>
      <c r="N11" s="420" t="s">
        <v>5</v>
      </c>
      <c r="O11" s="10"/>
      <c r="P11" s="266"/>
      <c r="Q11" s="262"/>
      <c r="R11" s="287"/>
      <c r="S11" s="262"/>
      <c r="T11" s="143"/>
    </row>
    <row r="12" spans="1:21" s="49" customFormat="1">
      <c r="A12" s="222" t="s">
        <v>2143</v>
      </c>
      <c r="B12" s="206" t="s">
        <v>2137</v>
      </c>
      <c r="C12" s="137" t="s">
        <v>2144</v>
      </c>
      <c r="D12" s="206" t="s">
        <v>459</v>
      </c>
      <c r="E12" s="203" t="s">
        <v>2145</v>
      </c>
      <c r="F12" s="10"/>
      <c r="G12" s="10"/>
      <c r="H12" s="231" t="s">
        <v>50</v>
      </c>
      <c r="I12" s="188"/>
      <c r="J12" s="191"/>
      <c r="K12" s="10"/>
      <c r="L12" s="421" t="s">
        <v>2119</v>
      </c>
      <c r="M12" s="89" t="s">
        <v>5</v>
      </c>
      <c r="N12" s="422" t="s">
        <v>5</v>
      </c>
      <c r="O12" s="10"/>
      <c r="P12" s="275"/>
      <c r="Q12" s="217"/>
      <c r="R12" s="290"/>
      <c r="S12" s="217"/>
      <c r="T12" s="192"/>
    </row>
    <row r="13" spans="1:21">
      <c r="A13" s="294" t="s">
        <v>2146</v>
      </c>
      <c r="B13" s="293" t="s">
        <v>2147</v>
      </c>
      <c r="C13" s="88" t="s">
        <v>2148</v>
      </c>
      <c r="D13" s="293" t="s">
        <v>459</v>
      </c>
      <c r="E13" s="94" t="s">
        <v>2149</v>
      </c>
      <c r="F13" s="10"/>
      <c r="G13" s="10"/>
      <c r="H13" s="113" t="s">
        <v>50</v>
      </c>
      <c r="I13" s="105"/>
      <c r="J13" s="114"/>
      <c r="K13" s="10"/>
      <c r="L13" s="416" t="s">
        <v>2119</v>
      </c>
      <c r="M13" s="122" t="s">
        <v>5</v>
      </c>
      <c r="N13" s="420" t="s">
        <v>5</v>
      </c>
      <c r="O13" s="10"/>
      <c r="P13" s="266"/>
      <c r="Q13" s="262"/>
      <c r="R13" s="287"/>
      <c r="S13" s="262"/>
      <c r="T13" s="143"/>
    </row>
    <row r="14" spans="1:21" s="49" customFormat="1">
      <c r="A14" s="222" t="s">
        <v>2150</v>
      </c>
      <c r="B14" s="206" t="s">
        <v>2147</v>
      </c>
      <c r="C14" s="137" t="s">
        <v>2151</v>
      </c>
      <c r="D14" s="206" t="s">
        <v>459</v>
      </c>
      <c r="E14" s="203" t="s">
        <v>2152</v>
      </c>
      <c r="F14" s="10"/>
      <c r="G14" s="10"/>
      <c r="H14" s="231" t="s">
        <v>50</v>
      </c>
      <c r="I14" s="188"/>
      <c r="J14" s="191"/>
      <c r="K14" s="10"/>
      <c r="L14" s="421" t="s">
        <v>2119</v>
      </c>
      <c r="M14" s="89" t="s">
        <v>5</v>
      </c>
      <c r="N14" s="422" t="s">
        <v>5</v>
      </c>
      <c r="O14" s="10"/>
      <c r="P14" s="275"/>
      <c r="Q14" s="217"/>
      <c r="R14" s="290"/>
      <c r="S14" s="217"/>
      <c r="T14" s="192"/>
    </row>
    <row r="15" spans="1:21">
      <c r="A15" s="294" t="s">
        <v>2153</v>
      </c>
      <c r="B15" s="293" t="s">
        <v>2147</v>
      </c>
      <c r="C15" s="88" t="s">
        <v>2154</v>
      </c>
      <c r="D15" s="293" t="s">
        <v>459</v>
      </c>
      <c r="E15" s="94" t="s">
        <v>2155</v>
      </c>
      <c r="F15" s="10"/>
      <c r="G15" s="10"/>
      <c r="H15" s="113" t="s">
        <v>50</v>
      </c>
      <c r="I15" s="105"/>
      <c r="J15" s="114"/>
      <c r="K15" s="10"/>
      <c r="L15" s="416" t="s">
        <v>2119</v>
      </c>
      <c r="M15" s="122" t="s">
        <v>5</v>
      </c>
      <c r="N15" s="420" t="s">
        <v>5</v>
      </c>
      <c r="O15" s="10"/>
      <c r="P15" s="266"/>
      <c r="Q15" s="262"/>
      <c r="R15" s="287"/>
      <c r="S15" s="262"/>
      <c r="T15" s="143"/>
    </row>
    <row r="16" spans="1:21" s="49" customFormat="1">
      <c r="A16" s="222" t="s">
        <v>2156</v>
      </c>
      <c r="B16" s="206" t="s">
        <v>2147</v>
      </c>
      <c r="C16" s="137" t="s">
        <v>2157</v>
      </c>
      <c r="D16" s="206" t="s">
        <v>459</v>
      </c>
      <c r="E16" s="203" t="s">
        <v>2158</v>
      </c>
      <c r="F16" s="10"/>
      <c r="G16" s="10"/>
      <c r="H16" s="231" t="s">
        <v>50</v>
      </c>
      <c r="I16" s="188"/>
      <c r="J16" s="191"/>
      <c r="K16" s="10"/>
      <c r="L16" s="421" t="s">
        <v>2119</v>
      </c>
      <c r="M16" s="89" t="s">
        <v>5</v>
      </c>
      <c r="N16" s="422" t="s">
        <v>5</v>
      </c>
      <c r="O16" s="10"/>
      <c r="P16" s="275"/>
      <c r="Q16" s="217"/>
      <c r="R16" s="290"/>
      <c r="S16" s="217"/>
      <c r="T16" s="192"/>
    </row>
    <row r="17" spans="1:20">
      <c r="A17" s="294" t="s">
        <v>2159</v>
      </c>
      <c r="B17" s="293" t="s">
        <v>2147</v>
      </c>
      <c r="C17" s="88" t="s">
        <v>2160</v>
      </c>
      <c r="D17" s="293" t="s">
        <v>459</v>
      </c>
      <c r="E17" s="94" t="s">
        <v>2161</v>
      </c>
      <c r="F17" s="10"/>
      <c r="G17" s="10"/>
      <c r="H17" s="113" t="s">
        <v>50</v>
      </c>
      <c r="I17" s="105"/>
      <c r="J17" s="114"/>
      <c r="K17" s="10"/>
      <c r="L17" s="416" t="s">
        <v>2119</v>
      </c>
      <c r="M17" s="122" t="s">
        <v>5</v>
      </c>
      <c r="N17" s="420" t="s">
        <v>5</v>
      </c>
      <c r="O17" s="10"/>
      <c r="P17" s="266"/>
      <c r="Q17" s="262"/>
      <c r="R17" s="287"/>
      <c r="S17" s="262"/>
      <c r="T17" s="143"/>
    </row>
    <row r="18" spans="1:20" s="49" customFormat="1">
      <c r="A18" s="222" t="s">
        <v>2162</v>
      </c>
      <c r="B18" s="206" t="s">
        <v>2147</v>
      </c>
      <c r="C18" s="137" t="s">
        <v>2163</v>
      </c>
      <c r="D18" s="206" t="s">
        <v>459</v>
      </c>
      <c r="E18" s="203" t="s">
        <v>2164</v>
      </c>
      <c r="F18" s="10"/>
      <c r="G18" s="10"/>
      <c r="H18" s="231" t="s">
        <v>50</v>
      </c>
      <c r="I18" s="188"/>
      <c r="J18" s="191"/>
      <c r="K18" s="10"/>
      <c r="L18" s="421" t="s">
        <v>2119</v>
      </c>
      <c r="M18" s="89" t="s">
        <v>5</v>
      </c>
      <c r="N18" s="422" t="s">
        <v>5</v>
      </c>
      <c r="O18" s="10"/>
      <c r="P18" s="275"/>
      <c r="Q18" s="217"/>
      <c r="R18" s="290"/>
      <c r="S18" s="217"/>
      <c r="T18" s="192"/>
    </row>
    <row r="19" spans="1:20">
      <c r="A19" s="295" t="s">
        <v>2165</v>
      </c>
      <c r="B19" s="296" t="s">
        <v>2147</v>
      </c>
      <c r="C19" s="98" t="s">
        <v>2166</v>
      </c>
      <c r="D19" s="296" t="s">
        <v>459</v>
      </c>
      <c r="E19" s="99" t="s">
        <v>2167</v>
      </c>
      <c r="F19" s="10"/>
      <c r="G19" s="10"/>
      <c r="H19" s="161" t="s">
        <v>50</v>
      </c>
      <c r="I19" s="162"/>
      <c r="J19" s="163"/>
      <c r="K19" s="10"/>
      <c r="L19" s="416" t="s">
        <v>2119</v>
      </c>
      <c r="M19" s="127" t="s">
        <v>5</v>
      </c>
      <c r="N19" s="420" t="s">
        <v>5</v>
      </c>
      <c r="O19" s="10"/>
      <c r="P19" s="297"/>
      <c r="Q19" s="298"/>
      <c r="R19" s="299"/>
      <c r="S19" s="298"/>
      <c r="T19" s="181"/>
    </row>
    <row r="20" spans="1:20">
      <c r="O20" s="10"/>
    </row>
    <row r="21" spans="1:20">
      <c r="O21" s="10"/>
    </row>
  </sheetData>
  <mergeCells count="4">
    <mergeCell ref="A1:E1"/>
    <mergeCell ref="H1:J1"/>
    <mergeCell ref="P1:T1"/>
    <mergeCell ref="L1:N1"/>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AUX!$A$2:$A$8</xm:f>
          </x14:formula1>
          <xm:sqref>M3:M19</xm:sqref>
        </x14:dataValidation>
        <x14:dataValidation type="list" allowBlank="1" showInputMessage="1" showErrorMessage="1">
          <x14:formula1>
            <xm:f>AUX!$E$2:$E$5</xm:f>
          </x14:formula1>
          <xm:sqref>N3:N19</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dimension ref="A1:A10"/>
  <sheetViews>
    <sheetView workbookViewId="0"/>
  </sheetViews>
  <sheetFormatPr defaultRowHeight="14.5"/>
  <cols>
    <col min="1" max="1" width="167.81640625" customWidth="1"/>
  </cols>
  <sheetData>
    <row r="1" spans="1:1" ht="135" thickBot="1">
      <c r="A1" s="1" t="s">
        <v>2168</v>
      </c>
    </row>
    <row r="5" spans="1:1">
      <c r="A5" t="s">
        <v>2169</v>
      </c>
    </row>
    <row r="10" spans="1:1">
      <c r="A10" t="s">
        <v>0</v>
      </c>
    </row>
  </sheetData>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dimension ref="A1:U15"/>
  <sheetViews>
    <sheetView zoomScale="70" zoomScaleNormal="70" workbookViewId="0">
      <pane xSplit="5" ySplit="2" topLeftCell="F3" activePane="bottomRight" state="frozen"/>
      <selection pane="topRight" activeCell="F1" sqref="F1"/>
      <selection pane="bottomLeft" activeCell="A3" sqref="A3"/>
      <selection pane="bottomRight" activeCell="F3" sqref="F3"/>
    </sheetView>
  </sheetViews>
  <sheetFormatPr defaultColWidth="44.54296875" defaultRowHeight="14.5"/>
  <cols>
    <col min="1" max="1" width="7.26953125" bestFit="1" customWidth="1"/>
    <col min="2" max="2" width="24.54296875" bestFit="1" customWidth="1"/>
    <col min="3" max="3" width="41" bestFit="1" customWidth="1"/>
    <col min="4" max="4" width="17.81640625" bestFit="1" customWidth="1"/>
    <col min="5" max="5" width="122.81640625" customWidth="1"/>
    <col min="6" max="6" width="4.81640625" customWidth="1"/>
    <col min="7" max="7" width="44.54296875" hidden="1" customWidth="1"/>
    <col min="8" max="8" width="37.26953125" bestFit="1" customWidth="1"/>
    <col min="9" max="9" width="18.26953125" bestFit="1" customWidth="1"/>
    <col min="10" max="10" width="30.54296875" bestFit="1" customWidth="1"/>
    <col min="11" max="11" width="3.453125" customWidth="1"/>
    <col min="12" max="12" width="47.26953125" bestFit="1" customWidth="1"/>
    <col min="13" max="14" width="34.81640625" customWidth="1"/>
    <col min="15" max="15" width="3.26953125" customWidth="1"/>
    <col min="16" max="16" width="26.7265625" hidden="1" customWidth="1"/>
    <col min="17" max="17" width="8.7265625" hidden="1" customWidth="1"/>
    <col min="18" max="18" width="9.54296875" hidden="1" customWidth="1"/>
    <col min="19" max="19" width="31.7265625" hidden="1" customWidth="1"/>
    <col min="20" max="20" width="15.26953125" hidden="1" customWidth="1"/>
  </cols>
  <sheetData>
    <row r="1" spans="1:21" ht="19" customHeight="1">
      <c r="A1" s="874" t="s">
        <v>234</v>
      </c>
      <c r="B1" s="875"/>
      <c r="C1" s="875"/>
      <c r="D1" s="875"/>
      <c r="E1" s="876"/>
      <c r="F1" s="84"/>
      <c r="G1" s="85"/>
      <c r="H1" s="877" t="s">
        <v>235</v>
      </c>
      <c r="I1" s="878"/>
      <c r="J1" s="879"/>
      <c r="K1" s="85"/>
      <c r="L1" s="1224" t="s">
        <v>236</v>
      </c>
      <c r="M1" s="1225"/>
      <c r="N1" s="1227"/>
      <c r="O1" s="153"/>
      <c r="P1" s="886" t="s">
        <v>237</v>
      </c>
      <c r="Q1" s="887"/>
      <c r="R1" s="887"/>
      <c r="S1" s="887"/>
      <c r="T1" s="888"/>
      <c r="U1" s="129"/>
    </row>
    <row r="2" spans="1:21">
      <c r="A2" s="91" t="s">
        <v>238</v>
      </c>
      <c r="B2" s="87" t="s">
        <v>239</v>
      </c>
      <c r="C2" s="87" t="s">
        <v>240</v>
      </c>
      <c r="D2" s="87" t="s">
        <v>241</v>
      </c>
      <c r="E2" s="92" t="s">
        <v>242</v>
      </c>
      <c r="F2" s="9"/>
      <c r="G2" s="9"/>
      <c r="H2" s="107" t="s">
        <v>244</v>
      </c>
      <c r="I2" s="100" t="s">
        <v>245</v>
      </c>
      <c r="J2" s="108" t="s">
        <v>246</v>
      </c>
      <c r="K2" s="9"/>
      <c r="L2" s="419" t="s">
        <v>249</v>
      </c>
      <c r="M2" s="418" t="s">
        <v>1</v>
      </c>
      <c r="N2" s="423" t="s">
        <v>250</v>
      </c>
      <c r="O2" s="9"/>
      <c r="P2" s="138" t="s">
        <v>253</v>
      </c>
      <c r="Q2" s="130" t="s">
        <v>254</v>
      </c>
      <c r="R2" s="130" t="s">
        <v>255</v>
      </c>
      <c r="S2" s="130" t="s">
        <v>256</v>
      </c>
      <c r="T2" s="139" t="s">
        <v>257</v>
      </c>
    </row>
    <row r="3" spans="1:21">
      <c r="A3" s="294" t="s">
        <v>2170</v>
      </c>
      <c r="B3" s="293" t="s">
        <v>260</v>
      </c>
      <c r="C3" s="88" t="s">
        <v>2171</v>
      </c>
      <c r="D3" s="293" t="s">
        <v>459</v>
      </c>
      <c r="E3" s="94" t="s">
        <v>2172</v>
      </c>
      <c r="F3" s="10"/>
      <c r="G3" s="10"/>
      <c r="H3" s="113" t="s">
        <v>50</v>
      </c>
      <c r="I3" s="105"/>
      <c r="J3" s="114"/>
      <c r="K3" s="10"/>
      <c r="L3" s="417" t="s">
        <v>2119</v>
      </c>
      <c r="M3" s="369" t="s">
        <v>5</v>
      </c>
      <c r="N3" s="420" t="s">
        <v>5</v>
      </c>
      <c r="O3" s="10"/>
      <c r="P3" s="266"/>
      <c r="Q3" s="262"/>
      <c r="R3" s="287"/>
      <c r="S3" s="262"/>
      <c r="T3" s="143"/>
    </row>
    <row r="4" spans="1:21" ht="203">
      <c r="A4" s="222" t="s">
        <v>2173</v>
      </c>
      <c r="B4" s="206" t="s">
        <v>2174</v>
      </c>
      <c r="C4" s="137" t="s">
        <v>2175</v>
      </c>
      <c r="D4" s="206" t="s">
        <v>294</v>
      </c>
      <c r="E4" s="235" t="s">
        <v>2176</v>
      </c>
      <c r="F4" s="10"/>
      <c r="G4" s="10"/>
      <c r="H4" s="231" t="s">
        <v>50</v>
      </c>
      <c r="I4" s="188"/>
      <c r="J4" s="191"/>
      <c r="K4" s="10"/>
      <c r="L4" s="421" t="s">
        <v>2119</v>
      </c>
      <c r="M4" s="137" t="s">
        <v>5</v>
      </c>
      <c r="N4" s="422" t="s">
        <v>5</v>
      </c>
      <c r="O4" s="10"/>
      <c r="P4" s="275"/>
      <c r="Q4" s="217"/>
      <c r="R4" s="290"/>
      <c r="S4" s="217"/>
      <c r="T4" s="192"/>
    </row>
    <row r="5" spans="1:21">
      <c r="A5" s="294" t="s">
        <v>2177</v>
      </c>
      <c r="B5" s="293" t="s">
        <v>2174</v>
      </c>
      <c r="C5" s="88" t="s">
        <v>2178</v>
      </c>
      <c r="D5" s="293" t="s">
        <v>1231</v>
      </c>
      <c r="E5" s="94" t="s">
        <v>2179</v>
      </c>
      <c r="F5" s="10"/>
      <c r="G5" s="10"/>
      <c r="H5" s="113" t="s">
        <v>50</v>
      </c>
      <c r="I5" s="105"/>
      <c r="J5" s="114"/>
      <c r="K5" s="10"/>
      <c r="L5" s="417" t="s">
        <v>2119</v>
      </c>
      <c r="M5" s="122" t="s">
        <v>5</v>
      </c>
      <c r="N5" s="420" t="s">
        <v>5</v>
      </c>
      <c r="O5" s="10"/>
      <c r="P5" s="266"/>
      <c r="Q5" s="262"/>
      <c r="R5" s="287"/>
      <c r="S5" s="262"/>
      <c r="T5" s="143"/>
    </row>
    <row r="6" spans="1:21">
      <c r="A6" s="222" t="s">
        <v>2180</v>
      </c>
      <c r="B6" s="206" t="s">
        <v>2174</v>
      </c>
      <c r="C6" s="137" t="s">
        <v>2181</v>
      </c>
      <c r="D6" s="206" t="s">
        <v>459</v>
      </c>
      <c r="E6" s="203" t="s">
        <v>2182</v>
      </c>
      <c r="F6" s="10"/>
      <c r="G6" s="10"/>
      <c r="H6" s="231" t="s">
        <v>50</v>
      </c>
      <c r="I6" s="188"/>
      <c r="J6" s="191"/>
      <c r="K6" s="10"/>
      <c r="L6" s="421" t="s">
        <v>2119</v>
      </c>
      <c r="M6" s="137" t="s">
        <v>5</v>
      </c>
      <c r="N6" s="422" t="s">
        <v>5</v>
      </c>
      <c r="O6" s="10"/>
      <c r="P6" s="275"/>
      <c r="Q6" s="217"/>
      <c r="R6" s="290"/>
      <c r="S6" s="217"/>
      <c r="T6" s="192"/>
    </row>
    <row r="7" spans="1:21">
      <c r="A7" s="294" t="s">
        <v>2183</v>
      </c>
      <c r="B7" s="293" t="s">
        <v>2174</v>
      </c>
      <c r="C7" s="88" t="s">
        <v>2184</v>
      </c>
      <c r="D7" s="293" t="s">
        <v>459</v>
      </c>
      <c r="E7" s="94" t="s">
        <v>2185</v>
      </c>
      <c r="F7" s="10"/>
      <c r="G7" s="10"/>
      <c r="H7" s="113" t="s">
        <v>50</v>
      </c>
      <c r="I7" s="105"/>
      <c r="J7" s="114"/>
      <c r="K7" s="10"/>
      <c r="L7" s="417" t="s">
        <v>2119</v>
      </c>
      <c r="M7" s="122" t="s">
        <v>5</v>
      </c>
      <c r="N7" s="420" t="s">
        <v>5</v>
      </c>
      <c r="O7" s="10"/>
      <c r="P7" s="266"/>
      <c r="Q7" s="262"/>
      <c r="R7" s="287"/>
      <c r="S7" s="262"/>
      <c r="T7" s="143"/>
    </row>
    <row r="8" spans="1:21" ht="101.5">
      <c r="A8" s="222" t="s">
        <v>2186</v>
      </c>
      <c r="B8" s="206" t="s">
        <v>2174</v>
      </c>
      <c r="C8" s="137" t="s">
        <v>2187</v>
      </c>
      <c r="D8" s="206" t="s">
        <v>459</v>
      </c>
      <c r="E8" s="235" t="s">
        <v>2188</v>
      </c>
      <c r="F8" s="10"/>
      <c r="G8" s="10"/>
      <c r="H8" s="231" t="s">
        <v>50</v>
      </c>
      <c r="I8" s="188"/>
      <c r="J8" s="191"/>
      <c r="K8" s="10"/>
      <c r="L8" s="421" t="s">
        <v>2119</v>
      </c>
      <c r="M8" s="137" t="s">
        <v>5</v>
      </c>
      <c r="N8" s="422" t="s">
        <v>5</v>
      </c>
      <c r="O8" s="10"/>
      <c r="P8" s="275"/>
      <c r="Q8" s="217"/>
      <c r="R8" s="290"/>
      <c r="S8" s="217"/>
      <c r="T8" s="192"/>
    </row>
    <row r="9" spans="1:21">
      <c r="A9" s="294" t="s">
        <v>2189</v>
      </c>
      <c r="B9" s="293" t="s">
        <v>2174</v>
      </c>
      <c r="C9" s="88" t="s">
        <v>2190</v>
      </c>
      <c r="D9" s="293" t="s">
        <v>459</v>
      </c>
      <c r="E9" s="94" t="s">
        <v>2191</v>
      </c>
      <c r="F9" s="10"/>
      <c r="G9" s="10"/>
      <c r="H9" s="113" t="s">
        <v>50</v>
      </c>
      <c r="I9" s="105"/>
      <c r="J9" s="114"/>
      <c r="K9" s="10"/>
      <c r="L9" s="417" t="s">
        <v>2119</v>
      </c>
      <c r="M9" s="122" t="s">
        <v>5</v>
      </c>
      <c r="N9" s="420" t="s">
        <v>5</v>
      </c>
      <c r="O9" s="10"/>
      <c r="P9" s="266"/>
      <c r="Q9" s="262"/>
      <c r="R9" s="287"/>
      <c r="S9" s="262"/>
      <c r="T9" s="143"/>
    </row>
    <row r="10" spans="1:21" ht="43.5">
      <c r="A10" s="222" t="s">
        <v>2192</v>
      </c>
      <c r="B10" s="206" t="s">
        <v>2174</v>
      </c>
      <c r="C10" s="137" t="s">
        <v>579</v>
      </c>
      <c r="D10" s="206" t="s">
        <v>294</v>
      </c>
      <c r="E10" s="203" t="s">
        <v>2193</v>
      </c>
      <c r="F10" s="10"/>
      <c r="G10" s="10"/>
      <c r="H10" s="231" t="s">
        <v>50</v>
      </c>
      <c r="I10" s="188"/>
      <c r="J10" s="191"/>
      <c r="K10" s="10"/>
      <c r="L10" s="421" t="s">
        <v>2119</v>
      </c>
      <c r="M10" s="137" t="s">
        <v>5</v>
      </c>
      <c r="N10" s="422" t="s">
        <v>5</v>
      </c>
      <c r="O10" s="10"/>
      <c r="P10" s="275"/>
      <c r="Q10" s="217"/>
      <c r="R10" s="290"/>
      <c r="S10" s="217"/>
      <c r="T10" s="192"/>
    </row>
    <row r="11" spans="1:21">
      <c r="A11" s="294" t="s">
        <v>2194</v>
      </c>
      <c r="B11" s="293" t="s">
        <v>2174</v>
      </c>
      <c r="C11" s="88" t="s">
        <v>2195</v>
      </c>
      <c r="D11" s="293" t="s">
        <v>262</v>
      </c>
      <c r="E11" s="94" t="s">
        <v>2196</v>
      </c>
      <c r="F11" s="10"/>
      <c r="G11" s="10"/>
      <c r="H11" s="113" t="s">
        <v>50</v>
      </c>
      <c r="I11" s="105"/>
      <c r="J11" s="114"/>
      <c r="K11" s="10"/>
      <c r="L11" s="417" t="s">
        <v>2119</v>
      </c>
      <c r="M11" s="122" t="s">
        <v>5</v>
      </c>
      <c r="N11" s="420" t="s">
        <v>5</v>
      </c>
      <c r="O11" s="10"/>
      <c r="P11" s="266"/>
      <c r="Q11" s="262"/>
      <c r="R11" s="287"/>
      <c r="S11" s="262"/>
      <c r="T11" s="143"/>
    </row>
    <row r="12" spans="1:21">
      <c r="A12" s="222" t="s">
        <v>2197</v>
      </c>
      <c r="B12" s="206" t="s">
        <v>2174</v>
      </c>
      <c r="C12" s="137" t="s">
        <v>2198</v>
      </c>
      <c r="D12" s="206" t="s">
        <v>262</v>
      </c>
      <c r="E12" s="203" t="s">
        <v>2199</v>
      </c>
      <c r="F12" s="10"/>
      <c r="G12" s="10"/>
      <c r="H12" s="231" t="s">
        <v>50</v>
      </c>
      <c r="I12" s="188"/>
      <c r="J12" s="191"/>
      <c r="K12" s="10"/>
      <c r="L12" s="421" t="s">
        <v>2119</v>
      </c>
      <c r="M12" s="137" t="s">
        <v>5</v>
      </c>
      <c r="N12" s="422" t="s">
        <v>5</v>
      </c>
      <c r="O12" s="10"/>
      <c r="P12" s="275"/>
      <c r="Q12" s="217"/>
      <c r="R12" s="290"/>
      <c r="S12" s="217"/>
      <c r="T12" s="192"/>
    </row>
    <row r="13" spans="1:21" ht="203">
      <c r="A13" s="294" t="s">
        <v>2200</v>
      </c>
      <c r="B13" s="293" t="s">
        <v>2174</v>
      </c>
      <c r="C13" s="88" t="s">
        <v>2201</v>
      </c>
      <c r="D13" s="293" t="s">
        <v>294</v>
      </c>
      <c r="E13" s="226" t="s">
        <v>2202</v>
      </c>
      <c r="F13" s="10"/>
      <c r="G13" s="10"/>
      <c r="H13" s="113" t="s">
        <v>50</v>
      </c>
      <c r="I13" s="105"/>
      <c r="J13" s="114"/>
      <c r="K13" s="10"/>
      <c r="L13" s="417" t="s">
        <v>2119</v>
      </c>
      <c r="M13" s="122" t="s">
        <v>5</v>
      </c>
      <c r="N13" s="420" t="s">
        <v>5</v>
      </c>
      <c r="O13" s="10"/>
      <c r="P13" s="266"/>
      <c r="Q13" s="262"/>
      <c r="R13" s="287"/>
      <c r="S13" s="262"/>
      <c r="T13" s="143"/>
    </row>
    <row r="14" spans="1:21">
      <c r="A14" s="222" t="s">
        <v>1812</v>
      </c>
      <c r="B14" s="206" t="s">
        <v>2203</v>
      </c>
      <c r="C14" s="137" t="s">
        <v>1813</v>
      </c>
      <c r="D14" s="206" t="s">
        <v>1231</v>
      </c>
      <c r="E14" s="203" t="s">
        <v>1814</v>
      </c>
      <c r="F14" s="10"/>
      <c r="G14" s="10"/>
      <c r="H14" s="231" t="s">
        <v>50</v>
      </c>
      <c r="I14" s="188"/>
      <c r="J14" s="191"/>
      <c r="K14" s="10"/>
      <c r="L14" s="421" t="s">
        <v>2119</v>
      </c>
      <c r="M14" s="137" t="s">
        <v>5</v>
      </c>
      <c r="N14" s="422" t="s">
        <v>5</v>
      </c>
      <c r="O14" s="10"/>
      <c r="P14" s="275"/>
      <c r="Q14" s="217"/>
      <c r="R14" s="290"/>
      <c r="S14" s="217"/>
      <c r="T14" s="192"/>
    </row>
    <row r="15" spans="1:21" ht="58">
      <c r="A15" s="295" t="s">
        <v>2204</v>
      </c>
      <c r="B15" s="296" t="s">
        <v>2203</v>
      </c>
      <c r="C15" s="98" t="s">
        <v>2205</v>
      </c>
      <c r="D15" s="296" t="s">
        <v>294</v>
      </c>
      <c r="E15" s="99" t="s">
        <v>2206</v>
      </c>
      <c r="F15" s="10"/>
      <c r="G15" s="10"/>
      <c r="H15" s="161" t="s">
        <v>50</v>
      </c>
      <c r="I15" s="162"/>
      <c r="J15" s="163"/>
      <c r="K15" s="10"/>
      <c r="L15" s="417" t="s">
        <v>2119</v>
      </c>
      <c r="M15" s="122" t="s">
        <v>5</v>
      </c>
      <c r="N15" s="420" t="s">
        <v>5</v>
      </c>
      <c r="O15" s="10"/>
      <c r="P15" s="297"/>
      <c r="Q15" s="298"/>
      <c r="R15" s="299"/>
      <c r="S15" s="298"/>
      <c r="T15" s="181"/>
    </row>
  </sheetData>
  <mergeCells count="4">
    <mergeCell ref="A1:E1"/>
    <mergeCell ref="H1:J1"/>
    <mergeCell ref="L1:N1"/>
    <mergeCell ref="P1:T1"/>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AUX!$A$2:$A$8</xm:f>
          </x14:formula1>
          <xm:sqref>M3:M15</xm:sqref>
        </x14:dataValidation>
        <x14:dataValidation type="list" allowBlank="1" showInputMessage="1" showErrorMessage="1">
          <x14:formula1>
            <xm:f>AUX!$E$2:$E$5</xm:f>
          </x14:formula1>
          <xm:sqref>N3:N15</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H4988"/>
  <sheetViews>
    <sheetView workbookViewId="0">
      <pane ySplit="1" topLeftCell="A2577" activePane="bottomLeft" state="frozen"/>
      <selection pane="bottomLeft" activeCell="D2577" sqref="D2577"/>
    </sheetView>
  </sheetViews>
  <sheetFormatPr defaultColWidth="64.453125" defaultRowHeight="14.5"/>
  <cols>
    <col min="1" max="1" width="24.26953125" customWidth="1"/>
    <col min="2" max="2" width="36.81640625" bestFit="1" customWidth="1"/>
    <col min="3" max="3" width="27.7265625" bestFit="1" customWidth="1"/>
    <col min="4" max="4" width="38.7265625" customWidth="1"/>
    <col min="5" max="5" width="45" customWidth="1"/>
    <col min="6" max="6" width="50.81640625" customWidth="1"/>
    <col min="7" max="7" width="26.26953125" customWidth="1"/>
    <col min="8" max="8" width="64.453125" style="489"/>
  </cols>
  <sheetData>
    <row r="1" spans="1:8">
      <c r="A1" s="480" t="s">
        <v>2207</v>
      </c>
      <c r="B1" s="479" t="s">
        <v>2208</v>
      </c>
      <c r="C1" s="314" t="s">
        <v>2209</v>
      </c>
      <c r="D1" s="314" t="s">
        <v>2210</v>
      </c>
      <c r="E1" s="315" t="s">
        <v>2211</v>
      </c>
      <c r="F1" s="314" t="s">
        <v>2212</v>
      </c>
      <c r="G1" s="479" t="s">
        <v>2213</v>
      </c>
      <c r="H1" s="499" t="s">
        <v>2214</v>
      </c>
    </row>
    <row r="2" spans="1:8" hidden="1">
      <c r="A2" s="495" t="s">
        <v>2215</v>
      </c>
      <c r="B2" s="399" t="s">
        <v>309</v>
      </c>
      <c r="C2" s="306" t="s">
        <v>81</v>
      </c>
      <c r="D2" s="400"/>
      <c r="E2" s="400" t="s">
        <v>2216</v>
      </c>
      <c r="F2" s="400" t="s">
        <v>2216</v>
      </c>
      <c r="G2" s="400" t="s">
        <v>2217</v>
      </c>
      <c r="H2" s="1235" t="s">
        <v>2218</v>
      </c>
    </row>
    <row r="3" spans="1:8" hidden="1">
      <c r="A3" s="495" t="s">
        <v>2215</v>
      </c>
      <c r="B3" s="399" t="s">
        <v>309</v>
      </c>
      <c r="C3" s="306" t="s">
        <v>81</v>
      </c>
      <c r="D3" s="399" t="s">
        <v>2219</v>
      </c>
      <c r="E3" s="399" t="s">
        <v>2220</v>
      </c>
      <c r="F3" s="399" t="s">
        <v>2220</v>
      </c>
      <c r="G3" s="399" t="s">
        <v>2221</v>
      </c>
      <c r="H3" s="1235"/>
    </row>
    <row r="4" spans="1:8" hidden="1">
      <c r="A4" s="495" t="s">
        <v>2215</v>
      </c>
      <c r="B4" s="399" t="s">
        <v>309</v>
      </c>
      <c r="C4" s="306" t="s">
        <v>81</v>
      </c>
      <c r="D4" s="399" t="s">
        <v>2222</v>
      </c>
      <c r="E4" s="399" t="s">
        <v>2223</v>
      </c>
      <c r="F4" s="399" t="s">
        <v>2223</v>
      </c>
      <c r="G4" s="399" t="s">
        <v>2221</v>
      </c>
      <c r="H4" s="1235"/>
    </row>
    <row r="5" spans="1:8" hidden="1">
      <c r="A5" s="495" t="s">
        <v>2215</v>
      </c>
      <c r="B5" s="399" t="s">
        <v>309</v>
      </c>
      <c r="C5" s="306" t="s">
        <v>81</v>
      </c>
      <c r="D5" s="399" t="s">
        <v>2224</v>
      </c>
      <c r="E5" s="399" t="s">
        <v>2225</v>
      </c>
      <c r="F5" s="399" t="s">
        <v>2225</v>
      </c>
      <c r="G5" s="399" t="s">
        <v>2221</v>
      </c>
      <c r="H5" s="1235"/>
    </row>
    <row r="6" spans="1:8" hidden="1">
      <c r="A6" s="495" t="s">
        <v>2215</v>
      </c>
      <c r="B6" s="399" t="s">
        <v>309</v>
      </c>
      <c r="C6" s="306" t="s">
        <v>81</v>
      </c>
      <c r="D6" s="399" t="s">
        <v>2226</v>
      </c>
      <c r="E6" s="399" t="s">
        <v>2227</v>
      </c>
      <c r="F6" s="399" t="s">
        <v>2227</v>
      </c>
      <c r="G6" s="399" t="s">
        <v>2221</v>
      </c>
      <c r="H6" s="1235"/>
    </row>
    <row r="7" spans="1:8" hidden="1">
      <c r="A7" s="495" t="s">
        <v>2215</v>
      </c>
      <c r="B7" s="399" t="s">
        <v>309</v>
      </c>
      <c r="C7" s="306" t="s">
        <v>81</v>
      </c>
      <c r="D7" s="399" t="s">
        <v>2228</v>
      </c>
      <c r="E7" s="399" t="s">
        <v>2229</v>
      </c>
      <c r="F7" s="399" t="s">
        <v>2229</v>
      </c>
      <c r="G7" s="399" t="s">
        <v>2221</v>
      </c>
      <c r="H7" s="1235"/>
    </row>
    <row r="8" spans="1:8" hidden="1">
      <c r="A8" s="495" t="s">
        <v>2215</v>
      </c>
      <c r="B8" s="399" t="s">
        <v>309</v>
      </c>
      <c r="C8" s="306" t="s">
        <v>81</v>
      </c>
      <c r="D8" s="399" t="s">
        <v>2230</v>
      </c>
      <c r="E8" s="399" t="s">
        <v>2231</v>
      </c>
      <c r="F8" s="399" t="s">
        <v>2231</v>
      </c>
      <c r="G8" s="399" t="s">
        <v>2221</v>
      </c>
      <c r="H8" s="1235"/>
    </row>
    <row r="9" spans="1:8" hidden="1">
      <c r="A9" s="496" t="s">
        <v>2215</v>
      </c>
      <c r="B9" s="401" t="s">
        <v>309</v>
      </c>
      <c r="C9" s="307" t="s">
        <v>81</v>
      </c>
      <c r="D9" s="308" t="s">
        <v>2232</v>
      </c>
      <c r="E9" s="402" t="s">
        <v>2233</v>
      </c>
      <c r="F9" s="402" t="s">
        <v>2233</v>
      </c>
      <c r="G9" s="402" t="s">
        <v>2234</v>
      </c>
      <c r="H9" s="1237"/>
    </row>
    <row r="10" spans="1:8" hidden="1">
      <c r="A10" s="495" t="s">
        <v>2235</v>
      </c>
      <c r="B10" s="399" t="s">
        <v>444</v>
      </c>
      <c r="C10" s="399" t="s">
        <v>213</v>
      </c>
      <c r="D10" s="400">
        <v>2</v>
      </c>
      <c r="E10" s="400" t="s">
        <v>2236</v>
      </c>
      <c r="F10" s="400" t="s">
        <v>2236</v>
      </c>
      <c r="G10" s="400" t="s">
        <v>2237</v>
      </c>
      <c r="H10" s="1235" t="s">
        <v>2238</v>
      </c>
    </row>
    <row r="11" spans="1:8" hidden="1">
      <c r="A11" s="495" t="s">
        <v>2235</v>
      </c>
      <c r="B11" s="399" t="s">
        <v>444</v>
      </c>
      <c r="C11" s="399" t="s">
        <v>213</v>
      </c>
      <c r="D11" s="400">
        <v>3</v>
      </c>
      <c r="E11" s="400" t="s">
        <v>2239</v>
      </c>
      <c r="F11" s="400" t="s">
        <v>2240</v>
      </c>
      <c r="G11" s="400" t="s">
        <v>2237</v>
      </c>
      <c r="H11" s="1235"/>
    </row>
    <row r="12" spans="1:8" hidden="1">
      <c r="A12" s="495" t="s">
        <v>2235</v>
      </c>
      <c r="B12" s="399" t="s">
        <v>444</v>
      </c>
      <c r="C12" s="399" t="s">
        <v>213</v>
      </c>
      <c r="D12" s="400">
        <v>4</v>
      </c>
      <c r="E12" s="400" t="s">
        <v>2241</v>
      </c>
      <c r="F12" s="400" t="s">
        <v>2241</v>
      </c>
      <c r="G12" s="400" t="s">
        <v>2237</v>
      </c>
      <c r="H12" s="1235"/>
    </row>
    <row r="13" spans="1:8" hidden="1">
      <c r="A13" s="495" t="s">
        <v>2235</v>
      </c>
      <c r="B13" s="399" t="s">
        <v>444</v>
      </c>
      <c r="C13" s="399" t="s">
        <v>213</v>
      </c>
      <c r="D13" s="403">
        <v>5</v>
      </c>
      <c r="E13" s="403" t="s">
        <v>2242</v>
      </c>
      <c r="F13" s="399" t="s">
        <v>2242</v>
      </c>
      <c r="G13" s="399" t="s">
        <v>2221</v>
      </c>
      <c r="H13" s="1235"/>
    </row>
    <row r="14" spans="1:8" hidden="1">
      <c r="A14" s="495" t="s">
        <v>2235</v>
      </c>
      <c r="B14" s="399" t="s">
        <v>444</v>
      </c>
      <c r="C14" s="399" t="s">
        <v>213</v>
      </c>
      <c r="D14" s="403">
        <v>7</v>
      </c>
      <c r="E14" s="403" t="s">
        <v>2243</v>
      </c>
      <c r="F14" s="399" t="s">
        <v>2243</v>
      </c>
      <c r="G14" s="399" t="s">
        <v>2221</v>
      </c>
      <c r="H14" s="1235"/>
    </row>
    <row r="15" spans="1:8" hidden="1">
      <c r="A15" s="495" t="s">
        <v>2235</v>
      </c>
      <c r="B15" s="399" t="s">
        <v>444</v>
      </c>
      <c r="C15" s="399" t="s">
        <v>213</v>
      </c>
      <c r="D15" s="403">
        <v>8</v>
      </c>
      <c r="E15" s="403" t="s">
        <v>2244</v>
      </c>
      <c r="F15" s="399" t="s">
        <v>2244</v>
      </c>
      <c r="G15" s="399" t="s">
        <v>2221</v>
      </c>
      <c r="H15" s="1235"/>
    </row>
    <row r="16" spans="1:8" hidden="1">
      <c r="A16" s="495" t="s">
        <v>2235</v>
      </c>
      <c r="B16" s="399" t="s">
        <v>444</v>
      </c>
      <c r="C16" s="399" t="s">
        <v>213</v>
      </c>
      <c r="D16" s="403">
        <v>9</v>
      </c>
      <c r="E16" s="403" t="s">
        <v>2245</v>
      </c>
      <c r="F16" s="399" t="s">
        <v>2245</v>
      </c>
      <c r="G16" s="399" t="s">
        <v>2221</v>
      </c>
      <c r="H16" s="1235"/>
    </row>
    <row r="17" spans="1:8" hidden="1">
      <c r="A17" s="495" t="s">
        <v>2235</v>
      </c>
      <c r="B17" s="399" t="s">
        <v>444</v>
      </c>
      <c r="C17" s="399" t="s">
        <v>213</v>
      </c>
      <c r="D17" s="403">
        <v>10</v>
      </c>
      <c r="E17" s="403" t="s">
        <v>2246</v>
      </c>
      <c r="F17" s="399" t="s">
        <v>2246</v>
      </c>
      <c r="G17" s="399" t="s">
        <v>2221</v>
      </c>
      <c r="H17" s="1235"/>
    </row>
    <row r="18" spans="1:8" hidden="1">
      <c r="A18" s="495" t="s">
        <v>2235</v>
      </c>
      <c r="B18" s="399" t="s">
        <v>444</v>
      </c>
      <c r="C18" s="399" t="s">
        <v>213</v>
      </c>
      <c r="D18" s="403">
        <v>12</v>
      </c>
      <c r="E18" s="403" t="s">
        <v>2247</v>
      </c>
      <c r="F18" s="399" t="s">
        <v>2247</v>
      </c>
      <c r="G18" s="399" t="s">
        <v>2221</v>
      </c>
      <c r="H18" s="1235"/>
    </row>
    <row r="19" spans="1:8" hidden="1">
      <c r="A19" s="495" t="s">
        <v>2235</v>
      </c>
      <c r="B19" s="399" t="s">
        <v>444</v>
      </c>
      <c r="C19" s="399" t="s">
        <v>213</v>
      </c>
      <c r="D19" s="400">
        <v>13</v>
      </c>
      <c r="E19" s="400" t="s">
        <v>2248</v>
      </c>
      <c r="F19" s="400" t="s">
        <v>2248</v>
      </c>
      <c r="G19" s="400" t="s">
        <v>2237</v>
      </c>
      <c r="H19" s="1235"/>
    </row>
    <row r="20" spans="1:8" hidden="1">
      <c r="A20" s="495" t="s">
        <v>2235</v>
      </c>
      <c r="B20" s="399" t="s">
        <v>444</v>
      </c>
      <c r="C20" s="399" t="s">
        <v>213</v>
      </c>
      <c r="D20" s="403">
        <v>15</v>
      </c>
      <c r="E20" s="403" t="s">
        <v>2249</v>
      </c>
      <c r="F20" s="399" t="s">
        <v>2249</v>
      </c>
      <c r="G20" s="399" t="s">
        <v>2221</v>
      </c>
      <c r="H20" s="1235"/>
    </row>
    <row r="21" spans="1:8" hidden="1">
      <c r="A21" s="495" t="s">
        <v>2235</v>
      </c>
      <c r="B21" s="399" t="s">
        <v>444</v>
      </c>
      <c r="C21" s="399" t="s">
        <v>213</v>
      </c>
      <c r="D21" s="400">
        <v>16</v>
      </c>
      <c r="E21" s="400" t="s">
        <v>2250</v>
      </c>
      <c r="F21" s="400" t="s">
        <v>2250</v>
      </c>
      <c r="G21" s="400" t="s">
        <v>2237</v>
      </c>
      <c r="H21" s="1235"/>
    </row>
    <row r="22" spans="1:8" hidden="1">
      <c r="A22" s="495" t="s">
        <v>2235</v>
      </c>
      <c r="B22" s="399" t="s">
        <v>444</v>
      </c>
      <c r="C22" s="399" t="s">
        <v>213</v>
      </c>
      <c r="D22" s="400">
        <v>17</v>
      </c>
      <c r="E22" s="400" t="s">
        <v>2251</v>
      </c>
      <c r="F22" s="400" t="s">
        <v>2251</v>
      </c>
      <c r="G22" s="400" t="s">
        <v>2237</v>
      </c>
      <c r="H22" s="1235"/>
    </row>
    <row r="23" spans="1:8" hidden="1">
      <c r="A23" s="495" t="s">
        <v>2235</v>
      </c>
      <c r="B23" s="399" t="s">
        <v>444</v>
      </c>
      <c r="C23" s="399" t="s">
        <v>213</v>
      </c>
      <c r="D23" s="399">
        <v>18</v>
      </c>
      <c r="E23" s="399" t="s">
        <v>2252</v>
      </c>
      <c r="F23" s="399" t="s">
        <v>2253</v>
      </c>
      <c r="G23" s="399" t="s">
        <v>2221</v>
      </c>
      <c r="H23" s="1235"/>
    </row>
    <row r="24" spans="1:8" hidden="1">
      <c r="A24" s="495" t="s">
        <v>2235</v>
      </c>
      <c r="B24" s="399" t="s">
        <v>444</v>
      </c>
      <c r="C24" s="399" t="s">
        <v>213</v>
      </c>
      <c r="D24" s="400" t="s">
        <v>2233</v>
      </c>
      <c r="E24" s="400" t="s">
        <v>2244</v>
      </c>
      <c r="F24" s="400" t="s">
        <v>2244</v>
      </c>
      <c r="G24" s="400" t="s">
        <v>2254</v>
      </c>
      <c r="H24" s="1235"/>
    </row>
    <row r="25" spans="1:8" hidden="1">
      <c r="A25" s="495" t="s">
        <v>2235</v>
      </c>
      <c r="B25" s="399" t="s">
        <v>444</v>
      </c>
      <c r="C25" s="399" t="s">
        <v>213</v>
      </c>
      <c r="D25" s="400" t="s">
        <v>2233</v>
      </c>
      <c r="E25" s="400" t="s">
        <v>2245</v>
      </c>
      <c r="F25" s="400" t="s">
        <v>2245</v>
      </c>
      <c r="G25" s="400" t="s">
        <v>2254</v>
      </c>
      <c r="H25" s="1235"/>
    </row>
    <row r="26" spans="1:8" hidden="1">
      <c r="A26" s="495" t="s">
        <v>2235</v>
      </c>
      <c r="B26" s="399" t="s">
        <v>444</v>
      </c>
      <c r="C26" s="399" t="s">
        <v>213</v>
      </c>
      <c r="D26" s="400" t="s">
        <v>2233</v>
      </c>
      <c r="E26" s="400" t="s">
        <v>2255</v>
      </c>
      <c r="F26" s="400" t="s">
        <v>2255</v>
      </c>
      <c r="G26" s="400" t="s">
        <v>2254</v>
      </c>
      <c r="H26" s="1235"/>
    </row>
    <row r="27" spans="1:8" hidden="1">
      <c r="A27" s="495" t="s">
        <v>2235</v>
      </c>
      <c r="B27" s="399" t="s">
        <v>444</v>
      </c>
      <c r="C27" s="399" t="s">
        <v>213</v>
      </c>
      <c r="D27" s="400" t="s">
        <v>2233</v>
      </c>
      <c r="E27" s="400" t="s">
        <v>2256</v>
      </c>
      <c r="F27" s="400" t="s">
        <v>2256</v>
      </c>
      <c r="G27" s="400" t="s">
        <v>2254</v>
      </c>
      <c r="H27" s="1235"/>
    </row>
    <row r="28" spans="1:8" hidden="1">
      <c r="A28" s="495" t="s">
        <v>2235</v>
      </c>
      <c r="B28" s="399" t="s">
        <v>444</v>
      </c>
      <c r="C28" s="399" t="s">
        <v>213</v>
      </c>
      <c r="D28" s="400" t="s">
        <v>2233</v>
      </c>
      <c r="E28" s="400" t="s">
        <v>2257</v>
      </c>
      <c r="F28" s="400" t="s">
        <v>2257</v>
      </c>
      <c r="G28" s="400" t="s">
        <v>2254</v>
      </c>
      <c r="H28" s="1235"/>
    </row>
    <row r="29" spans="1:8" hidden="1">
      <c r="A29" s="495" t="s">
        <v>2235</v>
      </c>
      <c r="B29" s="399" t="s">
        <v>444</v>
      </c>
      <c r="C29" s="399" t="s">
        <v>213</v>
      </c>
      <c r="D29" s="400" t="s">
        <v>2233</v>
      </c>
      <c r="E29" s="400" t="s">
        <v>2258</v>
      </c>
      <c r="F29" s="400" t="s">
        <v>2258</v>
      </c>
      <c r="G29" s="400" t="s">
        <v>2254</v>
      </c>
      <c r="H29" s="1235"/>
    </row>
    <row r="30" spans="1:8" hidden="1">
      <c r="A30" s="495" t="s">
        <v>2235</v>
      </c>
      <c r="B30" s="399" t="s">
        <v>444</v>
      </c>
      <c r="C30" s="399" t="s">
        <v>213</v>
      </c>
      <c r="D30" s="400" t="s">
        <v>2233</v>
      </c>
      <c r="E30" s="400" t="s">
        <v>2259</v>
      </c>
      <c r="F30" s="400" t="s">
        <v>2259</v>
      </c>
      <c r="G30" s="400" t="s">
        <v>2254</v>
      </c>
      <c r="H30" s="1235"/>
    </row>
    <row r="31" spans="1:8" hidden="1">
      <c r="A31" s="495" t="s">
        <v>2235</v>
      </c>
      <c r="B31" s="399" t="s">
        <v>444</v>
      </c>
      <c r="C31" s="399" t="s">
        <v>213</v>
      </c>
      <c r="D31" s="400" t="s">
        <v>2233</v>
      </c>
      <c r="E31" s="400" t="s">
        <v>2260</v>
      </c>
      <c r="F31" s="400" t="s">
        <v>2260</v>
      </c>
      <c r="G31" s="400" t="s">
        <v>2254</v>
      </c>
      <c r="H31" s="1235"/>
    </row>
    <row r="32" spans="1:8" hidden="1">
      <c r="A32" s="497" t="s">
        <v>2235</v>
      </c>
      <c r="B32" s="404" t="s">
        <v>444</v>
      </c>
      <c r="C32" s="404" t="s">
        <v>213</v>
      </c>
      <c r="D32" s="405" t="s">
        <v>2233</v>
      </c>
      <c r="E32" s="405" t="s">
        <v>2261</v>
      </c>
      <c r="F32" s="405" t="s">
        <v>2261</v>
      </c>
      <c r="G32" s="405" t="s">
        <v>2254</v>
      </c>
      <c r="H32" s="1235"/>
    </row>
    <row r="33" spans="1:8" hidden="1">
      <c r="A33" s="498" t="s">
        <v>2262</v>
      </c>
      <c r="B33" s="406" t="s">
        <v>556</v>
      </c>
      <c r="C33" s="406" t="s">
        <v>84</v>
      </c>
      <c r="D33" s="406">
        <v>20</v>
      </c>
      <c r="E33" s="406" t="s">
        <v>2263</v>
      </c>
      <c r="F33" s="406" t="s">
        <v>2264</v>
      </c>
      <c r="G33" s="406" t="s">
        <v>2221</v>
      </c>
      <c r="H33" s="1234" t="s">
        <v>2265</v>
      </c>
    </row>
    <row r="34" spans="1:8" hidden="1">
      <c r="A34" s="495" t="s">
        <v>2262</v>
      </c>
      <c r="B34" s="399" t="s">
        <v>556</v>
      </c>
      <c r="C34" s="399" t="s">
        <v>84</v>
      </c>
      <c r="D34" s="399">
        <v>51</v>
      </c>
      <c r="E34" s="399" t="s">
        <v>2266</v>
      </c>
      <c r="F34" s="399" t="s">
        <v>2266</v>
      </c>
      <c r="G34" s="399" t="s">
        <v>2221</v>
      </c>
      <c r="H34" s="1235"/>
    </row>
    <row r="35" spans="1:8" hidden="1">
      <c r="A35" s="495" t="s">
        <v>2262</v>
      </c>
      <c r="B35" s="399" t="s">
        <v>556</v>
      </c>
      <c r="C35" s="399" t="s">
        <v>84</v>
      </c>
      <c r="D35" s="399">
        <v>71</v>
      </c>
      <c r="E35" s="399" t="s">
        <v>2267</v>
      </c>
      <c r="F35" s="399" t="s">
        <v>2251</v>
      </c>
      <c r="G35" s="399" t="s">
        <v>2221</v>
      </c>
      <c r="H35" s="1235"/>
    </row>
    <row r="36" spans="1:8" hidden="1">
      <c r="A36" s="495" t="s">
        <v>2262</v>
      </c>
      <c r="B36" s="399" t="s">
        <v>556</v>
      </c>
      <c r="C36" s="399" t="s">
        <v>84</v>
      </c>
      <c r="D36" s="399">
        <v>80</v>
      </c>
      <c r="E36" s="399" t="s">
        <v>2268</v>
      </c>
      <c r="F36" s="399" t="s">
        <v>2269</v>
      </c>
      <c r="G36" s="399" t="s">
        <v>2221</v>
      </c>
      <c r="H36" s="1235"/>
    </row>
    <row r="37" spans="1:8" hidden="1">
      <c r="A37" s="495" t="s">
        <v>2262</v>
      </c>
      <c r="B37" s="399" t="s">
        <v>556</v>
      </c>
      <c r="C37" s="399" t="s">
        <v>84</v>
      </c>
      <c r="D37" s="399">
        <v>1000</v>
      </c>
      <c r="E37" s="399" t="s">
        <v>2267</v>
      </c>
      <c r="F37" s="399" t="s">
        <v>2270</v>
      </c>
      <c r="G37" s="399" t="s">
        <v>2221</v>
      </c>
      <c r="H37" s="1235"/>
    </row>
    <row r="38" spans="1:8" hidden="1">
      <c r="A38" s="495" t="s">
        <v>2262</v>
      </c>
      <c r="B38" s="399" t="s">
        <v>556</v>
      </c>
      <c r="C38" s="399" t="s">
        <v>84</v>
      </c>
      <c r="D38" s="399">
        <v>1001</v>
      </c>
      <c r="E38" s="399" t="s">
        <v>2271</v>
      </c>
      <c r="F38" s="399" t="s">
        <v>2271</v>
      </c>
      <c r="G38" s="399" t="s">
        <v>2221</v>
      </c>
      <c r="H38" s="1235"/>
    </row>
    <row r="39" spans="1:8" hidden="1">
      <c r="A39" s="495" t="s">
        <v>2262</v>
      </c>
      <c r="B39" s="399" t="s">
        <v>556</v>
      </c>
      <c r="C39" s="399" t="s">
        <v>84</v>
      </c>
      <c r="D39" s="399">
        <v>1002</v>
      </c>
      <c r="E39" s="399" t="s">
        <v>2272</v>
      </c>
      <c r="F39" s="399" t="s">
        <v>2272</v>
      </c>
      <c r="G39" s="399" t="s">
        <v>2221</v>
      </c>
      <c r="H39" s="1235"/>
    </row>
    <row r="40" spans="1:8" hidden="1">
      <c r="A40" s="495" t="s">
        <v>2262</v>
      </c>
      <c r="B40" s="399" t="s">
        <v>556</v>
      </c>
      <c r="C40" s="399" t="s">
        <v>84</v>
      </c>
      <c r="D40" s="399">
        <v>1003</v>
      </c>
      <c r="E40" s="399" t="s">
        <v>2267</v>
      </c>
      <c r="F40" s="399" t="s">
        <v>2273</v>
      </c>
      <c r="G40" s="399" t="s">
        <v>2221</v>
      </c>
      <c r="H40" s="1235"/>
    </row>
    <row r="41" spans="1:8" hidden="1">
      <c r="A41" s="495" t="s">
        <v>2262</v>
      </c>
      <c r="B41" s="399" t="s">
        <v>556</v>
      </c>
      <c r="C41" s="399" t="s">
        <v>84</v>
      </c>
      <c r="D41" s="399">
        <v>1004</v>
      </c>
      <c r="E41" s="399" t="s">
        <v>2274</v>
      </c>
      <c r="F41" s="399" t="s">
        <v>2275</v>
      </c>
      <c r="G41" s="399" t="s">
        <v>2221</v>
      </c>
      <c r="H41" s="1235"/>
    </row>
    <row r="42" spans="1:8" hidden="1">
      <c r="A42" s="497" t="s">
        <v>2262</v>
      </c>
      <c r="B42" s="404" t="s">
        <v>556</v>
      </c>
      <c r="C42" s="404" t="s">
        <v>84</v>
      </c>
      <c r="D42" s="404">
        <v>1005</v>
      </c>
      <c r="E42" s="404" t="s">
        <v>2267</v>
      </c>
      <c r="F42" s="404" t="s">
        <v>45</v>
      </c>
      <c r="G42" s="404" t="s">
        <v>2221</v>
      </c>
      <c r="H42" s="1236"/>
    </row>
    <row r="43" spans="1:8" hidden="1">
      <c r="A43" s="498" t="s">
        <v>2262</v>
      </c>
      <c r="B43" s="406" t="s">
        <v>568</v>
      </c>
      <c r="C43" s="406" t="s">
        <v>83</v>
      </c>
      <c r="D43" s="406">
        <v>1</v>
      </c>
      <c r="E43" s="406" t="s">
        <v>2276</v>
      </c>
      <c r="F43" s="406" t="s">
        <v>2276</v>
      </c>
      <c r="G43" s="406" t="s">
        <v>2221</v>
      </c>
      <c r="H43" s="1234" t="s">
        <v>2277</v>
      </c>
    </row>
    <row r="44" spans="1:8" hidden="1">
      <c r="A44" s="495" t="s">
        <v>2262</v>
      </c>
      <c r="B44" s="399" t="s">
        <v>568</v>
      </c>
      <c r="C44" s="399" t="s">
        <v>83</v>
      </c>
      <c r="D44" s="399">
        <v>2</v>
      </c>
      <c r="E44" s="399" t="s">
        <v>2278</v>
      </c>
      <c r="F44" s="399" t="s">
        <v>2278</v>
      </c>
      <c r="G44" s="399" t="s">
        <v>2221</v>
      </c>
      <c r="H44" s="1235"/>
    </row>
    <row r="45" spans="1:8" hidden="1">
      <c r="A45" s="495" t="s">
        <v>2262</v>
      </c>
      <c r="B45" s="399" t="s">
        <v>568</v>
      </c>
      <c r="C45" s="399" t="s">
        <v>83</v>
      </c>
      <c r="D45" s="399">
        <v>5</v>
      </c>
      <c r="E45" s="399" t="s">
        <v>2267</v>
      </c>
      <c r="F45" s="399" t="s">
        <v>2279</v>
      </c>
      <c r="G45" s="399" t="s">
        <v>2221</v>
      </c>
      <c r="H45" s="1235"/>
    </row>
    <row r="46" spans="1:8" hidden="1">
      <c r="A46" s="495" t="s">
        <v>2262</v>
      </c>
      <c r="B46" s="399" t="s">
        <v>568</v>
      </c>
      <c r="C46" s="399" t="s">
        <v>83</v>
      </c>
      <c r="D46" s="399" t="s">
        <v>2280</v>
      </c>
      <c r="E46" s="399" t="s">
        <v>2267</v>
      </c>
      <c r="F46" s="399" t="s">
        <v>2279</v>
      </c>
      <c r="G46" s="399" t="s">
        <v>2221</v>
      </c>
      <c r="H46" s="1235"/>
    </row>
    <row r="47" spans="1:8" hidden="1">
      <c r="A47" s="495" t="s">
        <v>2262</v>
      </c>
      <c r="B47" s="399" t="s">
        <v>568</v>
      </c>
      <c r="C47" s="399" t="s">
        <v>83</v>
      </c>
      <c r="D47" s="399" t="s">
        <v>2281</v>
      </c>
      <c r="E47" s="399" t="s">
        <v>2282</v>
      </c>
      <c r="F47" s="399" t="s">
        <v>2282</v>
      </c>
      <c r="G47" s="399" t="s">
        <v>2221</v>
      </c>
      <c r="H47" s="1235"/>
    </row>
    <row r="48" spans="1:8" hidden="1">
      <c r="A48" s="495" t="s">
        <v>2262</v>
      </c>
      <c r="B48" s="399" t="s">
        <v>568</v>
      </c>
      <c r="C48" s="399" t="s">
        <v>83</v>
      </c>
      <c r="D48" s="399" t="s">
        <v>2283</v>
      </c>
      <c r="E48" s="399" t="s">
        <v>2276</v>
      </c>
      <c r="F48" s="399" t="s">
        <v>2276</v>
      </c>
      <c r="G48" s="399" t="s">
        <v>2221</v>
      </c>
      <c r="H48" s="1235"/>
    </row>
    <row r="49" spans="1:8" hidden="1">
      <c r="A49" s="495" t="s">
        <v>2262</v>
      </c>
      <c r="B49" s="399" t="s">
        <v>568</v>
      </c>
      <c r="C49" s="399" t="s">
        <v>83</v>
      </c>
      <c r="D49" s="399" t="s">
        <v>2284</v>
      </c>
      <c r="E49" s="399" t="s">
        <v>2267</v>
      </c>
      <c r="F49" s="399" t="s">
        <v>2279</v>
      </c>
      <c r="G49" s="399" t="s">
        <v>2221</v>
      </c>
      <c r="H49" s="1235"/>
    </row>
    <row r="50" spans="1:8" hidden="1">
      <c r="A50" s="495" t="s">
        <v>2262</v>
      </c>
      <c r="B50" s="399" t="s">
        <v>568</v>
      </c>
      <c r="C50" s="399" t="s">
        <v>83</v>
      </c>
      <c r="D50" s="399" t="s">
        <v>2285</v>
      </c>
      <c r="E50" s="399" t="s">
        <v>2267</v>
      </c>
      <c r="F50" s="399" t="s">
        <v>2279</v>
      </c>
      <c r="G50" s="399" t="s">
        <v>2221</v>
      </c>
      <c r="H50" s="1235"/>
    </row>
    <row r="51" spans="1:8" hidden="1">
      <c r="A51" s="495" t="s">
        <v>2262</v>
      </c>
      <c r="B51" s="399" t="s">
        <v>568</v>
      </c>
      <c r="C51" s="399" t="s">
        <v>83</v>
      </c>
      <c r="D51" s="399" t="s">
        <v>2286</v>
      </c>
      <c r="E51" s="399" t="s">
        <v>2278</v>
      </c>
      <c r="F51" s="399" t="s">
        <v>2278</v>
      </c>
      <c r="G51" s="399" t="s">
        <v>2221</v>
      </c>
      <c r="H51" s="1235"/>
    </row>
    <row r="52" spans="1:8" hidden="1">
      <c r="A52" s="495" t="s">
        <v>2262</v>
      </c>
      <c r="B52" s="399" t="s">
        <v>568</v>
      </c>
      <c r="C52" s="399" t="s">
        <v>83</v>
      </c>
      <c r="D52" s="399" t="s">
        <v>2287</v>
      </c>
      <c r="E52" s="399" t="s">
        <v>2278</v>
      </c>
      <c r="F52" s="399" t="s">
        <v>2278</v>
      </c>
      <c r="G52" s="399" t="s">
        <v>2221</v>
      </c>
      <c r="H52" s="1235"/>
    </row>
    <row r="53" spans="1:8" hidden="1">
      <c r="A53" s="495" t="s">
        <v>2262</v>
      </c>
      <c r="B53" s="399" t="s">
        <v>568</v>
      </c>
      <c r="C53" s="399" t="s">
        <v>83</v>
      </c>
      <c r="D53" s="399" t="s">
        <v>2288</v>
      </c>
      <c r="E53" s="399" t="s">
        <v>2289</v>
      </c>
      <c r="F53" s="399" t="s">
        <v>2289</v>
      </c>
      <c r="G53" s="399" t="s">
        <v>2221</v>
      </c>
      <c r="H53" s="1235"/>
    </row>
    <row r="54" spans="1:8" hidden="1">
      <c r="A54" s="495" t="s">
        <v>2262</v>
      </c>
      <c r="B54" s="399" t="s">
        <v>568</v>
      </c>
      <c r="C54" s="399" t="s">
        <v>83</v>
      </c>
      <c r="D54" s="399" t="s">
        <v>2290</v>
      </c>
      <c r="E54" s="399" t="s">
        <v>2267</v>
      </c>
      <c r="F54" s="399" t="s">
        <v>2279</v>
      </c>
      <c r="G54" s="399" t="s">
        <v>2221</v>
      </c>
      <c r="H54" s="1235"/>
    </row>
    <row r="55" spans="1:8" hidden="1">
      <c r="A55" s="497" t="s">
        <v>2262</v>
      </c>
      <c r="B55" s="404" t="s">
        <v>568</v>
      </c>
      <c r="C55" s="404" t="s">
        <v>83</v>
      </c>
      <c r="D55" s="404" t="s">
        <v>2291</v>
      </c>
      <c r="E55" s="404" t="s">
        <v>2282</v>
      </c>
      <c r="F55" s="404" t="s">
        <v>2282</v>
      </c>
      <c r="G55" s="404" t="s">
        <v>2221</v>
      </c>
      <c r="H55" s="1236"/>
    </row>
    <row r="56" spans="1:8" hidden="1">
      <c r="A56" s="498" t="s">
        <v>2292</v>
      </c>
      <c r="B56" s="406" t="s">
        <v>631</v>
      </c>
      <c r="C56" s="406" t="s">
        <v>108</v>
      </c>
      <c r="D56" s="406">
        <v>0</v>
      </c>
      <c r="E56" s="406" t="s">
        <v>2293</v>
      </c>
      <c r="F56" s="406" t="s">
        <v>2294</v>
      </c>
      <c r="G56" s="406" t="s">
        <v>2221</v>
      </c>
      <c r="H56" s="1234" t="s">
        <v>2295</v>
      </c>
    </row>
    <row r="57" spans="1:8" hidden="1">
      <c r="A57" s="495" t="s">
        <v>2292</v>
      </c>
      <c r="B57" s="399" t="s">
        <v>631</v>
      </c>
      <c r="C57" s="399" t="s">
        <v>108</v>
      </c>
      <c r="D57" s="399">
        <v>101</v>
      </c>
      <c r="E57" s="399" t="s">
        <v>2293</v>
      </c>
      <c r="F57" s="399" t="s">
        <v>2294</v>
      </c>
      <c r="G57" s="399" t="s">
        <v>2221</v>
      </c>
      <c r="H57" s="1235"/>
    </row>
    <row r="58" spans="1:8" hidden="1">
      <c r="A58" s="495" t="s">
        <v>2292</v>
      </c>
      <c r="B58" s="399" t="s">
        <v>631</v>
      </c>
      <c r="C58" s="399" t="s">
        <v>108</v>
      </c>
      <c r="D58" s="399">
        <v>115</v>
      </c>
      <c r="E58" s="399" t="s">
        <v>2293</v>
      </c>
      <c r="F58" s="399" t="s">
        <v>2294</v>
      </c>
      <c r="G58" s="399" t="s">
        <v>2221</v>
      </c>
      <c r="H58" s="1235"/>
    </row>
    <row r="59" spans="1:8" hidden="1">
      <c r="A59" s="495" t="s">
        <v>2292</v>
      </c>
      <c r="B59" s="399" t="s">
        <v>631</v>
      </c>
      <c r="C59" s="399" t="s">
        <v>108</v>
      </c>
      <c r="D59" s="399">
        <v>201</v>
      </c>
      <c r="E59" s="399" t="s">
        <v>2296</v>
      </c>
      <c r="F59" s="399" t="s">
        <v>2297</v>
      </c>
      <c r="G59" s="399" t="s">
        <v>2221</v>
      </c>
      <c r="H59" s="1235"/>
    </row>
    <row r="60" spans="1:8" hidden="1">
      <c r="A60" s="495" t="s">
        <v>2292</v>
      </c>
      <c r="B60" s="399" t="s">
        <v>631</v>
      </c>
      <c r="C60" s="399" t="s">
        <v>108</v>
      </c>
      <c r="D60" s="399">
        <v>202</v>
      </c>
      <c r="E60" s="399" t="s">
        <v>2293</v>
      </c>
      <c r="F60" s="399" t="s">
        <v>2294</v>
      </c>
      <c r="G60" s="399" t="s">
        <v>2221</v>
      </c>
      <c r="H60" s="1235"/>
    </row>
    <row r="61" spans="1:8" hidden="1">
      <c r="A61" s="495" t="s">
        <v>2292</v>
      </c>
      <c r="B61" s="399" t="s">
        <v>631</v>
      </c>
      <c r="C61" s="399" t="s">
        <v>108</v>
      </c>
      <c r="D61" s="399">
        <v>203</v>
      </c>
      <c r="E61" s="399" t="s">
        <v>2296</v>
      </c>
      <c r="F61" s="399" t="s">
        <v>2298</v>
      </c>
      <c r="G61" s="399" t="s">
        <v>2221</v>
      </c>
      <c r="H61" s="1235"/>
    </row>
    <row r="62" spans="1:8" hidden="1">
      <c r="A62" s="495" t="s">
        <v>2292</v>
      </c>
      <c r="B62" s="399" t="s">
        <v>631</v>
      </c>
      <c r="C62" s="399" t="s">
        <v>108</v>
      </c>
      <c r="D62" s="399">
        <v>204</v>
      </c>
      <c r="E62" s="399" t="s">
        <v>2293</v>
      </c>
      <c r="F62" s="399" t="s">
        <v>2294</v>
      </c>
      <c r="G62" s="399" t="s">
        <v>2221</v>
      </c>
      <c r="H62" s="1235"/>
    </row>
    <row r="63" spans="1:8" hidden="1">
      <c r="A63" s="495" t="s">
        <v>2292</v>
      </c>
      <c r="B63" s="399" t="s">
        <v>631</v>
      </c>
      <c r="C63" s="399" t="s">
        <v>108</v>
      </c>
      <c r="D63" s="399">
        <v>205</v>
      </c>
      <c r="E63" s="399" t="s">
        <v>2293</v>
      </c>
      <c r="F63" s="399" t="s">
        <v>2294</v>
      </c>
      <c r="G63" s="399" t="s">
        <v>2221</v>
      </c>
      <c r="H63" s="1235"/>
    </row>
    <row r="64" spans="1:8" hidden="1">
      <c r="A64" s="495" t="s">
        <v>2292</v>
      </c>
      <c r="B64" s="399" t="s">
        <v>631</v>
      </c>
      <c r="C64" s="399" t="s">
        <v>108</v>
      </c>
      <c r="D64" s="399">
        <v>206</v>
      </c>
      <c r="E64" s="399" t="s">
        <v>2296</v>
      </c>
      <c r="F64" s="399" t="s">
        <v>2299</v>
      </c>
      <c r="G64" s="399" t="s">
        <v>2221</v>
      </c>
      <c r="H64" s="1235"/>
    </row>
    <row r="65" spans="1:8" hidden="1">
      <c r="A65" s="495" t="s">
        <v>2292</v>
      </c>
      <c r="B65" s="399" t="s">
        <v>631</v>
      </c>
      <c r="C65" s="399" t="s">
        <v>108</v>
      </c>
      <c r="D65" s="399">
        <v>207</v>
      </c>
      <c r="E65" s="399" t="s">
        <v>2293</v>
      </c>
      <c r="F65" s="399" t="s">
        <v>2294</v>
      </c>
      <c r="G65" s="399" t="s">
        <v>2221</v>
      </c>
      <c r="H65" s="1235"/>
    </row>
    <row r="66" spans="1:8" hidden="1">
      <c r="A66" s="495" t="s">
        <v>2292</v>
      </c>
      <c r="B66" s="399" t="s">
        <v>631</v>
      </c>
      <c r="C66" s="399" t="s">
        <v>108</v>
      </c>
      <c r="D66" s="399">
        <v>208</v>
      </c>
      <c r="E66" s="399" t="s">
        <v>2293</v>
      </c>
      <c r="F66" s="399" t="s">
        <v>2294</v>
      </c>
      <c r="G66" s="399" t="s">
        <v>2221</v>
      </c>
      <c r="H66" s="1235"/>
    </row>
    <row r="67" spans="1:8" hidden="1">
      <c r="A67" s="495" t="s">
        <v>2292</v>
      </c>
      <c r="B67" s="399" t="s">
        <v>631</v>
      </c>
      <c r="C67" s="399" t="s">
        <v>108</v>
      </c>
      <c r="D67" s="399">
        <v>209</v>
      </c>
      <c r="E67" s="399" t="s">
        <v>2293</v>
      </c>
      <c r="F67" s="399" t="s">
        <v>2294</v>
      </c>
      <c r="G67" s="399" t="s">
        <v>2221</v>
      </c>
      <c r="H67" s="1235"/>
    </row>
    <row r="68" spans="1:8" hidden="1">
      <c r="A68" s="495" t="s">
        <v>2292</v>
      </c>
      <c r="B68" s="399" t="s">
        <v>631</v>
      </c>
      <c r="C68" s="399" t="s">
        <v>108</v>
      </c>
      <c r="D68" s="399">
        <v>210</v>
      </c>
      <c r="E68" s="399" t="s">
        <v>2293</v>
      </c>
      <c r="F68" s="399" t="s">
        <v>2294</v>
      </c>
      <c r="G68" s="399" t="s">
        <v>2221</v>
      </c>
      <c r="H68" s="1235"/>
    </row>
    <row r="69" spans="1:8" hidden="1">
      <c r="A69" s="495" t="s">
        <v>2292</v>
      </c>
      <c r="B69" s="399" t="s">
        <v>631</v>
      </c>
      <c r="C69" s="399" t="s">
        <v>108</v>
      </c>
      <c r="D69" s="399">
        <v>211</v>
      </c>
      <c r="E69" s="399" t="s">
        <v>2293</v>
      </c>
      <c r="F69" s="399" t="s">
        <v>2294</v>
      </c>
      <c r="G69" s="399" t="s">
        <v>2221</v>
      </c>
      <c r="H69" s="1235"/>
    </row>
    <row r="70" spans="1:8" hidden="1">
      <c r="A70" s="495" t="s">
        <v>2292</v>
      </c>
      <c r="B70" s="399" t="s">
        <v>631</v>
      </c>
      <c r="C70" s="399" t="s">
        <v>108</v>
      </c>
      <c r="D70" s="399">
        <v>212</v>
      </c>
      <c r="E70" s="399" t="s">
        <v>2296</v>
      </c>
      <c r="F70" s="399" t="s">
        <v>2300</v>
      </c>
      <c r="G70" s="399" t="s">
        <v>2221</v>
      </c>
      <c r="H70" s="1235"/>
    </row>
    <row r="71" spans="1:8" hidden="1">
      <c r="A71" s="495" t="s">
        <v>2292</v>
      </c>
      <c r="B71" s="399" t="s">
        <v>631</v>
      </c>
      <c r="C71" s="399" t="s">
        <v>108</v>
      </c>
      <c r="D71" s="399">
        <v>213</v>
      </c>
      <c r="E71" s="399" t="s">
        <v>2293</v>
      </c>
      <c r="F71" s="399" t="s">
        <v>2294</v>
      </c>
      <c r="G71" s="399" t="s">
        <v>2221</v>
      </c>
      <c r="H71" s="1235"/>
    </row>
    <row r="72" spans="1:8" hidden="1">
      <c r="A72" s="495" t="s">
        <v>2292</v>
      </c>
      <c r="B72" s="399" t="s">
        <v>631</v>
      </c>
      <c r="C72" s="399" t="s">
        <v>108</v>
      </c>
      <c r="D72" s="399">
        <v>214</v>
      </c>
      <c r="E72" s="399" t="s">
        <v>2293</v>
      </c>
      <c r="F72" s="399" t="s">
        <v>2294</v>
      </c>
      <c r="G72" s="399" t="s">
        <v>2221</v>
      </c>
      <c r="H72" s="1235"/>
    </row>
    <row r="73" spans="1:8" hidden="1">
      <c r="A73" s="495" t="s">
        <v>2292</v>
      </c>
      <c r="B73" s="399" t="s">
        <v>631</v>
      </c>
      <c r="C73" s="399" t="s">
        <v>108</v>
      </c>
      <c r="D73" s="399">
        <v>215</v>
      </c>
      <c r="E73" s="399" t="s">
        <v>2293</v>
      </c>
      <c r="F73" s="399" t="s">
        <v>2294</v>
      </c>
      <c r="G73" s="399" t="s">
        <v>2221</v>
      </c>
      <c r="H73" s="1235"/>
    </row>
    <row r="74" spans="1:8" hidden="1">
      <c r="A74" s="495" t="s">
        <v>2292</v>
      </c>
      <c r="B74" s="399" t="s">
        <v>631</v>
      </c>
      <c r="C74" s="399" t="s">
        <v>108</v>
      </c>
      <c r="D74" s="399">
        <v>216</v>
      </c>
      <c r="E74" s="399" t="s">
        <v>2293</v>
      </c>
      <c r="F74" s="399" t="s">
        <v>2294</v>
      </c>
      <c r="G74" s="399" t="s">
        <v>2221</v>
      </c>
      <c r="H74" s="1235"/>
    </row>
    <row r="75" spans="1:8" hidden="1">
      <c r="A75" s="495" t="s">
        <v>2292</v>
      </c>
      <c r="B75" s="399" t="s">
        <v>631</v>
      </c>
      <c r="C75" s="399" t="s">
        <v>108</v>
      </c>
      <c r="D75" s="399">
        <v>217</v>
      </c>
      <c r="E75" s="399" t="s">
        <v>2293</v>
      </c>
      <c r="F75" s="399" t="s">
        <v>2294</v>
      </c>
      <c r="G75" s="399" t="s">
        <v>2221</v>
      </c>
      <c r="H75" s="1235"/>
    </row>
    <row r="76" spans="1:8" hidden="1">
      <c r="A76" s="495" t="s">
        <v>2292</v>
      </c>
      <c r="B76" s="399" t="s">
        <v>631</v>
      </c>
      <c r="C76" s="399" t="s">
        <v>108</v>
      </c>
      <c r="D76" s="399">
        <v>218</v>
      </c>
      <c r="E76" s="399" t="s">
        <v>2293</v>
      </c>
      <c r="F76" s="399" t="s">
        <v>2294</v>
      </c>
      <c r="G76" s="399" t="s">
        <v>2221</v>
      </c>
      <c r="H76" s="1235"/>
    </row>
    <row r="77" spans="1:8" hidden="1">
      <c r="A77" s="495" t="s">
        <v>2292</v>
      </c>
      <c r="B77" s="399" t="s">
        <v>631</v>
      </c>
      <c r="C77" s="399" t="s">
        <v>108</v>
      </c>
      <c r="D77" s="399">
        <v>219</v>
      </c>
      <c r="E77" s="399" t="s">
        <v>2293</v>
      </c>
      <c r="F77" s="399" t="s">
        <v>2294</v>
      </c>
      <c r="G77" s="399" t="s">
        <v>2221</v>
      </c>
      <c r="H77" s="1235"/>
    </row>
    <row r="78" spans="1:8" hidden="1">
      <c r="A78" s="495" t="s">
        <v>2292</v>
      </c>
      <c r="B78" s="399" t="s">
        <v>631</v>
      </c>
      <c r="C78" s="399" t="s">
        <v>108</v>
      </c>
      <c r="D78" s="399">
        <v>220</v>
      </c>
      <c r="E78" s="399" t="s">
        <v>2293</v>
      </c>
      <c r="F78" s="399" t="s">
        <v>2294</v>
      </c>
      <c r="G78" s="399" t="s">
        <v>2221</v>
      </c>
      <c r="H78" s="1235"/>
    </row>
    <row r="79" spans="1:8" hidden="1">
      <c r="A79" s="495" t="s">
        <v>2292</v>
      </c>
      <c r="B79" s="399" t="s">
        <v>631</v>
      </c>
      <c r="C79" s="399" t="s">
        <v>108</v>
      </c>
      <c r="D79" s="399">
        <v>221</v>
      </c>
      <c r="E79" s="399" t="s">
        <v>2293</v>
      </c>
      <c r="F79" s="399" t="s">
        <v>2294</v>
      </c>
      <c r="G79" s="399" t="s">
        <v>2221</v>
      </c>
      <c r="H79" s="1235"/>
    </row>
    <row r="80" spans="1:8" hidden="1">
      <c r="A80" s="495" t="s">
        <v>2292</v>
      </c>
      <c r="B80" s="399" t="s">
        <v>631</v>
      </c>
      <c r="C80" s="399" t="s">
        <v>108</v>
      </c>
      <c r="D80" s="399">
        <v>222</v>
      </c>
      <c r="E80" s="399" t="s">
        <v>2293</v>
      </c>
      <c r="F80" s="399" t="s">
        <v>2294</v>
      </c>
      <c r="G80" s="399" t="s">
        <v>2221</v>
      </c>
      <c r="H80" s="1235"/>
    </row>
    <row r="81" spans="1:8" hidden="1">
      <c r="A81" s="495" t="s">
        <v>2292</v>
      </c>
      <c r="B81" s="399" t="s">
        <v>631</v>
      </c>
      <c r="C81" s="399" t="s">
        <v>108</v>
      </c>
      <c r="D81" s="399">
        <v>223</v>
      </c>
      <c r="E81" s="399" t="s">
        <v>2293</v>
      </c>
      <c r="F81" s="399" t="s">
        <v>2294</v>
      </c>
      <c r="G81" s="399" t="s">
        <v>2221</v>
      </c>
      <c r="H81" s="1235"/>
    </row>
    <row r="82" spans="1:8" hidden="1">
      <c r="A82" s="495" t="s">
        <v>2292</v>
      </c>
      <c r="B82" s="399" t="s">
        <v>631</v>
      </c>
      <c r="C82" s="399" t="s">
        <v>108</v>
      </c>
      <c r="D82" s="399">
        <v>224</v>
      </c>
      <c r="E82" s="399" t="s">
        <v>2293</v>
      </c>
      <c r="F82" s="399" t="s">
        <v>2294</v>
      </c>
      <c r="G82" s="399" t="s">
        <v>2221</v>
      </c>
      <c r="H82" s="1235"/>
    </row>
    <row r="83" spans="1:8" hidden="1">
      <c r="A83" s="495" t="s">
        <v>2292</v>
      </c>
      <c r="B83" s="399" t="s">
        <v>631</v>
      </c>
      <c r="C83" s="399" t="s">
        <v>108</v>
      </c>
      <c r="D83" s="399">
        <v>225</v>
      </c>
      <c r="E83" s="399" t="s">
        <v>2293</v>
      </c>
      <c r="F83" s="399" t="s">
        <v>2294</v>
      </c>
      <c r="G83" s="399" t="s">
        <v>2221</v>
      </c>
      <c r="H83" s="1235"/>
    </row>
    <row r="84" spans="1:8" hidden="1">
      <c r="A84" s="495" t="s">
        <v>2292</v>
      </c>
      <c r="B84" s="399" t="s">
        <v>631</v>
      </c>
      <c r="C84" s="399" t="s">
        <v>108</v>
      </c>
      <c r="D84" s="399">
        <v>226</v>
      </c>
      <c r="E84" s="399" t="s">
        <v>2293</v>
      </c>
      <c r="F84" s="399" t="s">
        <v>2294</v>
      </c>
      <c r="G84" s="399" t="s">
        <v>2221</v>
      </c>
      <c r="H84" s="1235"/>
    </row>
    <row r="85" spans="1:8" hidden="1">
      <c r="A85" s="495" t="s">
        <v>2292</v>
      </c>
      <c r="B85" s="399" t="s">
        <v>631</v>
      </c>
      <c r="C85" s="399" t="s">
        <v>108</v>
      </c>
      <c r="D85" s="399">
        <v>227</v>
      </c>
      <c r="E85" s="399" t="s">
        <v>2293</v>
      </c>
      <c r="F85" s="399" t="s">
        <v>2294</v>
      </c>
      <c r="G85" s="399" t="s">
        <v>2221</v>
      </c>
      <c r="H85" s="1235"/>
    </row>
    <row r="86" spans="1:8" hidden="1">
      <c r="A86" s="495" t="s">
        <v>2292</v>
      </c>
      <c r="B86" s="399" t="s">
        <v>631</v>
      </c>
      <c r="C86" s="399" t="s">
        <v>108</v>
      </c>
      <c r="D86" s="399">
        <v>228</v>
      </c>
      <c r="E86" s="399" t="s">
        <v>2293</v>
      </c>
      <c r="F86" s="399" t="s">
        <v>2294</v>
      </c>
      <c r="G86" s="399" t="s">
        <v>2221</v>
      </c>
      <c r="H86" s="1235"/>
    </row>
    <row r="87" spans="1:8" hidden="1">
      <c r="A87" s="495" t="s">
        <v>2292</v>
      </c>
      <c r="B87" s="399" t="s">
        <v>631</v>
      </c>
      <c r="C87" s="399" t="s">
        <v>108</v>
      </c>
      <c r="D87" s="399">
        <v>229</v>
      </c>
      <c r="E87" s="399" t="s">
        <v>2293</v>
      </c>
      <c r="F87" s="399" t="s">
        <v>2294</v>
      </c>
      <c r="G87" s="399" t="s">
        <v>2221</v>
      </c>
      <c r="H87" s="1235"/>
    </row>
    <row r="88" spans="1:8" hidden="1">
      <c r="A88" s="495" t="s">
        <v>2292</v>
      </c>
      <c r="B88" s="399" t="s">
        <v>631</v>
      </c>
      <c r="C88" s="399" t="s">
        <v>108</v>
      </c>
      <c r="D88" s="399">
        <v>230</v>
      </c>
      <c r="E88" s="399" t="s">
        <v>2293</v>
      </c>
      <c r="F88" s="399" t="s">
        <v>2294</v>
      </c>
      <c r="G88" s="399" t="s">
        <v>2221</v>
      </c>
      <c r="H88" s="1235"/>
    </row>
    <row r="89" spans="1:8" hidden="1">
      <c r="A89" s="495" t="s">
        <v>2292</v>
      </c>
      <c r="B89" s="399" t="s">
        <v>631</v>
      </c>
      <c r="C89" s="399" t="s">
        <v>108</v>
      </c>
      <c r="D89" s="399">
        <v>231</v>
      </c>
      <c r="E89" s="399" t="s">
        <v>2293</v>
      </c>
      <c r="F89" s="399" t="s">
        <v>2294</v>
      </c>
      <c r="G89" s="399" t="s">
        <v>2221</v>
      </c>
      <c r="H89" s="1235"/>
    </row>
    <row r="90" spans="1:8" hidden="1">
      <c r="A90" s="495" t="s">
        <v>2292</v>
      </c>
      <c r="B90" s="399" t="s">
        <v>631</v>
      </c>
      <c r="C90" s="399" t="s">
        <v>108</v>
      </c>
      <c r="D90" s="399">
        <v>232</v>
      </c>
      <c r="E90" s="399" t="s">
        <v>2293</v>
      </c>
      <c r="F90" s="399" t="s">
        <v>2294</v>
      </c>
      <c r="G90" s="399" t="s">
        <v>2221</v>
      </c>
      <c r="H90" s="1235"/>
    </row>
    <row r="91" spans="1:8" hidden="1">
      <c r="A91" s="495" t="s">
        <v>2292</v>
      </c>
      <c r="B91" s="399" t="s">
        <v>631</v>
      </c>
      <c r="C91" s="399" t="s">
        <v>108</v>
      </c>
      <c r="D91" s="399">
        <v>233</v>
      </c>
      <c r="E91" s="399" t="s">
        <v>2293</v>
      </c>
      <c r="F91" s="399" t="s">
        <v>2294</v>
      </c>
      <c r="G91" s="399" t="s">
        <v>2221</v>
      </c>
      <c r="H91" s="1235"/>
    </row>
    <row r="92" spans="1:8" hidden="1">
      <c r="A92" s="495" t="s">
        <v>2292</v>
      </c>
      <c r="B92" s="399" t="s">
        <v>631</v>
      </c>
      <c r="C92" s="399" t="s">
        <v>108</v>
      </c>
      <c r="D92" s="399">
        <v>234</v>
      </c>
      <c r="E92" s="399" t="s">
        <v>2293</v>
      </c>
      <c r="F92" s="399" t="s">
        <v>2294</v>
      </c>
      <c r="G92" s="399" t="s">
        <v>2221</v>
      </c>
      <c r="H92" s="1235"/>
    </row>
    <row r="93" spans="1:8" hidden="1">
      <c r="A93" s="495" t="s">
        <v>2292</v>
      </c>
      <c r="B93" s="399" t="s">
        <v>631</v>
      </c>
      <c r="C93" s="399" t="s">
        <v>108</v>
      </c>
      <c r="D93" s="399">
        <v>235</v>
      </c>
      <c r="E93" s="399" t="s">
        <v>2293</v>
      </c>
      <c r="F93" s="399" t="s">
        <v>2294</v>
      </c>
      <c r="G93" s="399" t="s">
        <v>2221</v>
      </c>
      <c r="H93" s="1235"/>
    </row>
    <row r="94" spans="1:8" hidden="1">
      <c r="A94" s="495" t="s">
        <v>2292</v>
      </c>
      <c r="B94" s="399" t="s">
        <v>631</v>
      </c>
      <c r="C94" s="399" t="s">
        <v>108</v>
      </c>
      <c r="D94" s="399">
        <v>236</v>
      </c>
      <c r="E94" s="399" t="s">
        <v>2293</v>
      </c>
      <c r="F94" s="399" t="s">
        <v>2294</v>
      </c>
      <c r="G94" s="399" t="s">
        <v>2221</v>
      </c>
      <c r="H94" s="1235"/>
    </row>
    <row r="95" spans="1:8" hidden="1">
      <c r="A95" s="495" t="s">
        <v>2292</v>
      </c>
      <c r="B95" s="399" t="s">
        <v>631</v>
      </c>
      <c r="C95" s="399" t="s">
        <v>108</v>
      </c>
      <c r="D95" s="399">
        <v>237</v>
      </c>
      <c r="E95" s="399" t="s">
        <v>2293</v>
      </c>
      <c r="F95" s="399" t="s">
        <v>2294</v>
      </c>
      <c r="G95" s="399" t="s">
        <v>2221</v>
      </c>
      <c r="H95" s="1235"/>
    </row>
    <row r="96" spans="1:8" hidden="1">
      <c r="A96" s="495" t="s">
        <v>2292</v>
      </c>
      <c r="B96" s="399" t="s">
        <v>631</v>
      </c>
      <c r="C96" s="399" t="s">
        <v>108</v>
      </c>
      <c r="D96" s="399">
        <v>238</v>
      </c>
      <c r="E96" s="399" t="s">
        <v>2293</v>
      </c>
      <c r="F96" s="399" t="s">
        <v>2294</v>
      </c>
      <c r="G96" s="399" t="s">
        <v>2221</v>
      </c>
      <c r="H96" s="1235"/>
    </row>
    <row r="97" spans="1:8" hidden="1">
      <c r="A97" s="495" t="s">
        <v>2292</v>
      </c>
      <c r="B97" s="399" t="s">
        <v>631</v>
      </c>
      <c r="C97" s="399" t="s">
        <v>108</v>
      </c>
      <c r="D97" s="399">
        <v>239</v>
      </c>
      <c r="E97" s="399" t="s">
        <v>2293</v>
      </c>
      <c r="F97" s="399" t="s">
        <v>2294</v>
      </c>
      <c r="G97" s="399" t="s">
        <v>2221</v>
      </c>
      <c r="H97" s="1235"/>
    </row>
    <row r="98" spans="1:8" hidden="1">
      <c r="A98" s="495" t="s">
        <v>2292</v>
      </c>
      <c r="B98" s="399" t="s">
        <v>631</v>
      </c>
      <c r="C98" s="399" t="s">
        <v>108</v>
      </c>
      <c r="D98" s="399">
        <v>240</v>
      </c>
      <c r="E98" s="399" t="s">
        <v>2293</v>
      </c>
      <c r="F98" s="399" t="s">
        <v>2294</v>
      </c>
      <c r="G98" s="399" t="s">
        <v>2221</v>
      </c>
      <c r="H98" s="1235"/>
    </row>
    <row r="99" spans="1:8" hidden="1">
      <c r="A99" s="495" t="s">
        <v>2292</v>
      </c>
      <c r="B99" s="399" t="s">
        <v>631</v>
      </c>
      <c r="C99" s="399" t="s">
        <v>108</v>
      </c>
      <c r="D99" s="399">
        <v>241</v>
      </c>
      <c r="E99" s="399" t="s">
        <v>2293</v>
      </c>
      <c r="F99" s="399" t="s">
        <v>2294</v>
      </c>
      <c r="G99" s="399" t="s">
        <v>2221</v>
      </c>
      <c r="H99" s="1235"/>
    </row>
    <row r="100" spans="1:8" hidden="1">
      <c r="A100" s="495" t="s">
        <v>2292</v>
      </c>
      <c r="B100" s="399" t="s">
        <v>631</v>
      </c>
      <c r="C100" s="399" t="s">
        <v>108</v>
      </c>
      <c r="D100" s="399">
        <v>242</v>
      </c>
      <c r="E100" s="399" t="s">
        <v>2293</v>
      </c>
      <c r="F100" s="399" t="s">
        <v>2294</v>
      </c>
      <c r="G100" s="399" t="s">
        <v>2221</v>
      </c>
      <c r="H100" s="1235"/>
    </row>
    <row r="101" spans="1:8" hidden="1">
      <c r="A101" s="495" t="s">
        <v>2292</v>
      </c>
      <c r="B101" s="399" t="s">
        <v>631</v>
      </c>
      <c r="C101" s="399" t="s">
        <v>108</v>
      </c>
      <c r="D101" s="399">
        <v>243</v>
      </c>
      <c r="E101" s="399" t="s">
        <v>2293</v>
      </c>
      <c r="F101" s="399" t="s">
        <v>2294</v>
      </c>
      <c r="G101" s="399" t="s">
        <v>2221</v>
      </c>
      <c r="H101" s="1235"/>
    </row>
    <row r="102" spans="1:8" hidden="1">
      <c r="A102" s="495" t="s">
        <v>2292</v>
      </c>
      <c r="B102" s="399" t="s">
        <v>631</v>
      </c>
      <c r="C102" s="399" t="s">
        <v>108</v>
      </c>
      <c r="D102" s="399">
        <v>244</v>
      </c>
      <c r="E102" s="399" t="s">
        <v>2293</v>
      </c>
      <c r="F102" s="399" t="s">
        <v>2294</v>
      </c>
      <c r="G102" s="399" t="s">
        <v>2221</v>
      </c>
      <c r="H102" s="1235"/>
    </row>
    <row r="103" spans="1:8" hidden="1">
      <c r="A103" s="495" t="s">
        <v>2292</v>
      </c>
      <c r="B103" s="399" t="s">
        <v>631</v>
      </c>
      <c r="C103" s="399" t="s">
        <v>108</v>
      </c>
      <c r="D103" s="399">
        <v>245</v>
      </c>
      <c r="E103" s="399" t="s">
        <v>2293</v>
      </c>
      <c r="F103" s="399" t="s">
        <v>2294</v>
      </c>
      <c r="G103" s="399" t="s">
        <v>2221</v>
      </c>
      <c r="H103" s="1235"/>
    </row>
    <row r="104" spans="1:8" hidden="1">
      <c r="A104" s="495" t="s">
        <v>2292</v>
      </c>
      <c r="B104" s="399" t="s">
        <v>631</v>
      </c>
      <c r="C104" s="399" t="s">
        <v>108</v>
      </c>
      <c r="D104" s="399">
        <v>246</v>
      </c>
      <c r="E104" s="399" t="s">
        <v>2293</v>
      </c>
      <c r="F104" s="399" t="s">
        <v>2294</v>
      </c>
      <c r="G104" s="399" t="s">
        <v>2221</v>
      </c>
      <c r="H104" s="1235"/>
    </row>
    <row r="105" spans="1:8" hidden="1">
      <c r="A105" s="495" t="s">
        <v>2292</v>
      </c>
      <c r="B105" s="399" t="s">
        <v>631</v>
      </c>
      <c r="C105" s="399" t="s">
        <v>108</v>
      </c>
      <c r="D105" s="399">
        <v>247</v>
      </c>
      <c r="E105" s="399" t="s">
        <v>2293</v>
      </c>
      <c r="F105" s="399" t="s">
        <v>2294</v>
      </c>
      <c r="G105" s="399" t="s">
        <v>2221</v>
      </c>
      <c r="H105" s="1235"/>
    </row>
    <row r="106" spans="1:8" hidden="1">
      <c r="A106" s="495" t="s">
        <v>2292</v>
      </c>
      <c r="B106" s="399" t="s">
        <v>631</v>
      </c>
      <c r="C106" s="399" t="s">
        <v>108</v>
      </c>
      <c r="D106" s="399">
        <v>248</v>
      </c>
      <c r="E106" s="399" t="s">
        <v>2293</v>
      </c>
      <c r="F106" s="399" t="s">
        <v>2294</v>
      </c>
      <c r="G106" s="399" t="s">
        <v>2221</v>
      </c>
      <c r="H106" s="1235"/>
    </row>
    <row r="107" spans="1:8" hidden="1">
      <c r="A107" s="495" t="s">
        <v>2292</v>
      </c>
      <c r="B107" s="399" t="s">
        <v>631</v>
      </c>
      <c r="C107" s="399" t="s">
        <v>108</v>
      </c>
      <c r="D107" s="399">
        <v>249</v>
      </c>
      <c r="E107" s="399" t="s">
        <v>2293</v>
      </c>
      <c r="F107" s="399" t="s">
        <v>2294</v>
      </c>
      <c r="G107" s="399" t="s">
        <v>2221</v>
      </c>
      <c r="H107" s="1235"/>
    </row>
    <row r="108" spans="1:8" hidden="1">
      <c r="A108" s="495" t="s">
        <v>2292</v>
      </c>
      <c r="B108" s="399" t="s">
        <v>631</v>
      </c>
      <c r="C108" s="399" t="s">
        <v>108</v>
      </c>
      <c r="D108" s="399">
        <v>250</v>
      </c>
      <c r="E108" s="399" t="s">
        <v>2293</v>
      </c>
      <c r="F108" s="399" t="s">
        <v>2294</v>
      </c>
      <c r="G108" s="399" t="s">
        <v>2221</v>
      </c>
      <c r="H108" s="1235"/>
    </row>
    <row r="109" spans="1:8" hidden="1">
      <c r="A109" s="495" t="s">
        <v>2292</v>
      </c>
      <c r="B109" s="399" t="s">
        <v>631</v>
      </c>
      <c r="C109" s="399" t="s">
        <v>108</v>
      </c>
      <c r="D109" s="399">
        <v>251</v>
      </c>
      <c r="E109" s="399" t="s">
        <v>2293</v>
      </c>
      <c r="F109" s="399" t="s">
        <v>2294</v>
      </c>
      <c r="G109" s="399" t="s">
        <v>2221</v>
      </c>
      <c r="H109" s="1235"/>
    </row>
    <row r="110" spans="1:8" hidden="1">
      <c r="A110" s="495" t="s">
        <v>2292</v>
      </c>
      <c r="B110" s="399" t="s">
        <v>631</v>
      </c>
      <c r="C110" s="399" t="s">
        <v>108</v>
      </c>
      <c r="D110" s="399">
        <v>252</v>
      </c>
      <c r="E110" s="399" t="s">
        <v>2293</v>
      </c>
      <c r="F110" s="399" t="s">
        <v>2294</v>
      </c>
      <c r="G110" s="399" t="s">
        <v>2221</v>
      </c>
      <c r="H110" s="1235"/>
    </row>
    <row r="111" spans="1:8" hidden="1">
      <c r="A111" s="495" t="s">
        <v>2292</v>
      </c>
      <c r="B111" s="399" t="s">
        <v>631</v>
      </c>
      <c r="C111" s="399" t="s">
        <v>108</v>
      </c>
      <c r="D111" s="399">
        <v>253</v>
      </c>
      <c r="E111" s="399" t="s">
        <v>2293</v>
      </c>
      <c r="F111" s="399" t="s">
        <v>2294</v>
      </c>
      <c r="G111" s="399" t="s">
        <v>2221</v>
      </c>
      <c r="H111" s="1235"/>
    </row>
    <row r="112" spans="1:8" hidden="1">
      <c r="A112" s="495" t="s">
        <v>2292</v>
      </c>
      <c r="B112" s="399" t="s">
        <v>631</v>
      </c>
      <c r="C112" s="399" t="s">
        <v>108</v>
      </c>
      <c r="D112" s="399">
        <v>254</v>
      </c>
      <c r="E112" s="399" t="s">
        <v>2293</v>
      </c>
      <c r="F112" s="399" t="s">
        <v>2294</v>
      </c>
      <c r="G112" s="399" t="s">
        <v>2221</v>
      </c>
      <c r="H112" s="1235"/>
    </row>
    <row r="113" spans="1:8" hidden="1">
      <c r="A113" s="495" t="s">
        <v>2292</v>
      </c>
      <c r="B113" s="399" t="s">
        <v>631</v>
      </c>
      <c r="C113" s="399" t="s">
        <v>108</v>
      </c>
      <c r="D113" s="399">
        <v>255</v>
      </c>
      <c r="E113" s="399" t="s">
        <v>2293</v>
      </c>
      <c r="F113" s="399" t="s">
        <v>2294</v>
      </c>
      <c r="G113" s="399" t="s">
        <v>2221</v>
      </c>
      <c r="H113" s="1235"/>
    </row>
    <row r="114" spans="1:8" hidden="1">
      <c r="A114" s="495" t="s">
        <v>2292</v>
      </c>
      <c r="B114" s="399" t="s">
        <v>631</v>
      </c>
      <c r="C114" s="399" t="s">
        <v>108</v>
      </c>
      <c r="D114" s="399">
        <v>256</v>
      </c>
      <c r="E114" s="399" t="s">
        <v>2293</v>
      </c>
      <c r="F114" s="399" t="s">
        <v>2294</v>
      </c>
      <c r="G114" s="399" t="s">
        <v>2221</v>
      </c>
      <c r="H114" s="1235"/>
    </row>
    <row r="115" spans="1:8" hidden="1">
      <c r="A115" s="495" t="s">
        <v>2292</v>
      </c>
      <c r="B115" s="399" t="s">
        <v>631</v>
      </c>
      <c r="C115" s="399" t="s">
        <v>108</v>
      </c>
      <c r="D115" s="399">
        <v>257</v>
      </c>
      <c r="E115" s="399" t="s">
        <v>2293</v>
      </c>
      <c r="F115" s="399" t="s">
        <v>2294</v>
      </c>
      <c r="G115" s="399" t="s">
        <v>2221</v>
      </c>
      <c r="H115" s="1235"/>
    </row>
    <row r="116" spans="1:8" hidden="1">
      <c r="A116" s="495" t="s">
        <v>2292</v>
      </c>
      <c r="B116" s="399" t="s">
        <v>631</v>
      </c>
      <c r="C116" s="399" t="s">
        <v>108</v>
      </c>
      <c r="D116" s="399">
        <v>258</v>
      </c>
      <c r="E116" s="399" t="s">
        <v>2293</v>
      </c>
      <c r="F116" s="399" t="s">
        <v>2294</v>
      </c>
      <c r="G116" s="399" t="s">
        <v>2221</v>
      </c>
      <c r="H116" s="1235"/>
    </row>
    <row r="117" spans="1:8" hidden="1">
      <c r="A117" s="495" t="s">
        <v>2292</v>
      </c>
      <c r="B117" s="399" t="s">
        <v>631</v>
      </c>
      <c r="C117" s="399" t="s">
        <v>108</v>
      </c>
      <c r="D117" s="399">
        <v>259</v>
      </c>
      <c r="E117" s="399" t="s">
        <v>2293</v>
      </c>
      <c r="F117" s="399" t="s">
        <v>2294</v>
      </c>
      <c r="G117" s="399" t="s">
        <v>2221</v>
      </c>
      <c r="H117" s="1235"/>
    </row>
    <row r="118" spans="1:8" hidden="1">
      <c r="A118" s="495" t="s">
        <v>2292</v>
      </c>
      <c r="B118" s="399" t="s">
        <v>631</v>
      </c>
      <c r="C118" s="399" t="s">
        <v>108</v>
      </c>
      <c r="D118" s="399">
        <v>260</v>
      </c>
      <c r="E118" s="399" t="s">
        <v>2293</v>
      </c>
      <c r="F118" s="399" t="s">
        <v>2294</v>
      </c>
      <c r="G118" s="399" t="s">
        <v>2221</v>
      </c>
      <c r="H118" s="1235"/>
    </row>
    <row r="119" spans="1:8" hidden="1">
      <c r="A119" s="495" t="s">
        <v>2292</v>
      </c>
      <c r="B119" s="399" t="s">
        <v>631</v>
      </c>
      <c r="C119" s="399" t="s">
        <v>108</v>
      </c>
      <c r="D119" s="399">
        <v>261</v>
      </c>
      <c r="E119" s="399" t="s">
        <v>2293</v>
      </c>
      <c r="F119" s="399" t="s">
        <v>2294</v>
      </c>
      <c r="G119" s="399" t="s">
        <v>2221</v>
      </c>
      <c r="H119" s="1235"/>
    </row>
    <row r="120" spans="1:8" hidden="1">
      <c r="A120" s="495" t="s">
        <v>2292</v>
      </c>
      <c r="B120" s="399" t="s">
        <v>631</v>
      </c>
      <c r="C120" s="399" t="s">
        <v>108</v>
      </c>
      <c r="D120" s="399">
        <v>262</v>
      </c>
      <c r="E120" s="399" t="s">
        <v>2293</v>
      </c>
      <c r="F120" s="399" t="s">
        <v>2294</v>
      </c>
      <c r="G120" s="399" t="s">
        <v>2221</v>
      </c>
      <c r="H120" s="1235"/>
    </row>
    <row r="121" spans="1:8" hidden="1">
      <c r="A121" s="495" t="s">
        <v>2292</v>
      </c>
      <c r="B121" s="399" t="s">
        <v>631</v>
      </c>
      <c r="C121" s="399" t="s">
        <v>108</v>
      </c>
      <c r="D121" s="399">
        <v>263</v>
      </c>
      <c r="E121" s="399" t="s">
        <v>2293</v>
      </c>
      <c r="F121" s="399" t="s">
        <v>2294</v>
      </c>
      <c r="G121" s="399" t="s">
        <v>2221</v>
      </c>
      <c r="H121" s="1235"/>
    </row>
    <row r="122" spans="1:8" hidden="1">
      <c r="A122" s="495" t="s">
        <v>2292</v>
      </c>
      <c r="B122" s="399" t="s">
        <v>631</v>
      </c>
      <c r="C122" s="399" t="s">
        <v>108</v>
      </c>
      <c r="D122" s="399">
        <v>264</v>
      </c>
      <c r="E122" s="399" t="s">
        <v>2293</v>
      </c>
      <c r="F122" s="399" t="s">
        <v>2294</v>
      </c>
      <c r="G122" s="399" t="s">
        <v>2221</v>
      </c>
      <c r="H122" s="1235"/>
    </row>
    <row r="123" spans="1:8" hidden="1">
      <c r="A123" s="495" t="s">
        <v>2292</v>
      </c>
      <c r="B123" s="399" t="s">
        <v>631</v>
      </c>
      <c r="C123" s="399" t="s">
        <v>108</v>
      </c>
      <c r="D123" s="399">
        <v>265</v>
      </c>
      <c r="E123" s="399" t="s">
        <v>2293</v>
      </c>
      <c r="F123" s="399" t="s">
        <v>2294</v>
      </c>
      <c r="G123" s="399" t="s">
        <v>2221</v>
      </c>
      <c r="H123" s="1235"/>
    </row>
    <row r="124" spans="1:8" hidden="1">
      <c r="A124" s="495" t="s">
        <v>2292</v>
      </c>
      <c r="B124" s="399" t="s">
        <v>631</v>
      </c>
      <c r="C124" s="399" t="s">
        <v>108</v>
      </c>
      <c r="D124" s="399">
        <v>266</v>
      </c>
      <c r="E124" s="399" t="s">
        <v>2293</v>
      </c>
      <c r="F124" s="399" t="s">
        <v>2294</v>
      </c>
      <c r="G124" s="399" t="s">
        <v>2221</v>
      </c>
      <c r="H124" s="1235"/>
    </row>
    <row r="125" spans="1:8" hidden="1">
      <c r="A125" s="495" t="s">
        <v>2292</v>
      </c>
      <c r="B125" s="399" t="s">
        <v>631</v>
      </c>
      <c r="C125" s="399" t="s">
        <v>108</v>
      </c>
      <c r="D125" s="399">
        <v>267</v>
      </c>
      <c r="E125" s="399" t="s">
        <v>2293</v>
      </c>
      <c r="F125" s="399" t="s">
        <v>2294</v>
      </c>
      <c r="G125" s="399" t="s">
        <v>2221</v>
      </c>
      <c r="H125" s="1235"/>
    </row>
    <row r="126" spans="1:8" hidden="1">
      <c r="A126" s="495" t="s">
        <v>2292</v>
      </c>
      <c r="B126" s="399" t="s">
        <v>631</v>
      </c>
      <c r="C126" s="399" t="s">
        <v>108</v>
      </c>
      <c r="D126" s="399">
        <v>268</v>
      </c>
      <c r="E126" s="399" t="s">
        <v>2293</v>
      </c>
      <c r="F126" s="399" t="s">
        <v>2294</v>
      </c>
      <c r="G126" s="399" t="s">
        <v>2221</v>
      </c>
      <c r="H126" s="1235"/>
    </row>
    <row r="127" spans="1:8" hidden="1">
      <c r="A127" s="495" t="s">
        <v>2292</v>
      </c>
      <c r="B127" s="399" t="s">
        <v>631</v>
      </c>
      <c r="C127" s="399" t="s">
        <v>108</v>
      </c>
      <c r="D127" s="399">
        <v>269</v>
      </c>
      <c r="E127" s="399" t="s">
        <v>2293</v>
      </c>
      <c r="F127" s="399" t="s">
        <v>2294</v>
      </c>
      <c r="G127" s="399" t="s">
        <v>2221</v>
      </c>
      <c r="H127" s="1235"/>
    </row>
    <row r="128" spans="1:8" hidden="1">
      <c r="A128" s="495" t="s">
        <v>2292</v>
      </c>
      <c r="B128" s="399" t="s">
        <v>631</v>
      </c>
      <c r="C128" s="399" t="s">
        <v>108</v>
      </c>
      <c r="D128" s="399">
        <v>270</v>
      </c>
      <c r="E128" s="399" t="s">
        <v>2293</v>
      </c>
      <c r="F128" s="399" t="s">
        <v>2294</v>
      </c>
      <c r="G128" s="399" t="s">
        <v>2221</v>
      </c>
      <c r="H128" s="1235"/>
    </row>
    <row r="129" spans="1:8" hidden="1">
      <c r="A129" s="495" t="s">
        <v>2292</v>
      </c>
      <c r="B129" s="399" t="s">
        <v>631</v>
      </c>
      <c r="C129" s="399" t="s">
        <v>108</v>
      </c>
      <c r="D129" s="399">
        <v>271</v>
      </c>
      <c r="E129" s="399" t="s">
        <v>2293</v>
      </c>
      <c r="F129" s="399" t="s">
        <v>2294</v>
      </c>
      <c r="G129" s="399" t="s">
        <v>2221</v>
      </c>
      <c r="H129" s="1235"/>
    </row>
    <row r="130" spans="1:8" hidden="1">
      <c r="A130" s="495" t="s">
        <v>2292</v>
      </c>
      <c r="B130" s="399" t="s">
        <v>631</v>
      </c>
      <c r="C130" s="399" t="s">
        <v>108</v>
      </c>
      <c r="D130" s="399">
        <v>272</v>
      </c>
      <c r="E130" s="399" t="s">
        <v>2293</v>
      </c>
      <c r="F130" s="399" t="s">
        <v>2294</v>
      </c>
      <c r="G130" s="399" t="s">
        <v>2221</v>
      </c>
      <c r="H130" s="1235"/>
    </row>
    <row r="131" spans="1:8" hidden="1">
      <c r="A131" s="495" t="s">
        <v>2292</v>
      </c>
      <c r="B131" s="399" t="s">
        <v>631</v>
      </c>
      <c r="C131" s="399" t="s">
        <v>108</v>
      </c>
      <c r="D131" s="399">
        <v>273</v>
      </c>
      <c r="E131" s="399" t="s">
        <v>2293</v>
      </c>
      <c r="F131" s="399" t="s">
        <v>2294</v>
      </c>
      <c r="G131" s="399" t="s">
        <v>2221</v>
      </c>
      <c r="H131" s="1235"/>
    </row>
    <row r="132" spans="1:8" hidden="1">
      <c r="A132" s="495" t="s">
        <v>2292</v>
      </c>
      <c r="B132" s="399" t="s">
        <v>631</v>
      </c>
      <c r="C132" s="399" t="s">
        <v>108</v>
      </c>
      <c r="D132" s="399">
        <v>274</v>
      </c>
      <c r="E132" s="399" t="s">
        <v>2293</v>
      </c>
      <c r="F132" s="399" t="s">
        <v>2294</v>
      </c>
      <c r="G132" s="399" t="s">
        <v>2221</v>
      </c>
      <c r="H132" s="1235"/>
    </row>
    <row r="133" spans="1:8" hidden="1">
      <c r="A133" s="495" t="s">
        <v>2292</v>
      </c>
      <c r="B133" s="399" t="s">
        <v>631</v>
      </c>
      <c r="C133" s="399" t="s">
        <v>108</v>
      </c>
      <c r="D133" s="399">
        <v>275</v>
      </c>
      <c r="E133" s="399" t="s">
        <v>2293</v>
      </c>
      <c r="F133" s="399" t="s">
        <v>2294</v>
      </c>
      <c r="G133" s="399" t="s">
        <v>2221</v>
      </c>
      <c r="H133" s="1235"/>
    </row>
    <row r="134" spans="1:8" hidden="1">
      <c r="A134" s="495" t="s">
        <v>2292</v>
      </c>
      <c r="B134" s="399" t="s">
        <v>631</v>
      </c>
      <c r="C134" s="399" t="s">
        <v>108</v>
      </c>
      <c r="D134" s="399">
        <v>276</v>
      </c>
      <c r="E134" s="399" t="s">
        <v>2293</v>
      </c>
      <c r="F134" s="399" t="s">
        <v>2294</v>
      </c>
      <c r="G134" s="399" t="s">
        <v>2221</v>
      </c>
      <c r="H134" s="1235"/>
    </row>
    <row r="135" spans="1:8" hidden="1">
      <c r="A135" s="495" t="s">
        <v>2292</v>
      </c>
      <c r="B135" s="399" t="s">
        <v>631</v>
      </c>
      <c r="C135" s="399" t="s">
        <v>108</v>
      </c>
      <c r="D135" s="399">
        <v>277</v>
      </c>
      <c r="E135" s="399" t="s">
        <v>2293</v>
      </c>
      <c r="F135" s="399" t="s">
        <v>2294</v>
      </c>
      <c r="G135" s="399" t="s">
        <v>2221</v>
      </c>
      <c r="H135" s="1235"/>
    </row>
    <row r="136" spans="1:8" hidden="1">
      <c r="A136" s="495" t="s">
        <v>2292</v>
      </c>
      <c r="B136" s="399" t="s">
        <v>631</v>
      </c>
      <c r="C136" s="399" t="s">
        <v>108</v>
      </c>
      <c r="D136" s="399">
        <v>278</v>
      </c>
      <c r="E136" s="399" t="s">
        <v>2293</v>
      </c>
      <c r="F136" s="399" t="s">
        <v>2294</v>
      </c>
      <c r="G136" s="399" t="s">
        <v>2221</v>
      </c>
      <c r="H136" s="1235"/>
    </row>
    <row r="137" spans="1:8" hidden="1">
      <c r="A137" s="495" t="s">
        <v>2292</v>
      </c>
      <c r="B137" s="399" t="s">
        <v>631</v>
      </c>
      <c r="C137" s="399" t="s">
        <v>108</v>
      </c>
      <c r="D137" s="399">
        <v>279</v>
      </c>
      <c r="E137" s="399" t="s">
        <v>2293</v>
      </c>
      <c r="F137" s="399" t="s">
        <v>2294</v>
      </c>
      <c r="G137" s="399" t="s">
        <v>2221</v>
      </c>
      <c r="H137" s="1235"/>
    </row>
    <row r="138" spans="1:8" hidden="1">
      <c r="A138" s="495" t="s">
        <v>2292</v>
      </c>
      <c r="B138" s="399" t="s">
        <v>631</v>
      </c>
      <c r="C138" s="399" t="s">
        <v>108</v>
      </c>
      <c r="D138" s="399">
        <v>280</v>
      </c>
      <c r="E138" s="399" t="s">
        <v>2293</v>
      </c>
      <c r="F138" s="399" t="s">
        <v>2294</v>
      </c>
      <c r="G138" s="399" t="s">
        <v>2221</v>
      </c>
      <c r="H138" s="1235"/>
    </row>
    <row r="139" spans="1:8" hidden="1">
      <c r="A139" s="495" t="s">
        <v>2292</v>
      </c>
      <c r="B139" s="399" t="s">
        <v>631</v>
      </c>
      <c r="C139" s="399" t="s">
        <v>108</v>
      </c>
      <c r="D139" s="399">
        <v>281</v>
      </c>
      <c r="E139" s="399" t="s">
        <v>2293</v>
      </c>
      <c r="F139" s="399" t="s">
        <v>2294</v>
      </c>
      <c r="G139" s="399" t="s">
        <v>2221</v>
      </c>
      <c r="H139" s="1235"/>
    </row>
    <row r="140" spans="1:8" hidden="1">
      <c r="A140" s="495" t="s">
        <v>2292</v>
      </c>
      <c r="B140" s="399" t="s">
        <v>631</v>
      </c>
      <c r="C140" s="399" t="s">
        <v>108</v>
      </c>
      <c r="D140" s="399">
        <v>282</v>
      </c>
      <c r="E140" s="399" t="s">
        <v>2293</v>
      </c>
      <c r="F140" s="399" t="s">
        <v>2294</v>
      </c>
      <c r="G140" s="399" t="s">
        <v>2221</v>
      </c>
      <c r="H140" s="1235"/>
    </row>
    <row r="141" spans="1:8" hidden="1">
      <c r="A141" s="495" t="s">
        <v>2292</v>
      </c>
      <c r="B141" s="399" t="s">
        <v>631</v>
      </c>
      <c r="C141" s="399" t="s">
        <v>108</v>
      </c>
      <c r="D141" s="399">
        <v>283</v>
      </c>
      <c r="E141" s="399" t="s">
        <v>2293</v>
      </c>
      <c r="F141" s="399" t="s">
        <v>2294</v>
      </c>
      <c r="G141" s="399" t="s">
        <v>2221</v>
      </c>
      <c r="H141" s="1235"/>
    </row>
    <row r="142" spans="1:8" hidden="1">
      <c r="A142" s="495" t="s">
        <v>2292</v>
      </c>
      <c r="B142" s="399" t="s">
        <v>631</v>
      </c>
      <c r="C142" s="399" t="s">
        <v>108</v>
      </c>
      <c r="D142" s="399">
        <v>284</v>
      </c>
      <c r="E142" s="399" t="s">
        <v>2293</v>
      </c>
      <c r="F142" s="399" t="s">
        <v>2294</v>
      </c>
      <c r="G142" s="399" t="s">
        <v>2221</v>
      </c>
      <c r="H142" s="1235"/>
    </row>
    <row r="143" spans="1:8" hidden="1">
      <c r="A143" s="495" t="s">
        <v>2292</v>
      </c>
      <c r="B143" s="399" t="s">
        <v>631</v>
      </c>
      <c r="C143" s="399" t="s">
        <v>108</v>
      </c>
      <c r="D143" s="399">
        <v>285</v>
      </c>
      <c r="E143" s="399" t="s">
        <v>2293</v>
      </c>
      <c r="F143" s="399" t="s">
        <v>2294</v>
      </c>
      <c r="G143" s="399" t="s">
        <v>2221</v>
      </c>
      <c r="H143" s="1235"/>
    </row>
    <row r="144" spans="1:8" hidden="1">
      <c r="A144" s="495" t="s">
        <v>2292</v>
      </c>
      <c r="B144" s="399" t="s">
        <v>631</v>
      </c>
      <c r="C144" s="399" t="s">
        <v>108</v>
      </c>
      <c r="D144" s="399">
        <v>286</v>
      </c>
      <c r="E144" s="399" t="s">
        <v>2293</v>
      </c>
      <c r="F144" s="399" t="s">
        <v>2294</v>
      </c>
      <c r="G144" s="399" t="s">
        <v>2221</v>
      </c>
      <c r="H144" s="1235"/>
    </row>
    <row r="145" spans="1:8" hidden="1">
      <c r="A145" s="495" t="s">
        <v>2292</v>
      </c>
      <c r="B145" s="399" t="s">
        <v>631</v>
      </c>
      <c r="C145" s="399" t="s">
        <v>108</v>
      </c>
      <c r="D145" s="399">
        <v>287</v>
      </c>
      <c r="E145" s="399" t="s">
        <v>2293</v>
      </c>
      <c r="F145" s="399" t="s">
        <v>2294</v>
      </c>
      <c r="G145" s="399" t="s">
        <v>2221</v>
      </c>
      <c r="H145" s="1235"/>
    </row>
    <row r="146" spans="1:8" hidden="1">
      <c r="A146" s="495" t="s">
        <v>2292</v>
      </c>
      <c r="B146" s="399" t="s">
        <v>631</v>
      </c>
      <c r="C146" s="399" t="s">
        <v>108</v>
      </c>
      <c r="D146" s="399">
        <v>288</v>
      </c>
      <c r="E146" s="399" t="s">
        <v>2293</v>
      </c>
      <c r="F146" s="399" t="s">
        <v>2294</v>
      </c>
      <c r="G146" s="399" t="s">
        <v>2221</v>
      </c>
      <c r="H146" s="1235"/>
    </row>
    <row r="147" spans="1:8" hidden="1">
      <c r="A147" s="495" t="s">
        <v>2292</v>
      </c>
      <c r="B147" s="399" t="s">
        <v>631</v>
      </c>
      <c r="C147" s="399" t="s">
        <v>108</v>
      </c>
      <c r="D147" s="399">
        <v>289</v>
      </c>
      <c r="E147" s="399" t="s">
        <v>2293</v>
      </c>
      <c r="F147" s="399" t="s">
        <v>2294</v>
      </c>
      <c r="G147" s="399" t="s">
        <v>2221</v>
      </c>
      <c r="H147" s="1235"/>
    </row>
    <row r="148" spans="1:8" hidden="1">
      <c r="A148" s="495" t="s">
        <v>2292</v>
      </c>
      <c r="B148" s="399" t="s">
        <v>631</v>
      </c>
      <c r="C148" s="399" t="s">
        <v>108</v>
      </c>
      <c r="D148" s="399">
        <v>290</v>
      </c>
      <c r="E148" s="399" t="s">
        <v>2293</v>
      </c>
      <c r="F148" s="399" t="s">
        <v>2294</v>
      </c>
      <c r="G148" s="399" t="s">
        <v>2221</v>
      </c>
      <c r="H148" s="1235"/>
    </row>
    <row r="149" spans="1:8" hidden="1">
      <c r="A149" s="495" t="s">
        <v>2292</v>
      </c>
      <c r="B149" s="399" t="s">
        <v>631</v>
      </c>
      <c r="C149" s="399" t="s">
        <v>108</v>
      </c>
      <c r="D149" s="399">
        <v>291</v>
      </c>
      <c r="E149" s="399" t="s">
        <v>2293</v>
      </c>
      <c r="F149" s="399" t="s">
        <v>2294</v>
      </c>
      <c r="G149" s="399" t="s">
        <v>2221</v>
      </c>
      <c r="H149" s="1235"/>
    </row>
    <row r="150" spans="1:8" hidden="1">
      <c r="A150" s="495" t="s">
        <v>2292</v>
      </c>
      <c r="B150" s="399" t="s">
        <v>631</v>
      </c>
      <c r="C150" s="399" t="s">
        <v>108</v>
      </c>
      <c r="D150" s="399">
        <v>292</v>
      </c>
      <c r="E150" s="399" t="s">
        <v>2293</v>
      </c>
      <c r="F150" s="399" t="s">
        <v>2294</v>
      </c>
      <c r="G150" s="399" t="s">
        <v>2221</v>
      </c>
      <c r="H150" s="1235"/>
    </row>
    <row r="151" spans="1:8" hidden="1">
      <c r="A151" s="495" t="s">
        <v>2292</v>
      </c>
      <c r="B151" s="399" t="s">
        <v>631</v>
      </c>
      <c r="C151" s="399" t="s">
        <v>108</v>
      </c>
      <c r="D151" s="399">
        <v>293</v>
      </c>
      <c r="E151" s="399" t="s">
        <v>2293</v>
      </c>
      <c r="F151" s="399" t="s">
        <v>2294</v>
      </c>
      <c r="G151" s="399" t="s">
        <v>2221</v>
      </c>
      <c r="H151" s="1235"/>
    </row>
    <row r="152" spans="1:8" hidden="1">
      <c r="A152" s="495" t="s">
        <v>2292</v>
      </c>
      <c r="B152" s="399" t="s">
        <v>631</v>
      </c>
      <c r="C152" s="399" t="s">
        <v>108</v>
      </c>
      <c r="D152" s="399">
        <v>294</v>
      </c>
      <c r="E152" s="399" t="s">
        <v>2293</v>
      </c>
      <c r="F152" s="399" t="s">
        <v>2294</v>
      </c>
      <c r="G152" s="399" t="s">
        <v>2221</v>
      </c>
      <c r="H152" s="1235"/>
    </row>
    <row r="153" spans="1:8" hidden="1">
      <c r="A153" s="495" t="s">
        <v>2292</v>
      </c>
      <c r="B153" s="399" t="s">
        <v>631</v>
      </c>
      <c r="C153" s="399" t="s">
        <v>108</v>
      </c>
      <c r="D153" s="399">
        <v>295</v>
      </c>
      <c r="E153" s="399" t="s">
        <v>2293</v>
      </c>
      <c r="F153" s="399" t="s">
        <v>2294</v>
      </c>
      <c r="G153" s="399" t="s">
        <v>2221</v>
      </c>
      <c r="H153" s="1235"/>
    </row>
    <row r="154" spans="1:8" hidden="1">
      <c r="A154" s="495" t="s">
        <v>2292</v>
      </c>
      <c r="B154" s="399" t="s">
        <v>631</v>
      </c>
      <c r="C154" s="399" t="s">
        <v>108</v>
      </c>
      <c r="D154" s="399">
        <v>296</v>
      </c>
      <c r="E154" s="399" t="s">
        <v>2293</v>
      </c>
      <c r="F154" s="399" t="s">
        <v>2294</v>
      </c>
      <c r="G154" s="399" t="s">
        <v>2221</v>
      </c>
      <c r="H154" s="1235"/>
    </row>
    <row r="155" spans="1:8" hidden="1">
      <c r="A155" s="495" t="s">
        <v>2292</v>
      </c>
      <c r="B155" s="399" t="s">
        <v>631</v>
      </c>
      <c r="C155" s="399" t="s">
        <v>108</v>
      </c>
      <c r="D155" s="399">
        <v>297</v>
      </c>
      <c r="E155" s="399" t="s">
        <v>2293</v>
      </c>
      <c r="F155" s="399" t="s">
        <v>2294</v>
      </c>
      <c r="G155" s="399" t="s">
        <v>2221</v>
      </c>
      <c r="H155" s="1235"/>
    </row>
    <row r="156" spans="1:8" hidden="1">
      <c r="A156" s="495" t="s">
        <v>2292</v>
      </c>
      <c r="B156" s="399" t="s">
        <v>631</v>
      </c>
      <c r="C156" s="399" t="s">
        <v>108</v>
      </c>
      <c r="D156" s="399">
        <v>298</v>
      </c>
      <c r="E156" s="399" t="s">
        <v>2293</v>
      </c>
      <c r="F156" s="399" t="s">
        <v>2294</v>
      </c>
      <c r="G156" s="399" t="s">
        <v>2221</v>
      </c>
      <c r="H156" s="1235"/>
    </row>
    <row r="157" spans="1:8" hidden="1">
      <c r="A157" s="495" t="s">
        <v>2292</v>
      </c>
      <c r="B157" s="399" t="s">
        <v>631</v>
      </c>
      <c r="C157" s="399" t="s">
        <v>108</v>
      </c>
      <c r="D157" s="399">
        <v>299</v>
      </c>
      <c r="E157" s="399" t="s">
        <v>2293</v>
      </c>
      <c r="F157" s="399" t="s">
        <v>2294</v>
      </c>
      <c r="G157" s="399" t="s">
        <v>2221</v>
      </c>
      <c r="H157" s="1235"/>
    </row>
    <row r="158" spans="1:8" hidden="1">
      <c r="A158" s="495" t="s">
        <v>2292</v>
      </c>
      <c r="B158" s="399" t="s">
        <v>631</v>
      </c>
      <c r="C158" s="399" t="s">
        <v>108</v>
      </c>
      <c r="D158" s="399">
        <v>301</v>
      </c>
      <c r="E158" s="399" t="s">
        <v>2296</v>
      </c>
      <c r="F158" s="399" t="s">
        <v>2300</v>
      </c>
      <c r="G158" s="399" t="s">
        <v>2221</v>
      </c>
      <c r="H158" s="1235"/>
    </row>
    <row r="159" spans="1:8" hidden="1">
      <c r="A159" s="495" t="s">
        <v>2292</v>
      </c>
      <c r="B159" s="399" t="s">
        <v>631</v>
      </c>
      <c r="C159" s="399" t="s">
        <v>108</v>
      </c>
      <c r="D159" s="399">
        <v>302</v>
      </c>
      <c r="E159" s="399" t="s">
        <v>2293</v>
      </c>
      <c r="F159" s="399" t="s">
        <v>2294</v>
      </c>
      <c r="G159" s="399" t="s">
        <v>2221</v>
      </c>
      <c r="H159" s="1235"/>
    </row>
    <row r="160" spans="1:8" hidden="1">
      <c r="A160" s="495" t="s">
        <v>2292</v>
      </c>
      <c r="B160" s="399" t="s">
        <v>631</v>
      </c>
      <c r="C160" s="399" t="s">
        <v>108</v>
      </c>
      <c r="D160" s="399">
        <v>303</v>
      </c>
      <c r="E160" s="399" t="s">
        <v>2293</v>
      </c>
      <c r="F160" s="399" t="s">
        <v>2294</v>
      </c>
      <c r="G160" s="399" t="s">
        <v>2221</v>
      </c>
      <c r="H160" s="1235"/>
    </row>
    <row r="161" spans="1:8" hidden="1">
      <c r="A161" s="495" t="s">
        <v>2292</v>
      </c>
      <c r="B161" s="399" t="s">
        <v>631</v>
      </c>
      <c r="C161" s="399" t="s">
        <v>108</v>
      </c>
      <c r="D161" s="399">
        <v>304</v>
      </c>
      <c r="E161" s="399" t="s">
        <v>2293</v>
      </c>
      <c r="F161" s="399" t="s">
        <v>2294</v>
      </c>
      <c r="G161" s="399" t="s">
        <v>2221</v>
      </c>
      <c r="H161" s="1235"/>
    </row>
    <row r="162" spans="1:8" hidden="1">
      <c r="A162" s="495" t="s">
        <v>2292</v>
      </c>
      <c r="B162" s="399" t="s">
        <v>631</v>
      </c>
      <c r="C162" s="399" t="s">
        <v>108</v>
      </c>
      <c r="D162" s="399">
        <v>305</v>
      </c>
      <c r="E162" s="399" t="s">
        <v>2293</v>
      </c>
      <c r="F162" s="399" t="s">
        <v>2294</v>
      </c>
      <c r="G162" s="399" t="s">
        <v>2221</v>
      </c>
      <c r="H162" s="1235"/>
    </row>
    <row r="163" spans="1:8" hidden="1">
      <c r="A163" s="495" t="s">
        <v>2292</v>
      </c>
      <c r="B163" s="399" t="s">
        <v>631</v>
      </c>
      <c r="C163" s="399" t="s">
        <v>108</v>
      </c>
      <c r="D163" s="399">
        <v>306</v>
      </c>
      <c r="E163" s="399" t="s">
        <v>2293</v>
      </c>
      <c r="F163" s="399" t="s">
        <v>2294</v>
      </c>
      <c r="G163" s="399" t="s">
        <v>2221</v>
      </c>
      <c r="H163" s="1235"/>
    </row>
    <row r="164" spans="1:8" hidden="1">
      <c r="A164" s="495" t="s">
        <v>2292</v>
      </c>
      <c r="B164" s="399" t="s">
        <v>631</v>
      </c>
      <c r="C164" s="399" t="s">
        <v>108</v>
      </c>
      <c r="D164" s="399">
        <v>307</v>
      </c>
      <c r="E164" s="399" t="s">
        <v>2293</v>
      </c>
      <c r="F164" s="399" t="s">
        <v>2294</v>
      </c>
      <c r="G164" s="399" t="s">
        <v>2221</v>
      </c>
      <c r="H164" s="1235"/>
    </row>
    <row r="165" spans="1:8" hidden="1">
      <c r="A165" s="495" t="s">
        <v>2292</v>
      </c>
      <c r="B165" s="399" t="s">
        <v>631</v>
      </c>
      <c r="C165" s="399" t="s">
        <v>108</v>
      </c>
      <c r="D165" s="399">
        <v>308</v>
      </c>
      <c r="E165" s="399" t="s">
        <v>2293</v>
      </c>
      <c r="F165" s="399" t="s">
        <v>2294</v>
      </c>
      <c r="G165" s="399" t="s">
        <v>2221</v>
      </c>
      <c r="H165" s="1235"/>
    </row>
    <row r="166" spans="1:8" hidden="1">
      <c r="A166" s="495" t="s">
        <v>2292</v>
      </c>
      <c r="B166" s="399" t="s">
        <v>631</v>
      </c>
      <c r="C166" s="399" t="s">
        <v>108</v>
      </c>
      <c r="D166" s="399">
        <v>310</v>
      </c>
      <c r="E166" s="399" t="s">
        <v>2293</v>
      </c>
      <c r="F166" s="399" t="s">
        <v>2294</v>
      </c>
      <c r="G166" s="399" t="s">
        <v>2221</v>
      </c>
      <c r="H166" s="1235"/>
    </row>
    <row r="167" spans="1:8" hidden="1">
      <c r="A167" s="495" t="s">
        <v>2292</v>
      </c>
      <c r="B167" s="399" t="s">
        <v>631</v>
      </c>
      <c r="C167" s="399" t="s">
        <v>108</v>
      </c>
      <c r="D167" s="399">
        <v>312</v>
      </c>
      <c r="E167" s="399" t="s">
        <v>2293</v>
      </c>
      <c r="F167" s="399" t="s">
        <v>2294</v>
      </c>
      <c r="G167" s="399" t="s">
        <v>2221</v>
      </c>
      <c r="H167" s="1235"/>
    </row>
    <row r="168" spans="1:8" hidden="1">
      <c r="A168" s="495" t="s">
        <v>2292</v>
      </c>
      <c r="B168" s="399" t="s">
        <v>631</v>
      </c>
      <c r="C168" s="399" t="s">
        <v>108</v>
      </c>
      <c r="D168" s="399">
        <v>456</v>
      </c>
      <c r="E168" s="399" t="s">
        <v>2293</v>
      </c>
      <c r="F168" s="399" t="s">
        <v>2294</v>
      </c>
      <c r="G168" s="399" t="s">
        <v>2221</v>
      </c>
      <c r="H168" s="1235"/>
    </row>
    <row r="169" spans="1:8" hidden="1">
      <c r="A169" s="495" t="s">
        <v>2292</v>
      </c>
      <c r="B169" s="399" t="s">
        <v>631</v>
      </c>
      <c r="C169" s="399" t="s">
        <v>108</v>
      </c>
      <c r="D169" s="399">
        <v>1001</v>
      </c>
      <c r="E169" s="399" t="s">
        <v>2293</v>
      </c>
      <c r="F169" s="399" t="s">
        <v>2294</v>
      </c>
      <c r="G169" s="399" t="s">
        <v>2221</v>
      </c>
      <c r="H169" s="1235"/>
    </row>
    <row r="170" spans="1:8" hidden="1">
      <c r="A170" s="495" t="s">
        <v>2292</v>
      </c>
      <c r="B170" s="399" t="s">
        <v>631</v>
      </c>
      <c r="C170" s="399" t="s">
        <v>108</v>
      </c>
      <c r="D170" s="399">
        <v>1002</v>
      </c>
      <c r="E170" s="399" t="s">
        <v>2293</v>
      </c>
      <c r="F170" s="399" t="s">
        <v>2294</v>
      </c>
      <c r="G170" s="399" t="s">
        <v>2221</v>
      </c>
      <c r="H170" s="1235"/>
    </row>
    <row r="171" spans="1:8" hidden="1">
      <c r="A171" s="495" t="s">
        <v>2292</v>
      </c>
      <c r="B171" s="399" t="s">
        <v>631</v>
      </c>
      <c r="C171" s="399" t="s">
        <v>108</v>
      </c>
      <c r="D171" s="399">
        <v>1003</v>
      </c>
      <c r="E171" s="399" t="s">
        <v>2293</v>
      </c>
      <c r="F171" s="399" t="s">
        <v>2294</v>
      </c>
      <c r="G171" s="399" t="s">
        <v>2221</v>
      </c>
      <c r="H171" s="1235"/>
    </row>
    <row r="172" spans="1:8" hidden="1">
      <c r="A172" s="495" t="s">
        <v>2292</v>
      </c>
      <c r="B172" s="399" t="s">
        <v>631</v>
      </c>
      <c r="C172" s="399" t="s">
        <v>108</v>
      </c>
      <c r="D172" s="399">
        <v>1004</v>
      </c>
      <c r="E172" s="399" t="s">
        <v>2293</v>
      </c>
      <c r="F172" s="399" t="s">
        <v>2294</v>
      </c>
      <c r="G172" s="399" t="s">
        <v>2221</v>
      </c>
      <c r="H172" s="1235"/>
    </row>
    <row r="173" spans="1:8" hidden="1">
      <c r="A173" s="495" t="s">
        <v>2292</v>
      </c>
      <c r="B173" s="399" t="s">
        <v>631</v>
      </c>
      <c r="C173" s="399" t="s">
        <v>108</v>
      </c>
      <c r="D173" s="399">
        <v>1005</v>
      </c>
      <c r="E173" s="399" t="s">
        <v>2293</v>
      </c>
      <c r="F173" s="399" t="s">
        <v>2294</v>
      </c>
      <c r="G173" s="399" t="s">
        <v>2221</v>
      </c>
      <c r="H173" s="1235"/>
    </row>
    <row r="174" spans="1:8" hidden="1">
      <c r="A174" s="495" t="s">
        <v>2292</v>
      </c>
      <c r="B174" s="399" t="s">
        <v>631</v>
      </c>
      <c r="C174" s="399" t="s">
        <v>108</v>
      </c>
      <c r="D174" s="399">
        <v>1006</v>
      </c>
      <c r="E174" s="399" t="s">
        <v>2293</v>
      </c>
      <c r="F174" s="399" t="s">
        <v>2294</v>
      </c>
      <c r="G174" s="399" t="s">
        <v>2221</v>
      </c>
      <c r="H174" s="1235"/>
    </row>
    <row r="175" spans="1:8" hidden="1">
      <c r="A175" s="495" t="s">
        <v>2292</v>
      </c>
      <c r="B175" s="399" t="s">
        <v>631</v>
      </c>
      <c r="C175" s="399" t="s">
        <v>108</v>
      </c>
      <c r="D175" s="399">
        <v>1007</v>
      </c>
      <c r="E175" s="399" t="s">
        <v>2293</v>
      </c>
      <c r="F175" s="399" t="s">
        <v>2294</v>
      </c>
      <c r="G175" s="399" t="s">
        <v>2221</v>
      </c>
      <c r="H175" s="1235"/>
    </row>
    <row r="176" spans="1:8" hidden="1">
      <c r="A176" s="495" t="s">
        <v>2292</v>
      </c>
      <c r="B176" s="399" t="s">
        <v>631</v>
      </c>
      <c r="C176" s="399" t="s">
        <v>108</v>
      </c>
      <c r="D176" s="399">
        <v>1008</v>
      </c>
      <c r="E176" s="399" t="s">
        <v>2293</v>
      </c>
      <c r="F176" s="399" t="s">
        <v>2294</v>
      </c>
      <c r="G176" s="399" t="s">
        <v>2221</v>
      </c>
      <c r="H176" s="1235"/>
    </row>
    <row r="177" spans="1:8" hidden="1">
      <c r="A177" s="495" t="s">
        <v>2292</v>
      </c>
      <c r="B177" s="399" t="s">
        <v>631</v>
      </c>
      <c r="C177" s="399" t="s">
        <v>108</v>
      </c>
      <c r="D177" s="399">
        <v>1009</v>
      </c>
      <c r="E177" s="399" t="s">
        <v>2293</v>
      </c>
      <c r="F177" s="399" t="s">
        <v>2294</v>
      </c>
      <c r="G177" s="399" t="s">
        <v>2221</v>
      </c>
      <c r="H177" s="1235"/>
    </row>
    <row r="178" spans="1:8" hidden="1">
      <c r="A178" s="495" t="s">
        <v>2292</v>
      </c>
      <c r="B178" s="399" t="s">
        <v>631</v>
      </c>
      <c r="C178" s="399" t="s">
        <v>108</v>
      </c>
      <c r="D178" s="399">
        <v>1010</v>
      </c>
      <c r="E178" s="399" t="s">
        <v>2293</v>
      </c>
      <c r="F178" s="399" t="s">
        <v>2294</v>
      </c>
      <c r="G178" s="399" t="s">
        <v>2221</v>
      </c>
      <c r="H178" s="1235"/>
    </row>
    <row r="179" spans="1:8" hidden="1">
      <c r="A179" s="495" t="s">
        <v>2292</v>
      </c>
      <c r="B179" s="399" t="s">
        <v>631</v>
      </c>
      <c r="C179" s="399" t="s">
        <v>108</v>
      </c>
      <c r="D179" s="399">
        <v>1011</v>
      </c>
      <c r="E179" s="399" t="s">
        <v>2293</v>
      </c>
      <c r="F179" s="399" t="s">
        <v>2294</v>
      </c>
      <c r="G179" s="399" t="s">
        <v>2221</v>
      </c>
      <c r="H179" s="1235"/>
    </row>
    <row r="180" spans="1:8" hidden="1">
      <c r="A180" s="495" t="s">
        <v>2292</v>
      </c>
      <c r="B180" s="399" t="s">
        <v>631</v>
      </c>
      <c r="C180" s="399" t="s">
        <v>108</v>
      </c>
      <c r="D180" s="399">
        <v>1012</v>
      </c>
      <c r="E180" s="399" t="s">
        <v>2293</v>
      </c>
      <c r="F180" s="399" t="s">
        <v>2294</v>
      </c>
      <c r="G180" s="399" t="s">
        <v>2221</v>
      </c>
      <c r="H180" s="1235"/>
    </row>
    <row r="181" spans="1:8" hidden="1">
      <c r="A181" s="495" t="s">
        <v>2292</v>
      </c>
      <c r="B181" s="399" t="s">
        <v>631</v>
      </c>
      <c r="C181" s="399" t="s">
        <v>108</v>
      </c>
      <c r="D181" s="399">
        <v>1013</v>
      </c>
      <c r="E181" s="399" t="s">
        <v>2293</v>
      </c>
      <c r="F181" s="399" t="s">
        <v>2294</v>
      </c>
      <c r="G181" s="399" t="s">
        <v>2221</v>
      </c>
      <c r="H181" s="1235"/>
    </row>
    <row r="182" spans="1:8" hidden="1">
      <c r="A182" s="495" t="s">
        <v>2292</v>
      </c>
      <c r="B182" s="399" t="s">
        <v>631</v>
      </c>
      <c r="C182" s="399" t="s">
        <v>108</v>
      </c>
      <c r="D182" s="399">
        <v>1014</v>
      </c>
      <c r="E182" s="399" t="s">
        <v>2293</v>
      </c>
      <c r="F182" s="399" t="s">
        <v>2294</v>
      </c>
      <c r="G182" s="399" t="s">
        <v>2221</v>
      </c>
      <c r="H182" s="1235"/>
    </row>
    <row r="183" spans="1:8" hidden="1">
      <c r="A183" s="495" t="s">
        <v>2292</v>
      </c>
      <c r="B183" s="399" t="s">
        <v>631</v>
      </c>
      <c r="C183" s="399" t="s">
        <v>108</v>
      </c>
      <c r="D183" s="399">
        <v>1015</v>
      </c>
      <c r="E183" s="399" t="s">
        <v>2293</v>
      </c>
      <c r="F183" s="399" t="s">
        <v>2294</v>
      </c>
      <c r="G183" s="399" t="s">
        <v>2221</v>
      </c>
      <c r="H183" s="1235"/>
    </row>
    <row r="184" spans="1:8" hidden="1">
      <c r="A184" s="495" t="s">
        <v>2292</v>
      </c>
      <c r="B184" s="399" t="s">
        <v>631</v>
      </c>
      <c r="C184" s="399" t="s">
        <v>108</v>
      </c>
      <c r="D184" s="399">
        <v>1016</v>
      </c>
      <c r="E184" s="399" t="s">
        <v>2293</v>
      </c>
      <c r="F184" s="399" t="s">
        <v>2294</v>
      </c>
      <c r="G184" s="399" t="s">
        <v>2221</v>
      </c>
      <c r="H184" s="1235"/>
    </row>
    <row r="185" spans="1:8" hidden="1">
      <c r="A185" s="495" t="s">
        <v>2292</v>
      </c>
      <c r="B185" s="399" t="s">
        <v>631</v>
      </c>
      <c r="C185" s="399" t="s">
        <v>108</v>
      </c>
      <c r="D185" s="399">
        <v>1017</v>
      </c>
      <c r="E185" s="399" t="s">
        <v>2293</v>
      </c>
      <c r="F185" s="399" t="s">
        <v>2294</v>
      </c>
      <c r="G185" s="399" t="s">
        <v>2221</v>
      </c>
      <c r="H185" s="1235"/>
    </row>
    <row r="186" spans="1:8" hidden="1">
      <c r="A186" s="495" t="s">
        <v>2292</v>
      </c>
      <c r="B186" s="399" t="s">
        <v>631</v>
      </c>
      <c r="C186" s="399" t="s">
        <v>108</v>
      </c>
      <c r="D186" s="399">
        <v>1018</v>
      </c>
      <c r="E186" s="399" t="s">
        <v>2293</v>
      </c>
      <c r="F186" s="399" t="s">
        <v>2294</v>
      </c>
      <c r="G186" s="399" t="s">
        <v>2221</v>
      </c>
      <c r="H186" s="1235"/>
    </row>
    <row r="187" spans="1:8" hidden="1">
      <c r="A187" s="495" t="s">
        <v>2292</v>
      </c>
      <c r="B187" s="399" t="s">
        <v>631</v>
      </c>
      <c r="C187" s="399" t="s">
        <v>108</v>
      </c>
      <c r="D187" s="399">
        <v>1019</v>
      </c>
      <c r="E187" s="399" t="s">
        <v>2293</v>
      </c>
      <c r="F187" s="399" t="s">
        <v>2294</v>
      </c>
      <c r="G187" s="399" t="s">
        <v>2221</v>
      </c>
      <c r="H187" s="1235"/>
    </row>
    <row r="188" spans="1:8" hidden="1">
      <c r="A188" s="495" t="s">
        <v>2292</v>
      </c>
      <c r="B188" s="399" t="s">
        <v>631</v>
      </c>
      <c r="C188" s="399" t="s">
        <v>108</v>
      </c>
      <c r="D188" s="399">
        <v>1020</v>
      </c>
      <c r="E188" s="399" t="s">
        <v>2293</v>
      </c>
      <c r="F188" s="399" t="s">
        <v>2294</v>
      </c>
      <c r="G188" s="399" t="s">
        <v>2221</v>
      </c>
      <c r="H188" s="1235"/>
    </row>
    <row r="189" spans="1:8" hidden="1">
      <c r="A189" s="495" t="s">
        <v>2292</v>
      </c>
      <c r="B189" s="399" t="s">
        <v>631</v>
      </c>
      <c r="C189" s="399" t="s">
        <v>108</v>
      </c>
      <c r="D189" s="399">
        <v>1021</v>
      </c>
      <c r="E189" s="399" t="s">
        <v>2293</v>
      </c>
      <c r="F189" s="399" t="s">
        <v>2294</v>
      </c>
      <c r="G189" s="399" t="s">
        <v>2221</v>
      </c>
      <c r="H189" s="1235"/>
    </row>
    <row r="190" spans="1:8" hidden="1">
      <c r="A190" s="495" t="s">
        <v>2292</v>
      </c>
      <c r="B190" s="399" t="s">
        <v>631</v>
      </c>
      <c r="C190" s="399" t="s">
        <v>108</v>
      </c>
      <c r="D190" s="399">
        <v>1022</v>
      </c>
      <c r="E190" s="399" t="s">
        <v>2293</v>
      </c>
      <c r="F190" s="399" t="s">
        <v>2294</v>
      </c>
      <c r="G190" s="399" t="s">
        <v>2221</v>
      </c>
      <c r="H190" s="1235"/>
    </row>
    <row r="191" spans="1:8" hidden="1">
      <c r="A191" s="495" t="s">
        <v>2292</v>
      </c>
      <c r="B191" s="399" t="s">
        <v>631</v>
      </c>
      <c r="C191" s="399" t="s">
        <v>108</v>
      </c>
      <c r="D191" s="399">
        <v>1023</v>
      </c>
      <c r="E191" s="399" t="s">
        <v>2293</v>
      </c>
      <c r="F191" s="399" t="s">
        <v>2294</v>
      </c>
      <c r="G191" s="399" t="s">
        <v>2221</v>
      </c>
      <c r="H191" s="1235"/>
    </row>
    <row r="192" spans="1:8" hidden="1">
      <c r="A192" s="495" t="s">
        <v>2292</v>
      </c>
      <c r="B192" s="399" t="s">
        <v>631</v>
      </c>
      <c r="C192" s="399" t="s">
        <v>108</v>
      </c>
      <c r="D192" s="399">
        <v>1024</v>
      </c>
      <c r="E192" s="399" t="s">
        <v>2293</v>
      </c>
      <c r="F192" s="399" t="s">
        <v>2294</v>
      </c>
      <c r="G192" s="399" t="s">
        <v>2221</v>
      </c>
      <c r="H192" s="1235"/>
    </row>
    <row r="193" spans="1:8" hidden="1">
      <c r="A193" s="495" t="s">
        <v>2292</v>
      </c>
      <c r="B193" s="399" t="s">
        <v>631</v>
      </c>
      <c r="C193" s="399" t="s">
        <v>108</v>
      </c>
      <c r="D193" s="399">
        <v>1025</v>
      </c>
      <c r="E193" s="399" t="s">
        <v>2293</v>
      </c>
      <c r="F193" s="399" t="s">
        <v>2294</v>
      </c>
      <c r="G193" s="399" t="s">
        <v>2221</v>
      </c>
      <c r="H193" s="1235"/>
    </row>
    <row r="194" spans="1:8" hidden="1">
      <c r="A194" s="495" t="s">
        <v>2292</v>
      </c>
      <c r="B194" s="399" t="s">
        <v>631</v>
      </c>
      <c r="C194" s="399" t="s">
        <v>108</v>
      </c>
      <c r="D194" s="399">
        <v>1026</v>
      </c>
      <c r="E194" s="399" t="s">
        <v>2293</v>
      </c>
      <c r="F194" s="399" t="s">
        <v>2294</v>
      </c>
      <c r="G194" s="399" t="s">
        <v>2221</v>
      </c>
      <c r="H194" s="1235"/>
    </row>
    <row r="195" spans="1:8" hidden="1">
      <c r="A195" s="495" t="s">
        <v>2292</v>
      </c>
      <c r="B195" s="399" t="s">
        <v>631</v>
      </c>
      <c r="C195" s="399" t="s">
        <v>108</v>
      </c>
      <c r="D195" s="399">
        <v>1027</v>
      </c>
      <c r="E195" s="399" t="s">
        <v>2293</v>
      </c>
      <c r="F195" s="399" t="s">
        <v>2294</v>
      </c>
      <c r="G195" s="399" t="s">
        <v>2221</v>
      </c>
      <c r="H195" s="1235"/>
    </row>
    <row r="196" spans="1:8" hidden="1">
      <c r="A196" s="495" t="s">
        <v>2292</v>
      </c>
      <c r="B196" s="399" t="s">
        <v>631</v>
      </c>
      <c r="C196" s="399" t="s">
        <v>108</v>
      </c>
      <c r="D196" s="399">
        <v>1028</v>
      </c>
      <c r="E196" s="399" t="s">
        <v>2293</v>
      </c>
      <c r="F196" s="399" t="s">
        <v>2294</v>
      </c>
      <c r="G196" s="399" t="s">
        <v>2221</v>
      </c>
      <c r="H196" s="1235"/>
    </row>
    <row r="197" spans="1:8" hidden="1">
      <c r="A197" s="495" t="s">
        <v>2292</v>
      </c>
      <c r="B197" s="399" t="s">
        <v>631</v>
      </c>
      <c r="C197" s="399" t="s">
        <v>108</v>
      </c>
      <c r="D197" s="399">
        <v>1029</v>
      </c>
      <c r="E197" s="399" t="s">
        <v>2293</v>
      </c>
      <c r="F197" s="399" t="s">
        <v>2294</v>
      </c>
      <c r="G197" s="399" t="s">
        <v>2221</v>
      </c>
      <c r="H197" s="1235"/>
    </row>
    <row r="198" spans="1:8" hidden="1">
      <c r="A198" s="495" t="s">
        <v>2292</v>
      </c>
      <c r="B198" s="399" t="s">
        <v>631</v>
      </c>
      <c r="C198" s="399" t="s">
        <v>108</v>
      </c>
      <c r="D198" s="399">
        <v>1030</v>
      </c>
      <c r="E198" s="399" t="s">
        <v>2296</v>
      </c>
      <c r="F198" s="399" t="s">
        <v>2297</v>
      </c>
      <c r="G198" s="399" t="s">
        <v>2221</v>
      </c>
      <c r="H198" s="1235"/>
    </row>
    <row r="199" spans="1:8" hidden="1">
      <c r="A199" s="495" t="s">
        <v>2292</v>
      </c>
      <c r="B199" s="399" t="s">
        <v>631</v>
      </c>
      <c r="C199" s="399" t="s">
        <v>108</v>
      </c>
      <c r="D199" s="399">
        <v>1031</v>
      </c>
      <c r="E199" s="399" t="s">
        <v>2293</v>
      </c>
      <c r="F199" s="399" t="s">
        <v>2294</v>
      </c>
      <c r="G199" s="399" t="s">
        <v>2221</v>
      </c>
      <c r="H199" s="1235"/>
    </row>
    <row r="200" spans="1:8" hidden="1">
      <c r="A200" s="495" t="s">
        <v>2292</v>
      </c>
      <c r="B200" s="399" t="s">
        <v>631</v>
      </c>
      <c r="C200" s="399" t="s">
        <v>108</v>
      </c>
      <c r="D200" s="399">
        <v>1032</v>
      </c>
      <c r="E200" s="399" t="s">
        <v>2293</v>
      </c>
      <c r="F200" s="399" t="s">
        <v>2294</v>
      </c>
      <c r="G200" s="399" t="s">
        <v>2221</v>
      </c>
      <c r="H200" s="1235"/>
    </row>
    <row r="201" spans="1:8" hidden="1">
      <c r="A201" s="495" t="s">
        <v>2292</v>
      </c>
      <c r="B201" s="399" t="s">
        <v>631</v>
      </c>
      <c r="C201" s="399" t="s">
        <v>108</v>
      </c>
      <c r="D201" s="399">
        <v>1033</v>
      </c>
      <c r="E201" s="399" t="s">
        <v>2293</v>
      </c>
      <c r="F201" s="399" t="s">
        <v>2294</v>
      </c>
      <c r="G201" s="399" t="s">
        <v>2221</v>
      </c>
      <c r="H201" s="1235"/>
    </row>
    <row r="202" spans="1:8" hidden="1">
      <c r="A202" s="495" t="s">
        <v>2292</v>
      </c>
      <c r="B202" s="399" t="s">
        <v>631</v>
      </c>
      <c r="C202" s="399" t="s">
        <v>108</v>
      </c>
      <c r="D202" s="399">
        <v>1034</v>
      </c>
      <c r="E202" s="399" t="s">
        <v>2293</v>
      </c>
      <c r="F202" s="399" t="s">
        <v>2294</v>
      </c>
      <c r="G202" s="399" t="s">
        <v>2221</v>
      </c>
      <c r="H202" s="1235"/>
    </row>
    <row r="203" spans="1:8" hidden="1">
      <c r="A203" s="495" t="s">
        <v>2292</v>
      </c>
      <c r="B203" s="399" t="s">
        <v>631</v>
      </c>
      <c r="C203" s="399" t="s">
        <v>108</v>
      </c>
      <c r="D203" s="399">
        <v>1035</v>
      </c>
      <c r="E203" s="399" t="s">
        <v>2293</v>
      </c>
      <c r="F203" s="399" t="s">
        <v>2294</v>
      </c>
      <c r="G203" s="399" t="s">
        <v>2221</v>
      </c>
      <c r="H203" s="1235"/>
    </row>
    <row r="204" spans="1:8" hidden="1">
      <c r="A204" s="495" t="s">
        <v>2292</v>
      </c>
      <c r="B204" s="399" t="s">
        <v>631</v>
      </c>
      <c r="C204" s="399" t="s">
        <v>108</v>
      </c>
      <c r="D204" s="399">
        <v>1036</v>
      </c>
      <c r="E204" s="399" t="s">
        <v>2293</v>
      </c>
      <c r="F204" s="399" t="s">
        <v>2294</v>
      </c>
      <c r="G204" s="399" t="s">
        <v>2221</v>
      </c>
      <c r="H204" s="1235"/>
    </row>
    <row r="205" spans="1:8" hidden="1">
      <c r="A205" s="495" t="s">
        <v>2292</v>
      </c>
      <c r="B205" s="399" t="s">
        <v>631</v>
      </c>
      <c r="C205" s="399" t="s">
        <v>108</v>
      </c>
      <c r="D205" s="399">
        <v>1037</v>
      </c>
      <c r="E205" s="399" t="s">
        <v>2293</v>
      </c>
      <c r="F205" s="399" t="s">
        <v>2294</v>
      </c>
      <c r="G205" s="399" t="s">
        <v>2221</v>
      </c>
      <c r="H205" s="1235"/>
    </row>
    <row r="206" spans="1:8" hidden="1">
      <c r="A206" s="495" t="s">
        <v>2292</v>
      </c>
      <c r="B206" s="399" t="s">
        <v>631</v>
      </c>
      <c r="C206" s="399" t="s">
        <v>108</v>
      </c>
      <c r="D206" s="399">
        <v>1038</v>
      </c>
      <c r="E206" s="399" t="s">
        <v>2293</v>
      </c>
      <c r="F206" s="399" t="s">
        <v>2294</v>
      </c>
      <c r="G206" s="399" t="s">
        <v>2221</v>
      </c>
      <c r="H206" s="1235"/>
    </row>
    <row r="207" spans="1:8" hidden="1">
      <c r="A207" s="495" t="s">
        <v>2292</v>
      </c>
      <c r="B207" s="399" t="s">
        <v>631</v>
      </c>
      <c r="C207" s="399" t="s">
        <v>108</v>
      </c>
      <c r="D207" s="399">
        <v>1039</v>
      </c>
      <c r="E207" s="399" t="s">
        <v>2293</v>
      </c>
      <c r="F207" s="399" t="s">
        <v>2294</v>
      </c>
      <c r="G207" s="399" t="s">
        <v>2221</v>
      </c>
      <c r="H207" s="1235"/>
    </row>
    <row r="208" spans="1:8" hidden="1">
      <c r="A208" s="495" t="s">
        <v>2292</v>
      </c>
      <c r="B208" s="399" t="s">
        <v>631</v>
      </c>
      <c r="C208" s="399" t="s">
        <v>108</v>
      </c>
      <c r="D208" s="399">
        <v>1040</v>
      </c>
      <c r="E208" s="399" t="s">
        <v>2293</v>
      </c>
      <c r="F208" s="399" t="s">
        <v>2294</v>
      </c>
      <c r="G208" s="399" t="s">
        <v>2221</v>
      </c>
      <c r="H208" s="1235"/>
    </row>
    <row r="209" spans="1:8" hidden="1">
      <c r="A209" s="495" t="s">
        <v>2292</v>
      </c>
      <c r="B209" s="399" t="s">
        <v>631</v>
      </c>
      <c r="C209" s="399" t="s">
        <v>108</v>
      </c>
      <c r="D209" s="399">
        <v>1041</v>
      </c>
      <c r="E209" s="399" t="s">
        <v>2293</v>
      </c>
      <c r="F209" s="399" t="s">
        <v>2294</v>
      </c>
      <c r="G209" s="399" t="s">
        <v>2221</v>
      </c>
      <c r="H209" s="1235"/>
    </row>
    <row r="210" spans="1:8" hidden="1">
      <c r="A210" s="495" t="s">
        <v>2292</v>
      </c>
      <c r="B210" s="399" t="s">
        <v>631</v>
      </c>
      <c r="C210" s="399" t="s">
        <v>108</v>
      </c>
      <c r="D210" s="399">
        <v>1042</v>
      </c>
      <c r="E210" s="399" t="s">
        <v>2293</v>
      </c>
      <c r="F210" s="399" t="s">
        <v>2294</v>
      </c>
      <c r="G210" s="399" t="s">
        <v>2221</v>
      </c>
      <c r="H210" s="1235"/>
    </row>
    <row r="211" spans="1:8" hidden="1">
      <c r="A211" s="495" t="s">
        <v>2292</v>
      </c>
      <c r="B211" s="399" t="s">
        <v>631</v>
      </c>
      <c r="C211" s="399" t="s">
        <v>108</v>
      </c>
      <c r="D211" s="399">
        <v>1043</v>
      </c>
      <c r="E211" s="399" t="s">
        <v>2293</v>
      </c>
      <c r="F211" s="399" t="s">
        <v>2294</v>
      </c>
      <c r="G211" s="399" t="s">
        <v>2221</v>
      </c>
      <c r="H211" s="1235"/>
    </row>
    <row r="212" spans="1:8" hidden="1">
      <c r="A212" s="495" t="s">
        <v>2292</v>
      </c>
      <c r="B212" s="399" t="s">
        <v>631</v>
      </c>
      <c r="C212" s="399" t="s">
        <v>108</v>
      </c>
      <c r="D212" s="399">
        <v>1044</v>
      </c>
      <c r="E212" s="399" t="s">
        <v>2293</v>
      </c>
      <c r="F212" s="399" t="s">
        <v>2294</v>
      </c>
      <c r="G212" s="399" t="s">
        <v>2221</v>
      </c>
      <c r="H212" s="1235"/>
    </row>
    <row r="213" spans="1:8" hidden="1">
      <c r="A213" s="495" t="s">
        <v>2292</v>
      </c>
      <c r="B213" s="399" t="s">
        <v>631</v>
      </c>
      <c r="C213" s="399" t="s">
        <v>108</v>
      </c>
      <c r="D213" s="399">
        <v>1045</v>
      </c>
      <c r="E213" s="399" t="s">
        <v>2293</v>
      </c>
      <c r="F213" s="399" t="s">
        <v>2294</v>
      </c>
      <c r="G213" s="399" t="s">
        <v>2221</v>
      </c>
      <c r="H213" s="1235"/>
    </row>
    <row r="214" spans="1:8" hidden="1">
      <c r="A214" s="495" t="s">
        <v>2292</v>
      </c>
      <c r="B214" s="399" t="s">
        <v>631</v>
      </c>
      <c r="C214" s="399" t="s">
        <v>108</v>
      </c>
      <c r="D214" s="399">
        <v>1046</v>
      </c>
      <c r="E214" s="399" t="s">
        <v>2293</v>
      </c>
      <c r="F214" s="399" t="s">
        <v>2294</v>
      </c>
      <c r="G214" s="399" t="s">
        <v>2221</v>
      </c>
      <c r="H214" s="1235"/>
    </row>
    <row r="215" spans="1:8" hidden="1">
      <c r="A215" s="495" t="s">
        <v>2292</v>
      </c>
      <c r="B215" s="399" t="s">
        <v>631</v>
      </c>
      <c r="C215" s="399" t="s">
        <v>108</v>
      </c>
      <c r="D215" s="399">
        <v>1047</v>
      </c>
      <c r="E215" s="399" t="s">
        <v>2293</v>
      </c>
      <c r="F215" s="399" t="s">
        <v>2294</v>
      </c>
      <c r="G215" s="399" t="s">
        <v>2221</v>
      </c>
      <c r="H215" s="1235"/>
    </row>
    <row r="216" spans="1:8" hidden="1">
      <c r="A216" s="495" t="s">
        <v>2292</v>
      </c>
      <c r="B216" s="399" t="s">
        <v>631</v>
      </c>
      <c r="C216" s="399" t="s">
        <v>108</v>
      </c>
      <c r="D216" s="399">
        <v>1048</v>
      </c>
      <c r="E216" s="399" t="s">
        <v>2293</v>
      </c>
      <c r="F216" s="399" t="s">
        <v>2294</v>
      </c>
      <c r="G216" s="399" t="s">
        <v>2221</v>
      </c>
      <c r="H216" s="1235"/>
    </row>
    <row r="217" spans="1:8" hidden="1">
      <c r="A217" s="495" t="s">
        <v>2292</v>
      </c>
      <c r="B217" s="399" t="s">
        <v>631</v>
      </c>
      <c r="C217" s="399" t="s">
        <v>108</v>
      </c>
      <c r="D217" s="399">
        <v>1049</v>
      </c>
      <c r="E217" s="399" t="s">
        <v>2293</v>
      </c>
      <c r="F217" s="399" t="s">
        <v>2294</v>
      </c>
      <c r="G217" s="399" t="s">
        <v>2221</v>
      </c>
      <c r="H217" s="1235"/>
    </row>
    <row r="218" spans="1:8" hidden="1">
      <c r="A218" s="495" t="s">
        <v>2292</v>
      </c>
      <c r="B218" s="399" t="s">
        <v>631</v>
      </c>
      <c r="C218" s="399" t="s">
        <v>108</v>
      </c>
      <c r="D218" s="399">
        <v>1050</v>
      </c>
      <c r="E218" s="399" t="s">
        <v>2293</v>
      </c>
      <c r="F218" s="399" t="s">
        <v>2294</v>
      </c>
      <c r="G218" s="399" t="s">
        <v>2221</v>
      </c>
      <c r="H218" s="1235"/>
    </row>
    <row r="219" spans="1:8" hidden="1">
      <c r="A219" s="495" t="s">
        <v>2292</v>
      </c>
      <c r="B219" s="399" t="s">
        <v>631</v>
      </c>
      <c r="C219" s="399" t="s">
        <v>108</v>
      </c>
      <c r="D219" s="399">
        <v>1051</v>
      </c>
      <c r="E219" s="399" t="s">
        <v>2293</v>
      </c>
      <c r="F219" s="399" t="s">
        <v>2294</v>
      </c>
      <c r="G219" s="399" t="s">
        <v>2221</v>
      </c>
      <c r="H219" s="1235"/>
    </row>
    <row r="220" spans="1:8" hidden="1">
      <c r="A220" s="495" t="s">
        <v>2292</v>
      </c>
      <c r="B220" s="399" t="s">
        <v>631</v>
      </c>
      <c r="C220" s="399" t="s">
        <v>108</v>
      </c>
      <c r="D220" s="399">
        <v>1052</v>
      </c>
      <c r="E220" s="399" t="s">
        <v>2293</v>
      </c>
      <c r="F220" s="399" t="s">
        <v>2294</v>
      </c>
      <c r="G220" s="399" t="s">
        <v>2221</v>
      </c>
      <c r="H220" s="1235"/>
    </row>
    <row r="221" spans="1:8" hidden="1">
      <c r="A221" s="495" t="s">
        <v>2292</v>
      </c>
      <c r="B221" s="399" t="s">
        <v>631</v>
      </c>
      <c r="C221" s="399" t="s">
        <v>108</v>
      </c>
      <c r="D221" s="399">
        <v>1053</v>
      </c>
      <c r="E221" s="399" t="s">
        <v>2293</v>
      </c>
      <c r="F221" s="399" t="s">
        <v>2294</v>
      </c>
      <c r="G221" s="399" t="s">
        <v>2221</v>
      </c>
      <c r="H221" s="1235"/>
    </row>
    <row r="222" spans="1:8" hidden="1">
      <c r="A222" s="495" t="s">
        <v>2292</v>
      </c>
      <c r="B222" s="399" t="s">
        <v>631</v>
      </c>
      <c r="C222" s="399" t="s">
        <v>108</v>
      </c>
      <c r="D222" s="399">
        <v>1054</v>
      </c>
      <c r="E222" s="399" t="s">
        <v>2293</v>
      </c>
      <c r="F222" s="399" t="s">
        <v>2294</v>
      </c>
      <c r="G222" s="399" t="s">
        <v>2221</v>
      </c>
      <c r="H222" s="1235"/>
    </row>
    <row r="223" spans="1:8" hidden="1">
      <c r="A223" s="495" t="s">
        <v>2292</v>
      </c>
      <c r="B223" s="399" t="s">
        <v>631</v>
      </c>
      <c r="C223" s="399" t="s">
        <v>108</v>
      </c>
      <c r="D223" s="399">
        <v>1055</v>
      </c>
      <c r="E223" s="399" t="s">
        <v>2293</v>
      </c>
      <c r="F223" s="399" t="s">
        <v>2294</v>
      </c>
      <c r="G223" s="399" t="s">
        <v>2221</v>
      </c>
      <c r="H223" s="1235"/>
    </row>
    <row r="224" spans="1:8" hidden="1">
      <c r="A224" s="495" t="s">
        <v>2292</v>
      </c>
      <c r="B224" s="399" t="s">
        <v>631</v>
      </c>
      <c r="C224" s="399" t="s">
        <v>108</v>
      </c>
      <c r="D224" s="399">
        <v>1056</v>
      </c>
      <c r="E224" s="399" t="s">
        <v>2293</v>
      </c>
      <c r="F224" s="399" t="s">
        <v>2294</v>
      </c>
      <c r="G224" s="399" t="s">
        <v>2221</v>
      </c>
      <c r="H224" s="1235"/>
    </row>
    <row r="225" spans="1:8" hidden="1">
      <c r="A225" s="495" t="s">
        <v>2292</v>
      </c>
      <c r="B225" s="399" t="s">
        <v>631</v>
      </c>
      <c r="C225" s="399" t="s">
        <v>108</v>
      </c>
      <c r="D225" s="399">
        <v>1057</v>
      </c>
      <c r="E225" s="399" t="s">
        <v>2293</v>
      </c>
      <c r="F225" s="399" t="s">
        <v>2294</v>
      </c>
      <c r="G225" s="399" t="s">
        <v>2221</v>
      </c>
      <c r="H225" s="1235"/>
    </row>
    <row r="226" spans="1:8" hidden="1">
      <c r="A226" s="495" t="s">
        <v>2292</v>
      </c>
      <c r="B226" s="399" t="s">
        <v>631</v>
      </c>
      <c r="C226" s="399" t="s">
        <v>108</v>
      </c>
      <c r="D226" s="399">
        <v>1058</v>
      </c>
      <c r="E226" s="399" t="s">
        <v>2293</v>
      </c>
      <c r="F226" s="399" t="s">
        <v>2294</v>
      </c>
      <c r="G226" s="399" t="s">
        <v>2221</v>
      </c>
      <c r="H226" s="1235"/>
    </row>
    <row r="227" spans="1:8" hidden="1">
      <c r="A227" s="495" t="s">
        <v>2292</v>
      </c>
      <c r="B227" s="399" t="s">
        <v>631</v>
      </c>
      <c r="C227" s="399" t="s">
        <v>108</v>
      </c>
      <c r="D227" s="399">
        <v>1059</v>
      </c>
      <c r="E227" s="399" t="s">
        <v>2293</v>
      </c>
      <c r="F227" s="399" t="s">
        <v>2294</v>
      </c>
      <c r="G227" s="399" t="s">
        <v>2221</v>
      </c>
      <c r="H227" s="1235"/>
    </row>
    <row r="228" spans="1:8" hidden="1">
      <c r="A228" s="495" t="s">
        <v>2292</v>
      </c>
      <c r="B228" s="399" t="s">
        <v>631</v>
      </c>
      <c r="C228" s="399" t="s">
        <v>108</v>
      </c>
      <c r="D228" s="399">
        <v>1060</v>
      </c>
      <c r="E228" s="399" t="s">
        <v>2293</v>
      </c>
      <c r="F228" s="399" t="s">
        <v>2294</v>
      </c>
      <c r="G228" s="399" t="s">
        <v>2221</v>
      </c>
      <c r="H228" s="1235"/>
    </row>
    <row r="229" spans="1:8" hidden="1">
      <c r="A229" s="495" t="s">
        <v>2292</v>
      </c>
      <c r="B229" s="399" t="s">
        <v>631</v>
      </c>
      <c r="C229" s="399" t="s">
        <v>108</v>
      </c>
      <c r="D229" s="399">
        <v>1061</v>
      </c>
      <c r="E229" s="399" t="s">
        <v>2293</v>
      </c>
      <c r="F229" s="399" t="s">
        <v>2294</v>
      </c>
      <c r="G229" s="399" t="s">
        <v>2221</v>
      </c>
      <c r="H229" s="1235"/>
    </row>
    <row r="230" spans="1:8" hidden="1">
      <c r="A230" s="495" t="s">
        <v>2292</v>
      </c>
      <c r="B230" s="399" t="s">
        <v>631</v>
      </c>
      <c r="C230" s="399" t="s">
        <v>108</v>
      </c>
      <c r="D230" s="399">
        <v>1062</v>
      </c>
      <c r="E230" s="399" t="s">
        <v>2293</v>
      </c>
      <c r="F230" s="399" t="s">
        <v>2294</v>
      </c>
      <c r="G230" s="399" t="s">
        <v>2221</v>
      </c>
      <c r="H230" s="1235"/>
    </row>
    <row r="231" spans="1:8" hidden="1">
      <c r="A231" s="495" t="s">
        <v>2292</v>
      </c>
      <c r="B231" s="399" t="s">
        <v>631</v>
      </c>
      <c r="C231" s="399" t="s">
        <v>108</v>
      </c>
      <c r="D231" s="399">
        <v>1063</v>
      </c>
      <c r="E231" s="399" t="s">
        <v>2293</v>
      </c>
      <c r="F231" s="399" t="s">
        <v>2294</v>
      </c>
      <c r="G231" s="399" t="s">
        <v>2221</v>
      </c>
      <c r="H231" s="1235"/>
    </row>
    <row r="232" spans="1:8" hidden="1">
      <c r="A232" s="495" t="s">
        <v>2292</v>
      </c>
      <c r="B232" s="399" t="s">
        <v>631</v>
      </c>
      <c r="C232" s="399" t="s">
        <v>108</v>
      </c>
      <c r="D232" s="399">
        <v>1064</v>
      </c>
      <c r="E232" s="399" t="s">
        <v>2293</v>
      </c>
      <c r="F232" s="399" t="s">
        <v>2294</v>
      </c>
      <c r="G232" s="399" t="s">
        <v>2221</v>
      </c>
      <c r="H232" s="1235"/>
    </row>
    <row r="233" spans="1:8" hidden="1">
      <c r="A233" s="495" t="s">
        <v>2292</v>
      </c>
      <c r="B233" s="399" t="s">
        <v>631</v>
      </c>
      <c r="C233" s="399" t="s">
        <v>108</v>
      </c>
      <c r="D233" s="399">
        <v>1065</v>
      </c>
      <c r="E233" s="399" t="s">
        <v>2293</v>
      </c>
      <c r="F233" s="399" t="s">
        <v>2294</v>
      </c>
      <c r="G233" s="399" t="s">
        <v>2221</v>
      </c>
      <c r="H233" s="1235"/>
    </row>
    <row r="234" spans="1:8" hidden="1">
      <c r="A234" s="495" t="s">
        <v>2292</v>
      </c>
      <c r="B234" s="399" t="s">
        <v>631</v>
      </c>
      <c r="C234" s="399" t="s">
        <v>108</v>
      </c>
      <c r="D234" s="399">
        <v>1066</v>
      </c>
      <c r="E234" s="399" t="s">
        <v>2293</v>
      </c>
      <c r="F234" s="399" t="s">
        <v>2294</v>
      </c>
      <c r="G234" s="399" t="s">
        <v>2221</v>
      </c>
      <c r="H234" s="1235"/>
    </row>
    <row r="235" spans="1:8" hidden="1">
      <c r="A235" s="495" t="s">
        <v>2292</v>
      </c>
      <c r="B235" s="399" t="s">
        <v>631</v>
      </c>
      <c r="C235" s="399" t="s">
        <v>108</v>
      </c>
      <c r="D235" s="399">
        <v>1067</v>
      </c>
      <c r="E235" s="399" t="s">
        <v>2293</v>
      </c>
      <c r="F235" s="399" t="s">
        <v>2294</v>
      </c>
      <c r="G235" s="399" t="s">
        <v>2221</v>
      </c>
      <c r="H235" s="1235"/>
    </row>
    <row r="236" spans="1:8" hidden="1">
      <c r="A236" s="495" t="s">
        <v>2292</v>
      </c>
      <c r="B236" s="399" t="s">
        <v>631</v>
      </c>
      <c r="C236" s="399" t="s">
        <v>108</v>
      </c>
      <c r="D236" s="399">
        <v>1068</v>
      </c>
      <c r="E236" s="399" t="s">
        <v>2293</v>
      </c>
      <c r="F236" s="399" t="s">
        <v>2294</v>
      </c>
      <c r="G236" s="399" t="s">
        <v>2221</v>
      </c>
      <c r="H236" s="1235"/>
    </row>
    <row r="237" spans="1:8" hidden="1">
      <c r="A237" s="495" t="s">
        <v>2292</v>
      </c>
      <c r="B237" s="399" t="s">
        <v>631</v>
      </c>
      <c r="C237" s="399" t="s">
        <v>108</v>
      </c>
      <c r="D237" s="399">
        <v>1069</v>
      </c>
      <c r="E237" s="399" t="s">
        <v>2293</v>
      </c>
      <c r="F237" s="399" t="s">
        <v>2294</v>
      </c>
      <c r="G237" s="399" t="s">
        <v>2221</v>
      </c>
      <c r="H237" s="1235"/>
    </row>
    <row r="238" spans="1:8" hidden="1">
      <c r="A238" s="495" t="s">
        <v>2292</v>
      </c>
      <c r="B238" s="399" t="s">
        <v>631</v>
      </c>
      <c r="C238" s="399" t="s">
        <v>108</v>
      </c>
      <c r="D238" s="399">
        <v>1070</v>
      </c>
      <c r="E238" s="399" t="s">
        <v>2293</v>
      </c>
      <c r="F238" s="399" t="s">
        <v>2294</v>
      </c>
      <c r="G238" s="399" t="s">
        <v>2221</v>
      </c>
      <c r="H238" s="1235"/>
    </row>
    <row r="239" spans="1:8" hidden="1">
      <c r="A239" s="495" t="s">
        <v>2292</v>
      </c>
      <c r="B239" s="399" t="s">
        <v>631</v>
      </c>
      <c r="C239" s="399" t="s">
        <v>108</v>
      </c>
      <c r="D239" s="399">
        <v>1071</v>
      </c>
      <c r="E239" s="399" t="s">
        <v>2293</v>
      </c>
      <c r="F239" s="399" t="s">
        <v>2294</v>
      </c>
      <c r="G239" s="399" t="s">
        <v>2221</v>
      </c>
      <c r="H239" s="1235"/>
    </row>
    <row r="240" spans="1:8" hidden="1">
      <c r="A240" s="495" t="s">
        <v>2292</v>
      </c>
      <c r="B240" s="399" t="s">
        <v>631</v>
      </c>
      <c r="C240" s="399" t="s">
        <v>108</v>
      </c>
      <c r="D240" s="399">
        <v>1072</v>
      </c>
      <c r="E240" s="399" t="s">
        <v>2293</v>
      </c>
      <c r="F240" s="399" t="s">
        <v>2294</v>
      </c>
      <c r="G240" s="399" t="s">
        <v>2221</v>
      </c>
      <c r="H240" s="1235"/>
    </row>
    <row r="241" spans="1:8" hidden="1">
      <c r="A241" s="495" t="s">
        <v>2292</v>
      </c>
      <c r="B241" s="399" t="s">
        <v>631</v>
      </c>
      <c r="C241" s="399" t="s">
        <v>108</v>
      </c>
      <c r="D241" s="399">
        <v>1073</v>
      </c>
      <c r="E241" s="399" t="s">
        <v>2293</v>
      </c>
      <c r="F241" s="399" t="s">
        <v>2294</v>
      </c>
      <c r="G241" s="399" t="s">
        <v>2221</v>
      </c>
      <c r="H241" s="1235"/>
    </row>
    <row r="242" spans="1:8" hidden="1">
      <c r="A242" s="495" t="s">
        <v>2292</v>
      </c>
      <c r="B242" s="399" t="s">
        <v>631</v>
      </c>
      <c r="C242" s="399" t="s">
        <v>108</v>
      </c>
      <c r="D242" s="399">
        <v>1074</v>
      </c>
      <c r="E242" s="399" t="s">
        <v>2293</v>
      </c>
      <c r="F242" s="399" t="s">
        <v>2294</v>
      </c>
      <c r="G242" s="399" t="s">
        <v>2221</v>
      </c>
      <c r="H242" s="1235"/>
    </row>
    <row r="243" spans="1:8" hidden="1">
      <c r="A243" s="495" t="s">
        <v>2292</v>
      </c>
      <c r="B243" s="399" t="s">
        <v>631</v>
      </c>
      <c r="C243" s="399" t="s">
        <v>108</v>
      </c>
      <c r="D243" s="399">
        <v>1075</v>
      </c>
      <c r="E243" s="399" t="s">
        <v>2293</v>
      </c>
      <c r="F243" s="399" t="s">
        <v>2294</v>
      </c>
      <c r="G243" s="399" t="s">
        <v>2221</v>
      </c>
      <c r="H243" s="1235"/>
    </row>
    <row r="244" spans="1:8" hidden="1">
      <c r="A244" s="495" t="s">
        <v>2292</v>
      </c>
      <c r="B244" s="399" t="s">
        <v>631</v>
      </c>
      <c r="C244" s="399" t="s">
        <v>108</v>
      </c>
      <c r="D244" s="399">
        <v>1076</v>
      </c>
      <c r="E244" s="399" t="s">
        <v>2293</v>
      </c>
      <c r="F244" s="399" t="s">
        <v>2294</v>
      </c>
      <c r="G244" s="399" t="s">
        <v>2221</v>
      </c>
      <c r="H244" s="1235"/>
    </row>
    <row r="245" spans="1:8" hidden="1">
      <c r="A245" s="495" t="s">
        <v>2292</v>
      </c>
      <c r="B245" s="399" t="s">
        <v>631</v>
      </c>
      <c r="C245" s="399" t="s">
        <v>108</v>
      </c>
      <c r="D245" s="399">
        <v>1077</v>
      </c>
      <c r="E245" s="399" t="s">
        <v>2293</v>
      </c>
      <c r="F245" s="399" t="s">
        <v>2294</v>
      </c>
      <c r="G245" s="399" t="s">
        <v>2221</v>
      </c>
      <c r="H245" s="1235"/>
    </row>
    <row r="246" spans="1:8" hidden="1">
      <c r="A246" s="495" t="s">
        <v>2292</v>
      </c>
      <c r="B246" s="399" t="s">
        <v>631</v>
      </c>
      <c r="C246" s="399" t="s">
        <v>108</v>
      </c>
      <c r="D246" s="399">
        <v>1078</v>
      </c>
      <c r="E246" s="399" t="s">
        <v>2293</v>
      </c>
      <c r="F246" s="399" t="s">
        <v>2294</v>
      </c>
      <c r="G246" s="399" t="s">
        <v>2221</v>
      </c>
      <c r="H246" s="1235"/>
    </row>
    <row r="247" spans="1:8" hidden="1">
      <c r="A247" s="495" t="s">
        <v>2292</v>
      </c>
      <c r="B247" s="399" t="s">
        <v>631</v>
      </c>
      <c r="C247" s="399" t="s">
        <v>108</v>
      </c>
      <c r="D247" s="399">
        <v>1079</v>
      </c>
      <c r="E247" s="399" t="s">
        <v>2293</v>
      </c>
      <c r="F247" s="399" t="s">
        <v>2294</v>
      </c>
      <c r="G247" s="399" t="s">
        <v>2221</v>
      </c>
      <c r="H247" s="1235"/>
    </row>
    <row r="248" spans="1:8" hidden="1">
      <c r="A248" s="495" t="s">
        <v>2292</v>
      </c>
      <c r="B248" s="399" t="s">
        <v>631</v>
      </c>
      <c r="C248" s="399" t="s">
        <v>108</v>
      </c>
      <c r="D248" s="399">
        <v>1080</v>
      </c>
      <c r="E248" s="399" t="s">
        <v>2293</v>
      </c>
      <c r="F248" s="399" t="s">
        <v>2294</v>
      </c>
      <c r="G248" s="399" t="s">
        <v>2221</v>
      </c>
      <c r="H248" s="1235"/>
    </row>
    <row r="249" spans="1:8" hidden="1">
      <c r="A249" s="495" t="s">
        <v>2292</v>
      </c>
      <c r="B249" s="399" t="s">
        <v>631</v>
      </c>
      <c r="C249" s="399" t="s">
        <v>108</v>
      </c>
      <c r="D249" s="399">
        <v>1081</v>
      </c>
      <c r="E249" s="399" t="s">
        <v>2293</v>
      </c>
      <c r="F249" s="399" t="s">
        <v>2294</v>
      </c>
      <c r="G249" s="399" t="s">
        <v>2221</v>
      </c>
      <c r="H249" s="1235"/>
    </row>
    <row r="250" spans="1:8" hidden="1">
      <c r="A250" s="495" t="s">
        <v>2292</v>
      </c>
      <c r="B250" s="399" t="s">
        <v>631</v>
      </c>
      <c r="C250" s="399" t="s">
        <v>108</v>
      </c>
      <c r="D250" s="399">
        <v>1082</v>
      </c>
      <c r="E250" s="399" t="s">
        <v>2293</v>
      </c>
      <c r="F250" s="399" t="s">
        <v>2294</v>
      </c>
      <c r="G250" s="399" t="s">
        <v>2221</v>
      </c>
      <c r="H250" s="1235"/>
    </row>
    <row r="251" spans="1:8" hidden="1">
      <c r="A251" s="495" t="s">
        <v>2292</v>
      </c>
      <c r="B251" s="399" t="s">
        <v>631</v>
      </c>
      <c r="C251" s="399" t="s">
        <v>108</v>
      </c>
      <c r="D251" s="399">
        <v>1083</v>
      </c>
      <c r="E251" s="399" t="s">
        <v>2293</v>
      </c>
      <c r="F251" s="399" t="s">
        <v>2294</v>
      </c>
      <c r="G251" s="399" t="s">
        <v>2221</v>
      </c>
      <c r="H251" s="1235"/>
    </row>
    <row r="252" spans="1:8" hidden="1">
      <c r="A252" s="495" t="s">
        <v>2292</v>
      </c>
      <c r="B252" s="399" t="s">
        <v>631</v>
      </c>
      <c r="C252" s="399" t="s">
        <v>108</v>
      </c>
      <c r="D252" s="399">
        <v>1084</v>
      </c>
      <c r="E252" s="399" t="s">
        <v>2293</v>
      </c>
      <c r="F252" s="399" t="s">
        <v>2294</v>
      </c>
      <c r="G252" s="399" t="s">
        <v>2221</v>
      </c>
      <c r="H252" s="1235"/>
    </row>
    <row r="253" spans="1:8" hidden="1">
      <c r="A253" s="495" t="s">
        <v>2292</v>
      </c>
      <c r="B253" s="399" t="s">
        <v>631</v>
      </c>
      <c r="C253" s="399" t="s">
        <v>108</v>
      </c>
      <c r="D253" s="399">
        <v>1085</v>
      </c>
      <c r="E253" s="399" t="s">
        <v>2293</v>
      </c>
      <c r="F253" s="399" t="s">
        <v>2294</v>
      </c>
      <c r="G253" s="399" t="s">
        <v>2221</v>
      </c>
      <c r="H253" s="1235"/>
    </row>
    <row r="254" spans="1:8" hidden="1">
      <c r="A254" s="495" t="s">
        <v>2292</v>
      </c>
      <c r="B254" s="399" t="s">
        <v>631</v>
      </c>
      <c r="C254" s="399" t="s">
        <v>108</v>
      </c>
      <c r="D254" s="399">
        <v>1086</v>
      </c>
      <c r="E254" s="399" t="s">
        <v>2293</v>
      </c>
      <c r="F254" s="399" t="s">
        <v>2294</v>
      </c>
      <c r="G254" s="399" t="s">
        <v>2221</v>
      </c>
      <c r="H254" s="1235"/>
    </row>
    <row r="255" spans="1:8" hidden="1">
      <c r="A255" s="495" t="s">
        <v>2292</v>
      </c>
      <c r="B255" s="399" t="s">
        <v>631</v>
      </c>
      <c r="C255" s="399" t="s">
        <v>108</v>
      </c>
      <c r="D255" s="399">
        <v>1087</v>
      </c>
      <c r="E255" s="399" t="s">
        <v>2293</v>
      </c>
      <c r="F255" s="399" t="s">
        <v>2294</v>
      </c>
      <c r="G255" s="399" t="s">
        <v>2221</v>
      </c>
      <c r="H255" s="1235"/>
    </row>
    <row r="256" spans="1:8" hidden="1">
      <c r="A256" s="495" t="s">
        <v>2292</v>
      </c>
      <c r="B256" s="399" t="s">
        <v>631</v>
      </c>
      <c r="C256" s="399" t="s">
        <v>108</v>
      </c>
      <c r="D256" s="399">
        <v>1088</v>
      </c>
      <c r="E256" s="399" t="s">
        <v>2293</v>
      </c>
      <c r="F256" s="399" t="s">
        <v>2294</v>
      </c>
      <c r="G256" s="399" t="s">
        <v>2221</v>
      </c>
      <c r="H256" s="1235"/>
    </row>
    <row r="257" spans="1:8" hidden="1">
      <c r="A257" s="495" t="s">
        <v>2292</v>
      </c>
      <c r="B257" s="399" t="s">
        <v>631</v>
      </c>
      <c r="C257" s="399" t="s">
        <v>108</v>
      </c>
      <c r="D257" s="399">
        <v>1089</v>
      </c>
      <c r="E257" s="399" t="s">
        <v>2293</v>
      </c>
      <c r="F257" s="399" t="s">
        <v>2294</v>
      </c>
      <c r="G257" s="399" t="s">
        <v>2221</v>
      </c>
      <c r="H257" s="1235"/>
    </row>
    <row r="258" spans="1:8" hidden="1">
      <c r="A258" s="495" t="s">
        <v>2292</v>
      </c>
      <c r="B258" s="399" t="s">
        <v>631</v>
      </c>
      <c r="C258" s="399" t="s">
        <v>108</v>
      </c>
      <c r="D258" s="399">
        <v>1090</v>
      </c>
      <c r="E258" s="399" t="s">
        <v>2296</v>
      </c>
      <c r="F258" s="399" t="s">
        <v>2298</v>
      </c>
      <c r="G258" s="399" t="s">
        <v>2221</v>
      </c>
      <c r="H258" s="1235"/>
    </row>
    <row r="259" spans="1:8" hidden="1">
      <c r="A259" s="495" t="s">
        <v>2292</v>
      </c>
      <c r="B259" s="399" t="s">
        <v>631</v>
      </c>
      <c r="C259" s="399" t="s">
        <v>108</v>
      </c>
      <c r="D259" s="399">
        <v>1091</v>
      </c>
      <c r="E259" s="399" t="s">
        <v>2293</v>
      </c>
      <c r="F259" s="399" t="s">
        <v>2294</v>
      </c>
      <c r="G259" s="399" t="s">
        <v>2221</v>
      </c>
      <c r="H259" s="1235"/>
    </row>
    <row r="260" spans="1:8" hidden="1">
      <c r="A260" s="495" t="s">
        <v>2292</v>
      </c>
      <c r="B260" s="399" t="s">
        <v>631</v>
      </c>
      <c r="C260" s="399" t="s">
        <v>108</v>
      </c>
      <c r="D260" s="399">
        <v>1092</v>
      </c>
      <c r="E260" s="399" t="s">
        <v>2293</v>
      </c>
      <c r="F260" s="399" t="s">
        <v>2294</v>
      </c>
      <c r="G260" s="399" t="s">
        <v>2221</v>
      </c>
      <c r="H260" s="1235"/>
    </row>
    <row r="261" spans="1:8" hidden="1">
      <c r="A261" s="495" t="s">
        <v>2292</v>
      </c>
      <c r="B261" s="399" t="s">
        <v>631</v>
      </c>
      <c r="C261" s="399" t="s">
        <v>108</v>
      </c>
      <c r="D261" s="399">
        <v>1093</v>
      </c>
      <c r="E261" s="399" t="s">
        <v>2293</v>
      </c>
      <c r="F261" s="399" t="s">
        <v>2294</v>
      </c>
      <c r="G261" s="399" t="s">
        <v>2221</v>
      </c>
      <c r="H261" s="1235"/>
    </row>
    <row r="262" spans="1:8" hidden="1">
      <c r="A262" s="495" t="s">
        <v>2292</v>
      </c>
      <c r="B262" s="399" t="s">
        <v>631</v>
      </c>
      <c r="C262" s="399" t="s">
        <v>108</v>
      </c>
      <c r="D262" s="399">
        <v>1094</v>
      </c>
      <c r="E262" s="399" t="s">
        <v>2293</v>
      </c>
      <c r="F262" s="399" t="s">
        <v>2294</v>
      </c>
      <c r="G262" s="399" t="s">
        <v>2221</v>
      </c>
      <c r="H262" s="1235"/>
    </row>
    <row r="263" spans="1:8" hidden="1">
      <c r="A263" s="495" t="s">
        <v>2292</v>
      </c>
      <c r="B263" s="399" t="s">
        <v>631</v>
      </c>
      <c r="C263" s="399" t="s">
        <v>108</v>
      </c>
      <c r="D263" s="399">
        <v>1095</v>
      </c>
      <c r="E263" s="399" t="s">
        <v>2293</v>
      </c>
      <c r="F263" s="399" t="s">
        <v>2294</v>
      </c>
      <c r="G263" s="399" t="s">
        <v>2221</v>
      </c>
      <c r="H263" s="1235"/>
    </row>
    <row r="264" spans="1:8" hidden="1">
      <c r="A264" s="495" t="s">
        <v>2292</v>
      </c>
      <c r="B264" s="399" t="s">
        <v>631</v>
      </c>
      <c r="C264" s="399" t="s">
        <v>108</v>
      </c>
      <c r="D264" s="399">
        <v>1096</v>
      </c>
      <c r="E264" s="399" t="s">
        <v>2293</v>
      </c>
      <c r="F264" s="399" t="s">
        <v>2294</v>
      </c>
      <c r="G264" s="399" t="s">
        <v>2221</v>
      </c>
      <c r="H264" s="1235"/>
    </row>
    <row r="265" spans="1:8" hidden="1">
      <c r="A265" s="495" t="s">
        <v>2292</v>
      </c>
      <c r="B265" s="399" t="s">
        <v>631</v>
      </c>
      <c r="C265" s="399" t="s">
        <v>108</v>
      </c>
      <c r="D265" s="399">
        <v>1097</v>
      </c>
      <c r="E265" s="399" t="s">
        <v>2293</v>
      </c>
      <c r="F265" s="399" t="s">
        <v>2294</v>
      </c>
      <c r="G265" s="399" t="s">
        <v>2221</v>
      </c>
      <c r="H265" s="1235"/>
    </row>
    <row r="266" spans="1:8" hidden="1">
      <c r="A266" s="495" t="s">
        <v>2292</v>
      </c>
      <c r="B266" s="399" t="s">
        <v>631</v>
      </c>
      <c r="C266" s="399" t="s">
        <v>108</v>
      </c>
      <c r="D266" s="399">
        <v>1098</v>
      </c>
      <c r="E266" s="399" t="s">
        <v>2293</v>
      </c>
      <c r="F266" s="399" t="s">
        <v>2294</v>
      </c>
      <c r="G266" s="399" t="s">
        <v>2221</v>
      </c>
      <c r="H266" s="1235"/>
    </row>
    <row r="267" spans="1:8" hidden="1">
      <c r="A267" s="495" t="s">
        <v>2292</v>
      </c>
      <c r="B267" s="399" t="s">
        <v>631</v>
      </c>
      <c r="C267" s="399" t="s">
        <v>108</v>
      </c>
      <c r="D267" s="399">
        <v>1099</v>
      </c>
      <c r="E267" s="399" t="s">
        <v>2293</v>
      </c>
      <c r="F267" s="399" t="s">
        <v>2294</v>
      </c>
      <c r="G267" s="399" t="s">
        <v>2221</v>
      </c>
      <c r="H267" s="1235"/>
    </row>
    <row r="268" spans="1:8" hidden="1">
      <c r="A268" s="495" t="s">
        <v>2292</v>
      </c>
      <c r="B268" s="399" t="s">
        <v>631</v>
      </c>
      <c r="C268" s="399" t="s">
        <v>108</v>
      </c>
      <c r="D268" s="399">
        <v>1100</v>
      </c>
      <c r="E268" s="399" t="s">
        <v>2293</v>
      </c>
      <c r="F268" s="399" t="s">
        <v>2294</v>
      </c>
      <c r="G268" s="399" t="s">
        <v>2221</v>
      </c>
      <c r="H268" s="1235"/>
    </row>
    <row r="269" spans="1:8" hidden="1">
      <c r="A269" s="495" t="s">
        <v>2292</v>
      </c>
      <c r="B269" s="399" t="s">
        <v>631</v>
      </c>
      <c r="C269" s="399" t="s">
        <v>108</v>
      </c>
      <c r="D269" s="399">
        <v>1101</v>
      </c>
      <c r="E269" s="399" t="s">
        <v>2293</v>
      </c>
      <c r="F269" s="399" t="s">
        <v>2294</v>
      </c>
      <c r="G269" s="399" t="s">
        <v>2221</v>
      </c>
      <c r="H269" s="1235"/>
    </row>
    <row r="270" spans="1:8" hidden="1">
      <c r="A270" s="495" t="s">
        <v>2292</v>
      </c>
      <c r="B270" s="399" t="s">
        <v>631</v>
      </c>
      <c r="C270" s="399" t="s">
        <v>108</v>
      </c>
      <c r="D270" s="399">
        <v>1102</v>
      </c>
      <c r="E270" s="399" t="s">
        <v>2293</v>
      </c>
      <c r="F270" s="399" t="s">
        <v>2294</v>
      </c>
      <c r="G270" s="399" t="s">
        <v>2221</v>
      </c>
      <c r="H270" s="1235"/>
    </row>
    <row r="271" spans="1:8" hidden="1">
      <c r="A271" s="495" t="s">
        <v>2292</v>
      </c>
      <c r="B271" s="399" t="s">
        <v>631</v>
      </c>
      <c r="C271" s="399" t="s">
        <v>108</v>
      </c>
      <c r="D271" s="399">
        <v>1103</v>
      </c>
      <c r="E271" s="399" t="s">
        <v>2293</v>
      </c>
      <c r="F271" s="399" t="s">
        <v>2294</v>
      </c>
      <c r="G271" s="399" t="s">
        <v>2221</v>
      </c>
      <c r="H271" s="1235"/>
    </row>
    <row r="272" spans="1:8" hidden="1">
      <c r="A272" s="495" t="s">
        <v>2292</v>
      </c>
      <c r="B272" s="399" t="s">
        <v>631</v>
      </c>
      <c r="C272" s="399" t="s">
        <v>108</v>
      </c>
      <c r="D272" s="399">
        <v>1104</v>
      </c>
      <c r="E272" s="399" t="s">
        <v>2293</v>
      </c>
      <c r="F272" s="399" t="s">
        <v>2294</v>
      </c>
      <c r="G272" s="399" t="s">
        <v>2221</v>
      </c>
      <c r="H272" s="1235"/>
    </row>
    <row r="273" spans="1:8" hidden="1">
      <c r="A273" s="495" t="s">
        <v>2292</v>
      </c>
      <c r="B273" s="399" t="s">
        <v>631</v>
      </c>
      <c r="C273" s="399" t="s">
        <v>108</v>
      </c>
      <c r="D273" s="399">
        <v>1105</v>
      </c>
      <c r="E273" s="399" t="s">
        <v>2293</v>
      </c>
      <c r="F273" s="399" t="s">
        <v>2294</v>
      </c>
      <c r="G273" s="399" t="s">
        <v>2221</v>
      </c>
      <c r="H273" s="1235"/>
    </row>
    <row r="274" spans="1:8" hidden="1">
      <c r="A274" s="495" t="s">
        <v>2292</v>
      </c>
      <c r="B274" s="399" t="s">
        <v>631</v>
      </c>
      <c r="C274" s="399" t="s">
        <v>108</v>
      </c>
      <c r="D274" s="399">
        <v>1106</v>
      </c>
      <c r="E274" s="399" t="s">
        <v>2293</v>
      </c>
      <c r="F274" s="399" t="s">
        <v>2294</v>
      </c>
      <c r="G274" s="399" t="s">
        <v>2221</v>
      </c>
      <c r="H274" s="1235"/>
    </row>
    <row r="275" spans="1:8" hidden="1">
      <c r="A275" s="495" t="s">
        <v>2292</v>
      </c>
      <c r="B275" s="399" t="s">
        <v>631</v>
      </c>
      <c r="C275" s="399" t="s">
        <v>108</v>
      </c>
      <c r="D275" s="399">
        <v>1107</v>
      </c>
      <c r="E275" s="399" t="s">
        <v>2293</v>
      </c>
      <c r="F275" s="399" t="s">
        <v>2294</v>
      </c>
      <c r="G275" s="399" t="s">
        <v>2221</v>
      </c>
      <c r="H275" s="1235"/>
    </row>
    <row r="276" spans="1:8" hidden="1">
      <c r="A276" s="495" t="s">
        <v>2292</v>
      </c>
      <c r="B276" s="399" t="s">
        <v>631</v>
      </c>
      <c r="C276" s="399" t="s">
        <v>108</v>
      </c>
      <c r="D276" s="399">
        <v>1108</v>
      </c>
      <c r="E276" s="399" t="s">
        <v>2293</v>
      </c>
      <c r="F276" s="399" t="s">
        <v>2294</v>
      </c>
      <c r="G276" s="399" t="s">
        <v>2221</v>
      </c>
      <c r="H276" s="1235"/>
    </row>
    <row r="277" spans="1:8" hidden="1">
      <c r="A277" s="495" t="s">
        <v>2292</v>
      </c>
      <c r="B277" s="399" t="s">
        <v>631</v>
      </c>
      <c r="C277" s="399" t="s">
        <v>108</v>
      </c>
      <c r="D277" s="399">
        <v>1109</v>
      </c>
      <c r="E277" s="399" t="s">
        <v>2293</v>
      </c>
      <c r="F277" s="399" t="s">
        <v>2294</v>
      </c>
      <c r="G277" s="399" t="s">
        <v>2221</v>
      </c>
      <c r="H277" s="1235"/>
    </row>
    <row r="278" spans="1:8" hidden="1">
      <c r="A278" s="495" t="s">
        <v>2292</v>
      </c>
      <c r="B278" s="399" t="s">
        <v>631</v>
      </c>
      <c r="C278" s="399" t="s">
        <v>108</v>
      </c>
      <c r="D278" s="399">
        <v>1110</v>
      </c>
      <c r="E278" s="399" t="s">
        <v>2293</v>
      </c>
      <c r="F278" s="399" t="s">
        <v>2294</v>
      </c>
      <c r="G278" s="399" t="s">
        <v>2221</v>
      </c>
      <c r="H278" s="1235"/>
    </row>
    <row r="279" spans="1:8" hidden="1">
      <c r="A279" s="495" t="s">
        <v>2292</v>
      </c>
      <c r="B279" s="399" t="s">
        <v>631</v>
      </c>
      <c r="C279" s="399" t="s">
        <v>108</v>
      </c>
      <c r="D279" s="399">
        <v>1111</v>
      </c>
      <c r="E279" s="399" t="s">
        <v>2293</v>
      </c>
      <c r="F279" s="399" t="s">
        <v>2294</v>
      </c>
      <c r="G279" s="399" t="s">
        <v>2221</v>
      </c>
      <c r="H279" s="1235"/>
    </row>
    <row r="280" spans="1:8" hidden="1">
      <c r="A280" s="495" t="s">
        <v>2292</v>
      </c>
      <c r="B280" s="399" t="s">
        <v>631</v>
      </c>
      <c r="C280" s="399" t="s">
        <v>108</v>
      </c>
      <c r="D280" s="399">
        <v>1112</v>
      </c>
      <c r="E280" s="399" t="s">
        <v>2293</v>
      </c>
      <c r="F280" s="399" t="s">
        <v>2294</v>
      </c>
      <c r="G280" s="399" t="s">
        <v>2221</v>
      </c>
      <c r="H280" s="1235"/>
    </row>
    <row r="281" spans="1:8" hidden="1">
      <c r="A281" s="495" t="s">
        <v>2292</v>
      </c>
      <c r="B281" s="399" t="s">
        <v>631</v>
      </c>
      <c r="C281" s="399" t="s">
        <v>108</v>
      </c>
      <c r="D281" s="399">
        <v>1113</v>
      </c>
      <c r="E281" s="399" t="s">
        <v>2293</v>
      </c>
      <c r="F281" s="399" t="s">
        <v>2294</v>
      </c>
      <c r="G281" s="399" t="s">
        <v>2221</v>
      </c>
      <c r="H281" s="1235"/>
    </row>
    <row r="282" spans="1:8" hidden="1">
      <c r="A282" s="495" t="s">
        <v>2292</v>
      </c>
      <c r="B282" s="399" t="s">
        <v>631</v>
      </c>
      <c r="C282" s="399" t="s">
        <v>108</v>
      </c>
      <c r="D282" s="399">
        <v>1114</v>
      </c>
      <c r="E282" s="399" t="s">
        <v>2293</v>
      </c>
      <c r="F282" s="399" t="s">
        <v>2294</v>
      </c>
      <c r="G282" s="399" t="s">
        <v>2221</v>
      </c>
      <c r="H282" s="1235"/>
    </row>
    <row r="283" spans="1:8" hidden="1">
      <c r="A283" s="495" t="s">
        <v>2292</v>
      </c>
      <c r="B283" s="399" t="s">
        <v>631</v>
      </c>
      <c r="C283" s="399" t="s">
        <v>108</v>
      </c>
      <c r="D283" s="399">
        <v>1115</v>
      </c>
      <c r="E283" s="399" t="s">
        <v>2293</v>
      </c>
      <c r="F283" s="399" t="s">
        <v>2294</v>
      </c>
      <c r="G283" s="399" t="s">
        <v>2221</v>
      </c>
      <c r="H283" s="1235"/>
    </row>
    <row r="284" spans="1:8" hidden="1">
      <c r="A284" s="495" t="s">
        <v>2292</v>
      </c>
      <c r="B284" s="399" t="s">
        <v>631</v>
      </c>
      <c r="C284" s="399" t="s">
        <v>108</v>
      </c>
      <c r="D284" s="399">
        <v>1116</v>
      </c>
      <c r="E284" s="399" t="s">
        <v>2293</v>
      </c>
      <c r="F284" s="399" t="s">
        <v>2294</v>
      </c>
      <c r="G284" s="399" t="s">
        <v>2221</v>
      </c>
      <c r="H284" s="1235"/>
    </row>
    <row r="285" spans="1:8" hidden="1">
      <c r="A285" s="495" t="s">
        <v>2292</v>
      </c>
      <c r="B285" s="399" t="s">
        <v>631</v>
      </c>
      <c r="C285" s="399" t="s">
        <v>108</v>
      </c>
      <c r="D285" s="399">
        <v>1117</v>
      </c>
      <c r="E285" s="399" t="s">
        <v>2293</v>
      </c>
      <c r="F285" s="399" t="s">
        <v>2294</v>
      </c>
      <c r="G285" s="399" t="s">
        <v>2221</v>
      </c>
      <c r="H285" s="1235"/>
    </row>
    <row r="286" spans="1:8" hidden="1">
      <c r="A286" s="495" t="s">
        <v>2292</v>
      </c>
      <c r="B286" s="399" t="s">
        <v>631</v>
      </c>
      <c r="C286" s="399" t="s">
        <v>108</v>
      </c>
      <c r="D286" s="399">
        <v>1118</v>
      </c>
      <c r="E286" s="399" t="s">
        <v>2293</v>
      </c>
      <c r="F286" s="399" t="s">
        <v>2294</v>
      </c>
      <c r="G286" s="399" t="s">
        <v>2221</v>
      </c>
      <c r="H286" s="1235"/>
    </row>
    <row r="287" spans="1:8" hidden="1">
      <c r="A287" s="495" t="s">
        <v>2292</v>
      </c>
      <c r="B287" s="399" t="s">
        <v>631</v>
      </c>
      <c r="C287" s="399" t="s">
        <v>108</v>
      </c>
      <c r="D287" s="399">
        <v>1119</v>
      </c>
      <c r="E287" s="399" t="s">
        <v>2293</v>
      </c>
      <c r="F287" s="399" t="s">
        <v>2294</v>
      </c>
      <c r="G287" s="399" t="s">
        <v>2221</v>
      </c>
      <c r="H287" s="1235"/>
    </row>
    <row r="288" spans="1:8" hidden="1">
      <c r="A288" s="495" t="s">
        <v>2292</v>
      </c>
      <c r="B288" s="399" t="s">
        <v>631</v>
      </c>
      <c r="C288" s="399" t="s">
        <v>108</v>
      </c>
      <c r="D288" s="399">
        <v>1120</v>
      </c>
      <c r="E288" s="399" t="s">
        <v>2293</v>
      </c>
      <c r="F288" s="399" t="s">
        <v>2294</v>
      </c>
      <c r="G288" s="399" t="s">
        <v>2221</v>
      </c>
      <c r="H288" s="1235"/>
    </row>
    <row r="289" spans="1:8" hidden="1">
      <c r="A289" s="495" t="s">
        <v>2292</v>
      </c>
      <c r="B289" s="399" t="s">
        <v>631</v>
      </c>
      <c r="C289" s="399" t="s">
        <v>108</v>
      </c>
      <c r="D289" s="399">
        <v>1121</v>
      </c>
      <c r="E289" s="399" t="s">
        <v>2293</v>
      </c>
      <c r="F289" s="399" t="s">
        <v>2294</v>
      </c>
      <c r="G289" s="399" t="s">
        <v>2221</v>
      </c>
      <c r="H289" s="1235"/>
    </row>
    <row r="290" spans="1:8" hidden="1">
      <c r="A290" s="495" t="s">
        <v>2292</v>
      </c>
      <c r="B290" s="399" t="s">
        <v>631</v>
      </c>
      <c r="C290" s="399" t="s">
        <v>108</v>
      </c>
      <c r="D290" s="399">
        <v>1122</v>
      </c>
      <c r="E290" s="399" t="s">
        <v>2293</v>
      </c>
      <c r="F290" s="399" t="s">
        <v>2294</v>
      </c>
      <c r="G290" s="399" t="s">
        <v>2221</v>
      </c>
      <c r="H290" s="1235"/>
    </row>
    <row r="291" spans="1:8" hidden="1">
      <c r="A291" s="495" t="s">
        <v>2292</v>
      </c>
      <c r="B291" s="399" t="s">
        <v>631</v>
      </c>
      <c r="C291" s="399" t="s">
        <v>108</v>
      </c>
      <c r="D291" s="399">
        <v>1123</v>
      </c>
      <c r="E291" s="399" t="s">
        <v>2293</v>
      </c>
      <c r="F291" s="399" t="s">
        <v>2294</v>
      </c>
      <c r="G291" s="399" t="s">
        <v>2221</v>
      </c>
      <c r="H291" s="1235"/>
    </row>
    <row r="292" spans="1:8" hidden="1">
      <c r="A292" s="495" t="s">
        <v>2292</v>
      </c>
      <c r="B292" s="399" t="s">
        <v>631</v>
      </c>
      <c r="C292" s="399" t="s">
        <v>108</v>
      </c>
      <c r="D292" s="399">
        <v>1124</v>
      </c>
      <c r="E292" s="399" t="s">
        <v>2293</v>
      </c>
      <c r="F292" s="399" t="s">
        <v>2294</v>
      </c>
      <c r="G292" s="399" t="s">
        <v>2221</v>
      </c>
      <c r="H292" s="1235"/>
    </row>
    <row r="293" spans="1:8" hidden="1">
      <c r="A293" s="495" t="s">
        <v>2292</v>
      </c>
      <c r="B293" s="399" t="s">
        <v>631</v>
      </c>
      <c r="C293" s="399" t="s">
        <v>108</v>
      </c>
      <c r="D293" s="399">
        <v>1125</v>
      </c>
      <c r="E293" s="399" t="s">
        <v>2293</v>
      </c>
      <c r="F293" s="399" t="s">
        <v>2294</v>
      </c>
      <c r="G293" s="399" t="s">
        <v>2221</v>
      </c>
      <c r="H293" s="1235"/>
    </row>
    <row r="294" spans="1:8" hidden="1">
      <c r="A294" s="495" t="s">
        <v>2292</v>
      </c>
      <c r="B294" s="399" t="s">
        <v>631</v>
      </c>
      <c r="C294" s="399" t="s">
        <v>108</v>
      </c>
      <c r="D294" s="399">
        <v>1126</v>
      </c>
      <c r="E294" s="399" t="s">
        <v>2293</v>
      </c>
      <c r="F294" s="399" t="s">
        <v>2294</v>
      </c>
      <c r="G294" s="399" t="s">
        <v>2221</v>
      </c>
      <c r="H294" s="1235"/>
    </row>
    <row r="295" spans="1:8" hidden="1">
      <c r="A295" s="495" t="s">
        <v>2292</v>
      </c>
      <c r="B295" s="399" t="s">
        <v>631</v>
      </c>
      <c r="C295" s="399" t="s">
        <v>108</v>
      </c>
      <c r="D295" s="399">
        <v>1127</v>
      </c>
      <c r="E295" s="399" t="s">
        <v>2293</v>
      </c>
      <c r="F295" s="399" t="s">
        <v>2294</v>
      </c>
      <c r="G295" s="399" t="s">
        <v>2221</v>
      </c>
      <c r="H295" s="1235"/>
    </row>
    <row r="296" spans="1:8" hidden="1">
      <c r="A296" s="495" t="s">
        <v>2292</v>
      </c>
      <c r="B296" s="399" t="s">
        <v>631</v>
      </c>
      <c r="C296" s="399" t="s">
        <v>108</v>
      </c>
      <c r="D296" s="399">
        <v>1128</v>
      </c>
      <c r="E296" s="399" t="s">
        <v>2293</v>
      </c>
      <c r="F296" s="399" t="s">
        <v>2294</v>
      </c>
      <c r="G296" s="399" t="s">
        <v>2221</v>
      </c>
      <c r="H296" s="1235"/>
    </row>
    <row r="297" spans="1:8" hidden="1">
      <c r="A297" s="495" t="s">
        <v>2292</v>
      </c>
      <c r="B297" s="399" t="s">
        <v>631</v>
      </c>
      <c r="C297" s="399" t="s">
        <v>108</v>
      </c>
      <c r="D297" s="399">
        <v>1129</v>
      </c>
      <c r="E297" s="399" t="s">
        <v>2293</v>
      </c>
      <c r="F297" s="399" t="s">
        <v>2294</v>
      </c>
      <c r="G297" s="399" t="s">
        <v>2221</v>
      </c>
      <c r="H297" s="1235"/>
    </row>
    <row r="298" spans="1:8" hidden="1">
      <c r="A298" s="495" t="s">
        <v>2292</v>
      </c>
      <c r="B298" s="399" t="s">
        <v>631</v>
      </c>
      <c r="C298" s="399" t="s">
        <v>108</v>
      </c>
      <c r="D298" s="399">
        <v>1130</v>
      </c>
      <c r="E298" s="399" t="s">
        <v>2293</v>
      </c>
      <c r="F298" s="399" t="s">
        <v>2294</v>
      </c>
      <c r="G298" s="399" t="s">
        <v>2221</v>
      </c>
      <c r="H298" s="1235"/>
    </row>
    <row r="299" spans="1:8" hidden="1">
      <c r="A299" s="495" t="s">
        <v>2292</v>
      </c>
      <c r="B299" s="399" t="s">
        <v>631</v>
      </c>
      <c r="C299" s="399" t="s">
        <v>108</v>
      </c>
      <c r="D299" s="399">
        <v>1132</v>
      </c>
      <c r="E299" s="399" t="s">
        <v>2293</v>
      </c>
      <c r="F299" s="399" t="s">
        <v>2294</v>
      </c>
      <c r="G299" s="399" t="s">
        <v>2221</v>
      </c>
      <c r="H299" s="1235"/>
    </row>
    <row r="300" spans="1:8" hidden="1">
      <c r="A300" s="495" t="s">
        <v>2292</v>
      </c>
      <c r="B300" s="399" t="s">
        <v>631</v>
      </c>
      <c r="C300" s="399" t="s">
        <v>108</v>
      </c>
      <c r="D300" s="399">
        <v>1136</v>
      </c>
      <c r="E300" s="399" t="s">
        <v>2293</v>
      </c>
      <c r="F300" s="399" t="s">
        <v>2294</v>
      </c>
      <c r="G300" s="399" t="s">
        <v>2221</v>
      </c>
      <c r="H300" s="1235"/>
    </row>
    <row r="301" spans="1:8" hidden="1">
      <c r="A301" s="495" t="s">
        <v>2292</v>
      </c>
      <c r="B301" s="399" t="s">
        <v>631</v>
      </c>
      <c r="C301" s="399" t="s">
        <v>108</v>
      </c>
      <c r="D301" s="399">
        <v>1140</v>
      </c>
      <c r="E301" s="399" t="s">
        <v>2293</v>
      </c>
      <c r="F301" s="399" t="s">
        <v>2294</v>
      </c>
      <c r="G301" s="399" t="s">
        <v>2221</v>
      </c>
      <c r="H301" s="1235"/>
    </row>
    <row r="302" spans="1:8" hidden="1">
      <c r="A302" s="495" t="s">
        <v>2292</v>
      </c>
      <c r="B302" s="399" t="s">
        <v>631</v>
      </c>
      <c r="C302" s="399" t="s">
        <v>108</v>
      </c>
      <c r="D302" s="399">
        <v>1148</v>
      </c>
      <c r="E302" s="399" t="s">
        <v>2293</v>
      </c>
      <c r="F302" s="399" t="s">
        <v>2294</v>
      </c>
      <c r="G302" s="399" t="s">
        <v>2221</v>
      </c>
      <c r="H302" s="1235"/>
    </row>
    <row r="303" spans="1:8" hidden="1">
      <c r="A303" s="495" t="s">
        <v>2292</v>
      </c>
      <c r="B303" s="399" t="s">
        <v>631</v>
      </c>
      <c r="C303" s="399" t="s">
        <v>108</v>
      </c>
      <c r="D303" s="399">
        <v>1150</v>
      </c>
      <c r="E303" s="399" t="s">
        <v>2293</v>
      </c>
      <c r="F303" s="399" t="s">
        <v>2294</v>
      </c>
      <c r="G303" s="399" t="s">
        <v>2221</v>
      </c>
      <c r="H303" s="1235"/>
    </row>
    <row r="304" spans="1:8" hidden="1">
      <c r="A304" s="495" t="s">
        <v>2292</v>
      </c>
      <c r="B304" s="399" t="s">
        <v>631</v>
      </c>
      <c r="C304" s="399" t="s">
        <v>108</v>
      </c>
      <c r="D304" s="399">
        <v>1152</v>
      </c>
      <c r="E304" s="399" t="s">
        <v>2293</v>
      </c>
      <c r="F304" s="399" t="s">
        <v>2294</v>
      </c>
      <c r="G304" s="399" t="s">
        <v>2221</v>
      </c>
      <c r="H304" s="1235"/>
    </row>
    <row r="305" spans="1:8" hidden="1">
      <c r="A305" s="495" t="s">
        <v>2292</v>
      </c>
      <c r="B305" s="399" t="s">
        <v>631</v>
      </c>
      <c r="C305" s="399" t="s">
        <v>108</v>
      </c>
      <c r="D305" s="399">
        <v>1154</v>
      </c>
      <c r="E305" s="399" t="s">
        <v>2293</v>
      </c>
      <c r="F305" s="399" t="s">
        <v>2294</v>
      </c>
      <c r="G305" s="399" t="s">
        <v>2221</v>
      </c>
      <c r="H305" s="1235"/>
    </row>
    <row r="306" spans="1:8" hidden="1">
      <c r="A306" s="495" t="s">
        <v>2292</v>
      </c>
      <c r="B306" s="399" t="s">
        <v>631</v>
      </c>
      <c r="C306" s="399" t="s">
        <v>108</v>
      </c>
      <c r="D306" s="399">
        <v>1160</v>
      </c>
      <c r="E306" s="399" t="s">
        <v>2293</v>
      </c>
      <c r="F306" s="399" t="s">
        <v>2294</v>
      </c>
      <c r="G306" s="399" t="s">
        <v>2221</v>
      </c>
      <c r="H306" s="1235"/>
    </row>
    <row r="307" spans="1:8" hidden="1">
      <c r="A307" s="495" t="s">
        <v>2292</v>
      </c>
      <c r="B307" s="399" t="s">
        <v>631</v>
      </c>
      <c r="C307" s="399" t="s">
        <v>108</v>
      </c>
      <c r="D307" s="399">
        <v>1164</v>
      </c>
      <c r="E307" s="399" t="s">
        <v>2293</v>
      </c>
      <c r="F307" s="399" t="s">
        <v>2294</v>
      </c>
      <c r="G307" s="399" t="s">
        <v>2221</v>
      </c>
      <c r="H307" s="1235"/>
    </row>
    <row r="308" spans="1:8" hidden="1">
      <c r="A308" s="495" t="s">
        <v>2292</v>
      </c>
      <c r="B308" s="399" t="s">
        <v>631</v>
      </c>
      <c r="C308" s="399" t="s">
        <v>108</v>
      </c>
      <c r="D308" s="399">
        <v>1165</v>
      </c>
      <c r="E308" s="399" t="s">
        <v>2293</v>
      </c>
      <c r="F308" s="399" t="s">
        <v>2294</v>
      </c>
      <c r="G308" s="399" t="s">
        <v>2221</v>
      </c>
      <c r="H308" s="1235"/>
    </row>
    <row r="309" spans="1:8" hidden="1">
      <c r="A309" s="495" t="s">
        <v>2292</v>
      </c>
      <c r="B309" s="399" t="s">
        <v>631</v>
      </c>
      <c r="C309" s="399" t="s">
        <v>108</v>
      </c>
      <c r="D309" s="399">
        <v>1169</v>
      </c>
      <c r="E309" s="399" t="s">
        <v>2293</v>
      </c>
      <c r="F309" s="399" t="s">
        <v>2294</v>
      </c>
      <c r="G309" s="399" t="s">
        <v>2221</v>
      </c>
      <c r="H309" s="1235"/>
    </row>
    <row r="310" spans="1:8" hidden="1">
      <c r="A310" s="495" t="s">
        <v>2292</v>
      </c>
      <c r="B310" s="399" t="s">
        <v>631</v>
      </c>
      <c r="C310" s="399" t="s">
        <v>108</v>
      </c>
      <c r="D310" s="399">
        <v>1170</v>
      </c>
      <c r="E310" s="399" t="s">
        <v>2293</v>
      </c>
      <c r="F310" s="399" t="s">
        <v>2294</v>
      </c>
      <c r="G310" s="399" t="s">
        <v>2221</v>
      </c>
      <c r="H310" s="1235"/>
    </row>
    <row r="311" spans="1:8" hidden="1">
      <c r="A311" s="495" t="s">
        <v>2292</v>
      </c>
      <c r="B311" s="399" t="s">
        <v>631</v>
      </c>
      <c r="C311" s="399" t="s">
        <v>108</v>
      </c>
      <c r="D311" s="399">
        <v>1176</v>
      </c>
      <c r="E311" s="399" t="s">
        <v>2293</v>
      </c>
      <c r="F311" s="399" t="s">
        <v>2294</v>
      </c>
      <c r="G311" s="399" t="s">
        <v>2221</v>
      </c>
      <c r="H311" s="1235"/>
    </row>
    <row r="312" spans="1:8" hidden="1">
      <c r="A312" s="495" t="s">
        <v>2292</v>
      </c>
      <c r="B312" s="399" t="s">
        <v>631</v>
      </c>
      <c r="C312" s="399" t="s">
        <v>108</v>
      </c>
      <c r="D312" s="399">
        <v>1177</v>
      </c>
      <c r="E312" s="399" t="s">
        <v>2293</v>
      </c>
      <c r="F312" s="399" t="s">
        <v>2294</v>
      </c>
      <c r="G312" s="399" t="s">
        <v>2221</v>
      </c>
      <c r="H312" s="1235"/>
    </row>
    <row r="313" spans="1:8" hidden="1">
      <c r="A313" s="495" t="s">
        <v>2292</v>
      </c>
      <c r="B313" s="399" t="s">
        <v>631</v>
      </c>
      <c r="C313" s="399" t="s">
        <v>108</v>
      </c>
      <c r="D313" s="399">
        <v>1178</v>
      </c>
      <c r="E313" s="399" t="s">
        <v>2293</v>
      </c>
      <c r="F313" s="399" t="s">
        <v>2294</v>
      </c>
      <c r="G313" s="399" t="s">
        <v>2221</v>
      </c>
      <c r="H313" s="1235"/>
    </row>
    <row r="314" spans="1:8" hidden="1">
      <c r="A314" s="495" t="s">
        <v>2292</v>
      </c>
      <c r="B314" s="399" t="s">
        <v>631</v>
      </c>
      <c r="C314" s="399" t="s">
        <v>108</v>
      </c>
      <c r="D314" s="399">
        <v>1179</v>
      </c>
      <c r="E314" s="399" t="s">
        <v>2293</v>
      </c>
      <c r="F314" s="399" t="s">
        <v>2294</v>
      </c>
      <c r="G314" s="399" t="s">
        <v>2221</v>
      </c>
      <c r="H314" s="1235"/>
    </row>
    <row r="315" spans="1:8" hidden="1">
      <c r="A315" s="495" t="s">
        <v>2292</v>
      </c>
      <c r="B315" s="399" t="s">
        <v>631</v>
      </c>
      <c r="C315" s="399" t="s">
        <v>108</v>
      </c>
      <c r="D315" s="399">
        <v>1180</v>
      </c>
      <c r="E315" s="399" t="s">
        <v>2296</v>
      </c>
      <c r="F315" s="399" t="s">
        <v>2299</v>
      </c>
      <c r="G315" s="399" t="s">
        <v>2221</v>
      </c>
      <c r="H315" s="1235"/>
    </row>
    <row r="316" spans="1:8" hidden="1">
      <c r="A316" s="495" t="s">
        <v>2292</v>
      </c>
      <c r="B316" s="399" t="s">
        <v>631</v>
      </c>
      <c r="C316" s="399" t="s">
        <v>108</v>
      </c>
      <c r="D316" s="399">
        <v>1181</v>
      </c>
      <c r="E316" s="399" t="s">
        <v>2293</v>
      </c>
      <c r="F316" s="399" t="s">
        <v>2294</v>
      </c>
      <c r="G316" s="399" t="s">
        <v>2221</v>
      </c>
      <c r="H316" s="1235"/>
    </row>
    <row r="317" spans="1:8" hidden="1">
      <c r="A317" s="495" t="s">
        <v>2292</v>
      </c>
      <c r="B317" s="399" t="s">
        <v>631</v>
      </c>
      <c r="C317" s="399" t="s">
        <v>108</v>
      </c>
      <c r="D317" s="399">
        <v>1182</v>
      </c>
      <c r="E317" s="399" t="s">
        <v>2293</v>
      </c>
      <c r="F317" s="399" t="s">
        <v>2294</v>
      </c>
      <c r="G317" s="399" t="s">
        <v>2221</v>
      </c>
      <c r="H317" s="1235"/>
    </row>
    <row r="318" spans="1:8" hidden="1">
      <c r="A318" s="495" t="s">
        <v>2292</v>
      </c>
      <c r="B318" s="399" t="s">
        <v>631</v>
      </c>
      <c r="C318" s="399" t="s">
        <v>108</v>
      </c>
      <c r="D318" s="399">
        <v>1183</v>
      </c>
      <c r="E318" s="399" t="s">
        <v>2293</v>
      </c>
      <c r="F318" s="399" t="s">
        <v>2294</v>
      </c>
      <c r="G318" s="399" t="s">
        <v>2221</v>
      </c>
      <c r="H318" s="1235"/>
    </row>
    <row r="319" spans="1:8" hidden="1">
      <c r="A319" s="495" t="s">
        <v>2292</v>
      </c>
      <c r="B319" s="399" t="s">
        <v>631</v>
      </c>
      <c r="C319" s="399" t="s">
        <v>108</v>
      </c>
      <c r="D319" s="399">
        <v>1184</v>
      </c>
      <c r="E319" s="399" t="s">
        <v>2293</v>
      </c>
      <c r="F319" s="399" t="s">
        <v>2294</v>
      </c>
      <c r="G319" s="399" t="s">
        <v>2221</v>
      </c>
      <c r="H319" s="1235"/>
    </row>
    <row r="320" spans="1:8" hidden="1">
      <c r="A320" s="495" t="s">
        <v>2292</v>
      </c>
      <c r="B320" s="399" t="s">
        <v>631</v>
      </c>
      <c r="C320" s="399" t="s">
        <v>108</v>
      </c>
      <c r="D320" s="399">
        <v>1185</v>
      </c>
      <c r="E320" s="399" t="s">
        <v>2293</v>
      </c>
      <c r="F320" s="399" t="s">
        <v>2294</v>
      </c>
      <c r="G320" s="399" t="s">
        <v>2221</v>
      </c>
      <c r="H320" s="1235"/>
    </row>
    <row r="321" spans="1:8" hidden="1">
      <c r="A321" s="495" t="s">
        <v>2292</v>
      </c>
      <c r="B321" s="399" t="s">
        <v>631</v>
      </c>
      <c r="C321" s="399" t="s">
        <v>108</v>
      </c>
      <c r="D321" s="399">
        <v>1188</v>
      </c>
      <c r="E321" s="399" t="s">
        <v>2293</v>
      </c>
      <c r="F321" s="399" t="s">
        <v>2294</v>
      </c>
      <c r="G321" s="399" t="s">
        <v>2221</v>
      </c>
      <c r="H321" s="1235"/>
    </row>
    <row r="322" spans="1:8" hidden="1">
      <c r="A322" s="495" t="s">
        <v>2292</v>
      </c>
      <c r="B322" s="399" t="s">
        <v>631</v>
      </c>
      <c r="C322" s="399" t="s">
        <v>108</v>
      </c>
      <c r="D322" s="399">
        <v>1189</v>
      </c>
      <c r="E322" s="399" t="s">
        <v>2293</v>
      </c>
      <c r="F322" s="399" t="s">
        <v>2294</v>
      </c>
      <c r="G322" s="399" t="s">
        <v>2221</v>
      </c>
      <c r="H322" s="1235"/>
    </row>
    <row r="323" spans="1:8" hidden="1">
      <c r="A323" s="495" t="s">
        <v>2292</v>
      </c>
      <c r="B323" s="399" t="s">
        <v>631</v>
      </c>
      <c r="C323" s="399" t="s">
        <v>108</v>
      </c>
      <c r="D323" s="399">
        <v>1190</v>
      </c>
      <c r="E323" s="399" t="s">
        <v>2293</v>
      </c>
      <c r="F323" s="399" t="s">
        <v>2294</v>
      </c>
      <c r="G323" s="399" t="s">
        <v>2221</v>
      </c>
      <c r="H323" s="1235"/>
    </row>
    <row r="324" spans="1:8" hidden="1">
      <c r="A324" s="495" t="s">
        <v>2292</v>
      </c>
      <c r="B324" s="399" t="s">
        <v>631</v>
      </c>
      <c r="C324" s="399" t="s">
        <v>108</v>
      </c>
      <c r="D324" s="399">
        <v>1200</v>
      </c>
      <c r="E324" s="399" t="s">
        <v>2293</v>
      </c>
      <c r="F324" s="399" t="s">
        <v>2294</v>
      </c>
      <c r="G324" s="399" t="s">
        <v>2221</v>
      </c>
      <c r="H324" s="1235"/>
    </row>
    <row r="325" spans="1:8" hidden="1">
      <c r="A325" s="495" t="s">
        <v>2292</v>
      </c>
      <c r="B325" s="399" t="s">
        <v>631</v>
      </c>
      <c r="C325" s="399" t="s">
        <v>108</v>
      </c>
      <c r="D325" s="399">
        <v>1210</v>
      </c>
      <c r="E325" s="399" t="s">
        <v>2293</v>
      </c>
      <c r="F325" s="399" t="s">
        <v>2294</v>
      </c>
      <c r="G325" s="399" t="s">
        <v>2221</v>
      </c>
      <c r="H325" s="1235"/>
    </row>
    <row r="326" spans="1:8" hidden="1">
      <c r="A326" s="495" t="s">
        <v>2292</v>
      </c>
      <c r="B326" s="399" t="s">
        <v>631</v>
      </c>
      <c r="C326" s="399" t="s">
        <v>108</v>
      </c>
      <c r="D326" s="399">
        <v>1220</v>
      </c>
      <c r="E326" s="399" t="s">
        <v>2293</v>
      </c>
      <c r="F326" s="399" t="s">
        <v>2294</v>
      </c>
      <c r="G326" s="399" t="s">
        <v>2221</v>
      </c>
      <c r="H326" s="1235"/>
    </row>
    <row r="327" spans="1:8" hidden="1">
      <c r="A327" s="495" t="s">
        <v>2292</v>
      </c>
      <c r="B327" s="399" t="s">
        <v>631</v>
      </c>
      <c r="C327" s="399" t="s">
        <v>108</v>
      </c>
      <c r="D327" s="399">
        <v>1230</v>
      </c>
      <c r="E327" s="399" t="s">
        <v>2293</v>
      </c>
      <c r="F327" s="399" t="s">
        <v>2294</v>
      </c>
      <c r="G327" s="399" t="s">
        <v>2221</v>
      </c>
      <c r="H327" s="1235"/>
    </row>
    <row r="328" spans="1:8" hidden="1">
      <c r="A328" s="495" t="s">
        <v>2292</v>
      </c>
      <c r="B328" s="399" t="s">
        <v>631</v>
      </c>
      <c r="C328" s="399" t="s">
        <v>108</v>
      </c>
      <c r="D328" s="399">
        <v>1240</v>
      </c>
      <c r="E328" s="399" t="s">
        <v>2293</v>
      </c>
      <c r="F328" s="399" t="s">
        <v>2294</v>
      </c>
      <c r="G328" s="399" t="s">
        <v>2221</v>
      </c>
      <c r="H328" s="1235"/>
    </row>
    <row r="329" spans="1:8" hidden="1">
      <c r="A329" s="495" t="s">
        <v>2292</v>
      </c>
      <c r="B329" s="399" t="s">
        <v>631</v>
      </c>
      <c r="C329" s="399" t="s">
        <v>108</v>
      </c>
      <c r="D329" s="399">
        <v>1250</v>
      </c>
      <c r="E329" s="399" t="s">
        <v>2293</v>
      </c>
      <c r="F329" s="399" t="s">
        <v>2294</v>
      </c>
      <c r="G329" s="399" t="s">
        <v>2221</v>
      </c>
      <c r="H329" s="1235"/>
    </row>
    <row r="330" spans="1:8" hidden="1">
      <c r="A330" s="495" t="s">
        <v>2292</v>
      </c>
      <c r="B330" s="399" t="s">
        <v>631</v>
      </c>
      <c r="C330" s="399" t="s">
        <v>108</v>
      </c>
      <c r="D330" s="399">
        <v>1260</v>
      </c>
      <c r="E330" s="399" t="s">
        <v>2293</v>
      </c>
      <c r="F330" s="399" t="s">
        <v>2294</v>
      </c>
      <c r="G330" s="399" t="s">
        <v>2221</v>
      </c>
      <c r="H330" s="1235"/>
    </row>
    <row r="331" spans="1:8" hidden="1">
      <c r="A331" s="495" t="s">
        <v>2292</v>
      </c>
      <c r="B331" s="399" t="s">
        <v>631</v>
      </c>
      <c r="C331" s="399" t="s">
        <v>108</v>
      </c>
      <c r="D331" s="399">
        <v>1270</v>
      </c>
      <c r="E331" s="399" t="s">
        <v>2293</v>
      </c>
      <c r="F331" s="399" t="s">
        <v>2294</v>
      </c>
      <c r="G331" s="399" t="s">
        <v>2221</v>
      </c>
      <c r="H331" s="1235"/>
    </row>
    <row r="332" spans="1:8" hidden="1">
      <c r="A332" s="495" t="s">
        <v>2292</v>
      </c>
      <c r="B332" s="399" t="s">
        <v>631</v>
      </c>
      <c r="C332" s="399" t="s">
        <v>108</v>
      </c>
      <c r="D332" s="399">
        <v>1273</v>
      </c>
      <c r="E332" s="399" t="s">
        <v>2293</v>
      </c>
      <c r="F332" s="399" t="s">
        <v>2294</v>
      </c>
      <c r="G332" s="399" t="s">
        <v>2221</v>
      </c>
      <c r="H332" s="1235"/>
    </row>
    <row r="333" spans="1:8" hidden="1">
      <c r="A333" s="495" t="s">
        <v>2292</v>
      </c>
      <c r="B333" s="399" t="s">
        <v>631</v>
      </c>
      <c r="C333" s="399" t="s">
        <v>108</v>
      </c>
      <c r="D333" s="399">
        <v>1274</v>
      </c>
      <c r="E333" s="399" t="s">
        <v>2293</v>
      </c>
      <c r="F333" s="399" t="s">
        <v>2294</v>
      </c>
      <c r="G333" s="399" t="s">
        <v>2221</v>
      </c>
      <c r="H333" s="1235"/>
    </row>
    <row r="334" spans="1:8" hidden="1">
      <c r="A334" s="495" t="s">
        <v>2292</v>
      </c>
      <c r="B334" s="399" t="s">
        <v>631</v>
      </c>
      <c r="C334" s="399" t="s">
        <v>108</v>
      </c>
      <c r="D334" s="399">
        <v>1275</v>
      </c>
      <c r="E334" s="399" t="s">
        <v>2293</v>
      </c>
      <c r="F334" s="399" t="s">
        <v>2294</v>
      </c>
      <c r="G334" s="399" t="s">
        <v>2221</v>
      </c>
      <c r="H334" s="1235"/>
    </row>
    <row r="335" spans="1:8" hidden="1">
      <c r="A335" s="495" t="s">
        <v>2292</v>
      </c>
      <c r="B335" s="399" t="s">
        <v>631</v>
      </c>
      <c r="C335" s="399" t="s">
        <v>108</v>
      </c>
      <c r="D335" s="399">
        <v>1276</v>
      </c>
      <c r="E335" s="399" t="s">
        <v>2293</v>
      </c>
      <c r="F335" s="399" t="s">
        <v>2294</v>
      </c>
      <c r="G335" s="399" t="s">
        <v>2221</v>
      </c>
      <c r="H335" s="1235"/>
    </row>
    <row r="336" spans="1:8" hidden="1">
      <c r="A336" s="495" t="s">
        <v>2292</v>
      </c>
      <c r="B336" s="399" t="s">
        <v>631</v>
      </c>
      <c r="C336" s="399" t="s">
        <v>108</v>
      </c>
      <c r="D336" s="399">
        <v>1277</v>
      </c>
      <c r="E336" s="399" t="s">
        <v>2293</v>
      </c>
      <c r="F336" s="399" t="s">
        <v>2294</v>
      </c>
      <c r="G336" s="399" t="s">
        <v>2221</v>
      </c>
      <c r="H336" s="1235"/>
    </row>
    <row r="337" spans="1:8" hidden="1">
      <c r="A337" s="495" t="s">
        <v>2292</v>
      </c>
      <c r="B337" s="399" t="s">
        <v>631</v>
      </c>
      <c r="C337" s="399" t="s">
        <v>108</v>
      </c>
      <c r="D337" s="399">
        <v>1280</v>
      </c>
      <c r="E337" s="399" t="s">
        <v>2293</v>
      </c>
      <c r="F337" s="399" t="s">
        <v>2294</v>
      </c>
      <c r="G337" s="399" t="s">
        <v>2221</v>
      </c>
      <c r="H337" s="1235"/>
    </row>
    <row r="338" spans="1:8" hidden="1">
      <c r="A338" s="495" t="s">
        <v>2292</v>
      </c>
      <c r="B338" s="399" t="s">
        <v>631</v>
      </c>
      <c r="C338" s="399" t="s">
        <v>108</v>
      </c>
      <c r="D338" s="399">
        <v>1285</v>
      </c>
      <c r="E338" s="399" t="s">
        <v>2293</v>
      </c>
      <c r="F338" s="399" t="s">
        <v>2294</v>
      </c>
      <c r="G338" s="399" t="s">
        <v>2221</v>
      </c>
      <c r="H338" s="1235"/>
    </row>
    <row r="339" spans="1:8" hidden="1">
      <c r="A339" s="495" t="s">
        <v>2292</v>
      </c>
      <c r="B339" s="399" t="s">
        <v>631</v>
      </c>
      <c r="C339" s="399" t="s">
        <v>108</v>
      </c>
      <c r="D339" s="399">
        <v>1290</v>
      </c>
      <c r="E339" s="399" t="s">
        <v>2293</v>
      </c>
      <c r="F339" s="399" t="s">
        <v>2294</v>
      </c>
      <c r="G339" s="399" t="s">
        <v>2221</v>
      </c>
      <c r="H339" s="1235"/>
    </row>
    <row r="340" spans="1:8" hidden="1">
      <c r="A340" s="495" t="s">
        <v>2292</v>
      </c>
      <c r="B340" s="399" t="s">
        <v>631</v>
      </c>
      <c r="C340" s="399" t="s">
        <v>108</v>
      </c>
      <c r="D340" s="399">
        <v>1291</v>
      </c>
      <c r="E340" s="399" t="s">
        <v>2293</v>
      </c>
      <c r="F340" s="399" t="s">
        <v>2294</v>
      </c>
      <c r="G340" s="399" t="s">
        <v>2221</v>
      </c>
      <c r="H340" s="1235"/>
    </row>
    <row r="341" spans="1:8" hidden="1">
      <c r="A341" s="495" t="s">
        <v>2292</v>
      </c>
      <c r="B341" s="399" t="s">
        <v>631</v>
      </c>
      <c r="C341" s="399" t="s">
        <v>108</v>
      </c>
      <c r="D341" s="399">
        <v>1300</v>
      </c>
      <c r="E341" s="399" t="s">
        <v>2293</v>
      </c>
      <c r="F341" s="399" t="s">
        <v>2294</v>
      </c>
      <c r="G341" s="399" t="s">
        <v>2221</v>
      </c>
      <c r="H341" s="1235"/>
    </row>
    <row r="342" spans="1:8" hidden="1">
      <c r="A342" s="495" t="s">
        <v>2292</v>
      </c>
      <c r="B342" s="399" t="s">
        <v>631</v>
      </c>
      <c r="C342" s="399" t="s">
        <v>108</v>
      </c>
      <c r="D342" s="399">
        <v>1310</v>
      </c>
      <c r="E342" s="399" t="s">
        <v>2293</v>
      </c>
      <c r="F342" s="399" t="s">
        <v>2294</v>
      </c>
      <c r="G342" s="399" t="s">
        <v>2221</v>
      </c>
      <c r="H342" s="1235"/>
    </row>
    <row r="343" spans="1:8" hidden="1">
      <c r="A343" s="495" t="s">
        <v>2292</v>
      </c>
      <c r="B343" s="399" t="s">
        <v>631</v>
      </c>
      <c r="C343" s="399" t="s">
        <v>108</v>
      </c>
      <c r="D343" s="399">
        <v>1320</v>
      </c>
      <c r="E343" s="399" t="s">
        <v>2293</v>
      </c>
      <c r="F343" s="399" t="s">
        <v>2294</v>
      </c>
      <c r="G343" s="399" t="s">
        <v>2221</v>
      </c>
      <c r="H343" s="1235"/>
    </row>
    <row r="344" spans="1:8" hidden="1">
      <c r="A344" s="495" t="s">
        <v>2292</v>
      </c>
      <c r="B344" s="399" t="s">
        <v>631</v>
      </c>
      <c r="C344" s="399" t="s">
        <v>108</v>
      </c>
      <c r="D344" s="399">
        <v>1330</v>
      </c>
      <c r="E344" s="399" t="s">
        <v>2293</v>
      </c>
      <c r="F344" s="399" t="s">
        <v>2294</v>
      </c>
      <c r="G344" s="399" t="s">
        <v>2221</v>
      </c>
      <c r="H344" s="1235"/>
    </row>
    <row r="345" spans="1:8" hidden="1">
      <c r="A345" s="495" t="s">
        <v>2292</v>
      </c>
      <c r="B345" s="399" t="s">
        <v>631</v>
      </c>
      <c r="C345" s="399" t="s">
        <v>108</v>
      </c>
      <c r="D345" s="399">
        <v>1340</v>
      </c>
      <c r="E345" s="399" t="s">
        <v>2293</v>
      </c>
      <c r="F345" s="399" t="s">
        <v>2294</v>
      </c>
      <c r="G345" s="399" t="s">
        <v>2221</v>
      </c>
      <c r="H345" s="1235"/>
    </row>
    <row r="346" spans="1:8" hidden="1">
      <c r="A346" s="495" t="s">
        <v>2292</v>
      </c>
      <c r="B346" s="399" t="s">
        <v>631</v>
      </c>
      <c r="C346" s="399" t="s">
        <v>108</v>
      </c>
      <c r="D346" s="399">
        <v>1350</v>
      </c>
      <c r="E346" s="399" t="s">
        <v>2293</v>
      </c>
      <c r="F346" s="399" t="s">
        <v>2294</v>
      </c>
      <c r="G346" s="399" t="s">
        <v>2221</v>
      </c>
      <c r="H346" s="1235"/>
    </row>
    <row r="347" spans="1:8" hidden="1">
      <c r="A347" s="495" t="s">
        <v>2292</v>
      </c>
      <c r="B347" s="399" t="s">
        <v>631</v>
      </c>
      <c r="C347" s="399" t="s">
        <v>108</v>
      </c>
      <c r="D347" s="399">
        <v>1352</v>
      </c>
      <c r="E347" s="399" t="s">
        <v>2293</v>
      </c>
      <c r="F347" s="399" t="s">
        <v>2294</v>
      </c>
      <c r="G347" s="399" t="s">
        <v>2221</v>
      </c>
      <c r="H347" s="1235"/>
    </row>
    <row r="348" spans="1:8" hidden="1">
      <c r="A348" s="495" t="s">
        <v>2292</v>
      </c>
      <c r="B348" s="399" t="s">
        <v>631</v>
      </c>
      <c r="C348" s="399" t="s">
        <v>108</v>
      </c>
      <c r="D348" s="399">
        <v>1357</v>
      </c>
      <c r="E348" s="399" t="s">
        <v>2293</v>
      </c>
      <c r="F348" s="399" t="s">
        <v>2294</v>
      </c>
      <c r="G348" s="399" t="s">
        <v>2221</v>
      </c>
      <c r="H348" s="1235"/>
    </row>
    <row r="349" spans="1:8" hidden="1">
      <c r="A349" s="495" t="s">
        <v>2292</v>
      </c>
      <c r="B349" s="399" t="s">
        <v>631</v>
      </c>
      <c r="C349" s="399" t="s">
        <v>108</v>
      </c>
      <c r="D349" s="399">
        <v>1358</v>
      </c>
      <c r="E349" s="399" t="s">
        <v>2293</v>
      </c>
      <c r="F349" s="399" t="s">
        <v>2294</v>
      </c>
      <c r="G349" s="399" t="s">
        <v>2221</v>
      </c>
      <c r="H349" s="1235"/>
    </row>
    <row r="350" spans="1:8" hidden="1">
      <c r="A350" s="495" t="s">
        <v>2292</v>
      </c>
      <c r="B350" s="399" t="s">
        <v>631</v>
      </c>
      <c r="C350" s="399" t="s">
        <v>108</v>
      </c>
      <c r="D350" s="399">
        <v>1360</v>
      </c>
      <c r="E350" s="399" t="s">
        <v>2296</v>
      </c>
      <c r="F350" s="399" t="s">
        <v>2300</v>
      </c>
      <c r="G350" s="399" t="s">
        <v>2221</v>
      </c>
      <c r="H350" s="1235"/>
    </row>
    <row r="351" spans="1:8" hidden="1">
      <c r="A351" s="495" t="s">
        <v>2292</v>
      </c>
      <c r="B351" s="399" t="s">
        <v>631</v>
      </c>
      <c r="C351" s="399" t="s">
        <v>108</v>
      </c>
      <c r="D351" s="399">
        <v>1361</v>
      </c>
      <c r="E351" s="399" t="s">
        <v>2293</v>
      </c>
      <c r="F351" s="399" t="s">
        <v>2294</v>
      </c>
      <c r="G351" s="399" t="s">
        <v>2221</v>
      </c>
      <c r="H351" s="1235"/>
    </row>
    <row r="352" spans="1:8" hidden="1">
      <c r="A352" s="495" t="s">
        <v>2292</v>
      </c>
      <c r="B352" s="399" t="s">
        <v>631</v>
      </c>
      <c r="C352" s="399" t="s">
        <v>108</v>
      </c>
      <c r="D352" s="399">
        <v>1362</v>
      </c>
      <c r="E352" s="399" t="s">
        <v>2293</v>
      </c>
      <c r="F352" s="399" t="s">
        <v>2294</v>
      </c>
      <c r="G352" s="399" t="s">
        <v>2221</v>
      </c>
      <c r="H352" s="1235"/>
    </row>
    <row r="353" spans="1:8" hidden="1">
      <c r="A353" s="495" t="s">
        <v>2292</v>
      </c>
      <c r="B353" s="399" t="s">
        <v>631</v>
      </c>
      <c r="C353" s="399" t="s">
        <v>108</v>
      </c>
      <c r="D353" s="399">
        <v>1363</v>
      </c>
      <c r="E353" s="399" t="s">
        <v>2293</v>
      </c>
      <c r="F353" s="399" t="s">
        <v>2294</v>
      </c>
      <c r="G353" s="399" t="s">
        <v>2221</v>
      </c>
      <c r="H353" s="1235"/>
    </row>
    <row r="354" spans="1:8" hidden="1">
      <c r="A354" s="495" t="s">
        <v>2292</v>
      </c>
      <c r="B354" s="399" t="s">
        <v>631</v>
      </c>
      <c r="C354" s="399" t="s">
        <v>108</v>
      </c>
      <c r="D354" s="399">
        <v>1364</v>
      </c>
      <c r="E354" s="399" t="s">
        <v>2293</v>
      </c>
      <c r="F354" s="399" t="s">
        <v>2294</v>
      </c>
      <c r="G354" s="399" t="s">
        <v>2221</v>
      </c>
      <c r="H354" s="1235"/>
    </row>
    <row r="355" spans="1:8" hidden="1">
      <c r="A355" s="495" t="s">
        <v>2292</v>
      </c>
      <c r="B355" s="399" t="s">
        <v>631</v>
      </c>
      <c r="C355" s="399" t="s">
        <v>108</v>
      </c>
      <c r="D355" s="399">
        <v>1365</v>
      </c>
      <c r="E355" s="399" t="s">
        <v>2293</v>
      </c>
      <c r="F355" s="399" t="s">
        <v>2294</v>
      </c>
      <c r="G355" s="399" t="s">
        <v>2221</v>
      </c>
      <c r="H355" s="1235"/>
    </row>
    <row r="356" spans="1:8" hidden="1">
      <c r="A356" s="495" t="s">
        <v>2292</v>
      </c>
      <c r="B356" s="399" t="s">
        <v>631</v>
      </c>
      <c r="C356" s="399" t="s">
        <v>108</v>
      </c>
      <c r="D356" s="399">
        <v>1366</v>
      </c>
      <c r="E356" s="399" t="s">
        <v>2293</v>
      </c>
      <c r="F356" s="399" t="s">
        <v>2294</v>
      </c>
      <c r="G356" s="399" t="s">
        <v>2221</v>
      </c>
      <c r="H356" s="1235"/>
    </row>
    <row r="357" spans="1:8" hidden="1">
      <c r="A357" s="495" t="s">
        <v>2292</v>
      </c>
      <c r="B357" s="399" t="s">
        <v>631</v>
      </c>
      <c r="C357" s="399" t="s">
        <v>108</v>
      </c>
      <c r="D357" s="399">
        <v>1367</v>
      </c>
      <c r="E357" s="399" t="s">
        <v>2293</v>
      </c>
      <c r="F357" s="399" t="s">
        <v>2294</v>
      </c>
      <c r="G357" s="399" t="s">
        <v>2221</v>
      </c>
      <c r="H357" s="1235"/>
    </row>
    <row r="358" spans="1:8" hidden="1">
      <c r="A358" s="495" t="s">
        <v>2292</v>
      </c>
      <c r="B358" s="399" t="s">
        <v>631</v>
      </c>
      <c r="C358" s="399" t="s">
        <v>108</v>
      </c>
      <c r="D358" s="399">
        <v>1368</v>
      </c>
      <c r="E358" s="399" t="s">
        <v>2293</v>
      </c>
      <c r="F358" s="399" t="s">
        <v>2294</v>
      </c>
      <c r="G358" s="399" t="s">
        <v>2221</v>
      </c>
      <c r="H358" s="1235"/>
    </row>
    <row r="359" spans="1:8" hidden="1">
      <c r="A359" s="495" t="s">
        <v>2292</v>
      </c>
      <c r="B359" s="399" t="s">
        <v>631</v>
      </c>
      <c r="C359" s="399" t="s">
        <v>108</v>
      </c>
      <c r="D359" s="399">
        <v>1954</v>
      </c>
      <c r="E359" s="399" t="s">
        <v>2293</v>
      </c>
      <c r="F359" s="399" t="s">
        <v>2294</v>
      </c>
      <c r="G359" s="399" t="s">
        <v>2221</v>
      </c>
      <c r="H359" s="1235"/>
    </row>
    <row r="360" spans="1:8" hidden="1">
      <c r="A360" s="495" t="s">
        <v>2292</v>
      </c>
      <c r="B360" s="399" t="s">
        <v>631</v>
      </c>
      <c r="C360" s="399" t="s">
        <v>108</v>
      </c>
      <c r="D360" s="399">
        <v>2001</v>
      </c>
      <c r="E360" s="399" t="s">
        <v>2296</v>
      </c>
      <c r="F360" s="399" t="s">
        <v>2297</v>
      </c>
      <c r="G360" s="399" t="s">
        <v>2221</v>
      </c>
      <c r="H360" s="1235"/>
    </row>
    <row r="361" spans="1:8" hidden="1">
      <c r="A361" s="495" t="s">
        <v>2292</v>
      </c>
      <c r="B361" s="399" t="s">
        <v>631</v>
      </c>
      <c r="C361" s="399" t="s">
        <v>108</v>
      </c>
      <c r="D361" s="399">
        <v>2002</v>
      </c>
      <c r="E361" s="399" t="s">
        <v>2293</v>
      </c>
      <c r="F361" s="399" t="s">
        <v>2294</v>
      </c>
      <c r="G361" s="399" t="s">
        <v>2221</v>
      </c>
      <c r="H361" s="1235"/>
    </row>
    <row r="362" spans="1:8" hidden="1">
      <c r="A362" s="495" t="s">
        <v>2292</v>
      </c>
      <c r="B362" s="399" t="s">
        <v>631</v>
      </c>
      <c r="C362" s="399" t="s">
        <v>108</v>
      </c>
      <c r="D362" s="399">
        <v>2003</v>
      </c>
      <c r="E362" s="399" t="s">
        <v>2296</v>
      </c>
      <c r="F362" s="399" t="s">
        <v>2298</v>
      </c>
      <c r="G362" s="399" t="s">
        <v>2221</v>
      </c>
      <c r="H362" s="1235"/>
    </row>
    <row r="363" spans="1:8" hidden="1">
      <c r="A363" s="495" t="s">
        <v>2292</v>
      </c>
      <c r="B363" s="399" t="s">
        <v>631</v>
      </c>
      <c r="C363" s="399" t="s">
        <v>108</v>
      </c>
      <c r="D363" s="399">
        <v>2004</v>
      </c>
      <c r="E363" s="399" t="s">
        <v>2293</v>
      </c>
      <c r="F363" s="399" t="s">
        <v>2294</v>
      </c>
      <c r="G363" s="399" t="s">
        <v>2221</v>
      </c>
      <c r="H363" s="1235"/>
    </row>
    <row r="364" spans="1:8" hidden="1">
      <c r="A364" s="495" t="s">
        <v>2292</v>
      </c>
      <c r="B364" s="399" t="s">
        <v>631</v>
      </c>
      <c r="C364" s="399" t="s">
        <v>108</v>
      </c>
      <c r="D364" s="399">
        <v>2005</v>
      </c>
      <c r="E364" s="399" t="s">
        <v>2293</v>
      </c>
      <c r="F364" s="399" t="s">
        <v>2294</v>
      </c>
      <c r="G364" s="399" t="s">
        <v>2221</v>
      </c>
      <c r="H364" s="1235"/>
    </row>
    <row r="365" spans="1:8" hidden="1">
      <c r="A365" s="495" t="s">
        <v>2292</v>
      </c>
      <c r="B365" s="399" t="s">
        <v>631</v>
      </c>
      <c r="C365" s="399" t="s">
        <v>108</v>
      </c>
      <c r="D365" s="399">
        <v>2006</v>
      </c>
      <c r="E365" s="399" t="s">
        <v>2296</v>
      </c>
      <c r="F365" s="399" t="s">
        <v>2299</v>
      </c>
      <c r="G365" s="399" t="s">
        <v>2221</v>
      </c>
      <c r="H365" s="1235"/>
    </row>
    <row r="366" spans="1:8" hidden="1">
      <c r="A366" s="495" t="s">
        <v>2292</v>
      </c>
      <c r="B366" s="399" t="s">
        <v>631</v>
      </c>
      <c r="C366" s="399" t="s">
        <v>108</v>
      </c>
      <c r="D366" s="399">
        <v>2007</v>
      </c>
      <c r="E366" s="399" t="s">
        <v>2293</v>
      </c>
      <c r="F366" s="399" t="s">
        <v>2294</v>
      </c>
      <c r="G366" s="399" t="s">
        <v>2221</v>
      </c>
      <c r="H366" s="1235"/>
    </row>
    <row r="367" spans="1:8" hidden="1">
      <c r="A367" s="495" t="s">
        <v>2292</v>
      </c>
      <c r="B367" s="399" t="s">
        <v>631</v>
      </c>
      <c r="C367" s="399" t="s">
        <v>108</v>
      </c>
      <c r="D367" s="399">
        <v>2008</v>
      </c>
      <c r="E367" s="399" t="s">
        <v>2293</v>
      </c>
      <c r="F367" s="399" t="s">
        <v>2294</v>
      </c>
      <c r="G367" s="399" t="s">
        <v>2221</v>
      </c>
      <c r="H367" s="1235"/>
    </row>
    <row r="368" spans="1:8" hidden="1">
      <c r="A368" s="495" t="s">
        <v>2292</v>
      </c>
      <c r="B368" s="399" t="s">
        <v>631</v>
      </c>
      <c r="C368" s="399" t="s">
        <v>108</v>
      </c>
      <c r="D368" s="399">
        <v>2009</v>
      </c>
      <c r="E368" s="399" t="s">
        <v>2293</v>
      </c>
      <c r="F368" s="399" t="s">
        <v>2294</v>
      </c>
      <c r="G368" s="399" t="s">
        <v>2221</v>
      </c>
      <c r="H368" s="1235"/>
    </row>
    <row r="369" spans="1:8" hidden="1">
      <c r="A369" s="495" t="s">
        <v>2292</v>
      </c>
      <c r="B369" s="399" t="s">
        <v>631</v>
      </c>
      <c r="C369" s="399" t="s">
        <v>108</v>
      </c>
      <c r="D369" s="399">
        <v>2010</v>
      </c>
      <c r="E369" s="399" t="s">
        <v>2293</v>
      </c>
      <c r="F369" s="399" t="s">
        <v>2294</v>
      </c>
      <c r="G369" s="399" t="s">
        <v>2221</v>
      </c>
      <c r="H369" s="1235"/>
    </row>
    <row r="370" spans="1:8" hidden="1">
      <c r="A370" s="495" t="s">
        <v>2292</v>
      </c>
      <c r="B370" s="399" t="s">
        <v>631</v>
      </c>
      <c r="C370" s="399" t="s">
        <v>108</v>
      </c>
      <c r="D370" s="399">
        <v>2011</v>
      </c>
      <c r="E370" s="399" t="s">
        <v>2293</v>
      </c>
      <c r="F370" s="399" t="s">
        <v>2294</v>
      </c>
      <c r="G370" s="399" t="s">
        <v>2221</v>
      </c>
      <c r="H370" s="1235"/>
    </row>
    <row r="371" spans="1:8" hidden="1">
      <c r="A371" s="495" t="s">
        <v>2292</v>
      </c>
      <c r="B371" s="399" t="s">
        <v>631</v>
      </c>
      <c r="C371" s="399" t="s">
        <v>108</v>
      </c>
      <c r="D371" s="399">
        <v>2012</v>
      </c>
      <c r="E371" s="399" t="s">
        <v>2296</v>
      </c>
      <c r="F371" s="399" t="s">
        <v>2300</v>
      </c>
      <c r="G371" s="399" t="s">
        <v>2221</v>
      </c>
      <c r="H371" s="1235"/>
    </row>
    <row r="372" spans="1:8" hidden="1">
      <c r="A372" s="495" t="s">
        <v>2292</v>
      </c>
      <c r="B372" s="399" t="s">
        <v>631</v>
      </c>
      <c r="C372" s="399" t="s">
        <v>108</v>
      </c>
      <c r="D372" s="399">
        <v>2013</v>
      </c>
      <c r="E372" s="399" t="s">
        <v>2293</v>
      </c>
      <c r="F372" s="399" t="s">
        <v>2294</v>
      </c>
      <c r="G372" s="399" t="s">
        <v>2221</v>
      </c>
      <c r="H372" s="1235"/>
    </row>
    <row r="373" spans="1:8" hidden="1">
      <c r="A373" s="495" t="s">
        <v>2292</v>
      </c>
      <c r="B373" s="399" t="s">
        <v>631</v>
      </c>
      <c r="C373" s="399" t="s">
        <v>108</v>
      </c>
      <c r="D373" s="399">
        <v>2014</v>
      </c>
      <c r="E373" s="399" t="s">
        <v>2293</v>
      </c>
      <c r="F373" s="399" t="s">
        <v>2294</v>
      </c>
      <c r="G373" s="399" t="s">
        <v>2221</v>
      </c>
      <c r="H373" s="1235"/>
    </row>
    <row r="374" spans="1:8" hidden="1">
      <c r="A374" s="495" t="s">
        <v>2292</v>
      </c>
      <c r="B374" s="399" t="s">
        <v>631</v>
      </c>
      <c r="C374" s="399" t="s">
        <v>108</v>
      </c>
      <c r="D374" s="399">
        <v>2015</v>
      </c>
      <c r="E374" s="399" t="s">
        <v>2293</v>
      </c>
      <c r="F374" s="399" t="s">
        <v>2294</v>
      </c>
      <c r="G374" s="399" t="s">
        <v>2221</v>
      </c>
      <c r="H374" s="1235"/>
    </row>
    <row r="375" spans="1:8" hidden="1">
      <c r="A375" s="495" t="s">
        <v>2292</v>
      </c>
      <c r="B375" s="399" t="s">
        <v>631</v>
      </c>
      <c r="C375" s="399" t="s">
        <v>108</v>
      </c>
      <c r="D375" s="399">
        <v>2016</v>
      </c>
      <c r="E375" s="399" t="s">
        <v>2293</v>
      </c>
      <c r="F375" s="399" t="s">
        <v>2294</v>
      </c>
      <c r="G375" s="399" t="s">
        <v>2221</v>
      </c>
      <c r="H375" s="1235"/>
    </row>
    <row r="376" spans="1:8" hidden="1">
      <c r="A376" s="495" t="s">
        <v>2292</v>
      </c>
      <c r="B376" s="399" t="s">
        <v>631</v>
      </c>
      <c r="C376" s="399" t="s">
        <v>108</v>
      </c>
      <c r="D376" s="399">
        <v>2017</v>
      </c>
      <c r="E376" s="399" t="s">
        <v>2293</v>
      </c>
      <c r="F376" s="399" t="s">
        <v>2294</v>
      </c>
      <c r="G376" s="399" t="s">
        <v>2221</v>
      </c>
      <c r="H376" s="1235"/>
    </row>
    <row r="377" spans="1:8" hidden="1">
      <c r="A377" s="495" t="s">
        <v>2292</v>
      </c>
      <c r="B377" s="399" t="s">
        <v>631</v>
      </c>
      <c r="C377" s="399" t="s">
        <v>108</v>
      </c>
      <c r="D377" s="399">
        <v>2018</v>
      </c>
      <c r="E377" s="399" t="s">
        <v>2293</v>
      </c>
      <c r="F377" s="399" t="s">
        <v>2294</v>
      </c>
      <c r="G377" s="399" t="s">
        <v>2221</v>
      </c>
      <c r="H377" s="1235"/>
    </row>
    <row r="378" spans="1:8" hidden="1">
      <c r="A378" s="495" t="s">
        <v>2292</v>
      </c>
      <c r="B378" s="399" t="s">
        <v>631</v>
      </c>
      <c r="C378" s="399" t="s">
        <v>108</v>
      </c>
      <c r="D378" s="399">
        <v>2019</v>
      </c>
      <c r="E378" s="399" t="s">
        <v>2293</v>
      </c>
      <c r="F378" s="399" t="s">
        <v>2294</v>
      </c>
      <c r="G378" s="399" t="s">
        <v>2221</v>
      </c>
      <c r="H378" s="1235"/>
    </row>
    <row r="379" spans="1:8" hidden="1">
      <c r="A379" s="495" t="s">
        <v>2292</v>
      </c>
      <c r="B379" s="399" t="s">
        <v>631</v>
      </c>
      <c r="C379" s="399" t="s">
        <v>108</v>
      </c>
      <c r="D379" s="399">
        <v>2020</v>
      </c>
      <c r="E379" s="399" t="s">
        <v>2293</v>
      </c>
      <c r="F379" s="399" t="s">
        <v>2294</v>
      </c>
      <c r="G379" s="399" t="s">
        <v>2221</v>
      </c>
      <c r="H379" s="1235"/>
    </row>
    <row r="380" spans="1:8" hidden="1">
      <c r="A380" s="495" t="s">
        <v>2292</v>
      </c>
      <c r="B380" s="399" t="s">
        <v>631</v>
      </c>
      <c r="C380" s="399" t="s">
        <v>108</v>
      </c>
      <c r="D380" s="399">
        <v>2021</v>
      </c>
      <c r="E380" s="399" t="s">
        <v>2293</v>
      </c>
      <c r="F380" s="399" t="s">
        <v>2294</v>
      </c>
      <c r="G380" s="399" t="s">
        <v>2221</v>
      </c>
      <c r="H380" s="1235"/>
    </row>
    <row r="381" spans="1:8" hidden="1">
      <c r="A381" s="495" t="s">
        <v>2292</v>
      </c>
      <c r="B381" s="399" t="s">
        <v>631</v>
      </c>
      <c r="C381" s="399" t="s">
        <v>108</v>
      </c>
      <c r="D381" s="399">
        <v>2022</v>
      </c>
      <c r="E381" s="399" t="s">
        <v>2293</v>
      </c>
      <c r="F381" s="399" t="s">
        <v>2294</v>
      </c>
      <c r="G381" s="399" t="s">
        <v>2221</v>
      </c>
      <c r="H381" s="1235"/>
    </row>
    <row r="382" spans="1:8" hidden="1">
      <c r="A382" s="495" t="s">
        <v>2292</v>
      </c>
      <c r="B382" s="399" t="s">
        <v>631</v>
      </c>
      <c r="C382" s="399" t="s">
        <v>108</v>
      </c>
      <c r="D382" s="399">
        <v>2023</v>
      </c>
      <c r="E382" s="399" t="s">
        <v>2293</v>
      </c>
      <c r="F382" s="399" t="s">
        <v>2294</v>
      </c>
      <c r="G382" s="399" t="s">
        <v>2221</v>
      </c>
      <c r="H382" s="1235"/>
    </row>
    <row r="383" spans="1:8" hidden="1">
      <c r="A383" s="495" t="s">
        <v>2292</v>
      </c>
      <c r="B383" s="399" t="s">
        <v>631</v>
      </c>
      <c r="C383" s="399" t="s">
        <v>108</v>
      </c>
      <c r="D383" s="399">
        <v>2024</v>
      </c>
      <c r="E383" s="399" t="s">
        <v>2293</v>
      </c>
      <c r="F383" s="399" t="s">
        <v>2294</v>
      </c>
      <c r="G383" s="399" t="s">
        <v>2221</v>
      </c>
      <c r="H383" s="1235"/>
    </row>
    <row r="384" spans="1:8" hidden="1">
      <c r="A384" s="495" t="s">
        <v>2292</v>
      </c>
      <c r="B384" s="399" t="s">
        <v>631</v>
      </c>
      <c r="C384" s="399" t="s">
        <v>108</v>
      </c>
      <c r="D384" s="399">
        <v>2025</v>
      </c>
      <c r="E384" s="399" t="s">
        <v>2293</v>
      </c>
      <c r="F384" s="399" t="s">
        <v>2294</v>
      </c>
      <c r="G384" s="399" t="s">
        <v>2221</v>
      </c>
      <c r="H384" s="1235"/>
    </row>
    <row r="385" spans="1:8" hidden="1">
      <c r="A385" s="495" t="s">
        <v>2292</v>
      </c>
      <c r="B385" s="399" t="s">
        <v>631</v>
      </c>
      <c r="C385" s="399" t="s">
        <v>108</v>
      </c>
      <c r="D385" s="399">
        <v>2026</v>
      </c>
      <c r="E385" s="399" t="s">
        <v>2293</v>
      </c>
      <c r="F385" s="399" t="s">
        <v>2294</v>
      </c>
      <c r="G385" s="399" t="s">
        <v>2221</v>
      </c>
      <c r="H385" s="1235"/>
    </row>
    <row r="386" spans="1:8" hidden="1">
      <c r="A386" s="495" t="s">
        <v>2292</v>
      </c>
      <c r="B386" s="399" t="s">
        <v>631</v>
      </c>
      <c r="C386" s="399" t="s">
        <v>108</v>
      </c>
      <c r="D386" s="399">
        <v>2027</v>
      </c>
      <c r="E386" s="399" t="s">
        <v>2293</v>
      </c>
      <c r="F386" s="399" t="s">
        <v>2294</v>
      </c>
      <c r="G386" s="399" t="s">
        <v>2221</v>
      </c>
      <c r="H386" s="1235"/>
    </row>
    <row r="387" spans="1:8" hidden="1">
      <c r="A387" s="495" t="s">
        <v>2292</v>
      </c>
      <c r="B387" s="399" t="s">
        <v>631</v>
      </c>
      <c r="C387" s="399" t="s">
        <v>108</v>
      </c>
      <c r="D387" s="399">
        <v>2028</v>
      </c>
      <c r="E387" s="399" t="s">
        <v>2293</v>
      </c>
      <c r="F387" s="399" t="s">
        <v>2294</v>
      </c>
      <c r="G387" s="399" t="s">
        <v>2221</v>
      </c>
      <c r="H387" s="1235"/>
    </row>
    <row r="388" spans="1:8" hidden="1">
      <c r="A388" s="495" t="s">
        <v>2292</v>
      </c>
      <c r="B388" s="399" t="s">
        <v>631</v>
      </c>
      <c r="C388" s="399" t="s">
        <v>108</v>
      </c>
      <c r="D388" s="399">
        <v>2029</v>
      </c>
      <c r="E388" s="399" t="s">
        <v>2293</v>
      </c>
      <c r="F388" s="399" t="s">
        <v>2294</v>
      </c>
      <c r="G388" s="399" t="s">
        <v>2221</v>
      </c>
      <c r="H388" s="1235"/>
    </row>
    <row r="389" spans="1:8" hidden="1">
      <c r="A389" s="495" t="s">
        <v>2292</v>
      </c>
      <c r="B389" s="399" t="s">
        <v>631</v>
      </c>
      <c r="C389" s="399" t="s">
        <v>108</v>
      </c>
      <c r="D389" s="399">
        <v>2030</v>
      </c>
      <c r="E389" s="399" t="s">
        <v>2293</v>
      </c>
      <c r="F389" s="399" t="s">
        <v>2294</v>
      </c>
      <c r="G389" s="399" t="s">
        <v>2221</v>
      </c>
      <c r="H389" s="1235"/>
    </row>
    <row r="390" spans="1:8" hidden="1">
      <c r="A390" s="495" t="s">
        <v>2292</v>
      </c>
      <c r="B390" s="399" t="s">
        <v>631</v>
      </c>
      <c r="C390" s="399" t="s">
        <v>108</v>
      </c>
      <c r="D390" s="399">
        <v>2031</v>
      </c>
      <c r="E390" s="399" t="s">
        <v>2293</v>
      </c>
      <c r="F390" s="399" t="s">
        <v>2294</v>
      </c>
      <c r="G390" s="399" t="s">
        <v>2221</v>
      </c>
      <c r="H390" s="1235"/>
    </row>
    <row r="391" spans="1:8" hidden="1">
      <c r="A391" s="495" t="s">
        <v>2292</v>
      </c>
      <c r="B391" s="399" t="s">
        <v>631</v>
      </c>
      <c r="C391" s="399" t="s">
        <v>108</v>
      </c>
      <c r="D391" s="399">
        <v>2032</v>
      </c>
      <c r="E391" s="399" t="s">
        <v>2293</v>
      </c>
      <c r="F391" s="399" t="s">
        <v>2294</v>
      </c>
      <c r="G391" s="399" t="s">
        <v>2221</v>
      </c>
      <c r="H391" s="1235"/>
    </row>
    <row r="392" spans="1:8" hidden="1">
      <c r="A392" s="495" t="s">
        <v>2292</v>
      </c>
      <c r="B392" s="399" t="s">
        <v>631</v>
      </c>
      <c r="C392" s="399" t="s">
        <v>108</v>
      </c>
      <c r="D392" s="399">
        <v>2033</v>
      </c>
      <c r="E392" s="399" t="s">
        <v>2293</v>
      </c>
      <c r="F392" s="399" t="s">
        <v>2294</v>
      </c>
      <c r="G392" s="399" t="s">
        <v>2221</v>
      </c>
      <c r="H392" s="1235"/>
    </row>
    <row r="393" spans="1:8" hidden="1">
      <c r="A393" s="495" t="s">
        <v>2292</v>
      </c>
      <c r="B393" s="399" t="s">
        <v>631</v>
      </c>
      <c r="C393" s="399" t="s">
        <v>108</v>
      </c>
      <c r="D393" s="399">
        <v>2034</v>
      </c>
      <c r="E393" s="399" t="s">
        <v>2293</v>
      </c>
      <c r="F393" s="399" t="s">
        <v>2294</v>
      </c>
      <c r="G393" s="399" t="s">
        <v>2221</v>
      </c>
      <c r="H393" s="1235"/>
    </row>
    <row r="394" spans="1:8" hidden="1">
      <c r="A394" s="495" t="s">
        <v>2292</v>
      </c>
      <c r="B394" s="399" t="s">
        <v>631</v>
      </c>
      <c r="C394" s="399" t="s">
        <v>108</v>
      </c>
      <c r="D394" s="399">
        <v>2035</v>
      </c>
      <c r="E394" s="399" t="s">
        <v>2293</v>
      </c>
      <c r="F394" s="399" t="s">
        <v>2294</v>
      </c>
      <c r="G394" s="399" t="s">
        <v>2221</v>
      </c>
      <c r="H394" s="1235"/>
    </row>
    <row r="395" spans="1:8" hidden="1">
      <c r="A395" s="495" t="s">
        <v>2292</v>
      </c>
      <c r="B395" s="399" t="s">
        <v>631</v>
      </c>
      <c r="C395" s="399" t="s">
        <v>108</v>
      </c>
      <c r="D395" s="399">
        <v>2036</v>
      </c>
      <c r="E395" s="399" t="s">
        <v>2293</v>
      </c>
      <c r="F395" s="399" t="s">
        <v>2294</v>
      </c>
      <c r="G395" s="399" t="s">
        <v>2221</v>
      </c>
      <c r="H395" s="1235"/>
    </row>
    <row r="396" spans="1:8" hidden="1">
      <c r="A396" s="495" t="s">
        <v>2292</v>
      </c>
      <c r="B396" s="399" t="s">
        <v>631</v>
      </c>
      <c r="C396" s="399" t="s">
        <v>108</v>
      </c>
      <c r="D396" s="399">
        <v>2037</v>
      </c>
      <c r="E396" s="399" t="s">
        <v>2293</v>
      </c>
      <c r="F396" s="399" t="s">
        <v>2294</v>
      </c>
      <c r="G396" s="399" t="s">
        <v>2221</v>
      </c>
      <c r="H396" s="1235"/>
    </row>
    <row r="397" spans="1:8" hidden="1">
      <c r="A397" s="495" t="s">
        <v>2292</v>
      </c>
      <c r="B397" s="399" t="s">
        <v>631</v>
      </c>
      <c r="C397" s="399" t="s">
        <v>108</v>
      </c>
      <c r="D397" s="399">
        <v>2038</v>
      </c>
      <c r="E397" s="399" t="s">
        <v>2293</v>
      </c>
      <c r="F397" s="399" t="s">
        <v>2294</v>
      </c>
      <c r="G397" s="399" t="s">
        <v>2221</v>
      </c>
      <c r="H397" s="1235"/>
    </row>
    <row r="398" spans="1:8" hidden="1">
      <c r="A398" s="495" t="s">
        <v>2292</v>
      </c>
      <c r="B398" s="399" t="s">
        <v>631</v>
      </c>
      <c r="C398" s="399" t="s">
        <v>108</v>
      </c>
      <c r="D398" s="399">
        <v>2039</v>
      </c>
      <c r="E398" s="399" t="s">
        <v>2293</v>
      </c>
      <c r="F398" s="399" t="s">
        <v>2294</v>
      </c>
      <c r="G398" s="399" t="s">
        <v>2221</v>
      </c>
      <c r="H398" s="1235"/>
    </row>
    <row r="399" spans="1:8" hidden="1">
      <c r="A399" s="495" t="s">
        <v>2292</v>
      </c>
      <c r="B399" s="399" t="s">
        <v>631</v>
      </c>
      <c r="C399" s="399" t="s">
        <v>108</v>
      </c>
      <c r="D399" s="399">
        <v>2040</v>
      </c>
      <c r="E399" s="399" t="s">
        <v>2293</v>
      </c>
      <c r="F399" s="399" t="s">
        <v>2294</v>
      </c>
      <c r="G399" s="399" t="s">
        <v>2221</v>
      </c>
      <c r="H399" s="1235"/>
    </row>
    <row r="400" spans="1:8" hidden="1">
      <c r="A400" s="495" t="s">
        <v>2292</v>
      </c>
      <c r="B400" s="399" t="s">
        <v>631</v>
      </c>
      <c r="C400" s="399" t="s">
        <v>108</v>
      </c>
      <c r="D400" s="399">
        <v>2041</v>
      </c>
      <c r="E400" s="399" t="s">
        <v>2293</v>
      </c>
      <c r="F400" s="399" t="s">
        <v>2294</v>
      </c>
      <c r="G400" s="399" t="s">
        <v>2221</v>
      </c>
      <c r="H400" s="1235"/>
    </row>
    <row r="401" spans="1:8" hidden="1">
      <c r="A401" s="495" t="s">
        <v>2292</v>
      </c>
      <c r="B401" s="399" t="s">
        <v>631</v>
      </c>
      <c r="C401" s="399" t="s">
        <v>108</v>
      </c>
      <c r="D401" s="399">
        <v>2042</v>
      </c>
      <c r="E401" s="399" t="s">
        <v>2293</v>
      </c>
      <c r="F401" s="399" t="s">
        <v>2294</v>
      </c>
      <c r="G401" s="399" t="s">
        <v>2221</v>
      </c>
      <c r="H401" s="1235"/>
    </row>
    <row r="402" spans="1:8" hidden="1">
      <c r="A402" s="495" t="s">
        <v>2292</v>
      </c>
      <c r="B402" s="399" t="s">
        <v>631</v>
      </c>
      <c r="C402" s="399" t="s">
        <v>108</v>
      </c>
      <c r="D402" s="399">
        <v>2043</v>
      </c>
      <c r="E402" s="399" t="s">
        <v>2293</v>
      </c>
      <c r="F402" s="399" t="s">
        <v>2294</v>
      </c>
      <c r="G402" s="399" t="s">
        <v>2221</v>
      </c>
      <c r="H402" s="1235"/>
    </row>
    <row r="403" spans="1:8" hidden="1">
      <c r="A403" s="495" t="s">
        <v>2292</v>
      </c>
      <c r="B403" s="399" t="s">
        <v>631</v>
      </c>
      <c r="C403" s="399" t="s">
        <v>108</v>
      </c>
      <c r="D403" s="399">
        <v>2044</v>
      </c>
      <c r="E403" s="399" t="s">
        <v>2293</v>
      </c>
      <c r="F403" s="399" t="s">
        <v>2294</v>
      </c>
      <c r="G403" s="399" t="s">
        <v>2221</v>
      </c>
      <c r="H403" s="1235"/>
    </row>
    <row r="404" spans="1:8" hidden="1">
      <c r="A404" s="495" t="s">
        <v>2292</v>
      </c>
      <c r="B404" s="399" t="s">
        <v>631</v>
      </c>
      <c r="C404" s="399" t="s">
        <v>108</v>
      </c>
      <c r="D404" s="399">
        <v>2045</v>
      </c>
      <c r="E404" s="399" t="s">
        <v>2293</v>
      </c>
      <c r="F404" s="399" t="s">
        <v>2294</v>
      </c>
      <c r="G404" s="399" t="s">
        <v>2221</v>
      </c>
      <c r="H404" s="1235"/>
    </row>
    <row r="405" spans="1:8" hidden="1">
      <c r="A405" s="495" t="s">
        <v>2292</v>
      </c>
      <c r="B405" s="399" t="s">
        <v>631</v>
      </c>
      <c r="C405" s="399" t="s">
        <v>108</v>
      </c>
      <c r="D405" s="399">
        <v>2046</v>
      </c>
      <c r="E405" s="399" t="s">
        <v>2293</v>
      </c>
      <c r="F405" s="399" t="s">
        <v>2294</v>
      </c>
      <c r="G405" s="399" t="s">
        <v>2221</v>
      </c>
      <c r="H405" s="1235"/>
    </row>
    <row r="406" spans="1:8" hidden="1">
      <c r="A406" s="495" t="s">
        <v>2292</v>
      </c>
      <c r="B406" s="399" t="s">
        <v>631</v>
      </c>
      <c r="C406" s="399" t="s">
        <v>108</v>
      </c>
      <c r="D406" s="399">
        <v>2047</v>
      </c>
      <c r="E406" s="399" t="s">
        <v>2293</v>
      </c>
      <c r="F406" s="399" t="s">
        <v>2294</v>
      </c>
      <c r="G406" s="399" t="s">
        <v>2221</v>
      </c>
      <c r="H406" s="1235"/>
    </row>
    <row r="407" spans="1:8" hidden="1">
      <c r="A407" s="495" t="s">
        <v>2292</v>
      </c>
      <c r="B407" s="399" t="s">
        <v>631</v>
      </c>
      <c r="C407" s="399" t="s">
        <v>108</v>
      </c>
      <c r="D407" s="399">
        <v>2048</v>
      </c>
      <c r="E407" s="399" t="s">
        <v>2293</v>
      </c>
      <c r="F407" s="399" t="s">
        <v>2294</v>
      </c>
      <c r="G407" s="399" t="s">
        <v>2221</v>
      </c>
      <c r="H407" s="1235"/>
    </row>
    <row r="408" spans="1:8" hidden="1">
      <c r="A408" s="495" t="s">
        <v>2292</v>
      </c>
      <c r="B408" s="399" t="s">
        <v>631</v>
      </c>
      <c r="C408" s="399" t="s">
        <v>108</v>
      </c>
      <c r="D408" s="399">
        <v>2049</v>
      </c>
      <c r="E408" s="399" t="s">
        <v>2293</v>
      </c>
      <c r="F408" s="399" t="s">
        <v>2294</v>
      </c>
      <c r="G408" s="399" t="s">
        <v>2221</v>
      </c>
      <c r="H408" s="1235"/>
    </row>
    <row r="409" spans="1:8" hidden="1">
      <c r="A409" s="495" t="s">
        <v>2292</v>
      </c>
      <c r="B409" s="399" t="s">
        <v>631</v>
      </c>
      <c r="C409" s="399" t="s">
        <v>108</v>
      </c>
      <c r="D409" s="399">
        <v>2050</v>
      </c>
      <c r="E409" s="399" t="s">
        <v>2293</v>
      </c>
      <c r="F409" s="399" t="s">
        <v>2294</v>
      </c>
      <c r="G409" s="399" t="s">
        <v>2221</v>
      </c>
      <c r="H409" s="1235"/>
    </row>
    <row r="410" spans="1:8" hidden="1">
      <c r="A410" s="495" t="s">
        <v>2292</v>
      </c>
      <c r="B410" s="399" t="s">
        <v>631</v>
      </c>
      <c r="C410" s="399" t="s">
        <v>108</v>
      </c>
      <c r="D410" s="399">
        <v>2051</v>
      </c>
      <c r="E410" s="399" t="s">
        <v>2293</v>
      </c>
      <c r="F410" s="399" t="s">
        <v>2294</v>
      </c>
      <c r="G410" s="399" t="s">
        <v>2221</v>
      </c>
      <c r="H410" s="1235"/>
    </row>
    <row r="411" spans="1:8" hidden="1">
      <c r="A411" s="495" t="s">
        <v>2292</v>
      </c>
      <c r="B411" s="399" t="s">
        <v>631</v>
      </c>
      <c r="C411" s="399" t="s">
        <v>108</v>
      </c>
      <c r="D411" s="399">
        <v>2052</v>
      </c>
      <c r="E411" s="399" t="s">
        <v>2293</v>
      </c>
      <c r="F411" s="399" t="s">
        <v>2294</v>
      </c>
      <c r="G411" s="399" t="s">
        <v>2221</v>
      </c>
      <c r="H411" s="1235"/>
    </row>
    <row r="412" spans="1:8" hidden="1">
      <c r="A412" s="495" t="s">
        <v>2292</v>
      </c>
      <c r="B412" s="399" t="s">
        <v>631</v>
      </c>
      <c r="C412" s="399" t="s">
        <v>108</v>
      </c>
      <c r="D412" s="399">
        <v>2053</v>
      </c>
      <c r="E412" s="399" t="s">
        <v>2293</v>
      </c>
      <c r="F412" s="399" t="s">
        <v>2294</v>
      </c>
      <c r="G412" s="399" t="s">
        <v>2221</v>
      </c>
      <c r="H412" s="1235"/>
    </row>
    <row r="413" spans="1:8" hidden="1">
      <c r="A413" s="495" t="s">
        <v>2292</v>
      </c>
      <c r="B413" s="399" t="s">
        <v>631</v>
      </c>
      <c r="C413" s="399" t="s">
        <v>108</v>
      </c>
      <c r="D413" s="399">
        <v>2054</v>
      </c>
      <c r="E413" s="399" t="s">
        <v>2293</v>
      </c>
      <c r="F413" s="399" t="s">
        <v>2294</v>
      </c>
      <c r="G413" s="399" t="s">
        <v>2221</v>
      </c>
      <c r="H413" s="1235"/>
    </row>
    <row r="414" spans="1:8" hidden="1">
      <c r="A414" s="495" t="s">
        <v>2292</v>
      </c>
      <c r="B414" s="399" t="s">
        <v>631</v>
      </c>
      <c r="C414" s="399" t="s">
        <v>108</v>
      </c>
      <c r="D414" s="399">
        <v>2055</v>
      </c>
      <c r="E414" s="399" t="s">
        <v>2293</v>
      </c>
      <c r="F414" s="399" t="s">
        <v>2294</v>
      </c>
      <c r="G414" s="399" t="s">
        <v>2221</v>
      </c>
      <c r="H414" s="1235"/>
    </row>
    <row r="415" spans="1:8" hidden="1">
      <c r="A415" s="495" t="s">
        <v>2292</v>
      </c>
      <c r="B415" s="399" t="s">
        <v>631</v>
      </c>
      <c r="C415" s="399" t="s">
        <v>108</v>
      </c>
      <c r="D415" s="399">
        <v>2056</v>
      </c>
      <c r="E415" s="399" t="s">
        <v>2293</v>
      </c>
      <c r="F415" s="399" t="s">
        <v>2294</v>
      </c>
      <c r="G415" s="399" t="s">
        <v>2221</v>
      </c>
      <c r="H415" s="1235"/>
    </row>
    <row r="416" spans="1:8" hidden="1">
      <c r="A416" s="495" t="s">
        <v>2292</v>
      </c>
      <c r="B416" s="399" t="s">
        <v>631</v>
      </c>
      <c r="C416" s="399" t="s">
        <v>108</v>
      </c>
      <c r="D416" s="399">
        <v>2057</v>
      </c>
      <c r="E416" s="399" t="s">
        <v>2293</v>
      </c>
      <c r="F416" s="399" t="s">
        <v>2294</v>
      </c>
      <c r="G416" s="399" t="s">
        <v>2221</v>
      </c>
      <c r="H416" s="1235"/>
    </row>
    <row r="417" spans="1:8" hidden="1">
      <c r="A417" s="495" t="s">
        <v>2292</v>
      </c>
      <c r="B417" s="399" t="s">
        <v>631</v>
      </c>
      <c r="C417" s="399" t="s">
        <v>108</v>
      </c>
      <c r="D417" s="399">
        <v>2058</v>
      </c>
      <c r="E417" s="399" t="s">
        <v>2293</v>
      </c>
      <c r="F417" s="399" t="s">
        <v>2294</v>
      </c>
      <c r="G417" s="399" t="s">
        <v>2221</v>
      </c>
      <c r="H417" s="1235"/>
    </row>
    <row r="418" spans="1:8" hidden="1">
      <c r="A418" s="495" t="s">
        <v>2292</v>
      </c>
      <c r="B418" s="399" t="s">
        <v>631</v>
      </c>
      <c r="C418" s="399" t="s">
        <v>108</v>
      </c>
      <c r="D418" s="399">
        <v>2059</v>
      </c>
      <c r="E418" s="399" t="s">
        <v>2293</v>
      </c>
      <c r="F418" s="399" t="s">
        <v>2294</v>
      </c>
      <c r="G418" s="399" t="s">
        <v>2221</v>
      </c>
      <c r="H418" s="1235"/>
    </row>
    <row r="419" spans="1:8" hidden="1">
      <c r="A419" s="495" t="s">
        <v>2292</v>
      </c>
      <c r="B419" s="399" t="s">
        <v>631</v>
      </c>
      <c r="C419" s="399" t="s">
        <v>108</v>
      </c>
      <c r="D419" s="399">
        <v>2060</v>
      </c>
      <c r="E419" s="399" t="s">
        <v>2293</v>
      </c>
      <c r="F419" s="399" t="s">
        <v>2294</v>
      </c>
      <c r="G419" s="399" t="s">
        <v>2221</v>
      </c>
      <c r="H419" s="1235"/>
    </row>
    <row r="420" spans="1:8" hidden="1">
      <c r="A420" s="495" t="s">
        <v>2292</v>
      </c>
      <c r="B420" s="399" t="s">
        <v>631</v>
      </c>
      <c r="C420" s="399" t="s">
        <v>108</v>
      </c>
      <c r="D420" s="399">
        <v>2061</v>
      </c>
      <c r="E420" s="399" t="s">
        <v>2293</v>
      </c>
      <c r="F420" s="399" t="s">
        <v>2294</v>
      </c>
      <c r="G420" s="399" t="s">
        <v>2221</v>
      </c>
      <c r="H420" s="1235"/>
    </row>
    <row r="421" spans="1:8" hidden="1">
      <c r="A421" s="495" t="s">
        <v>2292</v>
      </c>
      <c r="B421" s="399" t="s">
        <v>631</v>
      </c>
      <c r="C421" s="399" t="s">
        <v>108</v>
      </c>
      <c r="D421" s="399">
        <v>2062</v>
      </c>
      <c r="E421" s="399" t="s">
        <v>2293</v>
      </c>
      <c r="F421" s="399" t="s">
        <v>2294</v>
      </c>
      <c r="G421" s="399" t="s">
        <v>2221</v>
      </c>
      <c r="H421" s="1235"/>
    </row>
    <row r="422" spans="1:8" hidden="1">
      <c r="A422" s="495" t="s">
        <v>2292</v>
      </c>
      <c r="B422" s="399" t="s">
        <v>631</v>
      </c>
      <c r="C422" s="399" t="s">
        <v>108</v>
      </c>
      <c r="D422" s="399">
        <v>2063</v>
      </c>
      <c r="E422" s="399" t="s">
        <v>2293</v>
      </c>
      <c r="F422" s="399" t="s">
        <v>2294</v>
      </c>
      <c r="G422" s="399" t="s">
        <v>2221</v>
      </c>
      <c r="H422" s="1235"/>
    </row>
    <row r="423" spans="1:8" hidden="1">
      <c r="A423" s="495" t="s">
        <v>2292</v>
      </c>
      <c r="B423" s="399" t="s">
        <v>631</v>
      </c>
      <c r="C423" s="399" t="s">
        <v>108</v>
      </c>
      <c r="D423" s="399">
        <v>2064</v>
      </c>
      <c r="E423" s="399" t="s">
        <v>2293</v>
      </c>
      <c r="F423" s="399" t="s">
        <v>2294</v>
      </c>
      <c r="G423" s="399" t="s">
        <v>2221</v>
      </c>
      <c r="H423" s="1235"/>
    </row>
    <row r="424" spans="1:8" hidden="1">
      <c r="A424" s="495" t="s">
        <v>2292</v>
      </c>
      <c r="B424" s="399" t="s">
        <v>631</v>
      </c>
      <c r="C424" s="399" t="s">
        <v>108</v>
      </c>
      <c r="D424" s="399">
        <v>2065</v>
      </c>
      <c r="E424" s="399" t="s">
        <v>2293</v>
      </c>
      <c r="F424" s="399" t="s">
        <v>2294</v>
      </c>
      <c r="G424" s="399" t="s">
        <v>2221</v>
      </c>
      <c r="H424" s="1235"/>
    </row>
    <row r="425" spans="1:8" hidden="1">
      <c r="A425" s="495" t="s">
        <v>2292</v>
      </c>
      <c r="B425" s="399" t="s">
        <v>631</v>
      </c>
      <c r="C425" s="399" t="s">
        <v>108</v>
      </c>
      <c r="D425" s="399">
        <v>2066</v>
      </c>
      <c r="E425" s="399" t="s">
        <v>2293</v>
      </c>
      <c r="F425" s="399" t="s">
        <v>2294</v>
      </c>
      <c r="G425" s="399" t="s">
        <v>2221</v>
      </c>
      <c r="H425" s="1235"/>
    </row>
    <row r="426" spans="1:8" hidden="1">
      <c r="A426" s="495" t="s">
        <v>2292</v>
      </c>
      <c r="B426" s="399" t="s">
        <v>631</v>
      </c>
      <c r="C426" s="399" t="s">
        <v>108</v>
      </c>
      <c r="D426" s="399">
        <v>2067</v>
      </c>
      <c r="E426" s="399" t="s">
        <v>2293</v>
      </c>
      <c r="F426" s="399" t="s">
        <v>2294</v>
      </c>
      <c r="G426" s="399" t="s">
        <v>2221</v>
      </c>
      <c r="H426" s="1235"/>
    </row>
    <row r="427" spans="1:8" hidden="1">
      <c r="A427" s="495" t="s">
        <v>2292</v>
      </c>
      <c r="B427" s="399" t="s">
        <v>631</v>
      </c>
      <c r="C427" s="399" t="s">
        <v>108</v>
      </c>
      <c r="D427" s="399">
        <v>2068</v>
      </c>
      <c r="E427" s="399" t="s">
        <v>2293</v>
      </c>
      <c r="F427" s="399" t="s">
        <v>2294</v>
      </c>
      <c r="G427" s="399" t="s">
        <v>2221</v>
      </c>
      <c r="H427" s="1235"/>
    </row>
    <row r="428" spans="1:8" hidden="1">
      <c r="A428" s="495" t="s">
        <v>2292</v>
      </c>
      <c r="B428" s="399" t="s">
        <v>631</v>
      </c>
      <c r="C428" s="399" t="s">
        <v>108</v>
      </c>
      <c r="D428" s="399">
        <v>2069</v>
      </c>
      <c r="E428" s="399" t="s">
        <v>2293</v>
      </c>
      <c r="F428" s="399" t="s">
        <v>2294</v>
      </c>
      <c r="G428" s="399" t="s">
        <v>2221</v>
      </c>
      <c r="H428" s="1235"/>
    </row>
    <row r="429" spans="1:8" hidden="1">
      <c r="A429" s="495" t="s">
        <v>2292</v>
      </c>
      <c r="B429" s="399" t="s">
        <v>631</v>
      </c>
      <c r="C429" s="399" t="s">
        <v>108</v>
      </c>
      <c r="D429" s="399">
        <v>2070</v>
      </c>
      <c r="E429" s="399" t="s">
        <v>2293</v>
      </c>
      <c r="F429" s="399" t="s">
        <v>2294</v>
      </c>
      <c r="G429" s="399" t="s">
        <v>2221</v>
      </c>
      <c r="H429" s="1235"/>
    </row>
    <row r="430" spans="1:8" hidden="1">
      <c r="A430" s="495" t="s">
        <v>2292</v>
      </c>
      <c r="B430" s="399" t="s">
        <v>631</v>
      </c>
      <c r="C430" s="399" t="s">
        <v>108</v>
      </c>
      <c r="D430" s="399">
        <v>2071</v>
      </c>
      <c r="E430" s="399" t="s">
        <v>2293</v>
      </c>
      <c r="F430" s="399" t="s">
        <v>2294</v>
      </c>
      <c r="G430" s="399" t="s">
        <v>2221</v>
      </c>
      <c r="H430" s="1235"/>
    </row>
    <row r="431" spans="1:8" hidden="1">
      <c r="A431" s="495" t="s">
        <v>2292</v>
      </c>
      <c r="B431" s="399" t="s">
        <v>631</v>
      </c>
      <c r="C431" s="399" t="s">
        <v>108</v>
      </c>
      <c r="D431" s="399">
        <v>2072</v>
      </c>
      <c r="E431" s="399" t="s">
        <v>2293</v>
      </c>
      <c r="F431" s="399" t="s">
        <v>2294</v>
      </c>
      <c r="G431" s="399" t="s">
        <v>2221</v>
      </c>
      <c r="H431" s="1235"/>
    </row>
    <row r="432" spans="1:8" hidden="1">
      <c r="A432" s="495" t="s">
        <v>2292</v>
      </c>
      <c r="B432" s="399" t="s">
        <v>631</v>
      </c>
      <c r="C432" s="399" t="s">
        <v>108</v>
      </c>
      <c r="D432" s="399">
        <v>2073</v>
      </c>
      <c r="E432" s="399" t="s">
        <v>2293</v>
      </c>
      <c r="F432" s="399" t="s">
        <v>2294</v>
      </c>
      <c r="G432" s="399" t="s">
        <v>2221</v>
      </c>
      <c r="H432" s="1235"/>
    </row>
    <row r="433" spans="1:8" hidden="1">
      <c r="A433" s="495" t="s">
        <v>2292</v>
      </c>
      <c r="B433" s="399" t="s">
        <v>631</v>
      </c>
      <c r="C433" s="399" t="s">
        <v>108</v>
      </c>
      <c r="D433" s="399">
        <v>2074</v>
      </c>
      <c r="E433" s="399" t="s">
        <v>2293</v>
      </c>
      <c r="F433" s="399" t="s">
        <v>2294</v>
      </c>
      <c r="G433" s="399" t="s">
        <v>2221</v>
      </c>
      <c r="H433" s="1235"/>
    </row>
    <row r="434" spans="1:8" hidden="1">
      <c r="A434" s="495" t="s">
        <v>2292</v>
      </c>
      <c r="B434" s="399" t="s">
        <v>631</v>
      </c>
      <c r="C434" s="399" t="s">
        <v>108</v>
      </c>
      <c r="D434" s="399">
        <v>2075</v>
      </c>
      <c r="E434" s="399" t="s">
        <v>2293</v>
      </c>
      <c r="F434" s="399" t="s">
        <v>2294</v>
      </c>
      <c r="G434" s="399" t="s">
        <v>2221</v>
      </c>
      <c r="H434" s="1235"/>
    </row>
    <row r="435" spans="1:8" hidden="1">
      <c r="A435" s="495" t="s">
        <v>2292</v>
      </c>
      <c r="B435" s="399" t="s">
        <v>631</v>
      </c>
      <c r="C435" s="399" t="s">
        <v>108</v>
      </c>
      <c r="D435" s="399">
        <v>2076</v>
      </c>
      <c r="E435" s="399" t="s">
        <v>2293</v>
      </c>
      <c r="F435" s="399" t="s">
        <v>2294</v>
      </c>
      <c r="G435" s="399" t="s">
        <v>2221</v>
      </c>
      <c r="H435" s="1235"/>
    </row>
    <row r="436" spans="1:8" hidden="1">
      <c r="A436" s="495" t="s">
        <v>2292</v>
      </c>
      <c r="B436" s="399" t="s">
        <v>631</v>
      </c>
      <c r="C436" s="399" t="s">
        <v>108</v>
      </c>
      <c r="D436" s="399">
        <v>2077</v>
      </c>
      <c r="E436" s="399" t="s">
        <v>2293</v>
      </c>
      <c r="F436" s="399" t="s">
        <v>2294</v>
      </c>
      <c r="G436" s="399" t="s">
        <v>2221</v>
      </c>
      <c r="H436" s="1235"/>
    </row>
    <row r="437" spans="1:8" hidden="1">
      <c r="A437" s="495" t="s">
        <v>2292</v>
      </c>
      <c r="B437" s="399" t="s">
        <v>631</v>
      </c>
      <c r="C437" s="399" t="s">
        <v>108</v>
      </c>
      <c r="D437" s="399">
        <v>2078</v>
      </c>
      <c r="E437" s="399" t="s">
        <v>2293</v>
      </c>
      <c r="F437" s="399" t="s">
        <v>2294</v>
      </c>
      <c r="G437" s="399" t="s">
        <v>2221</v>
      </c>
      <c r="H437" s="1235"/>
    </row>
    <row r="438" spans="1:8" hidden="1">
      <c r="A438" s="495" t="s">
        <v>2292</v>
      </c>
      <c r="B438" s="399" t="s">
        <v>631</v>
      </c>
      <c r="C438" s="399" t="s">
        <v>108</v>
      </c>
      <c r="D438" s="399">
        <v>2079</v>
      </c>
      <c r="E438" s="399" t="s">
        <v>2293</v>
      </c>
      <c r="F438" s="399" t="s">
        <v>2294</v>
      </c>
      <c r="G438" s="399" t="s">
        <v>2221</v>
      </c>
      <c r="H438" s="1235"/>
    </row>
    <row r="439" spans="1:8" hidden="1">
      <c r="A439" s="495" t="s">
        <v>2292</v>
      </c>
      <c r="B439" s="399" t="s">
        <v>631</v>
      </c>
      <c r="C439" s="399" t="s">
        <v>108</v>
      </c>
      <c r="D439" s="399">
        <v>2080</v>
      </c>
      <c r="E439" s="399" t="s">
        <v>2293</v>
      </c>
      <c r="F439" s="399" t="s">
        <v>2294</v>
      </c>
      <c r="G439" s="399" t="s">
        <v>2221</v>
      </c>
      <c r="H439" s="1235"/>
    </row>
    <row r="440" spans="1:8" hidden="1">
      <c r="A440" s="495" t="s">
        <v>2292</v>
      </c>
      <c r="B440" s="399" t="s">
        <v>631</v>
      </c>
      <c r="C440" s="399" t="s">
        <v>108</v>
      </c>
      <c r="D440" s="399">
        <v>2081</v>
      </c>
      <c r="E440" s="399" t="s">
        <v>2293</v>
      </c>
      <c r="F440" s="399" t="s">
        <v>2294</v>
      </c>
      <c r="G440" s="399" t="s">
        <v>2221</v>
      </c>
      <c r="H440" s="1235"/>
    </row>
    <row r="441" spans="1:8" hidden="1">
      <c r="A441" s="495" t="s">
        <v>2292</v>
      </c>
      <c r="B441" s="399" t="s">
        <v>631</v>
      </c>
      <c r="C441" s="399" t="s">
        <v>108</v>
      </c>
      <c r="D441" s="399">
        <v>2082</v>
      </c>
      <c r="E441" s="399" t="s">
        <v>2293</v>
      </c>
      <c r="F441" s="399" t="s">
        <v>2294</v>
      </c>
      <c r="G441" s="399" t="s">
        <v>2221</v>
      </c>
      <c r="H441" s="1235"/>
    </row>
    <row r="442" spans="1:8" hidden="1">
      <c r="A442" s="495" t="s">
        <v>2292</v>
      </c>
      <c r="B442" s="399" t="s">
        <v>631</v>
      </c>
      <c r="C442" s="399" t="s">
        <v>108</v>
      </c>
      <c r="D442" s="399">
        <v>2083</v>
      </c>
      <c r="E442" s="399" t="s">
        <v>2293</v>
      </c>
      <c r="F442" s="399" t="s">
        <v>2294</v>
      </c>
      <c r="G442" s="399" t="s">
        <v>2221</v>
      </c>
      <c r="H442" s="1235"/>
    </row>
    <row r="443" spans="1:8" hidden="1">
      <c r="A443" s="495" t="s">
        <v>2292</v>
      </c>
      <c r="B443" s="399" t="s">
        <v>631</v>
      </c>
      <c r="C443" s="399" t="s">
        <v>108</v>
      </c>
      <c r="D443" s="399">
        <v>2084</v>
      </c>
      <c r="E443" s="399" t="s">
        <v>2293</v>
      </c>
      <c r="F443" s="399" t="s">
        <v>2294</v>
      </c>
      <c r="G443" s="399" t="s">
        <v>2221</v>
      </c>
      <c r="H443" s="1235"/>
    </row>
    <row r="444" spans="1:8" hidden="1">
      <c r="A444" s="495" t="s">
        <v>2292</v>
      </c>
      <c r="B444" s="399" t="s">
        <v>631</v>
      </c>
      <c r="C444" s="399" t="s">
        <v>108</v>
      </c>
      <c r="D444" s="399">
        <v>2085</v>
      </c>
      <c r="E444" s="399" t="s">
        <v>2293</v>
      </c>
      <c r="F444" s="399" t="s">
        <v>2294</v>
      </c>
      <c r="G444" s="399" t="s">
        <v>2221</v>
      </c>
      <c r="H444" s="1235"/>
    </row>
    <row r="445" spans="1:8" hidden="1">
      <c r="A445" s="495" t="s">
        <v>2292</v>
      </c>
      <c r="B445" s="399" t="s">
        <v>631</v>
      </c>
      <c r="C445" s="399" t="s">
        <v>108</v>
      </c>
      <c r="D445" s="399">
        <v>2086</v>
      </c>
      <c r="E445" s="399" t="s">
        <v>2293</v>
      </c>
      <c r="F445" s="399" t="s">
        <v>2294</v>
      </c>
      <c r="G445" s="399" t="s">
        <v>2221</v>
      </c>
      <c r="H445" s="1235"/>
    </row>
    <row r="446" spans="1:8" hidden="1">
      <c r="A446" s="495" t="s">
        <v>2292</v>
      </c>
      <c r="B446" s="399" t="s">
        <v>631</v>
      </c>
      <c r="C446" s="399" t="s">
        <v>108</v>
      </c>
      <c r="D446" s="399">
        <v>2087</v>
      </c>
      <c r="E446" s="399" t="s">
        <v>2293</v>
      </c>
      <c r="F446" s="399" t="s">
        <v>2294</v>
      </c>
      <c r="G446" s="399" t="s">
        <v>2221</v>
      </c>
      <c r="H446" s="1235"/>
    </row>
    <row r="447" spans="1:8" hidden="1">
      <c r="A447" s="495" t="s">
        <v>2292</v>
      </c>
      <c r="B447" s="399" t="s">
        <v>631</v>
      </c>
      <c r="C447" s="399" t="s">
        <v>108</v>
      </c>
      <c r="D447" s="399">
        <v>2088</v>
      </c>
      <c r="E447" s="399" t="s">
        <v>2293</v>
      </c>
      <c r="F447" s="399" t="s">
        <v>2294</v>
      </c>
      <c r="G447" s="399" t="s">
        <v>2221</v>
      </c>
      <c r="H447" s="1235"/>
    </row>
    <row r="448" spans="1:8" hidden="1">
      <c r="A448" s="495" t="s">
        <v>2292</v>
      </c>
      <c r="B448" s="399" t="s">
        <v>631</v>
      </c>
      <c r="C448" s="399" t="s">
        <v>108</v>
      </c>
      <c r="D448" s="399">
        <v>2089</v>
      </c>
      <c r="E448" s="399" t="s">
        <v>2293</v>
      </c>
      <c r="F448" s="399" t="s">
        <v>2294</v>
      </c>
      <c r="G448" s="399" t="s">
        <v>2221</v>
      </c>
      <c r="H448" s="1235"/>
    </row>
    <row r="449" spans="1:8" hidden="1">
      <c r="A449" s="495" t="s">
        <v>2292</v>
      </c>
      <c r="B449" s="399" t="s">
        <v>631</v>
      </c>
      <c r="C449" s="399" t="s">
        <v>108</v>
      </c>
      <c r="D449" s="399">
        <v>2090</v>
      </c>
      <c r="E449" s="399" t="s">
        <v>2293</v>
      </c>
      <c r="F449" s="399" t="s">
        <v>2294</v>
      </c>
      <c r="G449" s="399" t="s">
        <v>2221</v>
      </c>
      <c r="H449" s="1235"/>
    </row>
    <row r="450" spans="1:8" hidden="1">
      <c r="A450" s="495" t="s">
        <v>2292</v>
      </c>
      <c r="B450" s="399" t="s">
        <v>631</v>
      </c>
      <c r="C450" s="399" t="s">
        <v>108</v>
      </c>
      <c r="D450" s="399">
        <v>2091</v>
      </c>
      <c r="E450" s="399" t="s">
        <v>2293</v>
      </c>
      <c r="F450" s="399" t="s">
        <v>2294</v>
      </c>
      <c r="G450" s="399" t="s">
        <v>2221</v>
      </c>
      <c r="H450" s="1235"/>
    </row>
    <row r="451" spans="1:8" hidden="1">
      <c r="A451" s="495" t="s">
        <v>2292</v>
      </c>
      <c r="B451" s="399" t="s">
        <v>631</v>
      </c>
      <c r="C451" s="399" t="s">
        <v>108</v>
      </c>
      <c r="D451" s="399">
        <v>2092</v>
      </c>
      <c r="E451" s="399" t="s">
        <v>2293</v>
      </c>
      <c r="F451" s="399" t="s">
        <v>2294</v>
      </c>
      <c r="G451" s="399" t="s">
        <v>2221</v>
      </c>
      <c r="H451" s="1235"/>
    </row>
    <row r="452" spans="1:8" hidden="1">
      <c r="A452" s="495" t="s">
        <v>2292</v>
      </c>
      <c r="B452" s="399" t="s">
        <v>631</v>
      </c>
      <c r="C452" s="399" t="s">
        <v>108</v>
      </c>
      <c r="D452" s="399">
        <v>2093</v>
      </c>
      <c r="E452" s="399" t="s">
        <v>2293</v>
      </c>
      <c r="F452" s="399" t="s">
        <v>2294</v>
      </c>
      <c r="G452" s="399" t="s">
        <v>2221</v>
      </c>
      <c r="H452" s="1235"/>
    </row>
    <row r="453" spans="1:8" hidden="1">
      <c r="A453" s="495" t="s">
        <v>2292</v>
      </c>
      <c r="B453" s="399" t="s">
        <v>631</v>
      </c>
      <c r="C453" s="399" t="s">
        <v>108</v>
      </c>
      <c r="D453" s="399">
        <v>2094</v>
      </c>
      <c r="E453" s="399" t="s">
        <v>2293</v>
      </c>
      <c r="F453" s="399" t="s">
        <v>2294</v>
      </c>
      <c r="G453" s="399" t="s">
        <v>2221</v>
      </c>
      <c r="H453" s="1235"/>
    </row>
    <row r="454" spans="1:8" hidden="1">
      <c r="A454" s="495" t="s">
        <v>2292</v>
      </c>
      <c r="B454" s="399" t="s">
        <v>631</v>
      </c>
      <c r="C454" s="399" t="s">
        <v>108</v>
      </c>
      <c r="D454" s="399">
        <v>2095</v>
      </c>
      <c r="E454" s="399" t="s">
        <v>2293</v>
      </c>
      <c r="F454" s="399" t="s">
        <v>2294</v>
      </c>
      <c r="G454" s="399" t="s">
        <v>2221</v>
      </c>
      <c r="H454" s="1235"/>
    </row>
    <row r="455" spans="1:8" hidden="1">
      <c r="A455" s="495" t="s">
        <v>2292</v>
      </c>
      <c r="B455" s="399" t="s">
        <v>631</v>
      </c>
      <c r="C455" s="399" t="s">
        <v>108</v>
      </c>
      <c r="D455" s="399">
        <v>2096</v>
      </c>
      <c r="E455" s="399" t="s">
        <v>2293</v>
      </c>
      <c r="F455" s="399" t="s">
        <v>2294</v>
      </c>
      <c r="G455" s="399" t="s">
        <v>2221</v>
      </c>
      <c r="H455" s="1235"/>
    </row>
    <row r="456" spans="1:8" hidden="1">
      <c r="A456" s="495" t="s">
        <v>2292</v>
      </c>
      <c r="B456" s="399" t="s">
        <v>631</v>
      </c>
      <c r="C456" s="399" t="s">
        <v>108</v>
      </c>
      <c r="D456" s="399">
        <v>2097</v>
      </c>
      <c r="E456" s="399" t="s">
        <v>2293</v>
      </c>
      <c r="F456" s="399" t="s">
        <v>2294</v>
      </c>
      <c r="G456" s="399" t="s">
        <v>2221</v>
      </c>
      <c r="H456" s="1235"/>
    </row>
    <row r="457" spans="1:8" hidden="1">
      <c r="A457" s="495" t="s">
        <v>2292</v>
      </c>
      <c r="B457" s="399" t="s">
        <v>631</v>
      </c>
      <c r="C457" s="399" t="s">
        <v>108</v>
      </c>
      <c r="D457" s="399">
        <v>2098</v>
      </c>
      <c r="E457" s="399" t="s">
        <v>2293</v>
      </c>
      <c r="F457" s="399" t="s">
        <v>2294</v>
      </c>
      <c r="G457" s="399" t="s">
        <v>2221</v>
      </c>
      <c r="H457" s="1235"/>
    </row>
    <row r="458" spans="1:8" hidden="1">
      <c r="A458" s="495" t="s">
        <v>2292</v>
      </c>
      <c r="B458" s="399" t="s">
        <v>631</v>
      </c>
      <c r="C458" s="399" t="s">
        <v>108</v>
      </c>
      <c r="D458" s="399">
        <v>2099</v>
      </c>
      <c r="E458" s="399" t="s">
        <v>2293</v>
      </c>
      <c r="F458" s="399" t="s">
        <v>2294</v>
      </c>
      <c r="G458" s="399" t="s">
        <v>2221</v>
      </c>
      <c r="H458" s="1235"/>
    </row>
    <row r="459" spans="1:8" hidden="1">
      <c r="A459" s="495" t="s">
        <v>2292</v>
      </c>
      <c r="B459" s="399" t="s">
        <v>631</v>
      </c>
      <c r="C459" s="399" t="s">
        <v>108</v>
      </c>
      <c r="D459" s="399">
        <v>2100</v>
      </c>
      <c r="E459" s="399" t="s">
        <v>2293</v>
      </c>
      <c r="F459" s="399" t="s">
        <v>2294</v>
      </c>
      <c r="G459" s="399" t="s">
        <v>2221</v>
      </c>
      <c r="H459" s="1235"/>
    </row>
    <row r="460" spans="1:8" hidden="1">
      <c r="A460" s="495" t="s">
        <v>2292</v>
      </c>
      <c r="B460" s="399" t="s">
        <v>631</v>
      </c>
      <c r="C460" s="399" t="s">
        <v>108</v>
      </c>
      <c r="D460" s="399">
        <v>2101</v>
      </c>
      <c r="E460" s="399" t="s">
        <v>2293</v>
      </c>
      <c r="F460" s="399" t="s">
        <v>2294</v>
      </c>
      <c r="G460" s="399" t="s">
        <v>2221</v>
      </c>
      <c r="H460" s="1235"/>
    </row>
    <row r="461" spans="1:8" hidden="1">
      <c r="A461" s="495" t="s">
        <v>2292</v>
      </c>
      <c r="B461" s="399" t="s">
        <v>631</v>
      </c>
      <c r="C461" s="399" t="s">
        <v>108</v>
      </c>
      <c r="D461" s="399">
        <v>2102</v>
      </c>
      <c r="E461" s="399" t="s">
        <v>2293</v>
      </c>
      <c r="F461" s="399" t="s">
        <v>2294</v>
      </c>
      <c r="G461" s="399" t="s">
        <v>2221</v>
      </c>
      <c r="H461" s="1235"/>
    </row>
    <row r="462" spans="1:8" hidden="1">
      <c r="A462" s="495" t="s">
        <v>2292</v>
      </c>
      <c r="B462" s="399" t="s">
        <v>631</v>
      </c>
      <c r="C462" s="399" t="s">
        <v>108</v>
      </c>
      <c r="D462" s="399">
        <v>2103</v>
      </c>
      <c r="E462" s="399" t="s">
        <v>2293</v>
      </c>
      <c r="F462" s="399" t="s">
        <v>2294</v>
      </c>
      <c r="G462" s="399" t="s">
        <v>2221</v>
      </c>
      <c r="H462" s="1235"/>
    </row>
    <row r="463" spans="1:8" hidden="1">
      <c r="A463" s="495" t="s">
        <v>2292</v>
      </c>
      <c r="B463" s="399" t="s">
        <v>631</v>
      </c>
      <c r="C463" s="399" t="s">
        <v>108</v>
      </c>
      <c r="D463" s="399">
        <v>2104</v>
      </c>
      <c r="E463" s="399" t="s">
        <v>2293</v>
      </c>
      <c r="F463" s="399" t="s">
        <v>2294</v>
      </c>
      <c r="G463" s="399" t="s">
        <v>2221</v>
      </c>
      <c r="H463" s="1235"/>
    </row>
    <row r="464" spans="1:8" hidden="1">
      <c r="A464" s="495" t="s">
        <v>2292</v>
      </c>
      <c r="B464" s="399" t="s">
        <v>631</v>
      </c>
      <c r="C464" s="399" t="s">
        <v>108</v>
      </c>
      <c r="D464" s="399">
        <v>2105</v>
      </c>
      <c r="E464" s="399" t="s">
        <v>2293</v>
      </c>
      <c r="F464" s="399" t="s">
        <v>2294</v>
      </c>
      <c r="G464" s="399" t="s">
        <v>2221</v>
      </c>
      <c r="H464" s="1235"/>
    </row>
    <row r="465" spans="1:8" hidden="1">
      <c r="A465" s="495" t="s">
        <v>2292</v>
      </c>
      <c r="B465" s="399" t="s">
        <v>631</v>
      </c>
      <c r="C465" s="399" t="s">
        <v>108</v>
      </c>
      <c r="D465" s="399">
        <v>2106</v>
      </c>
      <c r="E465" s="399" t="s">
        <v>2293</v>
      </c>
      <c r="F465" s="399" t="s">
        <v>2294</v>
      </c>
      <c r="G465" s="399" t="s">
        <v>2221</v>
      </c>
      <c r="H465" s="1235"/>
    </row>
    <row r="466" spans="1:8" hidden="1">
      <c r="A466" s="495" t="s">
        <v>2292</v>
      </c>
      <c r="B466" s="399" t="s">
        <v>631</v>
      </c>
      <c r="C466" s="399" t="s">
        <v>108</v>
      </c>
      <c r="D466" s="399">
        <v>2107</v>
      </c>
      <c r="E466" s="399" t="s">
        <v>2293</v>
      </c>
      <c r="F466" s="399" t="s">
        <v>2294</v>
      </c>
      <c r="G466" s="399" t="s">
        <v>2221</v>
      </c>
      <c r="H466" s="1235"/>
    </row>
    <row r="467" spans="1:8" hidden="1">
      <c r="A467" s="495" t="s">
        <v>2292</v>
      </c>
      <c r="B467" s="399" t="s">
        <v>631</v>
      </c>
      <c r="C467" s="399" t="s">
        <v>108</v>
      </c>
      <c r="D467" s="399">
        <v>2108</v>
      </c>
      <c r="E467" s="399" t="s">
        <v>2293</v>
      </c>
      <c r="F467" s="399" t="s">
        <v>2294</v>
      </c>
      <c r="G467" s="399" t="s">
        <v>2221</v>
      </c>
      <c r="H467" s="1235"/>
    </row>
    <row r="468" spans="1:8" hidden="1">
      <c r="A468" s="495" t="s">
        <v>2292</v>
      </c>
      <c r="B468" s="399" t="s">
        <v>631</v>
      </c>
      <c r="C468" s="399" t="s">
        <v>108</v>
      </c>
      <c r="D468" s="399">
        <v>2109</v>
      </c>
      <c r="E468" s="399" t="s">
        <v>2293</v>
      </c>
      <c r="F468" s="399" t="s">
        <v>2294</v>
      </c>
      <c r="G468" s="399" t="s">
        <v>2221</v>
      </c>
      <c r="H468" s="1235"/>
    </row>
    <row r="469" spans="1:8" hidden="1">
      <c r="A469" s="495" t="s">
        <v>2292</v>
      </c>
      <c r="B469" s="399" t="s">
        <v>631</v>
      </c>
      <c r="C469" s="399" t="s">
        <v>108</v>
      </c>
      <c r="D469" s="399">
        <v>2110</v>
      </c>
      <c r="E469" s="399" t="s">
        <v>2293</v>
      </c>
      <c r="F469" s="399" t="s">
        <v>2294</v>
      </c>
      <c r="G469" s="399" t="s">
        <v>2221</v>
      </c>
      <c r="H469" s="1235"/>
    </row>
    <row r="470" spans="1:8" hidden="1">
      <c r="A470" s="495" t="s">
        <v>2292</v>
      </c>
      <c r="B470" s="399" t="s">
        <v>631</v>
      </c>
      <c r="C470" s="399" t="s">
        <v>108</v>
      </c>
      <c r="D470" s="399">
        <v>2111</v>
      </c>
      <c r="E470" s="399" t="s">
        <v>2293</v>
      </c>
      <c r="F470" s="399" t="s">
        <v>2294</v>
      </c>
      <c r="G470" s="399" t="s">
        <v>2221</v>
      </c>
      <c r="H470" s="1235"/>
    </row>
    <row r="471" spans="1:8" hidden="1">
      <c r="A471" s="495" t="s">
        <v>2292</v>
      </c>
      <c r="B471" s="399" t="s">
        <v>631</v>
      </c>
      <c r="C471" s="399" t="s">
        <v>108</v>
      </c>
      <c r="D471" s="399">
        <v>2112</v>
      </c>
      <c r="E471" s="399" t="s">
        <v>2293</v>
      </c>
      <c r="F471" s="399" t="s">
        <v>2294</v>
      </c>
      <c r="G471" s="399" t="s">
        <v>2221</v>
      </c>
      <c r="H471" s="1235"/>
    </row>
    <row r="472" spans="1:8" hidden="1">
      <c r="A472" s="495" t="s">
        <v>2292</v>
      </c>
      <c r="B472" s="399" t="s">
        <v>631</v>
      </c>
      <c r="C472" s="399" t="s">
        <v>108</v>
      </c>
      <c r="D472" s="399">
        <v>2113</v>
      </c>
      <c r="E472" s="399" t="s">
        <v>2293</v>
      </c>
      <c r="F472" s="399" t="s">
        <v>2294</v>
      </c>
      <c r="G472" s="399" t="s">
        <v>2221</v>
      </c>
      <c r="H472" s="1235"/>
    </row>
    <row r="473" spans="1:8" hidden="1">
      <c r="A473" s="495" t="s">
        <v>2292</v>
      </c>
      <c r="B473" s="399" t="s">
        <v>631</v>
      </c>
      <c r="C473" s="399" t="s">
        <v>108</v>
      </c>
      <c r="D473" s="399">
        <v>2114</v>
      </c>
      <c r="E473" s="399" t="s">
        <v>2293</v>
      </c>
      <c r="F473" s="399" t="s">
        <v>2294</v>
      </c>
      <c r="G473" s="399" t="s">
        <v>2221</v>
      </c>
      <c r="H473" s="1235"/>
    </row>
    <row r="474" spans="1:8" hidden="1">
      <c r="A474" s="495" t="s">
        <v>2292</v>
      </c>
      <c r="B474" s="399" t="s">
        <v>631</v>
      </c>
      <c r="C474" s="399" t="s">
        <v>108</v>
      </c>
      <c r="D474" s="399">
        <v>2115</v>
      </c>
      <c r="E474" s="399" t="s">
        <v>2293</v>
      </c>
      <c r="F474" s="399" t="s">
        <v>2294</v>
      </c>
      <c r="G474" s="399" t="s">
        <v>2221</v>
      </c>
      <c r="H474" s="1235"/>
    </row>
    <row r="475" spans="1:8" hidden="1">
      <c r="A475" s="495" t="s">
        <v>2292</v>
      </c>
      <c r="B475" s="399" t="s">
        <v>631</v>
      </c>
      <c r="C475" s="399" t="s">
        <v>108</v>
      </c>
      <c r="D475" s="399">
        <v>2116</v>
      </c>
      <c r="E475" s="399" t="s">
        <v>2293</v>
      </c>
      <c r="F475" s="399" t="s">
        <v>2294</v>
      </c>
      <c r="G475" s="399" t="s">
        <v>2221</v>
      </c>
      <c r="H475" s="1235"/>
    </row>
    <row r="476" spans="1:8" hidden="1">
      <c r="A476" s="495" t="s">
        <v>2292</v>
      </c>
      <c r="B476" s="399" t="s">
        <v>631</v>
      </c>
      <c r="C476" s="399" t="s">
        <v>108</v>
      </c>
      <c r="D476" s="399">
        <v>2117</v>
      </c>
      <c r="E476" s="399" t="s">
        <v>2293</v>
      </c>
      <c r="F476" s="399" t="s">
        <v>2294</v>
      </c>
      <c r="G476" s="399" t="s">
        <v>2221</v>
      </c>
      <c r="H476" s="1235"/>
    </row>
    <row r="477" spans="1:8" hidden="1">
      <c r="A477" s="495" t="s">
        <v>2292</v>
      </c>
      <c r="B477" s="399" t="s">
        <v>631</v>
      </c>
      <c r="C477" s="399" t="s">
        <v>108</v>
      </c>
      <c r="D477" s="399">
        <v>2118</v>
      </c>
      <c r="E477" s="399" t="s">
        <v>2293</v>
      </c>
      <c r="F477" s="399" t="s">
        <v>2294</v>
      </c>
      <c r="G477" s="399" t="s">
        <v>2221</v>
      </c>
      <c r="H477" s="1235"/>
    </row>
    <row r="478" spans="1:8" hidden="1">
      <c r="A478" s="495" t="s">
        <v>2292</v>
      </c>
      <c r="B478" s="399" t="s">
        <v>631</v>
      </c>
      <c r="C478" s="399" t="s">
        <v>108</v>
      </c>
      <c r="D478" s="399">
        <v>2119</v>
      </c>
      <c r="E478" s="399" t="s">
        <v>2293</v>
      </c>
      <c r="F478" s="399" t="s">
        <v>2294</v>
      </c>
      <c r="G478" s="399" t="s">
        <v>2221</v>
      </c>
      <c r="H478" s="1235"/>
    </row>
    <row r="479" spans="1:8" hidden="1">
      <c r="A479" s="495" t="s">
        <v>2292</v>
      </c>
      <c r="B479" s="399" t="s">
        <v>631</v>
      </c>
      <c r="C479" s="399" t="s">
        <v>108</v>
      </c>
      <c r="D479" s="399">
        <v>2120</v>
      </c>
      <c r="E479" s="399" t="s">
        <v>2293</v>
      </c>
      <c r="F479" s="399" t="s">
        <v>2294</v>
      </c>
      <c r="G479" s="399" t="s">
        <v>2221</v>
      </c>
      <c r="H479" s="1235"/>
    </row>
    <row r="480" spans="1:8" hidden="1">
      <c r="A480" s="495" t="s">
        <v>2292</v>
      </c>
      <c r="B480" s="399" t="s">
        <v>631</v>
      </c>
      <c r="C480" s="399" t="s">
        <v>108</v>
      </c>
      <c r="D480" s="399">
        <v>2121</v>
      </c>
      <c r="E480" s="399" t="s">
        <v>2293</v>
      </c>
      <c r="F480" s="399" t="s">
        <v>2294</v>
      </c>
      <c r="G480" s="399" t="s">
        <v>2221</v>
      </c>
      <c r="H480" s="1235"/>
    </row>
    <row r="481" spans="1:8" hidden="1">
      <c r="A481" s="495" t="s">
        <v>2292</v>
      </c>
      <c r="B481" s="399" t="s">
        <v>631</v>
      </c>
      <c r="C481" s="399" t="s">
        <v>108</v>
      </c>
      <c r="D481" s="399">
        <v>2122</v>
      </c>
      <c r="E481" s="399" t="s">
        <v>2293</v>
      </c>
      <c r="F481" s="399" t="s">
        <v>2294</v>
      </c>
      <c r="G481" s="399" t="s">
        <v>2221</v>
      </c>
      <c r="H481" s="1235"/>
    </row>
    <row r="482" spans="1:8" hidden="1">
      <c r="A482" s="495" t="s">
        <v>2292</v>
      </c>
      <c r="B482" s="399" t="s">
        <v>631</v>
      </c>
      <c r="C482" s="399" t="s">
        <v>108</v>
      </c>
      <c r="D482" s="399">
        <v>2123</v>
      </c>
      <c r="E482" s="399" t="s">
        <v>2293</v>
      </c>
      <c r="F482" s="399" t="s">
        <v>2294</v>
      </c>
      <c r="G482" s="399" t="s">
        <v>2221</v>
      </c>
      <c r="H482" s="1235"/>
    </row>
    <row r="483" spans="1:8" hidden="1">
      <c r="A483" s="495" t="s">
        <v>2292</v>
      </c>
      <c r="B483" s="399" t="s">
        <v>631</v>
      </c>
      <c r="C483" s="399" t="s">
        <v>108</v>
      </c>
      <c r="D483" s="399">
        <v>2124</v>
      </c>
      <c r="E483" s="399" t="s">
        <v>2293</v>
      </c>
      <c r="F483" s="399" t="s">
        <v>2294</v>
      </c>
      <c r="G483" s="399" t="s">
        <v>2221</v>
      </c>
      <c r="H483" s="1235"/>
    </row>
    <row r="484" spans="1:8" hidden="1">
      <c r="A484" s="495" t="s">
        <v>2292</v>
      </c>
      <c r="B484" s="399" t="s">
        <v>631</v>
      </c>
      <c r="C484" s="399" t="s">
        <v>108</v>
      </c>
      <c r="D484" s="399">
        <v>2125</v>
      </c>
      <c r="E484" s="399" t="s">
        <v>2293</v>
      </c>
      <c r="F484" s="399" t="s">
        <v>2294</v>
      </c>
      <c r="G484" s="399" t="s">
        <v>2221</v>
      </c>
      <c r="H484" s="1235"/>
    </row>
    <row r="485" spans="1:8" hidden="1">
      <c r="A485" s="495" t="s">
        <v>2292</v>
      </c>
      <c r="B485" s="399" t="s">
        <v>631</v>
      </c>
      <c r="C485" s="399" t="s">
        <v>108</v>
      </c>
      <c r="D485" s="399">
        <v>2126</v>
      </c>
      <c r="E485" s="399" t="s">
        <v>2293</v>
      </c>
      <c r="F485" s="399" t="s">
        <v>2294</v>
      </c>
      <c r="G485" s="399" t="s">
        <v>2221</v>
      </c>
      <c r="H485" s="1235"/>
    </row>
    <row r="486" spans="1:8" hidden="1">
      <c r="A486" s="495" t="s">
        <v>2292</v>
      </c>
      <c r="B486" s="399" t="s">
        <v>631</v>
      </c>
      <c r="C486" s="399" t="s">
        <v>108</v>
      </c>
      <c r="D486" s="399">
        <v>2127</v>
      </c>
      <c r="E486" s="399" t="s">
        <v>2293</v>
      </c>
      <c r="F486" s="399" t="s">
        <v>2294</v>
      </c>
      <c r="G486" s="399" t="s">
        <v>2221</v>
      </c>
      <c r="H486" s="1235"/>
    </row>
    <row r="487" spans="1:8" hidden="1">
      <c r="A487" s="495" t="s">
        <v>2292</v>
      </c>
      <c r="B487" s="399" t="s">
        <v>631</v>
      </c>
      <c r="C487" s="399" t="s">
        <v>108</v>
      </c>
      <c r="D487" s="399">
        <v>2128</v>
      </c>
      <c r="E487" s="399" t="s">
        <v>2293</v>
      </c>
      <c r="F487" s="399" t="s">
        <v>2294</v>
      </c>
      <c r="G487" s="399" t="s">
        <v>2221</v>
      </c>
      <c r="H487" s="1235"/>
    </row>
    <row r="488" spans="1:8" hidden="1">
      <c r="A488" s="495" t="s">
        <v>2292</v>
      </c>
      <c r="B488" s="399" t="s">
        <v>631</v>
      </c>
      <c r="C488" s="399" t="s">
        <v>108</v>
      </c>
      <c r="D488" s="399">
        <v>2129</v>
      </c>
      <c r="E488" s="399" t="s">
        <v>2293</v>
      </c>
      <c r="F488" s="399" t="s">
        <v>2294</v>
      </c>
      <c r="G488" s="399" t="s">
        <v>2221</v>
      </c>
      <c r="H488" s="1235"/>
    </row>
    <row r="489" spans="1:8" hidden="1">
      <c r="A489" s="495" t="s">
        <v>2292</v>
      </c>
      <c r="B489" s="399" t="s">
        <v>631</v>
      </c>
      <c r="C489" s="399" t="s">
        <v>108</v>
      </c>
      <c r="D489" s="399">
        <v>2130</v>
      </c>
      <c r="E489" s="399" t="s">
        <v>2293</v>
      </c>
      <c r="F489" s="399" t="s">
        <v>2294</v>
      </c>
      <c r="G489" s="399" t="s">
        <v>2221</v>
      </c>
      <c r="H489" s="1235"/>
    </row>
    <row r="490" spans="1:8" hidden="1">
      <c r="A490" s="495" t="s">
        <v>2292</v>
      </c>
      <c r="B490" s="399" t="s">
        <v>631</v>
      </c>
      <c r="C490" s="399" t="s">
        <v>108</v>
      </c>
      <c r="D490" s="399">
        <v>2131</v>
      </c>
      <c r="E490" s="399" t="s">
        <v>2293</v>
      </c>
      <c r="F490" s="399" t="s">
        <v>2294</v>
      </c>
      <c r="G490" s="399" t="s">
        <v>2221</v>
      </c>
      <c r="H490" s="1235"/>
    </row>
    <row r="491" spans="1:8" hidden="1">
      <c r="A491" s="495" t="s">
        <v>2292</v>
      </c>
      <c r="B491" s="399" t="s">
        <v>631</v>
      </c>
      <c r="C491" s="399" t="s">
        <v>108</v>
      </c>
      <c r="D491" s="399">
        <v>2132</v>
      </c>
      <c r="E491" s="399" t="s">
        <v>2293</v>
      </c>
      <c r="F491" s="399" t="s">
        <v>2294</v>
      </c>
      <c r="G491" s="399" t="s">
        <v>2221</v>
      </c>
      <c r="H491" s="1235"/>
    </row>
    <row r="492" spans="1:8" hidden="1">
      <c r="A492" s="495" t="s">
        <v>2292</v>
      </c>
      <c r="B492" s="399" t="s">
        <v>631</v>
      </c>
      <c r="C492" s="399" t="s">
        <v>108</v>
      </c>
      <c r="D492" s="399">
        <v>2133</v>
      </c>
      <c r="E492" s="399" t="s">
        <v>2293</v>
      </c>
      <c r="F492" s="399" t="s">
        <v>2294</v>
      </c>
      <c r="G492" s="399" t="s">
        <v>2221</v>
      </c>
      <c r="H492" s="1235"/>
    </row>
    <row r="493" spans="1:8" hidden="1">
      <c r="A493" s="495" t="s">
        <v>2292</v>
      </c>
      <c r="B493" s="399" t="s">
        <v>631</v>
      </c>
      <c r="C493" s="399" t="s">
        <v>108</v>
      </c>
      <c r="D493" s="399">
        <v>2134</v>
      </c>
      <c r="E493" s="399" t="s">
        <v>2293</v>
      </c>
      <c r="F493" s="399" t="s">
        <v>2294</v>
      </c>
      <c r="G493" s="399" t="s">
        <v>2221</v>
      </c>
      <c r="H493" s="1235"/>
    </row>
    <row r="494" spans="1:8" hidden="1">
      <c r="A494" s="495" t="s">
        <v>2292</v>
      </c>
      <c r="B494" s="399" t="s">
        <v>631</v>
      </c>
      <c r="C494" s="399" t="s">
        <v>108</v>
      </c>
      <c r="D494" s="399">
        <v>2135</v>
      </c>
      <c r="E494" s="399" t="s">
        <v>2293</v>
      </c>
      <c r="F494" s="399" t="s">
        <v>2294</v>
      </c>
      <c r="G494" s="399" t="s">
        <v>2221</v>
      </c>
      <c r="H494" s="1235"/>
    </row>
    <row r="495" spans="1:8" hidden="1">
      <c r="A495" s="495" t="s">
        <v>2292</v>
      </c>
      <c r="B495" s="399" t="s">
        <v>631</v>
      </c>
      <c r="C495" s="399" t="s">
        <v>108</v>
      </c>
      <c r="D495" s="399">
        <v>2136</v>
      </c>
      <c r="E495" s="399" t="s">
        <v>2293</v>
      </c>
      <c r="F495" s="399" t="s">
        <v>2294</v>
      </c>
      <c r="G495" s="399" t="s">
        <v>2221</v>
      </c>
      <c r="H495" s="1235"/>
    </row>
    <row r="496" spans="1:8" hidden="1">
      <c r="A496" s="495" t="s">
        <v>2292</v>
      </c>
      <c r="B496" s="399" t="s">
        <v>631</v>
      </c>
      <c r="C496" s="399" t="s">
        <v>108</v>
      </c>
      <c r="D496" s="399">
        <v>2137</v>
      </c>
      <c r="E496" s="399" t="s">
        <v>2293</v>
      </c>
      <c r="F496" s="399" t="s">
        <v>2294</v>
      </c>
      <c r="G496" s="399" t="s">
        <v>2221</v>
      </c>
      <c r="H496" s="1235"/>
    </row>
    <row r="497" spans="1:8" hidden="1">
      <c r="A497" s="495" t="s">
        <v>2292</v>
      </c>
      <c r="B497" s="399" t="s">
        <v>631</v>
      </c>
      <c r="C497" s="399" t="s">
        <v>108</v>
      </c>
      <c r="D497" s="399">
        <v>2138</v>
      </c>
      <c r="E497" s="399" t="s">
        <v>2293</v>
      </c>
      <c r="F497" s="399" t="s">
        <v>2294</v>
      </c>
      <c r="G497" s="399" t="s">
        <v>2221</v>
      </c>
      <c r="H497" s="1235"/>
    </row>
    <row r="498" spans="1:8" hidden="1">
      <c r="A498" s="495" t="s">
        <v>2292</v>
      </c>
      <c r="B498" s="399" t="s">
        <v>631</v>
      </c>
      <c r="C498" s="399" t="s">
        <v>108</v>
      </c>
      <c r="D498" s="399">
        <v>2139</v>
      </c>
      <c r="E498" s="399" t="s">
        <v>2293</v>
      </c>
      <c r="F498" s="399" t="s">
        <v>2294</v>
      </c>
      <c r="G498" s="399" t="s">
        <v>2221</v>
      </c>
      <c r="H498" s="1235"/>
    </row>
    <row r="499" spans="1:8" hidden="1">
      <c r="A499" s="495" t="s">
        <v>2292</v>
      </c>
      <c r="B499" s="399" t="s">
        <v>631</v>
      </c>
      <c r="C499" s="399" t="s">
        <v>108</v>
      </c>
      <c r="D499" s="399">
        <v>2140</v>
      </c>
      <c r="E499" s="399" t="s">
        <v>2293</v>
      </c>
      <c r="F499" s="399" t="s">
        <v>2294</v>
      </c>
      <c r="G499" s="399" t="s">
        <v>2221</v>
      </c>
      <c r="H499" s="1235"/>
    </row>
    <row r="500" spans="1:8" hidden="1">
      <c r="A500" s="495" t="s">
        <v>2292</v>
      </c>
      <c r="B500" s="399" t="s">
        <v>631</v>
      </c>
      <c r="C500" s="399" t="s">
        <v>108</v>
      </c>
      <c r="D500" s="399">
        <v>2141</v>
      </c>
      <c r="E500" s="399" t="s">
        <v>2293</v>
      </c>
      <c r="F500" s="399" t="s">
        <v>2294</v>
      </c>
      <c r="G500" s="399" t="s">
        <v>2221</v>
      </c>
      <c r="H500" s="1235"/>
    </row>
    <row r="501" spans="1:8" hidden="1">
      <c r="A501" s="495" t="s">
        <v>2292</v>
      </c>
      <c r="B501" s="399" t="s">
        <v>631</v>
      </c>
      <c r="C501" s="399" t="s">
        <v>108</v>
      </c>
      <c r="D501" s="399">
        <v>2142</v>
      </c>
      <c r="E501" s="399" t="s">
        <v>2293</v>
      </c>
      <c r="F501" s="399" t="s">
        <v>2294</v>
      </c>
      <c r="G501" s="399" t="s">
        <v>2221</v>
      </c>
      <c r="H501" s="1235"/>
    </row>
    <row r="502" spans="1:8" hidden="1">
      <c r="A502" s="495" t="s">
        <v>2292</v>
      </c>
      <c r="B502" s="399" t="s">
        <v>631</v>
      </c>
      <c r="C502" s="399" t="s">
        <v>108</v>
      </c>
      <c r="D502" s="399">
        <v>2143</v>
      </c>
      <c r="E502" s="399" t="s">
        <v>2293</v>
      </c>
      <c r="F502" s="399" t="s">
        <v>2294</v>
      </c>
      <c r="G502" s="399" t="s">
        <v>2221</v>
      </c>
      <c r="H502" s="1235"/>
    </row>
    <row r="503" spans="1:8" hidden="1">
      <c r="A503" s="495" t="s">
        <v>2292</v>
      </c>
      <c r="B503" s="399" t="s">
        <v>631</v>
      </c>
      <c r="C503" s="399" t="s">
        <v>108</v>
      </c>
      <c r="D503" s="399">
        <v>2144</v>
      </c>
      <c r="E503" s="399" t="s">
        <v>2293</v>
      </c>
      <c r="F503" s="399" t="s">
        <v>2294</v>
      </c>
      <c r="G503" s="399" t="s">
        <v>2221</v>
      </c>
      <c r="H503" s="1235"/>
    </row>
    <row r="504" spans="1:8" hidden="1">
      <c r="A504" s="495" t="s">
        <v>2292</v>
      </c>
      <c r="B504" s="399" t="s">
        <v>631</v>
      </c>
      <c r="C504" s="399" t="s">
        <v>108</v>
      </c>
      <c r="D504" s="399">
        <v>2145</v>
      </c>
      <c r="E504" s="399" t="s">
        <v>2293</v>
      </c>
      <c r="F504" s="399" t="s">
        <v>2294</v>
      </c>
      <c r="G504" s="399" t="s">
        <v>2221</v>
      </c>
      <c r="H504" s="1235"/>
    </row>
    <row r="505" spans="1:8" hidden="1">
      <c r="A505" s="495" t="s">
        <v>2292</v>
      </c>
      <c r="B505" s="399" t="s">
        <v>631</v>
      </c>
      <c r="C505" s="399" t="s">
        <v>108</v>
      </c>
      <c r="D505" s="399">
        <v>2146</v>
      </c>
      <c r="E505" s="399" t="s">
        <v>2293</v>
      </c>
      <c r="F505" s="399" t="s">
        <v>2294</v>
      </c>
      <c r="G505" s="399" t="s">
        <v>2221</v>
      </c>
      <c r="H505" s="1235"/>
    </row>
    <row r="506" spans="1:8" hidden="1">
      <c r="A506" s="495" t="s">
        <v>2292</v>
      </c>
      <c r="B506" s="399" t="s">
        <v>631</v>
      </c>
      <c r="C506" s="399" t="s">
        <v>108</v>
      </c>
      <c r="D506" s="399">
        <v>2147</v>
      </c>
      <c r="E506" s="399" t="s">
        <v>2293</v>
      </c>
      <c r="F506" s="399" t="s">
        <v>2294</v>
      </c>
      <c r="G506" s="399" t="s">
        <v>2221</v>
      </c>
      <c r="H506" s="1235"/>
    </row>
    <row r="507" spans="1:8" hidden="1">
      <c r="A507" s="495" t="s">
        <v>2292</v>
      </c>
      <c r="B507" s="399" t="s">
        <v>631</v>
      </c>
      <c r="C507" s="399" t="s">
        <v>108</v>
      </c>
      <c r="D507" s="399">
        <v>2148</v>
      </c>
      <c r="E507" s="399" t="s">
        <v>2293</v>
      </c>
      <c r="F507" s="399" t="s">
        <v>2294</v>
      </c>
      <c r="G507" s="399" t="s">
        <v>2221</v>
      </c>
      <c r="H507" s="1235"/>
    </row>
    <row r="508" spans="1:8" hidden="1">
      <c r="A508" s="495" t="s">
        <v>2292</v>
      </c>
      <c r="B508" s="399" t="s">
        <v>631</v>
      </c>
      <c r="C508" s="399" t="s">
        <v>108</v>
      </c>
      <c r="D508" s="399">
        <v>2149</v>
      </c>
      <c r="E508" s="399" t="s">
        <v>2293</v>
      </c>
      <c r="F508" s="399" t="s">
        <v>2294</v>
      </c>
      <c r="G508" s="399" t="s">
        <v>2221</v>
      </c>
      <c r="H508" s="1235"/>
    </row>
    <row r="509" spans="1:8" hidden="1">
      <c r="A509" s="495" t="s">
        <v>2292</v>
      </c>
      <c r="B509" s="399" t="s">
        <v>631</v>
      </c>
      <c r="C509" s="399" t="s">
        <v>108</v>
      </c>
      <c r="D509" s="399">
        <v>2150</v>
      </c>
      <c r="E509" s="399" t="s">
        <v>2293</v>
      </c>
      <c r="F509" s="399" t="s">
        <v>2294</v>
      </c>
      <c r="G509" s="399" t="s">
        <v>2221</v>
      </c>
      <c r="H509" s="1235"/>
    </row>
    <row r="510" spans="1:8" hidden="1">
      <c r="A510" s="495" t="s">
        <v>2292</v>
      </c>
      <c r="B510" s="399" t="s">
        <v>631</v>
      </c>
      <c r="C510" s="399" t="s">
        <v>108</v>
      </c>
      <c r="D510" s="399">
        <v>2151</v>
      </c>
      <c r="E510" s="399" t="s">
        <v>2293</v>
      </c>
      <c r="F510" s="399" t="s">
        <v>2294</v>
      </c>
      <c r="G510" s="399" t="s">
        <v>2221</v>
      </c>
      <c r="H510" s="1235"/>
    </row>
    <row r="511" spans="1:8" hidden="1">
      <c r="A511" s="495" t="s">
        <v>2292</v>
      </c>
      <c r="B511" s="399" t="s">
        <v>631</v>
      </c>
      <c r="C511" s="399" t="s">
        <v>108</v>
      </c>
      <c r="D511" s="399">
        <v>2152</v>
      </c>
      <c r="E511" s="399" t="s">
        <v>2293</v>
      </c>
      <c r="F511" s="399" t="s">
        <v>2294</v>
      </c>
      <c r="G511" s="399" t="s">
        <v>2221</v>
      </c>
      <c r="H511" s="1235"/>
    </row>
    <row r="512" spans="1:8" hidden="1">
      <c r="A512" s="495" t="s">
        <v>2292</v>
      </c>
      <c r="B512" s="399" t="s">
        <v>631</v>
      </c>
      <c r="C512" s="399" t="s">
        <v>108</v>
      </c>
      <c r="D512" s="399">
        <v>2153</v>
      </c>
      <c r="E512" s="399" t="s">
        <v>2293</v>
      </c>
      <c r="F512" s="399" t="s">
        <v>2294</v>
      </c>
      <c r="G512" s="399" t="s">
        <v>2221</v>
      </c>
      <c r="H512" s="1235"/>
    </row>
    <row r="513" spans="1:8" hidden="1">
      <c r="A513" s="495" t="s">
        <v>2292</v>
      </c>
      <c r="B513" s="399" t="s">
        <v>631</v>
      </c>
      <c r="C513" s="399" t="s">
        <v>108</v>
      </c>
      <c r="D513" s="399">
        <v>2154</v>
      </c>
      <c r="E513" s="399" t="s">
        <v>2293</v>
      </c>
      <c r="F513" s="399" t="s">
        <v>2294</v>
      </c>
      <c r="G513" s="399" t="s">
        <v>2221</v>
      </c>
      <c r="H513" s="1235"/>
    </row>
    <row r="514" spans="1:8" hidden="1">
      <c r="A514" s="495" t="s">
        <v>2292</v>
      </c>
      <c r="B514" s="399" t="s">
        <v>631</v>
      </c>
      <c r="C514" s="399" t="s">
        <v>108</v>
      </c>
      <c r="D514" s="399">
        <v>2155</v>
      </c>
      <c r="E514" s="399" t="s">
        <v>2293</v>
      </c>
      <c r="F514" s="399" t="s">
        <v>2294</v>
      </c>
      <c r="G514" s="399" t="s">
        <v>2221</v>
      </c>
      <c r="H514" s="1235"/>
    </row>
    <row r="515" spans="1:8" hidden="1">
      <c r="A515" s="495" t="s">
        <v>2292</v>
      </c>
      <c r="B515" s="399" t="s">
        <v>631</v>
      </c>
      <c r="C515" s="399" t="s">
        <v>108</v>
      </c>
      <c r="D515" s="399">
        <v>2156</v>
      </c>
      <c r="E515" s="399" t="s">
        <v>2293</v>
      </c>
      <c r="F515" s="399" t="s">
        <v>2294</v>
      </c>
      <c r="G515" s="399" t="s">
        <v>2221</v>
      </c>
      <c r="H515" s="1235"/>
    </row>
    <row r="516" spans="1:8" hidden="1">
      <c r="A516" s="495" t="s">
        <v>2292</v>
      </c>
      <c r="B516" s="399" t="s">
        <v>631</v>
      </c>
      <c r="C516" s="399" t="s">
        <v>108</v>
      </c>
      <c r="D516" s="399">
        <v>2157</v>
      </c>
      <c r="E516" s="399" t="s">
        <v>2293</v>
      </c>
      <c r="F516" s="399" t="s">
        <v>2294</v>
      </c>
      <c r="G516" s="399" t="s">
        <v>2221</v>
      </c>
      <c r="H516" s="1235"/>
    </row>
    <row r="517" spans="1:8" hidden="1">
      <c r="A517" s="495" t="s">
        <v>2292</v>
      </c>
      <c r="B517" s="399" t="s">
        <v>631</v>
      </c>
      <c r="C517" s="399" t="s">
        <v>108</v>
      </c>
      <c r="D517" s="399">
        <v>2158</v>
      </c>
      <c r="E517" s="399" t="s">
        <v>2293</v>
      </c>
      <c r="F517" s="399" t="s">
        <v>2294</v>
      </c>
      <c r="G517" s="399" t="s">
        <v>2221</v>
      </c>
      <c r="H517" s="1235"/>
    </row>
    <row r="518" spans="1:8" hidden="1">
      <c r="A518" s="495" t="s">
        <v>2292</v>
      </c>
      <c r="B518" s="399" t="s">
        <v>631</v>
      </c>
      <c r="C518" s="399" t="s">
        <v>108</v>
      </c>
      <c r="D518" s="399">
        <v>2159</v>
      </c>
      <c r="E518" s="399" t="s">
        <v>2293</v>
      </c>
      <c r="F518" s="399" t="s">
        <v>2294</v>
      </c>
      <c r="G518" s="399" t="s">
        <v>2221</v>
      </c>
      <c r="H518" s="1235"/>
    </row>
    <row r="519" spans="1:8" hidden="1">
      <c r="A519" s="495" t="s">
        <v>2292</v>
      </c>
      <c r="B519" s="399" t="s">
        <v>631</v>
      </c>
      <c r="C519" s="399" t="s">
        <v>108</v>
      </c>
      <c r="D519" s="399">
        <v>2160</v>
      </c>
      <c r="E519" s="399" t="s">
        <v>2293</v>
      </c>
      <c r="F519" s="399" t="s">
        <v>2294</v>
      </c>
      <c r="G519" s="399" t="s">
        <v>2221</v>
      </c>
      <c r="H519" s="1235"/>
    </row>
    <row r="520" spans="1:8" hidden="1">
      <c r="A520" s="495" t="s">
        <v>2292</v>
      </c>
      <c r="B520" s="399" t="s">
        <v>631</v>
      </c>
      <c r="C520" s="399" t="s">
        <v>108</v>
      </c>
      <c r="D520" s="399">
        <v>2161</v>
      </c>
      <c r="E520" s="399" t="s">
        <v>2293</v>
      </c>
      <c r="F520" s="399" t="s">
        <v>2294</v>
      </c>
      <c r="G520" s="399" t="s">
        <v>2221</v>
      </c>
      <c r="H520" s="1235"/>
    </row>
    <row r="521" spans="1:8" hidden="1">
      <c r="A521" s="495" t="s">
        <v>2292</v>
      </c>
      <c r="B521" s="399" t="s">
        <v>631</v>
      </c>
      <c r="C521" s="399" t="s">
        <v>108</v>
      </c>
      <c r="D521" s="399">
        <v>2162</v>
      </c>
      <c r="E521" s="399" t="s">
        <v>2293</v>
      </c>
      <c r="F521" s="399" t="s">
        <v>2294</v>
      </c>
      <c r="G521" s="399" t="s">
        <v>2221</v>
      </c>
      <c r="H521" s="1235"/>
    </row>
    <row r="522" spans="1:8" hidden="1">
      <c r="A522" s="495" t="s">
        <v>2292</v>
      </c>
      <c r="B522" s="399" t="s">
        <v>631</v>
      </c>
      <c r="C522" s="399" t="s">
        <v>108</v>
      </c>
      <c r="D522" s="399">
        <v>2163</v>
      </c>
      <c r="E522" s="399" t="s">
        <v>2293</v>
      </c>
      <c r="F522" s="399" t="s">
        <v>2294</v>
      </c>
      <c r="G522" s="399" t="s">
        <v>2221</v>
      </c>
      <c r="H522" s="1235"/>
    </row>
    <row r="523" spans="1:8" hidden="1">
      <c r="A523" s="495" t="s">
        <v>2292</v>
      </c>
      <c r="B523" s="399" t="s">
        <v>631</v>
      </c>
      <c r="C523" s="399" t="s">
        <v>108</v>
      </c>
      <c r="D523" s="399">
        <v>2164</v>
      </c>
      <c r="E523" s="399" t="s">
        <v>2293</v>
      </c>
      <c r="F523" s="399" t="s">
        <v>2294</v>
      </c>
      <c r="G523" s="399" t="s">
        <v>2221</v>
      </c>
      <c r="H523" s="1235"/>
    </row>
    <row r="524" spans="1:8" hidden="1">
      <c r="A524" s="495" t="s">
        <v>2292</v>
      </c>
      <c r="B524" s="399" t="s">
        <v>631</v>
      </c>
      <c r="C524" s="399" t="s">
        <v>108</v>
      </c>
      <c r="D524" s="399">
        <v>2165</v>
      </c>
      <c r="E524" s="399" t="s">
        <v>2293</v>
      </c>
      <c r="F524" s="399" t="s">
        <v>2294</v>
      </c>
      <c r="G524" s="399" t="s">
        <v>2221</v>
      </c>
      <c r="H524" s="1235"/>
    </row>
    <row r="525" spans="1:8" hidden="1">
      <c r="A525" s="495" t="s">
        <v>2292</v>
      </c>
      <c r="B525" s="399" t="s">
        <v>631</v>
      </c>
      <c r="C525" s="399" t="s">
        <v>108</v>
      </c>
      <c r="D525" s="399">
        <v>2166</v>
      </c>
      <c r="E525" s="399" t="s">
        <v>2293</v>
      </c>
      <c r="F525" s="399" t="s">
        <v>2294</v>
      </c>
      <c r="G525" s="399" t="s">
        <v>2221</v>
      </c>
      <c r="H525" s="1235"/>
    </row>
    <row r="526" spans="1:8" hidden="1">
      <c r="A526" s="495" t="s">
        <v>2292</v>
      </c>
      <c r="B526" s="399" t="s">
        <v>631</v>
      </c>
      <c r="C526" s="399" t="s">
        <v>108</v>
      </c>
      <c r="D526" s="399">
        <v>2167</v>
      </c>
      <c r="E526" s="399" t="s">
        <v>2293</v>
      </c>
      <c r="F526" s="399" t="s">
        <v>2294</v>
      </c>
      <c r="G526" s="399" t="s">
        <v>2221</v>
      </c>
      <c r="H526" s="1235"/>
    </row>
    <row r="527" spans="1:8" hidden="1">
      <c r="A527" s="495" t="s">
        <v>2292</v>
      </c>
      <c r="B527" s="399" t="s">
        <v>631</v>
      </c>
      <c r="C527" s="399" t="s">
        <v>108</v>
      </c>
      <c r="D527" s="399">
        <v>2168</v>
      </c>
      <c r="E527" s="399" t="s">
        <v>2293</v>
      </c>
      <c r="F527" s="399" t="s">
        <v>2294</v>
      </c>
      <c r="G527" s="399" t="s">
        <v>2221</v>
      </c>
      <c r="H527" s="1235"/>
    </row>
    <row r="528" spans="1:8" hidden="1">
      <c r="A528" s="495" t="s">
        <v>2292</v>
      </c>
      <c r="B528" s="399" t="s">
        <v>631</v>
      </c>
      <c r="C528" s="399" t="s">
        <v>108</v>
      </c>
      <c r="D528" s="399">
        <v>2169</v>
      </c>
      <c r="E528" s="399" t="s">
        <v>2293</v>
      </c>
      <c r="F528" s="399" t="s">
        <v>2294</v>
      </c>
      <c r="G528" s="399" t="s">
        <v>2221</v>
      </c>
      <c r="H528" s="1235"/>
    </row>
    <row r="529" spans="1:8" hidden="1">
      <c r="A529" s="495" t="s">
        <v>2292</v>
      </c>
      <c r="B529" s="399" t="s">
        <v>631</v>
      </c>
      <c r="C529" s="399" t="s">
        <v>108</v>
      </c>
      <c r="D529" s="399">
        <v>2170</v>
      </c>
      <c r="E529" s="399" t="s">
        <v>2293</v>
      </c>
      <c r="F529" s="399" t="s">
        <v>2294</v>
      </c>
      <c r="G529" s="399" t="s">
        <v>2221</v>
      </c>
      <c r="H529" s="1235"/>
    </row>
    <row r="530" spans="1:8" hidden="1">
      <c r="A530" s="495" t="s">
        <v>2292</v>
      </c>
      <c r="B530" s="399" t="s">
        <v>631</v>
      </c>
      <c r="C530" s="399" t="s">
        <v>108</v>
      </c>
      <c r="D530" s="399">
        <v>2171</v>
      </c>
      <c r="E530" s="399" t="s">
        <v>2293</v>
      </c>
      <c r="F530" s="399" t="s">
        <v>2294</v>
      </c>
      <c r="G530" s="399" t="s">
        <v>2221</v>
      </c>
      <c r="H530" s="1235"/>
    </row>
    <row r="531" spans="1:8" hidden="1">
      <c r="A531" s="495" t="s">
        <v>2292</v>
      </c>
      <c r="B531" s="399" t="s">
        <v>631</v>
      </c>
      <c r="C531" s="399" t="s">
        <v>108</v>
      </c>
      <c r="D531" s="399">
        <v>2172</v>
      </c>
      <c r="E531" s="399" t="s">
        <v>2293</v>
      </c>
      <c r="F531" s="399" t="s">
        <v>2294</v>
      </c>
      <c r="G531" s="399" t="s">
        <v>2221</v>
      </c>
      <c r="H531" s="1235"/>
    </row>
    <row r="532" spans="1:8" hidden="1">
      <c r="A532" s="495" t="s">
        <v>2292</v>
      </c>
      <c r="B532" s="399" t="s">
        <v>631</v>
      </c>
      <c r="C532" s="399" t="s">
        <v>108</v>
      </c>
      <c r="D532" s="399">
        <v>2173</v>
      </c>
      <c r="E532" s="399" t="s">
        <v>2293</v>
      </c>
      <c r="F532" s="399" t="s">
        <v>2294</v>
      </c>
      <c r="G532" s="399" t="s">
        <v>2221</v>
      </c>
      <c r="H532" s="1235"/>
    </row>
    <row r="533" spans="1:8" hidden="1">
      <c r="A533" s="495" t="s">
        <v>2292</v>
      </c>
      <c r="B533" s="399" t="s">
        <v>631</v>
      </c>
      <c r="C533" s="399" t="s">
        <v>108</v>
      </c>
      <c r="D533" s="399">
        <v>2174</v>
      </c>
      <c r="E533" s="399" t="s">
        <v>2293</v>
      </c>
      <c r="F533" s="399" t="s">
        <v>2294</v>
      </c>
      <c r="G533" s="399" t="s">
        <v>2221</v>
      </c>
      <c r="H533" s="1235"/>
    </row>
    <row r="534" spans="1:8" hidden="1">
      <c r="A534" s="495" t="s">
        <v>2292</v>
      </c>
      <c r="B534" s="399" t="s">
        <v>631</v>
      </c>
      <c r="C534" s="399" t="s">
        <v>108</v>
      </c>
      <c r="D534" s="399">
        <v>2175</v>
      </c>
      <c r="E534" s="399" t="s">
        <v>2293</v>
      </c>
      <c r="F534" s="399" t="s">
        <v>2294</v>
      </c>
      <c r="G534" s="399" t="s">
        <v>2221</v>
      </c>
      <c r="H534" s="1235"/>
    </row>
    <row r="535" spans="1:8" hidden="1">
      <c r="A535" s="495" t="s">
        <v>2292</v>
      </c>
      <c r="B535" s="399" t="s">
        <v>631</v>
      </c>
      <c r="C535" s="399" t="s">
        <v>108</v>
      </c>
      <c r="D535" s="399">
        <v>2176</v>
      </c>
      <c r="E535" s="399" t="s">
        <v>2293</v>
      </c>
      <c r="F535" s="399" t="s">
        <v>2294</v>
      </c>
      <c r="G535" s="399" t="s">
        <v>2221</v>
      </c>
      <c r="H535" s="1235"/>
    </row>
    <row r="536" spans="1:8" hidden="1">
      <c r="A536" s="495" t="s">
        <v>2292</v>
      </c>
      <c r="B536" s="399" t="s">
        <v>631</v>
      </c>
      <c r="C536" s="399" t="s">
        <v>108</v>
      </c>
      <c r="D536" s="399">
        <v>2177</v>
      </c>
      <c r="E536" s="399" t="s">
        <v>2293</v>
      </c>
      <c r="F536" s="399" t="s">
        <v>2294</v>
      </c>
      <c r="G536" s="399" t="s">
        <v>2221</v>
      </c>
      <c r="H536" s="1235"/>
    </row>
    <row r="537" spans="1:8" hidden="1">
      <c r="A537" s="495" t="s">
        <v>2292</v>
      </c>
      <c r="B537" s="399" t="s">
        <v>631</v>
      </c>
      <c r="C537" s="399" t="s">
        <v>108</v>
      </c>
      <c r="D537" s="399">
        <v>2178</v>
      </c>
      <c r="E537" s="399" t="s">
        <v>2293</v>
      </c>
      <c r="F537" s="399" t="s">
        <v>2294</v>
      </c>
      <c r="G537" s="399" t="s">
        <v>2221</v>
      </c>
      <c r="H537" s="1235"/>
    </row>
    <row r="538" spans="1:8" hidden="1">
      <c r="A538" s="495" t="s">
        <v>2292</v>
      </c>
      <c r="B538" s="399" t="s">
        <v>631</v>
      </c>
      <c r="C538" s="399" t="s">
        <v>108</v>
      </c>
      <c r="D538" s="399">
        <v>2179</v>
      </c>
      <c r="E538" s="399" t="s">
        <v>2293</v>
      </c>
      <c r="F538" s="399" t="s">
        <v>2294</v>
      </c>
      <c r="G538" s="399" t="s">
        <v>2221</v>
      </c>
      <c r="H538" s="1235"/>
    </row>
    <row r="539" spans="1:8" hidden="1">
      <c r="A539" s="495" t="s">
        <v>2292</v>
      </c>
      <c r="B539" s="399" t="s">
        <v>631</v>
      </c>
      <c r="C539" s="399" t="s">
        <v>108</v>
      </c>
      <c r="D539" s="399">
        <v>2180</v>
      </c>
      <c r="E539" s="399" t="s">
        <v>2293</v>
      </c>
      <c r="F539" s="399" t="s">
        <v>2294</v>
      </c>
      <c r="G539" s="399" t="s">
        <v>2221</v>
      </c>
      <c r="H539" s="1235"/>
    </row>
    <row r="540" spans="1:8" hidden="1">
      <c r="A540" s="495" t="s">
        <v>2292</v>
      </c>
      <c r="B540" s="399" t="s">
        <v>631</v>
      </c>
      <c r="C540" s="399" t="s">
        <v>108</v>
      </c>
      <c r="D540" s="399">
        <v>2181</v>
      </c>
      <c r="E540" s="399" t="s">
        <v>2293</v>
      </c>
      <c r="F540" s="399" t="s">
        <v>2294</v>
      </c>
      <c r="G540" s="399" t="s">
        <v>2221</v>
      </c>
      <c r="H540" s="1235"/>
    </row>
    <row r="541" spans="1:8" hidden="1">
      <c r="A541" s="495" t="s">
        <v>2292</v>
      </c>
      <c r="B541" s="399" t="s">
        <v>631</v>
      </c>
      <c r="C541" s="399" t="s">
        <v>108</v>
      </c>
      <c r="D541" s="399">
        <v>2182</v>
      </c>
      <c r="E541" s="399" t="s">
        <v>2293</v>
      </c>
      <c r="F541" s="399" t="s">
        <v>2294</v>
      </c>
      <c r="G541" s="399" t="s">
        <v>2221</v>
      </c>
      <c r="H541" s="1235"/>
    </row>
    <row r="542" spans="1:8" hidden="1">
      <c r="A542" s="495" t="s">
        <v>2292</v>
      </c>
      <c r="B542" s="399" t="s">
        <v>631</v>
      </c>
      <c r="C542" s="399" t="s">
        <v>108</v>
      </c>
      <c r="D542" s="399">
        <v>2183</v>
      </c>
      <c r="E542" s="399" t="s">
        <v>2293</v>
      </c>
      <c r="F542" s="399" t="s">
        <v>2294</v>
      </c>
      <c r="G542" s="399" t="s">
        <v>2221</v>
      </c>
      <c r="H542" s="1235"/>
    </row>
    <row r="543" spans="1:8" hidden="1">
      <c r="A543" s="495" t="s">
        <v>2292</v>
      </c>
      <c r="B543" s="399" t="s">
        <v>631</v>
      </c>
      <c r="C543" s="399" t="s">
        <v>108</v>
      </c>
      <c r="D543" s="399">
        <v>2184</v>
      </c>
      <c r="E543" s="399" t="s">
        <v>2293</v>
      </c>
      <c r="F543" s="399" t="s">
        <v>2294</v>
      </c>
      <c r="G543" s="399" t="s">
        <v>2221</v>
      </c>
      <c r="H543" s="1235"/>
    </row>
    <row r="544" spans="1:8" hidden="1">
      <c r="A544" s="495" t="s">
        <v>2292</v>
      </c>
      <c r="B544" s="399" t="s">
        <v>631</v>
      </c>
      <c r="C544" s="399" t="s">
        <v>108</v>
      </c>
      <c r="D544" s="399">
        <v>2185</v>
      </c>
      <c r="E544" s="399" t="s">
        <v>2293</v>
      </c>
      <c r="F544" s="399" t="s">
        <v>2294</v>
      </c>
      <c r="G544" s="399" t="s">
        <v>2221</v>
      </c>
      <c r="H544" s="1235"/>
    </row>
    <row r="545" spans="1:8" hidden="1">
      <c r="A545" s="495" t="s">
        <v>2292</v>
      </c>
      <c r="B545" s="399" t="s">
        <v>631</v>
      </c>
      <c r="C545" s="399" t="s">
        <v>108</v>
      </c>
      <c r="D545" s="399">
        <v>2186</v>
      </c>
      <c r="E545" s="399" t="s">
        <v>2293</v>
      </c>
      <c r="F545" s="399" t="s">
        <v>2294</v>
      </c>
      <c r="G545" s="399" t="s">
        <v>2221</v>
      </c>
      <c r="H545" s="1235"/>
    </row>
    <row r="546" spans="1:8" hidden="1">
      <c r="A546" s="495" t="s">
        <v>2292</v>
      </c>
      <c r="B546" s="399" t="s">
        <v>631</v>
      </c>
      <c r="C546" s="399" t="s">
        <v>108</v>
      </c>
      <c r="D546" s="399">
        <v>2187</v>
      </c>
      <c r="E546" s="399" t="s">
        <v>2293</v>
      </c>
      <c r="F546" s="399" t="s">
        <v>2294</v>
      </c>
      <c r="G546" s="399" t="s">
        <v>2221</v>
      </c>
      <c r="H546" s="1235"/>
    </row>
    <row r="547" spans="1:8" hidden="1">
      <c r="A547" s="495" t="s">
        <v>2292</v>
      </c>
      <c r="B547" s="399" t="s">
        <v>631</v>
      </c>
      <c r="C547" s="399" t="s">
        <v>108</v>
      </c>
      <c r="D547" s="399">
        <v>2188</v>
      </c>
      <c r="E547" s="399" t="s">
        <v>2293</v>
      </c>
      <c r="F547" s="399" t="s">
        <v>2294</v>
      </c>
      <c r="G547" s="399" t="s">
        <v>2221</v>
      </c>
      <c r="H547" s="1235"/>
    </row>
    <row r="548" spans="1:8" hidden="1">
      <c r="A548" s="495" t="s">
        <v>2292</v>
      </c>
      <c r="B548" s="399" t="s">
        <v>631</v>
      </c>
      <c r="C548" s="399" t="s">
        <v>108</v>
      </c>
      <c r="D548" s="399">
        <v>2189</v>
      </c>
      <c r="E548" s="399" t="s">
        <v>2293</v>
      </c>
      <c r="F548" s="399" t="s">
        <v>2294</v>
      </c>
      <c r="G548" s="399" t="s">
        <v>2221</v>
      </c>
      <c r="H548" s="1235"/>
    </row>
    <row r="549" spans="1:8" hidden="1">
      <c r="A549" s="495" t="s">
        <v>2292</v>
      </c>
      <c r="B549" s="399" t="s">
        <v>631</v>
      </c>
      <c r="C549" s="399" t="s">
        <v>108</v>
      </c>
      <c r="D549" s="399">
        <v>2190</v>
      </c>
      <c r="E549" s="399" t="s">
        <v>2293</v>
      </c>
      <c r="F549" s="399" t="s">
        <v>2294</v>
      </c>
      <c r="G549" s="399" t="s">
        <v>2221</v>
      </c>
      <c r="H549" s="1235"/>
    </row>
    <row r="550" spans="1:8" hidden="1">
      <c r="A550" s="495" t="s">
        <v>2292</v>
      </c>
      <c r="B550" s="399" t="s">
        <v>631</v>
      </c>
      <c r="C550" s="399" t="s">
        <v>108</v>
      </c>
      <c r="D550" s="399">
        <v>2191</v>
      </c>
      <c r="E550" s="399" t="s">
        <v>2293</v>
      </c>
      <c r="F550" s="399" t="s">
        <v>2294</v>
      </c>
      <c r="G550" s="399" t="s">
        <v>2221</v>
      </c>
      <c r="H550" s="1235"/>
    </row>
    <row r="551" spans="1:8" hidden="1">
      <c r="A551" s="495" t="s">
        <v>2292</v>
      </c>
      <c r="B551" s="399" t="s">
        <v>631</v>
      </c>
      <c r="C551" s="399" t="s">
        <v>108</v>
      </c>
      <c r="D551" s="399">
        <v>2192</v>
      </c>
      <c r="E551" s="399" t="s">
        <v>2293</v>
      </c>
      <c r="F551" s="399" t="s">
        <v>2294</v>
      </c>
      <c r="G551" s="399" t="s">
        <v>2221</v>
      </c>
      <c r="H551" s="1235"/>
    </row>
    <row r="552" spans="1:8" hidden="1">
      <c r="A552" s="495" t="s">
        <v>2292</v>
      </c>
      <c r="B552" s="399" t="s">
        <v>631</v>
      </c>
      <c r="C552" s="399" t="s">
        <v>108</v>
      </c>
      <c r="D552" s="399">
        <v>2193</v>
      </c>
      <c r="E552" s="399" t="s">
        <v>2293</v>
      </c>
      <c r="F552" s="399" t="s">
        <v>2294</v>
      </c>
      <c r="G552" s="399" t="s">
        <v>2221</v>
      </c>
      <c r="H552" s="1235"/>
    </row>
    <row r="553" spans="1:8" hidden="1">
      <c r="A553" s="495" t="s">
        <v>2292</v>
      </c>
      <c r="B553" s="399" t="s">
        <v>631</v>
      </c>
      <c r="C553" s="399" t="s">
        <v>108</v>
      </c>
      <c r="D553" s="399">
        <v>2194</v>
      </c>
      <c r="E553" s="399" t="s">
        <v>2293</v>
      </c>
      <c r="F553" s="399" t="s">
        <v>2294</v>
      </c>
      <c r="G553" s="399" t="s">
        <v>2221</v>
      </c>
      <c r="H553" s="1235"/>
    </row>
    <row r="554" spans="1:8" hidden="1">
      <c r="A554" s="495" t="s">
        <v>2292</v>
      </c>
      <c r="B554" s="399" t="s">
        <v>631</v>
      </c>
      <c r="C554" s="399" t="s">
        <v>108</v>
      </c>
      <c r="D554" s="399">
        <v>2195</v>
      </c>
      <c r="E554" s="399" t="s">
        <v>2293</v>
      </c>
      <c r="F554" s="399" t="s">
        <v>2294</v>
      </c>
      <c r="G554" s="399" t="s">
        <v>2221</v>
      </c>
      <c r="H554" s="1235"/>
    </row>
    <row r="555" spans="1:8" hidden="1">
      <c r="A555" s="495" t="s">
        <v>2292</v>
      </c>
      <c r="B555" s="399" t="s">
        <v>631</v>
      </c>
      <c r="C555" s="399" t="s">
        <v>108</v>
      </c>
      <c r="D555" s="399">
        <v>2196</v>
      </c>
      <c r="E555" s="399" t="s">
        <v>2293</v>
      </c>
      <c r="F555" s="399" t="s">
        <v>2294</v>
      </c>
      <c r="G555" s="399" t="s">
        <v>2221</v>
      </c>
      <c r="H555" s="1235"/>
    </row>
    <row r="556" spans="1:8" hidden="1">
      <c r="A556" s="495" t="s">
        <v>2292</v>
      </c>
      <c r="B556" s="399" t="s">
        <v>631</v>
      </c>
      <c r="C556" s="399" t="s">
        <v>108</v>
      </c>
      <c r="D556" s="399">
        <v>2197</v>
      </c>
      <c r="E556" s="399" t="s">
        <v>2293</v>
      </c>
      <c r="F556" s="399" t="s">
        <v>2294</v>
      </c>
      <c r="G556" s="399" t="s">
        <v>2221</v>
      </c>
      <c r="H556" s="1235"/>
    </row>
    <row r="557" spans="1:8" hidden="1">
      <c r="A557" s="495" t="s">
        <v>2292</v>
      </c>
      <c r="B557" s="399" t="s">
        <v>631</v>
      </c>
      <c r="C557" s="399" t="s">
        <v>108</v>
      </c>
      <c r="D557" s="399">
        <v>2198</v>
      </c>
      <c r="E557" s="399" t="s">
        <v>2293</v>
      </c>
      <c r="F557" s="399" t="s">
        <v>2294</v>
      </c>
      <c r="G557" s="399" t="s">
        <v>2221</v>
      </c>
      <c r="H557" s="1235"/>
    </row>
    <row r="558" spans="1:8" hidden="1">
      <c r="A558" s="495" t="s">
        <v>2292</v>
      </c>
      <c r="B558" s="399" t="s">
        <v>631</v>
      </c>
      <c r="C558" s="399" t="s">
        <v>108</v>
      </c>
      <c r="D558" s="399">
        <v>2199</v>
      </c>
      <c r="E558" s="399" t="s">
        <v>2293</v>
      </c>
      <c r="F558" s="399" t="s">
        <v>2294</v>
      </c>
      <c r="G558" s="399" t="s">
        <v>2221</v>
      </c>
      <c r="H558" s="1235"/>
    </row>
    <row r="559" spans="1:8" hidden="1">
      <c r="A559" s="495" t="s">
        <v>2292</v>
      </c>
      <c r="B559" s="399" t="s">
        <v>631</v>
      </c>
      <c r="C559" s="399" t="s">
        <v>108</v>
      </c>
      <c r="D559" s="399">
        <v>2200</v>
      </c>
      <c r="E559" s="399" t="s">
        <v>2293</v>
      </c>
      <c r="F559" s="399" t="s">
        <v>2294</v>
      </c>
      <c r="G559" s="399" t="s">
        <v>2221</v>
      </c>
      <c r="H559" s="1235"/>
    </row>
    <row r="560" spans="1:8" hidden="1">
      <c r="A560" s="495" t="s">
        <v>2292</v>
      </c>
      <c r="B560" s="399" t="s">
        <v>631</v>
      </c>
      <c r="C560" s="399" t="s">
        <v>108</v>
      </c>
      <c r="D560" s="399">
        <v>2201</v>
      </c>
      <c r="E560" s="399" t="s">
        <v>2293</v>
      </c>
      <c r="F560" s="399" t="s">
        <v>2294</v>
      </c>
      <c r="G560" s="399" t="s">
        <v>2221</v>
      </c>
      <c r="H560" s="1235"/>
    </row>
    <row r="561" spans="1:8" hidden="1">
      <c r="A561" s="495" t="s">
        <v>2292</v>
      </c>
      <c r="B561" s="399" t="s">
        <v>631</v>
      </c>
      <c r="C561" s="399" t="s">
        <v>108</v>
      </c>
      <c r="D561" s="399">
        <v>2202</v>
      </c>
      <c r="E561" s="399" t="s">
        <v>2293</v>
      </c>
      <c r="F561" s="399" t="s">
        <v>2294</v>
      </c>
      <c r="G561" s="399" t="s">
        <v>2221</v>
      </c>
      <c r="H561" s="1235"/>
    </row>
    <row r="562" spans="1:8" hidden="1">
      <c r="A562" s="495" t="s">
        <v>2292</v>
      </c>
      <c r="B562" s="399" t="s">
        <v>631</v>
      </c>
      <c r="C562" s="399" t="s">
        <v>108</v>
      </c>
      <c r="D562" s="399">
        <v>2203</v>
      </c>
      <c r="E562" s="399" t="s">
        <v>2293</v>
      </c>
      <c r="F562" s="399" t="s">
        <v>2294</v>
      </c>
      <c r="G562" s="399" t="s">
        <v>2221</v>
      </c>
      <c r="H562" s="1235"/>
    </row>
    <row r="563" spans="1:8" hidden="1">
      <c r="A563" s="495" t="s">
        <v>2292</v>
      </c>
      <c r="B563" s="399" t="s">
        <v>631</v>
      </c>
      <c r="C563" s="399" t="s">
        <v>108</v>
      </c>
      <c r="D563" s="399">
        <v>2204</v>
      </c>
      <c r="E563" s="399" t="s">
        <v>2293</v>
      </c>
      <c r="F563" s="399" t="s">
        <v>2294</v>
      </c>
      <c r="G563" s="399" t="s">
        <v>2221</v>
      </c>
      <c r="H563" s="1235"/>
    </row>
    <row r="564" spans="1:8" hidden="1">
      <c r="A564" s="495" t="s">
        <v>2292</v>
      </c>
      <c r="B564" s="399" t="s">
        <v>631</v>
      </c>
      <c r="C564" s="399" t="s">
        <v>108</v>
      </c>
      <c r="D564" s="399">
        <v>2205</v>
      </c>
      <c r="E564" s="399" t="s">
        <v>2293</v>
      </c>
      <c r="F564" s="399" t="s">
        <v>2294</v>
      </c>
      <c r="G564" s="399" t="s">
        <v>2221</v>
      </c>
      <c r="H564" s="1235"/>
    </row>
    <row r="565" spans="1:8" hidden="1">
      <c r="A565" s="495" t="s">
        <v>2292</v>
      </c>
      <c r="B565" s="399" t="s">
        <v>631</v>
      </c>
      <c r="C565" s="399" t="s">
        <v>108</v>
      </c>
      <c r="D565" s="399">
        <v>2206</v>
      </c>
      <c r="E565" s="399" t="s">
        <v>2293</v>
      </c>
      <c r="F565" s="399" t="s">
        <v>2294</v>
      </c>
      <c r="G565" s="399" t="s">
        <v>2221</v>
      </c>
      <c r="H565" s="1235"/>
    </row>
    <row r="566" spans="1:8" hidden="1">
      <c r="A566" s="495" t="s">
        <v>2292</v>
      </c>
      <c r="B566" s="399" t="s">
        <v>631</v>
      </c>
      <c r="C566" s="399" t="s">
        <v>108</v>
      </c>
      <c r="D566" s="399">
        <v>2207</v>
      </c>
      <c r="E566" s="399" t="s">
        <v>2293</v>
      </c>
      <c r="F566" s="399" t="s">
        <v>2294</v>
      </c>
      <c r="G566" s="399" t="s">
        <v>2221</v>
      </c>
      <c r="H566" s="1235"/>
    </row>
    <row r="567" spans="1:8" hidden="1">
      <c r="A567" s="495" t="s">
        <v>2292</v>
      </c>
      <c r="B567" s="399" t="s">
        <v>631</v>
      </c>
      <c r="C567" s="399" t="s">
        <v>108</v>
      </c>
      <c r="D567" s="399">
        <v>2208</v>
      </c>
      <c r="E567" s="399" t="s">
        <v>2293</v>
      </c>
      <c r="F567" s="399" t="s">
        <v>2294</v>
      </c>
      <c r="G567" s="399" t="s">
        <v>2221</v>
      </c>
      <c r="H567" s="1235"/>
    </row>
    <row r="568" spans="1:8" hidden="1">
      <c r="A568" s="495" t="s">
        <v>2292</v>
      </c>
      <c r="B568" s="399" t="s">
        <v>631</v>
      </c>
      <c r="C568" s="399" t="s">
        <v>108</v>
      </c>
      <c r="D568" s="399">
        <v>2209</v>
      </c>
      <c r="E568" s="399" t="s">
        <v>2293</v>
      </c>
      <c r="F568" s="399" t="s">
        <v>2294</v>
      </c>
      <c r="G568" s="399" t="s">
        <v>2221</v>
      </c>
      <c r="H568" s="1235"/>
    </row>
    <row r="569" spans="1:8" hidden="1">
      <c r="A569" s="495" t="s">
        <v>2292</v>
      </c>
      <c r="B569" s="399" t="s">
        <v>631</v>
      </c>
      <c r="C569" s="399" t="s">
        <v>108</v>
      </c>
      <c r="D569" s="399">
        <v>2210</v>
      </c>
      <c r="E569" s="399" t="s">
        <v>2293</v>
      </c>
      <c r="F569" s="399" t="s">
        <v>2294</v>
      </c>
      <c r="G569" s="399" t="s">
        <v>2221</v>
      </c>
      <c r="H569" s="1235"/>
    </row>
    <row r="570" spans="1:8" hidden="1">
      <c r="A570" s="495" t="s">
        <v>2292</v>
      </c>
      <c r="B570" s="399" t="s">
        <v>631</v>
      </c>
      <c r="C570" s="399" t="s">
        <v>108</v>
      </c>
      <c r="D570" s="399">
        <v>2211</v>
      </c>
      <c r="E570" s="399" t="s">
        <v>2293</v>
      </c>
      <c r="F570" s="399" t="s">
        <v>2294</v>
      </c>
      <c r="G570" s="399" t="s">
        <v>2221</v>
      </c>
      <c r="H570" s="1235"/>
    </row>
    <row r="571" spans="1:8" hidden="1">
      <c r="A571" s="495" t="s">
        <v>2292</v>
      </c>
      <c r="B571" s="399" t="s">
        <v>631</v>
      </c>
      <c r="C571" s="399" t="s">
        <v>108</v>
      </c>
      <c r="D571" s="399">
        <v>2212</v>
      </c>
      <c r="E571" s="399" t="s">
        <v>2293</v>
      </c>
      <c r="F571" s="399" t="s">
        <v>2294</v>
      </c>
      <c r="G571" s="399" t="s">
        <v>2221</v>
      </c>
      <c r="H571" s="1235"/>
    </row>
    <row r="572" spans="1:8" hidden="1">
      <c r="A572" s="495" t="s">
        <v>2292</v>
      </c>
      <c r="B572" s="399" t="s">
        <v>631</v>
      </c>
      <c r="C572" s="399" t="s">
        <v>108</v>
      </c>
      <c r="D572" s="399">
        <v>2213</v>
      </c>
      <c r="E572" s="399" t="s">
        <v>2293</v>
      </c>
      <c r="F572" s="399" t="s">
        <v>2294</v>
      </c>
      <c r="G572" s="399" t="s">
        <v>2221</v>
      </c>
      <c r="H572" s="1235"/>
    </row>
    <row r="573" spans="1:8" hidden="1">
      <c r="A573" s="495" t="s">
        <v>2292</v>
      </c>
      <c r="B573" s="399" t="s">
        <v>631</v>
      </c>
      <c r="C573" s="399" t="s">
        <v>108</v>
      </c>
      <c r="D573" s="399">
        <v>2214</v>
      </c>
      <c r="E573" s="399" t="s">
        <v>2293</v>
      </c>
      <c r="F573" s="399" t="s">
        <v>2294</v>
      </c>
      <c r="G573" s="399" t="s">
        <v>2221</v>
      </c>
      <c r="H573" s="1235"/>
    </row>
    <row r="574" spans="1:8" hidden="1">
      <c r="A574" s="495" t="s">
        <v>2292</v>
      </c>
      <c r="B574" s="399" t="s">
        <v>631</v>
      </c>
      <c r="C574" s="399" t="s">
        <v>108</v>
      </c>
      <c r="D574" s="399">
        <v>2215</v>
      </c>
      <c r="E574" s="399" t="s">
        <v>2293</v>
      </c>
      <c r="F574" s="399" t="s">
        <v>2294</v>
      </c>
      <c r="G574" s="399" t="s">
        <v>2221</v>
      </c>
      <c r="H574" s="1235"/>
    </row>
    <row r="575" spans="1:8" hidden="1">
      <c r="A575" s="495" t="s">
        <v>2292</v>
      </c>
      <c r="B575" s="399" t="s">
        <v>631</v>
      </c>
      <c r="C575" s="399" t="s">
        <v>108</v>
      </c>
      <c r="D575" s="399">
        <v>2216</v>
      </c>
      <c r="E575" s="399" t="s">
        <v>2293</v>
      </c>
      <c r="F575" s="399" t="s">
        <v>2294</v>
      </c>
      <c r="G575" s="399" t="s">
        <v>2221</v>
      </c>
      <c r="H575" s="1235"/>
    </row>
    <row r="576" spans="1:8" hidden="1">
      <c r="A576" s="495" t="s">
        <v>2292</v>
      </c>
      <c r="B576" s="399" t="s">
        <v>631</v>
      </c>
      <c r="C576" s="399" t="s">
        <v>108</v>
      </c>
      <c r="D576" s="399">
        <v>2217</v>
      </c>
      <c r="E576" s="399" t="s">
        <v>2293</v>
      </c>
      <c r="F576" s="399" t="s">
        <v>2294</v>
      </c>
      <c r="G576" s="399" t="s">
        <v>2221</v>
      </c>
      <c r="H576" s="1235"/>
    </row>
    <row r="577" spans="1:8" hidden="1">
      <c r="A577" s="495" t="s">
        <v>2292</v>
      </c>
      <c r="B577" s="399" t="s">
        <v>631</v>
      </c>
      <c r="C577" s="399" t="s">
        <v>108</v>
      </c>
      <c r="D577" s="399">
        <v>2218</v>
      </c>
      <c r="E577" s="399" t="s">
        <v>2293</v>
      </c>
      <c r="F577" s="399" t="s">
        <v>2294</v>
      </c>
      <c r="G577" s="399" t="s">
        <v>2221</v>
      </c>
      <c r="H577" s="1235"/>
    </row>
    <row r="578" spans="1:8" hidden="1">
      <c r="A578" s="495" t="s">
        <v>2292</v>
      </c>
      <c r="B578" s="399" t="s">
        <v>631</v>
      </c>
      <c r="C578" s="399" t="s">
        <v>108</v>
      </c>
      <c r="D578" s="399">
        <v>2219</v>
      </c>
      <c r="E578" s="399" t="s">
        <v>2293</v>
      </c>
      <c r="F578" s="399" t="s">
        <v>2294</v>
      </c>
      <c r="G578" s="399" t="s">
        <v>2221</v>
      </c>
      <c r="H578" s="1235"/>
    </row>
    <row r="579" spans="1:8" hidden="1">
      <c r="A579" s="495" t="s">
        <v>2292</v>
      </c>
      <c r="B579" s="399" t="s">
        <v>631</v>
      </c>
      <c r="C579" s="399" t="s">
        <v>108</v>
      </c>
      <c r="D579" s="399">
        <v>2220</v>
      </c>
      <c r="E579" s="399" t="s">
        <v>2293</v>
      </c>
      <c r="F579" s="399" t="s">
        <v>2294</v>
      </c>
      <c r="G579" s="399" t="s">
        <v>2221</v>
      </c>
      <c r="H579" s="1235"/>
    </row>
    <row r="580" spans="1:8" hidden="1">
      <c r="A580" s="495" t="s">
        <v>2292</v>
      </c>
      <c r="B580" s="399" t="s">
        <v>631</v>
      </c>
      <c r="C580" s="399" t="s">
        <v>108</v>
      </c>
      <c r="D580" s="399">
        <v>2221</v>
      </c>
      <c r="E580" s="399" t="s">
        <v>2293</v>
      </c>
      <c r="F580" s="399" t="s">
        <v>2294</v>
      </c>
      <c r="G580" s="399" t="s">
        <v>2221</v>
      </c>
      <c r="H580" s="1235"/>
    </row>
    <row r="581" spans="1:8" hidden="1">
      <c r="A581" s="495" t="s">
        <v>2292</v>
      </c>
      <c r="B581" s="399" t="s">
        <v>631</v>
      </c>
      <c r="C581" s="399" t="s">
        <v>108</v>
      </c>
      <c r="D581" s="399">
        <v>2222</v>
      </c>
      <c r="E581" s="399" t="s">
        <v>2293</v>
      </c>
      <c r="F581" s="399" t="s">
        <v>2294</v>
      </c>
      <c r="G581" s="399" t="s">
        <v>2221</v>
      </c>
      <c r="H581" s="1235"/>
    </row>
    <row r="582" spans="1:8" hidden="1">
      <c r="A582" s="495" t="s">
        <v>2292</v>
      </c>
      <c r="B582" s="399" t="s">
        <v>631</v>
      </c>
      <c r="C582" s="399" t="s">
        <v>108</v>
      </c>
      <c r="D582" s="399">
        <v>2223</v>
      </c>
      <c r="E582" s="399" t="s">
        <v>2293</v>
      </c>
      <c r="F582" s="399" t="s">
        <v>2294</v>
      </c>
      <c r="G582" s="399" t="s">
        <v>2221</v>
      </c>
      <c r="H582" s="1235"/>
    </row>
    <row r="583" spans="1:8" hidden="1">
      <c r="A583" s="495" t="s">
        <v>2292</v>
      </c>
      <c r="B583" s="399" t="s">
        <v>631</v>
      </c>
      <c r="C583" s="399" t="s">
        <v>108</v>
      </c>
      <c r="D583" s="399">
        <v>2224</v>
      </c>
      <c r="E583" s="399" t="s">
        <v>2293</v>
      </c>
      <c r="F583" s="399" t="s">
        <v>2294</v>
      </c>
      <c r="G583" s="399" t="s">
        <v>2221</v>
      </c>
      <c r="H583" s="1235"/>
    </row>
    <row r="584" spans="1:8" hidden="1">
      <c r="A584" s="495" t="s">
        <v>2292</v>
      </c>
      <c r="B584" s="399" t="s">
        <v>631</v>
      </c>
      <c r="C584" s="399" t="s">
        <v>108</v>
      </c>
      <c r="D584" s="399">
        <v>2225</v>
      </c>
      <c r="E584" s="399" t="s">
        <v>2293</v>
      </c>
      <c r="F584" s="399" t="s">
        <v>2294</v>
      </c>
      <c r="G584" s="399" t="s">
        <v>2221</v>
      </c>
      <c r="H584" s="1235"/>
    </row>
    <row r="585" spans="1:8" hidden="1">
      <c r="A585" s="495" t="s">
        <v>2292</v>
      </c>
      <c r="B585" s="399" t="s">
        <v>631</v>
      </c>
      <c r="C585" s="399" t="s">
        <v>108</v>
      </c>
      <c r="D585" s="399">
        <v>2226</v>
      </c>
      <c r="E585" s="399" t="s">
        <v>2293</v>
      </c>
      <c r="F585" s="399" t="s">
        <v>2294</v>
      </c>
      <c r="G585" s="399" t="s">
        <v>2221</v>
      </c>
      <c r="H585" s="1235"/>
    </row>
    <row r="586" spans="1:8" hidden="1">
      <c r="A586" s="495" t="s">
        <v>2292</v>
      </c>
      <c r="B586" s="399" t="s">
        <v>631</v>
      </c>
      <c r="C586" s="399" t="s">
        <v>108</v>
      </c>
      <c r="D586" s="399">
        <v>2227</v>
      </c>
      <c r="E586" s="399" t="s">
        <v>2293</v>
      </c>
      <c r="F586" s="399" t="s">
        <v>2294</v>
      </c>
      <c r="G586" s="399" t="s">
        <v>2221</v>
      </c>
      <c r="H586" s="1235"/>
    </row>
    <row r="587" spans="1:8" hidden="1">
      <c r="A587" s="495" t="s">
        <v>2292</v>
      </c>
      <c r="B587" s="399" t="s">
        <v>631</v>
      </c>
      <c r="C587" s="399" t="s">
        <v>108</v>
      </c>
      <c r="D587" s="399">
        <v>2228</v>
      </c>
      <c r="E587" s="399" t="s">
        <v>2293</v>
      </c>
      <c r="F587" s="399" t="s">
        <v>2294</v>
      </c>
      <c r="G587" s="399" t="s">
        <v>2221</v>
      </c>
      <c r="H587" s="1235"/>
    </row>
    <row r="588" spans="1:8" hidden="1">
      <c r="A588" s="495" t="s">
        <v>2292</v>
      </c>
      <c r="B588" s="399" t="s">
        <v>631</v>
      </c>
      <c r="C588" s="399" t="s">
        <v>108</v>
      </c>
      <c r="D588" s="399">
        <v>2229</v>
      </c>
      <c r="E588" s="399" t="s">
        <v>2293</v>
      </c>
      <c r="F588" s="399" t="s">
        <v>2294</v>
      </c>
      <c r="G588" s="399" t="s">
        <v>2221</v>
      </c>
      <c r="H588" s="1235"/>
    </row>
    <row r="589" spans="1:8" hidden="1">
      <c r="A589" s="495" t="s">
        <v>2292</v>
      </c>
      <c r="B589" s="399" t="s">
        <v>631</v>
      </c>
      <c r="C589" s="399" t="s">
        <v>108</v>
      </c>
      <c r="D589" s="399">
        <v>2230</v>
      </c>
      <c r="E589" s="399" t="s">
        <v>2293</v>
      </c>
      <c r="F589" s="399" t="s">
        <v>2294</v>
      </c>
      <c r="G589" s="399" t="s">
        <v>2221</v>
      </c>
      <c r="H589" s="1235"/>
    </row>
    <row r="590" spans="1:8" hidden="1">
      <c r="A590" s="495" t="s">
        <v>2292</v>
      </c>
      <c r="B590" s="399" t="s">
        <v>631</v>
      </c>
      <c r="C590" s="399" t="s">
        <v>108</v>
      </c>
      <c r="D590" s="399">
        <v>2231</v>
      </c>
      <c r="E590" s="399" t="s">
        <v>2293</v>
      </c>
      <c r="F590" s="399" t="s">
        <v>2294</v>
      </c>
      <c r="G590" s="399" t="s">
        <v>2221</v>
      </c>
      <c r="H590" s="1235"/>
    </row>
    <row r="591" spans="1:8" hidden="1">
      <c r="A591" s="495" t="s">
        <v>2292</v>
      </c>
      <c r="B591" s="399" t="s">
        <v>631</v>
      </c>
      <c r="C591" s="399" t="s">
        <v>108</v>
      </c>
      <c r="D591" s="399">
        <v>2232</v>
      </c>
      <c r="E591" s="399" t="s">
        <v>2293</v>
      </c>
      <c r="F591" s="399" t="s">
        <v>2294</v>
      </c>
      <c r="G591" s="399" t="s">
        <v>2221</v>
      </c>
      <c r="H591" s="1235"/>
    </row>
    <row r="592" spans="1:8" hidden="1">
      <c r="A592" s="495" t="s">
        <v>2292</v>
      </c>
      <c r="B592" s="399" t="s">
        <v>631</v>
      </c>
      <c r="C592" s="399" t="s">
        <v>108</v>
      </c>
      <c r="D592" s="399">
        <v>2233</v>
      </c>
      <c r="E592" s="399" t="s">
        <v>2293</v>
      </c>
      <c r="F592" s="399" t="s">
        <v>2294</v>
      </c>
      <c r="G592" s="399" t="s">
        <v>2221</v>
      </c>
      <c r="H592" s="1235"/>
    </row>
    <row r="593" spans="1:8" hidden="1">
      <c r="A593" s="495" t="s">
        <v>2292</v>
      </c>
      <c r="B593" s="399" t="s">
        <v>631</v>
      </c>
      <c r="C593" s="399" t="s">
        <v>108</v>
      </c>
      <c r="D593" s="399">
        <v>2234</v>
      </c>
      <c r="E593" s="399" t="s">
        <v>2293</v>
      </c>
      <c r="F593" s="399" t="s">
        <v>2294</v>
      </c>
      <c r="G593" s="399" t="s">
        <v>2221</v>
      </c>
      <c r="H593" s="1235"/>
    </row>
    <row r="594" spans="1:8" hidden="1">
      <c r="A594" s="495" t="s">
        <v>2292</v>
      </c>
      <c r="B594" s="399" t="s">
        <v>631</v>
      </c>
      <c r="C594" s="399" t="s">
        <v>108</v>
      </c>
      <c r="D594" s="399">
        <v>2235</v>
      </c>
      <c r="E594" s="399" t="s">
        <v>2293</v>
      </c>
      <c r="F594" s="399" t="s">
        <v>2294</v>
      </c>
      <c r="G594" s="399" t="s">
        <v>2221</v>
      </c>
      <c r="H594" s="1235"/>
    </row>
    <row r="595" spans="1:8" hidden="1">
      <c r="A595" s="495" t="s">
        <v>2292</v>
      </c>
      <c r="B595" s="399" t="s">
        <v>631</v>
      </c>
      <c r="C595" s="399" t="s">
        <v>108</v>
      </c>
      <c r="D595" s="399">
        <v>2236</v>
      </c>
      <c r="E595" s="399" t="s">
        <v>2293</v>
      </c>
      <c r="F595" s="399" t="s">
        <v>2294</v>
      </c>
      <c r="G595" s="399" t="s">
        <v>2221</v>
      </c>
      <c r="H595" s="1235"/>
    </row>
    <row r="596" spans="1:8" hidden="1">
      <c r="A596" s="495" t="s">
        <v>2292</v>
      </c>
      <c r="B596" s="399" t="s">
        <v>631</v>
      </c>
      <c r="C596" s="399" t="s">
        <v>108</v>
      </c>
      <c r="D596" s="399">
        <v>2237</v>
      </c>
      <c r="E596" s="399" t="s">
        <v>2293</v>
      </c>
      <c r="F596" s="399" t="s">
        <v>2294</v>
      </c>
      <c r="G596" s="399" t="s">
        <v>2221</v>
      </c>
      <c r="H596" s="1235"/>
    </row>
    <row r="597" spans="1:8" hidden="1">
      <c r="A597" s="495" t="s">
        <v>2292</v>
      </c>
      <c r="B597" s="399" t="s">
        <v>631</v>
      </c>
      <c r="C597" s="399" t="s">
        <v>108</v>
      </c>
      <c r="D597" s="399">
        <v>2238</v>
      </c>
      <c r="E597" s="399" t="s">
        <v>2293</v>
      </c>
      <c r="F597" s="399" t="s">
        <v>2294</v>
      </c>
      <c r="G597" s="399" t="s">
        <v>2221</v>
      </c>
      <c r="H597" s="1235"/>
    </row>
    <row r="598" spans="1:8" hidden="1">
      <c r="A598" s="495" t="s">
        <v>2292</v>
      </c>
      <c r="B598" s="399" t="s">
        <v>631</v>
      </c>
      <c r="C598" s="399" t="s">
        <v>108</v>
      </c>
      <c r="D598" s="399">
        <v>2239</v>
      </c>
      <c r="E598" s="399" t="s">
        <v>2293</v>
      </c>
      <c r="F598" s="399" t="s">
        <v>2294</v>
      </c>
      <c r="G598" s="399" t="s">
        <v>2221</v>
      </c>
      <c r="H598" s="1235"/>
    </row>
    <row r="599" spans="1:8" hidden="1">
      <c r="A599" s="495" t="s">
        <v>2292</v>
      </c>
      <c r="B599" s="399" t="s">
        <v>631</v>
      </c>
      <c r="C599" s="399" t="s">
        <v>108</v>
      </c>
      <c r="D599" s="399">
        <v>2240</v>
      </c>
      <c r="E599" s="399" t="s">
        <v>2293</v>
      </c>
      <c r="F599" s="399" t="s">
        <v>2294</v>
      </c>
      <c r="G599" s="399" t="s">
        <v>2221</v>
      </c>
      <c r="H599" s="1235"/>
    </row>
    <row r="600" spans="1:8" hidden="1">
      <c r="A600" s="495" t="s">
        <v>2292</v>
      </c>
      <c r="B600" s="399" t="s">
        <v>631</v>
      </c>
      <c r="C600" s="399" t="s">
        <v>108</v>
      </c>
      <c r="D600" s="399">
        <v>2241</v>
      </c>
      <c r="E600" s="399" t="s">
        <v>2293</v>
      </c>
      <c r="F600" s="399" t="s">
        <v>2294</v>
      </c>
      <c r="G600" s="399" t="s">
        <v>2221</v>
      </c>
      <c r="H600" s="1235"/>
    </row>
    <row r="601" spans="1:8" hidden="1">
      <c r="A601" s="495" t="s">
        <v>2292</v>
      </c>
      <c r="B601" s="399" t="s">
        <v>631</v>
      </c>
      <c r="C601" s="399" t="s">
        <v>108</v>
      </c>
      <c r="D601" s="399">
        <v>2242</v>
      </c>
      <c r="E601" s="399" t="s">
        <v>2293</v>
      </c>
      <c r="F601" s="399" t="s">
        <v>2294</v>
      </c>
      <c r="G601" s="399" t="s">
        <v>2221</v>
      </c>
      <c r="H601" s="1235"/>
    </row>
    <row r="602" spans="1:8" hidden="1">
      <c r="A602" s="495" t="s">
        <v>2292</v>
      </c>
      <c r="B602" s="399" t="s">
        <v>631</v>
      </c>
      <c r="C602" s="399" t="s">
        <v>108</v>
      </c>
      <c r="D602" s="399">
        <v>2243</v>
      </c>
      <c r="E602" s="399" t="s">
        <v>2293</v>
      </c>
      <c r="F602" s="399" t="s">
        <v>2294</v>
      </c>
      <c r="G602" s="399" t="s">
        <v>2221</v>
      </c>
      <c r="H602" s="1235"/>
    </row>
    <row r="603" spans="1:8" hidden="1">
      <c r="A603" s="495" t="s">
        <v>2292</v>
      </c>
      <c r="B603" s="399" t="s">
        <v>631</v>
      </c>
      <c r="C603" s="399" t="s">
        <v>108</v>
      </c>
      <c r="D603" s="399">
        <v>2244</v>
      </c>
      <c r="E603" s="399" t="s">
        <v>2293</v>
      </c>
      <c r="F603" s="399" t="s">
        <v>2294</v>
      </c>
      <c r="G603" s="399" t="s">
        <v>2221</v>
      </c>
      <c r="H603" s="1235"/>
    </row>
    <row r="604" spans="1:8" hidden="1">
      <c r="A604" s="495" t="s">
        <v>2292</v>
      </c>
      <c r="B604" s="399" t="s">
        <v>631</v>
      </c>
      <c r="C604" s="399" t="s">
        <v>108</v>
      </c>
      <c r="D604" s="399">
        <v>2245</v>
      </c>
      <c r="E604" s="399" t="s">
        <v>2293</v>
      </c>
      <c r="F604" s="399" t="s">
        <v>2294</v>
      </c>
      <c r="G604" s="399" t="s">
        <v>2221</v>
      </c>
      <c r="H604" s="1235"/>
    </row>
    <row r="605" spans="1:8" hidden="1">
      <c r="A605" s="495" t="s">
        <v>2292</v>
      </c>
      <c r="B605" s="399" t="s">
        <v>631</v>
      </c>
      <c r="C605" s="399" t="s">
        <v>108</v>
      </c>
      <c r="D605" s="399">
        <v>2246</v>
      </c>
      <c r="E605" s="399" t="s">
        <v>2293</v>
      </c>
      <c r="F605" s="399" t="s">
        <v>2294</v>
      </c>
      <c r="G605" s="399" t="s">
        <v>2221</v>
      </c>
      <c r="H605" s="1235"/>
    </row>
    <row r="606" spans="1:8" hidden="1">
      <c r="A606" s="495" t="s">
        <v>2292</v>
      </c>
      <c r="B606" s="399" t="s">
        <v>631</v>
      </c>
      <c r="C606" s="399" t="s">
        <v>108</v>
      </c>
      <c r="D606" s="399">
        <v>2247</v>
      </c>
      <c r="E606" s="399" t="s">
        <v>2293</v>
      </c>
      <c r="F606" s="399" t="s">
        <v>2294</v>
      </c>
      <c r="G606" s="399" t="s">
        <v>2221</v>
      </c>
      <c r="H606" s="1235"/>
    </row>
    <row r="607" spans="1:8" hidden="1">
      <c r="A607" s="495" t="s">
        <v>2292</v>
      </c>
      <c r="B607" s="399" t="s">
        <v>631</v>
      </c>
      <c r="C607" s="399" t="s">
        <v>108</v>
      </c>
      <c r="D607" s="399">
        <v>2248</v>
      </c>
      <c r="E607" s="399" t="s">
        <v>2293</v>
      </c>
      <c r="F607" s="399" t="s">
        <v>2294</v>
      </c>
      <c r="G607" s="399" t="s">
        <v>2221</v>
      </c>
      <c r="H607" s="1235"/>
    </row>
    <row r="608" spans="1:8" hidden="1">
      <c r="A608" s="495" t="s">
        <v>2292</v>
      </c>
      <c r="B608" s="399" t="s">
        <v>631</v>
      </c>
      <c r="C608" s="399" t="s">
        <v>108</v>
      </c>
      <c r="D608" s="399">
        <v>2249</v>
      </c>
      <c r="E608" s="399" t="s">
        <v>2293</v>
      </c>
      <c r="F608" s="399" t="s">
        <v>2294</v>
      </c>
      <c r="G608" s="399" t="s">
        <v>2221</v>
      </c>
      <c r="H608" s="1235"/>
    </row>
    <row r="609" spans="1:8" hidden="1">
      <c r="A609" s="495" t="s">
        <v>2292</v>
      </c>
      <c r="B609" s="399" t="s">
        <v>631</v>
      </c>
      <c r="C609" s="399" t="s">
        <v>108</v>
      </c>
      <c r="D609" s="399">
        <v>2250</v>
      </c>
      <c r="E609" s="399" t="s">
        <v>2293</v>
      </c>
      <c r="F609" s="399" t="s">
        <v>2294</v>
      </c>
      <c r="G609" s="399" t="s">
        <v>2221</v>
      </c>
      <c r="H609" s="1235"/>
    </row>
    <row r="610" spans="1:8" hidden="1">
      <c r="A610" s="495" t="s">
        <v>2292</v>
      </c>
      <c r="B610" s="399" t="s">
        <v>631</v>
      </c>
      <c r="C610" s="399" t="s">
        <v>108</v>
      </c>
      <c r="D610" s="399">
        <v>2251</v>
      </c>
      <c r="E610" s="399" t="s">
        <v>2293</v>
      </c>
      <c r="F610" s="399" t="s">
        <v>2294</v>
      </c>
      <c r="G610" s="399" t="s">
        <v>2221</v>
      </c>
      <c r="H610" s="1235"/>
    </row>
    <row r="611" spans="1:8" hidden="1">
      <c r="A611" s="495" t="s">
        <v>2292</v>
      </c>
      <c r="B611" s="399" t="s">
        <v>631</v>
      </c>
      <c r="C611" s="399" t="s">
        <v>108</v>
      </c>
      <c r="D611" s="399">
        <v>2252</v>
      </c>
      <c r="E611" s="399" t="s">
        <v>2293</v>
      </c>
      <c r="F611" s="399" t="s">
        <v>2294</v>
      </c>
      <c r="G611" s="399" t="s">
        <v>2221</v>
      </c>
      <c r="H611" s="1235"/>
    </row>
    <row r="612" spans="1:8" hidden="1">
      <c r="A612" s="495" t="s">
        <v>2292</v>
      </c>
      <c r="B612" s="399" t="s">
        <v>631</v>
      </c>
      <c r="C612" s="399" t="s">
        <v>108</v>
      </c>
      <c r="D612" s="399">
        <v>2253</v>
      </c>
      <c r="E612" s="399" t="s">
        <v>2293</v>
      </c>
      <c r="F612" s="399" t="s">
        <v>2294</v>
      </c>
      <c r="G612" s="399" t="s">
        <v>2221</v>
      </c>
      <c r="H612" s="1235"/>
    </row>
    <row r="613" spans="1:8" hidden="1">
      <c r="A613" s="495" t="s">
        <v>2292</v>
      </c>
      <c r="B613" s="399" t="s">
        <v>631</v>
      </c>
      <c r="C613" s="399" t="s">
        <v>108</v>
      </c>
      <c r="D613" s="399">
        <v>2254</v>
      </c>
      <c r="E613" s="399" t="s">
        <v>2293</v>
      </c>
      <c r="F613" s="399" t="s">
        <v>2294</v>
      </c>
      <c r="G613" s="399" t="s">
        <v>2221</v>
      </c>
      <c r="H613" s="1235"/>
    </row>
    <row r="614" spans="1:8" hidden="1">
      <c r="A614" s="495" t="s">
        <v>2292</v>
      </c>
      <c r="B614" s="399" t="s">
        <v>631</v>
      </c>
      <c r="C614" s="399" t="s">
        <v>108</v>
      </c>
      <c r="D614" s="399">
        <v>2255</v>
      </c>
      <c r="E614" s="399" t="s">
        <v>2293</v>
      </c>
      <c r="F614" s="399" t="s">
        <v>2294</v>
      </c>
      <c r="G614" s="399" t="s">
        <v>2221</v>
      </c>
      <c r="H614" s="1235"/>
    </row>
    <row r="615" spans="1:8" hidden="1">
      <c r="A615" s="495" t="s">
        <v>2292</v>
      </c>
      <c r="B615" s="399" t="s">
        <v>631</v>
      </c>
      <c r="C615" s="399" t="s">
        <v>108</v>
      </c>
      <c r="D615" s="399">
        <v>2256</v>
      </c>
      <c r="E615" s="399" t="s">
        <v>2293</v>
      </c>
      <c r="F615" s="399" t="s">
        <v>2294</v>
      </c>
      <c r="G615" s="399" t="s">
        <v>2221</v>
      </c>
      <c r="H615" s="1235"/>
    </row>
    <row r="616" spans="1:8" hidden="1">
      <c r="A616" s="495" t="s">
        <v>2292</v>
      </c>
      <c r="B616" s="399" t="s">
        <v>631</v>
      </c>
      <c r="C616" s="399" t="s">
        <v>108</v>
      </c>
      <c r="D616" s="399">
        <v>2257</v>
      </c>
      <c r="E616" s="399" t="s">
        <v>2293</v>
      </c>
      <c r="F616" s="399" t="s">
        <v>2294</v>
      </c>
      <c r="G616" s="399" t="s">
        <v>2221</v>
      </c>
      <c r="H616" s="1235"/>
    </row>
    <row r="617" spans="1:8" hidden="1">
      <c r="A617" s="495" t="s">
        <v>2292</v>
      </c>
      <c r="B617" s="399" t="s">
        <v>631</v>
      </c>
      <c r="C617" s="399" t="s">
        <v>108</v>
      </c>
      <c r="D617" s="399">
        <v>2258</v>
      </c>
      <c r="E617" s="399" t="s">
        <v>2293</v>
      </c>
      <c r="F617" s="399" t="s">
        <v>2294</v>
      </c>
      <c r="G617" s="399" t="s">
        <v>2221</v>
      </c>
      <c r="H617" s="1235"/>
    </row>
    <row r="618" spans="1:8" hidden="1">
      <c r="A618" s="495" t="s">
        <v>2292</v>
      </c>
      <c r="B618" s="399" t="s">
        <v>631</v>
      </c>
      <c r="C618" s="399" t="s">
        <v>108</v>
      </c>
      <c r="D618" s="399">
        <v>2259</v>
      </c>
      <c r="E618" s="399" t="s">
        <v>2293</v>
      </c>
      <c r="F618" s="399" t="s">
        <v>2294</v>
      </c>
      <c r="G618" s="399" t="s">
        <v>2221</v>
      </c>
      <c r="H618" s="1235"/>
    </row>
    <row r="619" spans="1:8" hidden="1">
      <c r="A619" s="495" t="s">
        <v>2292</v>
      </c>
      <c r="B619" s="399" t="s">
        <v>631</v>
      </c>
      <c r="C619" s="399" t="s">
        <v>108</v>
      </c>
      <c r="D619" s="399">
        <v>2260</v>
      </c>
      <c r="E619" s="399" t="s">
        <v>2293</v>
      </c>
      <c r="F619" s="399" t="s">
        <v>2294</v>
      </c>
      <c r="G619" s="399" t="s">
        <v>2221</v>
      </c>
      <c r="H619" s="1235"/>
    </row>
    <row r="620" spans="1:8" hidden="1">
      <c r="A620" s="495" t="s">
        <v>2292</v>
      </c>
      <c r="B620" s="399" t="s">
        <v>631</v>
      </c>
      <c r="C620" s="399" t="s">
        <v>108</v>
      </c>
      <c r="D620" s="399">
        <v>2261</v>
      </c>
      <c r="E620" s="399" t="s">
        <v>2293</v>
      </c>
      <c r="F620" s="399" t="s">
        <v>2294</v>
      </c>
      <c r="G620" s="399" t="s">
        <v>2221</v>
      </c>
      <c r="H620" s="1235"/>
    </row>
    <row r="621" spans="1:8" hidden="1">
      <c r="A621" s="495" t="s">
        <v>2292</v>
      </c>
      <c r="B621" s="399" t="s">
        <v>631</v>
      </c>
      <c r="C621" s="399" t="s">
        <v>108</v>
      </c>
      <c r="D621" s="399">
        <v>2262</v>
      </c>
      <c r="E621" s="399" t="s">
        <v>2293</v>
      </c>
      <c r="F621" s="399" t="s">
        <v>2294</v>
      </c>
      <c r="G621" s="399" t="s">
        <v>2221</v>
      </c>
      <c r="H621" s="1235"/>
    </row>
    <row r="622" spans="1:8" hidden="1">
      <c r="A622" s="495" t="s">
        <v>2292</v>
      </c>
      <c r="B622" s="399" t="s">
        <v>631</v>
      </c>
      <c r="C622" s="399" t="s">
        <v>108</v>
      </c>
      <c r="D622" s="399">
        <v>2263</v>
      </c>
      <c r="E622" s="399" t="s">
        <v>2293</v>
      </c>
      <c r="F622" s="399" t="s">
        <v>2294</v>
      </c>
      <c r="G622" s="399" t="s">
        <v>2221</v>
      </c>
      <c r="H622" s="1235"/>
    </row>
    <row r="623" spans="1:8" hidden="1">
      <c r="A623" s="495" t="s">
        <v>2292</v>
      </c>
      <c r="B623" s="399" t="s">
        <v>631</v>
      </c>
      <c r="C623" s="399" t="s">
        <v>108</v>
      </c>
      <c r="D623" s="399">
        <v>2264</v>
      </c>
      <c r="E623" s="399" t="s">
        <v>2293</v>
      </c>
      <c r="F623" s="399" t="s">
        <v>2294</v>
      </c>
      <c r="G623" s="399" t="s">
        <v>2221</v>
      </c>
      <c r="H623" s="1235"/>
    </row>
    <row r="624" spans="1:8" hidden="1">
      <c r="A624" s="495" t="s">
        <v>2292</v>
      </c>
      <c r="B624" s="399" t="s">
        <v>631</v>
      </c>
      <c r="C624" s="399" t="s">
        <v>108</v>
      </c>
      <c r="D624" s="399">
        <v>2265</v>
      </c>
      <c r="E624" s="399" t="s">
        <v>2293</v>
      </c>
      <c r="F624" s="399" t="s">
        <v>2294</v>
      </c>
      <c r="G624" s="399" t="s">
        <v>2221</v>
      </c>
      <c r="H624" s="1235"/>
    </row>
    <row r="625" spans="1:8" hidden="1">
      <c r="A625" s="495" t="s">
        <v>2292</v>
      </c>
      <c r="B625" s="399" t="s">
        <v>631</v>
      </c>
      <c r="C625" s="399" t="s">
        <v>108</v>
      </c>
      <c r="D625" s="399">
        <v>2266</v>
      </c>
      <c r="E625" s="399" t="s">
        <v>2293</v>
      </c>
      <c r="F625" s="399" t="s">
        <v>2294</v>
      </c>
      <c r="G625" s="399" t="s">
        <v>2221</v>
      </c>
      <c r="H625" s="1235"/>
    </row>
    <row r="626" spans="1:8" hidden="1">
      <c r="A626" s="495" t="s">
        <v>2292</v>
      </c>
      <c r="B626" s="399" t="s">
        <v>631</v>
      </c>
      <c r="C626" s="399" t="s">
        <v>108</v>
      </c>
      <c r="D626" s="399">
        <v>2267</v>
      </c>
      <c r="E626" s="399" t="s">
        <v>2293</v>
      </c>
      <c r="F626" s="399" t="s">
        <v>2294</v>
      </c>
      <c r="G626" s="399" t="s">
        <v>2221</v>
      </c>
      <c r="H626" s="1235"/>
    </row>
    <row r="627" spans="1:8" hidden="1">
      <c r="A627" s="495" t="s">
        <v>2292</v>
      </c>
      <c r="B627" s="399" t="s">
        <v>631</v>
      </c>
      <c r="C627" s="399" t="s">
        <v>108</v>
      </c>
      <c r="D627" s="399">
        <v>2268</v>
      </c>
      <c r="E627" s="399" t="s">
        <v>2293</v>
      </c>
      <c r="F627" s="399" t="s">
        <v>2294</v>
      </c>
      <c r="G627" s="399" t="s">
        <v>2221</v>
      </c>
      <c r="H627" s="1235"/>
    </row>
    <row r="628" spans="1:8" hidden="1">
      <c r="A628" s="495" t="s">
        <v>2292</v>
      </c>
      <c r="B628" s="399" t="s">
        <v>631</v>
      </c>
      <c r="C628" s="399" t="s">
        <v>108</v>
      </c>
      <c r="D628" s="399">
        <v>2269</v>
      </c>
      <c r="E628" s="399" t="s">
        <v>2293</v>
      </c>
      <c r="F628" s="399" t="s">
        <v>2294</v>
      </c>
      <c r="G628" s="399" t="s">
        <v>2221</v>
      </c>
      <c r="H628" s="1235"/>
    </row>
    <row r="629" spans="1:8" hidden="1">
      <c r="A629" s="495" t="s">
        <v>2292</v>
      </c>
      <c r="B629" s="399" t="s">
        <v>631</v>
      </c>
      <c r="C629" s="399" t="s">
        <v>108</v>
      </c>
      <c r="D629" s="399">
        <v>2270</v>
      </c>
      <c r="E629" s="399" t="s">
        <v>2293</v>
      </c>
      <c r="F629" s="399" t="s">
        <v>2294</v>
      </c>
      <c r="G629" s="399" t="s">
        <v>2221</v>
      </c>
      <c r="H629" s="1235"/>
    </row>
    <row r="630" spans="1:8" hidden="1">
      <c r="A630" s="495" t="s">
        <v>2292</v>
      </c>
      <c r="B630" s="399" t="s">
        <v>631</v>
      </c>
      <c r="C630" s="399" t="s">
        <v>108</v>
      </c>
      <c r="D630" s="399">
        <v>2271</v>
      </c>
      <c r="E630" s="399" t="s">
        <v>2293</v>
      </c>
      <c r="F630" s="399" t="s">
        <v>2294</v>
      </c>
      <c r="G630" s="399" t="s">
        <v>2221</v>
      </c>
      <c r="H630" s="1235"/>
    </row>
    <row r="631" spans="1:8" hidden="1">
      <c r="A631" s="495" t="s">
        <v>2292</v>
      </c>
      <c r="B631" s="399" t="s">
        <v>631</v>
      </c>
      <c r="C631" s="399" t="s">
        <v>108</v>
      </c>
      <c r="D631" s="399">
        <v>2272</v>
      </c>
      <c r="E631" s="399" t="s">
        <v>2293</v>
      </c>
      <c r="F631" s="399" t="s">
        <v>2294</v>
      </c>
      <c r="G631" s="399" t="s">
        <v>2221</v>
      </c>
      <c r="H631" s="1235"/>
    </row>
    <row r="632" spans="1:8" hidden="1">
      <c r="A632" s="495" t="s">
        <v>2292</v>
      </c>
      <c r="B632" s="399" t="s">
        <v>631</v>
      </c>
      <c r="C632" s="399" t="s">
        <v>108</v>
      </c>
      <c r="D632" s="399">
        <v>2273</v>
      </c>
      <c r="E632" s="399" t="s">
        <v>2293</v>
      </c>
      <c r="F632" s="399" t="s">
        <v>2294</v>
      </c>
      <c r="G632" s="399" t="s">
        <v>2221</v>
      </c>
      <c r="H632" s="1235"/>
    </row>
    <row r="633" spans="1:8" hidden="1">
      <c r="A633" s="495" t="s">
        <v>2292</v>
      </c>
      <c r="B633" s="399" t="s">
        <v>631</v>
      </c>
      <c r="C633" s="399" t="s">
        <v>108</v>
      </c>
      <c r="D633" s="399">
        <v>2274</v>
      </c>
      <c r="E633" s="399" t="s">
        <v>2293</v>
      </c>
      <c r="F633" s="399" t="s">
        <v>2294</v>
      </c>
      <c r="G633" s="399" t="s">
        <v>2221</v>
      </c>
      <c r="H633" s="1235"/>
    </row>
    <row r="634" spans="1:8" hidden="1">
      <c r="A634" s="495" t="s">
        <v>2292</v>
      </c>
      <c r="B634" s="399" t="s">
        <v>631</v>
      </c>
      <c r="C634" s="399" t="s">
        <v>108</v>
      </c>
      <c r="D634" s="399">
        <v>2275</v>
      </c>
      <c r="E634" s="399" t="s">
        <v>2293</v>
      </c>
      <c r="F634" s="399" t="s">
        <v>2294</v>
      </c>
      <c r="G634" s="399" t="s">
        <v>2221</v>
      </c>
      <c r="H634" s="1235"/>
    </row>
    <row r="635" spans="1:8" hidden="1">
      <c r="A635" s="495" t="s">
        <v>2292</v>
      </c>
      <c r="B635" s="399" t="s">
        <v>631</v>
      </c>
      <c r="C635" s="399" t="s">
        <v>108</v>
      </c>
      <c r="D635" s="399">
        <v>2276</v>
      </c>
      <c r="E635" s="399" t="s">
        <v>2293</v>
      </c>
      <c r="F635" s="399" t="s">
        <v>2294</v>
      </c>
      <c r="G635" s="399" t="s">
        <v>2221</v>
      </c>
      <c r="H635" s="1235"/>
    </row>
    <row r="636" spans="1:8" hidden="1">
      <c r="A636" s="495" t="s">
        <v>2292</v>
      </c>
      <c r="B636" s="399" t="s">
        <v>631</v>
      </c>
      <c r="C636" s="399" t="s">
        <v>108</v>
      </c>
      <c r="D636" s="399">
        <v>2277</v>
      </c>
      <c r="E636" s="399" t="s">
        <v>2293</v>
      </c>
      <c r="F636" s="399" t="s">
        <v>2294</v>
      </c>
      <c r="G636" s="399" t="s">
        <v>2221</v>
      </c>
      <c r="H636" s="1235"/>
    </row>
    <row r="637" spans="1:8" hidden="1">
      <c r="A637" s="495" t="s">
        <v>2292</v>
      </c>
      <c r="B637" s="399" t="s">
        <v>631</v>
      </c>
      <c r="C637" s="399" t="s">
        <v>108</v>
      </c>
      <c r="D637" s="399">
        <v>2278</v>
      </c>
      <c r="E637" s="399" t="s">
        <v>2293</v>
      </c>
      <c r="F637" s="399" t="s">
        <v>2294</v>
      </c>
      <c r="G637" s="399" t="s">
        <v>2221</v>
      </c>
      <c r="H637" s="1235"/>
    </row>
    <row r="638" spans="1:8" hidden="1">
      <c r="A638" s="495" t="s">
        <v>2292</v>
      </c>
      <c r="B638" s="399" t="s">
        <v>631</v>
      </c>
      <c r="C638" s="399" t="s">
        <v>108</v>
      </c>
      <c r="D638" s="399">
        <v>2279</v>
      </c>
      <c r="E638" s="399" t="s">
        <v>2293</v>
      </c>
      <c r="F638" s="399" t="s">
        <v>2294</v>
      </c>
      <c r="G638" s="399" t="s">
        <v>2221</v>
      </c>
      <c r="H638" s="1235"/>
    </row>
    <row r="639" spans="1:8" hidden="1">
      <c r="A639" s="495" t="s">
        <v>2292</v>
      </c>
      <c r="B639" s="399" t="s">
        <v>631</v>
      </c>
      <c r="C639" s="399" t="s">
        <v>108</v>
      </c>
      <c r="D639" s="399">
        <v>2280</v>
      </c>
      <c r="E639" s="399" t="s">
        <v>2293</v>
      </c>
      <c r="F639" s="399" t="s">
        <v>2294</v>
      </c>
      <c r="G639" s="399" t="s">
        <v>2221</v>
      </c>
      <c r="H639" s="1235"/>
    </row>
    <row r="640" spans="1:8" hidden="1">
      <c r="A640" s="495" t="s">
        <v>2292</v>
      </c>
      <c r="B640" s="399" t="s">
        <v>631</v>
      </c>
      <c r="C640" s="399" t="s">
        <v>108</v>
      </c>
      <c r="D640" s="399">
        <v>2281</v>
      </c>
      <c r="E640" s="399" t="s">
        <v>2293</v>
      </c>
      <c r="F640" s="399" t="s">
        <v>2294</v>
      </c>
      <c r="G640" s="399" t="s">
        <v>2221</v>
      </c>
      <c r="H640" s="1235"/>
    </row>
    <row r="641" spans="1:8" hidden="1">
      <c r="A641" s="495" t="s">
        <v>2292</v>
      </c>
      <c r="B641" s="399" t="s">
        <v>631</v>
      </c>
      <c r="C641" s="399" t="s">
        <v>108</v>
      </c>
      <c r="D641" s="399">
        <v>2282</v>
      </c>
      <c r="E641" s="399" t="s">
        <v>2293</v>
      </c>
      <c r="F641" s="399" t="s">
        <v>2294</v>
      </c>
      <c r="G641" s="399" t="s">
        <v>2221</v>
      </c>
      <c r="H641" s="1235"/>
    </row>
    <row r="642" spans="1:8" hidden="1">
      <c r="A642" s="495" t="s">
        <v>2292</v>
      </c>
      <c r="B642" s="399" t="s">
        <v>631</v>
      </c>
      <c r="C642" s="399" t="s">
        <v>108</v>
      </c>
      <c r="D642" s="399">
        <v>2283</v>
      </c>
      <c r="E642" s="399" t="s">
        <v>2293</v>
      </c>
      <c r="F642" s="399" t="s">
        <v>2294</v>
      </c>
      <c r="G642" s="399" t="s">
        <v>2221</v>
      </c>
      <c r="H642" s="1235"/>
    </row>
    <row r="643" spans="1:8" hidden="1">
      <c r="A643" s="495" t="s">
        <v>2292</v>
      </c>
      <c r="B643" s="399" t="s">
        <v>631</v>
      </c>
      <c r="C643" s="399" t="s">
        <v>108</v>
      </c>
      <c r="D643" s="399">
        <v>2284</v>
      </c>
      <c r="E643" s="399" t="s">
        <v>2293</v>
      </c>
      <c r="F643" s="399" t="s">
        <v>2294</v>
      </c>
      <c r="G643" s="399" t="s">
        <v>2221</v>
      </c>
      <c r="H643" s="1235"/>
    </row>
    <row r="644" spans="1:8" hidden="1">
      <c r="A644" s="495" t="s">
        <v>2292</v>
      </c>
      <c r="B644" s="399" t="s">
        <v>631</v>
      </c>
      <c r="C644" s="399" t="s">
        <v>108</v>
      </c>
      <c r="D644" s="399">
        <v>2285</v>
      </c>
      <c r="E644" s="399" t="s">
        <v>2293</v>
      </c>
      <c r="F644" s="399" t="s">
        <v>2294</v>
      </c>
      <c r="G644" s="399" t="s">
        <v>2221</v>
      </c>
      <c r="H644" s="1235"/>
    </row>
    <row r="645" spans="1:8" hidden="1">
      <c r="A645" s="495" t="s">
        <v>2292</v>
      </c>
      <c r="B645" s="399" t="s">
        <v>631</v>
      </c>
      <c r="C645" s="399" t="s">
        <v>108</v>
      </c>
      <c r="D645" s="399">
        <v>2286</v>
      </c>
      <c r="E645" s="399" t="s">
        <v>2293</v>
      </c>
      <c r="F645" s="399" t="s">
        <v>2294</v>
      </c>
      <c r="G645" s="399" t="s">
        <v>2221</v>
      </c>
      <c r="H645" s="1235"/>
    </row>
    <row r="646" spans="1:8" hidden="1">
      <c r="A646" s="495" t="s">
        <v>2292</v>
      </c>
      <c r="B646" s="399" t="s">
        <v>631</v>
      </c>
      <c r="C646" s="399" t="s">
        <v>108</v>
      </c>
      <c r="D646" s="399">
        <v>2287</v>
      </c>
      <c r="E646" s="399" t="s">
        <v>2293</v>
      </c>
      <c r="F646" s="399" t="s">
        <v>2294</v>
      </c>
      <c r="G646" s="399" t="s">
        <v>2221</v>
      </c>
      <c r="H646" s="1235"/>
    </row>
    <row r="647" spans="1:8" hidden="1">
      <c r="A647" s="495" t="s">
        <v>2292</v>
      </c>
      <c r="B647" s="399" t="s">
        <v>631</v>
      </c>
      <c r="C647" s="399" t="s">
        <v>108</v>
      </c>
      <c r="D647" s="399">
        <v>2288</v>
      </c>
      <c r="E647" s="399" t="s">
        <v>2293</v>
      </c>
      <c r="F647" s="399" t="s">
        <v>2294</v>
      </c>
      <c r="G647" s="399" t="s">
        <v>2221</v>
      </c>
      <c r="H647" s="1235"/>
    </row>
    <row r="648" spans="1:8" hidden="1">
      <c r="A648" s="495" t="s">
        <v>2292</v>
      </c>
      <c r="B648" s="399" t="s">
        <v>631</v>
      </c>
      <c r="C648" s="399" t="s">
        <v>108</v>
      </c>
      <c r="D648" s="399">
        <v>2289</v>
      </c>
      <c r="E648" s="399" t="s">
        <v>2293</v>
      </c>
      <c r="F648" s="399" t="s">
        <v>2294</v>
      </c>
      <c r="G648" s="399" t="s">
        <v>2221</v>
      </c>
      <c r="H648" s="1235"/>
    </row>
    <row r="649" spans="1:8" hidden="1">
      <c r="A649" s="495" t="s">
        <v>2292</v>
      </c>
      <c r="B649" s="399" t="s">
        <v>631</v>
      </c>
      <c r="C649" s="399" t="s">
        <v>108</v>
      </c>
      <c r="D649" s="399">
        <v>2290</v>
      </c>
      <c r="E649" s="399" t="s">
        <v>2293</v>
      </c>
      <c r="F649" s="399" t="s">
        <v>2294</v>
      </c>
      <c r="G649" s="399" t="s">
        <v>2221</v>
      </c>
      <c r="H649" s="1235"/>
    </row>
    <row r="650" spans="1:8" hidden="1">
      <c r="A650" s="495" t="s">
        <v>2292</v>
      </c>
      <c r="B650" s="399" t="s">
        <v>631</v>
      </c>
      <c r="C650" s="399" t="s">
        <v>108</v>
      </c>
      <c r="D650" s="399">
        <v>2291</v>
      </c>
      <c r="E650" s="399" t="s">
        <v>2293</v>
      </c>
      <c r="F650" s="399" t="s">
        <v>2294</v>
      </c>
      <c r="G650" s="399" t="s">
        <v>2221</v>
      </c>
      <c r="H650" s="1235"/>
    </row>
    <row r="651" spans="1:8" hidden="1">
      <c r="A651" s="495" t="s">
        <v>2292</v>
      </c>
      <c r="B651" s="399" t="s">
        <v>631</v>
      </c>
      <c r="C651" s="399" t="s">
        <v>108</v>
      </c>
      <c r="D651" s="399">
        <v>2292</v>
      </c>
      <c r="E651" s="399" t="s">
        <v>2293</v>
      </c>
      <c r="F651" s="399" t="s">
        <v>2294</v>
      </c>
      <c r="G651" s="399" t="s">
        <v>2221</v>
      </c>
      <c r="H651" s="1235"/>
    </row>
    <row r="652" spans="1:8" hidden="1">
      <c r="A652" s="495" t="s">
        <v>2292</v>
      </c>
      <c r="B652" s="399" t="s">
        <v>631</v>
      </c>
      <c r="C652" s="399" t="s">
        <v>108</v>
      </c>
      <c r="D652" s="399">
        <v>2293</v>
      </c>
      <c r="E652" s="399" t="s">
        <v>2293</v>
      </c>
      <c r="F652" s="399" t="s">
        <v>2294</v>
      </c>
      <c r="G652" s="399" t="s">
        <v>2221</v>
      </c>
      <c r="H652" s="1235"/>
    </row>
    <row r="653" spans="1:8" hidden="1">
      <c r="A653" s="495" t="s">
        <v>2292</v>
      </c>
      <c r="B653" s="399" t="s">
        <v>631</v>
      </c>
      <c r="C653" s="399" t="s">
        <v>108</v>
      </c>
      <c r="D653" s="399">
        <v>2294</v>
      </c>
      <c r="E653" s="399" t="s">
        <v>2293</v>
      </c>
      <c r="F653" s="399" t="s">
        <v>2294</v>
      </c>
      <c r="G653" s="399" t="s">
        <v>2221</v>
      </c>
      <c r="H653" s="1235"/>
    </row>
    <row r="654" spans="1:8" hidden="1">
      <c r="A654" s="495" t="s">
        <v>2292</v>
      </c>
      <c r="B654" s="399" t="s">
        <v>631</v>
      </c>
      <c r="C654" s="399" t="s">
        <v>108</v>
      </c>
      <c r="D654" s="399">
        <v>2295</v>
      </c>
      <c r="E654" s="399" t="s">
        <v>2293</v>
      </c>
      <c r="F654" s="399" t="s">
        <v>2294</v>
      </c>
      <c r="G654" s="399" t="s">
        <v>2221</v>
      </c>
      <c r="H654" s="1235"/>
    </row>
    <row r="655" spans="1:8" hidden="1">
      <c r="A655" s="495" t="s">
        <v>2292</v>
      </c>
      <c r="B655" s="399" t="s">
        <v>631</v>
      </c>
      <c r="C655" s="399" t="s">
        <v>108</v>
      </c>
      <c r="D655" s="399">
        <v>2296</v>
      </c>
      <c r="E655" s="399" t="s">
        <v>2293</v>
      </c>
      <c r="F655" s="399" t="s">
        <v>2294</v>
      </c>
      <c r="G655" s="399" t="s">
        <v>2221</v>
      </c>
      <c r="H655" s="1235"/>
    </row>
    <row r="656" spans="1:8" hidden="1">
      <c r="A656" s="495" t="s">
        <v>2292</v>
      </c>
      <c r="B656" s="399" t="s">
        <v>631</v>
      </c>
      <c r="C656" s="399" t="s">
        <v>108</v>
      </c>
      <c r="D656" s="399">
        <v>2297</v>
      </c>
      <c r="E656" s="399" t="s">
        <v>2293</v>
      </c>
      <c r="F656" s="399" t="s">
        <v>2294</v>
      </c>
      <c r="G656" s="399" t="s">
        <v>2221</v>
      </c>
      <c r="H656" s="1235"/>
    </row>
    <row r="657" spans="1:8" hidden="1">
      <c r="A657" s="495" t="s">
        <v>2292</v>
      </c>
      <c r="B657" s="399" t="s">
        <v>631</v>
      </c>
      <c r="C657" s="399" t="s">
        <v>108</v>
      </c>
      <c r="D657" s="399">
        <v>2298</v>
      </c>
      <c r="E657" s="399" t="s">
        <v>2293</v>
      </c>
      <c r="F657" s="399" t="s">
        <v>2294</v>
      </c>
      <c r="G657" s="399" t="s">
        <v>2221</v>
      </c>
      <c r="H657" s="1235"/>
    </row>
    <row r="658" spans="1:8" hidden="1">
      <c r="A658" s="495" t="s">
        <v>2292</v>
      </c>
      <c r="B658" s="399" t="s">
        <v>631</v>
      </c>
      <c r="C658" s="399" t="s">
        <v>108</v>
      </c>
      <c r="D658" s="399">
        <v>2299</v>
      </c>
      <c r="E658" s="399" t="s">
        <v>2293</v>
      </c>
      <c r="F658" s="399" t="s">
        <v>2294</v>
      </c>
      <c r="G658" s="399" t="s">
        <v>2221</v>
      </c>
      <c r="H658" s="1235"/>
    </row>
    <row r="659" spans="1:8" hidden="1">
      <c r="A659" s="495" t="s">
        <v>2292</v>
      </c>
      <c r="B659" s="399" t="s">
        <v>631</v>
      </c>
      <c r="C659" s="399" t="s">
        <v>108</v>
      </c>
      <c r="D659" s="399">
        <v>2300</v>
      </c>
      <c r="E659" s="399" t="s">
        <v>2293</v>
      </c>
      <c r="F659" s="399" t="s">
        <v>2294</v>
      </c>
      <c r="G659" s="399" t="s">
        <v>2221</v>
      </c>
      <c r="H659" s="1235"/>
    </row>
    <row r="660" spans="1:8" hidden="1">
      <c r="A660" s="495" t="s">
        <v>2292</v>
      </c>
      <c r="B660" s="399" t="s">
        <v>631</v>
      </c>
      <c r="C660" s="399" t="s">
        <v>108</v>
      </c>
      <c r="D660" s="399">
        <v>2301</v>
      </c>
      <c r="E660" s="399" t="s">
        <v>2293</v>
      </c>
      <c r="F660" s="399" t="s">
        <v>2294</v>
      </c>
      <c r="G660" s="399" t="s">
        <v>2221</v>
      </c>
      <c r="H660" s="1235"/>
    </row>
    <row r="661" spans="1:8" hidden="1">
      <c r="A661" s="495" t="s">
        <v>2292</v>
      </c>
      <c r="B661" s="399" t="s">
        <v>631</v>
      </c>
      <c r="C661" s="399" t="s">
        <v>108</v>
      </c>
      <c r="D661" s="399">
        <v>2302</v>
      </c>
      <c r="E661" s="399" t="s">
        <v>2293</v>
      </c>
      <c r="F661" s="399" t="s">
        <v>2294</v>
      </c>
      <c r="G661" s="399" t="s">
        <v>2221</v>
      </c>
      <c r="H661" s="1235"/>
    </row>
    <row r="662" spans="1:8" hidden="1">
      <c r="A662" s="495" t="s">
        <v>2292</v>
      </c>
      <c r="B662" s="399" t="s">
        <v>631</v>
      </c>
      <c r="C662" s="399" t="s">
        <v>108</v>
      </c>
      <c r="D662" s="399">
        <v>2303</v>
      </c>
      <c r="E662" s="399" t="s">
        <v>2293</v>
      </c>
      <c r="F662" s="399" t="s">
        <v>2294</v>
      </c>
      <c r="G662" s="399" t="s">
        <v>2221</v>
      </c>
      <c r="H662" s="1235"/>
    </row>
    <row r="663" spans="1:8" hidden="1">
      <c r="A663" s="495" t="s">
        <v>2292</v>
      </c>
      <c r="B663" s="399" t="s">
        <v>631</v>
      </c>
      <c r="C663" s="399" t="s">
        <v>108</v>
      </c>
      <c r="D663" s="399">
        <v>2304</v>
      </c>
      <c r="E663" s="399" t="s">
        <v>2293</v>
      </c>
      <c r="F663" s="399" t="s">
        <v>2294</v>
      </c>
      <c r="G663" s="399" t="s">
        <v>2221</v>
      </c>
      <c r="H663" s="1235"/>
    </row>
    <row r="664" spans="1:8" hidden="1">
      <c r="A664" s="495" t="s">
        <v>2292</v>
      </c>
      <c r="B664" s="399" t="s">
        <v>631</v>
      </c>
      <c r="C664" s="399" t="s">
        <v>108</v>
      </c>
      <c r="D664" s="399">
        <v>2305</v>
      </c>
      <c r="E664" s="399" t="s">
        <v>2293</v>
      </c>
      <c r="F664" s="399" t="s">
        <v>2294</v>
      </c>
      <c r="G664" s="399" t="s">
        <v>2221</v>
      </c>
      <c r="H664" s="1235"/>
    </row>
    <row r="665" spans="1:8" hidden="1">
      <c r="A665" s="495" t="s">
        <v>2292</v>
      </c>
      <c r="B665" s="399" t="s">
        <v>631</v>
      </c>
      <c r="C665" s="399" t="s">
        <v>108</v>
      </c>
      <c r="D665" s="399">
        <v>2306</v>
      </c>
      <c r="E665" s="399" t="s">
        <v>2293</v>
      </c>
      <c r="F665" s="399" t="s">
        <v>2294</v>
      </c>
      <c r="G665" s="399" t="s">
        <v>2221</v>
      </c>
      <c r="H665" s="1235"/>
    </row>
    <row r="666" spans="1:8" hidden="1">
      <c r="A666" s="495" t="s">
        <v>2292</v>
      </c>
      <c r="B666" s="399" t="s">
        <v>631</v>
      </c>
      <c r="C666" s="399" t="s">
        <v>108</v>
      </c>
      <c r="D666" s="399">
        <v>2307</v>
      </c>
      <c r="E666" s="399" t="s">
        <v>2293</v>
      </c>
      <c r="F666" s="399" t="s">
        <v>2294</v>
      </c>
      <c r="G666" s="399" t="s">
        <v>2221</v>
      </c>
      <c r="H666" s="1235"/>
    </row>
    <row r="667" spans="1:8" hidden="1">
      <c r="A667" s="495" t="s">
        <v>2292</v>
      </c>
      <c r="B667" s="399" t="s">
        <v>631</v>
      </c>
      <c r="C667" s="399" t="s">
        <v>108</v>
      </c>
      <c r="D667" s="399">
        <v>2308</v>
      </c>
      <c r="E667" s="399" t="s">
        <v>2293</v>
      </c>
      <c r="F667" s="399" t="s">
        <v>2294</v>
      </c>
      <c r="G667" s="399" t="s">
        <v>2221</v>
      </c>
      <c r="H667" s="1235"/>
    </row>
    <row r="668" spans="1:8" hidden="1">
      <c r="A668" s="495" t="s">
        <v>2292</v>
      </c>
      <c r="B668" s="399" t="s">
        <v>631</v>
      </c>
      <c r="C668" s="399" t="s">
        <v>108</v>
      </c>
      <c r="D668" s="399">
        <v>2309</v>
      </c>
      <c r="E668" s="399" t="s">
        <v>2293</v>
      </c>
      <c r="F668" s="399" t="s">
        <v>2294</v>
      </c>
      <c r="G668" s="399" t="s">
        <v>2221</v>
      </c>
      <c r="H668" s="1235"/>
    </row>
    <row r="669" spans="1:8" hidden="1">
      <c r="A669" s="495" t="s">
        <v>2292</v>
      </c>
      <c r="B669" s="399" t="s">
        <v>631</v>
      </c>
      <c r="C669" s="399" t="s">
        <v>108</v>
      </c>
      <c r="D669" s="399">
        <v>2310</v>
      </c>
      <c r="E669" s="399" t="s">
        <v>2293</v>
      </c>
      <c r="F669" s="399" t="s">
        <v>2294</v>
      </c>
      <c r="G669" s="399" t="s">
        <v>2221</v>
      </c>
      <c r="H669" s="1235"/>
    </row>
    <row r="670" spans="1:8" hidden="1">
      <c r="A670" s="495" t="s">
        <v>2292</v>
      </c>
      <c r="B670" s="399" t="s">
        <v>631</v>
      </c>
      <c r="C670" s="399" t="s">
        <v>108</v>
      </c>
      <c r="D670" s="399">
        <v>2311</v>
      </c>
      <c r="E670" s="399" t="s">
        <v>2293</v>
      </c>
      <c r="F670" s="399" t="s">
        <v>2294</v>
      </c>
      <c r="G670" s="399" t="s">
        <v>2221</v>
      </c>
      <c r="H670" s="1235"/>
    </row>
    <row r="671" spans="1:8" hidden="1">
      <c r="A671" s="495" t="s">
        <v>2292</v>
      </c>
      <c r="B671" s="399" t="s">
        <v>631</v>
      </c>
      <c r="C671" s="399" t="s">
        <v>108</v>
      </c>
      <c r="D671" s="399">
        <v>2312</v>
      </c>
      <c r="E671" s="399" t="s">
        <v>2293</v>
      </c>
      <c r="F671" s="399" t="s">
        <v>2294</v>
      </c>
      <c r="G671" s="399" t="s">
        <v>2221</v>
      </c>
      <c r="H671" s="1235"/>
    </row>
    <row r="672" spans="1:8" hidden="1">
      <c r="A672" s="495" t="s">
        <v>2292</v>
      </c>
      <c r="B672" s="399" t="s">
        <v>631</v>
      </c>
      <c r="C672" s="399" t="s">
        <v>108</v>
      </c>
      <c r="D672" s="399">
        <v>2313</v>
      </c>
      <c r="E672" s="399" t="s">
        <v>2293</v>
      </c>
      <c r="F672" s="399" t="s">
        <v>2294</v>
      </c>
      <c r="G672" s="399" t="s">
        <v>2221</v>
      </c>
      <c r="H672" s="1235"/>
    </row>
    <row r="673" spans="1:8" hidden="1">
      <c r="A673" s="495" t="s">
        <v>2292</v>
      </c>
      <c r="B673" s="399" t="s">
        <v>631</v>
      </c>
      <c r="C673" s="399" t="s">
        <v>108</v>
      </c>
      <c r="D673" s="399">
        <v>2314</v>
      </c>
      <c r="E673" s="399" t="s">
        <v>2293</v>
      </c>
      <c r="F673" s="399" t="s">
        <v>2294</v>
      </c>
      <c r="G673" s="399" t="s">
        <v>2221</v>
      </c>
      <c r="H673" s="1235"/>
    </row>
    <row r="674" spans="1:8" hidden="1">
      <c r="A674" s="495" t="s">
        <v>2292</v>
      </c>
      <c r="B674" s="399" t="s">
        <v>631</v>
      </c>
      <c r="C674" s="399" t="s">
        <v>108</v>
      </c>
      <c r="D674" s="399">
        <v>2315</v>
      </c>
      <c r="E674" s="399" t="s">
        <v>2293</v>
      </c>
      <c r="F674" s="399" t="s">
        <v>2294</v>
      </c>
      <c r="G674" s="399" t="s">
        <v>2221</v>
      </c>
      <c r="H674" s="1235"/>
    </row>
    <row r="675" spans="1:8" hidden="1">
      <c r="A675" s="495" t="s">
        <v>2292</v>
      </c>
      <c r="B675" s="399" t="s">
        <v>631</v>
      </c>
      <c r="C675" s="399" t="s">
        <v>108</v>
      </c>
      <c r="D675" s="399">
        <v>2316</v>
      </c>
      <c r="E675" s="399" t="s">
        <v>2293</v>
      </c>
      <c r="F675" s="399" t="s">
        <v>2294</v>
      </c>
      <c r="G675" s="399" t="s">
        <v>2221</v>
      </c>
      <c r="H675" s="1235"/>
    </row>
    <row r="676" spans="1:8" hidden="1">
      <c r="A676" s="495" t="s">
        <v>2292</v>
      </c>
      <c r="B676" s="399" t="s">
        <v>631</v>
      </c>
      <c r="C676" s="399" t="s">
        <v>108</v>
      </c>
      <c r="D676" s="399">
        <v>2317</v>
      </c>
      <c r="E676" s="399" t="s">
        <v>2293</v>
      </c>
      <c r="F676" s="399" t="s">
        <v>2294</v>
      </c>
      <c r="G676" s="399" t="s">
        <v>2221</v>
      </c>
      <c r="H676" s="1235"/>
    </row>
    <row r="677" spans="1:8" hidden="1">
      <c r="A677" s="495" t="s">
        <v>2292</v>
      </c>
      <c r="B677" s="399" t="s">
        <v>631</v>
      </c>
      <c r="C677" s="399" t="s">
        <v>108</v>
      </c>
      <c r="D677" s="399">
        <v>2318</v>
      </c>
      <c r="E677" s="399" t="s">
        <v>2293</v>
      </c>
      <c r="F677" s="399" t="s">
        <v>2294</v>
      </c>
      <c r="G677" s="399" t="s">
        <v>2221</v>
      </c>
      <c r="H677" s="1235"/>
    </row>
    <row r="678" spans="1:8" hidden="1">
      <c r="A678" s="495" t="s">
        <v>2292</v>
      </c>
      <c r="B678" s="399" t="s">
        <v>631</v>
      </c>
      <c r="C678" s="399" t="s">
        <v>108</v>
      </c>
      <c r="D678" s="399">
        <v>2319</v>
      </c>
      <c r="E678" s="399" t="s">
        <v>2293</v>
      </c>
      <c r="F678" s="399" t="s">
        <v>2294</v>
      </c>
      <c r="G678" s="399" t="s">
        <v>2221</v>
      </c>
      <c r="H678" s="1235"/>
    </row>
    <row r="679" spans="1:8" hidden="1">
      <c r="A679" s="495" t="s">
        <v>2292</v>
      </c>
      <c r="B679" s="399" t="s">
        <v>631</v>
      </c>
      <c r="C679" s="399" t="s">
        <v>108</v>
      </c>
      <c r="D679" s="399">
        <v>2320</v>
      </c>
      <c r="E679" s="399" t="s">
        <v>2293</v>
      </c>
      <c r="F679" s="399" t="s">
        <v>2294</v>
      </c>
      <c r="G679" s="399" t="s">
        <v>2221</v>
      </c>
      <c r="H679" s="1235"/>
    </row>
    <row r="680" spans="1:8" hidden="1">
      <c r="A680" s="495" t="s">
        <v>2292</v>
      </c>
      <c r="B680" s="399" t="s">
        <v>631</v>
      </c>
      <c r="C680" s="399" t="s">
        <v>108</v>
      </c>
      <c r="D680" s="399">
        <v>2321</v>
      </c>
      <c r="E680" s="399" t="s">
        <v>2293</v>
      </c>
      <c r="F680" s="399" t="s">
        <v>2294</v>
      </c>
      <c r="G680" s="399" t="s">
        <v>2221</v>
      </c>
      <c r="H680" s="1235"/>
    </row>
    <row r="681" spans="1:8" hidden="1">
      <c r="A681" s="495" t="s">
        <v>2292</v>
      </c>
      <c r="B681" s="399" t="s">
        <v>631</v>
      </c>
      <c r="C681" s="399" t="s">
        <v>108</v>
      </c>
      <c r="D681" s="399">
        <v>2322</v>
      </c>
      <c r="E681" s="399" t="s">
        <v>2293</v>
      </c>
      <c r="F681" s="399" t="s">
        <v>2294</v>
      </c>
      <c r="G681" s="399" t="s">
        <v>2221</v>
      </c>
      <c r="H681" s="1235"/>
    </row>
    <row r="682" spans="1:8" hidden="1">
      <c r="A682" s="495" t="s">
        <v>2292</v>
      </c>
      <c r="B682" s="399" t="s">
        <v>631</v>
      </c>
      <c r="C682" s="399" t="s">
        <v>108</v>
      </c>
      <c r="D682" s="399">
        <v>2323</v>
      </c>
      <c r="E682" s="399" t="s">
        <v>2293</v>
      </c>
      <c r="F682" s="399" t="s">
        <v>2294</v>
      </c>
      <c r="G682" s="399" t="s">
        <v>2221</v>
      </c>
      <c r="H682" s="1235"/>
    </row>
    <row r="683" spans="1:8" hidden="1">
      <c r="A683" s="495" t="s">
        <v>2292</v>
      </c>
      <c r="B683" s="399" t="s">
        <v>631</v>
      </c>
      <c r="C683" s="399" t="s">
        <v>108</v>
      </c>
      <c r="D683" s="399">
        <v>2324</v>
      </c>
      <c r="E683" s="399" t="s">
        <v>2293</v>
      </c>
      <c r="F683" s="399" t="s">
        <v>2294</v>
      </c>
      <c r="G683" s="399" t="s">
        <v>2221</v>
      </c>
      <c r="H683" s="1235"/>
    </row>
    <row r="684" spans="1:8" hidden="1">
      <c r="A684" s="495" t="s">
        <v>2292</v>
      </c>
      <c r="B684" s="399" t="s">
        <v>631</v>
      </c>
      <c r="C684" s="399" t="s">
        <v>108</v>
      </c>
      <c r="D684" s="399">
        <v>2325</v>
      </c>
      <c r="E684" s="399" t="s">
        <v>2293</v>
      </c>
      <c r="F684" s="399" t="s">
        <v>2294</v>
      </c>
      <c r="G684" s="399" t="s">
        <v>2221</v>
      </c>
      <c r="H684" s="1235"/>
    </row>
    <row r="685" spans="1:8" hidden="1">
      <c r="A685" s="495" t="s">
        <v>2292</v>
      </c>
      <c r="B685" s="399" t="s">
        <v>631</v>
      </c>
      <c r="C685" s="399" t="s">
        <v>108</v>
      </c>
      <c r="D685" s="399">
        <v>2326</v>
      </c>
      <c r="E685" s="399" t="s">
        <v>2293</v>
      </c>
      <c r="F685" s="399" t="s">
        <v>2294</v>
      </c>
      <c r="G685" s="399" t="s">
        <v>2221</v>
      </c>
      <c r="H685" s="1235"/>
    </row>
    <row r="686" spans="1:8" hidden="1">
      <c r="A686" s="495" t="s">
        <v>2292</v>
      </c>
      <c r="B686" s="399" t="s">
        <v>631</v>
      </c>
      <c r="C686" s="399" t="s">
        <v>108</v>
      </c>
      <c r="D686" s="399">
        <v>2327</v>
      </c>
      <c r="E686" s="399" t="s">
        <v>2293</v>
      </c>
      <c r="F686" s="399" t="s">
        <v>2294</v>
      </c>
      <c r="G686" s="399" t="s">
        <v>2221</v>
      </c>
      <c r="H686" s="1235"/>
    </row>
    <row r="687" spans="1:8" hidden="1">
      <c r="A687" s="495" t="s">
        <v>2292</v>
      </c>
      <c r="B687" s="399" t="s">
        <v>631</v>
      </c>
      <c r="C687" s="399" t="s">
        <v>108</v>
      </c>
      <c r="D687" s="399">
        <v>2328</v>
      </c>
      <c r="E687" s="399" t="s">
        <v>2293</v>
      </c>
      <c r="F687" s="399" t="s">
        <v>2294</v>
      </c>
      <c r="G687" s="399" t="s">
        <v>2221</v>
      </c>
      <c r="H687" s="1235"/>
    </row>
    <row r="688" spans="1:8" hidden="1">
      <c r="A688" s="495" t="s">
        <v>2292</v>
      </c>
      <c r="B688" s="399" t="s">
        <v>631</v>
      </c>
      <c r="C688" s="399" t="s">
        <v>108</v>
      </c>
      <c r="D688" s="399">
        <v>2329</v>
      </c>
      <c r="E688" s="399" t="s">
        <v>2293</v>
      </c>
      <c r="F688" s="399" t="s">
        <v>2294</v>
      </c>
      <c r="G688" s="399" t="s">
        <v>2221</v>
      </c>
      <c r="H688" s="1235"/>
    </row>
    <row r="689" spans="1:8" hidden="1">
      <c r="A689" s="495" t="s">
        <v>2292</v>
      </c>
      <c r="B689" s="399" t="s">
        <v>631</v>
      </c>
      <c r="C689" s="399" t="s">
        <v>108</v>
      </c>
      <c r="D689" s="399">
        <v>2330</v>
      </c>
      <c r="E689" s="399" t="s">
        <v>2293</v>
      </c>
      <c r="F689" s="399" t="s">
        <v>2294</v>
      </c>
      <c r="G689" s="399" t="s">
        <v>2221</v>
      </c>
      <c r="H689" s="1235"/>
    </row>
    <row r="690" spans="1:8" hidden="1">
      <c r="A690" s="495" t="s">
        <v>2292</v>
      </c>
      <c r="B690" s="399" t="s">
        <v>631</v>
      </c>
      <c r="C690" s="399" t="s">
        <v>108</v>
      </c>
      <c r="D690" s="399">
        <v>2331</v>
      </c>
      <c r="E690" s="399" t="s">
        <v>2293</v>
      </c>
      <c r="F690" s="399" t="s">
        <v>2294</v>
      </c>
      <c r="G690" s="399" t="s">
        <v>2221</v>
      </c>
      <c r="H690" s="1235"/>
    </row>
    <row r="691" spans="1:8" hidden="1">
      <c r="A691" s="495" t="s">
        <v>2292</v>
      </c>
      <c r="B691" s="399" t="s">
        <v>631</v>
      </c>
      <c r="C691" s="399" t="s">
        <v>108</v>
      </c>
      <c r="D691" s="399">
        <v>2332</v>
      </c>
      <c r="E691" s="399" t="s">
        <v>2293</v>
      </c>
      <c r="F691" s="399" t="s">
        <v>2294</v>
      </c>
      <c r="G691" s="399" t="s">
        <v>2221</v>
      </c>
      <c r="H691" s="1235"/>
    </row>
    <row r="692" spans="1:8" hidden="1">
      <c r="A692" s="495" t="s">
        <v>2292</v>
      </c>
      <c r="B692" s="399" t="s">
        <v>631</v>
      </c>
      <c r="C692" s="399" t="s">
        <v>108</v>
      </c>
      <c r="D692" s="399">
        <v>2333</v>
      </c>
      <c r="E692" s="399" t="s">
        <v>2293</v>
      </c>
      <c r="F692" s="399" t="s">
        <v>2294</v>
      </c>
      <c r="G692" s="399" t="s">
        <v>2221</v>
      </c>
      <c r="H692" s="1235"/>
    </row>
    <row r="693" spans="1:8" hidden="1">
      <c r="A693" s="495" t="s">
        <v>2292</v>
      </c>
      <c r="B693" s="399" t="s">
        <v>631</v>
      </c>
      <c r="C693" s="399" t="s">
        <v>108</v>
      </c>
      <c r="D693" s="399">
        <v>2334</v>
      </c>
      <c r="E693" s="399" t="s">
        <v>2293</v>
      </c>
      <c r="F693" s="399" t="s">
        <v>2294</v>
      </c>
      <c r="G693" s="399" t="s">
        <v>2221</v>
      </c>
      <c r="H693" s="1235"/>
    </row>
    <row r="694" spans="1:8" hidden="1">
      <c r="A694" s="495" t="s">
        <v>2292</v>
      </c>
      <c r="B694" s="399" t="s">
        <v>631</v>
      </c>
      <c r="C694" s="399" t="s">
        <v>108</v>
      </c>
      <c r="D694" s="399">
        <v>2335</v>
      </c>
      <c r="E694" s="399" t="s">
        <v>2293</v>
      </c>
      <c r="F694" s="399" t="s">
        <v>2294</v>
      </c>
      <c r="G694" s="399" t="s">
        <v>2221</v>
      </c>
      <c r="H694" s="1235"/>
    </row>
    <row r="695" spans="1:8" hidden="1">
      <c r="A695" s="495" t="s">
        <v>2292</v>
      </c>
      <c r="B695" s="399" t="s">
        <v>631</v>
      </c>
      <c r="C695" s="399" t="s">
        <v>108</v>
      </c>
      <c r="D695" s="399">
        <v>2336</v>
      </c>
      <c r="E695" s="399" t="s">
        <v>2293</v>
      </c>
      <c r="F695" s="399" t="s">
        <v>2294</v>
      </c>
      <c r="G695" s="399" t="s">
        <v>2221</v>
      </c>
      <c r="H695" s="1235"/>
    </row>
    <row r="696" spans="1:8" hidden="1">
      <c r="A696" s="495" t="s">
        <v>2292</v>
      </c>
      <c r="B696" s="399" t="s">
        <v>631</v>
      </c>
      <c r="C696" s="399" t="s">
        <v>108</v>
      </c>
      <c r="D696" s="399">
        <v>2337</v>
      </c>
      <c r="E696" s="399" t="s">
        <v>2293</v>
      </c>
      <c r="F696" s="399" t="s">
        <v>2294</v>
      </c>
      <c r="G696" s="399" t="s">
        <v>2221</v>
      </c>
      <c r="H696" s="1235"/>
    </row>
    <row r="697" spans="1:8" hidden="1">
      <c r="A697" s="495" t="s">
        <v>2292</v>
      </c>
      <c r="B697" s="399" t="s">
        <v>631</v>
      </c>
      <c r="C697" s="399" t="s">
        <v>108</v>
      </c>
      <c r="D697" s="399">
        <v>2338</v>
      </c>
      <c r="E697" s="399" t="s">
        <v>2293</v>
      </c>
      <c r="F697" s="399" t="s">
        <v>2294</v>
      </c>
      <c r="G697" s="399" t="s">
        <v>2221</v>
      </c>
      <c r="H697" s="1235"/>
    </row>
    <row r="698" spans="1:8" hidden="1">
      <c r="A698" s="495" t="s">
        <v>2292</v>
      </c>
      <c r="B698" s="399" t="s">
        <v>631</v>
      </c>
      <c r="C698" s="399" t="s">
        <v>108</v>
      </c>
      <c r="D698" s="399">
        <v>2339</v>
      </c>
      <c r="E698" s="399" t="s">
        <v>2293</v>
      </c>
      <c r="F698" s="399" t="s">
        <v>2294</v>
      </c>
      <c r="G698" s="399" t="s">
        <v>2221</v>
      </c>
      <c r="H698" s="1235"/>
    </row>
    <row r="699" spans="1:8" hidden="1">
      <c r="A699" s="495" t="s">
        <v>2292</v>
      </c>
      <c r="B699" s="399" t="s">
        <v>631</v>
      </c>
      <c r="C699" s="399" t="s">
        <v>108</v>
      </c>
      <c r="D699" s="399">
        <v>2340</v>
      </c>
      <c r="E699" s="399" t="s">
        <v>2293</v>
      </c>
      <c r="F699" s="399" t="s">
        <v>2294</v>
      </c>
      <c r="G699" s="399" t="s">
        <v>2221</v>
      </c>
      <c r="H699" s="1235"/>
    </row>
    <row r="700" spans="1:8" hidden="1">
      <c r="A700" s="495" t="s">
        <v>2292</v>
      </c>
      <c r="B700" s="399" t="s">
        <v>631</v>
      </c>
      <c r="C700" s="399" t="s">
        <v>108</v>
      </c>
      <c r="D700" s="399">
        <v>2341</v>
      </c>
      <c r="E700" s="399" t="s">
        <v>2293</v>
      </c>
      <c r="F700" s="399" t="s">
        <v>2294</v>
      </c>
      <c r="G700" s="399" t="s">
        <v>2221</v>
      </c>
      <c r="H700" s="1235"/>
    </row>
    <row r="701" spans="1:8" hidden="1">
      <c r="A701" s="495" t="s">
        <v>2292</v>
      </c>
      <c r="B701" s="399" t="s">
        <v>631</v>
      </c>
      <c r="C701" s="399" t="s">
        <v>108</v>
      </c>
      <c r="D701" s="399">
        <v>2342</v>
      </c>
      <c r="E701" s="399" t="s">
        <v>2293</v>
      </c>
      <c r="F701" s="399" t="s">
        <v>2294</v>
      </c>
      <c r="G701" s="399" t="s">
        <v>2221</v>
      </c>
      <c r="H701" s="1235"/>
    </row>
    <row r="702" spans="1:8" hidden="1">
      <c r="A702" s="495" t="s">
        <v>2292</v>
      </c>
      <c r="B702" s="399" t="s">
        <v>631</v>
      </c>
      <c r="C702" s="399" t="s">
        <v>108</v>
      </c>
      <c r="D702" s="399">
        <v>2343</v>
      </c>
      <c r="E702" s="399" t="s">
        <v>2293</v>
      </c>
      <c r="F702" s="399" t="s">
        <v>2294</v>
      </c>
      <c r="G702" s="399" t="s">
        <v>2221</v>
      </c>
      <c r="H702" s="1235"/>
    </row>
    <row r="703" spans="1:8" hidden="1">
      <c r="A703" s="495" t="s">
        <v>2292</v>
      </c>
      <c r="B703" s="399" t="s">
        <v>631</v>
      </c>
      <c r="C703" s="399" t="s">
        <v>108</v>
      </c>
      <c r="D703" s="399">
        <v>2344</v>
      </c>
      <c r="E703" s="399" t="s">
        <v>2293</v>
      </c>
      <c r="F703" s="399" t="s">
        <v>2294</v>
      </c>
      <c r="G703" s="399" t="s">
        <v>2221</v>
      </c>
      <c r="H703" s="1235"/>
    </row>
    <row r="704" spans="1:8" hidden="1">
      <c r="A704" s="495" t="s">
        <v>2292</v>
      </c>
      <c r="B704" s="399" t="s">
        <v>631</v>
      </c>
      <c r="C704" s="399" t="s">
        <v>108</v>
      </c>
      <c r="D704" s="399">
        <v>2345</v>
      </c>
      <c r="E704" s="399" t="s">
        <v>2293</v>
      </c>
      <c r="F704" s="399" t="s">
        <v>2294</v>
      </c>
      <c r="G704" s="399" t="s">
        <v>2221</v>
      </c>
      <c r="H704" s="1235"/>
    </row>
    <row r="705" spans="1:8" hidden="1">
      <c r="A705" s="495" t="s">
        <v>2292</v>
      </c>
      <c r="B705" s="399" t="s">
        <v>631</v>
      </c>
      <c r="C705" s="399" t="s">
        <v>108</v>
      </c>
      <c r="D705" s="399">
        <v>2346</v>
      </c>
      <c r="E705" s="399" t="s">
        <v>2293</v>
      </c>
      <c r="F705" s="399" t="s">
        <v>2294</v>
      </c>
      <c r="G705" s="399" t="s">
        <v>2221</v>
      </c>
      <c r="H705" s="1235"/>
    </row>
    <row r="706" spans="1:8" hidden="1">
      <c r="A706" s="495" t="s">
        <v>2292</v>
      </c>
      <c r="B706" s="399" t="s">
        <v>631</v>
      </c>
      <c r="C706" s="399" t="s">
        <v>108</v>
      </c>
      <c r="D706" s="399">
        <v>2347</v>
      </c>
      <c r="E706" s="399" t="s">
        <v>2293</v>
      </c>
      <c r="F706" s="399" t="s">
        <v>2294</v>
      </c>
      <c r="G706" s="399" t="s">
        <v>2221</v>
      </c>
      <c r="H706" s="1235"/>
    </row>
    <row r="707" spans="1:8" hidden="1">
      <c r="A707" s="495" t="s">
        <v>2292</v>
      </c>
      <c r="B707" s="399" t="s">
        <v>631</v>
      </c>
      <c r="C707" s="399" t="s">
        <v>108</v>
      </c>
      <c r="D707" s="399">
        <v>2348</v>
      </c>
      <c r="E707" s="399" t="s">
        <v>2293</v>
      </c>
      <c r="F707" s="399" t="s">
        <v>2294</v>
      </c>
      <c r="G707" s="399" t="s">
        <v>2221</v>
      </c>
      <c r="H707" s="1235"/>
    </row>
    <row r="708" spans="1:8" hidden="1">
      <c r="A708" s="495" t="s">
        <v>2292</v>
      </c>
      <c r="B708" s="399" t="s">
        <v>631</v>
      </c>
      <c r="C708" s="399" t="s">
        <v>108</v>
      </c>
      <c r="D708" s="399">
        <v>2349</v>
      </c>
      <c r="E708" s="399" t="s">
        <v>2293</v>
      </c>
      <c r="F708" s="399" t="s">
        <v>2294</v>
      </c>
      <c r="G708" s="399" t="s">
        <v>2221</v>
      </c>
      <c r="H708" s="1235"/>
    </row>
    <row r="709" spans="1:8" hidden="1">
      <c r="A709" s="495" t="s">
        <v>2292</v>
      </c>
      <c r="B709" s="399" t="s">
        <v>631</v>
      </c>
      <c r="C709" s="399" t="s">
        <v>108</v>
      </c>
      <c r="D709" s="399">
        <v>2350</v>
      </c>
      <c r="E709" s="399" t="s">
        <v>2293</v>
      </c>
      <c r="F709" s="399" t="s">
        <v>2294</v>
      </c>
      <c r="G709" s="399" t="s">
        <v>2221</v>
      </c>
      <c r="H709" s="1235"/>
    </row>
    <row r="710" spans="1:8" hidden="1">
      <c r="A710" s="495" t="s">
        <v>2292</v>
      </c>
      <c r="B710" s="399" t="s">
        <v>631</v>
      </c>
      <c r="C710" s="399" t="s">
        <v>108</v>
      </c>
      <c r="D710" s="399">
        <v>2351</v>
      </c>
      <c r="E710" s="399" t="s">
        <v>2293</v>
      </c>
      <c r="F710" s="399" t="s">
        <v>2294</v>
      </c>
      <c r="G710" s="399" t="s">
        <v>2221</v>
      </c>
      <c r="H710" s="1235"/>
    </row>
    <row r="711" spans="1:8" hidden="1">
      <c r="A711" s="495" t="s">
        <v>2292</v>
      </c>
      <c r="B711" s="399" t="s">
        <v>631</v>
      </c>
      <c r="C711" s="399" t="s">
        <v>108</v>
      </c>
      <c r="D711" s="399">
        <v>2352</v>
      </c>
      <c r="E711" s="399" t="s">
        <v>2293</v>
      </c>
      <c r="F711" s="399" t="s">
        <v>2294</v>
      </c>
      <c r="G711" s="399" t="s">
        <v>2221</v>
      </c>
      <c r="H711" s="1235"/>
    </row>
    <row r="712" spans="1:8" hidden="1">
      <c r="A712" s="495" t="s">
        <v>2292</v>
      </c>
      <c r="B712" s="399" t="s">
        <v>631</v>
      </c>
      <c r="C712" s="399" t="s">
        <v>108</v>
      </c>
      <c r="D712" s="399">
        <v>2353</v>
      </c>
      <c r="E712" s="399" t="s">
        <v>2293</v>
      </c>
      <c r="F712" s="399" t="s">
        <v>2294</v>
      </c>
      <c r="G712" s="399" t="s">
        <v>2221</v>
      </c>
      <c r="H712" s="1235"/>
    </row>
    <row r="713" spans="1:8" hidden="1">
      <c r="A713" s="495" t="s">
        <v>2292</v>
      </c>
      <c r="B713" s="399" t="s">
        <v>631</v>
      </c>
      <c r="C713" s="399" t="s">
        <v>108</v>
      </c>
      <c r="D713" s="399">
        <v>2354</v>
      </c>
      <c r="E713" s="399" t="s">
        <v>2293</v>
      </c>
      <c r="F713" s="399" t="s">
        <v>2294</v>
      </c>
      <c r="G713" s="399" t="s">
        <v>2221</v>
      </c>
      <c r="H713" s="1235"/>
    </row>
    <row r="714" spans="1:8" hidden="1">
      <c r="A714" s="495" t="s">
        <v>2292</v>
      </c>
      <c r="B714" s="399" t="s">
        <v>631</v>
      </c>
      <c r="C714" s="399" t="s">
        <v>108</v>
      </c>
      <c r="D714" s="399">
        <v>2355</v>
      </c>
      <c r="E714" s="399" t="s">
        <v>2293</v>
      </c>
      <c r="F714" s="399" t="s">
        <v>2294</v>
      </c>
      <c r="G714" s="399" t="s">
        <v>2221</v>
      </c>
      <c r="H714" s="1235"/>
    </row>
    <row r="715" spans="1:8" hidden="1">
      <c r="A715" s="495" t="s">
        <v>2292</v>
      </c>
      <c r="B715" s="399" t="s">
        <v>631</v>
      </c>
      <c r="C715" s="399" t="s">
        <v>108</v>
      </c>
      <c r="D715" s="399">
        <v>2356</v>
      </c>
      <c r="E715" s="399" t="s">
        <v>2293</v>
      </c>
      <c r="F715" s="399" t="s">
        <v>2294</v>
      </c>
      <c r="G715" s="399" t="s">
        <v>2221</v>
      </c>
      <c r="H715" s="1235"/>
    </row>
    <row r="716" spans="1:8" hidden="1">
      <c r="A716" s="495" t="s">
        <v>2292</v>
      </c>
      <c r="B716" s="399" t="s">
        <v>631</v>
      </c>
      <c r="C716" s="399" t="s">
        <v>108</v>
      </c>
      <c r="D716" s="399">
        <v>2357</v>
      </c>
      <c r="E716" s="399" t="s">
        <v>2293</v>
      </c>
      <c r="F716" s="399" t="s">
        <v>2294</v>
      </c>
      <c r="G716" s="399" t="s">
        <v>2221</v>
      </c>
      <c r="H716" s="1235"/>
    </row>
    <row r="717" spans="1:8" hidden="1">
      <c r="A717" s="495" t="s">
        <v>2292</v>
      </c>
      <c r="B717" s="399" t="s">
        <v>631</v>
      </c>
      <c r="C717" s="399" t="s">
        <v>108</v>
      </c>
      <c r="D717" s="399">
        <v>2358</v>
      </c>
      <c r="E717" s="399" t="s">
        <v>2293</v>
      </c>
      <c r="F717" s="399" t="s">
        <v>2294</v>
      </c>
      <c r="G717" s="399" t="s">
        <v>2221</v>
      </c>
      <c r="H717" s="1235"/>
    </row>
    <row r="718" spans="1:8" hidden="1">
      <c r="A718" s="495" t="s">
        <v>2292</v>
      </c>
      <c r="B718" s="399" t="s">
        <v>631</v>
      </c>
      <c r="C718" s="399" t="s">
        <v>108</v>
      </c>
      <c r="D718" s="399">
        <v>2359</v>
      </c>
      <c r="E718" s="399" t="s">
        <v>2293</v>
      </c>
      <c r="F718" s="399" t="s">
        <v>2294</v>
      </c>
      <c r="G718" s="399" t="s">
        <v>2221</v>
      </c>
      <c r="H718" s="1235"/>
    </row>
    <row r="719" spans="1:8" hidden="1">
      <c r="A719" s="495" t="s">
        <v>2292</v>
      </c>
      <c r="B719" s="399" t="s">
        <v>631</v>
      </c>
      <c r="C719" s="399" t="s">
        <v>108</v>
      </c>
      <c r="D719" s="399">
        <v>2360</v>
      </c>
      <c r="E719" s="399" t="s">
        <v>2293</v>
      </c>
      <c r="F719" s="399" t="s">
        <v>2294</v>
      </c>
      <c r="G719" s="399" t="s">
        <v>2221</v>
      </c>
      <c r="H719" s="1235"/>
    </row>
    <row r="720" spans="1:8" hidden="1">
      <c r="A720" s="495" t="s">
        <v>2292</v>
      </c>
      <c r="B720" s="399" t="s">
        <v>631</v>
      </c>
      <c r="C720" s="399" t="s">
        <v>108</v>
      </c>
      <c r="D720" s="399">
        <v>2361</v>
      </c>
      <c r="E720" s="399" t="s">
        <v>2293</v>
      </c>
      <c r="F720" s="399" t="s">
        <v>2294</v>
      </c>
      <c r="G720" s="399" t="s">
        <v>2221</v>
      </c>
      <c r="H720" s="1235"/>
    </row>
    <row r="721" spans="1:8" hidden="1">
      <c r="A721" s="495" t="s">
        <v>2292</v>
      </c>
      <c r="B721" s="399" t="s">
        <v>631</v>
      </c>
      <c r="C721" s="399" t="s">
        <v>108</v>
      </c>
      <c r="D721" s="399">
        <v>2362</v>
      </c>
      <c r="E721" s="399" t="s">
        <v>2293</v>
      </c>
      <c r="F721" s="399" t="s">
        <v>2294</v>
      </c>
      <c r="G721" s="399" t="s">
        <v>2221</v>
      </c>
      <c r="H721" s="1235"/>
    </row>
    <row r="722" spans="1:8" hidden="1">
      <c r="A722" s="495" t="s">
        <v>2292</v>
      </c>
      <c r="B722" s="399" t="s">
        <v>631</v>
      </c>
      <c r="C722" s="399" t="s">
        <v>108</v>
      </c>
      <c r="D722" s="399">
        <v>2363</v>
      </c>
      <c r="E722" s="399" t="s">
        <v>2293</v>
      </c>
      <c r="F722" s="399" t="s">
        <v>2294</v>
      </c>
      <c r="G722" s="399" t="s">
        <v>2221</v>
      </c>
      <c r="H722" s="1235"/>
    </row>
    <row r="723" spans="1:8" hidden="1">
      <c r="A723" s="495" t="s">
        <v>2292</v>
      </c>
      <c r="B723" s="399" t="s">
        <v>631</v>
      </c>
      <c r="C723" s="399" t="s">
        <v>108</v>
      </c>
      <c r="D723" s="399">
        <v>2364</v>
      </c>
      <c r="E723" s="399" t="s">
        <v>2293</v>
      </c>
      <c r="F723" s="399" t="s">
        <v>2294</v>
      </c>
      <c r="G723" s="399" t="s">
        <v>2221</v>
      </c>
      <c r="H723" s="1235"/>
    </row>
    <row r="724" spans="1:8" hidden="1">
      <c r="A724" s="495" t="s">
        <v>2292</v>
      </c>
      <c r="B724" s="399" t="s">
        <v>631</v>
      </c>
      <c r="C724" s="399" t="s">
        <v>108</v>
      </c>
      <c r="D724" s="399">
        <v>2365</v>
      </c>
      <c r="E724" s="399" t="s">
        <v>2293</v>
      </c>
      <c r="F724" s="399" t="s">
        <v>2294</v>
      </c>
      <c r="G724" s="399" t="s">
        <v>2221</v>
      </c>
      <c r="H724" s="1235"/>
    </row>
    <row r="725" spans="1:8" hidden="1">
      <c r="A725" s="495" t="s">
        <v>2292</v>
      </c>
      <c r="B725" s="399" t="s">
        <v>631</v>
      </c>
      <c r="C725" s="399" t="s">
        <v>108</v>
      </c>
      <c r="D725" s="399">
        <v>2366</v>
      </c>
      <c r="E725" s="399" t="s">
        <v>2293</v>
      </c>
      <c r="F725" s="399" t="s">
        <v>2294</v>
      </c>
      <c r="G725" s="399" t="s">
        <v>2221</v>
      </c>
      <c r="H725" s="1235"/>
    </row>
    <row r="726" spans="1:8" hidden="1">
      <c r="A726" s="495" t="s">
        <v>2292</v>
      </c>
      <c r="B726" s="399" t="s">
        <v>631</v>
      </c>
      <c r="C726" s="399" t="s">
        <v>108</v>
      </c>
      <c r="D726" s="399">
        <v>2367</v>
      </c>
      <c r="E726" s="399" t="s">
        <v>2293</v>
      </c>
      <c r="F726" s="399" t="s">
        <v>2294</v>
      </c>
      <c r="G726" s="399" t="s">
        <v>2221</v>
      </c>
      <c r="H726" s="1235"/>
    </row>
    <row r="727" spans="1:8" hidden="1">
      <c r="A727" s="495" t="s">
        <v>2292</v>
      </c>
      <c r="B727" s="399" t="s">
        <v>631</v>
      </c>
      <c r="C727" s="399" t="s">
        <v>108</v>
      </c>
      <c r="D727" s="399">
        <v>2368</v>
      </c>
      <c r="E727" s="399" t="s">
        <v>2293</v>
      </c>
      <c r="F727" s="399" t="s">
        <v>2294</v>
      </c>
      <c r="G727" s="399" t="s">
        <v>2221</v>
      </c>
      <c r="H727" s="1235"/>
    </row>
    <row r="728" spans="1:8" hidden="1">
      <c r="A728" s="495" t="s">
        <v>2292</v>
      </c>
      <c r="B728" s="399" t="s">
        <v>631</v>
      </c>
      <c r="C728" s="399" t="s">
        <v>108</v>
      </c>
      <c r="D728" s="399">
        <v>2369</v>
      </c>
      <c r="E728" s="399" t="s">
        <v>2293</v>
      </c>
      <c r="F728" s="399" t="s">
        <v>2294</v>
      </c>
      <c r="G728" s="399" t="s">
        <v>2221</v>
      </c>
      <c r="H728" s="1235"/>
    </row>
    <row r="729" spans="1:8" hidden="1">
      <c r="A729" s="495" t="s">
        <v>2292</v>
      </c>
      <c r="B729" s="399" t="s">
        <v>631</v>
      </c>
      <c r="C729" s="399" t="s">
        <v>108</v>
      </c>
      <c r="D729" s="399">
        <v>2370</v>
      </c>
      <c r="E729" s="399" t="s">
        <v>2293</v>
      </c>
      <c r="F729" s="399" t="s">
        <v>2294</v>
      </c>
      <c r="G729" s="399" t="s">
        <v>2221</v>
      </c>
      <c r="H729" s="1235"/>
    </row>
    <row r="730" spans="1:8" hidden="1">
      <c r="A730" s="495" t="s">
        <v>2292</v>
      </c>
      <c r="B730" s="399" t="s">
        <v>631</v>
      </c>
      <c r="C730" s="399" t="s">
        <v>108</v>
      </c>
      <c r="D730" s="399">
        <v>2371</v>
      </c>
      <c r="E730" s="399" t="s">
        <v>2293</v>
      </c>
      <c r="F730" s="399" t="s">
        <v>2294</v>
      </c>
      <c r="G730" s="399" t="s">
        <v>2221</v>
      </c>
      <c r="H730" s="1235"/>
    </row>
    <row r="731" spans="1:8" hidden="1">
      <c r="A731" s="495" t="s">
        <v>2292</v>
      </c>
      <c r="B731" s="399" t="s">
        <v>631</v>
      </c>
      <c r="C731" s="399" t="s">
        <v>108</v>
      </c>
      <c r="D731" s="399">
        <v>2372</v>
      </c>
      <c r="E731" s="399" t="s">
        <v>2293</v>
      </c>
      <c r="F731" s="399" t="s">
        <v>2294</v>
      </c>
      <c r="G731" s="399" t="s">
        <v>2221</v>
      </c>
      <c r="H731" s="1235"/>
    </row>
    <row r="732" spans="1:8" hidden="1">
      <c r="A732" s="495" t="s">
        <v>2292</v>
      </c>
      <c r="B732" s="399" t="s">
        <v>631</v>
      </c>
      <c r="C732" s="399" t="s">
        <v>108</v>
      </c>
      <c r="D732" s="399">
        <v>2373</v>
      </c>
      <c r="E732" s="399" t="s">
        <v>2293</v>
      </c>
      <c r="F732" s="399" t="s">
        <v>2294</v>
      </c>
      <c r="G732" s="399" t="s">
        <v>2221</v>
      </c>
      <c r="H732" s="1235"/>
    </row>
    <row r="733" spans="1:8" hidden="1">
      <c r="A733" s="495" t="s">
        <v>2292</v>
      </c>
      <c r="B733" s="399" t="s">
        <v>631</v>
      </c>
      <c r="C733" s="399" t="s">
        <v>108</v>
      </c>
      <c r="D733" s="399">
        <v>2374</v>
      </c>
      <c r="E733" s="399" t="s">
        <v>2293</v>
      </c>
      <c r="F733" s="399" t="s">
        <v>2294</v>
      </c>
      <c r="G733" s="399" t="s">
        <v>2221</v>
      </c>
      <c r="H733" s="1235"/>
    </row>
    <row r="734" spans="1:8" hidden="1">
      <c r="A734" s="495" t="s">
        <v>2292</v>
      </c>
      <c r="B734" s="399" t="s">
        <v>631</v>
      </c>
      <c r="C734" s="399" t="s">
        <v>108</v>
      </c>
      <c r="D734" s="399">
        <v>2375</v>
      </c>
      <c r="E734" s="399" t="s">
        <v>2293</v>
      </c>
      <c r="F734" s="399" t="s">
        <v>2294</v>
      </c>
      <c r="G734" s="399" t="s">
        <v>2221</v>
      </c>
      <c r="H734" s="1235"/>
    </row>
    <row r="735" spans="1:8" hidden="1">
      <c r="A735" s="495" t="s">
        <v>2292</v>
      </c>
      <c r="B735" s="399" t="s">
        <v>631</v>
      </c>
      <c r="C735" s="399" t="s">
        <v>108</v>
      </c>
      <c r="D735" s="399">
        <v>2376</v>
      </c>
      <c r="E735" s="399" t="s">
        <v>2293</v>
      </c>
      <c r="F735" s="399" t="s">
        <v>2294</v>
      </c>
      <c r="G735" s="399" t="s">
        <v>2221</v>
      </c>
      <c r="H735" s="1235"/>
    </row>
    <row r="736" spans="1:8" hidden="1">
      <c r="A736" s="495" t="s">
        <v>2292</v>
      </c>
      <c r="B736" s="399" t="s">
        <v>631</v>
      </c>
      <c r="C736" s="399" t="s">
        <v>108</v>
      </c>
      <c r="D736" s="399">
        <v>2377</v>
      </c>
      <c r="E736" s="399" t="s">
        <v>2293</v>
      </c>
      <c r="F736" s="399" t="s">
        <v>2294</v>
      </c>
      <c r="G736" s="399" t="s">
        <v>2221</v>
      </c>
      <c r="H736" s="1235"/>
    </row>
    <row r="737" spans="1:8" hidden="1">
      <c r="A737" s="495" t="s">
        <v>2292</v>
      </c>
      <c r="B737" s="399" t="s">
        <v>631</v>
      </c>
      <c r="C737" s="399" t="s">
        <v>108</v>
      </c>
      <c r="D737" s="399">
        <v>2378</v>
      </c>
      <c r="E737" s="399" t="s">
        <v>2293</v>
      </c>
      <c r="F737" s="399" t="s">
        <v>2294</v>
      </c>
      <c r="G737" s="399" t="s">
        <v>2221</v>
      </c>
      <c r="H737" s="1235"/>
    </row>
    <row r="738" spans="1:8" hidden="1">
      <c r="A738" s="495" t="s">
        <v>2292</v>
      </c>
      <c r="B738" s="399" t="s">
        <v>631</v>
      </c>
      <c r="C738" s="399" t="s">
        <v>108</v>
      </c>
      <c r="D738" s="399">
        <v>2379</v>
      </c>
      <c r="E738" s="399" t="s">
        <v>2293</v>
      </c>
      <c r="F738" s="399" t="s">
        <v>2294</v>
      </c>
      <c r="G738" s="399" t="s">
        <v>2221</v>
      </c>
      <c r="H738" s="1235"/>
    </row>
    <row r="739" spans="1:8" hidden="1">
      <c r="A739" s="495" t="s">
        <v>2292</v>
      </c>
      <c r="B739" s="399" t="s">
        <v>631</v>
      </c>
      <c r="C739" s="399" t="s">
        <v>108</v>
      </c>
      <c r="D739" s="399">
        <v>2380</v>
      </c>
      <c r="E739" s="399" t="s">
        <v>2293</v>
      </c>
      <c r="F739" s="399" t="s">
        <v>2294</v>
      </c>
      <c r="G739" s="399" t="s">
        <v>2221</v>
      </c>
      <c r="H739" s="1235"/>
    </row>
    <row r="740" spans="1:8" hidden="1">
      <c r="A740" s="495" t="s">
        <v>2292</v>
      </c>
      <c r="B740" s="399" t="s">
        <v>631</v>
      </c>
      <c r="C740" s="399" t="s">
        <v>108</v>
      </c>
      <c r="D740" s="399">
        <v>2381</v>
      </c>
      <c r="E740" s="399" t="s">
        <v>2293</v>
      </c>
      <c r="F740" s="399" t="s">
        <v>2294</v>
      </c>
      <c r="G740" s="399" t="s">
        <v>2221</v>
      </c>
      <c r="H740" s="1235"/>
    </row>
    <row r="741" spans="1:8" hidden="1">
      <c r="A741" s="495" t="s">
        <v>2292</v>
      </c>
      <c r="B741" s="399" t="s">
        <v>631</v>
      </c>
      <c r="C741" s="399" t="s">
        <v>108</v>
      </c>
      <c r="D741" s="399">
        <v>2382</v>
      </c>
      <c r="E741" s="399" t="s">
        <v>2293</v>
      </c>
      <c r="F741" s="399" t="s">
        <v>2294</v>
      </c>
      <c r="G741" s="399" t="s">
        <v>2221</v>
      </c>
      <c r="H741" s="1235"/>
    </row>
    <row r="742" spans="1:8" hidden="1">
      <c r="A742" s="495" t="s">
        <v>2292</v>
      </c>
      <c r="B742" s="399" t="s">
        <v>631</v>
      </c>
      <c r="C742" s="399" t="s">
        <v>108</v>
      </c>
      <c r="D742" s="399">
        <v>2383</v>
      </c>
      <c r="E742" s="399" t="s">
        <v>2293</v>
      </c>
      <c r="F742" s="399" t="s">
        <v>2294</v>
      </c>
      <c r="G742" s="399" t="s">
        <v>2221</v>
      </c>
      <c r="H742" s="1235"/>
    </row>
    <row r="743" spans="1:8" hidden="1">
      <c r="A743" s="495" t="s">
        <v>2292</v>
      </c>
      <c r="B743" s="399" t="s">
        <v>631</v>
      </c>
      <c r="C743" s="399" t="s">
        <v>108</v>
      </c>
      <c r="D743" s="399">
        <v>2384</v>
      </c>
      <c r="E743" s="399" t="s">
        <v>2293</v>
      </c>
      <c r="F743" s="399" t="s">
        <v>2294</v>
      </c>
      <c r="G743" s="399" t="s">
        <v>2221</v>
      </c>
      <c r="H743" s="1235"/>
    </row>
    <row r="744" spans="1:8" hidden="1">
      <c r="A744" s="495" t="s">
        <v>2292</v>
      </c>
      <c r="B744" s="399" t="s">
        <v>631</v>
      </c>
      <c r="C744" s="399" t="s">
        <v>108</v>
      </c>
      <c r="D744" s="399">
        <v>2385</v>
      </c>
      <c r="E744" s="399" t="s">
        <v>2293</v>
      </c>
      <c r="F744" s="399" t="s">
        <v>2294</v>
      </c>
      <c r="G744" s="399" t="s">
        <v>2221</v>
      </c>
      <c r="H744" s="1235"/>
    </row>
    <row r="745" spans="1:8" hidden="1">
      <c r="A745" s="495" t="s">
        <v>2292</v>
      </c>
      <c r="B745" s="399" t="s">
        <v>631</v>
      </c>
      <c r="C745" s="399" t="s">
        <v>108</v>
      </c>
      <c r="D745" s="399">
        <v>2386</v>
      </c>
      <c r="E745" s="399" t="s">
        <v>2293</v>
      </c>
      <c r="F745" s="399" t="s">
        <v>2294</v>
      </c>
      <c r="G745" s="399" t="s">
        <v>2221</v>
      </c>
      <c r="H745" s="1235"/>
    </row>
    <row r="746" spans="1:8" hidden="1">
      <c r="A746" s="495" t="s">
        <v>2292</v>
      </c>
      <c r="B746" s="399" t="s">
        <v>631</v>
      </c>
      <c r="C746" s="399" t="s">
        <v>108</v>
      </c>
      <c r="D746" s="399">
        <v>2387</v>
      </c>
      <c r="E746" s="399" t="s">
        <v>2293</v>
      </c>
      <c r="F746" s="399" t="s">
        <v>2294</v>
      </c>
      <c r="G746" s="399" t="s">
        <v>2221</v>
      </c>
      <c r="H746" s="1235"/>
    </row>
    <row r="747" spans="1:8" hidden="1">
      <c r="A747" s="495" t="s">
        <v>2292</v>
      </c>
      <c r="B747" s="399" t="s">
        <v>631</v>
      </c>
      <c r="C747" s="399" t="s">
        <v>108</v>
      </c>
      <c r="D747" s="399">
        <v>2388</v>
      </c>
      <c r="E747" s="399" t="s">
        <v>2293</v>
      </c>
      <c r="F747" s="399" t="s">
        <v>2294</v>
      </c>
      <c r="G747" s="399" t="s">
        <v>2221</v>
      </c>
      <c r="H747" s="1235"/>
    </row>
    <row r="748" spans="1:8" hidden="1">
      <c r="A748" s="495" t="s">
        <v>2292</v>
      </c>
      <c r="B748" s="399" t="s">
        <v>631</v>
      </c>
      <c r="C748" s="399" t="s">
        <v>108</v>
      </c>
      <c r="D748" s="399">
        <v>2389</v>
      </c>
      <c r="E748" s="399" t="s">
        <v>2293</v>
      </c>
      <c r="F748" s="399" t="s">
        <v>2294</v>
      </c>
      <c r="G748" s="399" t="s">
        <v>2221</v>
      </c>
      <c r="H748" s="1235"/>
    </row>
    <row r="749" spans="1:8" hidden="1">
      <c r="A749" s="495" t="s">
        <v>2292</v>
      </c>
      <c r="B749" s="399" t="s">
        <v>631</v>
      </c>
      <c r="C749" s="399" t="s">
        <v>108</v>
      </c>
      <c r="D749" s="399">
        <v>2390</v>
      </c>
      <c r="E749" s="399" t="s">
        <v>2293</v>
      </c>
      <c r="F749" s="399" t="s">
        <v>2294</v>
      </c>
      <c r="G749" s="399" t="s">
        <v>2221</v>
      </c>
      <c r="H749" s="1235"/>
    </row>
    <row r="750" spans="1:8" hidden="1">
      <c r="A750" s="495" t="s">
        <v>2292</v>
      </c>
      <c r="B750" s="399" t="s">
        <v>631</v>
      </c>
      <c r="C750" s="399" t="s">
        <v>108</v>
      </c>
      <c r="D750" s="399">
        <v>2391</v>
      </c>
      <c r="E750" s="399" t="s">
        <v>2293</v>
      </c>
      <c r="F750" s="399" t="s">
        <v>2294</v>
      </c>
      <c r="G750" s="399" t="s">
        <v>2221</v>
      </c>
      <c r="H750" s="1235"/>
    </row>
    <row r="751" spans="1:8" hidden="1">
      <c r="A751" s="495" t="s">
        <v>2292</v>
      </c>
      <c r="B751" s="399" t="s">
        <v>631</v>
      </c>
      <c r="C751" s="399" t="s">
        <v>108</v>
      </c>
      <c r="D751" s="399">
        <v>2392</v>
      </c>
      <c r="E751" s="399" t="s">
        <v>2293</v>
      </c>
      <c r="F751" s="399" t="s">
        <v>2294</v>
      </c>
      <c r="G751" s="399" t="s">
        <v>2221</v>
      </c>
      <c r="H751" s="1235"/>
    </row>
    <row r="752" spans="1:8" hidden="1">
      <c r="A752" s="495" t="s">
        <v>2292</v>
      </c>
      <c r="B752" s="399" t="s">
        <v>631</v>
      </c>
      <c r="C752" s="399" t="s">
        <v>108</v>
      </c>
      <c r="D752" s="399">
        <v>2393</v>
      </c>
      <c r="E752" s="399" t="s">
        <v>2293</v>
      </c>
      <c r="F752" s="399" t="s">
        <v>2294</v>
      </c>
      <c r="G752" s="399" t="s">
        <v>2221</v>
      </c>
      <c r="H752" s="1235"/>
    </row>
    <row r="753" spans="1:8" hidden="1">
      <c r="A753" s="495" t="s">
        <v>2292</v>
      </c>
      <c r="B753" s="399" t="s">
        <v>631</v>
      </c>
      <c r="C753" s="399" t="s">
        <v>108</v>
      </c>
      <c r="D753" s="399">
        <v>2394</v>
      </c>
      <c r="E753" s="399" t="s">
        <v>2293</v>
      </c>
      <c r="F753" s="399" t="s">
        <v>2294</v>
      </c>
      <c r="G753" s="399" t="s">
        <v>2221</v>
      </c>
      <c r="H753" s="1235"/>
    </row>
    <row r="754" spans="1:8" hidden="1">
      <c r="A754" s="495" t="s">
        <v>2292</v>
      </c>
      <c r="B754" s="399" t="s">
        <v>631</v>
      </c>
      <c r="C754" s="399" t="s">
        <v>108</v>
      </c>
      <c r="D754" s="399">
        <v>2395</v>
      </c>
      <c r="E754" s="399" t="s">
        <v>2293</v>
      </c>
      <c r="F754" s="399" t="s">
        <v>2294</v>
      </c>
      <c r="G754" s="399" t="s">
        <v>2221</v>
      </c>
      <c r="H754" s="1235"/>
    </row>
    <row r="755" spans="1:8" hidden="1">
      <c r="A755" s="495" t="s">
        <v>2292</v>
      </c>
      <c r="B755" s="399" t="s">
        <v>631</v>
      </c>
      <c r="C755" s="399" t="s">
        <v>108</v>
      </c>
      <c r="D755" s="399">
        <v>2396</v>
      </c>
      <c r="E755" s="399" t="s">
        <v>2293</v>
      </c>
      <c r="F755" s="399" t="s">
        <v>2294</v>
      </c>
      <c r="G755" s="399" t="s">
        <v>2221</v>
      </c>
      <c r="H755" s="1235"/>
    </row>
    <row r="756" spans="1:8" hidden="1">
      <c r="A756" s="495" t="s">
        <v>2292</v>
      </c>
      <c r="B756" s="399" t="s">
        <v>631</v>
      </c>
      <c r="C756" s="399" t="s">
        <v>108</v>
      </c>
      <c r="D756" s="399">
        <v>2397</v>
      </c>
      <c r="E756" s="399" t="s">
        <v>2293</v>
      </c>
      <c r="F756" s="399" t="s">
        <v>2294</v>
      </c>
      <c r="G756" s="399" t="s">
        <v>2221</v>
      </c>
      <c r="H756" s="1235"/>
    </row>
    <row r="757" spans="1:8" hidden="1">
      <c r="A757" s="495" t="s">
        <v>2292</v>
      </c>
      <c r="B757" s="399" t="s">
        <v>631</v>
      </c>
      <c r="C757" s="399" t="s">
        <v>108</v>
      </c>
      <c r="D757" s="399">
        <v>2398</v>
      </c>
      <c r="E757" s="399" t="s">
        <v>2293</v>
      </c>
      <c r="F757" s="399" t="s">
        <v>2294</v>
      </c>
      <c r="G757" s="399" t="s">
        <v>2221</v>
      </c>
      <c r="H757" s="1235"/>
    </row>
    <row r="758" spans="1:8" hidden="1">
      <c r="A758" s="495" t="s">
        <v>2292</v>
      </c>
      <c r="B758" s="399" t="s">
        <v>631</v>
      </c>
      <c r="C758" s="399" t="s">
        <v>108</v>
      </c>
      <c r="D758" s="399">
        <v>2399</v>
      </c>
      <c r="E758" s="399" t="s">
        <v>2293</v>
      </c>
      <c r="F758" s="399" t="s">
        <v>2294</v>
      </c>
      <c r="G758" s="399" t="s">
        <v>2221</v>
      </c>
      <c r="H758" s="1235"/>
    </row>
    <row r="759" spans="1:8" hidden="1">
      <c r="A759" s="495" t="s">
        <v>2292</v>
      </c>
      <c r="B759" s="399" t="s">
        <v>631</v>
      </c>
      <c r="C759" s="399" t="s">
        <v>108</v>
      </c>
      <c r="D759" s="399">
        <v>2400</v>
      </c>
      <c r="E759" s="399" t="s">
        <v>2293</v>
      </c>
      <c r="F759" s="399" t="s">
        <v>2294</v>
      </c>
      <c r="G759" s="399" t="s">
        <v>2221</v>
      </c>
      <c r="H759" s="1235"/>
    </row>
    <row r="760" spans="1:8" hidden="1">
      <c r="A760" s="495" t="s">
        <v>2292</v>
      </c>
      <c r="B760" s="399" t="s">
        <v>631</v>
      </c>
      <c r="C760" s="399" t="s">
        <v>108</v>
      </c>
      <c r="D760" s="399">
        <v>2401</v>
      </c>
      <c r="E760" s="399" t="s">
        <v>2293</v>
      </c>
      <c r="F760" s="399" t="s">
        <v>2294</v>
      </c>
      <c r="G760" s="399" t="s">
        <v>2221</v>
      </c>
      <c r="H760" s="1235"/>
    </row>
    <row r="761" spans="1:8" hidden="1">
      <c r="A761" s="495" t="s">
        <v>2292</v>
      </c>
      <c r="B761" s="399" t="s">
        <v>631</v>
      </c>
      <c r="C761" s="399" t="s">
        <v>108</v>
      </c>
      <c r="D761" s="399">
        <v>2402</v>
      </c>
      <c r="E761" s="399" t="s">
        <v>2293</v>
      </c>
      <c r="F761" s="399" t="s">
        <v>2294</v>
      </c>
      <c r="G761" s="399" t="s">
        <v>2221</v>
      </c>
      <c r="H761" s="1235"/>
    </row>
    <row r="762" spans="1:8" hidden="1">
      <c r="A762" s="495" t="s">
        <v>2292</v>
      </c>
      <c r="B762" s="399" t="s">
        <v>631</v>
      </c>
      <c r="C762" s="399" t="s">
        <v>108</v>
      </c>
      <c r="D762" s="399">
        <v>2403</v>
      </c>
      <c r="E762" s="399" t="s">
        <v>2293</v>
      </c>
      <c r="F762" s="399" t="s">
        <v>2294</v>
      </c>
      <c r="G762" s="399" t="s">
        <v>2221</v>
      </c>
      <c r="H762" s="1235"/>
    </row>
    <row r="763" spans="1:8" hidden="1">
      <c r="A763" s="495" t="s">
        <v>2292</v>
      </c>
      <c r="B763" s="399" t="s">
        <v>631</v>
      </c>
      <c r="C763" s="399" t="s">
        <v>108</v>
      </c>
      <c r="D763" s="399">
        <v>2404</v>
      </c>
      <c r="E763" s="399" t="s">
        <v>2293</v>
      </c>
      <c r="F763" s="399" t="s">
        <v>2294</v>
      </c>
      <c r="G763" s="399" t="s">
        <v>2221</v>
      </c>
      <c r="H763" s="1235"/>
    </row>
    <row r="764" spans="1:8" hidden="1">
      <c r="A764" s="495" t="s">
        <v>2292</v>
      </c>
      <c r="B764" s="399" t="s">
        <v>631</v>
      </c>
      <c r="C764" s="399" t="s">
        <v>108</v>
      </c>
      <c r="D764" s="399">
        <v>2405</v>
      </c>
      <c r="E764" s="399" t="s">
        <v>2293</v>
      </c>
      <c r="F764" s="399" t="s">
        <v>2294</v>
      </c>
      <c r="G764" s="399" t="s">
        <v>2221</v>
      </c>
      <c r="H764" s="1235"/>
    </row>
    <row r="765" spans="1:8" hidden="1">
      <c r="A765" s="495" t="s">
        <v>2292</v>
      </c>
      <c r="B765" s="399" t="s">
        <v>631</v>
      </c>
      <c r="C765" s="399" t="s">
        <v>108</v>
      </c>
      <c r="D765" s="399">
        <v>2406</v>
      </c>
      <c r="E765" s="399" t="s">
        <v>2293</v>
      </c>
      <c r="F765" s="399" t="s">
        <v>2294</v>
      </c>
      <c r="G765" s="399" t="s">
        <v>2221</v>
      </c>
      <c r="H765" s="1235"/>
    </row>
    <row r="766" spans="1:8" hidden="1">
      <c r="A766" s="495" t="s">
        <v>2292</v>
      </c>
      <c r="B766" s="399" t="s">
        <v>631</v>
      </c>
      <c r="C766" s="399" t="s">
        <v>108</v>
      </c>
      <c r="D766" s="399">
        <v>2407</v>
      </c>
      <c r="E766" s="399" t="s">
        <v>2293</v>
      </c>
      <c r="F766" s="399" t="s">
        <v>2294</v>
      </c>
      <c r="G766" s="399" t="s">
        <v>2221</v>
      </c>
      <c r="H766" s="1235"/>
    </row>
    <row r="767" spans="1:8" hidden="1">
      <c r="A767" s="495" t="s">
        <v>2292</v>
      </c>
      <c r="B767" s="399" t="s">
        <v>631</v>
      </c>
      <c r="C767" s="399" t="s">
        <v>108</v>
      </c>
      <c r="D767" s="399">
        <v>2408</v>
      </c>
      <c r="E767" s="399" t="s">
        <v>2293</v>
      </c>
      <c r="F767" s="399" t="s">
        <v>2294</v>
      </c>
      <c r="G767" s="399" t="s">
        <v>2221</v>
      </c>
      <c r="H767" s="1235"/>
    </row>
    <row r="768" spans="1:8" hidden="1">
      <c r="A768" s="495" t="s">
        <v>2292</v>
      </c>
      <c r="B768" s="399" t="s">
        <v>631</v>
      </c>
      <c r="C768" s="399" t="s">
        <v>108</v>
      </c>
      <c r="D768" s="399">
        <v>2409</v>
      </c>
      <c r="E768" s="399" t="s">
        <v>2293</v>
      </c>
      <c r="F768" s="399" t="s">
        <v>2294</v>
      </c>
      <c r="G768" s="399" t="s">
        <v>2221</v>
      </c>
      <c r="H768" s="1235"/>
    </row>
    <row r="769" spans="1:8" hidden="1">
      <c r="A769" s="495" t="s">
        <v>2292</v>
      </c>
      <c r="B769" s="399" t="s">
        <v>631</v>
      </c>
      <c r="C769" s="399" t="s">
        <v>108</v>
      </c>
      <c r="D769" s="399">
        <v>2410</v>
      </c>
      <c r="E769" s="399" t="s">
        <v>2293</v>
      </c>
      <c r="F769" s="399" t="s">
        <v>2294</v>
      </c>
      <c r="G769" s="399" t="s">
        <v>2221</v>
      </c>
      <c r="H769" s="1235"/>
    </row>
    <row r="770" spans="1:8" hidden="1">
      <c r="A770" s="495" t="s">
        <v>2292</v>
      </c>
      <c r="B770" s="399" t="s">
        <v>631</v>
      </c>
      <c r="C770" s="399" t="s">
        <v>108</v>
      </c>
      <c r="D770" s="399">
        <v>2411</v>
      </c>
      <c r="E770" s="399" t="s">
        <v>2293</v>
      </c>
      <c r="F770" s="399" t="s">
        <v>2294</v>
      </c>
      <c r="G770" s="399" t="s">
        <v>2221</v>
      </c>
      <c r="H770" s="1235"/>
    </row>
    <row r="771" spans="1:8" hidden="1">
      <c r="A771" s="495" t="s">
        <v>2292</v>
      </c>
      <c r="B771" s="399" t="s">
        <v>631</v>
      </c>
      <c r="C771" s="399" t="s">
        <v>108</v>
      </c>
      <c r="D771" s="399">
        <v>2412</v>
      </c>
      <c r="E771" s="399" t="s">
        <v>2293</v>
      </c>
      <c r="F771" s="399" t="s">
        <v>2294</v>
      </c>
      <c r="G771" s="399" t="s">
        <v>2221</v>
      </c>
      <c r="H771" s="1235"/>
    </row>
    <row r="772" spans="1:8" hidden="1">
      <c r="A772" s="495" t="s">
        <v>2292</v>
      </c>
      <c r="B772" s="399" t="s">
        <v>631</v>
      </c>
      <c r="C772" s="399" t="s">
        <v>108</v>
      </c>
      <c r="D772" s="399">
        <v>2413</v>
      </c>
      <c r="E772" s="399" t="s">
        <v>2293</v>
      </c>
      <c r="F772" s="399" t="s">
        <v>2294</v>
      </c>
      <c r="G772" s="399" t="s">
        <v>2221</v>
      </c>
      <c r="H772" s="1235"/>
    </row>
    <row r="773" spans="1:8" hidden="1">
      <c r="A773" s="495" t="s">
        <v>2292</v>
      </c>
      <c r="B773" s="399" t="s">
        <v>631</v>
      </c>
      <c r="C773" s="399" t="s">
        <v>108</v>
      </c>
      <c r="D773" s="399">
        <v>2414</v>
      </c>
      <c r="E773" s="399" t="s">
        <v>2293</v>
      </c>
      <c r="F773" s="399" t="s">
        <v>2294</v>
      </c>
      <c r="G773" s="399" t="s">
        <v>2221</v>
      </c>
      <c r="H773" s="1235"/>
    </row>
    <row r="774" spans="1:8" hidden="1">
      <c r="A774" s="495" t="s">
        <v>2292</v>
      </c>
      <c r="B774" s="399" t="s">
        <v>631</v>
      </c>
      <c r="C774" s="399" t="s">
        <v>108</v>
      </c>
      <c r="D774" s="399">
        <v>2415</v>
      </c>
      <c r="E774" s="399" t="s">
        <v>2293</v>
      </c>
      <c r="F774" s="399" t="s">
        <v>2294</v>
      </c>
      <c r="G774" s="399" t="s">
        <v>2221</v>
      </c>
      <c r="H774" s="1235"/>
    </row>
    <row r="775" spans="1:8" hidden="1">
      <c r="A775" s="495" t="s">
        <v>2292</v>
      </c>
      <c r="B775" s="399" t="s">
        <v>631</v>
      </c>
      <c r="C775" s="399" t="s">
        <v>108</v>
      </c>
      <c r="D775" s="399">
        <v>2416</v>
      </c>
      <c r="E775" s="399" t="s">
        <v>2293</v>
      </c>
      <c r="F775" s="399" t="s">
        <v>2294</v>
      </c>
      <c r="G775" s="399" t="s">
        <v>2221</v>
      </c>
      <c r="H775" s="1235"/>
    </row>
    <row r="776" spans="1:8" hidden="1">
      <c r="A776" s="495" t="s">
        <v>2292</v>
      </c>
      <c r="B776" s="399" t="s">
        <v>631</v>
      </c>
      <c r="C776" s="399" t="s">
        <v>108</v>
      </c>
      <c r="D776" s="399">
        <v>2417</v>
      </c>
      <c r="E776" s="399" t="s">
        <v>2293</v>
      </c>
      <c r="F776" s="399" t="s">
        <v>2294</v>
      </c>
      <c r="G776" s="399" t="s">
        <v>2221</v>
      </c>
      <c r="H776" s="1235"/>
    </row>
    <row r="777" spans="1:8" hidden="1">
      <c r="A777" s="495" t="s">
        <v>2292</v>
      </c>
      <c r="B777" s="399" t="s">
        <v>631</v>
      </c>
      <c r="C777" s="399" t="s">
        <v>108</v>
      </c>
      <c r="D777" s="399">
        <v>2418</v>
      </c>
      <c r="E777" s="399" t="s">
        <v>2293</v>
      </c>
      <c r="F777" s="399" t="s">
        <v>2294</v>
      </c>
      <c r="G777" s="399" t="s">
        <v>2221</v>
      </c>
      <c r="H777" s="1235"/>
    </row>
    <row r="778" spans="1:8" hidden="1">
      <c r="A778" s="495" t="s">
        <v>2292</v>
      </c>
      <c r="B778" s="399" t="s">
        <v>631</v>
      </c>
      <c r="C778" s="399" t="s">
        <v>108</v>
      </c>
      <c r="D778" s="399">
        <v>2419</v>
      </c>
      <c r="E778" s="399" t="s">
        <v>2293</v>
      </c>
      <c r="F778" s="399" t="s">
        <v>2294</v>
      </c>
      <c r="G778" s="399" t="s">
        <v>2221</v>
      </c>
      <c r="H778" s="1235"/>
    </row>
    <row r="779" spans="1:8" hidden="1">
      <c r="A779" s="495" t="s">
        <v>2292</v>
      </c>
      <c r="B779" s="399" t="s">
        <v>631</v>
      </c>
      <c r="C779" s="399" t="s">
        <v>108</v>
      </c>
      <c r="D779" s="399">
        <v>2420</v>
      </c>
      <c r="E779" s="399" t="s">
        <v>2293</v>
      </c>
      <c r="F779" s="399" t="s">
        <v>2294</v>
      </c>
      <c r="G779" s="399" t="s">
        <v>2221</v>
      </c>
      <c r="H779" s="1235"/>
    </row>
    <row r="780" spans="1:8" hidden="1">
      <c r="A780" s="495" t="s">
        <v>2292</v>
      </c>
      <c r="B780" s="399" t="s">
        <v>631</v>
      </c>
      <c r="C780" s="399" t="s">
        <v>108</v>
      </c>
      <c r="D780" s="399">
        <v>2421</v>
      </c>
      <c r="E780" s="399" t="s">
        <v>2293</v>
      </c>
      <c r="F780" s="399" t="s">
        <v>2294</v>
      </c>
      <c r="G780" s="399" t="s">
        <v>2221</v>
      </c>
      <c r="H780" s="1235"/>
    </row>
    <row r="781" spans="1:8" hidden="1">
      <c r="A781" s="495" t="s">
        <v>2292</v>
      </c>
      <c r="B781" s="399" t="s">
        <v>631</v>
      </c>
      <c r="C781" s="399" t="s">
        <v>108</v>
      </c>
      <c r="D781" s="399">
        <v>2422</v>
      </c>
      <c r="E781" s="399" t="s">
        <v>2293</v>
      </c>
      <c r="F781" s="399" t="s">
        <v>2294</v>
      </c>
      <c r="G781" s="399" t="s">
        <v>2221</v>
      </c>
      <c r="H781" s="1235"/>
    </row>
    <row r="782" spans="1:8" hidden="1">
      <c r="A782" s="495" t="s">
        <v>2292</v>
      </c>
      <c r="B782" s="399" t="s">
        <v>631</v>
      </c>
      <c r="C782" s="399" t="s">
        <v>108</v>
      </c>
      <c r="D782" s="399">
        <v>2423</v>
      </c>
      <c r="E782" s="399" t="s">
        <v>2293</v>
      </c>
      <c r="F782" s="399" t="s">
        <v>2294</v>
      </c>
      <c r="G782" s="399" t="s">
        <v>2221</v>
      </c>
      <c r="H782" s="1235"/>
    </row>
    <row r="783" spans="1:8" hidden="1">
      <c r="A783" s="495" t="s">
        <v>2292</v>
      </c>
      <c r="B783" s="399" t="s">
        <v>631</v>
      </c>
      <c r="C783" s="399" t="s">
        <v>108</v>
      </c>
      <c r="D783" s="399">
        <v>2424</v>
      </c>
      <c r="E783" s="399" t="s">
        <v>2293</v>
      </c>
      <c r="F783" s="399" t="s">
        <v>2294</v>
      </c>
      <c r="G783" s="399" t="s">
        <v>2221</v>
      </c>
      <c r="H783" s="1235"/>
    </row>
    <row r="784" spans="1:8" hidden="1">
      <c r="A784" s="495" t="s">
        <v>2292</v>
      </c>
      <c r="B784" s="399" t="s">
        <v>631</v>
      </c>
      <c r="C784" s="399" t="s">
        <v>108</v>
      </c>
      <c r="D784" s="399">
        <v>2425</v>
      </c>
      <c r="E784" s="399" t="s">
        <v>2293</v>
      </c>
      <c r="F784" s="399" t="s">
        <v>2294</v>
      </c>
      <c r="G784" s="399" t="s">
        <v>2221</v>
      </c>
      <c r="H784" s="1235"/>
    </row>
    <row r="785" spans="1:8" hidden="1">
      <c r="A785" s="495" t="s">
        <v>2292</v>
      </c>
      <c r="B785" s="399" t="s">
        <v>631</v>
      </c>
      <c r="C785" s="399" t="s">
        <v>108</v>
      </c>
      <c r="D785" s="399">
        <v>2426</v>
      </c>
      <c r="E785" s="399" t="s">
        <v>2293</v>
      </c>
      <c r="F785" s="399" t="s">
        <v>2294</v>
      </c>
      <c r="G785" s="399" t="s">
        <v>2221</v>
      </c>
      <c r="H785" s="1235"/>
    </row>
    <row r="786" spans="1:8" hidden="1">
      <c r="A786" s="495" t="s">
        <v>2292</v>
      </c>
      <c r="B786" s="399" t="s">
        <v>631</v>
      </c>
      <c r="C786" s="399" t="s">
        <v>108</v>
      </c>
      <c r="D786" s="399">
        <v>2427</v>
      </c>
      <c r="E786" s="399" t="s">
        <v>2293</v>
      </c>
      <c r="F786" s="399" t="s">
        <v>2294</v>
      </c>
      <c r="G786" s="399" t="s">
        <v>2221</v>
      </c>
      <c r="H786" s="1235"/>
    </row>
    <row r="787" spans="1:8" hidden="1">
      <c r="A787" s="495" t="s">
        <v>2292</v>
      </c>
      <c r="B787" s="399" t="s">
        <v>631</v>
      </c>
      <c r="C787" s="399" t="s">
        <v>108</v>
      </c>
      <c r="D787" s="399">
        <v>2428</v>
      </c>
      <c r="E787" s="399" t="s">
        <v>2293</v>
      </c>
      <c r="F787" s="399" t="s">
        <v>2294</v>
      </c>
      <c r="G787" s="399" t="s">
        <v>2221</v>
      </c>
      <c r="H787" s="1235"/>
    </row>
    <row r="788" spans="1:8" hidden="1">
      <c r="A788" s="495" t="s">
        <v>2292</v>
      </c>
      <c r="B788" s="399" t="s">
        <v>631</v>
      </c>
      <c r="C788" s="399" t="s">
        <v>108</v>
      </c>
      <c r="D788" s="399">
        <v>2429</v>
      </c>
      <c r="E788" s="399" t="s">
        <v>2293</v>
      </c>
      <c r="F788" s="399" t="s">
        <v>2294</v>
      </c>
      <c r="G788" s="399" t="s">
        <v>2221</v>
      </c>
      <c r="H788" s="1235"/>
    </row>
    <row r="789" spans="1:8" hidden="1">
      <c r="A789" s="495" t="s">
        <v>2292</v>
      </c>
      <c r="B789" s="399" t="s">
        <v>631</v>
      </c>
      <c r="C789" s="399" t="s">
        <v>108</v>
      </c>
      <c r="D789" s="399">
        <v>2430</v>
      </c>
      <c r="E789" s="399" t="s">
        <v>2293</v>
      </c>
      <c r="F789" s="399" t="s">
        <v>2294</v>
      </c>
      <c r="G789" s="399" t="s">
        <v>2221</v>
      </c>
      <c r="H789" s="1235"/>
    </row>
    <row r="790" spans="1:8" hidden="1">
      <c r="A790" s="495" t="s">
        <v>2292</v>
      </c>
      <c r="B790" s="399" t="s">
        <v>631</v>
      </c>
      <c r="C790" s="399" t="s">
        <v>108</v>
      </c>
      <c r="D790" s="399">
        <v>2431</v>
      </c>
      <c r="E790" s="399" t="s">
        <v>2293</v>
      </c>
      <c r="F790" s="399" t="s">
        <v>2294</v>
      </c>
      <c r="G790" s="399" t="s">
        <v>2221</v>
      </c>
      <c r="H790" s="1235"/>
    </row>
    <row r="791" spans="1:8" hidden="1">
      <c r="A791" s="495" t="s">
        <v>2292</v>
      </c>
      <c r="B791" s="399" t="s">
        <v>631</v>
      </c>
      <c r="C791" s="399" t="s">
        <v>108</v>
      </c>
      <c r="D791" s="399">
        <v>2432</v>
      </c>
      <c r="E791" s="399" t="s">
        <v>2293</v>
      </c>
      <c r="F791" s="399" t="s">
        <v>2294</v>
      </c>
      <c r="G791" s="399" t="s">
        <v>2221</v>
      </c>
      <c r="H791" s="1235"/>
    </row>
    <row r="792" spans="1:8" hidden="1">
      <c r="A792" s="495" t="s">
        <v>2292</v>
      </c>
      <c r="B792" s="399" t="s">
        <v>631</v>
      </c>
      <c r="C792" s="399" t="s">
        <v>108</v>
      </c>
      <c r="D792" s="399">
        <v>2433</v>
      </c>
      <c r="E792" s="399" t="s">
        <v>2293</v>
      </c>
      <c r="F792" s="399" t="s">
        <v>2294</v>
      </c>
      <c r="G792" s="399" t="s">
        <v>2221</v>
      </c>
      <c r="H792" s="1235"/>
    </row>
    <row r="793" spans="1:8" hidden="1">
      <c r="A793" s="495" t="s">
        <v>2292</v>
      </c>
      <c r="B793" s="399" t="s">
        <v>631</v>
      </c>
      <c r="C793" s="399" t="s">
        <v>108</v>
      </c>
      <c r="D793" s="399">
        <v>2434</v>
      </c>
      <c r="E793" s="399" t="s">
        <v>2293</v>
      </c>
      <c r="F793" s="399" t="s">
        <v>2294</v>
      </c>
      <c r="G793" s="399" t="s">
        <v>2221</v>
      </c>
      <c r="H793" s="1235"/>
    </row>
    <row r="794" spans="1:8" hidden="1">
      <c r="A794" s="495" t="s">
        <v>2292</v>
      </c>
      <c r="B794" s="399" t="s">
        <v>631</v>
      </c>
      <c r="C794" s="399" t="s">
        <v>108</v>
      </c>
      <c r="D794" s="399">
        <v>2435</v>
      </c>
      <c r="E794" s="399" t="s">
        <v>2293</v>
      </c>
      <c r="F794" s="399" t="s">
        <v>2294</v>
      </c>
      <c r="G794" s="399" t="s">
        <v>2221</v>
      </c>
      <c r="H794" s="1235"/>
    </row>
    <row r="795" spans="1:8" hidden="1">
      <c r="A795" s="495" t="s">
        <v>2292</v>
      </c>
      <c r="B795" s="399" t="s">
        <v>631</v>
      </c>
      <c r="C795" s="399" t="s">
        <v>108</v>
      </c>
      <c r="D795" s="399">
        <v>2436</v>
      </c>
      <c r="E795" s="399" t="s">
        <v>2293</v>
      </c>
      <c r="F795" s="399" t="s">
        <v>2294</v>
      </c>
      <c r="G795" s="399" t="s">
        <v>2221</v>
      </c>
      <c r="H795" s="1235"/>
    </row>
    <row r="796" spans="1:8" hidden="1">
      <c r="A796" s="495" t="s">
        <v>2292</v>
      </c>
      <c r="B796" s="399" t="s">
        <v>631</v>
      </c>
      <c r="C796" s="399" t="s">
        <v>108</v>
      </c>
      <c r="D796" s="399">
        <v>2437</v>
      </c>
      <c r="E796" s="399" t="s">
        <v>2293</v>
      </c>
      <c r="F796" s="399" t="s">
        <v>2294</v>
      </c>
      <c r="G796" s="399" t="s">
        <v>2221</v>
      </c>
      <c r="H796" s="1235"/>
    </row>
    <row r="797" spans="1:8" hidden="1">
      <c r="A797" s="495" t="s">
        <v>2292</v>
      </c>
      <c r="B797" s="399" t="s">
        <v>631</v>
      </c>
      <c r="C797" s="399" t="s">
        <v>108</v>
      </c>
      <c r="D797" s="399">
        <v>2438</v>
      </c>
      <c r="E797" s="399" t="s">
        <v>2293</v>
      </c>
      <c r="F797" s="399" t="s">
        <v>2294</v>
      </c>
      <c r="G797" s="399" t="s">
        <v>2221</v>
      </c>
      <c r="H797" s="1235"/>
    </row>
    <row r="798" spans="1:8" hidden="1">
      <c r="A798" s="495" t="s">
        <v>2292</v>
      </c>
      <c r="B798" s="399" t="s">
        <v>631</v>
      </c>
      <c r="C798" s="399" t="s">
        <v>108</v>
      </c>
      <c r="D798" s="399">
        <v>2439</v>
      </c>
      <c r="E798" s="399" t="s">
        <v>2293</v>
      </c>
      <c r="F798" s="399" t="s">
        <v>2294</v>
      </c>
      <c r="G798" s="399" t="s">
        <v>2221</v>
      </c>
      <c r="H798" s="1235"/>
    </row>
    <row r="799" spans="1:8" hidden="1">
      <c r="A799" s="495" t="s">
        <v>2292</v>
      </c>
      <c r="B799" s="399" t="s">
        <v>631</v>
      </c>
      <c r="C799" s="399" t="s">
        <v>108</v>
      </c>
      <c r="D799" s="399">
        <v>2440</v>
      </c>
      <c r="E799" s="399" t="s">
        <v>2293</v>
      </c>
      <c r="F799" s="399" t="s">
        <v>2294</v>
      </c>
      <c r="G799" s="399" t="s">
        <v>2221</v>
      </c>
      <c r="H799" s="1235"/>
    </row>
    <row r="800" spans="1:8" hidden="1">
      <c r="A800" s="495" t="s">
        <v>2292</v>
      </c>
      <c r="B800" s="399" t="s">
        <v>631</v>
      </c>
      <c r="C800" s="399" t="s">
        <v>108</v>
      </c>
      <c r="D800" s="399">
        <v>2441</v>
      </c>
      <c r="E800" s="399" t="s">
        <v>2293</v>
      </c>
      <c r="F800" s="399" t="s">
        <v>2294</v>
      </c>
      <c r="G800" s="399" t="s">
        <v>2221</v>
      </c>
      <c r="H800" s="1235"/>
    </row>
    <row r="801" spans="1:8" hidden="1">
      <c r="A801" s="495" t="s">
        <v>2292</v>
      </c>
      <c r="B801" s="399" t="s">
        <v>631</v>
      </c>
      <c r="C801" s="399" t="s">
        <v>108</v>
      </c>
      <c r="D801" s="399">
        <v>2442</v>
      </c>
      <c r="E801" s="399" t="s">
        <v>2293</v>
      </c>
      <c r="F801" s="399" t="s">
        <v>2294</v>
      </c>
      <c r="G801" s="399" t="s">
        <v>2221</v>
      </c>
      <c r="H801" s="1235"/>
    </row>
    <row r="802" spans="1:8" hidden="1">
      <c r="A802" s="495" t="s">
        <v>2292</v>
      </c>
      <c r="B802" s="399" t="s">
        <v>631</v>
      </c>
      <c r="C802" s="399" t="s">
        <v>108</v>
      </c>
      <c r="D802" s="399">
        <v>2443</v>
      </c>
      <c r="E802" s="399" t="s">
        <v>2293</v>
      </c>
      <c r="F802" s="399" t="s">
        <v>2294</v>
      </c>
      <c r="G802" s="399" t="s">
        <v>2221</v>
      </c>
      <c r="H802" s="1235"/>
    </row>
    <row r="803" spans="1:8" hidden="1">
      <c r="A803" s="495" t="s">
        <v>2292</v>
      </c>
      <c r="B803" s="399" t="s">
        <v>631</v>
      </c>
      <c r="C803" s="399" t="s">
        <v>108</v>
      </c>
      <c r="D803" s="399">
        <v>2444</v>
      </c>
      <c r="E803" s="399" t="s">
        <v>2293</v>
      </c>
      <c r="F803" s="399" t="s">
        <v>2294</v>
      </c>
      <c r="G803" s="399" t="s">
        <v>2221</v>
      </c>
      <c r="H803" s="1235"/>
    </row>
    <row r="804" spans="1:8" hidden="1">
      <c r="A804" s="495" t="s">
        <v>2292</v>
      </c>
      <c r="B804" s="399" t="s">
        <v>631</v>
      </c>
      <c r="C804" s="399" t="s">
        <v>108</v>
      </c>
      <c r="D804" s="399">
        <v>2445</v>
      </c>
      <c r="E804" s="399" t="s">
        <v>2293</v>
      </c>
      <c r="F804" s="399" t="s">
        <v>2294</v>
      </c>
      <c r="G804" s="399" t="s">
        <v>2221</v>
      </c>
      <c r="H804" s="1235"/>
    </row>
    <row r="805" spans="1:8" hidden="1">
      <c r="A805" s="495" t="s">
        <v>2292</v>
      </c>
      <c r="B805" s="399" t="s">
        <v>631</v>
      </c>
      <c r="C805" s="399" t="s">
        <v>108</v>
      </c>
      <c r="D805" s="399">
        <v>2446</v>
      </c>
      <c r="E805" s="399" t="s">
        <v>2293</v>
      </c>
      <c r="F805" s="399" t="s">
        <v>2294</v>
      </c>
      <c r="G805" s="399" t="s">
        <v>2221</v>
      </c>
      <c r="H805" s="1235"/>
    </row>
    <row r="806" spans="1:8" hidden="1">
      <c r="A806" s="495" t="s">
        <v>2292</v>
      </c>
      <c r="B806" s="399" t="s">
        <v>631</v>
      </c>
      <c r="C806" s="399" t="s">
        <v>108</v>
      </c>
      <c r="D806" s="399">
        <v>2447</v>
      </c>
      <c r="E806" s="399" t="s">
        <v>2293</v>
      </c>
      <c r="F806" s="399" t="s">
        <v>2294</v>
      </c>
      <c r="G806" s="399" t="s">
        <v>2221</v>
      </c>
      <c r="H806" s="1235"/>
    </row>
    <row r="807" spans="1:8" hidden="1">
      <c r="A807" s="495" t="s">
        <v>2292</v>
      </c>
      <c r="B807" s="399" t="s">
        <v>631</v>
      </c>
      <c r="C807" s="399" t="s">
        <v>108</v>
      </c>
      <c r="D807" s="399">
        <v>2448</v>
      </c>
      <c r="E807" s="399" t="s">
        <v>2293</v>
      </c>
      <c r="F807" s="399" t="s">
        <v>2294</v>
      </c>
      <c r="G807" s="399" t="s">
        <v>2221</v>
      </c>
      <c r="H807" s="1235"/>
    </row>
    <row r="808" spans="1:8" hidden="1">
      <c r="A808" s="495" t="s">
        <v>2292</v>
      </c>
      <c r="B808" s="399" t="s">
        <v>631</v>
      </c>
      <c r="C808" s="399" t="s">
        <v>108</v>
      </c>
      <c r="D808" s="399">
        <v>2449</v>
      </c>
      <c r="E808" s="399" t="s">
        <v>2293</v>
      </c>
      <c r="F808" s="399" t="s">
        <v>2294</v>
      </c>
      <c r="G808" s="399" t="s">
        <v>2221</v>
      </c>
      <c r="H808" s="1235"/>
    </row>
    <row r="809" spans="1:8" hidden="1">
      <c r="A809" s="495" t="s">
        <v>2292</v>
      </c>
      <c r="B809" s="399" t="s">
        <v>631</v>
      </c>
      <c r="C809" s="399" t="s">
        <v>108</v>
      </c>
      <c r="D809" s="399">
        <v>2450</v>
      </c>
      <c r="E809" s="399" t="s">
        <v>2293</v>
      </c>
      <c r="F809" s="399" t="s">
        <v>2294</v>
      </c>
      <c r="G809" s="399" t="s">
        <v>2221</v>
      </c>
      <c r="H809" s="1235"/>
    </row>
    <row r="810" spans="1:8" hidden="1">
      <c r="A810" s="495" t="s">
        <v>2292</v>
      </c>
      <c r="B810" s="399" t="s">
        <v>631</v>
      </c>
      <c r="C810" s="399" t="s">
        <v>108</v>
      </c>
      <c r="D810" s="399">
        <v>2451</v>
      </c>
      <c r="E810" s="399" t="s">
        <v>2293</v>
      </c>
      <c r="F810" s="399" t="s">
        <v>2294</v>
      </c>
      <c r="G810" s="399" t="s">
        <v>2221</v>
      </c>
      <c r="H810" s="1235"/>
    </row>
    <row r="811" spans="1:8" hidden="1">
      <c r="A811" s="495" t="s">
        <v>2292</v>
      </c>
      <c r="B811" s="399" t="s">
        <v>631</v>
      </c>
      <c r="C811" s="399" t="s">
        <v>108</v>
      </c>
      <c r="D811" s="399">
        <v>2452</v>
      </c>
      <c r="E811" s="399" t="s">
        <v>2293</v>
      </c>
      <c r="F811" s="399" t="s">
        <v>2294</v>
      </c>
      <c r="G811" s="399" t="s">
        <v>2221</v>
      </c>
      <c r="H811" s="1235"/>
    </row>
    <row r="812" spans="1:8" hidden="1">
      <c r="A812" s="495" t="s">
        <v>2292</v>
      </c>
      <c r="B812" s="399" t="s">
        <v>631</v>
      </c>
      <c r="C812" s="399" t="s">
        <v>108</v>
      </c>
      <c r="D812" s="399">
        <v>2453</v>
      </c>
      <c r="E812" s="399" t="s">
        <v>2293</v>
      </c>
      <c r="F812" s="399" t="s">
        <v>2294</v>
      </c>
      <c r="G812" s="399" t="s">
        <v>2221</v>
      </c>
      <c r="H812" s="1235"/>
    </row>
    <row r="813" spans="1:8" hidden="1">
      <c r="A813" s="495" t="s">
        <v>2292</v>
      </c>
      <c r="B813" s="399" t="s">
        <v>631</v>
      </c>
      <c r="C813" s="399" t="s">
        <v>108</v>
      </c>
      <c r="D813" s="399">
        <v>2454</v>
      </c>
      <c r="E813" s="399" t="s">
        <v>2293</v>
      </c>
      <c r="F813" s="399" t="s">
        <v>2294</v>
      </c>
      <c r="G813" s="399" t="s">
        <v>2221</v>
      </c>
      <c r="H813" s="1235"/>
    </row>
    <row r="814" spans="1:8" hidden="1">
      <c r="A814" s="495" t="s">
        <v>2292</v>
      </c>
      <c r="B814" s="399" t="s">
        <v>631</v>
      </c>
      <c r="C814" s="399" t="s">
        <v>108</v>
      </c>
      <c r="D814" s="399">
        <v>2455</v>
      </c>
      <c r="E814" s="399" t="s">
        <v>2293</v>
      </c>
      <c r="F814" s="399" t="s">
        <v>2294</v>
      </c>
      <c r="G814" s="399" t="s">
        <v>2221</v>
      </c>
      <c r="H814" s="1235"/>
    </row>
    <row r="815" spans="1:8" hidden="1">
      <c r="A815" s="495" t="s">
        <v>2292</v>
      </c>
      <c r="B815" s="399" t="s">
        <v>631</v>
      </c>
      <c r="C815" s="399" t="s">
        <v>108</v>
      </c>
      <c r="D815" s="399">
        <v>2456</v>
      </c>
      <c r="E815" s="399" t="s">
        <v>2293</v>
      </c>
      <c r="F815" s="399" t="s">
        <v>2294</v>
      </c>
      <c r="G815" s="399" t="s">
        <v>2221</v>
      </c>
      <c r="H815" s="1235"/>
    </row>
    <row r="816" spans="1:8" hidden="1">
      <c r="A816" s="495" t="s">
        <v>2292</v>
      </c>
      <c r="B816" s="399" t="s">
        <v>631</v>
      </c>
      <c r="C816" s="399" t="s">
        <v>108</v>
      </c>
      <c r="D816" s="399">
        <v>2457</v>
      </c>
      <c r="E816" s="399" t="s">
        <v>2293</v>
      </c>
      <c r="F816" s="399" t="s">
        <v>2294</v>
      </c>
      <c r="G816" s="399" t="s">
        <v>2221</v>
      </c>
      <c r="H816" s="1235"/>
    </row>
    <row r="817" spans="1:8" hidden="1">
      <c r="A817" s="495" t="s">
        <v>2292</v>
      </c>
      <c r="B817" s="399" t="s">
        <v>631</v>
      </c>
      <c r="C817" s="399" t="s">
        <v>108</v>
      </c>
      <c r="D817" s="399">
        <v>2458</v>
      </c>
      <c r="E817" s="399" t="s">
        <v>2293</v>
      </c>
      <c r="F817" s="399" t="s">
        <v>2294</v>
      </c>
      <c r="G817" s="399" t="s">
        <v>2221</v>
      </c>
      <c r="H817" s="1235"/>
    </row>
    <row r="818" spans="1:8" hidden="1">
      <c r="A818" s="495" t="s">
        <v>2292</v>
      </c>
      <c r="B818" s="399" t="s">
        <v>631</v>
      </c>
      <c r="C818" s="399" t="s">
        <v>108</v>
      </c>
      <c r="D818" s="399">
        <v>2459</v>
      </c>
      <c r="E818" s="399" t="s">
        <v>2293</v>
      </c>
      <c r="F818" s="399" t="s">
        <v>2294</v>
      </c>
      <c r="G818" s="399" t="s">
        <v>2221</v>
      </c>
      <c r="H818" s="1235"/>
    </row>
    <row r="819" spans="1:8" hidden="1">
      <c r="A819" s="495" t="s">
        <v>2292</v>
      </c>
      <c r="B819" s="399" t="s">
        <v>631</v>
      </c>
      <c r="C819" s="399" t="s">
        <v>108</v>
      </c>
      <c r="D819" s="399">
        <v>2460</v>
      </c>
      <c r="E819" s="399" t="s">
        <v>2293</v>
      </c>
      <c r="F819" s="399" t="s">
        <v>2294</v>
      </c>
      <c r="G819" s="399" t="s">
        <v>2221</v>
      </c>
      <c r="H819" s="1235"/>
    </row>
    <row r="820" spans="1:8" hidden="1">
      <c r="A820" s="495" t="s">
        <v>2292</v>
      </c>
      <c r="B820" s="399" t="s">
        <v>631</v>
      </c>
      <c r="C820" s="399" t="s">
        <v>108</v>
      </c>
      <c r="D820" s="399">
        <v>2461</v>
      </c>
      <c r="E820" s="399" t="s">
        <v>2293</v>
      </c>
      <c r="F820" s="399" t="s">
        <v>2294</v>
      </c>
      <c r="G820" s="399" t="s">
        <v>2221</v>
      </c>
      <c r="H820" s="1235"/>
    </row>
    <row r="821" spans="1:8" hidden="1">
      <c r="A821" s="495" t="s">
        <v>2292</v>
      </c>
      <c r="B821" s="399" t="s">
        <v>631</v>
      </c>
      <c r="C821" s="399" t="s">
        <v>108</v>
      </c>
      <c r="D821" s="399">
        <v>2462</v>
      </c>
      <c r="E821" s="399" t="s">
        <v>2293</v>
      </c>
      <c r="F821" s="399" t="s">
        <v>2294</v>
      </c>
      <c r="G821" s="399" t="s">
        <v>2221</v>
      </c>
      <c r="H821" s="1235"/>
    </row>
    <row r="822" spans="1:8" hidden="1">
      <c r="A822" s="495" t="s">
        <v>2292</v>
      </c>
      <c r="B822" s="399" t="s">
        <v>631</v>
      </c>
      <c r="C822" s="399" t="s">
        <v>108</v>
      </c>
      <c r="D822" s="399">
        <v>2463</v>
      </c>
      <c r="E822" s="399" t="s">
        <v>2293</v>
      </c>
      <c r="F822" s="399" t="s">
        <v>2294</v>
      </c>
      <c r="G822" s="399" t="s">
        <v>2221</v>
      </c>
      <c r="H822" s="1235"/>
    </row>
    <row r="823" spans="1:8" hidden="1">
      <c r="A823" s="495" t="s">
        <v>2292</v>
      </c>
      <c r="B823" s="399" t="s">
        <v>631</v>
      </c>
      <c r="C823" s="399" t="s">
        <v>108</v>
      </c>
      <c r="D823" s="399">
        <v>2464</v>
      </c>
      <c r="E823" s="399" t="s">
        <v>2293</v>
      </c>
      <c r="F823" s="399" t="s">
        <v>2294</v>
      </c>
      <c r="G823" s="399" t="s">
        <v>2221</v>
      </c>
      <c r="H823" s="1235"/>
    </row>
    <row r="824" spans="1:8" hidden="1">
      <c r="A824" s="495" t="s">
        <v>2292</v>
      </c>
      <c r="B824" s="399" t="s">
        <v>631</v>
      </c>
      <c r="C824" s="399" t="s">
        <v>108</v>
      </c>
      <c r="D824" s="399">
        <v>2465</v>
      </c>
      <c r="E824" s="399" t="s">
        <v>2293</v>
      </c>
      <c r="F824" s="399" t="s">
        <v>2294</v>
      </c>
      <c r="G824" s="399" t="s">
        <v>2221</v>
      </c>
      <c r="H824" s="1235"/>
    </row>
    <row r="825" spans="1:8" hidden="1">
      <c r="A825" s="495" t="s">
        <v>2292</v>
      </c>
      <c r="B825" s="399" t="s">
        <v>631</v>
      </c>
      <c r="C825" s="399" t="s">
        <v>108</v>
      </c>
      <c r="D825" s="399">
        <v>2466</v>
      </c>
      <c r="E825" s="399" t="s">
        <v>2293</v>
      </c>
      <c r="F825" s="399" t="s">
        <v>2294</v>
      </c>
      <c r="G825" s="399" t="s">
        <v>2221</v>
      </c>
      <c r="H825" s="1235"/>
    </row>
    <row r="826" spans="1:8" hidden="1">
      <c r="A826" s="495" t="s">
        <v>2292</v>
      </c>
      <c r="B826" s="399" t="s">
        <v>631</v>
      </c>
      <c r="C826" s="399" t="s">
        <v>108</v>
      </c>
      <c r="D826" s="399">
        <v>2467</v>
      </c>
      <c r="E826" s="399" t="s">
        <v>2293</v>
      </c>
      <c r="F826" s="399" t="s">
        <v>2294</v>
      </c>
      <c r="G826" s="399" t="s">
        <v>2221</v>
      </c>
      <c r="H826" s="1235"/>
    </row>
    <row r="827" spans="1:8" hidden="1">
      <c r="A827" s="495" t="s">
        <v>2292</v>
      </c>
      <c r="B827" s="399" t="s">
        <v>631</v>
      </c>
      <c r="C827" s="399" t="s">
        <v>108</v>
      </c>
      <c r="D827" s="399">
        <v>2468</v>
      </c>
      <c r="E827" s="399" t="s">
        <v>2293</v>
      </c>
      <c r="F827" s="399" t="s">
        <v>2294</v>
      </c>
      <c r="G827" s="399" t="s">
        <v>2221</v>
      </c>
      <c r="H827" s="1235"/>
    </row>
    <row r="828" spans="1:8" hidden="1">
      <c r="A828" s="495" t="s">
        <v>2292</v>
      </c>
      <c r="B828" s="399" t="s">
        <v>631</v>
      </c>
      <c r="C828" s="399" t="s">
        <v>108</v>
      </c>
      <c r="D828" s="399">
        <v>2469</v>
      </c>
      <c r="E828" s="399" t="s">
        <v>2293</v>
      </c>
      <c r="F828" s="399" t="s">
        <v>2294</v>
      </c>
      <c r="G828" s="399" t="s">
        <v>2221</v>
      </c>
      <c r="H828" s="1235"/>
    </row>
    <row r="829" spans="1:8" hidden="1">
      <c r="A829" s="495" t="s">
        <v>2292</v>
      </c>
      <c r="B829" s="399" t="s">
        <v>631</v>
      </c>
      <c r="C829" s="399" t="s">
        <v>108</v>
      </c>
      <c r="D829" s="399">
        <v>2470</v>
      </c>
      <c r="E829" s="399" t="s">
        <v>2293</v>
      </c>
      <c r="F829" s="399" t="s">
        <v>2294</v>
      </c>
      <c r="G829" s="399" t="s">
        <v>2221</v>
      </c>
      <c r="H829" s="1235"/>
    </row>
    <row r="830" spans="1:8" hidden="1">
      <c r="A830" s="495" t="s">
        <v>2292</v>
      </c>
      <c r="B830" s="399" t="s">
        <v>631</v>
      </c>
      <c r="C830" s="399" t="s">
        <v>108</v>
      </c>
      <c r="D830" s="399">
        <v>2471</v>
      </c>
      <c r="E830" s="399" t="s">
        <v>2293</v>
      </c>
      <c r="F830" s="399" t="s">
        <v>2294</v>
      </c>
      <c r="G830" s="399" t="s">
        <v>2221</v>
      </c>
      <c r="H830" s="1235"/>
    </row>
    <row r="831" spans="1:8" hidden="1">
      <c r="A831" s="495" t="s">
        <v>2292</v>
      </c>
      <c r="B831" s="399" t="s">
        <v>631</v>
      </c>
      <c r="C831" s="399" t="s">
        <v>108</v>
      </c>
      <c r="D831" s="399">
        <v>2472</v>
      </c>
      <c r="E831" s="399" t="s">
        <v>2293</v>
      </c>
      <c r="F831" s="399" t="s">
        <v>2294</v>
      </c>
      <c r="G831" s="399" t="s">
        <v>2221</v>
      </c>
      <c r="H831" s="1235"/>
    </row>
    <row r="832" spans="1:8" hidden="1">
      <c r="A832" s="495" t="s">
        <v>2292</v>
      </c>
      <c r="B832" s="399" t="s">
        <v>631</v>
      </c>
      <c r="C832" s="399" t="s">
        <v>108</v>
      </c>
      <c r="D832" s="399">
        <v>2473</v>
      </c>
      <c r="E832" s="399" t="s">
        <v>2293</v>
      </c>
      <c r="F832" s="399" t="s">
        <v>2294</v>
      </c>
      <c r="G832" s="399" t="s">
        <v>2221</v>
      </c>
      <c r="H832" s="1235"/>
    </row>
    <row r="833" spans="1:8" hidden="1">
      <c r="A833" s="495" t="s">
        <v>2292</v>
      </c>
      <c r="B833" s="399" t="s">
        <v>631</v>
      </c>
      <c r="C833" s="399" t="s">
        <v>108</v>
      </c>
      <c r="D833" s="399">
        <v>2474</v>
      </c>
      <c r="E833" s="399" t="s">
        <v>2293</v>
      </c>
      <c r="F833" s="399" t="s">
        <v>2294</v>
      </c>
      <c r="G833" s="399" t="s">
        <v>2221</v>
      </c>
      <c r="H833" s="1235"/>
    </row>
    <row r="834" spans="1:8" hidden="1">
      <c r="A834" s="495" t="s">
        <v>2292</v>
      </c>
      <c r="B834" s="399" t="s">
        <v>631</v>
      </c>
      <c r="C834" s="399" t="s">
        <v>108</v>
      </c>
      <c r="D834" s="399">
        <v>2475</v>
      </c>
      <c r="E834" s="399" t="s">
        <v>2293</v>
      </c>
      <c r="F834" s="399" t="s">
        <v>2294</v>
      </c>
      <c r="G834" s="399" t="s">
        <v>2221</v>
      </c>
      <c r="H834" s="1235"/>
    </row>
    <row r="835" spans="1:8" hidden="1">
      <c r="A835" s="495" t="s">
        <v>2292</v>
      </c>
      <c r="B835" s="399" t="s">
        <v>631</v>
      </c>
      <c r="C835" s="399" t="s">
        <v>108</v>
      </c>
      <c r="D835" s="399">
        <v>2476</v>
      </c>
      <c r="E835" s="399" t="s">
        <v>2293</v>
      </c>
      <c r="F835" s="399" t="s">
        <v>2294</v>
      </c>
      <c r="G835" s="399" t="s">
        <v>2221</v>
      </c>
      <c r="H835" s="1235"/>
    </row>
    <row r="836" spans="1:8" hidden="1">
      <c r="A836" s="495" t="s">
        <v>2292</v>
      </c>
      <c r="B836" s="399" t="s">
        <v>631</v>
      </c>
      <c r="C836" s="399" t="s">
        <v>108</v>
      </c>
      <c r="D836" s="399">
        <v>2477</v>
      </c>
      <c r="E836" s="399" t="s">
        <v>2293</v>
      </c>
      <c r="F836" s="399" t="s">
        <v>2294</v>
      </c>
      <c r="G836" s="399" t="s">
        <v>2221</v>
      </c>
      <c r="H836" s="1235"/>
    </row>
    <row r="837" spans="1:8" hidden="1">
      <c r="A837" s="495" t="s">
        <v>2292</v>
      </c>
      <c r="B837" s="399" t="s">
        <v>631</v>
      </c>
      <c r="C837" s="399" t="s">
        <v>108</v>
      </c>
      <c r="D837" s="399">
        <v>2478</v>
      </c>
      <c r="E837" s="399" t="s">
        <v>2293</v>
      </c>
      <c r="F837" s="399" t="s">
        <v>2294</v>
      </c>
      <c r="G837" s="399" t="s">
        <v>2221</v>
      </c>
      <c r="H837" s="1235"/>
    </row>
    <row r="838" spans="1:8" hidden="1">
      <c r="A838" s="495" t="s">
        <v>2292</v>
      </c>
      <c r="B838" s="399" t="s">
        <v>631</v>
      </c>
      <c r="C838" s="399" t="s">
        <v>108</v>
      </c>
      <c r="D838" s="399">
        <v>2479</v>
      </c>
      <c r="E838" s="399" t="s">
        <v>2293</v>
      </c>
      <c r="F838" s="399" t="s">
        <v>2294</v>
      </c>
      <c r="G838" s="399" t="s">
        <v>2221</v>
      </c>
      <c r="H838" s="1235"/>
    </row>
    <row r="839" spans="1:8" hidden="1">
      <c r="A839" s="495" t="s">
        <v>2292</v>
      </c>
      <c r="B839" s="399" t="s">
        <v>631</v>
      </c>
      <c r="C839" s="399" t="s">
        <v>108</v>
      </c>
      <c r="D839" s="399">
        <v>2480</v>
      </c>
      <c r="E839" s="399" t="s">
        <v>2293</v>
      </c>
      <c r="F839" s="399" t="s">
        <v>2294</v>
      </c>
      <c r="G839" s="399" t="s">
        <v>2221</v>
      </c>
      <c r="H839" s="1235"/>
    </row>
    <row r="840" spans="1:8" hidden="1">
      <c r="A840" s="495" t="s">
        <v>2292</v>
      </c>
      <c r="B840" s="399" t="s">
        <v>631</v>
      </c>
      <c r="C840" s="399" t="s">
        <v>108</v>
      </c>
      <c r="D840" s="399">
        <v>2481</v>
      </c>
      <c r="E840" s="399" t="s">
        <v>2293</v>
      </c>
      <c r="F840" s="399" t="s">
        <v>2294</v>
      </c>
      <c r="G840" s="399" t="s">
        <v>2221</v>
      </c>
      <c r="H840" s="1235"/>
    </row>
    <row r="841" spans="1:8" hidden="1">
      <c r="A841" s="495" t="s">
        <v>2292</v>
      </c>
      <c r="B841" s="399" t="s">
        <v>631</v>
      </c>
      <c r="C841" s="399" t="s">
        <v>108</v>
      </c>
      <c r="D841" s="399">
        <v>2482</v>
      </c>
      <c r="E841" s="399" t="s">
        <v>2293</v>
      </c>
      <c r="F841" s="399" t="s">
        <v>2294</v>
      </c>
      <c r="G841" s="399" t="s">
        <v>2221</v>
      </c>
      <c r="H841" s="1235"/>
    </row>
    <row r="842" spans="1:8" hidden="1">
      <c r="A842" s="495" t="s">
        <v>2292</v>
      </c>
      <c r="B842" s="399" t="s">
        <v>631</v>
      </c>
      <c r="C842" s="399" t="s">
        <v>108</v>
      </c>
      <c r="D842" s="399">
        <v>2483</v>
      </c>
      <c r="E842" s="399" t="s">
        <v>2293</v>
      </c>
      <c r="F842" s="399" t="s">
        <v>2294</v>
      </c>
      <c r="G842" s="399" t="s">
        <v>2221</v>
      </c>
      <c r="H842" s="1235"/>
    </row>
    <row r="843" spans="1:8" hidden="1">
      <c r="A843" s="495" t="s">
        <v>2292</v>
      </c>
      <c r="B843" s="399" t="s">
        <v>631</v>
      </c>
      <c r="C843" s="399" t="s">
        <v>108</v>
      </c>
      <c r="D843" s="399">
        <v>2484</v>
      </c>
      <c r="E843" s="399" t="s">
        <v>2293</v>
      </c>
      <c r="F843" s="399" t="s">
        <v>2294</v>
      </c>
      <c r="G843" s="399" t="s">
        <v>2221</v>
      </c>
      <c r="H843" s="1235"/>
    </row>
    <row r="844" spans="1:8" hidden="1">
      <c r="A844" s="495" t="s">
        <v>2292</v>
      </c>
      <c r="B844" s="399" t="s">
        <v>631</v>
      </c>
      <c r="C844" s="399" t="s">
        <v>108</v>
      </c>
      <c r="D844" s="399">
        <v>2485</v>
      </c>
      <c r="E844" s="399" t="s">
        <v>2293</v>
      </c>
      <c r="F844" s="399" t="s">
        <v>2294</v>
      </c>
      <c r="G844" s="399" t="s">
        <v>2221</v>
      </c>
      <c r="H844" s="1235"/>
    </row>
    <row r="845" spans="1:8" hidden="1">
      <c r="A845" s="495" t="s">
        <v>2292</v>
      </c>
      <c r="B845" s="399" t="s">
        <v>631</v>
      </c>
      <c r="C845" s="399" t="s">
        <v>108</v>
      </c>
      <c r="D845" s="399">
        <v>2486</v>
      </c>
      <c r="E845" s="399" t="s">
        <v>2293</v>
      </c>
      <c r="F845" s="399" t="s">
        <v>2294</v>
      </c>
      <c r="G845" s="399" t="s">
        <v>2221</v>
      </c>
      <c r="H845" s="1235"/>
    </row>
    <row r="846" spans="1:8" hidden="1">
      <c r="A846" s="495" t="s">
        <v>2292</v>
      </c>
      <c r="B846" s="399" t="s">
        <v>631</v>
      </c>
      <c r="C846" s="399" t="s">
        <v>108</v>
      </c>
      <c r="D846" s="399">
        <v>2487</v>
      </c>
      <c r="E846" s="399" t="s">
        <v>2293</v>
      </c>
      <c r="F846" s="399" t="s">
        <v>2294</v>
      </c>
      <c r="G846" s="399" t="s">
        <v>2221</v>
      </c>
      <c r="H846" s="1235"/>
    </row>
    <row r="847" spans="1:8" hidden="1">
      <c r="A847" s="495" t="s">
        <v>2292</v>
      </c>
      <c r="B847" s="399" t="s">
        <v>631</v>
      </c>
      <c r="C847" s="399" t="s">
        <v>108</v>
      </c>
      <c r="D847" s="399">
        <v>2488</v>
      </c>
      <c r="E847" s="399" t="s">
        <v>2293</v>
      </c>
      <c r="F847" s="399" t="s">
        <v>2294</v>
      </c>
      <c r="G847" s="399" t="s">
        <v>2221</v>
      </c>
      <c r="H847" s="1235"/>
    </row>
    <row r="848" spans="1:8" hidden="1">
      <c r="A848" s="495" t="s">
        <v>2292</v>
      </c>
      <c r="B848" s="399" t="s">
        <v>631</v>
      </c>
      <c r="C848" s="399" t="s">
        <v>108</v>
      </c>
      <c r="D848" s="399">
        <v>2489</v>
      </c>
      <c r="E848" s="399" t="s">
        <v>2293</v>
      </c>
      <c r="F848" s="399" t="s">
        <v>2294</v>
      </c>
      <c r="G848" s="399" t="s">
        <v>2221</v>
      </c>
      <c r="H848" s="1235"/>
    </row>
    <row r="849" spans="1:8" hidden="1">
      <c r="A849" s="495" t="s">
        <v>2292</v>
      </c>
      <c r="B849" s="399" t="s">
        <v>631</v>
      </c>
      <c r="C849" s="399" t="s">
        <v>108</v>
      </c>
      <c r="D849" s="399">
        <v>2490</v>
      </c>
      <c r="E849" s="399" t="s">
        <v>2293</v>
      </c>
      <c r="F849" s="399" t="s">
        <v>2294</v>
      </c>
      <c r="G849" s="399" t="s">
        <v>2221</v>
      </c>
      <c r="H849" s="1235"/>
    </row>
    <row r="850" spans="1:8" hidden="1">
      <c r="A850" s="495" t="s">
        <v>2292</v>
      </c>
      <c r="B850" s="399" t="s">
        <v>631</v>
      </c>
      <c r="C850" s="399" t="s">
        <v>108</v>
      </c>
      <c r="D850" s="399">
        <v>2491</v>
      </c>
      <c r="E850" s="399" t="s">
        <v>2293</v>
      </c>
      <c r="F850" s="399" t="s">
        <v>2294</v>
      </c>
      <c r="G850" s="399" t="s">
        <v>2221</v>
      </c>
      <c r="H850" s="1235"/>
    </row>
    <row r="851" spans="1:8" hidden="1">
      <c r="A851" s="495" t="s">
        <v>2292</v>
      </c>
      <c r="B851" s="399" t="s">
        <v>631</v>
      </c>
      <c r="C851" s="399" t="s">
        <v>108</v>
      </c>
      <c r="D851" s="399">
        <v>2492</v>
      </c>
      <c r="E851" s="399" t="s">
        <v>2293</v>
      </c>
      <c r="F851" s="399" t="s">
        <v>2294</v>
      </c>
      <c r="G851" s="399" t="s">
        <v>2221</v>
      </c>
      <c r="H851" s="1235"/>
    </row>
    <row r="852" spans="1:8" hidden="1">
      <c r="A852" s="495" t="s">
        <v>2292</v>
      </c>
      <c r="B852" s="399" t="s">
        <v>631</v>
      </c>
      <c r="C852" s="399" t="s">
        <v>108</v>
      </c>
      <c r="D852" s="399">
        <v>2493</v>
      </c>
      <c r="E852" s="399" t="s">
        <v>2293</v>
      </c>
      <c r="F852" s="399" t="s">
        <v>2294</v>
      </c>
      <c r="G852" s="399" t="s">
        <v>2221</v>
      </c>
      <c r="H852" s="1235"/>
    </row>
    <row r="853" spans="1:8" hidden="1">
      <c r="A853" s="495" t="s">
        <v>2292</v>
      </c>
      <c r="B853" s="399" t="s">
        <v>631</v>
      </c>
      <c r="C853" s="399" t="s">
        <v>108</v>
      </c>
      <c r="D853" s="399">
        <v>2494</v>
      </c>
      <c r="E853" s="399" t="s">
        <v>2293</v>
      </c>
      <c r="F853" s="399" t="s">
        <v>2294</v>
      </c>
      <c r="G853" s="399" t="s">
        <v>2221</v>
      </c>
      <c r="H853" s="1235"/>
    </row>
    <row r="854" spans="1:8" hidden="1">
      <c r="A854" s="495" t="s">
        <v>2292</v>
      </c>
      <c r="B854" s="399" t="s">
        <v>631</v>
      </c>
      <c r="C854" s="399" t="s">
        <v>108</v>
      </c>
      <c r="D854" s="399">
        <v>2495</v>
      </c>
      <c r="E854" s="399" t="s">
        <v>2293</v>
      </c>
      <c r="F854" s="399" t="s">
        <v>2294</v>
      </c>
      <c r="G854" s="399" t="s">
        <v>2221</v>
      </c>
      <c r="H854" s="1235"/>
    </row>
    <row r="855" spans="1:8" hidden="1">
      <c r="A855" s="495" t="s">
        <v>2292</v>
      </c>
      <c r="B855" s="399" t="s">
        <v>631</v>
      </c>
      <c r="C855" s="399" t="s">
        <v>108</v>
      </c>
      <c r="D855" s="399">
        <v>2496</v>
      </c>
      <c r="E855" s="399" t="s">
        <v>2293</v>
      </c>
      <c r="F855" s="399" t="s">
        <v>2294</v>
      </c>
      <c r="G855" s="399" t="s">
        <v>2221</v>
      </c>
      <c r="H855" s="1235"/>
    </row>
    <row r="856" spans="1:8" hidden="1">
      <c r="A856" s="495" t="s">
        <v>2292</v>
      </c>
      <c r="B856" s="399" t="s">
        <v>631</v>
      </c>
      <c r="C856" s="399" t="s">
        <v>108</v>
      </c>
      <c r="D856" s="399">
        <v>2497</v>
      </c>
      <c r="E856" s="399" t="s">
        <v>2293</v>
      </c>
      <c r="F856" s="399" t="s">
        <v>2294</v>
      </c>
      <c r="G856" s="399" t="s">
        <v>2221</v>
      </c>
      <c r="H856" s="1235"/>
    </row>
    <row r="857" spans="1:8" hidden="1">
      <c r="A857" s="495" t="s">
        <v>2292</v>
      </c>
      <c r="B857" s="399" t="s">
        <v>631</v>
      </c>
      <c r="C857" s="399" t="s">
        <v>108</v>
      </c>
      <c r="D857" s="399">
        <v>2497</v>
      </c>
      <c r="E857" s="399" t="s">
        <v>2293</v>
      </c>
      <c r="F857" s="399" t="s">
        <v>2294</v>
      </c>
      <c r="G857" s="399" t="s">
        <v>2221</v>
      </c>
      <c r="H857" s="1235"/>
    </row>
    <row r="858" spans="1:8" hidden="1">
      <c r="A858" s="495" t="s">
        <v>2292</v>
      </c>
      <c r="B858" s="399" t="s">
        <v>631</v>
      </c>
      <c r="C858" s="399" t="s">
        <v>108</v>
      </c>
      <c r="D858" s="399">
        <v>2498</v>
      </c>
      <c r="E858" s="399" t="s">
        <v>2293</v>
      </c>
      <c r="F858" s="399" t="s">
        <v>2294</v>
      </c>
      <c r="G858" s="399" t="s">
        <v>2221</v>
      </c>
      <c r="H858" s="1235"/>
    </row>
    <row r="859" spans="1:8" hidden="1">
      <c r="A859" s="495" t="s">
        <v>2292</v>
      </c>
      <c r="B859" s="399" t="s">
        <v>631</v>
      </c>
      <c r="C859" s="399" t="s">
        <v>108</v>
      </c>
      <c r="D859" s="399">
        <v>2499</v>
      </c>
      <c r="E859" s="399" t="s">
        <v>2293</v>
      </c>
      <c r="F859" s="399" t="s">
        <v>2294</v>
      </c>
      <c r="G859" s="399" t="s">
        <v>2221</v>
      </c>
      <c r="H859" s="1235"/>
    </row>
    <row r="860" spans="1:8" hidden="1">
      <c r="A860" s="495" t="s">
        <v>2292</v>
      </c>
      <c r="B860" s="399" t="s">
        <v>631</v>
      </c>
      <c r="C860" s="399" t="s">
        <v>108</v>
      </c>
      <c r="D860" s="399">
        <v>2500</v>
      </c>
      <c r="E860" s="399" t="s">
        <v>2293</v>
      </c>
      <c r="F860" s="399" t="s">
        <v>2294</v>
      </c>
      <c r="G860" s="399" t="s">
        <v>2221</v>
      </c>
      <c r="H860" s="1235"/>
    </row>
    <row r="861" spans="1:8" hidden="1">
      <c r="A861" s="495" t="s">
        <v>2292</v>
      </c>
      <c r="B861" s="399" t="s">
        <v>631</v>
      </c>
      <c r="C861" s="399" t="s">
        <v>108</v>
      </c>
      <c r="D861" s="399">
        <v>2501</v>
      </c>
      <c r="E861" s="399" t="s">
        <v>2293</v>
      </c>
      <c r="F861" s="399" t="s">
        <v>2294</v>
      </c>
      <c r="G861" s="399" t="s">
        <v>2221</v>
      </c>
      <c r="H861" s="1235"/>
    </row>
    <row r="862" spans="1:8" hidden="1">
      <c r="A862" s="495" t="s">
        <v>2292</v>
      </c>
      <c r="B862" s="399" t="s">
        <v>631</v>
      </c>
      <c r="C862" s="399" t="s">
        <v>108</v>
      </c>
      <c r="D862" s="399">
        <v>2502</v>
      </c>
      <c r="E862" s="399" t="s">
        <v>2293</v>
      </c>
      <c r="F862" s="399" t="s">
        <v>2294</v>
      </c>
      <c r="G862" s="399" t="s">
        <v>2221</v>
      </c>
      <c r="H862" s="1235"/>
    </row>
    <row r="863" spans="1:8" hidden="1">
      <c r="A863" s="495" t="s">
        <v>2292</v>
      </c>
      <c r="B863" s="399" t="s">
        <v>631</v>
      </c>
      <c r="C863" s="399" t="s">
        <v>108</v>
      </c>
      <c r="D863" s="399">
        <v>2503</v>
      </c>
      <c r="E863" s="399" t="s">
        <v>2293</v>
      </c>
      <c r="F863" s="399" t="s">
        <v>2294</v>
      </c>
      <c r="G863" s="399" t="s">
        <v>2221</v>
      </c>
      <c r="H863" s="1235"/>
    </row>
    <row r="864" spans="1:8" hidden="1">
      <c r="A864" s="495" t="s">
        <v>2292</v>
      </c>
      <c r="B864" s="399" t="s">
        <v>631</v>
      </c>
      <c r="C864" s="399" t="s">
        <v>108</v>
      </c>
      <c r="D864" s="399">
        <v>2504</v>
      </c>
      <c r="E864" s="399" t="s">
        <v>2293</v>
      </c>
      <c r="F864" s="399" t="s">
        <v>2294</v>
      </c>
      <c r="G864" s="399" t="s">
        <v>2221</v>
      </c>
      <c r="H864" s="1235"/>
    </row>
    <row r="865" spans="1:8" hidden="1">
      <c r="A865" s="495" t="s">
        <v>2292</v>
      </c>
      <c r="B865" s="399" t="s">
        <v>631</v>
      </c>
      <c r="C865" s="399" t="s">
        <v>108</v>
      </c>
      <c r="D865" s="399">
        <v>2505</v>
      </c>
      <c r="E865" s="399" t="s">
        <v>2293</v>
      </c>
      <c r="F865" s="399" t="s">
        <v>2294</v>
      </c>
      <c r="G865" s="399" t="s">
        <v>2221</v>
      </c>
      <c r="H865" s="1235"/>
    </row>
    <row r="866" spans="1:8" hidden="1">
      <c r="A866" s="495" t="s">
        <v>2292</v>
      </c>
      <c r="B866" s="399" t="s">
        <v>631</v>
      </c>
      <c r="C866" s="399" t="s">
        <v>108</v>
      </c>
      <c r="D866" s="399">
        <v>2506</v>
      </c>
      <c r="E866" s="399" t="s">
        <v>2293</v>
      </c>
      <c r="F866" s="399" t="s">
        <v>2294</v>
      </c>
      <c r="G866" s="399" t="s">
        <v>2221</v>
      </c>
      <c r="H866" s="1235"/>
    </row>
    <row r="867" spans="1:8" hidden="1">
      <c r="A867" s="495" t="s">
        <v>2292</v>
      </c>
      <c r="B867" s="399" t="s">
        <v>631</v>
      </c>
      <c r="C867" s="399" t="s">
        <v>108</v>
      </c>
      <c r="D867" s="399">
        <v>2507</v>
      </c>
      <c r="E867" s="399" t="s">
        <v>2293</v>
      </c>
      <c r="F867" s="399" t="s">
        <v>2294</v>
      </c>
      <c r="G867" s="399" t="s">
        <v>2221</v>
      </c>
      <c r="H867" s="1235"/>
    </row>
    <row r="868" spans="1:8" hidden="1">
      <c r="A868" s="495" t="s">
        <v>2292</v>
      </c>
      <c r="B868" s="399" t="s">
        <v>631</v>
      </c>
      <c r="C868" s="399" t="s">
        <v>108</v>
      </c>
      <c r="D868" s="399">
        <v>2508</v>
      </c>
      <c r="E868" s="399" t="s">
        <v>2293</v>
      </c>
      <c r="F868" s="399" t="s">
        <v>2294</v>
      </c>
      <c r="G868" s="399" t="s">
        <v>2221</v>
      </c>
      <c r="H868" s="1235"/>
    </row>
    <row r="869" spans="1:8" hidden="1">
      <c r="A869" s="495" t="s">
        <v>2292</v>
      </c>
      <c r="B869" s="399" t="s">
        <v>631</v>
      </c>
      <c r="C869" s="399" t="s">
        <v>108</v>
      </c>
      <c r="D869" s="399">
        <v>2509</v>
      </c>
      <c r="E869" s="399" t="s">
        <v>2293</v>
      </c>
      <c r="F869" s="399" t="s">
        <v>2294</v>
      </c>
      <c r="G869" s="399" t="s">
        <v>2221</v>
      </c>
      <c r="H869" s="1235"/>
    </row>
    <row r="870" spans="1:8" hidden="1">
      <c r="A870" s="495" t="s">
        <v>2292</v>
      </c>
      <c r="B870" s="399" t="s">
        <v>631</v>
      </c>
      <c r="C870" s="399" t="s">
        <v>108</v>
      </c>
      <c r="D870" s="399">
        <v>2510</v>
      </c>
      <c r="E870" s="399" t="s">
        <v>2293</v>
      </c>
      <c r="F870" s="399" t="s">
        <v>2294</v>
      </c>
      <c r="G870" s="399" t="s">
        <v>2221</v>
      </c>
      <c r="H870" s="1235"/>
    </row>
    <row r="871" spans="1:8" hidden="1">
      <c r="A871" s="495" t="s">
        <v>2292</v>
      </c>
      <c r="B871" s="399" t="s">
        <v>631</v>
      </c>
      <c r="C871" s="399" t="s">
        <v>108</v>
      </c>
      <c r="D871" s="399">
        <v>2511</v>
      </c>
      <c r="E871" s="399" t="s">
        <v>2293</v>
      </c>
      <c r="F871" s="399" t="s">
        <v>2294</v>
      </c>
      <c r="G871" s="399" t="s">
        <v>2221</v>
      </c>
      <c r="H871" s="1235"/>
    </row>
    <row r="872" spans="1:8" hidden="1">
      <c r="A872" s="495" t="s">
        <v>2292</v>
      </c>
      <c r="B872" s="399" t="s">
        <v>631</v>
      </c>
      <c r="C872" s="399" t="s">
        <v>108</v>
      </c>
      <c r="D872" s="399">
        <v>2512</v>
      </c>
      <c r="E872" s="399" t="s">
        <v>2293</v>
      </c>
      <c r="F872" s="399" t="s">
        <v>2294</v>
      </c>
      <c r="G872" s="399" t="s">
        <v>2221</v>
      </c>
      <c r="H872" s="1235"/>
    </row>
    <row r="873" spans="1:8" hidden="1">
      <c r="A873" s="495" t="s">
        <v>2292</v>
      </c>
      <c r="B873" s="399" t="s">
        <v>631</v>
      </c>
      <c r="C873" s="399" t="s">
        <v>108</v>
      </c>
      <c r="D873" s="399">
        <v>2513</v>
      </c>
      <c r="E873" s="399" t="s">
        <v>2293</v>
      </c>
      <c r="F873" s="399" t="s">
        <v>2294</v>
      </c>
      <c r="G873" s="399" t="s">
        <v>2221</v>
      </c>
      <c r="H873" s="1235"/>
    </row>
    <row r="874" spans="1:8" hidden="1">
      <c r="A874" s="495" t="s">
        <v>2292</v>
      </c>
      <c r="B874" s="399" t="s">
        <v>631</v>
      </c>
      <c r="C874" s="399" t="s">
        <v>108</v>
      </c>
      <c r="D874" s="399">
        <v>2514</v>
      </c>
      <c r="E874" s="399" t="s">
        <v>2293</v>
      </c>
      <c r="F874" s="399" t="s">
        <v>2294</v>
      </c>
      <c r="G874" s="399" t="s">
        <v>2221</v>
      </c>
      <c r="H874" s="1235"/>
    </row>
    <row r="875" spans="1:8" hidden="1">
      <c r="A875" s="495" t="s">
        <v>2292</v>
      </c>
      <c r="B875" s="399" t="s">
        <v>631</v>
      </c>
      <c r="C875" s="399" t="s">
        <v>108</v>
      </c>
      <c r="D875" s="399">
        <v>2515</v>
      </c>
      <c r="E875" s="399" t="s">
        <v>2293</v>
      </c>
      <c r="F875" s="399" t="s">
        <v>2294</v>
      </c>
      <c r="G875" s="399" t="s">
        <v>2221</v>
      </c>
      <c r="H875" s="1235"/>
    </row>
    <row r="876" spans="1:8" hidden="1">
      <c r="A876" s="495" t="s">
        <v>2292</v>
      </c>
      <c r="B876" s="399" t="s">
        <v>631</v>
      </c>
      <c r="C876" s="399" t="s">
        <v>108</v>
      </c>
      <c r="D876" s="399">
        <v>2516</v>
      </c>
      <c r="E876" s="399" t="s">
        <v>2293</v>
      </c>
      <c r="F876" s="399" t="s">
        <v>2294</v>
      </c>
      <c r="G876" s="399" t="s">
        <v>2221</v>
      </c>
      <c r="H876" s="1235"/>
    </row>
    <row r="877" spans="1:8" hidden="1">
      <c r="A877" s="495" t="s">
        <v>2292</v>
      </c>
      <c r="B877" s="399" t="s">
        <v>631</v>
      </c>
      <c r="C877" s="399" t="s">
        <v>108</v>
      </c>
      <c r="D877" s="399">
        <v>2517</v>
      </c>
      <c r="E877" s="399" t="s">
        <v>2293</v>
      </c>
      <c r="F877" s="399" t="s">
        <v>2294</v>
      </c>
      <c r="G877" s="399" t="s">
        <v>2221</v>
      </c>
      <c r="H877" s="1235"/>
    </row>
    <row r="878" spans="1:8" hidden="1">
      <c r="A878" s="495" t="s">
        <v>2292</v>
      </c>
      <c r="B878" s="399" t="s">
        <v>631</v>
      </c>
      <c r="C878" s="399" t="s">
        <v>108</v>
      </c>
      <c r="D878" s="399">
        <v>2518</v>
      </c>
      <c r="E878" s="399" t="s">
        <v>2293</v>
      </c>
      <c r="F878" s="399" t="s">
        <v>2294</v>
      </c>
      <c r="G878" s="399" t="s">
        <v>2221</v>
      </c>
      <c r="H878" s="1235"/>
    </row>
    <row r="879" spans="1:8" hidden="1">
      <c r="A879" s="495" t="s">
        <v>2292</v>
      </c>
      <c r="B879" s="399" t="s">
        <v>631</v>
      </c>
      <c r="C879" s="399" t="s">
        <v>108</v>
      </c>
      <c r="D879" s="399">
        <v>2519</v>
      </c>
      <c r="E879" s="399" t="s">
        <v>2293</v>
      </c>
      <c r="F879" s="399" t="s">
        <v>2294</v>
      </c>
      <c r="G879" s="399" t="s">
        <v>2221</v>
      </c>
      <c r="H879" s="1235"/>
    </row>
    <row r="880" spans="1:8" hidden="1">
      <c r="A880" s="495" t="s">
        <v>2292</v>
      </c>
      <c r="B880" s="399" t="s">
        <v>631</v>
      </c>
      <c r="C880" s="399" t="s">
        <v>108</v>
      </c>
      <c r="D880" s="399">
        <v>2520</v>
      </c>
      <c r="E880" s="399" t="s">
        <v>2293</v>
      </c>
      <c r="F880" s="399" t="s">
        <v>2294</v>
      </c>
      <c r="G880" s="399" t="s">
        <v>2221</v>
      </c>
      <c r="H880" s="1235"/>
    </row>
    <row r="881" spans="1:8" hidden="1">
      <c r="A881" s="495" t="s">
        <v>2292</v>
      </c>
      <c r="B881" s="399" t="s">
        <v>631</v>
      </c>
      <c r="C881" s="399" t="s">
        <v>108</v>
      </c>
      <c r="D881" s="399">
        <v>2521</v>
      </c>
      <c r="E881" s="399" t="s">
        <v>2293</v>
      </c>
      <c r="F881" s="399" t="s">
        <v>2294</v>
      </c>
      <c r="G881" s="399" t="s">
        <v>2221</v>
      </c>
      <c r="H881" s="1235"/>
    </row>
    <row r="882" spans="1:8" hidden="1">
      <c r="A882" s="495" t="s">
        <v>2292</v>
      </c>
      <c r="B882" s="399" t="s">
        <v>631</v>
      </c>
      <c r="C882" s="399" t="s">
        <v>108</v>
      </c>
      <c r="D882" s="399">
        <v>2522</v>
      </c>
      <c r="E882" s="399" t="s">
        <v>2293</v>
      </c>
      <c r="F882" s="399" t="s">
        <v>2294</v>
      </c>
      <c r="G882" s="399" t="s">
        <v>2221</v>
      </c>
      <c r="H882" s="1235"/>
    </row>
    <row r="883" spans="1:8" hidden="1">
      <c r="A883" s="495" t="s">
        <v>2292</v>
      </c>
      <c r="B883" s="399" t="s">
        <v>631</v>
      </c>
      <c r="C883" s="399" t="s">
        <v>108</v>
      </c>
      <c r="D883" s="399">
        <v>2523</v>
      </c>
      <c r="E883" s="399" t="s">
        <v>2293</v>
      </c>
      <c r="F883" s="399" t="s">
        <v>2294</v>
      </c>
      <c r="G883" s="399" t="s">
        <v>2221</v>
      </c>
      <c r="H883" s="1235"/>
    </row>
    <row r="884" spans="1:8" hidden="1">
      <c r="A884" s="495" t="s">
        <v>2292</v>
      </c>
      <c r="B884" s="399" t="s">
        <v>631</v>
      </c>
      <c r="C884" s="399" t="s">
        <v>108</v>
      </c>
      <c r="D884" s="399">
        <v>2524</v>
      </c>
      <c r="E884" s="399" t="s">
        <v>2293</v>
      </c>
      <c r="F884" s="399" t="s">
        <v>2294</v>
      </c>
      <c r="G884" s="399" t="s">
        <v>2221</v>
      </c>
      <c r="H884" s="1235"/>
    </row>
    <row r="885" spans="1:8" hidden="1">
      <c r="A885" s="495" t="s">
        <v>2292</v>
      </c>
      <c r="B885" s="399" t="s">
        <v>631</v>
      </c>
      <c r="C885" s="399" t="s">
        <v>108</v>
      </c>
      <c r="D885" s="399">
        <v>2525</v>
      </c>
      <c r="E885" s="399" t="s">
        <v>2293</v>
      </c>
      <c r="F885" s="399" t="s">
        <v>2294</v>
      </c>
      <c r="G885" s="399" t="s">
        <v>2221</v>
      </c>
      <c r="H885" s="1235"/>
    </row>
    <row r="886" spans="1:8" hidden="1">
      <c r="A886" s="495" t="s">
        <v>2292</v>
      </c>
      <c r="B886" s="399" t="s">
        <v>631</v>
      </c>
      <c r="C886" s="399" t="s">
        <v>108</v>
      </c>
      <c r="D886" s="399">
        <v>2526</v>
      </c>
      <c r="E886" s="399" t="s">
        <v>2293</v>
      </c>
      <c r="F886" s="399" t="s">
        <v>2294</v>
      </c>
      <c r="G886" s="399" t="s">
        <v>2221</v>
      </c>
      <c r="H886" s="1235"/>
    </row>
    <row r="887" spans="1:8" hidden="1">
      <c r="A887" s="495" t="s">
        <v>2292</v>
      </c>
      <c r="B887" s="399" t="s">
        <v>631</v>
      </c>
      <c r="C887" s="399" t="s">
        <v>108</v>
      </c>
      <c r="D887" s="399">
        <v>2527</v>
      </c>
      <c r="E887" s="399" t="s">
        <v>2293</v>
      </c>
      <c r="F887" s="399" t="s">
        <v>2294</v>
      </c>
      <c r="G887" s="399" t="s">
        <v>2221</v>
      </c>
      <c r="H887" s="1235"/>
    </row>
    <row r="888" spans="1:8" hidden="1">
      <c r="A888" s="495" t="s">
        <v>2292</v>
      </c>
      <c r="B888" s="399" t="s">
        <v>631</v>
      </c>
      <c r="C888" s="399" t="s">
        <v>108</v>
      </c>
      <c r="D888" s="399">
        <v>2528</v>
      </c>
      <c r="E888" s="399" t="s">
        <v>2293</v>
      </c>
      <c r="F888" s="399" t="s">
        <v>2294</v>
      </c>
      <c r="G888" s="399" t="s">
        <v>2221</v>
      </c>
      <c r="H888" s="1235"/>
    </row>
    <row r="889" spans="1:8" hidden="1">
      <c r="A889" s="495" t="s">
        <v>2292</v>
      </c>
      <c r="B889" s="399" t="s">
        <v>631</v>
      </c>
      <c r="C889" s="399" t="s">
        <v>108</v>
      </c>
      <c r="D889" s="399">
        <v>2529</v>
      </c>
      <c r="E889" s="399" t="s">
        <v>2293</v>
      </c>
      <c r="F889" s="399" t="s">
        <v>2294</v>
      </c>
      <c r="G889" s="399" t="s">
        <v>2221</v>
      </c>
      <c r="H889" s="1235"/>
    </row>
    <row r="890" spans="1:8" hidden="1">
      <c r="A890" s="495" t="s">
        <v>2292</v>
      </c>
      <c r="B890" s="399" t="s">
        <v>631</v>
      </c>
      <c r="C890" s="399" t="s">
        <v>108</v>
      </c>
      <c r="D890" s="399">
        <v>2530</v>
      </c>
      <c r="E890" s="399" t="s">
        <v>2293</v>
      </c>
      <c r="F890" s="399" t="s">
        <v>2294</v>
      </c>
      <c r="G890" s="399" t="s">
        <v>2221</v>
      </c>
      <c r="H890" s="1235"/>
    </row>
    <row r="891" spans="1:8" hidden="1">
      <c r="A891" s="495" t="s">
        <v>2292</v>
      </c>
      <c r="B891" s="399" t="s">
        <v>631</v>
      </c>
      <c r="C891" s="399" t="s">
        <v>108</v>
      </c>
      <c r="D891" s="399">
        <v>2531</v>
      </c>
      <c r="E891" s="399" t="s">
        <v>2293</v>
      </c>
      <c r="F891" s="399" t="s">
        <v>2294</v>
      </c>
      <c r="G891" s="399" t="s">
        <v>2221</v>
      </c>
      <c r="H891" s="1235"/>
    </row>
    <row r="892" spans="1:8" hidden="1">
      <c r="A892" s="495" t="s">
        <v>2292</v>
      </c>
      <c r="B892" s="399" t="s">
        <v>631</v>
      </c>
      <c r="C892" s="399" t="s">
        <v>108</v>
      </c>
      <c r="D892" s="399">
        <v>2532</v>
      </c>
      <c r="E892" s="399" t="s">
        <v>2293</v>
      </c>
      <c r="F892" s="399" t="s">
        <v>2294</v>
      </c>
      <c r="G892" s="399" t="s">
        <v>2221</v>
      </c>
      <c r="H892" s="1235"/>
    </row>
    <row r="893" spans="1:8" hidden="1">
      <c r="A893" s="495" t="s">
        <v>2292</v>
      </c>
      <c r="B893" s="399" t="s">
        <v>631</v>
      </c>
      <c r="C893" s="399" t="s">
        <v>108</v>
      </c>
      <c r="D893" s="399">
        <v>2533</v>
      </c>
      <c r="E893" s="399" t="s">
        <v>2293</v>
      </c>
      <c r="F893" s="399" t="s">
        <v>2294</v>
      </c>
      <c r="G893" s="399" t="s">
        <v>2221</v>
      </c>
      <c r="H893" s="1235"/>
    </row>
    <row r="894" spans="1:8" hidden="1">
      <c r="A894" s="495" t="s">
        <v>2292</v>
      </c>
      <c r="B894" s="399" t="s">
        <v>631</v>
      </c>
      <c r="C894" s="399" t="s">
        <v>108</v>
      </c>
      <c r="D894" s="399">
        <v>2534</v>
      </c>
      <c r="E894" s="399" t="s">
        <v>2293</v>
      </c>
      <c r="F894" s="399" t="s">
        <v>2294</v>
      </c>
      <c r="G894" s="399" t="s">
        <v>2221</v>
      </c>
      <c r="H894" s="1235"/>
    </row>
    <row r="895" spans="1:8" hidden="1">
      <c r="A895" s="495" t="s">
        <v>2292</v>
      </c>
      <c r="B895" s="399" t="s">
        <v>631</v>
      </c>
      <c r="C895" s="399" t="s">
        <v>108</v>
      </c>
      <c r="D895" s="399">
        <v>2535</v>
      </c>
      <c r="E895" s="399" t="s">
        <v>2293</v>
      </c>
      <c r="F895" s="399" t="s">
        <v>2294</v>
      </c>
      <c r="G895" s="399" t="s">
        <v>2221</v>
      </c>
      <c r="H895" s="1235"/>
    </row>
    <row r="896" spans="1:8" hidden="1">
      <c r="A896" s="495" t="s">
        <v>2292</v>
      </c>
      <c r="B896" s="399" t="s">
        <v>631</v>
      </c>
      <c r="C896" s="399" t="s">
        <v>108</v>
      </c>
      <c r="D896" s="399">
        <v>2536</v>
      </c>
      <c r="E896" s="399" t="s">
        <v>2293</v>
      </c>
      <c r="F896" s="399" t="s">
        <v>2294</v>
      </c>
      <c r="G896" s="399" t="s">
        <v>2221</v>
      </c>
      <c r="H896" s="1235"/>
    </row>
    <row r="897" spans="1:8" hidden="1">
      <c r="A897" s="495" t="s">
        <v>2292</v>
      </c>
      <c r="B897" s="399" t="s">
        <v>631</v>
      </c>
      <c r="C897" s="399" t="s">
        <v>108</v>
      </c>
      <c r="D897" s="399">
        <v>2537</v>
      </c>
      <c r="E897" s="399" t="s">
        <v>2293</v>
      </c>
      <c r="F897" s="399" t="s">
        <v>2294</v>
      </c>
      <c r="G897" s="399" t="s">
        <v>2221</v>
      </c>
      <c r="H897" s="1235"/>
    </row>
    <row r="898" spans="1:8" hidden="1">
      <c r="A898" s="495" t="s">
        <v>2292</v>
      </c>
      <c r="B898" s="399" t="s">
        <v>631</v>
      </c>
      <c r="C898" s="399" t="s">
        <v>108</v>
      </c>
      <c r="D898" s="399">
        <v>2538</v>
      </c>
      <c r="E898" s="399" t="s">
        <v>2293</v>
      </c>
      <c r="F898" s="399" t="s">
        <v>2294</v>
      </c>
      <c r="G898" s="399" t="s">
        <v>2221</v>
      </c>
      <c r="H898" s="1235"/>
    </row>
    <row r="899" spans="1:8" hidden="1">
      <c r="A899" s="495" t="s">
        <v>2292</v>
      </c>
      <c r="B899" s="399" t="s">
        <v>631</v>
      </c>
      <c r="C899" s="399" t="s">
        <v>108</v>
      </c>
      <c r="D899" s="399">
        <v>2539</v>
      </c>
      <c r="E899" s="399" t="s">
        <v>2293</v>
      </c>
      <c r="F899" s="399" t="s">
        <v>2294</v>
      </c>
      <c r="G899" s="399" t="s">
        <v>2221</v>
      </c>
      <c r="H899" s="1235"/>
    </row>
    <row r="900" spans="1:8" hidden="1">
      <c r="A900" s="495" t="s">
        <v>2292</v>
      </c>
      <c r="B900" s="399" t="s">
        <v>631</v>
      </c>
      <c r="C900" s="399" t="s">
        <v>108</v>
      </c>
      <c r="D900" s="399">
        <v>2540</v>
      </c>
      <c r="E900" s="399" t="s">
        <v>2293</v>
      </c>
      <c r="F900" s="399" t="s">
        <v>2294</v>
      </c>
      <c r="G900" s="399" t="s">
        <v>2221</v>
      </c>
      <c r="H900" s="1235"/>
    </row>
    <row r="901" spans="1:8" hidden="1">
      <c r="A901" s="495" t="s">
        <v>2292</v>
      </c>
      <c r="B901" s="399" t="s">
        <v>631</v>
      </c>
      <c r="C901" s="399" t="s">
        <v>108</v>
      </c>
      <c r="D901" s="399">
        <v>2541</v>
      </c>
      <c r="E901" s="399" t="s">
        <v>2293</v>
      </c>
      <c r="F901" s="399" t="s">
        <v>2294</v>
      </c>
      <c r="G901" s="399" t="s">
        <v>2221</v>
      </c>
      <c r="H901" s="1235"/>
    </row>
    <row r="902" spans="1:8" hidden="1">
      <c r="A902" s="495" t="s">
        <v>2292</v>
      </c>
      <c r="B902" s="399" t="s">
        <v>631</v>
      </c>
      <c r="C902" s="399" t="s">
        <v>108</v>
      </c>
      <c r="D902" s="399">
        <v>2542</v>
      </c>
      <c r="E902" s="399" t="s">
        <v>2293</v>
      </c>
      <c r="F902" s="399" t="s">
        <v>2294</v>
      </c>
      <c r="G902" s="399" t="s">
        <v>2221</v>
      </c>
      <c r="H902" s="1235"/>
    </row>
    <row r="903" spans="1:8" hidden="1">
      <c r="A903" s="495" t="s">
        <v>2292</v>
      </c>
      <c r="B903" s="399" t="s">
        <v>631</v>
      </c>
      <c r="C903" s="399" t="s">
        <v>108</v>
      </c>
      <c r="D903" s="399">
        <v>2543</v>
      </c>
      <c r="E903" s="399" t="s">
        <v>2293</v>
      </c>
      <c r="F903" s="399" t="s">
        <v>2294</v>
      </c>
      <c r="G903" s="399" t="s">
        <v>2221</v>
      </c>
      <c r="H903" s="1235"/>
    </row>
    <row r="904" spans="1:8" hidden="1">
      <c r="A904" s="495" t="s">
        <v>2292</v>
      </c>
      <c r="B904" s="399" t="s">
        <v>631</v>
      </c>
      <c r="C904" s="399" t="s">
        <v>108</v>
      </c>
      <c r="D904" s="399">
        <v>2544</v>
      </c>
      <c r="E904" s="399" t="s">
        <v>2293</v>
      </c>
      <c r="F904" s="399" t="s">
        <v>2294</v>
      </c>
      <c r="G904" s="399" t="s">
        <v>2221</v>
      </c>
      <c r="H904" s="1235"/>
    </row>
    <row r="905" spans="1:8" hidden="1">
      <c r="A905" s="495" t="s">
        <v>2292</v>
      </c>
      <c r="B905" s="399" t="s">
        <v>631</v>
      </c>
      <c r="C905" s="399" t="s">
        <v>108</v>
      </c>
      <c r="D905" s="399">
        <v>2545</v>
      </c>
      <c r="E905" s="399" t="s">
        <v>2293</v>
      </c>
      <c r="F905" s="399" t="s">
        <v>2294</v>
      </c>
      <c r="G905" s="399" t="s">
        <v>2221</v>
      </c>
      <c r="H905" s="1235"/>
    </row>
    <row r="906" spans="1:8" hidden="1">
      <c r="A906" s="495" t="s">
        <v>2292</v>
      </c>
      <c r="B906" s="399" t="s">
        <v>631</v>
      </c>
      <c r="C906" s="399" t="s">
        <v>108</v>
      </c>
      <c r="D906" s="399">
        <v>2546</v>
      </c>
      <c r="E906" s="399" t="s">
        <v>2293</v>
      </c>
      <c r="F906" s="399" t="s">
        <v>2294</v>
      </c>
      <c r="G906" s="399" t="s">
        <v>2221</v>
      </c>
      <c r="H906" s="1235"/>
    </row>
    <row r="907" spans="1:8" hidden="1">
      <c r="A907" s="495" t="s">
        <v>2292</v>
      </c>
      <c r="B907" s="399" t="s">
        <v>631</v>
      </c>
      <c r="C907" s="399" t="s">
        <v>108</v>
      </c>
      <c r="D907" s="399">
        <v>2547</v>
      </c>
      <c r="E907" s="399" t="s">
        <v>2293</v>
      </c>
      <c r="F907" s="399" t="s">
        <v>2294</v>
      </c>
      <c r="G907" s="399" t="s">
        <v>2221</v>
      </c>
      <c r="H907" s="1235"/>
    </row>
    <row r="908" spans="1:8" hidden="1">
      <c r="A908" s="495" t="s">
        <v>2292</v>
      </c>
      <c r="B908" s="399" t="s">
        <v>631</v>
      </c>
      <c r="C908" s="399" t="s">
        <v>108</v>
      </c>
      <c r="D908" s="399">
        <v>2548</v>
      </c>
      <c r="E908" s="399" t="s">
        <v>2293</v>
      </c>
      <c r="F908" s="399" t="s">
        <v>2294</v>
      </c>
      <c r="G908" s="399" t="s">
        <v>2221</v>
      </c>
      <c r="H908" s="1235"/>
    </row>
    <row r="909" spans="1:8" hidden="1">
      <c r="A909" s="495" t="s">
        <v>2292</v>
      </c>
      <c r="B909" s="399" t="s">
        <v>631</v>
      </c>
      <c r="C909" s="399" t="s">
        <v>108</v>
      </c>
      <c r="D909" s="399">
        <v>2549</v>
      </c>
      <c r="E909" s="399" t="s">
        <v>2293</v>
      </c>
      <c r="F909" s="399" t="s">
        <v>2294</v>
      </c>
      <c r="G909" s="399" t="s">
        <v>2221</v>
      </c>
      <c r="H909" s="1235"/>
    </row>
    <row r="910" spans="1:8" hidden="1">
      <c r="A910" s="495" t="s">
        <v>2292</v>
      </c>
      <c r="B910" s="399" t="s">
        <v>631</v>
      </c>
      <c r="C910" s="399" t="s">
        <v>108</v>
      </c>
      <c r="D910" s="399">
        <v>2550</v>
      </c>
      <c r="E910" s="399" t="s">
        <v>2293</v>
      </c>
      <c r="F910" s="399" t="s">
        <v>2294</v>
      </c>
      <c r="G910" s="399" t="s">
        <v>2221</v>
      </c>
      <c r="H910" s="1235"/>
    </row>
    <row r="911" spans="1:8" hidden="1">
      <c r="A911" s="495" t="s">
        <v>2292</v>
      </c>
      <c r="B911" s="399" t="s">
        <v>631</v>
      </c>
      <c r="C911" s="399" t="s">
        <v>108</v>
      </c>
      <c r="D911" s="399">
        <v>2551</v>
      </c>
      <c r="E911" s="399" t="s">
        <v>2293</v>
      </c>
      <c r="F911" s="399" t="s">
        <v>2294</v>
      </c>
      <c r="G911" s="399" t="s">
        <v>2221</v>
      </c>
      <c r="H911" s="1235"/>
    </row>
    <row r="912" spans="1:8" hidden="1">
      <c r="A912" s="495" t="s">
        <v>2292</v>
      </c>
      <c r="B912" s="399" t="s">
        <v>631</v>
      </c>
      <c r="C912" s="399" t="s">
        <v>108</v>
      </c>
      <c r="D912" s="399">
        <v>2552</v>
      </c>
      <c r="E912" s="399" t="s">
        <v>2293</v>
      </c>
      <c r="F912" s="399" t="s">
        <v>2294</v>
      </c>
      <c r="G912" s="399" t="s">
        <v>2221</v>
      </c>
      <c r="H912" s="1235"/>
    </row>
    <row r="913" spans="1:8" hidden="1">
      <c r="A913" s="495" t="s">
        <v>2292</v>
      </c>
      <c r="B913" s="399" t="s">
        <v>631</v>
      </c>
      <c r="C913" s="399" t="s">
        <v>108</v>
      </c>
      <c r="D913" s="399">
        <v>2553</v>
      </c>
      <c r="E913" s="399" t="s">
        <v>2293</v>
      </c>
      <c r="F913" s="399" t="s">
        <v>2294</v>
      </c>
      <c r="G913" s="399" t="s">
        <v>2221</v>
      </c>
      <c r="H913" s="1235"/>
    </row>
    <row r="914" spans="1:8" hidden="1">
      <c r="A914" s="495" t="s">
        <v>2292</v>
      </c>
      <c r="B914" s="399" t="s">
        <v>631</v>
      </c>
      <c r="C914" s="399" t="s">
        <v>108</v>
      </c>
      <c r="D914" s="399">
        <v>2554</v>
      </c>
      <c r="E914" s="399" t="s">
        <v>2293</v>
      </c>
      <c r="F914" s="399" t="s">
        <v>2294</v>
      </c>
      <c r="G914" s="399" t="s">
        <v>2221</v>
      </c>
      <c r="H914" s="1235"/>
    </row>
    <row r="915" spans="1:8" hidden="1">
      <c r="A915" s="495" t="s">
        <v>2292</v>
      </c>
      <c r="B915" s="399" t="s">
        <v>631</v>
      </c>
      <c r="C915" s="399" t="s">
        <v>108</v>
      </c>
      <c r="D915" s="399">
        <v>2555</v>
      </c>
      <c r="E915" s="399" t="s">
        <v>2293</v>
      </c>
      <c r="F915" s="399" t="s">
        <v>2294</v>
      </c>
      <c r="G915" s="399" t="s">
        <v>2221</v>
      </c>
      <c r="H915" s="1235"/>
    </row>
    <row r="916" spans="1:8" hidden="1">
      <c r="A916" s="495" t="s">
        <v>2292</v>
      </c>
      <c r="B916" s="399" t="s">
        <v>631</v>
      </c>
      <c r="C916" s="399" t="s">
        <v>108</v>
      </c>
      <c r="D916" s="399">
        <v>2556</v>
      </c>
      <c r="E916" s="399" t="s">
        <v>2293</v>
      </c>
      <c r="F916" s="399" t="s">
        <v>2294</v>
      </c>
      <c r="G916" s="399" t="s">
        <v>2221</v>
      </c>
      <c r="H916" s="1235"/>
    </row>
    <row r="917" spans="1:8" hidden="1">
      <c r="A917" s="495" t="s">
        <v>2292</v>
      </c>
      <c r="B917" s="399" t="s">
        <v>631</v>
      </c>
      <c r="C917" s="399" t="s">
        <v>108</v>
      </c>
      <c r="D917" s="399">
        <v>2557</v>
      </c>
      <c r="E917" s="399" t="s">
        <v>2293</v>
      </c>
      <c r="F917" s="399" t="s">
        <v>2294</v>
      </c>
      <c r="G917" s="399" t="s">
        <v>2221</v>
      </c>
      <c r="H917" s="1235"/>
    </row>
    <row r="918" spans="1:8" hidden="1">
      <c r="A918" s="495" t="s">
        <v>2292</v>
      </c>
      <c r="B918" s="399" t="s">
        <v>631</v>
      </c>
      <c r="C918" s="399" t="s">
        <v>108</v>
      </c>
      <c r="D918" s="399">
        <v>2558</v>
      </c>
      <c r="E918" s="399" t="s">
        <v>2293</v>
      </c>
      <c r="F918" s="399" t="s">
        <v>2294</v>
      </c>
      <c r="G918" s="399" t="s">
        <v>2221</v>
      </c>
      <c r="H918" s="1235"/>
    </row>
    <row r="919" spans="1:8" hidden="1">
      <c r="A919" s="495" t="s">
        <v>2292</v>
      </c>
      <c r="B919" s="399" t="s">
        <v>631</v>
      </c>
      <c r="C919" s="399" t="s">
        <v>108</v>
      </c>
      <c r="D919" s="399">
        <v>2559</v>
      </c>
      <c r="E919" s="399" t="s">
        <v>2293</v>
      </c>
      <c r="F919" s="399" t="s">
        <v>2294</v>
      </c>
      <c r="G919" s="399" t="s">
        <v>2221</v>
      </c>
      <c r="H919" s="1235"/>
    </row>
    <row r="920" spans="1:8" hidden="1">
      <c r="A920" s="495" t="s">
        <v>2292</v>
      </c>
      <c r="B920" s="399" t="s">
        <v>631</v>
      </c>
      <c r="C920" s="399" t="s">
        <v>108</v>
      </c>
      <c r="D920" s="399">
        <v>2560</v>
      </c>
      <c r="E920" s="399" t="s">
        <v>2293</v>
      </c>
      <c r="F920" s="399" t="s">
        <v>2294</v>
      </c>
      <c r="G920" s="399" t="s">
        <v>2221</v>
      </c>
      <c r="H920" s="1235"/>
    </row>
    <row r="921" spans="1:8" hidden="1">
      <c r="A921" s="495" t="s">
        <v>2292</v>
      </c>
      <c r="B921" s="399" t="s">
        <v>631</v>
      </c>
      <c r="C921" s="399" t="s">
        <v>108</v>
      </c>
      <c r="D921" s="399">
        <v>2561</v>
      </c>
      <c r="E921" s="399" t="s">
        <v>2293</v>
      </c>
      <c r="F921" s="399" t="s">
        <v>2294</v>
      </c>
      <c r="G921" s="399" t="s">
        <v>2221</v>
      </c>
      <c r="H921" s="1235"/>
    </row>
    <row r="922" spans="1:8" hidden="1">
      <c r="A922" s="495" t="s">
        <v>2292</v>
      </c>
      <c r="B922" s="399" t="s">
        <v>631</v>
      </c>
      <c r="C922" s="399" t="s">
        <v>108</v>
      </c>
      <c r="D922" s="399">
        <v>2562</v>
      </c>
      <c r="E922" s="399" t="s">
        <v>2293</v>
      </c>
      <c r="F922" s="399" t="s">
        <v>2294</v>
      </c>
      <c r="G922" s="399" t="s">
        <v>2221</v>
      </c>
      <c r="H922" s="1235"/>
    </row>
    <row r="923" spans="1:8" hidden="1">
      <c r="A923" s="495" t="s">
        <v>2292</v>
      </c>
      <c r="B923" s="399" t="s">
        <v>631</v>
      </c>
      <c r="C923" s="399" t="s">
        <v>108</v>
      </c>
      <c r="D923" s="399">
        <v>2563</v>
      </c>
      <c r="E923" s="399" t="s">
        <v>2293</v>
      </c>
      <c r="F923" s="399" t="s">
        <v>2294</v>
      </c>
      <c r="G923" s="399" t="s">
        <v>2221</v>
      </c>
      <c r="H923" s="1235"/>
    </row>
    <row r="924" spans="1:8" hidden="1">
      <c r="A924" s="495" t="s">
        <v>2292</v>
      </c>
      <c r="B924" s="399" t="s">
        <v>631</v>
      </c>
      <c r="C924" s="399" t="s">
        <v>108</v>
      </c>
      <c r="D924" s="399">
        <v>2565</v>
      </c>
      <c r="E924" s="399" t="s">
        <v>2293</v>
      </c>
      <c r="F924" s="399" t="s">
        <v>2294</v>
      </c>
      <c r="G924" s="399" t="s">
        <v>2221</v>
      </c>
      <c r="H924" s="1235"/>
    </row>
    <row r="925" spans="1:8" hidden="1">
      <c r="A925" s="495" t="s">
        <v>2292</v>
      </c>
      <c r="B925" s="399" t="s">
        <v>631</v>
      </c>
      <c r="C925" s="399" t="s">
        <v>108</v>
      </c>
      <c r="D925" s="399">
        <v>2566</v>
      </c>
      <c r="E925" s="399" t="s">
        <v>2293</v>
      </c>
      <c r="F925" s="399" t="s">
        <v>2294</v>
      </c>
      <c r="G925" s="399" t="s">
        <v>2221</v>
      </c>
      <c r="H925" s="1235"/>
    </row>
    <row r="926" spans="1:8" hidden="1">
      <c r="A926" s="495" t="s">
        <v>2292</v>
      </c>
      <c r="B926" s="399" t="s">
        <v>631</v>
      </c>
      <c r="C926" s="399" t="s">
        <v>108</v>
      </c>
      <c r="D926" s="399">
        <v>2567</v>
      </c>
      <c r="E926" s="399" t="s">
        <v>2293</v>
      </c>
      <c r="F926" s="399" t="s">
        <v>2294</v>
      </c>
      <c r="G926" s="399" t="s">
        <v>2221</v>
      </c>
      <c r="H926" s="1235"/>
    </row>
    <row r="927" spans="1:8" hidden="1">
      <c r="A927" s="495" t="s">
        <v>2292</v>
      </c>
      <c r="B927" s="399" t="s">
        <v>631</v>
      </c>
      <c r="C927" s="399" t="s">
        <v>108</v>
      </c>
      <c r="D927" s="399">
        <v>2568</v>
      </c>
      <c r="E927" s="399" t="s">
        <v>2293</v>
      </c>
      <c r="F927" s="399" t="s">
        <v>2294</v>
      </c>
      <c r="G927" s="399" t="s">
        <v>2221</v>
      </c>
      <c r="H927" s="1235"/>
    </row>
    <row r="928" spans="1:8" hidden="1">
      <c r="A928" s="495" t="s">
        <v>2292</v>
      </c>
      <c r="B928" s="399" t="s">
        <v>631</v>
      </c>
      <c r="C928" s="399" t="s">
        <v>108</v>
      </c>
      <c r="D928" s="399">
        <v>2569</v>
      </c>
      <c r="E928" s="399" t="s">
        <v>2293</v>
      </c>
      <c r="F928" s="399" t="s">
        <v>2294</v>
      </c>
      <c r="G928" s="399" t="s">
        <v>2221</v>
      </c>
      <c r="H928" s="1235"/>
    </row>
    <row r="929" spans="1:8" hidden="1">
      <c r="A929" s="495" t="s">
        <v>2292</v>
      </c>
      <c r="B929" s="399" t="s">
        <v>631</v>
      </c>
      <c r="C929" s="399" t="s">
        <v>108</v>
      </c>
      <c r="D929" s="399">
        <v>2570</v>
      </c>
      <c r="E929" s="399" t="s">
        <v>2293</v>
      </c>
      <c r="F929" s="399" t="s">
        <v>2294</v>
      </c>
      <c r="G929" s="399" t="s">
        <v>2221</v>
      </c>
      <c r="H929" s="1235"/>
    </row>
    <row r="930" spans="1:8" hidden="1">
      <c r="A930" s="495" t="s">
        <v>2292</v>
      </c>
      <c r="B930" s="399" t="s">
        <v>631</v>
      </c>
      <c r="C930" s="399" t="s">
        <v>108</v>
      </c>
      <c r="D930" s="399">
        <v>2571</v>
      </c>
      <c r="E930" s="399" t="s">
        <v>2293</v>
      </c>
      <c r="F930" s="399" t="s">
        <v>2294</v>
      </c>
      <c r="G930" s="399" t="s">
        <v>2221</v>
      </c>
      <c r="H930" s="1235"/>
    </row>
    <row r="931" spans="1:8" hidden="1">
      <c r="A931" s="495" t="s">
        <v>2292</v>
      </c>
      <c r="B931" s="399" t="s">
        <v>631</v>
      </c>
      <c r="C931" s="399" t="s">
        <v>108</v>
      </c>
      <c r="D931" s="399">
        <v>2572</v>
      </c>
      <c r="E931" s="399" t="s">
        <v>2293</v>
      </c>
      <c r="F931" s="399" t="s">
        <v>2294</v>
      </c>
      <c r="G931" s="399" t="s">
        <v>2221</v>
      </c>
      <c r="H931" s="1235"/>
    </row>
    <row r="932" spans="1:8" hidden="1">
      <c r="A932" s="495" t="s">
        <v>2292</v>
      </c>
      <c r="B932" s="399" t="s">
        <v>631</v>
      </c>
      <c r="C932" s="399" t="s">
        <v>108</v>
      </c>
      <c r="D932" s="399">
        <v>2573</v>
      </c>
      <c r="E932" s="399" t="s">
        <v>2293</v>
      </c>
      <c r="F932" s="399" t="s">
        <v>2294</v>
      </c>
      <c r="G932" s="399" t="s">
        <v>2221</v>
      </c>
      <c r="H932" s="1235"/>
    </row>
    <row r="933" spans="1:8" hidden="1">
      <c r="A933" s="495" t="s">
        <v>2292</v>
      </c>
      <c r="B933" s="399" t="s">
        <v>631</v>
      </c>
      <c r="C933" s="399" t="s">
        <v>108</v>
      </c>
      <c r="D933" s="399">
        <v>2574</v>
      </c>
      <c r="E933" s="399" t="s">
        <v>2293</v>
      </c>
      <c r="F933" s="399" t="s">
        <v>2294</v>
      </c>
      <c r="G933" s="399" t="s">
        <v>2221</v>
      </c>
      <c r="H933" s="1235"/>
    </row>
    <row r="934" spans="1:8" hidden="1">
      <c r="A934" s="495" t="s">
        <v>2292</v>
      </c>
      <c r="B934" s="399" t="s">
        <v>631</v>
      </c>
      <c r="C934" s="399" t="s">
        <v>108</v>
      </c>
      <c r="D934" s="399">
        <v>2575</v>
      </c>
      <c r="E934" s="399" t="s">
        <v>2293</v>
      </c>
      <c r="F934" s="399" t="s">
        <v>2294</v>
      </c>
      <c r="G934" s="399" t="s">
        <v>2221</v>
      </c>
      <c r="H934" s="1235"/>
    </row>
    <row r="935" spans="1:8" hidden="1">
      <c r="A935" s="495" t="s">
        <v>2292</v>
      </c>
      <c r="B935" s="399" t="s">
        <v>631</v>
      </c>
      <c r="C935" s="399" t="s">
        <v>108</v>
      </c>
      <c r="D935" s="399">
        <v>2576</v>
      </c>
      <c r="E935" s="399" t="s">
        <v>2293</v>
      </c>
      <c r="F935" s="399" t="s">
        <v>2294</v>
      </c>
      <c r="G935" s="399" t="s">
        <v>2221</v>
      </c>
      <c r="H935" s="1235"/>
    </row>
    <row r="936" spans="1:8" hidden="1">
      <c r="A936" s="495" t="s">
        <v>2292</v>
      </c>
      <c r="B936" s="399" t="s">
        <v>631</v>
      </c>
      <c r="C936" s="399" t="s">
        <v>108</v>
      </c>
      <c r="D936" s="399">
        <v>2577</v>
      </c>
      <c r="E936" s="399" t="s">
        <v>2293</v>
      </c>
      <c r="F936" s="399" t="s">
        <v>2294</v>
      </c>
      <c r="G936" s="399" t="s">
        <v>2221</v>
      </c>
      <c r="H936" s="1235"/>
    </row>
    <row r="937" spans="1:8" hidden="1">
      <c r="A937" s="495" t="s">
        <v>2292</v>
      </c>
      <c r="B937" s="399" t="s">
        <v>631</v>
      </c>
      <c r="C937" s="399" t="s">
        <v>108</v>
      </c>
      <c r="D937" s="399">
        <v>2578</v>
      </c>
      <c r="E937" s="399" t="s">
        <v>2293</v>
      </c>
      <c r="F937" s="399" t="s">
        <v>2294</v>
      </c>
      <c r="G937" s="399" t="s">
        <v>2221</v>
      </c>
      <c r="H937" s="1235"/>
    </row>
    <row r="938" spans="1:8" hidden="1">
      <c r="A938" s="495" t="s">
        <v>2292</v>
      </c>
      <c r="B938" s="399" t="s">
        <v>631</v>
      </c>
      <c r="C938" s="399" t="s">
        <v>108</v>
      </c>
      <c r="D938" s="399">
        <v>2579</v>
      </c>
      <c r="E938" s="399" t="s">
        <v>2293</v>
      </c>
      <c r="F938" s="399" t="s">
        <v>2294</v>
      </c>
      <c r="G938" s="399" t="s">
        <v>2221</v>
      </c>
      <c r="H938" s="1235"/>
    </row>
    <row r="939" spans="1:8" hidden="1">
      <c r="A939" s="495" t="s">
        <v>2292</v>
      </c>
      <c r="B939" s="399" t="s">
        <v>631</v>
      </c>
      <c r="C939" s="399" t="s">
        <v>108</v>
      </c>
      <c r="D939" s="399">
        <v>2580</v>
      </c>
      <c r="E939" s="399" t="s">
        <v>2293</v>
      </c>
      <c r="F939" s="399" t="s">
        <v>2294</v>
      </c>
      <c r="G939" s="399" t="s">
        <v>2221</v>
      </c>
      <c r="H939" s="1235"/>
    </row>
    <row r="940" spans="1:8" hidden="1">
      <c r="A940" s="495" t="s">
        <v>2292</v>
      </c>
      <c r="B940" s="399" t="s">
        <v>631</v>
      </c>
      <c r="C940" s="399" t="s">
        <v>108</v>
      </c>
      <c r="D940" s="399">
        <v>2581</v>
      </c>
      <c r="E940" s="399" t="s">
        <v>2293</v>
      </c>
      <c r="F940" s="399" t="s">
        <v>2294</v>
      </c>
      <c r="G940" s="399" t="s">
        <v>2221</v>
      </c>
      <c r="H940" s="1235"/>
    </row>
    <row r="941" spans="1:8" hidden="1">
      <c r="A941" s="495" t="s">
        <v>2292</v>
      </c>
      <c r="B941" s="399" t="s">
        <v>631</v>
      </c>
      <c r="C941" s="399" t="s">
        <v>108</v>
      </c>
      <c r="D941" s="399">
        <v>2582</v>
      </c>
      <c r="E941" s="399" t="s">
        <v>2293</v>
      </c>
      <c r="F941" s="399" t="s">
        <v>2294</v>
      </c>
      <c r="G941" s="399" t="s">
        <v>2221</v>
      </c>
      <c r="H941" s="1235"/>
    </row>
    <row r="942" spans="1:8" hidden="1">
      <c r="A942" s="495" t="s">
        <v>2292</v>
      </c>
      <c r="B942" s="399" t="s">
        <v>631</v>
      </c>
      <c r="C942" s="399" t="s">
        <v>108</v>
      </c>
      <c r="D942" s="399">
        <v>2583</v>
      </c>
      <c r="E942" s="399" t="s">
        <v>2293</v>
      </c>
      <c r="F942" s="399" t="s">
        <v>2294</v>
      </c>
      <c r="G942" s="399" t="s">
        <v>2221</v>
      </c>
      <c r="H942" s="1235"/>
    </row>
    <row r="943" spans="1:8" hidden="1">
      <c r="A943" s="495" t="s">
        <v>2292</v>
      </c>
      <c r="B943" s="399" t="s">
        <v>631</v>
      </c>
      <c r="C943" s="399" t="s">
        <v>108</v>
      </c>
      <c r="D943" s="399">
        <v>2584</v>
      </c>
      <c r="E943" s="399" t="s">
        <v>2293</v>
      </c>
      <c r="F943" s="399" t="s">
        <v>2294</v>
      </c>
      <c r="G943" s="399" t="s">
        <v>2221</v>
      </c>
      <c r="H943" s="1235"/>
    </row>
    <row r="944" spans="1:8" hidden="1">
      <c r="A944" s="495" t="s">
        <v>2292</v>
      </c>
      <c r="B944" s="399" t="s">
        <v>631</v>
      </c>
      <c r="C944" s="399" t="s">
        <v>108</v>
      </c>
      <c r="D944" s="399">
        <v>2585</v>
      </c>
      <c r="E944" s="399" t="s">
        <v>2293</v>
      </c>
      <c r="F944" s="399" t="s">
        <v>2294</v>
      </c>
      <c r="G944" s="399" t="s">
        <v>2221</v>
      </c>
      <c r="H944" s="1235"/>
    </row>
    <row r="945" spans="1:8" hidden="1">
      <c r="A945" s="495" t="s">
        <v>2292</v>
      </c>
      <c r="B945" s="399" t="s">
        <v>631</v>
      </c>
      <c r="C945" s="399" t="s">
        <v>108</v>
      </c>
      <c r="D945" s="399">
        <v>2586</v>
      </c>
      <c r="E945" s="399" t="s">
        <v>2293</v>
      </c>
      <c r="F945" s="399" t="s">
        <v>2294</v>
      </c>
      <c r="G945" s="399" t="s">
        <v>2221</v>
      </c>
      <c r="H945" s="1235"/>
    </row>
    <row r="946" spans="1:8" hidden="1">
      <c r="A946" s="495" t="s">
        <v>2292</v>
      </c>
      <c r="B946" s="399" t="s">
        <v>631</v>
      </c>
      <c r="C946" s="399" t="s">
        <v>108</v>
      </c>
      <c r="D946" s="399">
        <v>2587</v>
      </c>
      <c r="E946" s="399" t="s">
        <v>2293</v>
      </c>
      <c r="F946" s="399" t="s">
        <v>2294</v>
      </c>
      <c r="G946" s="399" t="s">
        <v>2221</v>
      </c>
      <c r="H946" s="1235"/>
    </row>
    <row r="947" spans="1:8" hidden="1">
      <c r="A947" s="495" t="s">
        <v>2292</v>
      </c>
      <c r="B947" s="399" t="s">
        <v>631</v>
      </c>
      <c r="C947" s="399" t="s">
        <v>108</v>
      </c>
      <c r="D947" s="399">
        <v>2588</v>
      </c>
      <c r="E947" s="399" t="s">
        <v>2293</v>
      </c>
      <c r="F947" s="399" t="s">
        <v>2294</v>
      </c>
      <c r="G947" s="399" t="s">
        <v>2221</v>
      </c>
      <c r="H947" s="1235"/>
    </row>
    <row r="948" spans="1:8" hidden="1">
      <c r="A948" s="495" t="s">
        <v>2292</v>
      </c>
      <c r="B948" s="399" t="s">
        <v>631</v>
      </c>
      <c r="C948" s="399" t="s">
        <v>108</v>
      </c>
      <c r="D948" s="399">
        <v>2589</v>
      </c>
      <c r="E948" s="399" t="s">
        <v>2293</v>
      </c>
      <c r="F948" s="399" t="s">
        <v>2294</v>
      </c>
      <c r="G948" s="399" t="s">
        <v>2221</v>
      </c>
      <c r="H948" s="1235"/>
    </row>
    <row r="949" spans="1:8" hidden="1">
      <c r="A949" s="495" t="s">
        <v>2292</v>
      </c>
      <c r="B949" s="399" t="s">
        <v>631</v>
      </c>
      <c r="C949" s="399" t="s">
        <v>108</v>
      </c>
      <c r="D949" s="399">
        <v>2590</v>
      </c>
      <c r="E949" s="399" t="s">
        <v>2293</v>
      </c>
      <c r="F949" s="399" t="s">
        <v>2294</v>
      </c>
      <c r="G949" s="399" t="s">
        <v>2221</v>
      </c>
      <c r="H949" s="1235"/>
    </row>
    <row r="950" spans="1:8" hidden="1">
      <c r="A950" s="495" t="s">
        <v>2292</v>
      </c>
      <c r="B950" s="399" t="s">
        <v>631</v>
      </c>
      <c r="C950" s="399" t="s">
        <v>108</v>
      </c>
      <c r="D950" s="399">
        <v>2591</v>
      </c>
      <c r="E950" s="399" t="s">
        <v>2293</v>
      </c>
      <c r="F950" s="399" t="s">
        <v>2294</v>
      </c>
      <c r="G950" s="399" t="s">
        <v>2221</v>
      </c>
      <c r="H950" s="1235"/>
    </row>
    <row r="951" spans="1:8" hidden="1">
      <c r="A951" s="495" t="s">
        <v>2292</v>
      </c>
      <c r="B951" s="399" t="s">
        <v>631</v>
      </c>
      <c r="C951" s="399" t="s">
        <v>108</v>
      </c>
      <c r="D951" s="399">
        <v>2592</v>
      </c>
      <c r="E951" s="399" t="s">
        <v>2293</v>
      </c>
      <c r="F951" s="399" t="s">
        <v>2294</v>
      </c>
      <c r="G951" s="399" t="s">
        <v>2221</v>
      </c>
      <c r="H951" s="1235"/>
    </row>
    <row r="952" spans="1:8" hidden="1">
      <c r="A952" s="495" t="s">
        <v>2292</v>
      </c>
      <c r="B952" s="399" t="s">
        <v>631</v>
      </c>
      <c r="C952" s="399" t="s">
        <v>108</v>
      </c>
      <c r="D952" s="399">
        <v>2593</v>
      </c>
      <c r="E952" s="399" t="s">
        <v>2293</v>
      </c>
      <c r="F952" s="399" t="s">
        <v>2294</v>
      </c>
      <c r="G952" s="399" t="s">
        <v>2221</v>
      </c>
      <c r="H952" s="1235"/>
    </row>
    <row r="953" spans="1:8" hidden="1">
      <c r="A953" s="495" t="s">
        <v>2292</v>
      </c>
      <c r="B953" s="399" t="s">
        <v>631</v>
      </c>
      <c r="C953" s="399" t="s">
        <v>108</v>
      </c>
      <c r="D953" s="399">
        <v>2594</v>
      </c>
      <c r="E953" s="399" t="s">
        <v>2293</v>
      </c>
      <c r="F953" s="399" t="s">
        <v>2294</v>
      </c>
      <c r="G953" s="399" t="s">
        <v>2221</v>
      </c>
      <c r="H953" s="1235"/>
    </row>
    <row r="954" spans="1:8" hidden="1">
      <c r="A954" s="495" t="s">
        <v>2292</v>
      </c>
      <c r="B954" s="399" t="s">
        <v>631</v>
      </c>
      <c r="C954" s="399" t="s">
        <v>108</v>
      </c>
      <c r="D954" s="399">
        <v>2595</v>
      </c>
      <c r="E954" s="399" t="s">
        <v>2293</v>
      </c>
      <c r="F954" s="399" t="s">
        <v>2294</v>
      </c>
      <c r="G954" s="399" t="s">
        <v>2221</v>
      </c>
      <c r="H954" s="1235"/>
    </row>
    <row r="955" spans="1:8" hidden="1">
      <c r="A955" s="495" t="s">
        <v>2292</v>
      </c>
      <c r="B955" s="399" t="s">
        <v>631</v>
      </c>
      <c r="C955" s="399" t="s">
        <v>108</v>
      </c>
      <c r="D955" s="399">
        <v>2596</v>
      </c>
      <c r="E955" s="399" t="s">
        <v>2293</v>
      </c>
      <c r="F955" s="399" t="s">
        <v>2294</v>
      </c>
      <c r="G955" s="399" t="s">
        <v>2221</v>
      </c>
      <c r="H955" s="1235"/>
    </row>
    <row r="956" spans="1:8" hidden="1">
      <c r="A956" s="495" t="s">
        <v>2292</v>
      </c>
      <c r="B956" s="399" t="s">
        <v>631</v>
      </c>
      <c r="C956" s="399" t="s">
        <v>108</v>
      </c>
      <c r="D956" s="399">
        <v>2597</v>
      </c>
      <c r="E956" s="399" t="s">
        <v>2293</v>
      </c>
      <c r="F956" s="399" t="s">
        <v>2294</v>
      </c>
      <c r="G956" s="399" t="s">
        <v>2221</v>
      </c>
      <c r="H956" s="1235"/>
    </row>
    <row r="957" spans="1:8" hidden="1">
      <c r="A957" s="495" t="s">
        <v>2292</v>
      </c>
      <c r="B957" s="399" t="s">
        <v>631</v>
      </c>
      <c r="C957" s="399" t="s">
        <v>108</v>
      </c>
      <c r="D957" s="399">
        <v>2598</v>
      </c>
      <c r="E957" s="399" t="s">
        <v>2293</v>
      </c>
      <c r="F957" s="399" t="s">
        <v>2294</v>
      </c>
      <c r="G957" s="399" t="s">
        <v>2221</v>
      </c>
      <c r="H957" s="1235"/>
    </row>
    <row r="958" spans="1:8" hidden="1">
      <c r="A958" s="495" t="s">
        <v>2292</v>
      </c>
      <c r="B958" s="399" t="s">
        <v>631</v>
      </c>
      <c r="C958" s="399" t="s">
        <v>108</v>
      </c>
      <c r="D958" s="399">
        <v>2599</v>
      </c>
      <c r="E958" s="399" t="s">
        <v>2293</v>
      </c>
      <c r="F958" s="399" t="s">
        <v>2294</v>
      </c>
      <c r="G958" s="399" t="s">
        <v>2221</v>
      </c>
      <c r="H958" s="1235"/>
    </row>
    <row r="959" spans="1:8" hidden="1">
      <c r="A959" s="495" t="s">
        <v>2292</v>
      </c>
      <c r="B959" s="399" t="s">
        <v>631</v>
      </c>
      <c r="C959" s="399" t="s">
        <v>108</v>
      </c>
      <c r="D959" s="399">
        <v>2600</v>
      </c>
      <c r="E959" s="399" t="s">
        <v>2293</v>
      </c>
      <c r="F959" s="399" t="s">
        <v>2294</v>
      </c>
      <c r="G959" s="399" t="s">
        <v>2221</v>
      </c>
      <c r="H959" s="1235"/>
    </row>
    <row r="960" spans="1:8" hidden="1">
      <c r="A960" s="495" t="s">
        <v>2292</v>
      </c>
      <c r="B960" s="399" t="s">
        <v>631</v>
      </c>
      <c r="C960" s="399" t="s">
        <v>108</v>
      </c>
      <c r="D960" s="399">
        <v>2602</v>
      </c>
      <c r="E960" s="399" t="s">
        <v>2293</v>
      </c>
      <c r="F960" s="399" t="s">
        <v>2294</v>
      </c>
      <c r="G960" s="399" t="s">
        <v>2221</v>
      </c>
      <c r="H960" s="1235"/>
    </row>
    <row r="961" spans="1:8" hidden="1">
      <c r="A961" s="495" t="s">
        <v>2292</v>
      </c>
      <c r="B961" s="399" t="s">
        <v>631</v>
      </c>
      <c r="C961" s="399" t="s">
        <v>108</v>
      </c>
      <c r="D961" s="399">
        <v>2603</v>
      </c>
      <c r="E961" s="399" t="s">
        <v>2293</v>
      </c>
      <c r="F961" s="399" t="s">
        <v>2294</v>
      </c>
      <c r="G961" s="399" t="s">
        <v>2221</v>
      </c>
      <c r="H961" s="1235"/>
    </row>
    <row r="962" spans="1:8" hidden="1">
      <c r="A962" s="495" t="s">
        <v>2292</v>
      </c>
      <c r="B962" s="399" t="s">
        <v>631</v>
      </c>
      <c r="C962" s="399" t="s">
        <v>108</v>
      </c>
      <c r="D962" s="399">
        <v>2604</v>
      </c>
      <c r="E962" s="399" t="s">
        <v>2293</v>
      </c>
      <c r="F962" s="399" t="s">
        <v>2294</v>
      </c>
      <c r="G962" s="399" t="s">
        <v>2221</v>
      </c>
      <c r="H962" s="1235"/>
    </row>
    <row r="963" spans="1:8" hidden="1">
      <c r="A963" s="495" t="s">
        <v>2292</v>
      </c>
      <c r="B963" s="399" t="s">
        <v>631</v>
      </c>
      <c r="C963" s="399" t="s">
        <v>108</v>
      </c>
      <c r="D963" s="399">
        <v>2606</v>
      </c>
      <c r="E963" s="399" t="s">
        <v>2293</v>
      </c>
      <c r="F963" s="399" t="s">
        <v>2294</v>
      </c>
      <c r="G963" s="399" t="s">
        <v>2221</v>
      </c>
      <c r="H963" s="1235"/>
    </row>
    <row r="964" spans="1:8" hidden="1">
      <c r="A964" s="495" t="s">
        <v>2292</v>
      </c>
      <c r="B964" s="399" t="s">
        <v>631</v>
      </c>
      <c r="C964" s="399" t="s">
        <v>108</v>
      </c>
      <c r="D964" s="399">
        <v>2614</v>
      </c>
      <c r="E964" s="399" t="s">
        <v>2293</v>
      </c>
      <c r="F964" s="399" t="s">
        <v>2294</v>
      </c>
      <c r="G964" s="399" t="s">
        <v>2221</v>
      </c>
      <c r="H964" s="1235"/>
    </row>
    <row r="965" spans="1:8" hidden="1">
      <c r="A965" s="495" t="s">
        <v>2292</v>
      </c>
      <c r="B965" s="399" t="s">
        <v>631</v>
      </c>
      <c r="C965" s="399" t="s">
        <v>108</v>
      </c>
      <c r="D965" s="399">
        <v>2627</v>
      </c>
      <c r="E965" s="399" t="s">
        <v>2293</v>
      </c>
      <c r="F965" s="399" t="s">
        <v>2294</v>
      </c>
      <c r="G965" s="399" t="s">
        <v>2221</v>
      </c>
      <c r="H965" s="1235"/>
    </row>
    <row r="966" spans="1:8" hidden="1">
      <c r="A966" s="495" t="s">
        <v>2292</v>
      </c>
      <c r="B966" s="399" t="s">
        <v>631</v>
      </c>
      <c r="C966" s="399" t="s">
        <v>108</v>
      </c>
      <c r="D966" s="399">
        <v>3001</v>
      </c>
      <c r="E966" s="399" t="s">
        <v>2296</v>
      </c>
      <c r="F966" s="399" t="s">
        <v>2300</v>
      </c>
      <c r="G966" s="399" t="s">
        <v>2221</v>
      </c>
      <c r="H966" s="1235"/>
    </row>
    <row r="967" spans="1:8" hidden="1">
      <c r="A967" s="495" t="s">
        <v>2292</v>
      </c>
      <c r="B967" s="399" t="s">
        <v>631</v>
      </c>
      <c r="C967" s="399" t="s">
        <v>108</v>
      </c>
      <c r="D967" s="399">
        <v>3002</v>
      </c>
      <c r="E967" s="399" t="s">
        <v>2293</v>
      </c>
      <c r="F967" s="399" t="s">
        <v>2294</v>
      </c>
      <c r="G967" s="399" t="s">
        <v>2221</v>
      </c>
      <c r="H967" s="1235"/>
    </row>
    <row r="968" spans="1:8" hidden="1">
      <c r="A968" s="495" t="s">
        <v>2292</v>
      </c>
      <c r="B968" s="399" t="s">
        <v>631</v>
      </c>
      <c r="C968" s="399" t="s">
        <v>108</v>
      </c>
      <c r="D968" s="399">
        <v>3003</v>
      </c>
      <c r="E968" s="399" t="s">
        <v>2293</v>
      </c>
      <c r="F968" s="399" t="s">
        <v>2294</v>
      </c>
      <c r="G968" s="399" t="s">
        <v>2221</v>
      </c>
      <c r="H968" s="1235"/>
    </row>
    <row r="969" spans="1:8" hidden="1">
      <c r="A969" s="495" t="s">
        <v>2292</v>
      </c>
      <c r="B969" s="399" t="s">
        <v>631</v>
      </c>
      <c r="C969" s="399" t="s">
        <v>108</v>
      </c>
      <c r="D969" s="399">
        <v>3004</v>
      </c>
      <c r="E969" s="399" t="s">
        <v>2293</v>
      </c>
      <c r="F969" s="399" t="s">
        <v>2294</v>
      </c>
      <c r="G969" s="399" t="s">
        <v>2221</v>
      </c>
      <c r="H969" s="1235"/>
    </row>
    <row r="970" spans="1:8" hidden="1">
      <c r="A970" s="495" t="s">
        <v>2292</v>
      </c>
      <c r="B970" s="399" t="s">
        <v>631</v>
      </c>
      <c r="C970" s="399" t="s">
        <v>108</v>
      </c>
      <c r="D970" s="399">
        <v>3005</v>
      </c>
      <c r="E970" s="399" t="s">
        <v>2293</v>
      </c>
      <c r="F970" s="399" t="s">
        <v>2294</v>
      </c>
      <c r="G970" s="399" t="s">
        <v>2221</v>
      </c>
      <c r="H970" s="1235"/>
    </row>
    <row r="971" spans="1:8" hidden="1">
      <c r="A971" s="495" t="s">
        <v>2292</v>
      </c>
      <c r="B971" s="399" t="s">
        <v>631</v>
      </c>
      <c r="C971" s="399" t="s">
        <v>108</v>
      </c>
      <c r="D971" s="399">
        <v>3006</v>
      </c>
      <c r="E971" s="399" t="s">
        <v>2293</v>
      </c>
      <c r="F971" s="399" t="s">
        <v>2294</v>
      </c>
      <c r="G971" s="399" t="s">
        <v>2221</v>
      </c>
      <c r="H971" s="1235"/>
    </row>
    <row r="972" spans="1:8" hidden="1">
      <c r="A972" s="495" t="s">
        <v>2292</v>
      </c>
      <c r="B972" s="399" t="s">
        <v>631</v>
      </c>
      <c r="C972" s="399" t="s">
        <v>108</v>
      </c>
      <c r="D972" s="399">
        <v>3007</v>
      </c>
      <c r="E972" s="399" t="s">
        <v>2293</v>
      </c>
      <c r="F972" s="399" t="s">
        <v>2294</v>
      </c>
      <c r="G972" s="399" t="s">
        <v>2221</v>
      </c>
      <c r="H972" s="1235"/>
    </row>
    <row r="973" spans="1:8" hidden="1">
      <c r="A973" s="495" t="s">
        <v>2292</v>
      </c>
      <c r="B973" s="399" t="s">
        <v>631</v>
      </c>
      <c r="C973" s="399" t="s">
        <v>108</v>
      </c>
      <c r="D973" s="399">
        <v>3008</v>
      </c>
      <c r="E973" s="399" t="s">
        <v>2293</v>
      </c>
      <c r="F973" s="399" t="s">
        <v>2294</v>
      </c>
      <c r="G973" s="399" t="s">
        <v>2221</v>
      </c>
      <c r="H973" s="1235"/>
    </row>
    <row r="974" spans="1:8" hidden="1">
      <c r="A974" s="495" t="s">
        <v>2292</v>
      </c>
      <c r="B974" s="399" t="s">
        <v>631</v>
      </c>
      <c r="C974" s="399" t="s">
        <v>108</v>
      </c>
      <c r="D974" s="399">
        <v>3009</v>
      </c>
      <c r="E974" s="399" t="s">
        <v>2293</v>
      </c>
      <c r="F974" s="399" t="s">
        <v>2294</v>
      </c>
      <c r="G974" s="399" t="s">
        <v>2221</v>
      </c>
      <c r="H974" s="1235"/>
    </row>
    <row r="975" spans="1:8" hidden="1">
      <c r="A975" s="495" t="s">
        <v>2292</v>
      </c>
      <c r="B975" s="399" t="s">
        <v>631</v>
      </c>
      <c r="C975" s="399" t="s">
        <v>108</v>
      </c>
      <c r="D975" s="399">
        <v>3010</v>
      </c>
      <c r="E975" s="399" t="s">
        <v>2293</v>
      </c>
      <c r="F975" s="399" t="s">
        <v>2294</v>
      </c>
      <c r="G975" s="399" t="s">
        <v>2221</v>
      </c>
      <c r="H975" s="1235"/>
    </row>
    <row r="976" spans="1:8" hidden="1">
      <c r="A976" s="495" t="s">
        <v>2292</v>
      </c>
      <c r="B976" s="399" t="s">
        <v>631</v>
      </c>
      <c r="C976" s="399" t="s">
        <v>108</v>
      </c>
      <c r="D976" s="399">
        <v>3011</v>
      </c>
      <c r="E976" s="399" t="s">
        <v>2293</v>
      </c>
      <c r="F976" s="399" t="s">
        <v>2294</v>
      </c>
      <c r="G976" s="399" t="s">
        <v>2221</v>
      </c>
      <c r="H976" s="1235"/>
    </row>
    <row r="977" spans="1:8" hidden="1">
      <c r="A977" s="495" t="s">
        <v>2292</v>
      </c>
      <c r="B977" s="399" t="s">
        <v>631</v>
      </c>
      <c r="C977" s="399" t="s">
        <v>108</v>
      </c>
      <c r="D977" s="399">
        <v>3012</v>
      </c>
      <c r="E977" s="399" t="s">
        <v>2293</v>
      </c>
      <c r="F977" s="399" t="s">
        <v>2294</v>
      </c>
      <c r="G977" s="399" t="s">
        <v>2221</v>
      </c>
      <c r="H977" s="1235"/>
    </row>
    <row r="978" spans="1:8" hidden="1">
      <c r="A978" s="495" t="s">
        <v>2292</v>
      </c>
      <c r="B978" s="399" t="s">
        <v>631</v>
      </c>
      <c r="C978" s="399" t="s">
        <v>108</v>
      </c>
      <c r="D978" s="399">
        <v>3013</v>
      </c>
      <c r="E978" s="399" t="s">
        <v>2293</v>
      </c>
      <c r="F978" s="399" t="s">
        <v>2294</v>
      </c>
      <c r="G978" s="399" t="s">
        <v>2221</v>
      </c>
      <c r="H978" s="1235"/>
    </row>
    <row r="979" spans="1:8" hidden="1">
      <c r="A979" s="495" t="s">
        <v>2292</v>
      </c>
      <c r="B979" s="399" t="s">
        <v>631</v>
      </c>
      <c r="C979" s="399" t="s">
        <v>108</v>
      </c>
      <c r="D979" s="399">
        <v>3014</v>
      </c>
      <c r="E979" s="399" t="s">
        <v>2293</v>
      </c>
      <c r="F979" s="399" t="s">
        <v>2294</v>
      </c>
      <c r="G979" s="399" t="s">
        <v>2221</v>
      </c>
      <c r="H979" s="1235"/>
    </row>
    <row r="980" spans="1:8" hidden="1">
      <c r="A980" s="495" t="s">
        <v>2292</v>
      </c>
      <c r="B980" s="399" t="s">
        <v>631</v>
      </c>
      <c r="C980" s="399" t="s">
        <v>108</v>
      </c>
      <c r="D980" s="399">
        <v>3015</v>
      </c>
      <c r="E980" s="399" t="s">
        <v>2293</v>
      </c>
      <c r="F980" s="399" t="s">
        <v>2294</v>
      </c>
      <c r="G980" s="399" t="s">
        <v>2221</v>
      </c>
      <c r="H980" s="1235"/>
    </row>
    <row r="981" spans="1:8" hidden="1">
      <c r="A981" s="495" t="s">
        <v>2292</v>
      </c>
      <c r="B981" s="399" t="s">
        <v>631</v>
      </c>
      <c r="C981" s="399" t="s">
        <v>108</v>
      </c>
      <c r="D981" s="399">
        <v>3016</v>
      </c>
      <c r="E981" s="399" t="s">
        <v>2293</v>
      </c>
      <c r="F981" s="399" t="s">
        <v>2294</v>
      </c>
      <c r="G981" s="399" t="s">
        <v>2221</v>
      </c>
      <c r="H981" s="1235"/>
    </row>
    <row r="982" spans="1:8" hidden="1">
      <c r="A982" s="495" t="s">
        <v>2292</v>
      </c>
      <c r="B982" s="399" t="s">
        <v>631</v>
      </c>
      <c r="C982" s="399" t="s">
        <v>108</v>
      </c>
      <c r="D982" s="399">
        <v>3017</v>
      </c>
      <c r="E982" s="399" t="s">
        <v>2293</v>
      </c>
      <c r="F982" s="399" t="s">
        <v>2294</v>
      </c>
      <c r="G982" s="399" t="s">
        <v>2221</v>
      </c>
      <c r="H982" s="1235"/>
    </row>
    <row r="983" spans="1:8" hidden="1">
      <c r="A983" s="495" t="s">
        <v>2292</v>
      </c>
      <c r="B983" s="399" t="s">
        <v>631</v>
      </c>
      <c r="C983" s="399" t="s">
        <v>108</v>
      </c>
      <c r="D983" s="399">
        <v>3018</v>
      </c>
      <c r="E983" s="399" t="s">
        <v>2293</v>
      </c>
      <c r="F983" s="399" t="s">
        <v>2294</v>
      </c>
      <c r="G983" s="399" t="s">
        <v>2221</v>
      </c>
      <c r="H983" s="1235"/>
    </row>
    <row r="984" spans="1:8" hidden="1">
      <c r="A984" s="495" t="s">
        <v>2292</v>
      </c>
      <c r="B984" s="399" t="s">
        <v>631</v>
      </c>
      <c r="C984" s="399" t="s">
        <v>108</v>
      </c>
      <c r="D984" s="399">
        <v>3019</v>
      </c>
      <c r="E984" s="399" t="s">
        <v>2293</v>
      </c>
      <c r="F984" s="399" t="s">
        <v>2294</v>
      </c>
      <c r="G984" s="399" t="s">
        <v>2221</v>
      </c>
      <c r="H984" s="1235"/>
    </row>
    <row r="985" spans="1:8" hidden="1">
      <c r="A985" s="495" t="s">
        <v>2292</v>
      </c>
      <c r="B985" s="399" t="s">
        <v>631</v>
      </c>
      <c r="C985" s="399" t="s">
        <v>108</v>
      </c>
      <c r="D985" s="399">
        <v>3020</v>
      </c>
      <c r="E985" s="399" t="s">
        <v>2293</v>
      </c>
      <c r="F985" s="399" t="s">
        <v>2294</v>
      </c>
      <c r="G985" s="399" t="s">
        <v>2221</v>
      </c>
      <c r="H985" s="1235"/>
    </row>
    <row r="986" spans="1:8" hidden="1">
      <c r="A986" s="495" t="s">
        <v>2292</v>
      </c>
      <c r="B986" s="399" t="s">
        <v>631</v>
      </c>
      <c r="C986" s="399" t="s">
        <v>108</v>
      </c>
      <c r="D986" s="399">
        <v>3021</v>
      </c>
      <c r="E986" s="399" t="s">
        <v>2293</v>
      </c>
      <c r="F986" s="399" t="s">
        <v>2294</v>
      </c>
      <c r="G986" s="399" t="s">
        <v>2221</v>
      </c>
      <c r="H986" s="1235"/>
    </row>
    <row r="987" spans="1:8" hidden="1">
      <c r="A987" s="495" t="s">
        <v>2292</v>
      </c>
      <c r="B987" s="399" t="s">
        <v>631</v>
      </c>
      <c r="C987" s="399" t="s">
        <v>108</v>
      </c>
      <c r="D987" s="399">
        <v>3022</v>
      </c>
      <c r="E987" s="399" t="s">
        <v>2293</v>
      </c>
      <c r="F987" s="399" t="s">
        <v>2294</v>
      </c>
      <c r="G987" s="399" t="s">
        <v>2221</v>
      </c>
      <c r="H987" s="1235"/>
    </row>
    <row r="988" spans="1:8" hidden="1">
      <c r="A988" s="495" t="s">
        <v>2292</v>
      </c>
      <c r="B988" s="399" t="s">
        <v>631</v>
      </c>
      <c r="C988" s="399" t="s">
        <v>108</v>
      </c>
      <c r="D988" s="399">
        <v>3023</v>
      </c>
      <c r="E988" s="399" t="s">
        <v>2293</v>
      </c>
      <c r="F988" s="399" t="s">
        <v>2294</v>
      </c>
      <c r="G988" s="399" t="s">
        <v>2221</v>
      </c>
      <c r="H988" s="1235"/>
    </row>
    <row r="989" spans="1:8" hidden="1">
      <c r="A989" s="495" t="s">
        <v>2292</v>
      </c>
      <c r="B989" s="399" t="s">
        <v>631</v>
      </c>
      <c r="C989" s="399" t="s">
        <v>108</v>
      </c>
      <c r="D989" s="399">
        <v>3024</v>
      </c>
      <c r="E989" s="399" t="s">
        <v>2293</v>
      </c>
      <c r="F989" s="399" t="s">
        <v>2294</v>
      </c>
      <c r="G989" s="399" t="s">
        <v>2221</v>
      </c>
      <c r="H989" s="1235"/>
    </row>
    <row r="990" spans="1:8" hidden="1">
      <c r="A990" s="495" t="s">
        <v>2292</v>
      </c>
      <c r="B990" s="399" t="s">
        <v>631</v>
      </c>
      <c r="C990" s="399" t="s">
        <v>108</v>
      </c>
      <c r="D990" s="399">
        <v>3025</v>
      </c>
      <c r="E990" s="399" t="s">
        <v>2293</v>
      </c>
      <c r="F990" s="399" t="s">
        <v>2294</v>
      </c>
      <c r="G990" s="399" t="s">
        <v>2221</v>
      </c>
      <c r="H990" s="1235"/>
    </row>
    <row r="991" spans="1:8" hidden="1">
      <c r="A991" s="495" t="s">
        <v>2292</v>
      </c>
      <c r="B991" s="399" t="s">
        <v>631</v>
      </c>
      <c r="C991" s="399" t="s">
        <v>108</v>
      </c>
      <c r="D991" s="399">
        <v>3026</v>
      </c>
      <c r="E991" s="399" t="s">
        <v>2293</v>
      </c>
      <c r="F991" s="399" t="s">
        <v>2294</v>
      </c>
      <c r="G991" s="399" t="s">
        <v>2221</v>
      </c>
      <c r="H991" s="1235"/>
    </row>
    <row r="992" spans="1:8" hidden="1">
      <c r="A992" s="495" t="s">
        <v>2292</v>
      </c>
      <c r="B992" s="399" t="s">
        <v>631</v>
      </c>
      <c r="C992" s="399" t="s">
        <v>108</v>
      </c>
      <c r="D992" s="399">
        <v>3027</v>
      </c>
      <c r="E992" s="399" t="s">
        <v>2293</v>
      </c>
      <c r="F992" s="399" t="s">
        <v>2294</v>
      </c>
      <c r="G992" s="399" t="s">
        <v>2221</v>
      </c>
      <c r="H992" s="1235"/>
    </row>
    <row r="993" spans="1:8" hidden="1">
      <c r="A993" s="495" t="s">
        <v>2292</v>
      </c>
      <c r="B993" s="399" t="s">
        <v>631</v>
      </c>
      <c r="C993" s="399" t="s">
        <v>108</v>
      </c>
      <c r="D993" s="399">
        <v>3028</v>
      </c>
      <c r="E993" s="399" t="s">
        <v>2293</v>
      </c>
      <c r="F993" s="399" t="s">
        <v>2294</v>
      </c>
      <c r="G993" s="399" t="s">
        <v>2221</v>
      </c>
      <c r="H993" s="1235"/>
    </row>
    <row r="994" spans="1:8" hidden="1">
      <c r="A994" s="495" t="s">
        <v>2292</v>
      </c>
      <c r="B994" s="399" t="s">
        <v>631</v>
      </c>
      <c r="C994" s="399" t="s">
        <v>108</v>
      </c>
      <c r="D994" s="399">
        <v>3029</v>
      </c>
      <c r="E994" s="399" t="s">
        <v>2293</v>
      </c>
      <c r="F994" s="399" t="s">
        <v>2294</v>
      </c>
      <c r="G994" s="399" t="s">
        <v>2221</v>
      </c>
      <c r="H994" s="1235"/>
    </row>
    <row r="995" spans="1:8" hidden="1">
      <c r="A995" s="495" t="s">
        <v>2292</v>
      </c>
      <c r="B995" s="399" t="s">
        <v>631</v>
      </c>
      <c r="C995" s="399" t="s">
        <v>108</v>
      </c>
      <c r="D995" s="399">
        <v>3030</v>
      </c>
      <c r="E995" s="399" t="s">
        <v>2293</v>
      </c>
      <c r="F995" s="399" t="s">
        <v>2294</v>
      </c>
      <c r="G995" s="399" t="s">
        <v>2221</v>
      </c>
      <c r="H995" s="1235"/>
    </row>
    <row r="996" spans="1:8" hidden="1">
      <c r="A996" s="495" t="s">
        <v>2292</v>
      </c>
      <c r="B996" s="399" t="s">
        <v>631</v>
      </c>
      <c r="C996" s="399" t="s">
        <v>108</v>
      </c>
      <c r="D996" s="399">
        <v>3031</v>
      </c>
      <c r="E996" s="399" t="s">
        <v>2293</v>
      </c>
      <c r="F996" s="399" t="s">
        <v>2294</v>
      </c>
      <c r="G996" s="399" t="s">
        <v>2221</v>
      </c>
      <c r="H996" s="1235"/>
    </row>
    <row r="997" spans="1:8" hidden="1">
      <c r="A997" s="495" t="s">
        <v>2292</v>
      </c>
      <c r="B997" s="399" t="s">
        <v>631</v>
      </c>
      <c r="C997" s="399" t="s">
        <v>108</v>
      </c>
      <c r="D997" s="399">
        <v>3032</v>
      </c>
      <c r="E997" s="399" t="s">
        <v>2293</v>
      </c>
      <c r="F997" s="399" t="s">
        <v>2294</v>
      </c>
      <c r="G997" s="399" t="s">
        <v>2221</v>
      </c>
      <c r="H997" s="1235"/>
    </row>
    <row r="998" spans="1:8" hidden="1">
      <c r="A998" s="495" t="s">
        <v>2292</v>
      </c>
      <c r="B998" s="399" t="s">
        <v>631</v>
      </c>
      <c r="C998" s="399" t="s">
        <v>108</v>
      </c>
      <c r="D998" s="399">
        <v>3033</v>
      </c>
      <c r="E998" s="399" t="s">
        <v>2293</v>
      </c>
      <c r="F998" s="399" t="s">
        <v>2294</v>
      </c>
      <c r="G998" s="399" t="s">
        <v>2221</v>
      </c>
      <c r="H998" s="1235"/>
    </row>
    <row r="999" spans="1:8" hidden="1">
      <c r="A999" s="495" t="s">
        <v>2292</v>
      </c>
      <c r="B999" s="399" t="s">
        <v>631</v>
      </c>
      <c r="C999" s="399" t="s">
        <v>108</v>
      </c>
      <c r="D999" s="399">
        <v>3034</v>
      </c>
      <c r="E999" s="399" t="s">
        <v>2293</v>
      </c>
      <c r="F999" s="399" t="s">
        <v>2294</v>
      </c>
      <c r="G999" s="399" t="s">
        <v>2221</v>
      </c>
      <c r="H999" s="1235"/>
    </row>
    <row r="1000" spans="1:8" hidden="1">
      <c r="A1000" s="495" t="s">
        <v>2292</v>
      </c>
      <c r="B1000" s="399" t="s">
        <v>631</v>
      </c>
      <c r="C1000" s="399" t="s">
        <v>108</v>
      </c>
      <c r="D1000" s="399">
        <v>3035</v>
      </c>
      <c r="E1000" s="399" t="s">
        <v>2293</v>
      </c>
      <c r="F1000" s="399" t="s">
        <v>2294</v>
      </c>
      <c r="G1000" s="399" t="s">
        <v>2221</v>
      </c>
      <c r="H1000" s="1235"/>
    </row>
    <row r="1001" spans="1:8" hidden="1">
      <c r="A1001" s="495" t="s">
        <v>2292</v>
      </c>
      <c r="B1001" s="399" t="s">
        <v>631</v>
      </c>
      <c r="C1001" s="399" t="s">
        <v>108</v>
      </c>
      <c r="D1001" s="399">
        <v>3036</v>
      </c>
      <c r="E1001" s="399" t="s">
        <v>2293</v>
      </c>
      <c r="F1001" s="399" t="s">
        <v>2294</v>
      </c>
      <c r="G1001" s="399" t="s">
        <v>2221</v>
      </c>
      <c r="H1001" s="1235"/>
    </row>
    <row r="1002" spans="1:8" hidden="1">
      <c r="A1002" s="495" t="s">
        <v>2292</v>
      </c>
      <c r="B1002" s="399" t="s">
        <v>631</v>
      </c>
      <c r="C1002" s="399" t="s">
        <v>108</v>
      </c>
      <c r="D1002" s="399">
        <v>3037</v>
      </c>
      <c r="E1002" s="399" t="s">
        <v>2293</v>
      </c>
      <c r="F1002" s="399" t="s">
        <v>2294</v>
      </c>
      <c r="G1002" s="399" t="s">
        <v>2221</v>
      </c>
      <c r="H1002" s="1235"/>
    </row>
    <row r="1003" spans="1:8" hidden="1">
      <c r="A1003" s="495" t="s">
        <v>2292</v>
      </c>
      <c r="B1003" s="399" t="s">
        <v>631</v>
      </c>
      <c r="C1003" s="399" t="s">
        <v>108</v>
      </c>
      <c r="D1003" s="399">
        <v>3038</v>
      </c>
      <c r="E1003" s="399" t="s">
        <v>2293</v>
      </c>
      <c r="F1003" s="399" t="s">
        <v>2294</v>
      </c>
      <c r="G1003" s="399" t="s">
        <v>2221</v>
      </c>
      <c r="H1003" s="1235"/>
    </row>
    <row r="1004" spans="1:8" hidden="1">
      <c r="A1004" s="495" t="s">
        <v>2292</v>
      </c>
      <c r="B1004" s="399" t="s">
        <v>631</v>
      </c>
      <c r="C1004" s="399" t="s">
        <v>108</v>
      </c>
      <c r="D1004" s="399">
        <v>3039</v>
      </c>
      <c r="E1004" s="399" t="s">
        <v>2293</v>
      </c>
      <c r="F1004" s="399" t="s">
        <v>2294</v>
      </c>
      <c r="G1004" s="399" t="s">
        <v>2221</v>
      </c>
      <c r="H1004" s="1235"/>
    </row>
    <row r="1005" spans="1:8" hidden="1">
      <c r="A1005" s="495" t="s">
        <v>2292</v>
      </c>
      <c r="B1005" s="399" t="s">
        <v>631</v>
      </c>
      <c r="C1005" s="399" t="s">
        <v>108</v>
      </c>
      <c r="D1005" s="399">
        <v>3040</v>
      </c>
      <c r="E1005" s="399" t="s">
        <v>2293</v>
      </c>
      <c r="F1005" s="399" t="s">
        <v>2294</v>
      </c>
      <c r="G1005" s="399" t="s">
        <v>2221</v>
      </c>
      <c r="H1005" s="1235"/>
    </row>
    <row r="1006" spans="1:8" hidden="1">
      <c r="A1006" s="495" t="s">
        <v>2292</v>
      </c>
      <c r="B1006" s="399" t="s">
        <v>631</v>
      </c>
      <c r="C1006" s="399" t="s">
        <v>108</v>
      </c>
      <c r="D1006" s="399">
        <v>3041</v>
      </c>
      <c r="E1006" s="399" t="s">
        <v>2293</v>
      </c>
      <c r="F1006" s="399" t="s">
        <v>2294</v>
      </c>
      <c r="G1006" s="399" t="s">
        <v>2221</v>
      </c>
      <c r="H1006" s="1235"/>
    </row>
    <row r="1007" spans="1:8" hidden="1">
      <c r="A1007" s="495" t="s">
        <v>2292</v>
      </c>
      <c r="B1007" s="399" t="s">
        <v>631</v>
      </c>
      <c r="C1007" s="399" t="s">
        <v>108</v>
      </c>
      <c r="D1007" s="399">
        <v>3042</v>
      </c>
      <c r="E1007" s="399" t="s">
        <v>2293</v>
      </c>
      <c r="F1007" s="399" t="s">
        <v>2294</v>
      </c>
      <c r="G1007" s="399" t="s">
        <v>2221</v>
      </c>
      <c r="H1007" s="1235"/>
    </row>
    <row r="1008" spans="1:8" hidden="1">
      <c r="A1008" s="495" t="s">
        <v>2292</v>
      </c>
      <c r="B1008" s="399" t="s">
        <v>631</v>
      </c>
      <c r="C1008" s="399" t="s">
        <v>108</v>
      </c>
      <c r="D1008" s="399">
        <v>3043</v>
      </c>
      <c r="E1008" s="399" t="s">
        <v>2293</v>
      </c>
      <c r="F1008" s="399" t="s">
        <v>2294</v>
      </c>
      <c r="G1008" s="399" t="s">
        <v>2221</v>
      </c>
      <c r="H1008" s="1235"/>
    </row>
    <row r="1009" spans="1:8" hidden="1">
      <c r="A1009" s="495" t="s">
        <v>2292</v>
      </c>
      <c r="B1009" s="399" t="s">
        <v>631</v>
      </c>
      <c r="C1009" s="399" t="s">
        <v>108</v>
      </c>
      <c r="D1009" s="399">
        <v>3044</v>
      </c>
      <c r="E1009" s="399" t="s">
        <v>2293</v>
      </c>
      <c r="F1009" s="399" t="s">
        <v>2294</v>
      </c>
      <c r="G1009" s="399" t="s">
        <v>2221</v>
      </c>
      <c r="H1009" s="1235"/>
    </row>
    <row r="1010" spans="1:8" hidden="1">
      <c r="A1010" s="495" t="s">
        <v>2292</v>
      </c>
      <c r="B1010" s="399" t="s">
        <v>631</v>
      </c>
      <c r="C1010" s="399" t="s">
        <v>108</v>
      </c>
      <c r="D1010" s="399">
        <v>3045</v>
      </c>
      <c r="E1010" s="399" t="s">
        <v>2293</v>
      </c>
      <c r="F1010" s="399" t="s">
        <v>2294</v>
      </c>
      <c r="G1010" s="399" t="s">
        <v>2221</v>
      </c>
      <c r="H1010" s="1235"/>
    </row>
    <row r="1011" spans="1:8" hidden="1">
      <c r="A1011" s="495" t="s">
        <v>2292</v>
      </c>
      <c r="B1011" s="399" t="s">
        <v>631</v>
      </c>
      <c r="C1011" s="399" t="s">
        <v>108</v>
      </c>
      <c r="D1011" s="399">
        <v>3046</v>
      </c>
      <c r="E1011" s="399" t="s">
        <v>2293</v>
      </c>
      <c r="F1011" s="399" t="s">
        <v>2294</v>
      </c>
      <c r="G1011" s="399" t="s">
        <v>2221</v>
      </c>
      <c r="H1011" s="1235"/>
    </row>
    <row r="1012" spans="1:8" hidden="1">
      <c r="A1012" s="495" t="s">
        <v>2292</v>
      </c>
      <c r="B1012" s="399" t="s">
        <v>631</v>
      </c>
      <c r="C1012" s="399" t="s">
        <v>108</v>
      </c>
      <c r="D1012" s="399">
        <v>3047</v>
      </c>
      <c r="E1012" s="399" t="s">
        <v>2293</v>
      </c>
      <c r="F1012" s="399" t="s">
        <v>2294</v>
      </c>
      <c r="G1012" s="399" t="s">
        <v>2221</v>
      </c>
      <c r="H1012" s="1235"/>
    </row>
    <row r="1013" spans="1:8" hidden="1">
      <c r="A1013" s="495" t="s">
        <v>2292</v>
      </c>
      <c r="B1013" s="399" t="s">
        <v>631</v>
      </c>
      <c r="C1013" s="399" t="s">
        <v>108</v>
      </c>
      <c r="D1013" s="399">
        <v>3048</v>
      </c>
      <c r="E1013" s="399" t="s">
        <v>2293</v>
      </c>
      <c r="F1013" s="399" t="s">
        <v>2294</v>
      </c>
      <c r="G1013" s="399" t="s">
        <v>2221</v>
      </c>
      <c r="H1013" s="1235"/>
    </row>
    <row r="1014" spans="1:8" hidden="1">
      <c r="A1014" s="495" t="s">
        <v>2292</v>
      </c>
      <c r="B1014" s="399" t="s">
        <v>631</v>
      </c>
      <c r="C1014" s="399" t="s">
        <v>108</v>
      </c>
      <c r="D1014" s="399">
        <v>3049</v>
      </c>
      <c r="E1014" s="399" t="s">
        <v>2293</v>
      </c>
      <c r="F1014" s="399" t="s">
        <v>2294</v>
      </c>
      <c r="G1014" s="399" t="s">
        <v>2221</v>
      </c>
      <c r="H1014" s="1235"/>
    </row>
    <row r="1015" spans="1:8" hidden="1">
      <c r="A1015" s="495" t="s">
        <v>2292</v>
      </c>
      <c r="B1015" s="399" t="s">
        <v>631</v>
      </c>
      <c r="C1015" s="399" t="s">
        <v>108</v>
      </c>
      <c r="D1015" s="399">
        <v>3050</v>
      </c>
      <c r="E1015" s="399" t="s">
        <v>2293</v>
      </c>
      <c r="F1015" s="399" t="s">
        <v>2294</v>
      </c>
      <c r="G1015" s="399" t="s">
        <v>2221</v>
      </c>
      <c r="H1015" s="1235"/>
    </row>
    <row r="1016" spans="1:8" hidden="1">
      <c r="A1016" s="495" t="s">
        <v>2292</v>
      </c>
      <c r="B1016" s="399" t="s">
        <v>631</v>
      </c>
      <c r="C1016" s="399" t="s">
        <v>108</v>
      </c>
      <c r="D1016" s="399">
        <v>3051</v>
      </c>
      <c r="E1016" s="399" t="s">
        <v>2293</v>
      </c>
      <c r="F1016" s="399" t="s">
        <v>2294</v>
      </c>
      <c r="G1016" s="399" t="s">
        <v>2221</v>
      </c>
      <c r="H1016" s="1235"/>
    </row>
    <row r="1017" spans="1:8" hidden="1">
      <c r="A1017" s="495" t="s">
        <v>2292</v>
      </c>
      <c r="B1017" s="399" t="s">
        <v>631</v>
      </c>
      <c r="C1017" s="399" t="s">
        <v>108</v>
      </c>
      <c r="D1017" s="399">
        <v>3052</v>
      </c>
      <c r="E1017" s="399" t="s">
        <v>2293</v>
      </c>
      <c r="F1017" s="399" t="s">
        <v>2294</v>
      </c>
      <c r="G1017" s="399" t="s">
        <v>2221</v>
      </c>
      <c r="H1017" s="1235"/>
    </row>
    <row r="1018" spans="1:8" hidden="1">
      <c r="A1018" s="495" t="s">
        <v>2292</v>
      </c>
      <c r="B1018" s="399" t="s">
        <v>631</v>
      </c>
      <c r="C1018" s="399" t="s">
        <v>108</v>
      </c>
      <c r="D1018" s="399">
        <v>3053</v>
      </c>
      <c r="E1018" s="399" t="s">
        <v>2293</v>
      </c>
      <c r="F1018" s="399" t="s">
        <v>2294</v>
      </c>
      <c r="G1018" s="399" t="s">
        <v>2221</v>
      </c>
      <c r="H1018" s="1235"/>
    </row>
    <row r="1019" spans="1:8" hidden="1">
      <c r="A1019" s="495" t="s">
        <v>2292</v>
      </c>
      <c r="B1019" s="399" t="s">
        <v>631</v>
      </c>
      <c r="C1019" s="399" t="s">
        <v>108</v>
      </c>
      <c r="D1019" s="399">
        <v>3054</v>
      </c>
      <c r="E1019" s="399" t="s">
        <v>2293</v>
      </c>
      <c r="F1019" s="399" t="s">
        <v>2294</v>
      </c>
      <c r="G1019" s="399" t="s">
        <v>2221</v>
      </c>
      <c r="H1019" s="1235"/>
    </row>
    <row r="1020" spans="1:8" hidden="1">
      <c r="A1020" s="495" t="s">
        <v>2292</v>
      </c>
      <c r="B1020" s="399" t="s">
        <v>631</v>
      </c>
      <c r="C1020" s="399" t="s">
        <v>108</v>
      </c>
      <c r="D1020" s="399">
        <v>3055</v>
      </c>
      <c r="E1020" s="399" t="s">
        <v>2293</v>
      </c>
      <c r="F1020" s="399" t="s">
        <v>2294</v>
      </c>
      <c r="G1020" s="399" t="s">
        <v>2221</v>
      </c>
      <c r="H1020" s="1235"/>
    </row>
    <row r="1021" spans="1:8" hidden="1">
      <c r="A1021" s="495" t="s">
        <v>2292</v>
      </c>
      <c r="B1021" s="399" t="s">
        <v>631</v>
      </c>
      <c r="C1021" s="399" t="s">
        <v>108</v>
      </c>
      <c r="D1021" s="399">
        <v>3056</v>
      </c>
      <c r="E1021" s="399" t="s">
        <v>2293</v>
      </c>
      <c r="F1021" s="399" t="s">
        <v>2294</v>
      </c>
      <c r="G1021" s="399" t="s">
        <v>2221</v>
      </c>
      <c r="H1021" s="1235"/>
    </row>
    <row r="1022" spans="1:8" hidden="1">
      <c r="A1022" s="495" t="s">
        <v>2292</v>
      </c>
      <c r="B1022" s="399" t="s">
        <v>631</v>
      </c>
      <c r="C1022" s="399" t="s">
        <v>108</v>
      </c>
      <c r="D1022" s="399">
        <v>3059</v>
      </c>
      <c r="E1022" s="399" t="s">
        <v>2293</v>
      </c>
      <c r="F1022" s="399" t="s">
        <v>2294</v>
      </c>
      <c r="G1022" s="399" t="s">
        <v>2221</v>
      </c>
      <c r="H1022" s="1235"/>
    </row>
    <row r="1023" spans="1:8" hidden="1">
      <c r="A1023" s="495" t="s">
        <v>2292</v>
      </c>
      <c r="B1023" s="399" t="s">
        <v>631</v>
      </c>
      <c r="C1023" s="399" t="s">
        <v>108</v>
      </c>
      <c r="D1023" s="399">
        <v>3060</v>
      </c>
      <c r="E1023" s="399" t="s">
        <v>2293</v>
      </c>
      <c r="F1023" s="399" t="s">
        <v>2294</v>
      </c>
      <c r="G1023" s="399" t="s">
        <v>2221</v>
      </c>
      <c r="H1023" s="1235"/>
    </row>
    <row r="1024" spans="1:8" hidden="1">
      <c r="A1024" s="495" t="s">
        <v>2292</v>
      </c>
      <c r="B1024" s="399" t="s">
        <v>631</v>
      </c>
      <c r="C1024" s="399" t="s">
        <v>108</v>
      </c>
      <c r="D1024" s="399" t="s">
        <v>2301</v>
      </c>
      <c r="E1024" s="399" t="s">
        <v>2296</v>
      </c>
      <c r="F1024" s="399" t="s">
        <v>2300</v>
      </c>
      <c r="G1024" s="399" t="s">
        <v>2221</v>
      </c>
      <c r="H1024" s="1235"/>
    </row>
    <row r="1025" spans="1:8" hidden="1">
      <c r="A1025" s="495" t="s">
        <v>2292</v>
      </c>
      <c r="B1025" s="399" t="s">
        <v>631</v>
      </c>
      <c r="C1025" s="399" t="s">
        <v>108</v>
      </c>
      <c r="D1025" s="399" t="s">
        <v>2302</v>
      </c>
      <c r="E1025" s="399" t="s">
        <v>2293</v>
      </c>
      <c r="F1025" s="399" t="s">
        <v>2294</v>
      </c>
      <c r="G1025" s="399" t="s">
        <v>2221</v>
      </c>
      <c r="H1025" s="1235"/>
    </row>
    <row r="1026" spans="1:8" hidden="1">
      <c r="A1026" s="495" t="s">
        <v>2292</v>
      </c>
      <c r="B1026" s="399" t="s">
        <v>631</v>
      </c>
      <c r="C1026" s="399" t="s">
        <v>108</v>
      </c>
      <c r="D1026" s="399" t="s">
        <v>2303</v>
      </c>
      <c r="E1026" s="399" t="s">
        <v>2293</v>
      </c>
      <c r="F1026" s="399" t="s">
        <v>2294</v>
      </c>
      <c r="G1026" s="399" t="s">
        <v>2221</v>
      </c>
      <c r="H1026" s="1235"/>
    </row>
    <row r="1027" spans="1:8" hidden="1">
      <c r="A1027" s="495" t="s">
        <v>2292</v>
      </c>
      <c r="B1027" s="399" t="s">
        <v>631</v>
      </c>
      <c r="C1027" s="399" t="s">
        <v>108</v>
      </c>
      <c r="D1027" s="399" t="s">
        <v>2304</v>
      </c>
      <c r="E1027" s="399" t="s">
        <v>2293</v>
      </c>
      <c r="F1027" s="399" t="s">
        <v>2294</v>
      </c>
      <c r="G1027" s="399" t="s">
        <v>2221</v>
      </c>
      <c r="H1027" s="1235"/>
    </row>
    <row r="1028" spans="1:8" hidden="1">
      <c r="A1028" s="495" t="s">
        <v>2292</v>
      </c>
      <c r="B1028" s="399" t="s">
        <v>631</v>
      </c>
      <c r="C1028" s="399" t="s">
        <v>108</v>
      </c>
      <c r="D1028" s="399" t="s">
        <v>2305</v>
      </c>
      <c r="E1028" s="399" t="s">
        <v>2293</v>
      </c>
      <c r="F1028" s="399" t="s">
        <v>2294</v>
      </c>
      <c r="G1028" s="399" t="s">
        <v>2221</v>
      </c>
      <c r="H1028" s="1235"/>
    </row>
    <row r="1029" spans="1:8" hidden="1">
      <c r="A1029" s="495" t="s">
        <v>2292</v>
      </c>
      <c r="B1029" s="399" t="s">
        <v>631</v>
      </c>
      <c r="C1029" s="399" t="s">
        <v>108</v>
      </c>
      <c r="D1029" s="399" t="s">
        <v>2306</v>
      </c>
      <c r="E1029" s="399" t="s">
        <v>2293</v>
      </c>
      <c r="F1029" s="399" t="s">
        <v>2294</v>
      </c>
      <c r="G1029" s="399" t="s">
        <v>2221</v>
      </c>
      <c r="H1029" s="1235"/>
    </row>
    <row r="1030" spans="1:8" hidden="1">
      <c r="A1030" s="495" t="s">
        <v>2292</v>
      </c>
      <c r="B1030" s="399" t="s">
        <v>631</v>
      </c>
      <c r="C1030" s="399" t="s">
        <v>108</v>
      </c>
      <c r="D1030" s="399" t="s">
        <v>2307</v>
      </c>
      <c r="E1030" s="399" t="s">
        <v>2293</v>
      </c>
      <c r="F1030" s="399" t="s">
        <v>2294</v>
      </c>
      <c r="G1030" s="399" t="s">
        <v>2221</v>
      </c>
      <c r="H1030" s="1235"/>
    </row>
    <row r="1031" spans="1:8" hidden="1">
      <c r="A1031" s="495" t="s">
        <v>2292</v>
      </c>
      <c r="B1031" s="399" t="s">
        <v>631</v>
      </c>
      <c r="C1031" s="399" t="s">
        <v>108</v>
      </c>
      <c r="D1031" s="399" t="s">
        <v>2308</v>
      </c>
      <c r="E1031" s="399" t="s">
        <v>2293</v>
      </c>
      <c r="F1031" s="399" t="s">
        <v>2294</v>
      </c>
      <c r="G1031" s="399" t="s">
        <v>2221</v>
      </c>
      <c r="H1031" s="1235"/>
    </row>
    <row r="1032" spans="1:8" hidden="1">
      <c r="A1032" s="495" t="s">
        <v>2292</v>
      </c>
      <c r="B1032" s="399" t="s">
        <v>631</v>
      </c>
      <c r="C1032" s="399" t="s">
        <v>108</v>
      </c>
      <c r="D1032" s="399" t="s">
        <v>2309</v>
      </c>
      <c r="E1032" s="399" t="s">
        <v>2293</v>
      </c>
      <c r="F1032" s="399" t="s">
        <v>2294</v>
      </c>
      <c r="G1032" s="399" t="s">
        <v>2221</v>
      </c>
      <c r="H1032" s="1235"/>
    </row>
    <row r="1033" spans="1:8" hidden="1">
      <c r="A1033" s="495" t="s">
        <v>2292</v>
      </c>
      <c r="B1033" s="399" t="s">
        <v>631</v>
      </c>
      <c r="C1033" s="399" t="s">
        <v>108</v>
      </c>
      <c r="D1033" s="399" t="s">
        <v>2310</v>
      </c>
      <c r="E1033" s="399" t="s">
        <v>2293</v>
      </c>
      <c r="F1033" s="399" t="s">
        <v>2294</v>
      </c>
      <c r="G1033" s="399" t="s">
        <v>2221</v>
      </c>
      <c r="H1033" s="1235"/>
    </row>
    <row r="1034" spans="1:8" hidden="1">
      <c r="A1034" s="495" t="s">
        <v>2292</v>
      </c>
      <c r="B1034" s="399" t="s">
        <v>631</v>
      </c>
      <c r="C1034" s="399" t="s">
        <v>108</v>
      </c>
      <c r="D1034" s="399" t="s">
        <v>2311</v>
      </c>
      <c r="E1034" s="399" t="s">
        <v>2293</v>
      </c>
      <c r="F1034" s="399" t="s">
        <v>2294</v>
      </c>
      <c r="G1034" s="399" t="s">
        <v>2221</v>
      </c>
      <c r="H1034" s="1235"/>
    </row>
    <row r="1035" spans="1:8" hidden="1">
      <c r="A1035" s="495" t="s">
        <v>2292</v>
      </c>
      <c r="B1035" s="399" t="s">
        <v>631</v>
      </c>
      <c r="C1035" s="399" t="s">
        <v>108</v>
      </c>
      <c r="D1035" s="399" t="s">
        <v>2312</v>
      </c>
      <c r="E1035" s="399" t="s">
        <v>2293</v>
      </c>
      <c r="F1035" s="399" t="s">
        <v>2294</v>
      </c>
      <c r="G1035" s="399" t="s">
        <v>2221</v>
      </c>
      <c r="H1035" s="1235"/>
    </row>
    <row r="1036" spans="1:8" hidden="1">
      <c r="A1036" s="495" t="s">
        <v>2292</v>
      </c>
      <c r="B1036" s="399" t="s">
        <v>631</v>
      </c>
      <c r="C1036" s="399" t="s">
        <v>108</v>
      </c>
      <c r="D1036" s="399" t="s">
        <v>2313</v>
      </c>
      <c r="E1036" s="399" t="s">
        <v>2293</v>
      </c>
      <c r="F1036" s="399" t="s">
        <v>2294</v>
      </c>
      <c r="G1036" s="399" t="s">
        <v>2221</v>
      </c>
      <c r="H1036" s="1235"/>
    </row>
    <row r="1037" spans="1:8" hidden="1">
      <c r="A1037" s="495" t="s">
        <v>2292</v>
      </c>
      <c r="B1037" s="399" t="s">
        <v>631</v>
      </c>
      <c r="C1037" s="399" t="s">
        <v>108</v>
      </c>
      <c r="D1037" s="399" t="s">
        <v>2314</v>
      </c>
      <c r="E1037" s="399" t="s">
        <v>2293</v>
      </c>
      <c r="F1037" s="399" t="s">
        <v>2294</v>
      </c>
      <c r="G1037" s="399" t="s">
        <v>2221</v>
      </c>
      <c r="H1037" s="1235"/>
    </row>
    <row r="1038" spans="1:8" hidden="1">
      <c r="A1038" s="495" t="s">
        <v>2292</v>
      </c>
      <c r="B1038" s="399" t="s">
        <v>631</v>
      </c>
      <c r="C1038" s="399" t="s">
        <v>108</v>
      </c>
      <c r="D1038" s="399" t="s">
        <v>2315</v>
      </c>
      <c r="E1038" s="399" t="s">
        <v>2293</v>
      </c>
      <c r="F1038" s="399" t="s">
        <v>2294</v>
      </c>
      <c r="G1038" s="399" t="s">
        <v>2221</v>
      </c>
      <c r="H1038" s="1235"/>
    </row>
    <row r="1039" spans="1:8" hidden="1">
      <c r="A1039" s="495" t="s">
        <v>2292</v>
      </c>
      <c r="B1039" s="399" t="s">
        <v>631</v>
      </c>
      <c r="C1039" s="399" t="s">
        <v>108</v>
      </c>
      <c r="D1039" s="399" t="s">
        <v>2316</v>
      </c>
      <c r="E1039" s="399" t="s">
        <v>2293</v>
      </c>
      <c r="F1039" s="399" t="s">
        <v>2294</v>
      </c>
      <c r="G1039" s="399" t="s">
        <v>2221</v>
      </c>
      <c r="H1039" s="1235"/>
    </row>
    <row r="1040" spans="1:8" hidden="1">
      <c r="A1040" s="495" t="s">
        <v>2292</v>
      </c>
      <c r="B1040" s="399" t="s">
        <v>631</v>
      </c>
      <c r="C1040" s="399" t="s">
        <v>108</v>
      </c>
      <c r="D1040" s="399" t="s">
        <v>2317</v>
      </c>
      <c r="E1040" s="399" t="s">
        <v>2293</v>
      </c>
      <c r="F1040" s="399" t="s">
        <v>2294</v>
      </c>
      <c r="G1040" s="399" t="s">
        <v>2221</v>
      </c>
      <c r="H1040" s="1235"/>
    </row>
    <row r="1041" spans="1:8" hidden="1">
      <c r="A1041" s="495" t="s">
        <v>2292</v>
      </c>
      <c r="B1041" s="399" t="s">
        <v>631</v>
      </c>
      <c r="C1041" s="399" t="s">
        <v>108</v>
      </c>
      <c r="D1041" s="399" t="s">
        <v>2318</v>
      </c>
      <c r="E1041" s="399" t="s">
        <v>2293</v>
      </c>
      <c r="F1041" s="399" t="s">
        <v>2294</v>
      </c>
      <c r="G1041" s="399" t="s">
        <v>2221</v>
      </c>
      <c r="H1041" s="1235"/>
    </row>
    <row r="1042" spans="1:8" hidden="1">
      <c r="A1042" s="495" t="s">
        <v>2292</v>
      </c>
      <c r="B1042" s="399" t="s">
        <v>631</v>
      </c>
      <c r="C1042" s="399" t="s">
        <v>108</v>
      </c>
      <c r="D1042" s="399" t="s">
        <v>2319</v>
      </c>
      <c r="E1042" s="399" t="s">
        <v>2293</v>
      </c>
      <c r="F1042" s="399" t="s">
        <v>2294</v>
      </c>
      <c r="G1042" s="399" t="s">
        <v>2221</v>
      </c>
      <c r="H1042" s="1235"/>
    </row>
    <row r="1043" spans="1:8" hidden="1">
      <c r="A1043" s="495" t="s">
        <v>2292</v>
      </c>
      <c r="B1043" s="399" t="s">
        <v>631</v>
      </c>
      <c r="C1043" s="399" t="s">
        <v>108</v>
      </c>
      <c r="D1043" s="399" t="s">
        <v>2320</v>
      </c>
      <c r="E1043" s="399" t="s">
        <v>2293</v>
      </c>
      <c r="F1043" s="399" t="s">
        <v>2294</v>
      </c>
      <c r="G1043" s="399" t="s">
        <v>2221</v>
      </c>
      <c r="H1043" s="1235"/>
    </row>
    <row r="1044" spans="1:8" hidden="1">
      <c r="A1044" s="495" t="s">
        <v>2292</v>
      </c>
      <c r="B1044" s="399" t="s">
        <v>631</v>
      </c>
      <c r="C1044" s="399" t="s">
        <v>108</v>
      </c>
      <c r="D1044" s="399" t="s">
        <v>2321</v>
      </c>
      <c r="E1044" s="399" t="s">
        <v>2293</v>
      </c>
      <c r="F1044" s="399" t="s">
        <v>2294</v>
      </c>
      <c r="G1044" s="399" t="s">
        <v>2221</v>
      </c>
      <c r="H1044" s="1235"/>
    </row>
    <row r="1045" spans="1:8" hidden="1">
      <c r="A1045" s="495" t="s">
        <v>2292</v>
      </c>
      <c r="B1045" s="399" t="s">
        <v>631</v>
      </c>
      <c r="C1045" s="399" t="s">
        <v>108</v>
      </c>
      <c r="D1045" s="399" t="s">
        <v>2322</v>
      </c>
      <c r="E1045" s="399" t="s">
        <v>2293</v>
      </c>
      <c r="F1045" s="399" t="s">
        <v>2294</v>
      </c>
      <c r="G1045" s="399" t="s">
        <v>2221</v>
      </c>
      <c r="H1045" s="1235"/>
    </row>
    <row r="1046" spans="1:8" hidden="1">
      <c r="A1046" s="495" t="s">
        <v>2292</v>
      </c>
      <c r="B1046" s="399" t="s">
        <v>631</v>
      </c>
      <c r="C1046" s="399" t="s">
        <v>108</v>
      </c>
      <c r="D1046" s="399" t="s">
        <v>2323</v>
      </c>
      <c r="E1046" s="399" t="s">
        <v>2293</v>
      </c>
      <c r="F1046" s="399" t="s">
        <v>2294</v>
      </c>
      <c r="G1046" s="399" t="s">
        <v>2221</v>
      </c>
      <c r="H1046" s="1235"/>
    </row>
    <row r="1047" spans="1:8" hidden="1">
      <c r="A1047" s="495" t="s">
        <v>2292</v>
      </c>
      <c r="B1047" s="399" t="s">
        <v>631</v>
      </c>
      <c r="C1047" s="399" t="s">
        <v>108</v>
      </c>
      <c r="D1047" s="399" t="s">
        <v>2324</v>
      </c>
      <c r="E1047" s="399" t="s">
        <v>2293</v>
      </c>
      <c r="F1047" s="399" t="s">
        <v>2294</v>
      </c>
      <c r="G1047" s="399" t="s">
        <v>2221</v>
      </c>
      <c r="H1047" s="1235"/>
    </row>
    <row r="1048" spans="1:8" hidden="1">
      <c r="A1048" s="495" t="s">
        <v>2292</v>
      </c>
      <c r="B1048" s="399" t="s">
        <v>631</v>
      </c>
      <c r="C1048" s="399" t="s">
        <v>108</v>
      </c>
      <c r="D1048" s="399" t="s">
        <v>2325</v>
      </c>
      <c r="E1048" s="399" t="s">
        <v>2293</v>
      </c>
      <c r="F1048" s="399" t="s">
        <v>2294</v>
      </c>
      <c r="G1048" s="399" t="s">
        <v>2221</v>
      </c>
      <c r="H1048" s="1235"/>
    </row>
    <row r="1049" spans="1:8" hidden="1">
      <c r="A1049" s="495" t="s">
        <v>2292</v>
      </c>
      <c r="B1049" s="399" t="s">
        <v>631</v>
      </c>
      <c r="C1049" s="399" t="s">
        <v>108</v>
      </c>
      <c r="D1049" s="399" t="s">
        <v>2326</v>
      </c>
      <c r="E1049" s="399" t="s">
        <v>2293</v>
      </c>
      <c r="F1049" s="399" t="s">
        <v>2294</v>
      </c>
      <c r="G1049" s="399" t="s">
        <v>2221</v>
      </c>
      <c r="H1049" s="1235"/>
    </row>
    <row r="1050" spans="1:8" hidden="1">
      <c r="A1050" s="495" t="s">
        <v>2292</v>
      </c>
      <c r="B1050" s="399" t="s">
        <v>631</v>
      </c>
      <c r="C1050" s="399" t="s">
        <v>108</v>
      </c>
      <c r="D1050" s="399" t="s">
        <v>2327</v>
      </c>
      <c r="E1050" s="399" t="s">
        <v>2293</v>
      </c>
      <c r="F1050" s="399" t="s">
        <v>2294</v>
      </c>
      <c r="G1050" s="399" t="s">
        <v>2221</v>
      </c>
      <c r="H1050" s="1235"/>
    </row>
    <row r="1051" spans="1:8" hidden="1">
      <c r="A1051" s="495" t="s">
        <v>2292</v>
      </c>
      <c r="B1051" s="399" t="s">
        <v>631</v>
      </c>
      <c r="C1051" s="399" t="s">
        <v>108</v>
      </c>
      <c r="D1051" s="399" t="s">
        <v>2328</v>
      </c>
      <c r="E1051" s="399" t="s">
        <v>2293</v>
      </c>
      <c r="F1051" s="399" t="s">
        <v>2294</v>
      </c>
      <c r="G1051" s="399" t="s">
        <v>2221</v>
      </c>
      <c r="H1051" s="1235"/>
    </row>
    <row r="1052" spans="1:8" hidden="1">
      <c r="A1052" s="495" t="s">
        <v>2292</v>
      </c>
      <c r="B1052" s="399" t="s">
        <v>631</v>
      </c>
      <c r="C1052" s="399" t="s">
        <v>108</v>
      </c>
      <c r="D1052" s="399" t="s">
        <v>2329</v>
      </c>
      <c r="E1052" s="399" t="s">
        <v>2293</v>
      </c>
      <c r="F1052" s="399" t="s">
        <v>2294</v>
      </c>
      <c r="G1052" s="399" t="s">
        <v>2221</v>
      </c>
      <c r="H1052" s="1235"/>
    </row>
    <row r="1053" spans="1:8" hidden="1">
      <c r="A1053" s="495" t="s">
        <v>2292</v>
      </c>
      <c r="B1053" s="399" t="s">
        <v>631</v>
      </c>
      <c r="C1053" s="399" t="s">
        <v>108</v>
      </c>
      <c r="D1053" s="399" t="s">
        <v>2330</v>
      </c>
      <c r="E1053" s="399" t="s">
        <v>2293</v>
      </c>
      <c r="F1053" s="399" t="s">
        <v>2294</v>
      </c>
      <c r="G1053" s="399" t="s">
        <v>2221</v>
      </c>
      <c r="H1053" s="1235"/>
    </row>
    <row r="1054" spans="1:8" hidden="1">
      <c r="A1054" s="495" t="s">
        <v>2292</v>
      </c>
      <c r="B1054" s="399" t="s">
        <v>631</v>
      </c>
      <c r="C1054" s="399" t="s">
        <v>108</v>
      </c>
      <c r="D1054" s="399" t="s">
        <v>2331</v>
      </c>
      <c r="E1054" s="399" t="s">
        <v>2296</v>
      </c>
      <c r="F1054" s="399" t="s">
        <v>2297</v>
      </c>
      <c r="G1054" s="399" t="s">
        <v>2221</v>
      </c>
      <c r="H1054" s="1235"/>
    </row>
    <row r="1055" spans="1:8" hidden="1">
      <c r="A1055" s="495" t="s">
        <v>2292</v>
      </c>
      <c r="B1055" s="399" t="s">
        <v>631</v>
      </c>
      <c r="C1055" s="399" t="s">
        <v>108</v>
      </c>
      <c r="D1055" s="399" t="s">
        <v>2332</v>
      </c>
      <c r="E1055" s="399" t="s">
        <v>2293</v>
      </c>
      <c r="F1055" s="399" t="s">
        <v>2294</v>
      </c>
      <c r="G1055" s="399" t="s">
        <v>2221</v>
      </c>
      <c r="H1055" s="1235"/>
    </row>
    <row r="1056" spans="1:8" hidden="1">
      <c r="A1056" s="495" t="s">
        <v>2292</v>
      </c>
      <c r="B1056" s="399" t="s">
        <v>631</v>
      </c>
      <c r="C1056" s="399" t="s">
        <v>108</v>
      </c>
      <c r="D1056" s="399" t="s">
        <v>2333</v>
      </c>
      <c r="E1056" s="399" t="s">
        <v>2293</v>
      </c>
      <c r="F1056" s="399" t="s">
        <v>2294</v>
      </c>
      <c r="G1056" s="399" t="s">
        <v>2221</v>
      </c>
      <c r="H1056" s="1235"/>
    </row>
    <row r="1057" spans="1:8" hidden="1">
      <c r="A1057" s="495" t="s">
        <v>2292</v>
      </c>
      <c r="B1057" s="399" t="s">
        <v>631</v>
      </c>
      <c r="C1057" s="399" t="s">
        <v>108</v>
      </c>
      <c r="D1057" s="399" t="s">
        <v>2334</v>
      </c>
      <c r="E1057" s="399" t="s">
        <v>2293</v>
      </c>
      <c r="F1057" s="399" t="s">
        <v>2294</v>
      </c>
      <c r="G1057" s="399" t="s">
        <v>2221</v>
      </c>
      <c r="H1057" s="1235"/>
    </row>
    <row r="1058" spans="1:8" hidden="1">
      <c r="A1058" s="495" t="s">
        <v>2292</v>
      </c>
      <c r="B1058" s="399" t="s">
        <v>631</v>
      </c>
      <c r="C1058" s="399" t="s">
        <v>108</v>
      </c>
      <c r="D1058" s="399" t="s">
        <v>2335</v>
      </c>
      <c r="E1058" s="399" t="s">
        <v>2293</v>
      </c>
      <c r="F1058" s="399" t="s">
        <v>2294</v>
      </c>
      <c r="G1058" s="399" t="s">
        <v>2221</v>
      </c>
      <c r="H1058" s="1235"/>
    </row>
    <row r="1059" spans="1:8" hidden="1">
      <c r="A1059" s="495" t="s">
        <v>2292</v>
      </c>
      <c r="B1059" s="399" t="s">
        <v>631</v>
      </c>
      <c r="C1059" s="399" t="s">
        <v>108</v>
      </c>
      <c r="D1059" s="399" t="s">
        <v>2336</v>
      </c>
      <c r="E1059" s="399" t="s">
        <v>2293</v>
      </c>
      <c r="F1059" s="399" t="s">
        <v>2294</v>
      </c>
      <c r="G1059" s="399" t="s">
        <v>2221</v>
      </c>
      <c r="H1059" s="1235"/>
    </row>
    <row r="1060" spans="1:8" hidden="1">
      <c r="A1060" s="495" t="s">
        <v>2292</v>
      </c>
      <c r="B1060" s="399" t="s">
        <v>631</v>
      </c>
      <c r="C1060" s="399" t="s">
        <v>108</v>
      </c>
      <c r="D1060" s="399" t="s">
        <v>2337</v>
      </c>
      <c r="E1060" s="399" t="s">
        <v>2293</v>
      </c>
      <c r="F1060" s="399" t="s">
        <v>2294</v>
      </c>
      <c r="G1060" s="399" t="s">
        <v>2221</v>
      </c>
      <c r="H1060" s="1235"/>
    </row>
    <row r="1061" spans="1:8" hidden="1">
      <c r="A1061" s="495" t="s">
        <v>2292</v>
      </c>
      <c r="B1061" s="399" t="s">
        <v>631</v>
      </c>
      <c r="C1061" s="399" t="s">
        <v>108</v>
      </c>
      <c r="D1061" s="399" t="s">
        <v>2338</v>
      </c>
      <c r="E1061" s="399" t="s">
        <v>2293</v>
      </c>
      <c r="F1061" s="399" t="s">
        <v>2294</v>
      </c>
      <c r="G1061" s="399" t="s">
        <v>2221</v>
      </c>
      <c r="H1061" s="1235"/>
    </row>
    <row r="1062" spans="1:8" hidden="1">
      <c r="A1062" s="495" t="s">
        <v>2292</v>
      </c>
      <c r="B1062" s="399" t="s">
        <v>631</v>
      </c>
      <c r="C1062" s="399" t="s">
        <v>108</v>
      </c>
      <c r="D1062" s="399" t="s">
        <v>2339</v>
      </c>
      <c r="E1062" s="399" t="s">
        <v>2293</v>
      </c>
      <c r="F1062" s="399" t="s">
        <v>2294</v>
      </c>
      <c r="G1062" s="399" t="s">
        <v>2221</v>
      </c>
      <c r="H1062" s="1235"/>
    </row>
    <row r="1063" spans="1:8" hidden="1">
      <c r="A1063" s="495" t="s">
        <v>2292</v>
      </c>
      <c r="B1063" s="399" t="s">
        <v>631</v>
      </c>
      <c r="C1063" s="399" t="s">
        <v>108</v>
      </c>
      <c r="D1063" s="399" t="s">
        <v>2340</v>
      </c>
      <c r="E1063" s="399" t="s">
        <v>2293</v>
      </c>
      <c r="F1063" s="399" t="s">
        <v>2294</v>
      </c>
      <c r="G1063" s="399" t="s">
        <v>2221</v>
      </c>
      <c r="H1063" s="1235"/>
    </row>
    <row r="1064" spans="1:8" hidden="1">
      <c r="A1064" s="495" t="s">
        <v>2292</v>
      </c>
      <c r="B1064" s="399" t="s">
        <v>631</v>
      </c>
      <c r="C1064" s="399" t="s">
        <v>108</v>
      </c>
      <c r="D1064" s="399" t="s">
        <v>2341</v>
      </c>
      <c r="E1064" s="399" t="s">
        <v>2293</v>
      </c>
      <c r="F1064" s="399" t="s">
        <v>2294</v>
      </c>
      <c r="G1064" s="399" t="s">
        <v>2221</v>
      </c>
      <c r="H1064" s="1235"/>
    </row>
    <row r="1065" spans="1:8" hidden="1">
      <c r="A1065" s="495" t="s">
        <v>2292</v>
      </c>
      <c r="B1065" s="399" t="s">
        <v>631</v>
      </c>
      <c r="C1065" s="399" t="s">
        <v>108</v>
      </c>
      <c r="D1065" s="399" t="s">
        <v>2342</v>
      </c>
      <c r="E1065" s="399" t="s">
        <v>2293</v>
      </c>
      <c r="F1065" s="399" t="s">
        <v>2294</v>
      </c>
      <c r="G1065" s="399" t="s">
        <v>2221</v>
      </c>
      <c r="H1065" s="1235"/>
    </row>
    <row r="1066" spans="1:8" hidden="1">
      <c r="A1066" s="495" t="s">
        <v>2292</v>
      </c>
      <c r="B1066" s="399" t="s">
        <v>631</v>
      </c>
      <c r="C1066" s="399" t="s">
        <v>108</v>
      </c>
      <c r="D1066" s="399" t="s">
        <v>2343</v>
      </c>
      <c r="E1066" s="399" t="s">
        <v>2293</v>
      </c>
      <c r="F1066" s="399" t="s">
        <v>2294</v>
      </c>
      <c r="G1066" s="399" t="s">
        <v>2221</v>
      </c>
      <c r="H1066" s="1235"/>
    </row>
    <row r="1067" spans="1:8" hidden="1">
      <c r="A1067" s="495" t="s">
        <v>2292</v>
      </c>
      <c r="B1067" s="399" t="s">
        <v>631</v>
      </c>
      <c r="C1067" s="399" t="s">
        <v>108</v>
      </c>
      <c r="D1067" s="399" t="s">
        <v>2344</v>
      </c>
      <c r="E1067" s="399" t="s">
        <v>2293</v>
      </c>
      <c r="F1067" s="399" t="s">
        <v>2294</v>
      </c>
      <c r="G1067" s="399" t="s">
        <v>2221</v>
      </c>
      <c r="H1067" s="1235"/>
    </row>
    <row r="1068" spans="1:8" hidden="1">
      <c r="A1068" s="495" t="s">
        <v>2292</v>
      </c>
      <c r="B1068" s="399" t="s">
        <v>631</v>
      </c>
      <c r="C1068" s="399" t="s">
        <v>108</v>
      </c>
      <c r="D1068" s="399" t="s">
        <v>2345</v>
      </c>
      <c r="E1068" s="399" t="s">
        <v>2293</v>
      </c>
      <c r="F1068" s="399" t="s">
        <v>2294</v>
      </c>
      <c r="G1068" s="399" t="s">
        <v>2221</v>
      </c>
      <c r="H1068" s="1235"/>
    </row>
    <row r="1069" spans="1:8" hidden="1">
      <c r="A1069" s="495" t="s">
        <v>2292</v>
      </c>
      <c r="B1069" s="399" t="s">
        <v>631</v>
      </c>
      <c r="C1069" s="399" t="s">
        <v>108</v>
      </c>
      <c r="D1069" s="399" t="s">
        <v>2346</v>
      </c>
      <c r="E1069" s="399" t="s">
        <v>2293</v>
      </c>
      <c r="F1069" s="399" t="s">
        <v>2294</v>
      </c>
      <c r="G1069" s="399" t="s">
        <v>2221</v>
      </c>
      <c r="H1069" s="1235"/>
    </row>
    <row r="1070" spans="1:8" hidden="1">
      <c r="A1070" s="495" t="s">
        <v>2292</v>
      </c>
      <c r="B1070" s="399" t="s">
        <v>631</v>
      </c>
      <c r="C1070" s="399" t="s">
        <v>108</v>
      </c>
      <c r="D1070" s="399" t="s">
        <v>2347</v>
      </c>
      <c r="E1070" s="399" t="s">
        <v>2293</v>
      </c>
      <c r="F1070" s="399" t="s">
        <v>2294</v>
      </c>
      <c r="G1070" s="399" t="s">
        <v>2221</v>
      </c>
      <c r="H1070" s="1235"/>
    </row>
    <row r="1071" spans="1:8" hidden="1">
      <c r="A1071" s="495" t="s">
        <v>2292</v>
      </c>
      <c r="B1071" s="399" t="s">
        <v>631</v>
      </c>
      <c r="C1071" s="399" t="s">
        <v>108</v>
      </c>
      <c r="D1071" s="399" t="s">
        <v>2348</v>
      </c>
      <c r="E1071" s="399" t="s">
        <v>2293</v>
      </c>
      <c r="F1071" s="399" t="s">
        <v>2294</v>
      </c>
      <c r="G1071" s="399" t="s">
        <v>2221</v>
      </c>
      <c r="H1071" s="1235"/>
    </row>
    <row r="1072" spans="1:8" hidden="1">
      <c r="A1072" s="495" t="s">
        <v>2292</v>
      </c>
      <c r="B1072" s="399" t="s">
        <v>631</v>
      </c>
      <c r="C1072" s="399" t="s">
        <v>108</v>
      </c>
      <c r="D1072" s="399" t="s">
        <v>2349</v>
      </c>
      <c r="E1072" s="399" t="s">
        <v>2293</v>
      </c>
      <c r="F1072" s="399" t="s">
        <v>2294</v>
      </c>
      <c r="G1072" s="399" t="s">
        <v>2221</v>
      </c>
      <c r="H1072" s="1235"/>
    </row>
    <row r="1073" spans="1:8" hidden="1">
      <c r="A1073" s="495" t="s">
        <v>2292</v>
      </c>
      <c r="B1073" s="399" t="s">
        <v>631</v>
      </c>
      <c r="C1073" s="399" t="s">
        <v>108</v>
      </c>
      <c r="D1073" s="399" t="s">
        <v>2350</v>
      </c>
      <c r="E1073" s="399" t="s">
        <v>2293</v>
      </c>
      <c r="F1073" s="399" t="s">
        <v>2294</v>
      </c>
      <c r="G1073" s="399" t="s">
        <v>2221</v>
      </c>
      <c r="H1073" s="1235"/>
    </row>
    <row r="1074" spans="1:8" hidden="1">
      <c r="A1074" s="495" t="s">
        <v>2292</v>
      </c>
      <c r="B1074" s="399" t="s">
        <v>631</v>
      </c>
      <c r="C1074" s="399" t="s">
        <v>108</v>
      </c>
      <c r="D1074" s="399" t="s">
        <v>2351</v>
      </c>
      <c r="E1074" s="399" t="s">
        <v>2293</v>
      </c>
      <c r="F1074" s="399" t="s">
        <v>2294</v>
      </c>
      <c r="G1074" s="399" t="s">
        <v>2221</v>
      </c>
      <c r="H1074" s="1235"/>
    </row>
    <row r="1075" spans="1:8" hidden="1">
      <c r="A1075" s="495" t="s">
        <v>2292</v>
      </c>
      <c r="B1075" s="399" t="s">
        <v>631</v>
      </c>
      <c r="C1075" s="399" t="s">
        <v>108</v>
      </c>
      <c r="D1075" s="399" t="s">
        <v>2352</v>
      </c>
      <c r="E1075" s="399" t="s">
        <v>2293</v>
      </c>
      <c r="F1075" s="399" t="s">
        <v>2294</v>
      </c>
      <c r="G1075" s="399" t="s">
        <v>2221</v>
      </c>
      <c r="H1075" s="1235"/>
    </row>
    <row r="1076" spans="1:8" hidden="1">
      <c r="A1076" s="495" t="s">
        <v>2292</v>
      </c>
      <c r="B1076" s="399" t="s">
        <v>631</v>
      </c>
      <c r="C1076" s="399" t="s">
        <v>108</v>
      </c>
      <c r="D1076" s="399" t="s">
        <v>2353</v>
      </c>
      <c r="E1076" s="399" t="s">
        <v>2293</v>
      </c>
      <c r="F1076" s="399" t="s">
        <v>2294</v>
      </c>
      <c r="G1076" s="399" t="s">
        <v>2221</v>
      </c>
      <c r="H1076" s="1235"/>
    </row>
    <row r="1077" spans="1:8" hidden="1">
      <c r="A1077" s="495" t="s">
        <v>2292</v>
      </c>
      <c r="B1077" s="399" t="s">
        <v>631</v>
      </c>
      <c r="C1077" s="399" t="s">
        <v>108</v>
      </c>
      <c r="D1077" s="399" t="s">
        <v>2354</v>
      </c>
      <c r="E1077" s="399" t="s">
        <v>2293</v>
      </c>
      <c r="F1077" s="399" t="s">
        <v>2294</v>
      </c>
      <c r="G1077" s="399" t="s">
        <v>2221</v>
      </c>
      <c r="H1077" s="1235"/>
    </row>
    <row r="1078" spans="1:8" hidden="1">
      <c r="A1078" s="495" t="s">
        <v>2292</v>
      </c>
      <c r="B1078" s="399" t="s">
        <v>631</v>
      </c>
      <c r="C1078" s="399" t="s">
        <v>108</v>
      </c>
      <c r="D1078" s="399" t="s">
        <v>2355</v>
      </c>
      <c r="E1078" s="399" t="s">
        <v>2293</v>
      </c>
      <c r="F1078" s="399" t="s">
        <v>2294</v>
      </c>
      <c r="G1078" s="399" t="s">
        <v>2221</v>
      </c>
      <c r="H1078" s="1235"/>
    </row>
    <row r="1079" spans="1:8" hidden="1">
      <c r="A1079" s="495" t="s">
        <v>2292</v>
      </c>
      <c r="B1079" s="399" t="s">
        <v>631</v>
      </c>
      <c r="C1079" s="399" t="s">
        <v>108</v>
      </c>
      <c r="D1079" s="399" t="s">
        <v>2356</v>
      </c>
      <c r="E1079" s="399" t="s">
        <v>2293</v>
      </c>
      <c r="F1079" s="399" t="s">
        <v>2294</v>
      </c>
      <c r="G1079" s="399" t="s">
        <v>2221</v>
      </c>
      <c r="H1079" s="1235"/>
    </row>
    <row r="1080" spans="1:8" hidden="1">
      <c r="A1080" s="495" t="s">
        <v>2292</v>
      </c>
      <c r="B1080" s="399" t="s">
        <v>631</v>
      </c>
      <c r="C1080" s="399" t="s">
        <v>108</v>
      </c>
      <c r="D1080" s="399" t="s">
        <v>2357</v>
      </c>
      <c r="E1080" s="399" t="s">
        <v>2293</v>
      </c>
      <c r="F1080" s="399" t="s">
        <v>2294</v>
      </c>
      <c r="G1080" s="399" t="s">
        <v>2221</v>
      </c>
      <c r="H1080" s="1235"/>
    </row>
    <row r="1081" spans="1:8" hidden="1">
      <c r="A1081" s="495" t="s">
        <v>2292</v>
      </c>
      <c r="B1081" s="399" t="s">
        <v>631</v>
      </c>
      <c r="C1081" s="399" t="s">
        <v>108</v>
      </c>
      <c r="D1081" s="399" t="s">
        <v>2358</v>
      </c>
      <c r="E1081" s="399" t="s">
        <v>2293</v>
      </c>
      <c r="F1081" s="399" t="s">
        <v>2294</v>
      </c>
      <c r="G1081" s="399" t="s">
        <v>2221</v>
      </c>
      <c r="H1081" s="1235"/>
    </row>
    <row r="1082" spans="1:8" hidden="1">
      <c r="A1082" s="495" t="s">
        <v>2292</v>
      </c>
      <c r="B1082" s="399" t="s">
        <v>631</v>
      </c>
      <c r="C1082" s="399" t="s">
        <v>108</v>
      </c>
      <c r="D1082" s="399" t="s">
        <v>2359</v>
      </c>
      <c r="E1082" s="399" t="s">
        <v>2293</v>
      </c>
      <c r="F1082" s="399" t="s">
        <v>2294</v>
      </c>
      <c r="G1082" s="399" t="s">
        <v>2221</v>
      </c>
      <c r="H1082" s="1235"/>
    </row>
    <row r="1083" spans="1:8" hidden="1">
      <c r="A1083" s="495" t="s">
        <v>2292</v>
      </c>
      <c r="B1083" s="399" t="s">
        <v>631</v>
      </c>
      <c r="C1083" s="399" t="s">
        <v>108</v>
      </c>
      <c r="D1083" s="399" t="s">
        <v>2360</v>
      </c>
      <c r="E1083" s="399" t="s">
        <v>2293</v>
      </c>
      <c r="F1083" s="399" t="s">
        <v>2294</v>
      </c>
      <c r="G1083" s="399" t="s">
        <v>2221</v>
      </c>
      <c r="H1083" s="1235"/>
    </row>
    <row r="1084" spans="1:8" hidden="1">
      <c r="A1084" s="495" t="s">
        <v>2292</v>
      </c>
      <c r="B1084" s="399" t="s">
        <v>631</v>
      </c>
      <c r="C1084" s="399" t="s">
        <v>108</v>
      </c>
      <c r="D1084" s="399" t="s">
        <v>2361</v>
      </c>
      <c r="E1084" s="399" t="s">
        <v>2293</v>
      </c>
      <c r="F1084" s="399" t="s">
        <v>2294</v>
      </c>
      <c r="G1084" s="399" t="s">
        <v>2221</v>
      </c>
      <c r="H1084" s="1235"/>
    </row>
    <row r="1085" spans="1:8" hidden="1">
      <c r="A1085" s="495" t="s">
        <v>2292</v>
      </c>
      <c r="B1085" s="399" t="s">
        <v>631</v>
      </c>
      <c r="C1085" s="399" t="s">
        <v>108</v>
      </c>
      <c r="D1085" s="399" t="s">
        <v>2362</v>
      </c>
      <c r="E1085" s="399" t="s">
        <v>2293</v>
      </c>
      <c r="F1085" s="399" t="s">
        <v>2294</v>
      </c>
      <c r="G1085" s="399" t="s">
        <v>2221</v>
      </c>
      <c r="H1085" s="1235"/>
    </row>
    <row r="1086" spans="1:8" hidden="1">
      <c r="A1086" s="495" t="s">
        <v>2292</v>
      </c>
      <c r="B1086" s="399" t="s">
        <v>631</v>
      </c>
      <c r="C1086" s="399" t="s">
        <v>108</v>
      </c>
      <c r="D1086" s="399" t="s">
        <v>2363</v>
      </c>
      <c r="E1086" s="399" t="s">
        <v>2293</v>
      </c>
      <c r="F1086" s="399" t="s">
        <v>2294</v>
      </c>
      <c r="G1086" s="399" t="s">
        <v>2221</v>
      </c>
      <c r="H1086" s="1235"/>
    </row>
    <row r="1087" spans="1:8" hidden="1">
      <c r="A1087" s="495" t="s">
        <v>2292</v>
      </c>
      <c r="B1087" s="399" t="s">
        <v>631</v>
      </c>
      <c r="C1087" s="399" t="s">
        <v>108</v>
      </c>
      <c r="D1087" s="399" t="s">
        <v>2364</v>
      </c>
      <c r="E1087" s="399" t="s">
        <v>2293</v>
      </c>
      <c r="F1087" s="399" t="s">
        <v>2294</v>
      </c>
      <c r="G1087" s="399" t="s">
        <v>2221</v>
      </c>
      <c r="H1087" s="1235"/>
    </row>
    <row r="1088" spans="1:8" hidden="1">
      <c r="A1088" s="495" t="s">
        <v>2292</v>
      </c>
      <c r="B1088" s="399" t="s">
        <v>631</v>
      </c>
      <c r="C1088" s="399" t="s">
        <v>108</v>
      </c>
      <c r="D1088" s="399" t="s">
        <v>2365</v>
      </c>
      <c r="E1088" s="399" t="s">
        <v>2293</v>
      </c>
      <c r="F1088" s="399" t="s">
        <v>2294</v>
      </c>
      <c r="G1088" s="399" t="s">
        <v>2221</v>
      </c>
      <c r="H1088" s="1235"/>
    </row>
    <row r="1089" spans="1:8" hidden="1">
      <c r="A1089" s="495" t="s">
        <v>2292</v>
      </c>
      <c r="B1089" s="399" t="s">
        <v>631</v>
      </c>
      <c r="C1089" s="399" t="s">
        <v>108</v>
      </c>
      <c r="D1089" s="399" t="s">
        <v>2366</v>
      </c>
      <c r="E1089" s="399" t="s">
        <v>2293</v>
      </c>
      <c r="F1089" s="399" t="s">
        <v>2294</v>
      </c>
      <c r="G1089" s="399" t="s">
        <v>2221</v>
      </c>
      <c r="H1089" s="1235"/>
    </row>
    <row r="1090" spans="1:8" hidden="1">
      <c r="A1090" s="495" t="s">
        <v>2292</v>
      </c>
      <c r="B1090" s="399" t="s">
        <v>631</v>
      </c>
      <c r="C1090" s="399" t="s">
        <v>108</v>
      </c>
      <c r="D1090" s="399" t="s">
        <v>2367</v>
      </c>
      <c r="E1090" s="399" t="s">
        <v>2293</v>
      </c>
      <c r="F1090" s="399" t="s">
        <v>2294</v>
      </c>
      <c r="G1090" s="399" t="s">
        <v>2221</v>
      </c>
      <c r="H1090" s="1235"/>
    </row>
    <row r="1091" spans="1:8" hidden="1">
      <c r="A1091" s="495" t="s">
        <v>2292</v>
      </c>
      <c r="B1091" s="399" t="s">
        <v>631</v>
      </c>
      <c r="C1091" s="399" t="s">
        <v>108</v>
      </c>
      <c r="D1091" s="399" t="s">
        <v>2368</v>
      </c>
      <c r="E1091" s="399" t="s">
        <v>2293</v>
      </c>
      <c r="F1091" s="399" t="s">
        <v>2294</v>
      </c>
      <c r="G1091" s="399" t="s">
        <v>2221</v>
      </c>
      <c r="H1091" s="1235"/>
    </row>
    <row r="1092" spans="1:8" hidden="1">
      <c r="A1092" s="495" t="s">
        <v>2292</v>
      </c>
      <c r="B1092" s="399" t="s">
        <v>631</v>
      </c>
      <c r="C1092" s="399" t="s">
        <v>108</v>
      </c>
      <c r="D1092" s="399" t="s">
        <v>2369</v>
      </c>
      <c r="E1092" s="399" t="s">
        <v>2293</v>
      </c>
      <c r="F1092" s="399" t="s">
        <v>2294</v>
      </c>
      <c r="G1092" s="399" t="s">
        <v>2221</v>
      </c>
      <c r="H1092" s="1235"/>
    </row>
    <row r="1093" spans="1:8" hidden="1">
      <c r="A1093" s="495" t="s">
        <v>2292</v>
      </c>
      <c r="B1093" s="399" t="s">
        <v>631</v>
      </c>
      <c r="C1093" s="399" t="s">
        <v>108</v>
      </c>
      <c r="D1093" s="399" t="s">
        <v>2370</v>
      </c>
      <c r="E1093" s="399" t="s">
        <v>2293</v>
      </c>
      <c r="F1093" s="399" t="s">
        <v>2294</v>
      </c>
      <c r="G1093" s="399" t="s">
        <v>2221</v>
      </c>
      <c r="H1093" s="1235"/>
    </row>
    <row r="1094" spans="1:8" hidden="1">
      <c r="A1094" s="495" t="s">
        <v>2292</v>
      </c>
      <c r="B1094" s="399" t="s">
        <v>631</v>
      </c>
      <c r="C1094" s="399" t="s">
        <v>108</v>
      </c>
      <c r="D1094" s="399" t="s">
        <v>2371</v>
      </c>
      <c r="E1094" s="399" t="s">
        <v>2293</v>
      </c>
      <c r="F1094" s="399" t="s">
        <v>2294</v>
      </c>
      <c r="G1094" s="399" t="s">
        <v>2221</v>
      </c>
      <c r="H1094" s="1235"/>
    </row>
    <row r="1095" spans="1:8" hidden="1">
      <c r="A1095" s="495" t="s">
        <v>2292</v>
      </c>
      <c r="B1095" s="399" t="s">
        <v>631</v>
      </c>
      <c r="C1095" s="399" t="s">
        <v>108</v>
      </c>
      <c r="D1095" s="399" t="s">
        <v>2372</v>
      </c>
      <c r="E1095" s="399" t="s">
        <v>2293</v>
      </c>
      <c r="F1095" s="399" t="s">
        <v>2294</v>
      </c>
      <c r="G1095" s="399" t="s">
        <v>2221</v>
      </c>
      <c r="H1095" s="1235"/>
    </row>
    <row r="1096" spans="1:8" hidden="1">
      <c r="A1096" s="495" t="s">
        <v>2292</v>
      </c>
      <c r="B1096" s="399" t="s">
        <v>631</v>
      </c>
      <c r="C1096" s="399" t="s">
        <v>108</v>
      </c>
      <c r="D1096" s="399" t="s">
        <v>2373</v>
      </c>
      <c r="E1096" s="399" t="s">
        <v>2293</v>
      </c>
      <c r="F1096" s="399" t="s">
        <v>2294</v>
      </c>
      <c r="G1096" s="399" t="s">
        <v>2221</v>
      </c>
      <c r="H1096" s="1235"/>
    </row>
    <row r="1097" spans="1:8" hidden="1">
      <c r="A1097" s="495" t="s">
        <v>2292</v>
      </c>
      <c r="B1097" s="399" t="s">
        <v>631</v>
      </c>
      <c r="C1097" s="399" t="s">
        <v>108</v>
      </c>
      <c r="D1097" s="399" t="s">
        <v>2374</v>
      </c>
      <c r="E1097" s="399" t="s">
        <v>2293</v>
      </c>
      <c r="F1097" s="399" t="s">
        <v>2294</v>
      </c>
      <c r="G1097" s="399" t="s">
        <v>2221</v>
      </c>
      <c r="H1097" s="1235"/>
    </row>
    <row r="1098" spans="1:8" hidden="1">
      <c r="A1098" s="495" t="s">
        <v>2292</v>
      </c>
      <c r="B1098" s="399" t="s">
        <v>631</v>
      </c>
      <c r="C1098" s="399" t="s">
        <v>108</v>
      </c>
      <c r="D1098" s="399" t="s">
        <v>2375</v>
      </c>
      <c r="E1098" s="399" t="s">
        <v>2293</v>
      </c>
      <c r="F1098" s="399" t="s">
        <v>2294</v>
      </c>
      <c r="G1098" s="399" t="s">
        <v>2221</v>
      </c>
      <c r="H1098" s="1235"/>
    </row>
    <row r="1099" spans="1:8" hidden="1">
      <c r="A1099" s="495" t="s">
        <v>2292</v>
      </c>
      <c r="B1099" s="399" t="s">
        <v>631</v>
      </c>
      <c r="C1099" s="399" t="s">
        <v>108</v>
      </c>
      <c r="D1099" s="399" t="s">
        <v>2376</v>
      </c>
      <c r="E1099" s="399" t="s">
        <v>2293</v>
      </c>
      <c r="F1099" s="399" t="s">
        <v>2294</v>
      </c>
      <c r="G1099" s="399" t="s">
        <v>2221</v>
      </c>
      <c r="H1099" s="1235"/>
    </row>
    <row r="1100" spans="1:8" hidden="1">
      <c r="A1100" s="495" t="s">
        <v>2292</v>
      </c>
      <c r="B1100" s="399" t="s">
        <v>631</v>
      </c>
      <c r="C1100" s="399" t="s">
        <v>108</v>
      </c>
      <c r="D1100" s="399" t="s">
        <v>2377</v>
      </c>
      <c r="E1100" s="399" t="s">
        <v>2293</v>
      </c>
      <c r="F1100" s="399" t="s">
        <v>2294</v>
      </c>
      <c r="G1100" s="399" t="s">
        <v>2221</v>
      </c>
      <c r="H1100" s="1235"/>
    </row>
    <row r="1101" spans="1:8" hidden="1">
      <c r="A1101" s="495" t="s">
        <v>2292</v>
      </c>
      <c r="B1101" s="399" t="s">
        <v>631</v>
      </c>
      <c r="C1101" s="399" t="s">
        <v>108</v>
      </c>
      <c r="D1101" s="399" t="s">
        <v>2378</v>
      </c>
      <c r="E1101" s="399" t="s">
        <v>2293</v>
      </c>
      <c r="F1101" s="399" t="s">
        <v>2294</v>
      </c>
      <c r="G1101" s="399" t="s">
        <v>2221</v>
      </c>
      <c r="H1101" s="1235"/>
    </row>
    <row r="1102" spans="1:8" hidden="1">
      <c r="A1102" s="495" t="s">
        <v>2292</v>
      </c>
      <c r="B1102" s="399" t="s">
        <v>631</v>
      </c>
      <c r="C1102" s="399" t="s">
        <v>108</v>
      </c>
      <c r="D1102" s="399" t="s">
        <v>2379</v>
      </c>
      <c r="E1102" s="399" t="s">
        <v>2293</v>
      </c>
      <c r="F1102" s="399" t="s">
        <v>2294</v>
      </c>
      <c r="G1102" s="399" t="s">
        <v>2221</v>
      </c>
      <c r="H1102" s="1235"/>
    </row>
    <row r="1103" spans="1:8" hidden="1">
      <c r="A1103" s="495" t="s">
        <v>2292</v>
      </c>
      <c r="B1103" s="399" t="s">
        <v>631</v>
      </c>
      <c r="C1103" s="399" t="s">
        <v>108</v>
      </c>
      <c r="D1103" s="399" t="s">
        <v>2380</v>
      </c>
      <c r="E1103" s="399" t="s">
        <v>2293</v>
      </c>
      <c r="F1103" s="399" t="s">
        <v>2294</v>
      </c>
      <c r="G1103" s="399" t="s">
        <v>2221</v>
      </c>
      <c r="H1103" s="1235"/>
    </row>
    <row r="1104" spans="1:8" hidden="1">
      <c r="A1104" s="495" t="s">
        <v>2292</v>
      </c>
      <c r="B1104" s="399" t="s">
        <v>631</v>
      </c>
      <c r="C1104" s="399" t="s">
        <v>108</v>
      </c>
      <c r="D1104" s="399" t="s">
        <v>2381</v>
      </c>
      <c r="E1104" s="399" t="s">
        <v>2293</v>
      </c>
      <c r="F1104" s="399" t="s">
        <v>2294</v>
      </c>
      <c r="G1104" s="399" t="s">
        <v>2221</v>
      </c>
      <c r="H1104" s="1235"/>
    </row>
    <row r="1105" spans="1:8" hidden="1">
      <c r="A1105" s="495" t="s">
        <v>2292</v>
      </c>
      <c r="B1105" s="399" t="s">
        <v>631</v>
      </c>
      <c r="C1105" s="399" t="s">
        <v>108</v>
      </c>
      <c r="D1105" s="399" t="s">
        <v>2382</v>
      </c>
      <c r="E1105" s="399" t="s">
        <v>2293</v>
      </c>
      <c r="F1105" s="399" t="s">
        <v>2294</v>
      </c>
      <c r="G1105" s="399" t="s">
        <v>2221</v>
      </c>
      <c r="H1105" s="1235"/>
    </row>
    <row r="1106" spans="1:8" hidden="1">
      <c r="A1106" s="495" t="s">
        <v>2292</v>
      </c>
      <c r="B1106" s="399" t="s">
        <v>631</v>
      </c>
      <c r="C1106" s="399" t="s">
        <v>108</v>
      </c>
      <c r="D1106" s="399" t="s">
        <v>2383</v>
      </c>
      <c r="E1106" s="399" t="s">
        <v>2293</v>
      </c>
      <c r="F1106" s="399" t="s">
        <v>2294</v>
      </c>
      <c r="G1106" s="399" t="s">
        <v>2221</v>
      </c>
      <c r="H1106" s="1235"/>
    </row>
    <row r="1107" spans="1:8" hidden="1">
      <c r="A1107" s="495" t="s">
        <v>2292</v>
      </c>
      <c r="B1107" s="399" t="s">
        <v>631</v>
      </c>
      <c r="C1107" s="399" t="s">
        <v>108</v>
      </c>
      <c r="D1107" s="399" t="s">
        <v>2384</v>
      </c>
      <c r="E1107" s="399" t="s">
        <v>2293</v>
      </c>
      <c r="F1107" s="399" t="s">
        <v>2294</v>
      </c>
      <c r="G1107" s="399" t="s">
        <v>2221</v>
      </c>
      <c r="H1107" s="1235"/>
    </row>
    <row r="1108" spans="1:8" hidden="1">
      <c r="A1108" s="495" t="s">
        <v>2292</v>
      </c>
      <c r="B1108" s="399" t="s">
        <v>631</v>
      </c>
      <c r="C1108" s="399" t="s">
        <v>108</v>
      </c>
      <c r="D1108" s="399" t="s">
        <v>2385</v>
      </c>
      <c r="E1108" s="399" t="s">
        <v>2293</v>
      </c>
      <c r="F1108" s="399" t="s">
        <v>2294</v>
      </c>
      <c r="G1108" s="399" t="s">
        <v>2221</v>
      </c>
      <c r="H1108" s="1235"/>
    </row>
    <row r="1109" spans="1:8" hidden="1">
      <c r="A1109" s="495" t="s">
        <v>2292</v>
      </c>
      <c r="B1109" s="399" t="s">
        <v>631</v>
      </c>
      <c r="C1109" s="399" t="s">
        <v>108</v>
      </c>
      <c r="D1109" s="399" t="s">
        <v>2386</v>
      </c>
      <c r="E1109" s="399" t="s">
        <v>2293</v>
      </c>
      <c r="F1109" s="399" t="s">
        <v>2294</v>
      </c>
      <c r="G1109" s="399" t="s">
        <v>2221</v>
      </c>
      <c r="H1109" s="1235"/>
    </row>
    <row r="1110" spans="1:8" hidden="1">
      <c r="A1110" s="495" t="s">
        <v>2292</v>
      </c>
      <c r="B1110" s="399" t="s">
        <v>631</v>
      </c>
      <c r="C1110" s="399" t="s">
        <v>108</v>
      </c>
      <c r="D1110" s="399" t="s">
        <v>2387</v>
      </c>
      <c r="E1110" s="399" t="s">
        <v>2293</v>
      </c>
      <c r="F1110" s="399" t="s">
        <v>2294</v>
      </c>
      <c r="G1110" s="399" t="s">
        <v>2221</v>
      </c>
      <c r="H1110" s="1235"/>
    </row>
    <row r="1111" spans="1:8" hidden="1">
      <c r="A1111" s="495" t="s">
        <v>2292</v>
      </c>
      <c r="B1111" s="399" t="s">
        <v>631</v>
      </c>
      <c r="C1111" s="399" t="s">
        <v>108</v>
      </c>
      <c r="D1111" s="399" t="s">
        <v>2388</v>
      </c>
      <c r="E1111" s="399" t="s">
        <v>2293</v>
      </c>
      <c r="F1111" s="399" t="s">
        <v>2294</v>
      </c>
      <c r="G1111" s="399" t="s">
        <v>2221</v>
      </c>
      <c r="H1111" s="1235"/>
    </row>
    <row r="1112" spans="1:8" hidden="1">
      <c r="A1112" s="495" t="s">
        <v>2292</v>
      </c>
      <c r="B1112" s="399" t="s">
        <v>631</v>
      </c>
      <c r="C1112" s="399" t="s">
        <v>108</v>
      </c>
      <c r="D1112" s="399" t="s">
        <v>2389</v>
      </c>
      <c r="E1112" s="399" t="s">
        <v>2293</v>
      </c>
      <c r="F1112" s="399" t="s">
        <v>2294</v>
      </c>
      <c r="G1112" s="399" t="s">
        <v>2221</v>
      </c>
      <c r="H1112" s="1235"/>
    </row>
    <row r="1113" spans="1:8" hidden="1">
      <c r="A1113" s="495" t="s">
        <v>2292</v>
      </c>
      <c r="B1113" s="399" t="s">
        <v>631</v>
      </c>
      <c r="C1113" s="399" t="s">
        <v>108</v>
      </c>
      <c r="D1113" s="399" t="s">
        <v>2390</v>
      </c>
      <c r="E1113" s="399" t="s">
        <v>2293</v>
      </c>
      <c r="F1113" s="399" t="s">
        <v>2294</v>
      </c>
      <c r="G1113" s="399" t="s">
        <v>2221</v>
      </c>
      <c r="H1113" s="1235"/>
    </row>
    <row r="1114" spans="1:8" hidden="1">
      <c r="A1114" s="495" t="s">
        <v>2292</v>
      </c>
      <c r="B1114" s="399" t="s">
        <v>631</v>
      </c>
      <c r="C1114" s="399" t="s">
        <v>108</v>
      </c>
      <c r="D1114" s="399" t="s">
        <v>2391</v>
      </c>
      <c r="E1114" s="399" t="s">
        <v>2296</v>
      </c>
      <c r="F1114" s="399" t="s">
        <v>2298</v>
      </c>
      <c r="G1114" s="399" t="s">
        <v>2221</v>
      </c>
      <c r="H1114" s="1235"/>
    </row>
    <row r="1115" spans="1:8" hidden="1">
      <c r="A1115" s="495" t="s">
        <v>2292</v>
      </c>
      <c r="B1115" s="399" t="s">
        <v>631</v>
      </c>
      <c r="C1115" s="399" t="s">
        <v>108</v>
      </c>
      <c r="D1115" s="399" t="s">
        <v>2392</v>
      </c>
      <c r="E1115" s="399" t="s">
        <v>2293</v>
      </c>
      <c r="F1115" s="399" t="s">
        <v>2294</v>
      </c>
      <c r="G1115" s="399" t="s">
        <v>2221</v>
      </c>
      <c r="H1115" s="1235"/>
    </row>
    <row r="1116" spans="1:8" hidden="1">
      <c r="A1116" s="495" t="s">
        <v>2292</v>
      </c>
      <c r="B1116" s="399" t="s">
        <v>631</v>
      </c>
      <c r="C1116" s="399" t="s">
        <v>108</v>
      </c>
      <c r="D1116" s="399" t="s">
        <v>2393</v>
      </c>
      <c r="E1116" s="399" t="s">
        <v>2293</v>
      </c>
      <c r="F1116" s="399" t="s">
        <v>2294</v>
      </c>
      <c r="G1116" s="399" t="s">
        <v>2221</v>
      </c>
      <c r="H1116" s="1235"/>
    </row>
    <row r="1117" spans="1:8" hidden="1">
      <c r="A1117" s="495" t="s">
        <v>2292</v>
      </c>
      <c r="B1117" s="399" t="s">
        <v>631</v>
      </c>
      <c r="C1117" s="399" t="s">
        <v>108</v>
      </c>
      <c r="D1117" s="399" t="s">
        <v>2394</v>
      </c>
      <c r="E1117" s="399" t="s">
        <v>2293</v>
      </c>
      <c r="F1117" s="399" t="s">
        <v>2294</v>
      </c>
      <c r="G1117" s="399" t="s">
        <v>2221</v>
      </c>
      <c r="H1117" s="1235"/>
    </row>
    <row r="1118" spans="1:8" hidden="1">
      <c r="A1118" s="495" t="s">
        <v>2292</v>
      </c>
      <c r="B1118" s="399" t="s">
        <v>631</v>
      </c>
      <c r="C1118" s="399" t="s">
        <v>108</v>
      </c>
      <c r="D1118" s="399" t="s">
        <v>2395</v>
      </c>
      <c r="E1118" s="399" t="s">
        <v>2293</v>
      </c>
      <c r="F1118" s="399" t="s">
        <v>2294</v>
      </c>
      <c r="G1118" s="399" t="s">
        <v>2221</v>
      </c>
      <c r="H1118" s="1235"/>
    </row>
    <row r="1119" spans="1:8" hidden="1">
      <c r="A1119" s="495" t="s">
        <v>2292</v>
      </c>
      <c r="B1119" s="399" t="s">
        <v>631</v>
      </c>
      <c r="C1119" s="399" t="s">
        <v>108</v>
      </c>
      <c r="D1119" s="399" t="s">
        <v>2396</v>
      </c>
      <c r="E1119" s="399" t="s">
        <v>2293</v>
      </c>
      <c r="F1119" s="399" t="s">
        <v>2294</v>
      </c>
      <c r="G1119" s="399" t="s">
        <v>2221</v>
      </c>
      <c r="H1119" s="1235"/>
    </row>
    <row r="1120" spans="1:8" hidden="1">
      <c r="A1120" s="495" t="s">
        <v>2292</v>
      </c>
      <c r="B1120" s="399" t="s">
        <v>631</v>
      </c>
      <c r="C1120" s="399" t="s">
        <v>108</v>
      </c>
      <c r="D1120" s="399" t="s">
        <v>2397</v>
      </c>
      <c r="E1120" s="399" t="s">
        <v>2293</v>
      </c>
      <c r="F1120" s="399" t="s">
        <v>2294</v>
      </c>
      <c r="G1120" s="399" t="s">
        <v>2221</v>
      </c>
      <c r="H1120" s="1235"/>
    </row>
    <row r="1121" spans="1:8" hidden="1">
      <c r="A1121" s="495" t="s">
        <v>2292</v>
      </c>
      <c r="B1121" s="399" t="s">
        <v>631</v>
      </c>
      <c r="C1121" s="399" t="s">
        <v>108</v>
      </c>
      <c r="D1121" s="399" t="s">
        <v>2398</v>
      </c>
      <c r="E1121" s="399" t="s">
        <v>2293</v>
      </c>
      <c r="F1121" s="399" t="s">
        <v>2294</v>
      </c>
      <c r="G1121" s="399" t="s">
        <v>2221</v>
      </c>
      <c r="H1121" s="1235"/>
    </row>
    <row r="1122" spans="1:8" hidden="1">
      <c r="A1122" s="495" t="s">
        <v>2292</v>
      </c>
      <c r="B1122" s="399" t="s">
        <v>631</v>
      </c>
      <c r="C1122" s="399" t="s">
        <v>108</v>
      </c>
      <c r="D1122" s="399" t="s">
        <v>2399</v>
      </c>
      <c r="E1122" s="399" t="s">
        <v>2293</v>
      </c>
      <c r="F1122" s="399" t="s">
        <v>2294</v>
      </c>
      <c r="G1122" s="399" t="s">
        <v>2221</v>
      </c>
      <c r="H1122" s="1235"/>
    </row>
    <row r="1123" spans="1:8" hidden="1">
      <c r="A1123" s="495" t="s">
        <v>2292</v>
      </c>
      <c r="B1123" s="399" t="s">
        <v>631</v>
      </c>
      <c r="C1123" s="399" t="s">
        <v>108</v>
      </c>
      <c r="D1123" s="399" t="s">
        <v>2400</v>
      </c>
      <c r="E1123" s="399" t="s">
        <v>2293</v>
      </c>
      <c r="F1123" s="399" t="s">
        <v>2294</v>
      </c>
      <c r="G1123" s="399" t="s">
        <v>2221</v>
      </c>
      <c r="H1123" s="1235"/>
    </row>
    <row r="1124" spans="1:8" hidden="1">
      <c r="A1124" s="495" t="s">
        <v>2292</v>
      </c>
      <c r="B1124" s="399" t="s">
        <v>631</v>
      </c>
      <c r="C1124" s="399" t="s">
        <v>108</v>
      </c>
      <c r="D1124" s="399" t="s">
        <v>2401</v>
      </c>
      <c r="E1124" s="399" t="s">
        <v>2296</v>
      </c>
      <c r="F1124" s="399" t="s">
        <v>2299</v>
      </c>
      <c r="G1124" s="399" t="s">
        <v>2221</v>
      </c>
      <c r="H1124" s="1235"/>
    </row>
    <row r="1125" spans="1:8" hidden="1">
      <c r="A1125" s="495" t="s">
        <v>2292</v>
      </c>
      <c r="B1125" s="399" t="s">
        <v>631</v>
      </c>
      <c r="C1125" s="399" t="s">
        <v>108</v>
      </c>
      <c r="D1125" s="399" t="s">
        <v>2402</v>
      </c>
      <c r="E1125" s="399" t="s">
        <v>2296</v>
      </c>
      <c r="F1125" s="399" t="s">
        <v>2300</v>
      </c>
      <c r="G1125" s="399" t="s">
        <v>2221</v>
      </c>
      <c r="H1125" s="1235"/>
    </row>
    <row r="1126" spans="1:8" hidden="1">
      <c r="A1126" s="495" t="s">
        <v>2292</v>
      </c>
      <c r="B1126" s="399" t="s">
        <v>631</v>
      </c>
      <c r="C1126" s="399" t="s">
        <v>108</v>
      </c>
      <c r="D1126" s="399" t="s">
        <v>2403</v>
      </c>
      <c r="E1126" s="399" t="s">
        <v>2293</v>
      </c>
      <c r="F1126" s="399" t="s">
        <v>2294</v>
      </c>
      <c r="G1126" s="399" t="s">
        <v>2221</v>
      </c>
      <c r="H1126" s="1235"/>
    </row>
    <row r="1127" spans="1:8" hidden="1">
      <c r="A1127" s="495" t="s">
        <v>2292</v>
      </c>
      <c r="B1127" s="399" t="s">
        <v>631</v>
      </c>
      <c r="C1127" s="399" t="s">
        <v>108</v>
      </c>
      <c r="D1127" s="399" t="s">
        <v>2404</v>
      </c>
      <c r="E1127" s="399" t="s">
        <v>2293</v>
      </c>
      <c r="F1127" s="399" t="s">
        <v>2294</v>
      </c>
      <c r="G1127" s="399" t="s">
        <v>2221</v>
      </c>
      <c r="H1127" s="1235"/>
    </row>
    <row r="1128" spans="1:8" hidden="1">
      <c r="A1128" s="495" t="s">
        <v>2292</v>
      </c>
      <c r="B1128" s="399" t="s">
        <v>631</v>
      </c>
      <c r="C1128" s="399" t="s">
        <v>108</v>
      </c>
      <c r="D1128" s="399" t="s">
        <v>2405</v>
      </c>
      <c r="E1128" s="399" t="s">
        <v>2293</v>
      </c>
      <c r="F1128" s="399" t="s">
        <v>2294</v>
      </c>
      <c r="G1128" s="399" t="s">
        <v>2221</v>
      </c>
      <c r="H1128" s="1235"/>
    </row>
    <row r="1129" spans="1:8" hidden="1">
      <c r="A1129" s="495" t="s">
        <v>2292</v>
      </c>
      <c r="B1129" s="399" t="s">
        <v>631</v>
      </c>
      <c r="C1129" s="399" t="s">
        <v>108</v>
      </c>
      <c r="D1129" s="399" t="s">
        <v>2406</v>
      </c>
      <c r="E1129" s="399" t="s">
        <v>2293</v>
      </c>
      <c r="F1129" s="399" t="s">
        <v>2294</v>
      </c>
      <c r="G1129" s="399" t="s">
        <v>2221</v>
      </c>
      <c r="H1129" s="1235"/>
    </row>
    <row r="1130" spans="1:8" hidden="1">
      <c r="A1130" s="495" t="s">
        <v>2292</v>
      </c>
      <c r="B1130" s="399" t="s">
        <v>631</v>
      </c>
      <c r="C1130" s="399" t="s">
        <v>108</v>
      </c>
      <c r="D1130" s="399" t="s">
        <v>2407</v>
      </c>
      <c r="E1130" s="399" t="s">
        <v>2293</v>
      </c>
      <c r="F1130" s="399" t="s">
        <v>2294</v>
      </c>
      <c r="G1130" s="399" t="s">
        <v>2221</v>
      </c>
      <c r="H1130" s="1235"/>
    </row>
    <row r="1131" spans="1:8" hidden="1">
      <c r="A1131" s="495" t="s">
        <v>2292</v>
      </c>
      <c r="B1131" s="399" t="s">
        <v>631</v>
      </c>
      <c r="C1131" s="399" t="s">
        <v>108</v>
      </c>
      <c r="D1131" s="399" t="s">
        <v>2408</v>
      </c>
      <c r="E1131" s="399" t="s">
        <v>2293</v>
      </c>
      <c r="F1131" s="399" t="s">
        <v>2294</v>
      </c>
      <c r="G1131" s="399" t="s">
        <v>2221</v>
      </c>
      <c r="H1131" s="1235"/>
    </row>
    <row r="1132" spans="1:8" hidden="1">
      <c r="A1132" s="495" t="s">
        <v>2292</v>
      </c>
      <c r="B1132" s="399" t="s">
        <v>631</v>
      </c>
      <c r="C1132" s="399" t="s">
        <v>108</v>
      </c>
      <c r="D1132" s="399" t="s">
        <v>2409</v>
      </c>
      <c r="E1132" s="399" t="s">
        <v>2293</v>
      </c>
      <c r="F1132" s="399" t="s">
        <v>2294</v>
      </c>
      <c r="G1132" s="399" t="s">
        <v>2221</v>
      </c>
      <c r="H1132" s="1235"/>
    </row>
    <row r="1133" spans="1:8" hidden="1">
      <c r="A1133" s="495" t="s">
        <v>2292</v>
      </c>
      <c r="B1133" s="399" t="s">
        <v>631</v>
      </c>
      <c r="C1133" s="399" t="s">
        <v>108</v>
      </c>
      <c r="D1133" s="399" t="s">
        <v>2410</v>
      </c>
      <c r="E1133" s="399" t="s">
        <v>2293</v>
      </c>
      <c r="F1133" s="399" t="s">
        <v>2294</v>
      </c>
      <c r="G1133" s="399" t="s">
        <v>2221</v>
      </c>
      <c r="H1133" s="1235"/>
    </row>
    <row r="1134" spans="1:8" hidden="1">
      <c r="A1134" s="495" t="s">
        <v>2292</v>
      </c>
      <c r="B1134" s="399" t="s">
        <v>631</v>
      </c>
      <c r="C1134" s="399" t="s">
        <v>108</v>
      </c>
      <c r="D1134" s="399" t="s">
        <v>2411</v>
      </c>
      <c r="E1134" s="399" t="s">
        <v>2293</v>
      </c>
      <c r="F1134" s="399" t="s">
        <v>2294</v>
      </c>
      <c r="G1134" s="399" t="s">
        <v>2221</v>
      </c>
      <c r="H1134" s="1235"/>
    </row>
    <row r="1135" spans="1:8" hidden="1">
      <c r="A1135" s="495" t="s">
        <v>2292</v>
      </c>
      <c r="B1135" s="399" t="s">
        <v>631</v>
      </c>
      <c r="C1135" s="399" t="s">
        <v>108</v>
      </c>
      <c r="D1135" s="399" t="s">
        <v>2412</v>
      </c>
      <c r="E1135" s="399" t="s">
        <v>2293</v>
      </c>
      <c r="F1135" s="399" t="s">
        <v>2294</v>
      </c>
      <c r="G1135" s="399" t="s">
        <v>2221</v>
      </c>
      <c r="H1135" s="1235"/>
    </row>
    <row r="1136" spans="1:8" hidden="1">
      <c r="A1136" s="495" t="s">
        <v>2292</v>
      </c>
      <c r="B1136" s="399" t="s">
        <v>631</v>
      </c>
      <c r="C1136" s="399" t="s">
        <v>108</v>
      </c>
      <c r="D1136" s="399" t="s">
        <v>2413</v>
      </c>
      <c r="E1136" s="399" t="s">
        <v>2293</v>
      </c>
      <c r="F1136" s="399" t="s">
        <v>2294</v>
      </c>
      <c r="G1136" s="399" t="s">
        <v>2221</v>
      </c>
      <c r="H1136" s="1235"/>
    </row>
    <row r="1137" spans="1:8" hidden="1">
      <c r="A1137" s="495" t="s">
        <v>2292</v>
      </c>
      <c r="B1137" s="399" t="s">
        <v>631</v>
      </c>
      <c r="C1137" s="399" t="s">
        <v>108</v>
      </c>
      <c r="D1137" s="399" t="s">
        <v>2414</v>
      </c>
      <c r="E1137" s="399" t="s">
        <v>2293</v>
      </c>
      <c r="F1137" s="399" t="s">
        <v>2294</v>
      </c>
      <c r="G1137" s="399" t="s">
        <v>2221</v>
      </c>
      <c r="H1137" s="1235"/>
    </row>
    <row r="1138" spans="1:8" hidden="1">
      <c r="A1138" s="495" t="s">
        <v>2292</v>
      </c>
      <c r="B1138" s="399" t="s">
        <v>631</v>
      </c>
      <c r="C1138" s="399" t="s">
        <v>108</v>
      </c>
      <c r="D1138" s="399" t="s">
        <v>2415</v>
      </c>
      <c r="E1138" s="399" t="s">
        <v>2293</v>
      </c>
      <c r="F1138" s="399" t="s">
        <v>2294</v>
      </c>
      <c r="G1138" s="399" t="s">
        <v>2221</v>
      </c>
      <c r="H1138" s="1235"/>
    </row>
    <row r="1139" spans="1:8" hidden="1">
      <c r="A1139" s="495" t="s">
        <v>2292</v>
      </c>
      <c r="B1139" s="399" t="s">
        <v>631</v>
      </c>
      <c r="C1139" s="399" t="s">
        <v>108</v>
      </c>
      <c r="D1139" s="399" t="s">
        <v>2416</v>
      </c>
      <c r="E1139" s="399" t="s">
        <v>2293</v>
      </c>
      <c r="F1139" s="399" t="s">
        <v>2294</v>
      </c>
      <c r="G1139" s="399" t="s">
        <v>2221</v>
      </c>
      <c r="H1139" s="1235"/>
    </row>
    <row r="1140" spans="1:8" hidden="1">
      <c r="A1140" s="495" t="s">
        <v>2292</v>
      </c>
      <c r="B1140" s="399" t="s">
        <v>631</v>
      </c>
      <c r="C1140" s="399" t="s">
        <v>108</v>
      </c>
      <c r="D1140" s="399" t="s">
        <v>2417</v>
      </c>
      <c r="E1140" s="399" t="s">
        <v>2293</v>
      </c>
      <c r="F1140" s="399" t="s">
        <v>2294</v>
      </c>
      <c r="G1140" s="399" t="s">
        <v>2221</v>
      </c>
      <c r="H1140" s="1235"/>
    </row>
    <row r="1141" spans="1:8" hidden="1">
      <c r="A1141" s="495" t="s">
        <v>2292</v>
      </c>
      <c r="B1141" s="399" t="s">
        <v>631</v>
      </c>
      <c r="C1141" s="399" t="s">
        <v>108</v>
      </c>
      <c r="D1141" s="399" t="s">
        <v>2418</v>
      </c>
      <c r="E1141" s="399" t="s">
        <v>2293</v>
      </c>
      <c r="F1141" s="399" t="s">
        <v>2294</v>
      </c>
      <c r="G1141" s="399" t="s">
        <v>2221</v>
      </c>
      <c r="H1141" s="1235"/>
    </row>
    <row r="1142" spans="1:8" hidden="1">
      <c r="A1142" s="495" t="s">
        <v>2292</v>
      </c>
      <c r="B1142" s="399" t="s">
        <v>631</v>
      </c>
      <c r="C1142" s="399" t="s">
        <v>108</v>
      </c>
      <c r="D1142" s="399" t="s">
        <v>2419</v>
      </c>
      <c r="E1142" s="399" t="s">
        <v>2293</v>
      </c>
      <c r="F1142" s="399" t="s">
        <v>2294</v>
      </c>
      <c r="G1142" s="399" t="s">
        <v>2221</v>
      </c>
      <c r="H1142" s="1235"/>
    </row>
    <row r="1143" spans="1:8" hidden="1">
      <c r="A1143" s="495" t="s">
        <v>2292</v>
      </c>
      <c r="B1143" s="399" t="s">
        <v>631</v>
      </c>
      <c r="C1143" s="399" t="s">
        <v>108</v>
      </c>
      <c r="D1143" s="399" t="s">
        <v>2420</v>
      </c>
      <c r="E1143" s="399" t="s">
        <v>2293</v>
      </c>
      <c r="F1143" s="399" t="s">
        <v>2294</v>
      </c>
      <c r="G1143" s="399" t="s">
        <v>2221</v>
      </c>
      <c r="H1143" s="1235"/>
    </row>
    <row r="1144" spans="1:8" hidden="1">
      <c r="A1144" s="495" t="s">
        <v>2292</v>
      </c>
      <c r="B1144" s="399" t="s">
        <v>631</v>
      </c>
      <c r="C1144" s="399" t="s">
        <v>108</v>
      </c>
      <c r="D1144" s="399" t="s">
        <v>2421</v>
      </c>
      <c r="E1144" s="399" t="s">
        <v>2293</v>
      </c>
      <c r="F1144" s="399" t="s">
        <v>2294</v>
      </c>
      <c r="G1144" s="399" t="s">
        <v>2221</v>
      </c>
      <c r="H1144" s="1235"/>
    </row>
    <row r="1145" spans="1:8" hidden="1">
      <c r="A1145" s="495" t="s">
        <v>2292</v>
      </c>
      <c r="B1145" s="399" t="s">
        <v>631</v>
      </c>
      <c r="C1145" s="399" t="s">
        <v>108</v>
      </c>
      <c r="D1145" s="399" t="s">
        <v>2422</v>
      </c>
      <c r="E1145" s="399" t="s">
        <v>2293</v>
      </c>
      <c r="F1145" s="399" t="s">
        <v>2294</v>
      </c>
      <c r="G1145" s="399" t="s">
        <v>2221</v>
      </c>
      <c r="H1145" s="1235"/>
    </row>
    <row r="1146" spans="1:8" hidden="1">
      <c r="A1146" s="495" t="s">
        <v>2292</v>
      </c>
      <c r="B1146" s="399" t="s">
        <v>631</v>
      </c>
      <c r="C1146" s="399" t="s">
        <v>108</v>
      </c>
      <c r="D1146" s="399" t="s">
        <v>2423</v>
      </c>
      <c r="E1146" s="399" t="s">
        <v>2293</v>
      </c>
      <c r="F1146" s="399" t="s">
        <v>2294</v>
      </c>
      <c r="G1146" s="399" t="s">
        <v>2221</v>
      </c>
      <c r="H1146" s="1235"/>
    </row>
    <row r="1147" spans="1:8" hidden="1">
      <c r="A1147" s="495" t="s">
        <v>2292</v>
      </c>
      <c r="B1147" s="399" t="s">
        <v>631</v>
      </c>
      <c r="C1147" s="399" t="s">
        <v>108</v>
      </c>
      <c r="D1147" s="399" t="s">
        <v>2424</v>
      </c>
      <c r="E1147" s="399" t="s">
        <v>2293</v>
      </c>
      <c r="F1147" s="399" t="s">
        <v>2294</v>
      </c>
      <c r="G1147" s="399" t="s">
        <v>2221</v>
      </c>
      <c r="H1147" s="1235"/>
    </row>
    <row r="1148" spans="1:8" hidden="1">
      <c r="A1148" s="495" t="s">
        <v>2292</v>
      </c>
      <c r="B1148" s="399" t="s">
        <v>631</v>
      </c>
      <c r="C1148" s="399" t="s">
        <v>108</v>
      </c>
      <c r="D1148" s="399" t="s">
        <v>2425</v>
      </c>
      <c r="E1148" s="399" t="s">
        <v>2293</v>
      </c>
      <c r="F1148" s="399" t="s">
        <v>2294</v>
      </c>
      <c r="G1148" s="399" t="s">
        <v>2221</v>
      </c>
      <c r="H1148" s="1235"/>
    </row>
    <row r="1149" spans="1:8" hidden="1">
      <c r="A1149" s="495" t="s">
        <v>2292</v>
      </c>
      <c r="B1149" s="399" t="s">
        <v>631</v>
      </c>
      <c r="C1149" s="399" t="s">
        <v>108</v>
      </c>
      <c r="D1149" s="399" t="s">
        <v>2426</v>
      </c>
      <c r="E1149" s="399" t="s">
        <v>2293</v>
      </c>
      <c r="F1149" s="399" t="s">
        <v>2294</v>
      </c>
      <c r="G1149" s="399" t="s">
        <v>2221</v>
      </c>
      <c r="H1149" s="1235"/>
    </row>
    <row r="1150" spans="1:8" hidden="1">
      <c r="A1150" s="495" t="s">
        <v>2292</v>
      </c>
      <c r="B1150" s="399" t="s">
        <v>631</v>
      </c>
      <c r="C1150" s="399" t="s">
        <v>108</v>
      </c>
      <c r="D1150" s="399" t="s">
        <v>2427</v>
      </c>
      <c r="E1150" s="399" t="s">
        <v>2293</v>
      </c>
      <c r="F1150" s="399" t="s">
        <v>2294</v>
      </c>
      <c r="G1150" s="399" t="s">
        <v>2221</v>
      </c>
      <c r="H1150" s="1235"/>
    </row>
    <row r="1151" spans="1:8" hidden="1">
      <c r="A1151" s="495" t="s">
        <v>2292</v>
      </c>
      <c r="B1151" s="399" t="s">
        <v>631</v>
      </c>
      <c r="C1151" s="399" t="s">
        <v>108</v>
      </c>
      <c r="D1151" s="399" t="s">
        <v>2428</v>
      </c>
      <c r="E1151" s="399" t="s">
        <v>2293</v>
      </c>
      <c r="F1151" s="399" t="s">
        <v>2294</v>
      </c>
      <c r="G1151" s="399" t="s">
        <v>2221</v>
      </c>
      <c r="H1151" s="1235"/>
    </row>
    <row r="1152" spans="1:8" hidden="1">
      <c r="A1152" s="495" t="s">
        <v>2292</v>
      </c>
      <c r="B1152" s="399" t="s">
        <v>631</v>
      </c>
      <c r="C1152" s="399" t="s">
        <v>108</v>
      </c>
      <c r="D1152" s="399" t="s">
        <v>2429</v>
      </c>
      <c r="E1152" s="399" t="s">
        <v>2293</v>
      </c>
      <c r="F1152" s="399" t="s">
        <v>2294</v>
      </c>
      <c r="G1152" s="399" t="s">
        <v>2221</v>
      </c>
      <c r="H1152" s="1235"/>
    </row>
    <row r="1153" spans="1:8" hidden="1">
      <c r="A1153" s="495" t="s">
        <v>2292</v>
      </c>
      <c r="B1153" s="399" t="s">
        <v>631</v>
      </c>
      <c r="C1153" s="399" t="s">
        <v>108</v>
      </c>
      <c r="D1153" s="399" t="s">
        <v>2430</v>
      </c>
      <c r="E1153" s="399" t="s">
        <v>2293</v>
      </c>
      <c r="F1153" s="399" t="s">
        <v>2294</v>
      </c>
      <c r="G1153" s="399" t="s">
        <v>2221</v>
      </c>
      <c r="H1153" s="1235"/>
    </row>
    <row r="1154" spans="1:8" hidden="1">
      <c r="A1154" s="495" t="s">
        <v>2292</v>
      </c>
      <c r="B1154" s="399" t="s">
        <v>631</v>
      </c>
      <c r="C1154" s="399" t="s">
        <v>108</v>
      </c>
      <c r="D1154" s="399" t="s">
        <v>2431</v>
      </c>
      <c r="E1154" s="399" t="s">
        <v>2293</v>
      </c>
      <c r="F1154" s="399" t="s">
        <v>2294</v>
      </c>
      <c r="G1154" s="399" t="s">
        <v>2221</v>
      </c>
      <c r="H1154" s="1235"/>
    </row>
    <row r="1155" spans="1:8" hidden="1">
      <c r="A1155" s="495" t="s">
        <v>2292</v>
      </c>
      <c r="B1155" s="399" t="s">
        <v>631</v>
      </c>
      <c r="C1155" s="399" t="s">
        <v>108</v>
      </c>
      <c r="D1155" s="399" t="s">
        <v>2432</v>
      </c>
      <c r="E1155" s="399" t="s">
        <v>2296</v>
      </c>
      <c r="F1155" s="399" t="s">
        <v>2297</v>
      </c>
      <c r="G1155" s="399" t="s">
        <v>2221</v>
      </c>
      <c r="H1155" s="1235"/>
    </row>
    <row r="1156" spans="1:8" hidden="1">
      <c r="A1156" s="495" t="s">
        <v>2292</v>
      </c>
      <c r="B1156" s="399" t="s">
        <v>631</v>
      </c>
      <c r="C1156" s="399" t="s">
        <v>108</v>
      </c>
      <c r="D1156" s="399" t="s">
        <v>2433</v>
      </c>
      <c r="E1156" s="399" t="s">
        <v>2293</v>
      </c>
      <c r="F1156" s="399" t="s">
        <v>2294</v>
      </c>
      <c r="G1156" s="399" t="s">
        <v>2221</v>
      </c>
      <c r="H1156" s="1235"/>
    </row>
    <row r="1157" spans="1:8" hidden="1">
      <c r="A1157" s="495" t="s">
        <v>2292</v>
      </c>
      <c r="B1157" s="399" t="s">
        <v>631</v>
      </c>
      <c r="C1157" s="399" t="s">
        <v>108</v>
      </c>
      <c r="D1157" s="399" t="s">
        <v>2434</v>
      </c>
      <c r="E1157" s="399" t="s">
        <v>2296</v>
      </c>
      <c r="F1157" s="399" t="s">
        <v>2298</v>
      </c>
      <c r="G1157" s="399" t="s">
        <v>2221</v>
      </c>
      <c r="H1157" s="1235"/>
    </row>
    <row r="1158" spans="1:8" hidden="1">
      <c r="A1158" s="495" t="s">
        <v>2292</v>
      </c>
      <c r="B1158" s="399" t="s">
        <v>631</v>
      </c>
      <c r="C1158" s="399" t="s">
        <v>108</v>
      </c>
      <c r="D1158" s="399" t="s">
        <v>2435</v>
      </c>
      <c r="E1158" s="399" t="s">
        <v>2293</v>
      </c>
      <c r="F1158" s="399" t="s">
        <v>2294</v>
      </c>
      <c r="G1158" s="399" t="s">
        <v>2221</v>
      </c>
      <c r="H1158" s="1235"/>
    </row>
    <row r="1159" spans="1:8" hidden="1">
      <c r="A1159" s="495" t="s">
        <v>2292</v>
      </c>
      <c r="B1159" s="399" t="s">
        <v>631</v>
      </c>
      <c r="C1159" s="399" t="s">
        <v>108</v>
      </c>
      <c r="D1159" s="399" t="s">
        <v>2436</v>
      </c>
      <c r="E1159" s="399" t="s">
        <v>2293</v>
      </c>
      <c r="F1159" s="399" t="s">
        <v>2294</v>
      </c>
      <c r="G1159" s="399" t="s">
        <v>2221</v>
      </c>
      <c r="H1159" s="1235"/>
    </row>
    <row r="1160" spans="1:8" hidden="1">
      <c r="A1160" s="495" t="s">
        <v>2292</v>
      </c>
      <c r="B1160" s="399" t="s">
        <v>631</v>
      </c>
      <c r="C1160" s="399" t="s">
        <v>108</v>
      </c>
      <c r="D1160" s="399" t="s">
        <v>2437</v>
      </c>
      <c r="E1160" s="399" t="s">
        <v>2296</v>
      </c>
      <c r="F1160" s="399" t="s">
        <v>2299</v>
      </c>
      <c r="G1160" s="399" t="s">
        <v>2221</v>
      </c>
      <c r="H1160" s="1235"/>
    </row>
    <row r="1161" spans="1:8" hidden="1">
      <c r="A1161" s="495" t="s">
        <v>2292</v>
      </c>
      <c r="B1161" s="399" t="s">
        <v>631</v>
      </c>
      <c r="C1161" s="399" t="s">
        <v>108</v>
      </c>
      <c r="D1161" s="399" t="s">
        <v>2438</v>
      </c>
      <c r="E1161" s="399" t="s">
        <v>2293</v>
      </c>
      <c r="F1161" s="399" t="s">
        <v>2294</v>
      </c>
      <c r="G1161" s="399" t="s">
        <v>2221</v>
      </c>
      <c r="H1161" s="1235"/>
    </row>
    <row r="1162" spans="1:8" hidden="1">
      <c r="A1162" s="495" t="s">
        <v>2292</v>
      </c>
      <c r="B1162" s="399" t="s">
        <v>631</v>
      </c>
      <c r="C1162" s="399" t="s">
        <v>108</v>
      </c>
      <c r="D1162" s="399" t="s">
        <v>2439</v>
      </c>
      <c r="E1162" s="399" t="s">
        <v>2293</v>
      </c>
      <c r="F1162" s="399" t="s">
        <v>2294</v>
      </c>
      <c r="G1162" s="399" t="s">
        <v>2221</v>
      </c>
      <c r="H1162" s="1235"/>
    </row>
    <row r="1163" spans="1:8" hidden="1">
      <c r="A1163" s="495" t="s">
        <v>2292</v>
      </c>
      <c r="B1163" s="399" t="s">
        <v>631</v>
      </c>
      <c r="C1163" s="399" t="s">
        <v>108</v>
      </c>
      <c r="D1163" s="399" t="s">
        <v>2440</v>
      </c>
      <c r="E1163" s="399" t="s">
        <v>2293</v>
      </c>
      <c r="F1163" s="399" t="s">
        <v>2294</v>
      </c>
      <c r="G1163" s="399" t="s">
        <v>2221</v>
      </c>
      <c r="H1163" s="1235"/>
    </row>
    <row r="1164" spans="1:8" hidden="1">
      <c r="A1164" s="495" t="s">
        <v>2292</v>
      </c>
      <c r="B1164" s="399" t="s">
        <v>631</v>
      </c>
      <c r="C1164" s="399" t="s">
        <v>108</v>
      </c>
      <c r="D1164" s="399" t="s">
        <v>2441</v>
      </c>
      <c r="E1164" s="399" t="s">
        <v>2293</v>
      </c>
      <c r="F1164" s="399" t="s">
        <v>2294</v>
      </c>
      <c r="G1164" s="399" t="s">
        <v>2221</v>
      </c>
      <c r="H1164" s="1235"/>
    </row>
    <row r="1165" spans="1:8" hidden="1">
      <c r="A1165" s="495" t="s">
        <v>2292</v>
      </c>
      <c r="B1165" s="399" t="s">
        <v>631</v>
      </c>
      <c r="C1165" s="399" t="s">
        <v>108</v>
      </c>
      <c r="D1165" s="399" t="s">
        <v>2442</v>
      </c>
      <c r="E1165" s="399" t="s">
        <v>2293</v>
      </c>
      <c r="F1165" s="399" t="s">
        <v>2294</v>
      </c>
      <c r="G1165" s="399" t="s">
        <v>2221</v>
      </c>
      <c r="H1165" s="1235"/>
    </row>
    <row r="1166" spans="1:8" hidden="1">
      <c r="A1166" s="495" t="s">
        <v>2292</v>
      </c>
      <c r="B1166" s="399" t="s">
        <v>631</v>
      </c>
      <c r="C1166" s="399" t="s">
        <v>108</v>
      </c>
      <c r="D1166" s="399" t="s">
        <v>2443</v>
      </c>
      <c r="E1166" s="399" t="s">
        <v>2296</v>
      </c>
      <c r="F1166" s="399" t="s">
        <v>2300</v>
      </c>
      <c r="G1166" s="399" t="s">
        <v>2221</v>
      </c>
      <c r="H1166" s="1235"/>
    </row>
    <row r="1167" spans="1:8" hidden="1">
      <c r="A1167" s="495" t="s">
        <v>2292</v>
      </c>
      <c r="B1167" s="399" t="s">
        <v>631</v>
      </c>
      <c r="C1167" s="399" t="s">
        <v>108</v>
      </c>
      <c r="D1167" s="399" t="s">
        <v>2444</v>
      </c>
      <c r="E1167" s="399" t="s">
        <v>2293</v>
      </c>
      <c r="F1167" s="399" t="s">
        <v>2294</v>
      </c>
      <c r="G1167" s="399" t="s">
        <v>2221</v>
      </c>
      <c r="H1167" s="1235"/>
    </row>
    <row r="1168" spans="1:8" hidden="1">
      <c r="A1168" s="495" t="s">
        <v>2292</v>
      </c>
      <c r="B1168" s="399" t="s">
        <v>631</v>
      </c>
      <c r="C1168" s="399" t="s">
        <v>108</v>
      </c>
      <c r="D1168" s="399" t="s">
        <v>2445</v>
      </c>
      <c r="E1168" s="399" t="s">
        <v>2293</v>
      </c>
      <c r="F1168" s="399" t="s">
        <v>2294</v>
      </c>
      <c r="G1168" s="399" t="s">
        <v>2221</v>
      </c>
      <c r="H1168" s="1235"/>
    </row>
    <row r="1169" spans="1:8" hidden="1">
      <c r="A1169" s="495" t="s">
        <v>2292</v>
      </c>
      <c r="B1169" s="399" t="s">
        <v>631</v>
      </c>
      <c r="C1169" s="399" t="s">
        <v>108</v>
      </c>
      <c r="D1169" s="399" t="s">
        <v>2446</v>
      </c>
      <c r="E1169" s="399" t="s">
        <v>2293</v>
      </c>
      <c r="F1169" s="399" t="s">
        <v>2294</v>
      </c>
      <c r="G1169" s="399" t="s">
        <v>2221</v>
      </c>
      <c r="H1169" s="1235"/>
    </row>
    <row r="1170" spans="1:8" hidden="1">
      <c r="A1170" s="495" t="s">
        <v>2292</v>
      </c>
      <c r="B1170" s="399" t="s">
        <v>631</v>
      </c>
      <c r="C1170" s="399" t="s">
        <v>108</v>
      </c>
      <c r="D1170" s="399" t="s">
        <v>2447</v>
      </c>
      <c r="E1170" s="399" t="s">
        <v>2293</v>
      </c>
      <c r="F1170" s="399" t="s">
        <v>2294</v>
      </c>
      <c r="G1170" s="399" t="s">
        <v>2221</v>
      </c>
      <c r="H1170" s="1235"/>
    </row>
    <row r="1171" spans="1:8" hidden="1">
      <c r="A1171" s="495" t="s">
        <v>2292</v>
      </c>
      <c r="B1171" s="399" t="s">
        <v>631</v>
      </c>
      <c r="C1171" s="399" t="s">
        <v>108</v>
      </c>
      <c r="D1171" s="399" t="s">
        <v>2448</v>
      </c>
      <c r="E1171" s="399" t="s">
        <v>2293</v>
      </c>
      <c r="F1171" s="399" t="s">
        <v>2294</v>
      </c>
      <c r="G1171" s="399" t="s">
        <v>2221</v>
      </c>
      <c r="H1171" s="1235"/>
    </row>
    <row r="1172" spans="1:8" hidden="1">
      <c r="A1172" s="495" t="s">
        <v>2292</v>
      </c>
      <c r="B1172" s="399" t="s">
        <v>631</v>
      </c>
      <c r="C1172" s="399" t="s">
        <v>108</v>
      </c>
      <c r="D1172" s="399" t="s">
        <v>2449</v>
      </c>
      <c r="E1172" s="399" t="s">
        <v>2293</v>
      </c>
      <c r="F1172" s="399" t="s">
        <v>2294</v>
      </c>
      <c r="G1172" s="399" t="s">
        <v>2221</v>
      </c>
      <c r="H1172" s="1235"/>
    </row>
    <row r="1173" spans="1:8" hidden="1">
      <c r="A1173" s="495" t="s">
        <v>2292</v>
      </c>
      <c r="B1173" s="399" t="s">
        <v>631</v>
      </c>
      <c r="C1173" s="399" t="s">
        <v>108</v>
      </c>
      <c r="D1173" s="399" t="s">
        <v>2450</v>
      </c>
      <c r="E1173" s="399" t="s">
        <v>2293</v>
      </c>
      <c r="F1173" s="399" t="s">
        <v>2294</v>
      </c>
      <c r="G1173" s="399" t="s">
        <v>2221</v>
      </c>
      <c r="H1173" s="1235"/>
    </row>
    <row r="1174" spans="1:8" hidden="1">
      <c r="A1174" s="495" t="s">
        <v>2292</v>
      </c>
      <c r="B1174" s="399" t="s">
        <v>631</v>
      </c>
      <c r="C1174" s="399" t="s">
        <v>108</v>
      </c>
      <c r="D1174" s="399" t="s">
        <v>2451</v>
      </c>
      <c r="E1174" s="399" t="s">
        <v>2293</v>
      </c>
      <c r="F1174" s="399" t="s">
        <v>2294</v>
      </c>
      <c r="G1174" s="399" t="s">
        <v>2221</v>
      </c>
      <c r="H1174" s="1235"/>
    </row>
    <row r="1175" spans="1:8" hidden="1">
      <c r="A1175" s="495" t="s">
        <v>2292</v>
      </c>
      <c r="B1175" s="399" t="s">
        <v>631</v>
      </c>
      <c r="C1175" s="399" t="s">
        <v>108</v>
      </c>
      <c r="D1175" s="399" t="s">
        <v>2452</v>
      </c>
      <c r="E1175" s="399" t="s">
        <v>2293</v>
      </c>
      <c r="F1175" s="399" t="s">
        <v>2294</v>
      </c>
      <c r="G1175" s="399" t="s">
        <v>2221</v>
      </c>
      <c r="H1175" s="1235"/>
    </row>
    <row r="1176" spans="1:8" hidden="1">
      <c r="A1176" s="495" t="s">
        <v>2292</v>
      </c>
      <c r="B1176" s="399" t="s">
        <v>631</v>
      </c>
      <c r="C1176" s="399" t="s">
        <v>108</v>
      </c>
      <c r="D1176" s="399" t="s">
        <v>2453</v>
      </c>
      <c r="E1176" s="399" t="s">
        <v>2293</v>
      </c>
      <c r="F1176" s="399" t="s">
        <v>2294</v>
      </c>
      <c r="G1176" s="399" t="s">
        <v>2221</v>
      </c>
      <c r="H1176" s="1235"/>
    </row>
    <row r="1177" spans="1:8" hidden="1">
      <c r="A1177" s="495" t="s">
        <v>2292</v>
      </c>
      <c r="B1177" s="399" t="s">
        <v>631</v>
      </c>
      <c r="C1177" s="399" t="s">
        <v>108</v>
      </c>
      <c r="D1177" s="399" t="s">
        <v>2454</v>
      </c>
      <c r="E1177" s="399" t="s">
        <v>2293</v>
      </c>
      <c r="F1177" s="399" t="s">
        <v>2294</v>
      </c>
      <c r="G1177" s="399" t="s">
        <v>2221</v>
      </c>
      <c r="H1177" s="1235"/>
    </row>
    <row r="1178" spans="1:8" hidden="1">
      <c r="A1178" s="495" t="s">
        <v>2292</v>
      </c>
      <c r="B1178" s="399" t="s">
        <v>631</v>
      </c>
      <c r="C1178" s="399" t="s">
        <v>108</v>
      </c>
      <c r="D1178" s="399" t="s">
        <v>2455</v>
      </c>
      <c r="E1178" s="399" t="s">
        <v>2293</v>
      </c>
      <c r="F1178" s="399" t="s">
        <v>2294</v>
      </c>
      <c r="G1178" s="399" t="s">
        <v>2221</v>
      </c>
      <c r="H1178" s="1235"/>
    </row>
    <row r="1179" spans="1:8" hidden="1">
      <c r="A1179" s="495" t="s">
        <v>2292</v>
      </c>
      <c r="B1179" s="399" t="s">
        <v>631</v>
      </c>
      <c r="C1179" s="399" t="s">
        <v>108</v>
      </c>
      <c r="D1179" s="399" t="s">
        <v>2456</v>
      </c>
      <c r="E1179" s="399" t="s">
        <v>2293</v>
      </c>
      <c r="F1179" s="399" t="s">
        <v>2294</v>
      </c>
      <c r="G1179" s="399" t="s">
        <v>2221</v>
      </c>
      <c r="H1179" s="1235"/>
    </row>
    <row r="1180" spans="1:8" hidden="1">
      <c r="A1180" s="495" t="s">
        <v>2292</v>
      </c>
      <c r="B1180" s="399" t="s">
        <v>631</v>
      </c>
      <c r="C1180" s="399" t="s">
        <v>108</v>
      </c>
      <c r="D1180" s="399" t="s">
        <v>2457</v>
      </c>
      <c r="E1180" s="399" t="s">
        <v>2293</v>
      </c>
      <c r="F1180" s="399" t="s">
        <v>2294</v>
      </c>
      <c r="G1180" s="399" t="s">
        <v>2221</v>
      </c>
      <c r="H1180" s="1235"/>
    </row>
    <row r="1181" spans="1:8" hidden="1">
      <c r="A1181" s="495" t="s">
        <v>2292</v>
      </c>
      <c r="B1181" s="399" t="s">
        <v>631</v>
      </c>
      <c r="C1181" s="399" t="s">
        <v>108</v>
      </c>
      <c r="D1181" s="399" t="s">
        <v>2458</v>
      </c>
      <c r="E1181" s="399" t="s">
        <v>2293</v>
      </c>
      <c r="F1181" s="399" t="s">
        <v>2294</v>
      </c>
      <c r="G1181" s="399" t="s">
        <v>2221</v>
      </c>
      <c r="H1181" s="1235"/>
    </row>
    <row r="1182" spans="1:8" hidden="1">
      <c r="A1182" s="495" t="s">
        <v>2292</v>
      </c>
      <c r="B1182" s="399" t="s">
        <v>631</v>
      </c>
      <c r="C1182" s="399" t="s">
        <v>108</v>
      </c>
      <c r="D1182" s="399" t="s">
        <v>2459</v>
      </c>
      <c r="E1182" s="399" t="s">
        <v>2293</v>
      </c>
      <c r="F1182" s="399" t="s">
        <v>2294</v>
      </c>
      <c r="G1182" s="399" t="s">
        <v>2221</v>
      </c>
      <c r="H1182" s="1235"/>
    </row>
    <row r="1183" spans="1:8" hidden="1">
      <c r="A1183" s="495" t="s">
        <v>2292</v>
      </c>
      <c r="B1183" s="399" t="s">
        <v>631</v>
      </c>
      <c r="C1183" s="399" t="s">
        <v>108</v>
      </c>
      <c r="D1183" s="399" t="s">
        <v>2460</v>
      </c>
      <c r="E1183" s="399" t="s">
        <v>2293</v>
      </c>
      <c r="F1183" s="399" t="s">
        <v>2294</v>
      </c>
      <c r="G1183" s="399" t="s">
        <v>2221</v>
      </c>
      <c r="H1183" s="1235"/>
    </row>
    <row r="1184" spans="1:8" hidden="1">
      <c r="A1184" s="495" t="s">
        <v>2292</v>
      </c>
      <c r="B1184" s="399" t="s">
        <v>631</v>
      </c>
      <c r="C1184" s="399" t="s">
        <v>108</v>
      </c>
      <c r="D1184" s="399" t="s">
        <v>2461</v>
      </c>
      <c r="E1184" s="399" t="s">
        <v>2293</v>
      </c>
      <c r="F1184" s="399" t="s">
        <v>2294</v>
      </c>
      <c r="G1184" s="399" t="s">
        <v>2221</v>
      </c>
      <c r="H1184" s="1235"/>
    </row>
    <row r="1185" spans="1:8" hidden="1">
      <c r="A1185" s="495" t="s">
        <v>2292</v>
      </c>
      <c r="B1185" s="399" t="s">
        <v>631</v>
      </c>
      <c r="C1185" s="399" t="s">
        <v>108</v>
      </c>
      <c r="D1185" s="399" t="s">
        <v>2462</v>
      </c>
      <c r="E1185" s="399" t="s">
        <v>2293</v>
      </c>
      <c r="F1185" s="399" t="s">
        <v>2294</v>
      </c>
      <c r="G1185" s="399" t="s">
        <v>2221</v>
      </c>
      <c r="H1185" s="1235"/>
    </row>
    <row r="1186" spans="1:8" hidden="1">
      <c r="A1186" s="495" t="s">
        <v>2292</v>
      </c>
      <c r="B1186" s="399" t="s">
        <v>631</v>
      </c>
      <c r="C1186" s="399" t="s">
        <v>108</v>
      </c>
      <c r="D1186" s="399" t="s">
        <v>2463</v>
      </c>
      <c r="E1186" s="399" t="s">
        <v>2293</v>
      </c>
      <c r="F1186" s="399" t="s">
        <v>2294</v>
      </c>
      <c r="G1186" s="399" t="s">
        <v>2221</v>
      </c>
      <c r="H1186" s="1235"/>
    </row>
    <row r="1187" spans="1:8" hidden="1">
      <c r="A1187" s="495" t="s">
        <v>2292</v>
      </c>
      <c r="B1187" s="399" t="s">
        <v>631</v>
      </c>
      <c r="C1187" s="399" t="s">
        <v>108</v>
      </c>
      <c r="D1187" s="399" t="s">
        <v>2464</v>
      </c>
      <c r="E1187" s="399" t="s">
        <v>2293</v>
      </c>
      <c r="F1187" s="399" t="s">
        <v>2294</v>
      </c>
      <c r="G1187" s="399" t="s">
        <v>2221</v>
      </c>
      <c r="H1187" s="1235"/>
    </row>
    <row r="1188" spans="1:8" hidden="1">
      <c r="A1188" s="495" t="s">
        <v>2292</v>
      </c>
      <c r="B1188" s="399" t="s">
        <v>631</v>
      </c>
      <c r="C1188" s="399" t="s">
        <v>108</v>
      </c>
      <c r="D1188" s="399" t="s">
        <v>2465</v>
      </c>
      <c r="E1188" s="399" t="s">
        <v>2293</v>
      </c>
      <c r="F1188" s="399" t="s">
        <v>2294</v>
      </c>
      <c r="G1188" s="399" t="s">
        <v>2221</v>
      </c>
      <c r="H1188" s="1235"/>
    </row>
    <row r="1189" spans="1:8" hidden="1">
      <c r="A1189" s="495" t="s">
        <v>2292</v>
      </c>
      <c r="B1189" s="399" t="s">
        <v>631</v>
      </c>
      <c r="C1189" s="399" t="s">
        <v>108</v>
      </c>
      <c r="D1189" s="399" t="s">
        <v>2466</v>
      </c>
      <c r="E1189" s="399" t="s">
        <v>2293</v>
      </c>
      <c r="F1189" s="399" t="s">
        <v>2294</v>
      </c>
      <c r="G1189" s="399" t="s">
        <v>2221</v>
      </c>
      <c r="H1189" s="1235"/>
    </row>
    <row r="1190" spans="1:8" hidden="1">
      <c r="A1190" s="495" t="s">
        <v>2292</v>
      </c>
      <c r="B1190" s="399" t="s">
        <v>631</v>
      </c>
      <c r="C1190" s="399" t="s">
        <v>108</v>
      </c>
      <c r="D1190" s="399" t="s">
        <v>2467</v>
      </c>
      <c r="E1190" s="399" t="s">
        <v>2293</v>
      </c>
      <c r="F1190" s="399" t="s">
        <v>2294</v>
      </c>
      <c r="G1190" s="399" t="s">
        <v>2221</v>
      </c>
      <c r="H1190" s="1235"/>
    </row>
    <row r="1191" spans="1:8" hidden="1">
      <c r="A1191" s="495" t="s">
        <v>2292</v>
      </c>
      <c r="B1191" s="399" t="s">
        <v>631</v>
      </c>
      <c r="C1191" s="399" t="s">
        <v>108</v>
      </c>
      <c r="D1191" s="399" t="s">
        <v>2468</v>
      </c>
      <c r="E1191" s="399" t="s">
        <v>2293</v>
      </c>
      <c r="F1191" s="399" t="s">
        <v>2294</v>
      </c>
      <c r="G1191" s="399" t="s">
        <v>2221</v>
      </c>
      <c r="H1191" s="1235"/>
    </row>
    <row r="1192" spans="1:8" hidden="1">
      <c r="A1192" s="495" t="s">
        <v>2292</v>
      </c>
      <c r="B1192" s="399" t="s">
        <v>631</v>
      </c>
      <c r="C1192" s="399" t="s">
        <v>108</v>
      </c>
      <c r="D1192" s="399" t="s">
        <v>2469</v>
      </c>
      <c r="E1192" s="399" t="s">
        <v>2293</v>
      </c>
      <c r="F1192" s="399" t="s">
        <v>2294</v>
      </c>
      <c r="G1192" s="399" t="s">
        <v>2221</v>
      </c>
      <c r="H1192" s="1235"/>
    </row>
    <row r="1193" spans="1:8" hidden="1">
      <c r="A1193" s="495" t="s">
        <v>2292</v>
      </c>
      <c r="B1193" s="399" t="s">
        <v>631</v>
      </c>
      <c r="C1193" s="399" t="s">
        <v>108</v>
      </c>
      <c r="D1193" s="399" t="s">
        <v>2470</v>
      </c>
      <c r="E1193" s="399" t="s">
        <v>2293</v>
      </c>
      <c r="F1193" s="399" t="s">
        <v>2294</v>
      </c>
      <c r="G1193" s="399" t="s">
        <v>2221</v>
      </c>
      <c r="H1193" s="1235"/>
    </row>
    <row r="1194" spans="1:8" hidden="1">
      <c r="A1194" s="495" t="s">
        <v>2292</v>
      </c>
      <c r="B1194" s="399" t="s">
        <v>631</v>
      </c>
      <c r="C1194" s="399" t="s">
        <v>108</v>
      </c>
      <c r="D1194" s="399" t="s">
        <v>2471</v>
      </c>
      <c r="E1194" s="399" t="s">
        <v>2293</v>
      </c>
      <c r="F1194" s="399" t="s">
        <v>2294</v>
      </c>
      <c r="G1194" s="399" t="s">
        <v>2221</v>
      </c>
      <c r="H1194" s="1235"/>
    </row>
    <row r="1195" spans="1:8" hidden="1">
      <c r="A1195" s="495" t="s">
        <v>2292</v>
      </c>
      <c r="B1195" s="399" t="s">
        <v>631</v>
      </c>
      <c r="C1195" s="399" t="s">
        <v>108</v>
      </c>
      <c r="D1195" s="399" t="s">
        <v>2472</v>
      </c>
      <c r="E1195" s="399" t="s">
        <v>2293</v>
      </c>
      <c r="F1195" s="399" t="s">
        <v>2294</v>
      </c>
      <c r="G1195" s="399" t="s">
        <v>2221</v>
      </c>
      <c r="H1195" s="1235"/>
    </row>
    <row r="1196" spans="1:8" hidden="1">
      <c r="A1196" s="495" t="s">
        <v>2292</v>
      </c>
      <c r="B1196" s="399" t="s">
        <v>631</v>
      </c>
      <c r="C1196" s="399" t="s">
        <v>108</v>
      </c>
      <c r="D1196" s="399" t="s">
        <v>2473</v>
      </c>
      <c r="E1196" s="399" t="s">
        <v>2293</v>
      </c>
      <c r="F1196" s="399" t="s">
        <v>2294</v>
      </c>
      <c r="G1196" s="399" t="s">
        <v>2221</v>
      </c>
      <c r="H1196" s="1235"/>
    </row>
    <row r="1197" spans="1:8" hidden="1">
      <c r="A1197" s="495" t="s">
        <v>2292</v>
      </c>
      <c r="B1197" s="399" t="s">
        <v>631</v>
      </c>
      <c r="C1197" s="399" t="s">
        <v>108</v>
      </c>
      <c r="D1197" s="399" t="s">
        <v>2474</v>
      </c>
      <c r="E1197" s="399" t="s">
        <v>2293</v>
      </c>
      <c r="F1197" s="399" t="s">
        <v>2294</v>
      </c>
      <c r="G1197" s="399" t="s">
        <v>2221</v>
      </c>
      <c r="H1197" s="1235"/>
    </row>
    <row r="1198" spans="1:8" hidden="1">
      <c r="A1198" s="495" t="s">
        <v>2292</v>
      </c>
      <c r="B1198" s="399" t="s">
        <v>631</v>
      </c>
      <c r="C1198" s="399" t="s">
        <v>108</v>
      </c>
      <c r="D1198" s="399" t="s">
        <v>2475</v>
      </c>
      <c r="E1198" s="399" t="s">
        <v>2293</v>
      </c>
      <c r="F1198" s="399" t="s">
        <v>2294</v>
      </c>
      <c r="G1198" s="399" t="s">
        <v>2221</v>
      </c>
      <c r="H1198" s="1235"/>
    </row>
    <row r="1199" spans="1:8" hidden="1">
      <c r="A1199" s="495" t="s">
        <v>2292</v>
      </c>
      <c r="B1199" s="399" t="s">
        <v>631</v>
      </c>
      <c r="C1199" s="399" t="s">
        <v>108</v>
      </c>
      <c r="D1199" s="399" t="s">
        <v>2476</v>
      </c>
      <c r="E1199" s="399" t="s">
        <v>2293</v>
      </c>
      <c r="F1199" s="399" t="s">
        <v>2294</v>
      </c>
      <c r="G1199" s="399" t="s">
        <v>2221</v>
      </c>
      <c r="H1199" s="1235"/>
    </row>
    <row r="1200" spans="1:8" hidden="1">
      <c r="A1200" s="495" t="s">
        <v>2292</v>
      </c>
      <c r="B1200" s="399" t="s">
        <v>631</v>
      </c>
      <c r="C1200" s="399" t="s">
        <v>108</v>
      </c>
      <c r="D1200" s="399" t="s">
        <v>2477</v>
      </c>
      <c r="E1200" s="399" t="s">
        <v>2293</v>
      </c>
      <c r="F1200" s="399" t="s">
        <v>2294</v>
      </c>
      <c r="G1200" s="399" t="s">
        <v>2221</v>
      </c>
      <c r="H1200" s="1235"/>
    </row>
    <row r="1201" spans="1:8" hidden="1">
      <c r="A1201" s="495" t="s">
        <v>2292</v>
      </c>
      <c r="B1201" s="399" t="s">
        <v>631</v>
      </c>
      <c r="C1201" s="399" t="s">
        <v>108</v>
      </c>
      <c r="D1201" s="399" t="s">
        <v>2478</v>
      </c>
      <c r="E1201" s="399" t="s">
        <v>2293</v>
      </c>
      <c r="F1201" s="399" t="s">
        <v>2294</v>
      </c>
      <c r="G1201" s="399" t="s">
        <v>2221</v>
      </c>
      <c r="H1201" s="1235"/>
    </row>
    <row r="1202" spans="1:8" hidden="1">
      <c r="A1202" s="495" t="s">
        <v>2292</v>
      </c>
      <c r="B1202" s="399" t="s">
        <v>631</v>
      </c>
      <c r="C1202" s="399" t="s">
        <v>108</v>
      </c>
      <c r="D1202" s="399" t="s">
        <v>2479</v>
      </c>
      <c r="E1202" s="399" t="s">
        <v>2293</v>
      </c>
      <c r="F1202" s="399" t="s">
        <v>2294</v>
      </c>
      <c r="G1202" s="399" t="s">
        <v>2221</v>
      </c>
      <c r="H1202" s="1235"/>
    </row>
    <row r="1203" spans="1:8" hidden="1">
      <c r="A1203" s="495" t="s">
        <v>2292</v>
      </c>
      <c r="B1203" s="399" t="s">
        <v>631</v>
      </c>
      <c r="C1203" s="399" t="s">
        <v>108</v>
      </c>
      <c r="D1203" s="399" t="s">
        <v>2480</v>
      </c>
      <c r="E1203" s="399" t="s">
        <v>2293</v>
      </c>
      <c r="F1203" s="399" t="s">
        <v>2294</v>
      </c>
      <c r="G1203" s="399" t="s">
        <v>2221</v>
      </c>
      <c r="H1203" s="1235"/>
    </row>
    <row r="1204" spans="1:8" hidden="1">
      <c r="A1204" s="495" t="s">
        <v>2292</v>
      </c>
      <c r="B1204" s="399" t="s">
        <v>631</v>
      </c>
      <c r="C1204" s="399" t="s">
        <v>108</v>
      </c>
      <c r="D1204" s="399" t="s">
        <v>2481</v>
      </c>
      <c r="E1204" s="399" t="s">
        <v>2293</v>
      </c>
      <c r="F1204" s="399" t="s">
        <v>2294</v>
      </c>
      <c r="G1204" s="399" t="s">
        <v>2221</v>
      </c>
      <c r="H1204" s="1235"/>
    </row>
    <row r="1205" spans="1:8" hidden="1">
      <c r="A1205" s="495" t="s">
        <v>2292</v>
      </c>
      <c r="B1205" s="399" t="s">
        <v>631</v>
      </c>
      <c r="C1205" s="399" t="s">
        <v>108</v>
      </c>
      <c r="D1205" s="399" t="s">
        <v>2482</v>
      </c>
      <c r="E1205" s="399" t="s">
        <v>2293</v>
      </c>
      <c r="F1205" s="399" t="s">
        <v>2294</v>
      </c>
      <c r="G1205" s="399" t="s">
        <v>2221</v>
      </c>
      <c r="H1205" s="1235"/>
    </row>
    <row r="1206" spans="1:8" hidden="1">
      <c r="A1206" s="495" t="s">
        <v>2292</v>
      </c>
      <c r="B1206" s="399" t="s">
        <v>631</v>
      </c>
      <c r="C1206" s="399" t="s">
        <v>108</v>
      </c>
      <c r="D1206" s="399" t="s">
        <v>2483</v>
      </c>
      <c r="E1206" s="399" t="s">
        <v>2293</v>
      </c>
      <c r="F1206" s="399" t="s">
        <v>2294</v>
      </c>
      <c r="G1206" s="399" t="s">
        <v>2221</v>
      </c>
      <c r="H1206" s="1235"/>
    </row>
    <row r="1207" spans="1:8" hidden="1">
      <c r="A1207" s="495" t="s">
        <v>2292</v>
      </c>
      <c r="B1207" s="399" t="s">
        <v>631</v>
      </c>
      <c r="C1207" s="399" t="s">
        <v>108</v>
      </c>
      <c r="D1207" s="399" t="s">
        <v>2484</v>
      </c>
      <c r="E1207" s="399" t="s">
        <v>2293</v>
      </c>
      <c r="F1207" s="399" t="s">
        <v>2294</v>
      </c>
      <c r="G1207" s="399" t="s">
        <v>2221</v>
      </c>
      <c r="H1207" s="1235"/>
    </row>
    <row r="1208" spans="1:8" hidden="1">
      <c r="A1208" s="495" t="s">
        <v>2292</v>
      </c>
      <c r="B1208" s="399" t="s">
        <v>631</v>
      </c>
      <c r="C1208" s="399" t="s">
        <v>108</v>
      </c>
      <c r="D1208" s="399" t="s">
        <v>2485</v>
      </c>
      <c r="E1208" s="399" t="s">
        <v>2293</v>
      </c>
      <c r="F1208" s="399" t="s">
        <v>2294</v>
      </c>
      <c r="G1208" s="399" t="s">
        <v>2221</v>
      </c>
      <c r="H1208" s="1235"/>
    </row>
    <row r="1209" spans="1:8" hidden="1">
      <c r="A1209" s="495" t="s">
        <v>2292</v>
      </c>
      <c r="B1209" s="399" t="s">
        <v>631</v>
      </c>
      <c r="C1209" s="399" t="s">
        <v>108</v>
      </c>
      <c r="D1209" s="399" t="s">
        <v>2486</v>
      </c>
      <c r="E1209" s="399" t="s">
        <v>2293</v>
      </c>
      <c r="F1209" s="399" t="s">
        <v>2294</v>
      </c>
      <c r="G1209" s="399" t="s">
        <v>2221</v>
      </c>
      <c r="H1209" s="1235"/>
    </row>
    <row r="1210" spans="1:8" hidden="1">
      <c r="A1210" s="495" t="s">
        <v>2292</v>
      </c>
      <c r="B1210" s="399" t="s">
        <v>631</v>
      </c>
      <c r="C1210" s="399" t="s">
        <v>108</v>
      </c>
      <c r="D1210" s="399" t="s">
        <v>2487</v>
      </c>
      <c r="E1210" s="399" t="s">
        <v>2293</v>
      </c>
      <c r="F1210" s="399" t="s">
        <v>2294</v>
      </c>
      <c r="G1210" s="399" t="s">
        <v>2221</v>
      </c>
      <c r="H1210" s="1235"/>
    </row>
    <row r="1211" spans="1:8" hidden="1">
      <c r="A1211" s="495" t="s">
        <v>2292</v>
      </c>
      <c r="B1211" s="399" t="s">
        <v>631</v>
      </c>
      <c r="C1211" s="399" t="s">
        <v>108</v>
      </c>
      <c r="D1211" s="399" t="s">
        <v>2488</v>
      </c>
      <c r="E1211" s="399" t="s">
        <v>2293</v>
      </c>
      <c r="F1211" s="399" t="s">
        <v>2294</v>
      </c>
      <c r="G1211" s="399" t="s">
        <v>2221</v>
      </c>
      <c r="H1211" s="1235"/>
    </row>
    <row r="1212" spans="1:8" hidden="1">
      <c r="A1212" s="495" t="s">
        <v>2292</v>
      </c>
      <c r="B1212" s="399" t="s">
        <v>631</v>
      </c>
      <c r="C1212" s="399" t="s">
        <v>108</v>
      </c>
      <c r="D1212" s="399" t="s">
        <v>2489</v>
      </c>
      <c r="E1212" s="399" t="s">
        <v>2293</v>
      </c>
      <c r="F1212" s="399" t="s">
        <v>2294</v>
      </c>
      <c r="G1212" s="399" t="s">
        <v>2221</v>
      </c>
      <c r="H1212" s="1235"/>
    </row>
    <row r="1213" spans="1:8" hidden="1">
      <c r="A1213" s="495" t="s">
        <v>2292</v>
      </c>
      <c r="B1213" s="399" t="s">
        <v>631</v>
      </c>
      <c r="C1213" s="399" t="s">
        <v>108</v>
      </c>
      <c r="D1213" s="399" t="s">
        <v>2490</v>
      </c>
      <c r="E1213" s="399" t="s">
        <v>2293</v>
      </c>
      <c r="F1213" s="399" t="s">
        <v>2294</v>
      </c>
      <c r="G1213" s="399" t="s">
        <v>2221</v>
      </c>
      <c r="H1213" s="1235"/>
    </row>
    <row r="1214" spans="1:8" hidden="1">
      <c r="A1214" s="495" t="s">
        <v>2292</v>
      </c>
      <c r="B1214" s="399" t="s">
        <v>631</v>
      </c>
      <c r="C1214" s="399" t="s">
        <v>108</v>
      </c>
      <c r="D1214" s="399" t="s">
        <v>2491</v>
      </c>
      <c r="E1214" s="399" t="s">
        <v>2293</v>
      </c>
      <c r="F1214" s="399" t="s">
        <v>2294</v>
      </c>
      <c r="G1214" s="399" t="s">
        <v>2221</v>
      </c>
      <c r="H1214" s="1235"/>
    </row>
    <row r="1215" spans="1:8" hidden="1">
      <c r="A1215" s="495" t="s">
        <v>2292</v>
      </c>
      <c r="B1215" s="399" t="s">
        <v>631</v>
      </c>
      <c r="C1215" s="399" t="s">
        <v>108</v>
      </c>
      <c r="D1215" s="399" t="s">
        <v>2492</v>
      </c>
      <c r="E1215" s="399" t="s">
        <v>2293</v>
      </c>
      <c r="F1215" s="399" t="s">
        <v>2294</v>
      </c>
      <c r="G1215" s="399" t="s">
        <v>2221</v>
      </c>
      <c r="H1215" s="1235"/>
    </row>
    <row r="1216" spans="1:8" hidden="1">
      <c r="A1216" s="495" t="s">
        <v>2292</v>
      </c>
      <c r="B1216" s="399" t="s">
        <v>631</v>
      </c>
      <c r="C1216" s="399" t="s">
        <v>108</v>
      </c>
      <c r="D1216" s="399" t="s">
        <v>2493</v>
      </c>
      <c r="E1216" s="399" t="s">
        <v>2293</v>
      </c>
      <c r="F1216" s="399" t="s">
        <v>2294</v>
      </c>
      <c r="G1216" s="399" t="s">
        <v>2221</v>
      </c>
      <c r="H1216" s="1235"/>
    </row>
    <row r="1217" spans="1:8" hidden="1">
      <c r="A1217" s="495" t="s">
        <v>2292</v>
      </c>
      <c r="B1217" s="399" t="s">
        <v>631</v>
      </c>
      <c r="C1217" s="399" t="s">
        <v>108</v>
      </c>
      <c r="D1217" s="399" t="s">
        <v>2494</v>
      </c>
      <c r="E1217" s="399" t="s">
        <v>2293</v>
      </c>
      <c r="F1217" s="399" t="s">
        <v>2294</v>
      </c>
      <c r="G1217" s="399" t="s">
        <v>2221</v>
      </c>
      <c r="H1217" s="1235"/>
    </row>
    <row r="1218" spans="1:8" hidden="1">
      <c r="A1218" s="495" t="s">
        <v>2292</v>
      </c>
      <c r="B1218" s="399" t="s">
        <v>631</v>
      </c>
      <c r="C1218" s="399" t="s">
        <v>108</v>
      </c>
      <c r="D1218" s="399" t="s">
        <v>2495</v>
      </c>
      <c r="E1218" s="399" t="s">
        <v>2293</v>
      </c>
      <c r="F1218" s="399" t="s">
        <v>2294</v>
      </c>
      <c r="G1218" s="399" t="s">
        <v>2221</v>
      </c>
      <c r="H1218" s="1235"/>
    </row>
    <row r="1219" spans="1:8" hidden="1">
      <c r="A1219" s="495" t="s">
        <v>2292</v>
      </c>
      <c r="B1219" s="399" t="s">
        <v>631</v>
      </c>
      <c r="C1219" s="399" t="s">
        <v>108</v>
      </c>
      <c r="D1219" s="399" t="s">
        <v>2496</v>
      </c>
      <c r="E1219" s="399" t="s">
        <v>2293</v>
      </c>
      <c r="F1219" s="399" t="s">
        <v>2294</v>
      </c>
      <c r="G1219" s="399" t="s">
        <v>2221</v>
      </c>
      <c r="H1219" s="1235"/>
    </row>
    <row r="1220" spans="1:8" hidden="1">
      <c r="A1220" s="495" t="s">
        <v>2292</v>
      </c>
      <c r="B1220" s="399" t="s">
        <v>631</v>
      </c>
      <c r="C1220" s="399" t="s">
        <v>108</v>
      </c>
      <c r="D1220" s="399" t="s">
        <v>2497</v>
      </c>
      <c r="E1220" s="399" t="s">
        <v>2293</v>
      </c>
      <c r="F1220" s="399" t="s">
        <v>2294</v>
      </c>
      <c r="G1220" s="399" t="s">
        <v>2221</v>
      </c>
      <c r="H1220" s="1235"/>
    </row>
    <row r="1221" spans="1:8" hidden="1">
      <c r="A1221" s="495" t="s">
        <v>2292</v>
      </c>
      <c r="B1221" s="399" t="s">
        <v>631</v>
      </c>
      <c r="C1221" s="399" t="s">
        <v>108</v>
      </c>
      <c r="D1221" s="399" t="s">
        <v>2498</v>
      </c>
      <c r="E1221" s="399" t="s">
        <v>2293</v>
      </c>
      <c r="F1221" s="399" t="s">
        <v>2294</v>
      </c>
      <c r="G1221" s="399" t="s">
        <v>2221</v>
      </c>
      <c r="H1221" s="1235"/>
    </row>
    <row r="1222" spans="1:8" hidden="1">
      <c r="A1222" s="495" t="s">
        <v>2292</v>
      </c>
      <c r="B1222" s="399" t="s">
        <v>631</v>
      </c>
      <c r="C1222" s="399" t="s">
        <v>108</v>
      </c>
      <c r="D1222" s="399" t="s">
        <v>2499</v>
      </c>
      <c r="E1222" s="399" t="s">
        <v>2293</v>
      </c>
      <c r="F1222" s="399" t="s">
        <v>2294</v>
      </c>
      <c r="G1222" s="399" t="s">
        <v>2221</v>
      </c>
      <c r="H1222" s="1235"/>
    </row>
    <row r="1223" spans="1:8" hidden="1">
      <c r="A1223" s="495" t="s">
        <v>2292</v>
      </c>
      <c r="B1223" s="399" t="s">
        <v>631</v>
      </c>
      <c r="C1223" s="399" t="s">
        <v>108</v>
      </c>
      <c r="D1223" s="399" t="s">
        <v>2500</v>
      </c>
      <c r="E1223" s="399" t="s">
        <v>2293</v>
      </c>
      <c r="F1223" s="399" t="s">
        <v>2294</v>
      </c>
      <c r="G1223" s="399" t="s">
        <v>2221</v>
      </c>
      <c r="H1223" s="1235"/>
    </row>
    <row r="1224" spans="1:8" hidden="1">
      <c r="A1224" s="495" t="s">
        <v>2292</v>
      </c>
      <c r="B1224" s="399" t="s">
        <v>631</v>
      </c>
      <c r="C1224" s="399" t="s">
        <v>108</v>
      </c>
      <c r="D1224" s="399" t="s">
        <v>2501</v>
      </c>
      <c r="E1224" s="399" t="s">
        <v>2293</v>
      </c>
      <c r="F1224" s="399" t="s">
        <v>2294</v>
      </c>
      <c r="G1224" s="399" t="s">
        <v>2221</v>
      </c>
      <c r="H1224" s="1235"/>
    </row>
    <row r="1225" spans="1:8" hidden="1">
      <c r="A1225" s="495" t="s">
        <v>2292</v>
      </c>
      <c r="B1225" s="399" t="s">
        <v>631</v>
      </c>
      <c r="C1225" s="399" t="s">
        <v>108</v>
      </c>
      <c r="D1225" s="399" t="s">
        <v>2502</v>
      </c>
      <c r="E1225" s="399" t="s">
        <v>2293</v>
      </c>
      <c r="F1225" s="399" t="s">
        <v>2294</v>
      </c>
      <c r="G1225" s="399" t="s">
        <v>2221</v>
      </c>
      <c r="H1225" s="1235"/>
    </row>
    <row r="1226" spans="1:8" hidden="1">
      <c r="A1226" s="495" t="s">
        <v>2292</v>
      </c>
      <c r="B1226" s="399" t="s">
        <v>631</v>
      </c>
      <c r="C1226" s="399" t="s">
        <v>108</v>
      </c>
      <c r="D1226" s="399" t="s">
        <v>2503</v>
      </c>
      <c r="E1226" s="399" t="s">
        <v>2293</v>
      </c>
      <c r="F1226" s="399" t="s">
        <v>2294</v>
      </c>
      <c r="G1226" s="399" t="s">
        <v>2221</v>
      </c>
      <c r="H1226" s="1235"/>
    </row>
    <row r="1227" spans="1:8" hidden="1">
      <c r="A1227" s="495" t="s">
        <v>2292</v>
      </c>
      <c r="B1227" s="399" t="s">
        <v>631</v>
      </c>
      <c r="C1227" s="399" t="s">
        <v>108</v>
      </c>
      <c r="D1227" s="399" t="s">
        <v>2504</v>
      </c>
      <c r="E1227" s="399" t="s">
        <v>2293</v>
      </c>
      <c r="F1227" s="399" t="s">
        <v>2294</v>
      </c>
      <c r="G1227" s="399" t="s">
        <v>2221</v>
      </c>
      <c r="H1227" s="1235"/>
    </row>
    <row r="1228" spans="1:8" hidden="1">
      <c r="A1228" s="495" t="s">
        <v>2292</v>
      </c>
      <c r="B1228" s="399" t="s">
        <v>631</v>
      </c>
      <c r="C1228" s="399" t="s">
        <v>108</v>
      </c>
      <c r="D1228" s="399" t="s">
        <v>2505</v>
      </c>
      <c r="E1228" s="399" t="s">
        <v>2293</v>
      </c>
      <c r="F1228" s="399" t="s">
        <v>2294</v>
      </c>
      <c r="G1228" s="399" t="s">
        <v>2221</v>
      </c>
      <c r="H1228" s="1235"/>
    </row>
    <row r="1229" spans="1:8" hidden="1">
      <c r="A1229" s="495" t="s">
        <v>2292</v>
      </c>
      <c r="B1229" s="399" t="s">
        <v>631</v>
      </c>
      <c r="C1229" s="399" t="s">
        <v>108</v>
      </c>
      <c r="D1229" s="399" t="s">
        <v>2506</v>
      </c>
      <c r="E1229" s="399" t="s">
        <v>2293</v>
      </c>
      <c r="F1229" s="399" t="s">
        <v>2294</v>
      </c>
      <c r="G1229" s="399" t="s">
        <v>2221</v>
      </c>
      <c r="H1229" s="1235"/>
    </row>
    <row r="1230" spans="1:8" hidden="1">
      <c r="A1230" s="495" t="s">
        <v>2292</v>
      </c>
      <c r="B1230" s="399" t="s">
        <v>631</v>
      </c>
      <c r="C1230" s="399" t="s">
        <v>108</v>
      </c>
      <c r="D1230" s="399" t="s">
        <v>2507</v>
      </c>
      <c r="E1230" s="399" t="s">
        <v>2293</v>
      </c>
      <c r="F1230" s="399" t="s">
        <v>2294</v>
      </c>
      <c r="G1230" s="399" t="s">
        <v>2221</v>
      </c>
      <c r="H1230" s="1235"/>
    </row>
    <row r="1231" spans="1:8" hidden="1">
      <c r="A1231" s="495" t="s">
        <v>2292</v>
      </c>
      <c r="B1231" s="399" t="s">
        <v>631</v>
      </c>
      <c r="C1231" s="399" t="s">
        <v>108</v>
      </c>
      <c r="D1231" s="399" t="s">
        <v>2508</v>
      </c>
      <c r="E1231" s="399" t="s">
        <v>2296</v>
      </c>
      <c r="F1231" s="399" t="s">
        <v>2300</v>
      </c>
      <c r="G1231" s="399" t="s">
        <v>2221</v>
      </c>
      <c r="H1231" s="1235"/>
    </row>
    <row r="1232" spans="1:8" hidden="1">
      <c r="A1232" s="495" t="s">
        <v>2292</v>
      </c>
      <c r="B1232" s="399" t="s">
        <v>631</v>
      </c>
      <c r="C1232" s="399" t="s">
        <v>108</v>
      </c>
      <c r="D1232" s="399" t="s">
        <v>2509</v>
      </c>
      <c r="E1232" s="399" t="s">
        <v>2293</v>
      </c>
      <c r="F1232" s="399" t="s">
        <v>2294</v>
      </c>
      <c r="G1232" s="399" t="s">
        <v>2221</v>
      </c>
      <c r="H1232" s="1235"/>
    </row>
    <row r="1233" spans="1:8" hidden="1">
      <c r="A1233" s="495" t="s">
        <v>2292</v>
      </c>
      <c r="B1233" s="399" t="s">
        <v>631</v>
      </c>
      <c r="C1233" s="399" t="s">
        <v>108</v>
      </c>
      <c r="D1233" s="399" t="s">
        <v>2510</v>
      </c>
      <c r="E1233" s="399" t="s">
        <v>2293</v>
      </c>
      <c r="F1233" s="399" t="s">
        <v>2294</v>
      </c>
      <c r="G1233" s="399" t="s">
        <v>2221</v>
      </c>
      <c r="H1233" s="1235"/>
    </row>
    <row r="1234" spans="1:8" hidden="1">
      <c r="A1234" s="495" t="s">
        <v>2292</v>
      </c>
      <c r="B1234" s="399" t="s">
        <v>631</v>
      </c>
      <c r="C1234" s="399" t="s">
        <v>108</v>
      </c>
      <c r="D1234" s="399" t="s">
        <v>2511</v>
      </c>
      <c r="E1234" s="399" t="s">
        <v>2293</v>
      </c>
      <c r="F1234" s="399" t="s">
        <v>2294</v>
      </c>
      <c r="G1234" s="399" t="s">
        <v>2221</v>
      </c>
      <c r="H1234" s="1235"/>
    </row>
    <row r="1235" spans="1:8" hidden="1">
      <c r="A1235" s="495" t="s">
        <v>2292</v>
      </c>
      <c r="B1235" s="399" t="s">
        <v>631</v>
      </c>
      <c r="C1235" s="399" t="s">
        <v>108</v>
      </c>
      <c r="D1235" s="399" t="s">
        <v>2512</v>
      </c>
      <c r="E1235" s="399" t="s">
        <v>2293</v>
      </c>
      <c r="F1235" s="399" t="s">
        <v>2294</v>
      </c>
      <c r="G1235" s="399" t="s">
        <v>2221</v>
      </c>
      <c r="H1235" s="1235"/>
    </row>
    <row r="1236" spans="1:8" hidden="1">
      <c r="A1236" s="495" t="s">
        <v>2292</v>
      </c>
      <c r="B1236" s="399" t="s">
        <v>631</v>
      </c>
      <c r="C1236" s="399" t="s">
        <v>108</v>
      </c>
      <c r="D1236" s="399" t="s">
        <v>2513</v>
      </c>
      <c r="E1236" s="399" t="s">
        <v>2293</v>
      </c>
      <c r="F1236" s="399" t="s">
        <v>2294</v>
      </c>
      <c r="G1236" s="399" t="s">
        <v>2221</v>
      </c>
      <c r="H1236" s="1235"/>
    </row>
    <row r="1237" spans="1:8" hidden="1">
      <c r="A1237" s="495" t="s">
        <v>2292</v>
      </c>
      <c r="B1237" s="399" t="s">
        <v>631</v>
      </c>
      <c r="C1237" s="399" t="s">
        <v>108</v>
      </c>
      <c r="D1237" s="399" t="s">
        <v>2514</v>
      </c>
      <c r="E1237" s="399" t="s">
        <v>2293</v>
      </c>
      <c r="F1237" s="399" t="s">
        <v>2294</v>
      </c>
      <c r="G1237" s="399" t="s">
        <v>2221</v>
      </c>
      <c r="H1237" s="1235"/>
    </row>
    <row r="1238" spans="1:8" hidden="1">
      <c r="A1238" s="495" t="s">
        <v>2292</v>
      </c>
      <c r="B1238" s="399" t="s">
        <v>631</v>
      </c>
      <c r="C1238" s="399" t="s">
        <v>108</v>
      </c>
      <c r="D1238" s="399" t="s">
        <v>2515</v>
      </c>
      <c r="E1238" s="399" t="s">
        <v>2293</v>
      </c>
      <c r="F1238" s="399" t="s">
        <v>2294</v>
      </c>
      <c r="G1238" s="399" t="s">
        <v>2221</v>
      </c>
      <c r="H1238" s="1235"/>
    </row>
    <row r="1239" spans="1:8" hidden="1">
      <c r="A1239" s="495" t="s">
        <v>2292</v>
      </c>
      <c r="B1239" s="399" t="s">
        <v>631</v>
      </c>
      <c r="C1239" s="399" t="s">
        <v>108</v>
      </c>
      <c r="D1239" s="399" t="s">
        <v>2516</v>
      </c>
      <c r="E1239" s="399" t="s">
        <v>2293</v>
      </c>
      <c r="F1239" s="399" t="s">
        <v>2294</v>
      </c>
      <c r="G1239" s="399" t="s">
        <v>2221</v>
      </c>
      <c r="H1239" s="1235"/>
    </row>
    <row r="1240" spans="1:8" hidden="1">
      <c r="A1240" s="495" t="s">
        <v>2292</v>
      </c>
      <c r="B1240" s="399" t="s">
        <v>631</v>
      </c>
      <c r="C1240" s="399" t="s">
        <v>108</v>
      </c>
      <c r="D1240" s="399" t="s">
        <v>2517</v>
      </c>
      <c r="E1240" s="399" t="s">
        <v>2293</v>
      </c>
      <c r="F1240" s="399" t="s">
        <v>2294</v>
      </c>
      <c r="G1240" s="399" t="s">
        <v>2221</v>
      </c>
      <c r="H1240" s="1235"/>
    </row>
    <row r="1241" spans="1:8" hidden="1">
      <c r="A1241" s="495" t="s">
        <v>2292</v>
      </c>
      <c r="B1241" s="399" t="s">
        <v>631</v>
      </c>
      <c r="C1241" s="399" t="s">
        <v>108</v>
      </c>
      <c r="D1241" s="399" t="s">
        <v>2518</v>
      </c>
      <c r="E1241" s="399" t="s">
        <v>2293</v>
      </c>
      <c r="F1241" s="399" t="s">
        <v>2294</v>
      </c>
      <c r="G1241" s="399" t="s">
        <v>2221</v>
      </c>
      <c r="H1241" s="1235"/>
    </row>
    <row r="1242" spans="1:8" hidden="1">
      <c r="A1242" s="495" t="s">
        <v>2292</v>
      </c>
      <c r="B1242" s="399" t="s">
        <v>631</v>
      </c>
      <c r="C1242" s="399" t="s">
        <v>108</v>
      </c>
      <c r="D1242" s="399" t="s">
        <v>2519</v>
      </c>
      <c r="E1242" s="399" t="s">
        <v>2293</v>
      </c>
      <c r="F1242" s="399" t="s">
        <v>2294</v>
      </c>
      <c r="G1242" s="399" t="s">
        <v>2221</v>
      </c>
      <c r="H1242" s="1235"/>
    </row>
    <row r="1243" spans="1:8" hidden="1">
      <c r="A1243" s="495" t="s">
        <v>2292</v>
      </c>
      <c r="B1243" s="399" t="s">
        <v>631</v>
      </c>
      <c r="C1243" s="399" t="s">
        <v>108</v>
      </c>
      <c r="D1243" s="399" t="s">
        <v>2520</v>
      </c>
      <c r="E1243" s="399" t="s">
        <v>2293</v>
      </c>
      <c r="F1243" s="399" t="s">
        <v>2294</v>
      </c>
      <c r="G1243" s="399" t="s">
        <v>2221</v>
      </c>
      <c r="H1243" s="1235"/>
    </row>
    <row r="1244" spans="1:8" hidden="1">
      <c r="A1244" s="495" t="s">
        <v>2292</v>
      </c>
      <c r="B1244" s="399" t="s">
        <v>631</v>
      </c>
      <c r="C1244" s="399" t="s">
        <v>108</v>
      </c>
      <c r="D1244" s="399" t="s">
        <v>2521</v>
      </c>
      <c r="E1244" s="399" t="s">
        <v>2293</v>
      </c>
      <c r="F1244" s="399" t="s">
        <v>2294</v>
      </c>
      <c r="G1244" s="399" t="s">
        <v>2221</v>
      </c>
      <c r="H1244" s="1235"/>
    </row>
    <row r="1245" spans="1:8" hidden="1">
      <c r="A1245" s="495" t="s">
        <v>2292</v>
      </c>
      <c r="B1245" s="399" t="s">
        <v>631</v>
      </c>
      <c r="C1245" s="399" t="s">
        <v>108</v>
      </c>
      <c r="D1245" s="399" t="s">
        <v>2522</v>
      </c>
      <c r="E1245" s="399" t="s">
        <v>2293</v>
      </c>
      <c r="F1245" s="399" t="s">
        <v>2294</v>
      </c>
      <c r="G1245" s="399" t="s">
        <v>2221</v>
      </c>
      <c r="H1245" s="1235"/>
    </row>
    <row r="1246" spans="1:8" hidden="1">
      <c r="A1246" s="495" t="s">
        <v>2292</v>
      </c>
      <c r="B1246" s="399" t="s">
        <v>631</v>
      </c>
      <c r="C1246" s="399" t="s">
        <v>108</v>
      </c>
      <c r="D1246" s="399" t="s">
        <v>2523</v>
      </c>
      <c r="E1246" s="399" t="s">
        <v>2293</v>
      </c>
      <c r="F1246" s="399" t="s">
        <v>2294</v>
      </c>
      <c r="G1246" s="399" t="s">
        <v>2221</v>
      </c>
      <c r="H1246" s="1235"/>
    </row>
    <row r="1247" spans="1:8" hidden="1">
      <c r="A1247" s="495" t="s">
        <v>2292</v>
      </c>
      <c r="B1247" s="399" t="s">
        <v>631</v>
      </c>
      <c r="C1247" s="399" t="s">
        <v>108</v>
      </c>
      <c r="D1247" s="399" t="s">
        <v>2524</v>
      </c>
      <c r="E1247" s="399" t="s">
        <v>2293</v>
      </c>
      <c r="F1247" s="399" t="s">
        <v>2294</v>
      </c>
      <c r="G1247" s="399" t="s">
        <v>2221</v>
      </c>
      <c r="H1247" s="1235"/>
    </row>
    <row r="1248" spans="1:8" hidden="1">
      <c r="A1248" s="495" t="s">
        <v>2292</v>
      </c>
      <c r="B1248" s="399" t="s">
        <v>631</v>
      </c>
      <c r="C1248" s="399" t="s">
        <v>108</v>
      </c>
      <c r="D1248" s="399" t="s">
        <v>2525</v>
      </c>
      <c r="E1248" s="399" t="s">
        <v>2293</v>
      </c>
      <c r="F1248" s="399" t="s">
        <v>2294</v>
      </c>
      <c r="G1248" s="399" t="s">
        <v>2221</v>
      </c>
      <c r="H1248" s="1235"/>
    </row>
    <row r="1249" spans="1:8" hidden="1">
      <c r="A1249" s="495" t="s">
        <v>2292</v>
      </c>
      <c r="B1249" s="399" t="s">
        <v>631</v>
      </c>
      <c r="C1249" s="399" t="s">
        <v>108</v>
      </c>
      <c r="D1249" s="399" t="s">
        <v>2526</v>
      </c>
      <c r="E1249" s="399" t="s">
        <v>2293</v>
      </c>
      <c r="F1249" s="399" t="s">
        <v>2294</v>
      </c>
      <c r="G1249" s="399" t="s">
        <v>2221</v>
      </c>
      <c r="H1249" s="1235"/>
    </row>
    <row r="1250" spans="1:8" hidden="1">
      <c r="A1250" s="495" t="s">
        <v>2292</v>
      </c>
      <c r="B1250" s="399" t="s">
        <v>631</v>
      </c>
      <c r="C1250" s="399" t="s">
        <v>108</v>
      </c>
      <c r="D1250" s="399" t="s">
        <v>2527</v>
      </c>
      <c r="E1250" s="399" t="s">
        <v>2293</v>
      </c>
      <c r="F1250" s="399" t="s">
        <v>2294</v>
      </c>
      <c r="G1250" s="399" t="s">
        <v>2221</v>
      </c>
      <c r="H1250" s="1235"/>
    </row>
    <row r="1251" spans="1:8" hidden="1">
      <c r="A1251" s="495" t="s">
        <v>2292</v>
      </c>
      <c r="B1251" s="399" t="s">
        <v>631</v>
      </c>
      <c r="C1251" s="399" t="s">
        <v>108</v>
      </c>
      <c r="D1251" s="399" t="s">
        <v>2528</v>
      </c>
      <c r="E1251" s="399" t="s">
        <v>2293</v>
      </c>
      <c r="F1251" s="399" t="s">
        <v>2294</v>
      </c>
      <c r="G1251" s="399" t="s">
        <v>2221</v>
      </c>
      <c r="H1251" s="1235"/>
    </row>
    <row r="1252" spans="1:8" hidden="1">
      <c r="A1252" s="495" t="s">
        <v>2292</v>
      </c>
      <c r="B1252" s="399" t="s">
        <v>631</v>
      </c>
      <c r="C1252" s="399" t="s">
        <v>108</v>
      </c>
      <c r="D1252" s="399" t="s">
        <v>2529</v>
      </c>
      <c r="E1252" s="399" t="s">
        <v>2293</v>
      </c>
      <c r="F1252" s="399" t="s">
        <v>2294</v>
      </c>
      <c r="G1252" s="399" t="s">
        <v>2221</v>
      </c>
      <c r="H1252" s="1235"/>
    </row>
    <row r="1253" spans="1:8" hidden="1">
      <c r="A1253" s="495" t="s">
        <v>2292</v>
      </c>
      <c r="B1253" s="399" t="s">
        <v>631</v>
      </c>
      <c r="C1253" s="399" t="s">
        <v>108</v>
      </c>
      <c r="D1253" s="399" t="s">
        <v>2530</v>
      </c>
      <c r="E1253" s="399" t="s">
        <v>2293</v>
      </c>
      <c r="F1253" s="399" t="s">
        <v>2294</v>
      </c>
      <c r="G1253" s="399" t="s">
        <v>2221</v>
      </c>
      <c r="H1253" s="1235"/>
    </row>
    <row r="1254" spans="1:8" hidden="1">
      <c r="A1254" s="495" t="s">
        <v>2292</v>
      </c>
      <c r="B1254" s="399" t="s">
        <v>631</v>
      </c>
      <c r="C1254" s="399" t="s">
        <v>108</v>
      </c>
      <c r="D1254" s="399" t="s">
        <v>2531</v>
      </c>
      <c r="E1254" s="399" t="s">
        <v>2293</v>
      </c>
      <c r="F1254" s="399" t="s">
        <v>2294</v>
      </c>
      <c r="G1254" s="399" t="s">
        <v>2221</v>
      </c>
      <c r="H1254" s="1235"/>
    </row>
    <row r="1255" spans="1:8" hidden="1">
      <c r="A1255" s="495" t="s">
        <v>2292</v>
      </c>
      <c r="B1255" s="399" t="s">
        <v>631</v>
      </c>
      <c r="C1255" s="399" t="s">
        <v>108</v>
      </c>
      <c r="D1255" s="399" t="s">
        <v>2532</v>
      </c>
      <c r="E1255" s="399" t="s">
        <v>2293</v>
      </c>
      <c r="F1255" s="399" t="s">
        <v>2294</v>
      </c>
      <c r="G1255" s="399" t="s">
        <v>2221</v>
      </c>
      <c r="H1255" s="1235"/>
    </row>
    <row r="1256" spans="1:8" hidden="1">
      <c r="A1256" s="495" t="s">
        <v>2292</v>
      </c>
      <c r="B1256" s="399" t="s">
        <v>631</v>
      </c>
      <c r="C1256" s="399" t="s">
        <v>108</v>
      </c>
      <c r="D1256" s="399" t="s">
        <v>2533</v>
      </c>
      <c r="E1256" s="399" t="s">
        <v>2293</v>
      </c>
      <c r="F1256" s="399" t="s">
        <v>2294</v>
      </c>
      <c r="G1256" s="399" t="s">
        <v>2221</v>
      </c>
      <c r="H1256" s="1235"/>
    </row>
    <row r="1257" spans="1:8" hidden="1">
      <c r="A1257" s="495" t="s">
        <v>2292</v>
      </c>
      <c r="B1257" s="399" t="s">
        <v>631</v>
      </c>
      <c r="C1257" s="399" t="s">
        <v>108</v>
      </c>
      <c r="D1257" s="399" t="s">
        <v>2534</v>
      </c>
      <c r="E1257" s="399" t="s">
        <v>2293</v>
      </c>
      <c r="F1257" s="399" t="s">
        <v>2294</v>
      </c>
      <c r="G1257" s="399" t="s">
        <v>2221</v>
      </c>
      <c r="H1257" s="1235"/>
    </row>
    <row r="1258" spans="1:8" hidden="1">
      <c r="A1258" s="495" t="s">
        <v>2292</v>
      </c>
      <c r="B1258" s="399" t="s">
        <v>631</v>
      </c>
      <c r="C1258" s="399" t="s">
        <v>108</v>
      </c>
      <c r="D1258" s="399" t="s">
        <v>2535</v>
      </c>
      <c r="E1258" s="399" t="s">
        <v>2293</v>
      </c>
      <c r="F1258" s="399" t="s">
        <v>2294</v>
      </c>
      <c r="G1258" s="399" t="s">
        <v>2221</v>
      </c>
      <c r="H1258" s="1235"/>
    </row>
    <row r="1259" spans="1:8" hidden="1">
      <c r="A1259" s="495" t="s">
        <v>2292</v>
      </c>
      <c r="B1259" s="399" t="s">
        <v>631</v>
      </c>
      <c r="C1259" s="399" t="s">
        <v>108</v>
      </c>
      <c r="D1259" s="399" t="s">
        <v>2536</v>
      </c>
      <c r="E1259" s="399" t="s">
        <v>2293</v>
      </c>
      <c r="F1259" s="399" t="s">
        <v>2294</v>
      </c>
      <c r="G1259" s="399" t="s">
        <v>2221</v>
      </c>
      <c r="H1259" s="1235"/>
    </row>
    <row r="1260" spans="1:8" hidden="1">
      <c r="A1260" s="495" t="s">
        <v>2292</v>
      </c>
      <c r="B1260" s="399" t="s">
        <v>631</v>
      </c>
      <c r="C1260" s="399" t="s">
        <v>108</v>
      </c>
      <c r="D1260" s="399" t="s">
        <v>2537</v>
      </c>
      <c r="E1260" s="399" t="s">
        <v>2293</v>
      </c>
      <c r="F1260" s="399" t="s">
        <v>2294</v>
      </c>
      <c r="G1260" s="399" t="s">
        <v>2221</v>
      </c>
      <c r="H1260" s="1235"/>
    </row>
    <row r="1261" spans="1:8" hidden="1">
      <c r="A1261" s="495" t="s">
        <v>2292</v>
      </c>
      <c r="B1261" s="399" t="s">
        <v>631</v>
      </c>
      <c r="C1261" s="399" t="s">
        <v>108</v>
      </c>
      <c r="D1261" s="399" t="s">
        <v>2538</v>
      </c>
      <c r="E1261" s="399" t="s">
        <v>2293</v>
      </c>
      <c r="F1261" s="399" t="s">
        <v>2294</v>
      </c>
      <c r="G1261" s="399" t="s">
        <v>2221</v>
      </c>
      <c r="H1261" s="1235"/>
    </row>
    <row r="1262" spans="1:8" hidden="1">
      <c r="A1262" s="495" t="s">
        <v>2292</v>
      </c>
      <c r="B1262" s="399" t="s">
        <v>631</v>
      </c>
      <c r="C1262" s="399" t="s">
        <v>108</v>
      </c>
      <c r="D1262" s="399" t="s">
        <v>2539</v>
      </c>
      <c r="E1262" s="399" t="s">
        <v>2293</v>
      </c>
      <c r="F1262" s="399" t="s">
        <v>2294</v>
      </c>
      <c r="G1262" s="399" t="s">
        <v>2221</v>
      </c>
      <c r="H1262" s="1235"/>
    </row>
    <row r="1263" spans="1:8" hidden="1">
      <c r="A1263" s="495" t="s">
        <v>2292</v>
      </c>
      <c r="B1263" s="399" t="s">
        <v>631</v>
      </c>
      <c r="C1263" s="399" t="s">
        <v>108</v>
      </c>
      <c r="D1263" s="400" t="s">
        <v>2288</v>
      </c>
      <c r="E1263" s="400" t="s">
        <v>2540</v>
      </c>
      <c r="F1263" s="400" t="s">
        <v>2540</v>
      </c>
      <c r="G1263" s="400" t="s">
        <v>2541</v>
      </c>
      <c r="H1263" s="1235"/>
    </row>
    <row r="1264" spans="1:8" hidden="1">
      <c r="A1264" s="495" t="s">
        <v>2292</v>
      </c>
      <c r="B1264" s="399" t="s">
        <v>631</v>
      </c>
      <c r="C1264" s="399" t="s">
        <v>108</v>
      </c>
      <c r="D1264" s="400" t="s">
        <v>2288</v>
      </c>
      <c r="E1264" s="400" t="s">
        <v>2542</v>
      </c>
      <c r="F1264" s="400" t="s">
        <v>2542</v>
      </c>
      <c r="G1264" s="400" t="s">
        <v>2541</v>
      </c>
      <c r="H1264" s="1235"/>
    </row>
    <row r="1265" spans="1:8" hidden="1">
      <c r="A1265" s="495" t="s">
        <v>2292</v>
      </c>
      <c r="B1265" s="399" t="s">
        <v>631</v>
      </c>
      <c r="C1265" s="399" t="s">
        <v>108</v>
      </c>
      <c r="D1265" s="399" t="s">
        <v>2543</v>
      </c>
      <c r="E1265" s="399" t="s">
        <v>2296</v>
      </c>
      <c r="F1265" s="399" t="s">
        <v>2298</v>
      </c>
      <c r="G1265" s="399" t="s">
        <v>2221</v>
      </c>
      <c r="H1265" s="1235"/>
    </row>
    <row r="1266" spans="1:8" hidden="1">
      <c r="A1266" s="495" t="s">
        <v>2292</v>
      </c>
      <c r="B1266" s="399" t="s">
        <v>631</v>
      </c>
      <c r="C1266" s="399" t="s">
        <v>108</v>
      </c>
      <c r="D1266" s="399" t="s">
        <v>2544</v>
      </c>
      <c r="E1266" s="399" t="s">
        <v>2296</v>
      </c>
      <c r="F1266" s="399" t="s">
        <v>2299</v>
      </c>
      <c r="G1266" s="399" t="s">
        <v>2221</v>
      </c>
      <c r="H1266" s="1235"/>
    </row>
    <row r="1267" spans="1:8" hidden="1">
      <c r="A1267" s="495" t="s">
        <v>2292</v>
      </c>
      <c r="B1267" s="399" t="s">
        <v>631</v>
      </c>
      <c r="C1267" s="399" t="s">
        <v>108</v>
      </c>
      <c r="D1267" s="399" t="s">
        <v>2545</v>
      </c>
      <c r="E1267" s="399" t="s">
        <v>2293</v>
      </c>
      <c r="F1267" s="399" t="s">
        <v>2294</v>
      </c>
      <c r="G1267" s="399" t="s">
        <v>2221</v>
      </c>
      <c r="H1267" s="1235"/>
    </row>
    <row r="1268" spans="1:8" hidden="1">
      <c r="A1268" s="495" t="s">
        <v>2292</v>
      </c>
      <c r="B1268" s="399" t="s">
        <v>631</v>
      </c>
      <c r="C1268" s="399" t="s">
        <v>108</v>
      </c>
      <c r="D1268" s="399" t="s">
        <v>2546</v>
      </c>
      <c r="E1268" s="399" t="s">
        <v>2296</v>
      </c>
      <c r="F1268" s="399" t="s">
        <v>2300</v>
      </c>
      <c r="G1268" s="399" t="s">
        <v>2221</v>
      </c>
      <c r="H1268" s="1235"/>
    </row>
    <row r="1269" spans="1:8" hidden="1">
      <c r="A1269" s="495" t="s">
        <v>2292</v>
      </c>
      <c r="B1269" s="399" t="s">
        <v>631</v>
      </c>
      <c r="C1269" s="399" t="s">
        <v>108</v>
      </c>
      <c r="D1269" s="399" t="s">
        <v>2547</v>
      </c>
      <c r="E1269" s="399" t="s">
        <v>2293</v>
      </c>
      <c r="F1269" s="399" t="s">
        <v>2294</v>
      </c>
      <c r="G1269" s="399" t="s">
        <v>2221</v>
      </c>
      <c r="H1269" s="1235"/>
    </row>
    <row r="1270" spans="1:8" hidden="1">
      <c r="A1270" s="495" t="s">
        <v>2292</v>
      </c>
      <c r="B1270" s="399" t="s">
        <v>631</v>
      </c>
      <c r="C1270" s="399" t="s">
        <v>108</v>
      </c>
      <c r="D1270" s="399" t="s">
        <v>2548</v>
      </c>
      <c r="E1270" s="399" t="s">
        <v>2293</v>
      </c>
      <c r="F1270" s="399" t="s">
        <v>2294</v>
      </c>
      <c r="G1270" s="399" t="s">
        <v>2221</v>
      </c>
      <c r="H1270" s="1235"/>
    </row>
    <row r="1271" spans="1:8" hidden="1">
      <c r="A1271" s="495" t="s">
        <v>2292</v>
      </c>
      <c r="B1271" s="399" t="s">
        <v>631</v>
      </c>
      <c r="C1271" s="399" t="s">
        <v>108</v>
      </c>
      <c r="D1271" s="399" t="s">
        <v>2549</v>
      </c>
      <c r="E1271" s="399" t="s">
        <v>2293</v>
      </c>
      <c r="F1271" s="399" t="s">
        <v>2294</v>
      </c>
      <c r="G1271" s="399" t="s">
        <v>2221</v>
      </c>
      <c r="H1271" s="1235"/>
    </row>
    <row r="1272" spans="1:8" hidden="1">
      <c r="A1272" s="495" t="s">
        <v>2292</v>
      </c>
      <c r="B1272" s="399" t="s">
        <v>631</v>
      </c>
      <c r="C1272" s="399" t="s">
        <v>108</v>
      </c>
      <c r="D1272" s="399" t="s">
        <v>2550</v>
      </c>
      <c r="E1272" s="399" t="s">
        <v>2293</v>
      </c>
      <c r="F1272" s="399" t="s">
        <v>2294</v>
      </c>
      <c r="G1272" s="399" t="s">
        <v>2221</v>
      </c>
      <c r="H1272" s="1235"/>
    </row>
    <row r="1273" spans="1:8" hidden="1">
      <c r="A1273" s="495" t="s">
        <v>2292</v>
      </c>
      <c r="B1273" s="399" t="s">
        <v>631</v>
      </c>
      <c r="C1273" s="399" t="s">
        <v>108</v>
      </c>
      <c r="D1273" s="399" t="s">
        <v>2551</v>
      </c>
      <c r="E1273" s="399" t="s">
        <v>2293</v>
      </c>
      <c r="F1273" s="399" t="s">
        <v>2294</v>
      </c>
      <c r="G1273" s="399" t="s">
        <v>2221</v>
      </c>
      <c r="H1273" s="1235"/>
    </row>
    <row r="1274" spans="1:8" hidden="1">
      <c r="A1274" s="495" t="s">
        <v>2292</v>
      </c>
      <c r="B1274" s="399" t="s">
        <v>631</v>
      </c>
      <c r="C1274" s="399" t="s">
        <v>108</v>
      </c>
      <c r="D1274" s="399" t="s">
        <v>2552</v>
      </c>
      <c r="E1274" s="399" t="s">
        <v>2293</v>
      </c>
      <c r="F1274" s="399" t="s">
        <v>2294</v>
      </c>
      <c r="G1274" s="399" t="s">
        <v>2221</v>
      </c>
      <c r="H1274" s="1235"/>
    </row>
    <row r="1275" spans="1:8" hidden="1">
      <c r="A1275" s="495" t="s">
        <v>2292</v>
      </c>
      <c r="B1275" s="399" t="s">
        <v>631</v>
      </c>
      <c r="C1275" s="399" t="s">
        <v>108</v>
      </c>
      <c r="D1275" s="399" t="s">
        <v>2553</v>
      </c>
      <c r="E1275" s="399" t="s">
        <v>2293</v>
      </c>
      <c r="F1275" s="399" t="s">
        <v>2294</v>
      </c>
      <c r="G1275" s="399" t="s">
        <v>2221</v>
      </c>
      <c r="H1275" s="1235"/>
    </row>
    <row r="1276" spans="1:8" hidden="1">
      <c r="A1276" s="495" t="s">
        <v>2292</v>
      </c>
      <c r="B1276" s="399" t="s">
        <v>631</v>
      </c>
      <c r="C1276" s="399" t="s">
        <v>108</v>
      </c>
      <c r="D1276" s="399" t="s">
        <v>2554</v>
      </c>
      <c r="E1276" s="399" t="s">
        <v>2293</v>
      </c>
      <c r="F1276" s="399" t="s">
        <v>2294</v>
      </c>
      <c r="G1276" s="399" t="s">
        <v>2221</v>
      </c>
      <c r="H1276" s="1235"/>
    </row>
    <row r="1277" spans="1:8" hidden="1">
      <c r="A1277" s="495" t="s">
        <v>2292</v>
      </c>
      <c r="B1277" s="399" t="s">
        <v>631</v>
      </c>
      <c r="C1277" s="399" t="s">
        <v>108</v>
      </c>
      <c r="D1277" s="399" t="s">
        <v>2555</v>
      </c>
      <c r="E1277" s="399" t="s">
        <v>2293</v>
      </c>
      <c r="F1277" s="399" t="s">
        <v>2294</v>
      </c>
      <c r="G1277" s="399" t="s">
        <v>2221</v>
      </c>
      <c r="H1277" s="1235"/>
    </row>
    <row r="1278" spans="1:8" hidden="1">
      <c r="A1278" s="495" t="s">
        <v>2292</v>
      </c>
      <c r="B1278" s="399" t="s">
        <v>631</v>
      </c>
      <c r="C1278" s="399" t="s">
        <v>108</v>
      </c>
      <c r="D1278" s="399" t="s">
        <v>2556</v>
      </c>
      <c r="E1278" s="399" t="s">
        <v>2293</v>
      </c>
      <c r="F1278" s="399" t="s">
        <v>2294</v>
      </c>
      <c r="G1278" s="399" t="s">
        <v>2221</v>
      </c>
      <c r="H1278" s="1235"/>
    </row>
    <row r="1279" spans="1:8" hidden="1">
      <c r="A1279" s="495" t="s">
        <v>2292</v>
      </c>
      <c r="B1279" s="399" t="s">
        <v>631</v>
      </c>
      <c r="C1279" s="399" t="s">
        <v>108</v>
      </c>
      <c r="D1279" s="399" t="s">
        <v>2557</v>
      </c>
      <c r="E1279" s="399" t="s">
        <v>2293</v>
      </c>
      <c r="F1279" s="399" t="s">
        <v>2294</v>
      </c>
      <c r="G1279" s="399" t="s">
        <v>2221</v>
      </c>
      <c r="H1279" s="1235"/>
    </row>
    <row r="1280" spans="1:8" hidden="1">
      <c r="A1280" s="495" t="s">
        <v>2292</v>
      </c>
      <c r="B1280" s="399" t="s">
        <v>631</v>
      </c>
      <c r="C1280" s="399" t="s">
        <v>108</v>
      </c>
      <c r="D1280" s="399" t="s">
        <v>2558</v>
      </c>
      <c r="E1280" s="399" t="s">
        <v>2293</v>
      </c>
      <c r="F1280" s="399" t="s">
        <v>2294</v>
      </c>
      <c r="G1280" s="399" t="s">
        <v>2221</v>
      </c>
      <c r="H1280" s="1235"/>
    </row>
    <row r="1281" spans="1:8" hidden="1">
      <c r="A1281" s="495" t="s">
        <v>2292</v>
      </c>
      <c r="B1281" s="399" t="s">
        <v>631</v>
      </c>
      <c r="C1281" s="399" t="s">
        <v>108</v>
      </c>
      <c r="D1281" s="399" t="s">
        <v>2559</v>
      </c>
      <c r="E1281" s="399" t="s">
        <v>2293</v>
      </c>
      <c r="F1281" s="399" t="s">
        <v>2294</v>
      </c>
      <c r="G1281" s="399" t="s">
        <v>2221</v>
      </c>
      <c r="H1281" s="1235"/>
    </row>
    <row r="1282" spans="1:8" hidden="1">
      <c r="A1282" s="495" t="s">
        <v>2292</v>
      </c>
      <c r="B1282" s="399" t="s">
        <v>631</v>
      </c>
      <c r="C1282" s="399" t="s">
        <v>108</v>
      </c>
      <c r="D1282" s="399" t="s">
        <v>2560</v>
      </c>
      <c r="E1282" s="399" t="s">
        <v>2293</v>
      </c>
      <c r="F1282" s="399" t="s">
        <v>2294</v>
      </c>
      <c r="G1282" s="399" t="s">
        <v>2221</v>
      </c>
      <c r="H1282" s="1235"/>
    </row>
    <row r="1283" spans="1:8" hidden="1">
      <c r="A1283" s="495" t="s">
        <v>2292</v>
      </c>
      <c r="B1283" s="399" t="s">
        <v>631</v>
      </c>
      <c r="C1283" s="399" t="s">
        <v>108</v>
      </c>
      <c r="D1283" s="399" t="s">
        <v>2561</v>
      </c>
      <c r="E1283" s="399" t="s">
        <v>2293</v>
      </c>
      <c r="F1283" s="399" t="s">
        <v>2294</v>
      </c>
      <c r="G1283" s="399" t="s">
        <v>2221</v>
      </c>
      <c r="H1283" s="1235"/>
    </row>
    <row r="1284" spans="1:8" hidden="1">
      <c r="A1284" s="495" t="s">
        <v>2292</v>
      </c>
      <c r="B1284" s="399" t="s">
        <v>631</v>
      </c>
      <c r="C1284" s="399" t="s">
        <v>108</v>
      </c>
      <c r="D1284" s="399" t="s">
        <v>2562</v>
      </c>
      <c r="E1284" s="399" t="s">
        <v>2293</v>
      </c>
      <c r="F1284" s="399" t="s">
        <v>2294</v>
      </c>
      <c r="G1284" s="399" t="s">
        <v>2221</v>
      </c>
      <c r="H1284" s="1235"/>
    </row>
    <row r="1285" spans="1:8" hidden="1">
      <c r="A1285" s="495" t="s">
        <v>2292</v>
      </c>
      <c r="B1285" s="399" t="s">
        <v>631</v>
      </c>
      <c r="C1285" s="399" t="s">
        <v>108</v>
      </c>
      <c r="D1285" s="399" t="s">
        <v>2563</v>
      </c>
      <c r="E1285" s="399" t="s">
        <v>2293</v>
      </c>
      <c r="F1285" s="399" t="s">
        <v>2294</v>
      </c>
      <c r="G1285" s="399" t="s">
        <v>2221</v>
      </c>
      <c r="H1285" s="1235"/>
    </row>
    <row r="1286" spans="1:8" hidden="1">
      <c r="A1286" s="495" t="s">
        <v>2292</v>
      </c>
      <c r="B1286" s="399" t="s">
        <v>631</v>
      </c>
      <c r="C1286" s="399" t="s">
        <v>108</v>
      </c>
      <c r="D1286" s="399" t="s">
        <v>2564</v>
      </c>
      <c r="E1286" s="399" t="s">
        <v>2293</v>
      </c>
      <c r="F1286" s="399" t="s">
        <v>2294</v>
      </c>
      <c r="G1286" s="399" t="s">
        <v>2221</v>
      </c>
      <c r="H1286" s="1235"/>
    </row>
    <row r="1287" spans="1:8" hidden="1">
      <c r="A1287" s="495" t="s">
        <v>2292</v>
      </c>
      <c r="B1287" s="399" t="s">
        <v>631</v>
      </c>
      <c r="C1287" s="399" t="s">
        <v>108</v>
      </c>
      <c r="D1287" s="399" t="s">
        <v>2565</v>
      </c>
      <c r="E1287" s="399" t="s">
        <v>2293</v>
      </c>
      <c r="F1287" s="399" t="s">
        <v>2294</v>
      </c>
      <c r="G1287" s="399" t="s">
        <v>2221</v>
      </c>
      <c r="H1287" s="1235"/>
    </row>
    <row r="1288" spans="1:8" hidden="1">
      <c r="A1288" s="495" t="s">
        <v>2292</v>
      </c>
      <c r="B1288" s="399" t="s">
        <v>631</v>
      </c>
      <c r="C1288" s="399" t="s">
        <v>108</v>
      </c>
      <c r="D1288" s="399" t="s">
        <v>2566</v>
      </c>
      <c r="E1288" s="399" t="s">
        <v>2293</v>
      </c>
      <c r="F1288" s="399" t="s">
        <v>2294</v>
      </c>
      <c r="G1288" s="399" t="s">
        <v>2221</v>
      </c>
      <c r="H1288" s="1235"/>
    </row>
    <row r="1289" spans="1:8" hidden="1">
      <c r="A1289" s="495" t="s">
        <v>2292</v>
      </c>
      <c r="B1289" s="399" t="s">
        <v>631</v>
      </c>
      <c r="C1289" s="399" t="s">
        <v>108</v>
      </c>
      <c r="D1289" s="399" t="s">
        <v>2567</v>
      </c>
      <c r="E1289" s="399" t="s">
        <v>2293</v>
      </c>
      <c r="F1289" s="399" t="s">
        <v>2294</v>
      </c>
      <c r="G1289" s="399" t="s">
        <v>2221</v>
      </c>
      <c r="H1289" s="1235"/>
    </row>
    <row r="1290" spans="1:8" hidden="1">
      <c r="A1290" s="495" t="s">
        <v>2292</v>
      </c>
      <c r="B1290" s="399" t="s">
        <v>631</v>
      </c>
      <c r="C1290" s="399" t="s">
        <v>108</v>
      </c>
      <c r="D1290" s="399" t="s">
        <v>2568</v>
      </c>
      <c r="E1290" s="399" t="s">
        <v>2293</v>
      </c>
      <c r="F1290" s="399" t="s">
        <v>2294</v>
      </c>
      <c r="G1290" s="399" t="s">
        <v>2221</v>
      </c>
      <c r="H1290" s="1235"/>
    </row>
    <row r="1291" spans="1:8" hidden="1">
      <c r="A1291" s="495" t="s">
        <v>2292</v>
      </c>
      <c r="B1291" s="399" t="s">
        <v>631</v>
      </c>
      <c r="C1291" s="399" t="s">
        <v>108</v>
      </c>
      <c r="D1291" s="399" t="s">
        <v>2569</v>
      </c>
      <c r="E1291" s="399" t="s">
        <v>2293</v>
      </c>
      <c r="F1291" s="399" t="s">
        <v>2294</v>
      </c>
      <c r="G1291" s="399" t="s">
        <v>2221</v>
      </c>
      <c r="H1291" s="1235"/>
    </row>
    <row r="1292" spans="1:8" hidden="1">
      <c r="A1292" s="495" t="s">
        <v>2292</v>
      </c>
      <c r="B1292" s="399" t="s">
        <v>631</v>
      </c>
      <c r="C1292" s="399" t="s">
        <v>108</v>
      </c>
      <c r="D1292" s="399" t="s">
        <v>2570</v>
      </c>
      <c r="E1292" s="399" t="s">
        <v>2293</v>
      </c>
      <c r="F1292" s="399" t="s">
        <v>2294</v>
      </c>
      <c r="G1292" s="399" t="s">
        <v>2221</v>
      </c>
      <c r="H1292" s="1235"/>
    </row>
    <row r="1293" spans="1:8" hidden="1">
      <c r="A1293" s="495" t="s">
        <v>2292</v>
      </c>
      <c r="B1293" s="399" t="s">
        <v>631</v>
      </c>
      <c r="C1293" s="399" t="s">
        <v>108</v>
      </c>
      <c r="D1293" s="399" t="s">
        <v>2571</v>
      </c>
      <c r="E1293" s="399" t="s">
        <v>2293</v>
      </c>
      <c r="F1293" s="399" t="s">
        <v>2294</v>
      </c>
      <c r="G1293" s="399" t="s">
        <v>2221</v>
      </c>
      <c r="H1293" s="1235"/>
    </row>
    <row r="1294" spans="1:8" hidden="1">
      <c r="A1294" s="495" t="s">
        <v>2292</v>
      </c>
      <c r="B1294" s="399" t="s">
        <v>631</v>
      </c>
      <c r="C1294" s="399" t="s">
        <v>108</v>
      </c>
      <c r="D1294" s="399" t="s">
        <v>2572</v>
      </c>
      <c r="E1294" s="399" t="s">
        <v>2293</v>
      </c>
      <c r="F1294" s="399" t="s">
        <v>2294</v>
      </c>
      <c r="G1294" s="399" t="s">
        <v>2221</v>
      </c>
      <c r="H1294" s="1235"/>
    </row>
    <row r="1295" spans="1:8" hidden="1">
      <c r="A1295" s="495" t="s">
        <v>2292</v>
      </c>
      <c r="B1295" s="399" t="s">
        <v>631</v>
      </c>
      <c r="C1295" s="399" t="s">
        <v>108</v>
      </c>
      <c r="D1295" s="399" t="s">
        <v>2573</v>
      </c>
      <c r="E1295" s="399" t="s">
        <v>2293</v>
      </c>
      <c r="F1295" s="399" t="s">
        <v>2294</v>
      </c>
      <c r="G1295" s="399" t="s">
        <v>2221</v>
      </c>
      <c r="H1295" s="1235"/>
    </row>
    <row r="1296" spans="1:8" hidden="1">
      <c r="A1296" s="495" t="s">
        <v>2292</v>
      </c>
      <c r="B1296" s="399" t="s">
        <v>631</v>
      </c>
      <c r="C1296" s="399" t="s">
        <v>108</v>
      </c>
      <c r="D1296" s="399" t="s">
        <v>2574</v>
      </c>
      <c r="E1296" s="399" t="s">
        <v>2293</v>
      </c>
      <c r="F1296" s="399" t="s">
        <v>2294</v>
      </c>
      <c r="G1296" s="399" t="s">
        <v>2221</v>
      </c>
      <c r="H1296" s="1235"/>
    </row>
    <row r="1297" spans="1:8" hidden="1">
      <c r="A1297" s="495" t="s">
        <v>2292</v>
      </c>
      <c r="B1297" s="399" t="s">
        <v>631</v>
      </c>
      <c r="C1297" s="399" t="s">
        <v>108</v>
      </c>
      <c r="D1297" s="399" t="s">
        <v>2575</v>
      </c>
      <c r="E1297" s="399" t="s">
        <v>2293</v>
      </c>
      <c r="F1297" s="399" t="s">
        <v>2294</v>
      </c>
      <c r="G1297" s="399" t="s">
        <v>2221</v>
      </c>
      <c r="H1297" s="1235"/>
    </row>
    <row r="1298" spans="1:8" hidden="1">
      <c r="A1298" s="495" t="s">
        <v>2292</v>
      </c>
      <c r="B1298" s="399" t="s">
        <v>631</v>
      </c>
      <c r="C1298" s="399" t="s">
        <v>108</v>
      </c>
      <c r="D1298" s="399" t="s">
        <v>2576</v>
      </c>
      <c r="E1298" s="399" t="s">
        <v>2293</v>
      </c>
      <c r="F1298" s="399" t="s">
        <v>2294</v>
      </c>
      <c r="G1298" s="399" t="s">
        <v>2221</v>
      </c>
      <c r="H1298" s="1235"/>
    </row>
    <row r="1299" spans="1:8" hidden="1">
      <c r="A1299" s="495" t="s">
        <v>2292</v>
      </c>
      <c r="B1299" s="399" t="s">
        <v>631</v>
      </c>
      <c r="C1299" s="399" t="s">
        <v>108</v>
      </c>
      <c r="D1299" s="399" t="s">
        <v>2577</v>
      </c>
      <c r="E1299" s="399" t="s">
        <v>2293</v>
      </c>
      <c r="F1299" s="399" t="s">
        <v>2294</v>
      </c>
      <c r="G1299" s="399" t="s">
        <v>2221</v>
      </c>
      <c r="H1299" s="1235"/>
    </row>
    <row r="1300" spans="1:8" hidden="1">
      <c r="A1300" s="495" t="s">
        <v>2292</v>
      </c>
      <c r="B1300" s="399" t="s">
        <v>631</v>
      </c>
      <c r="C1300" s="399" t="s">
        <v>108</v>
      </c>
      <c r="D1300" s="399" t="s">
        <v>2578</v>
      </c>
      <c r="E1300" s="399" t="s">
        <v>2293</v>
      </c>
      <c r="F1300" s="399" t="s">
        <v>2294</v>
      </c>
      <c r="G1300" s="399" t="s">
        <v>2221</v>
      </c>
      <c r="H1300" s="1235"/>
    </row>
    <row r="1301" spans="1:8" hidden="1">
      <c r="A1301" s="495" t="s">
        <v>2292</v>
      </c>
      <c r="B1301" s="399" t="s">
        <v>631</v>
      </c>
      <c r="C1301" s="399" t="s">
        <v>108</v>
      </c>
      <c r="D1301" s="399" t="s">
        <v>2579</v>
      </c>
      <c r="E1301" s="399" t="s">
        <v>2293</v>
      </c>
      <c r="F1301" s="399" t="s">
        <v>2294</v>
      </c>
      <c r="G1301" s="399" t="s">
        <v>2221</v>
      </c>
      <c r="H1301" s="1235"/>
    </row>
    <row r="1302" spans="1:8" hidden="1">
      <c r="A1302" s="495" t="s">
        <v>2292</v>
      </c>
      <c r="B1302" s="399" t="s">
        <v>631</v>
      </c>
      <c r="C1302" s="399" t="s">
        <v>108</v>
      </c>
      <c r="D1302" s="399" t="s">
        <v>2580</v>
      </c>
      <c r="E1302" s="399" t="s">
        <v>2293</v>
      </c>
      <c r="F1302" s="399" t="s">
        <v>2294</v>
      </c>
      <c r="G1302" s="399" t="s">
        <v>2221</v>
      </c>
      <c r="H1302" s="1235"/>
    </row>
    <row r="1303" spans="1:8" hidden="1">
      <c r="A1303" s="495" t="s">
        <v>2292</v>
      </c>
      <c r="B1303" s="399" t="s">
        <v>631</v>
      </c>
      <c r="C1303" s="399" t="s">
        <v>108</v>
      </c>
      <c r="D1303" s="399" t="s">
        <v>2581</v>
      </c>
      <c r="E1303" s="399" t="s">
        <v>2293</v>
      </c>
      <c r="F1303" s="399" t="s">
        <v>2294</v>
      </c>
      <c r="G1303" s="399" t="s">
        <v>2221</v>
      </c>
      <c r="H1303" s="1235"/>
    </row>
    <row r="1304" spans="1:8" hidden="1">
      <c r="A1304" s="495" t="s">
        <v>2292</v>
      </c>
      <c r="B1304" s="399" t="s">
        <v>631</v>
      </c>
      <c r="C1304" s="399" t="s">
        <v>108</v>
      </c>
      <c r="D1304" s="399" t="s">
        <v>2582</v>
      </c>
      <c r="E1304" s="399" t="s">
        <v>2293</v>
      </c>
      <c r="F1304" s="399" t="s">
        <v>2294</v>
      </c>
      <c r="G1304" s="399" t="s">
        <v>2221</v>
      </c>
      <c r="H1304" s="1235"/>
    </row>
    <row r="1305" spans="1:8" hidden="1">
      <c r="A1305" s="495" t="s">
        <v>2292</v>
      </c>
      <c r="B1305" s="399" t="s">
        <v>631</v>
      </c>
      <c r="C1305" s="399" t="s">
        <v>108</v>
      </c>
      <c r="D1305" s="399" t="s">
        <v>2583</v>
      </c>
      <c r="E1305" s="399" t="s">
        <v>2293</v>
      </c>
      <c r="F1305" s="399" t="s">
        <v>2294</v>
      </c>
      <c r="G1305" s="399" t="s">
        <v>2221</v>
      </c>
      <c r="H1305" s="1235"/>
    </row>
    <row r="1306" spans="1:8" hidden="1">
      <c r="A1306" s="495" t="s">
        <v>2292</v>
      </c>
      <c r="B1306" s="399" t="s">
        <v>631</v>
      </c>
      <c r="C1306" s="399" t="s">
        <v>108</v>
      </c>
      <c r="D1306" s="399" t="s">
        <v>2584</v>
      </c>
      <c r="E1306" s="399" t="s">
        <v>2293</v>
      </c>
      <c r="F1306" s="399" t="s">
        <v>2294</v>
      </c>
      <c r="G1306" s="399" t="s">
        <v>2221</v>
      </c>
      <c r="H1306" s="1235"/>
    </row>
    <row r="1307" spans="1:8" hidden="1">
      <c r="A1307" s="495" t="s">
        <v>2292</v>
      </c>
      <c r="B1307" s="399" t="s">
        <v>631</v>
      </c>
      <c r="C1307" s="399" t="s">
        <v>108</v>
      </c>
      <c r="D1307" s="399" t="s">
        <v>2585</v>
      </c>
      <c r="E1307" s="399" t="s">
        <v>2293</v>
      </c>
      <c r="F1307" s="399" t="s">
        <v>2294</v>
      </c>
      <c r="G1307" s="399" t="s">
        <v>2221</v>
      </c>
      <c r="H1307" s="1235"/>
    </row>
    <row r="1308" spans="1:8" hidden="1">
      <c r="A1308" s="495" t="s">
        <v>2292</v>
      </c>
      <c r="B1308" s="399" t="s">
        <v>631</v>
      </c>
      <c r="C1308" s="399" t="s">
        <v>108</v>
      </c>
      <c r="D1308" s="399" t="s">
        <v>2586</v>
      </c>
      <c r="E1308" s="399" t="s">
        <v>2293</v>
      </c>
      <c r="F1308" s="399" t="s">
        <v>2294</v>
      </c>
      <c r="G1308" s="399" t="s">
        <v>2221</v>
      </c>
      <c r="H1308" s="1235"/>
    </row>
    <row r="1309" spans="1:8" hidden="1">
      <c r="A1309" s="495" t="s">
        <v>2292</v>
      </c>
      <c r="B1309" s="399" t="s">
        <v>631</v>
      </c>
      <c r="C1309" s="399" t="s">
        <v>108</v>
      </c>
      <c r="D1309" s="399" t="s">
        <v>2587</v>
      </c>
      <c r="E1309" s="399" t="s">
        <v>2293</v>
      </c>
      <c r="F1309" s="399" t="s">
        <v>2294</v>
      </c>
      <c r="G1309" s="399" t="s">
        <v>2221</v>
      </c>
      <c r="H1309" s="1235"/>
    </row>
    <row r="1310" spans="1:8" hidden="1">
      <c r="A1310" s="495" t="s">
        <v>2292</v>
      </c>
      <c r="B1310" s="399" t="s">
        <v>631</v>
      </c>
      <c r="C1310" s="399" t="s">
        <v>108</v>
      </c>
      <c r="D1310" s="399" t="s">
        <v>2588</v>
      </c>
      <c r="E1310" s="399" t="s">
        <v>2293</v>
      </c>
      <c r="F1310" s="399" t="s">
        <v>2294</v>
      </c>
      <c r="G1310" s="399" t="s">
        <v>2221</v>
      </c>
      <c r="H1310" s="1235"/>
    </row>
    <row r="1311" spans="1:8" hidden="1">
      <c r="A1311" s="495" t="s">
        <v>2292</v>
      </c>
      <c r="B1311" s="399" t="s">
        <v>631</v>
      </c>
      <c r="C1311" s="399" t="s">
        <v>108</v>
      </c>
      <c r="D1311" s="399" t="s">
        <v>2589</v>
      </c>
      <c r="E1311" s="399" t="s">
        <v>2293</v>
      </c>
      <c r="F1311" s="399" t="s">
        <v>2294</v>
      </c>
      <c r="G1311" s="399" t="s">
        <v>2221</v>
      </c>
      <c r="H1311" s="1235"/>
    </row>
    <row r="1312" spans="1:8" hidden="1">
      <c r="A1312" s="495" t="s">
        <v>2292</v>
      </c>
      <c r="B1312" s="399" t="s">
        <v>631</v>
      </c>
      <c r="C1312" s="399" t="s">
        <v>108</v>
      </c>
      <c r="D1312" s="399" t="s">
        <v>2590</v>
      </c>
      <c r="E1312" s="399" t="s">
        <v>2293</v>
      </c>
      <c r="F1312" s="399" t="s">
        <v>2294</v>
      </c>
      <c r="G1312" s="399" t="s">
        <v>2221</v>
      </c>
      <c r="H1312" s="1235"/>
    </row>
    <row r="1313" spans="1:8" hidden="1">
      <c r="A1313" s="495" t="s">
        <v>2292</v>
      </c>
      <c r="B1313" s="399" t="s">
        <v>631</v>
      </c>
      <c r="C1313" s="399" t="s">
        <v>108</v>
      </c>
      <c r="D1313" s="399" t="s">
        <v>2591</v>
      </c>
      <c r="E1313" s="399" t="s">
        <v>2293</v>
      </c>
      <c r="F1313" s="399" t="s">
        <v>2294</v>
      </c>
      <c r="G1313" s="399" t="s">
        <v>2221</v>
      </c>
      <c r="H1313" s="1235"/>
    </row>
    <row r="1314" spans="1:8" hidden="1">
      <c r="A1314" s="495" t="s">
        <v>2292</v>
      </c>
      <c r="B1314" s="399" t="s">
        <v>631</v>
      </c>
      <c r="C1314" s="399" t="s">
        <v>108</v>
      </c>
      <c r="D1314" s="399" t="s">
        <v>2592</v>
      </c>
      <c r="E1314" s="399" t="s">
        <v>2293</v>
      </c>
      <c r="F1314" s="399" t="s">
        <v>2294</v>
      </c>
      <c r="G1314" s="399" t="s">
        <v>2221</v>
      </c>
      <c r="H1314" s="1235"/>
    </row>
    <row r="1315" spans="1:8" hidden="1">
      <c r="A1315" s="495" t="s">
        <v>2292</v>
      </c>
      <c r="B1315" s="399" t="s">
        <v>631</v>
      </c>
      <c r="C1315" s="399" t="s">
        <v>108</v>
      </c>
      <c r="D1315" s="399" t="s">
        <v>2593</v>
      </c>
      <c r="E1315" s="399" t="s">
        <v>2293</v>
      </c>
      <c r="F1315" s="399" t="s">
        <v>2294</v>
      </c>
      <c r="G1315" s="399" t="s">
        <v>2221</v>
      </c>
      <c r="H1315" s="1235"/>
    </row>
    <row r="1316" spans="1:8" hidden="1">
      <c r="A1316" s="495" t="s">
        <v>2292</v>
      </c>
      <c r="B1316" s="399" t="s">
        <v>631</v>
      </c>
      <c r="C1316" s="399" t="s">
        <v>108</v>
      </c>
      <c r="D1316" s="399" t="s">
        <v>2594</v>
      </c>
      <c r="E1316" s="399" t="s">
        <v>2293</v>
      </c>
      <c r="F1316" s="399" t="s">
        <v>2294</v>
      </c>
      <c r="G1316" s="399" t="s">
        <v>2221</v>
      </c>
      <c r="H1316" s="1235"/>
    </row>
    <row r="1317" spans="1:8" hidden="1">
      <c r="A1317" s="495" t="s">
        <v>2292</v>
      </c>
      <c r="B1317" s="399" t="s">
        <v>631</v>
      </c>
      <c r="C1317" s="399" t="s">
        <v>108</v>
      </c>
      <c r="D1317" s="399" t="s">
        <v>2595</v>
      </c>
      <c r="E1317" s="399" t="s">
        <v>2293</v>
      </c>
      <c r="F1317" s="399" t="s">
        <v>2294</v>
      </c>
      <c r="G1317" s="399" t="s">
        <v>2221</v>
      </c>
      <c r="H1317" s="1235"/>
    </row>
    <row r="1318" spans="1:8" hidden="1">
      <c r="A1318" s="495" t="s">
        <v>2292</v>
      </c>
      <c r="B1318" s="399" t="s">
        <v>631</v>
      </c>
      <c r="C1318" s="399" t="s">
        <v>108</v>
      </c>
      <c r="D1318" s="399" t="s">
        <v>2596</v>
      </c>
      <c r="E1318" s="399" t="s">
        <v>2293</v>
      </c>
      <c r="F1318" s="399" t="s">
        <v>2294</v>
      </c>
      <c r="G1318" s="399" t="s">
        <v>2221</v>
      </c>
      <c r="H1318" s="1235"/>
    </row>
    <row r="1319" spans="1:8" hidden="1">
      <c r="A1319" s="495" t="s">
        <v>2292</v>
      </c>
      <c r="B1319" s="399" t="s">
        <v>631</v>
      </c>
      <c r="C1319" s="399" t="s">
        <v>108</v>
      </c>
      <c r="D1319" s="399" t="s">
        <v>2597</v>
      </c>
      <c r="E1319" s="399" t="s">
        <v>2293</v>
      </c>
      <c r="F1319" s="399" t="s">
        <v>2294</v>
      </c>
      <c r="G1319" s="399" t="s">
        <v>2221</v>
      </c>
      <c r="H1319" s="1235"/>
    </row>
    <row r="1320" spans="1:8" hidden="1">
      <c r="A1320" s="495" t="s">
        <v>2292</v>
      </c>
      <c r="B1320" s="399" t="s">
        <v>631</v>
      </c>
      <c r="C1320" s="399" t="s">
        <v>108</v>
      </c>
      <c r="D1320" s="399" t="s">
        <v>2598</v>
      </c>
      <c r="E1320" s="399" t="s">
        <v>2293</v>
      </c>
      <c r="F1320" s="399" t="s">
        <v>2294</v>
      </c>
      <c r="G1320" s="399" t="s">
        <v>2221</v>
      </c>
      <c r="H1320" s="1235"/>
    </row>
    <row r="1321" spans="1:8" hidden="1">
      <c r="A1321" s="495" t="s">
        <v>2292</v>
      </c>
      <c r="B1321" s="399" t="s">
        <v>631</v>
      </c>
      <c r="C1321" s="399" t="s">
        <v>108</v>
      </c>
      <c r="D1321" s="399" t="s">
        <v>2599</v>
      </c>
      <c r="E1321" s="399" t="s">
        <v>2293</v>
      </c>
      <c r="F1321" s="399" t="s">
        <v>2294</v>
      </c>
      <c r="G1321" s="399" t="s">
        <v>2221</v>
      </c>
      <c r="H1321" s="1235"/>
    </row>
    <row r="1322" spans="1:8" hidden="1">
      <c r="A1322" s="495" t="s">
        <v>2292</v>
      </c>
      <c r="B1322" s="399" t="s">
        <v>631</v>
      </c>
      <c r="C1322" s="399" t="s">
        <v>108</v>
      </c>
      <c r="D1322" s="399" t="s">
        <v>2600</v>
      </c>
      <c r="E1322" s="399" t="s">
        <v>2293</v>
      </c>
      <c r="F1322" s="399" t="s">
        <v>2294</v>
      </c>
      <c r="G1322" s="399" t="s">
        <v>2221</v>
      </c>
      <c r="H1322" s="1235"/>
    </row>
    <row r="1323" spans="1:8" hidden="1">
      <c r="A1323" s="495" t="s">
        <v>2292</v>
      </c>
      <c r="B1323" s="399" t="s">
        <v>631</v>
      </c>
      <c r="C1323" s="399" t="s">
        <v>108</v>
      </c>
      <c r="D1323" s="399" t="s">
        <v>2601</v>
      </c>
      <c r="E1323" s="399" t="s">
        <v>2293</v>
      </c>
      <c r="F1323" s="399" t="s">
        <v>2294</v>
      </c>
      <c r="G1323" s="399" t="s">
        <v>2221</v>
      </c>
      <c r="H1323" s="1235"/>
    </row>
    <row r="1324" spans="1:8" hidden="1">
      <c r="A1324" s="495" t="s">
        <v>2292</v>
      </c>
      <c r="B1324" s="399" t="s">
        <v>631</v>
      </c>
      <c r="C1324" s="399" t="s">
        <v>108</v>
      </c>
      <c r="D1324" s="399" t="s">
        <v>2602</v>
      </c>
      <c r="E1324" s="399" t="s">
        <v>2293</v>
      </c>
      <c r="F1324" s="399" t="s">
        <v>2294</v>
      </c>
      <c r="G1324" s="399" t="s">
        <v>2221</v>
      </c>
      <c r="H1324" s="1235"/>
    </row>
    <row r="1325" spans="1:8" hidden="1">
      <c r="A1325" s="495" t="s">
        <v>2292</v>
      </c>
      <c r="B1325" s="399" t="s">
        <v>631</v>
      </c>
      <c r="C1325" s="399" t="s">
        <v>108</v>
      </c>
      <c r="D1325" s="399" t="s">
        <v>2603</v>
      </c>
      <c r="E1325" s="399" t="s">
        <v>2293</v>
      </c>
      <c r="F1325" s="399" t="s">
        <v>2294</v>
      </c>
      <c r="G1325" s="399" t="s">
        <v>2221</v>
      </c>
      <c r="H1325" s="1235"/>
    </row>
    <row r="1326" spans="1:8" hidden="1">
      <c r="A1326" s="495" t="s">
        <v>2292</v>
      </c>
      <c r="B1326" s="399" t="s">
        <v>631</v>
      </c>
      <c r="C1326" s="399" t="s">
        <v>108</v>
      </c>
      <c r="D1326" s="399" t="s">
        <v>2604</v>
      </c>
      <c r="E1326" s="399" t="s">
        <v>2293</v>
      </c>
      <c r="F1326" s="399" t="s">
        <v>2294</v>
      </c>
      <c r="G1326" s="399" t="s">
        <v>2221</v>
      </c>
      <c r="H1326" s="1235"/>
    </row>
    <row r="1327" spans="1:8" hidden="1">
      <c r="A1327" s="495" t="s">
        <v>2292</v>
      </c>
      <c r="B1327" s="399" t="s">
        <v>631</v>
      </c>
      <c r="C1327" s="399" t="s">
        <v>108</v>
      </c>
      <c r="D1327" s="399" t="s">
        <v>2605</v>
      </c>
      <c r="E1327" s="399" t="s">
        <v>2293</v>
      </c>
      <c r="F1327" s="399" t="s">
        <v>2294</v>
      </c>
      <c r="G1327" s="399" t="s">
        <v>2221</v>
      </c>
      <c r="H1327" s="1235"/>
    </row>
    <row r="1328" spans="1:8" hidden="1">
      <c r="A1328" s="495" t="s">
        <v>2292</v>
      </c>
      <c r="B1328" s="399" t="s">
        <v>631</v>
      </c>
      <c r="C1328" s="399" t="s">
        <v>108</v>
      </c>
      <c r="D1328" s="399" t="s">
        <v>2606</v>
      </c>
      <c r="E1328" s="399" t="s">
        <v>2293</v>
      </c>
      <c r="F1328" s="399" t="s">
        <v>2294</v>
      </c>
      <c r="G1328" s="399" t="s">
        <v>2221</v>
      </c>
      <c r="H1328" s="1235"/>
    </row>
    <row r="1329" spans="1:8" hidden="1">
      <c r="A1329" s="495" t="s">
        <v>2292</v>
      </c>
      <c r="B1329" s="399" t="s">
        <v>631</v>
      </c>
      <c r="C1329" s="399" t="s">
        <v>108</v>
      </c>
      <c r="D1329" s="399" t="s">
        <v>2607</v>
      </c>
      <c r="E1329" s="399" t="s">
        <v>2293</v>
      </c>
      <c r="F1329" s="399" t="s">
        <v>2294</v>
      </c>
      <c r="G1329" s="399" t="s">
        <v>2221</v>
      </c>
      <c r="H1329" s="1235"/>
    </row>
    <row r="1330" spans="1:8" hidden="1">
      <c r="A1330" s="495" t="s">
        <v>2292</v>
      </c>
      <c r="B1330" s="399" t="s">
        <v>631</v>
      </c>
      <c r="C1330" s="399" t="s">
        <v>108</v>
      </c>
      <c r="D1330" s="399" t="s">
        <v>2608</v>
      </c>
      <c r="E1330" s="399" t="s">
        <v>2293</v>
      </c>
      <c r="F1330" s="399" t="s">
        <v>2294</v>
      </c>
      <c r="G1330" s="399" t="s">
        <v>2221</v>
      </c>
      <c r="H1330" s="1235"/>
    </row>
    <row r="1331" spans="1:8" hidden="1">
      <c r="A1331" s="495" t="s">
        <v>2292</v>
      </c>
      <c r="B1331" s="399" t="s">
        <v>631</v>
      </c>
      <c r="C1331" s="399" t="s">
        <v>108</v>
      </c>
      <c r="D1331" s="399" t="s">
        <v>2609</v>
      </c>
      <c r="E1331" s="399" t="s">
        <v>2293</v>
      </c>
      <c r="F1331" s="399" t="s">
        <v>2294</v>
      </c>
      <c r="G1331" s="399" t="s">
        <v>2221</v>
      </c>
      <c r="H1331" s="1235"/>
    </row>
    <row r="1332" spans="1:8" hidden="1">
      <c r="A1332" s="495" t="s">
        <v>2292</v>
      </c>
      <c r="B1332" s="399" t="s">
        <v>631</v>
      </c>
      <c r="C1332" s="399" t="s">
        <v>108</v>
      </c>
      <c r="D1332" s="399" t="s">
        <v>2610</v>
      </c>
      <c r="E1332" s="399" t="s">
        <v>2293</v>
      </c>
      <c r="F1332" s="399" t="s">
        <v>2294</v>
      </c>
      <c r="G1332" s="399" t="s">
        <v>2221</v>
      </c>
      <c r="H1332" s="1235"/>
    </row>
    <row r="1333" spans="1:8" hidden="1">
      <c r="A1333" s="495" t="s">
        <v>2292</v>
      </c>
      <c r="B1333" s="399" t="s">
        <v>631</v>
      </c>
      <c r="C1333" s="399" t="s">
        <v>108</v>
      </c>
      <c r="D1333" s="399" t="s">
        <v>2611</v>
      </c>
      <c r="E1333" s="399" t="s">
        <v>2293</v>
      </c>
      <c r="F1333" s="399" t="s">
        <v>2294</v>
      </c>
      <c r="G1333" s="399" t="s">
        <v>2221</v>
      </c>
      <c r="H1333" s="1235"/>
    </row>
    <row r="1334" spans="1:8" hidden="1">
      <c r="A1334" s="495" t="s">
        <v>2292</v>
      </c>
      <c r="B1334" s="399" t="s">
        <v>631</v>
      </c>
      <c r="C1334" s="399" t="s">
        <v>108</v>
      </c>
      <c r="D1334" s="399" t="s">
        <v>2612</v>
      </c>
      <c r="E1334" s="399" t="s">
        <v>2293</v>
      </c>
      <c r="F1334" s="399" t="s">
        <v>2294</v>
      </c>
      <c r="G1334" s="399" t="s">
        <v>2221</v>
      </c>
      <c r="H1334" s="1235"/>
    </row>
    <row r="1335" spans="1:8" hidden="1">
      <c r="A1335" s="495" t="s">
        <v>2292</v>
      </c>
      <c r="B1335" s="399" t="s">
        <v>631</v>
      </c>
      <c r="C1335" s="399" t="s">
        <v>108</v>
      </c>
      <c r="D1335" s="399" t="s">
        <v>2613</v>
      </c>
      <c r="E1335" s="399" t="s">
        <v>2293</v>
      </c>
      <c r="F1335" s="399" t="s">
        <v>2294</v>
      </c>
      <c r="G1335" s="399" t="s">
        <v>2221</v>
      </c>
      <c r="H1335" s="1235"/>
    </row>
    <row r="1336" spans="1:8" hidden="1">
      <c r="A1336" s="495" t="s">
        <v>2292</v>
      </c>
      <c r="B1336" s="399" t="s">
        <v>631</v>
      </c>
      <c r="C1336" s="399" t="s">
        <v>108</v>
      </c>
      <c r="D1336" s="399" t="s">
        <v>2614</v>
      </c>
      <c r="E1336" s="399" t="s">
        <v>2293</v>
      </c>
      <c r="F1336" s="399" t="s">
        <v>2294</v>
      </c>
      <c r="G1336" s="399" t="s">
        <v>2221</v>
      </c>
      <c r="H1336" s="1235"/>
    </row>
    <row r="1337" spans="1:8" hidden="1">
      <c r="A1337" s="495" t="s">
        <v>2292</v>
      </c>
      <c r="B1337" s="399" t="s">
        <v>631</v>
      </c>
      <c r="C1337" s="399" t="s">
        <v>108</v>
      </c>
      <c r="D1337" s="399" t="s">
        <v>2615</v>
      </c>
      <c r="E1337" s="399" t="s">
        <v>2293</v>
      </c>
      <c r="F1337" s="399" t="s">
        <v>2294</v>
      </c>
      <c r="G1337" s="399" t="s">
        <v>2221</v>
      </c>
      <c r="H1337" s="1235"/>
    </row>
    <row r="1338" spans="1:8" hidden="1">
      <c r="A1338" s="495" t="s">
        <v>2292</v>
      </c>
      <c r="B1338" s="399" t="s">
        <v>631</v>
      </c>
      <c r="C1338" s="399" t="s">
        <v>108</v>
      </c>
      <c r="D1338" s="399" t="s">
        <v>2616</v>
      </c>
      <c r="E1338" s="399" t="s">
        <v>2293</v>
      </c>
      <c r="F1338" s="399" t="s">
        <v>2294</v>
      </c>
      <c r="G1338" s="399" t="s">
        <v>2221</v>
      </c>
      <c r="H1338" s="1235"/>
    </row>
    <row r="1339" spans="1:8" hidden="1">
      <c r="A1339" s="495" t="s">
        <v>2292</v>
      </c>
      <c r="B1339" s="399" t="s">
        <v>631</v>
      </c>
      <c r="C1339" s="399" t="s">
        <v>108</v>
      </c>
      <c r="D1339" s="399" t="s">
        <v>2617</v>
      </c>
      <c r="E1339" s="399" t="s">
        <v>2293</v>
      </c>
      <c r="F1339" s="399" t="s">
        <v>2294</v>
      </c>
      <c r="G1339" s="399" t="s">
        <v>2221</v>
      </c>
      <c r="H1339" s="1235"/>
    </row>
    <row r="1340" spans="1:8" hidden="1">
      <c r="A1340" s="495" t="s">
        <v>2292</v>
      </c>
      <c r="B1340" s="399" t="s">
        <v>631</v>
      </c>
      <c r="C1340" s="399" t="s">
        <v>108</v>
      </c>
      <c r="D1340" s="399" t="s">
        <v>2618</v>
      </c>
      <c r="E1340" s="399" t="s">
        <v>2293</v>
      </c>
      <c r="F1340" s="399" t="s">
        <v>2294</v>
      </c>
      <c r="G1340" s="399" t="s">
        <v>2221</v>
      </c>
      <c r="H1340" s="1235"/>
    </row>
    <row r="1341" spans="1:8" hidden="1">
      <c r="A1341" s="495" t="s">
        <v>2292</v>
      </c>
      <c r="B1341" s="399" t="s">
        <v>631</v>
      </c>
      <c r="C1341" s="399" t="s">
        <v>108</v>
      </c>
      <c r="D1341" s="399" t="s">
        <v>2619</v>
      </c>
      <c r="E1341" s="399" t="s">
        <v>2293</v>
      </c>
      <c r="F1341" s="399" t="s">
        <v>2294</v>
      </c>
      <c r="G1341" s="399" t="s">
        <v>2221</v>
      </c>
      <c r="H1341" s="1235"/>
    </row>
    <row r="1342" spans="1:8" hidden="1">
      <c r="A1342" s="495" t="s">
        <v>2292</v>
      </c>
      <c r="B1342" s="399" t="s">
        <v>631</v>
      </c>
      <c r="C1342" s="399" t="s">
        <v>108</v>
      </c>
      <c r="D1342" s="399" t="s">
        <v>2620</v>
      </c>
      <c r="E1342" s="399" t="s">
        <v>2293</v>
      </c>
      <c r="F1342" s="399" t="s">
        <v>2294</v>
      </c>
      <c r="G1342" s="399" t="s">
        <v>2221</v>
      </c>
      <c r="H1342" s="1235"/>
    </row>
    <row r="1343" spans="1:8" hidden="1">
      <c r="A1343" s="495" t="s">
        <v>2292</v>
      </c>
      <c r="B1343" s="399" t="s">
        <v>631</v>
      </c>
      <c r="C1343" s="399" t="s">
        <v>108</v>
      </c>
      <c r="D1343" s="399" t="s">
        <v>2621</v>
      </c>
      <c r="E1343" s="399" t="s">
        <v>2293</v>
      </c>
      <c r="F1343" s="399" t="s">
        <v>2294</v>
      </c>
      <c r="G1343" s="399" t="s">
        <v>2221</v>
      </c>
      <c r="H1343" s="1235"/>
    </row>
    <row r="1344" spans="1:8" hidden="1">
      <c r="A1344" s="495" t="s">
        <v>2292</v>
      </c>
      <c r="B1344" s="399" t="s">
        <v>631</v>
      </c>
      <c r="C1344" s="399" t="s">
        <v>108</v>
      </c>
      <c r="D1344" s="399" t="s">
        <v>2622</v>
      </c>
      <c r="E1344" s="399" t="s">
        <v>2293</v>
      </c>
      <c r="F1344" s="399" t="s">
        <v>2294</v>
      </c>
      <c r="G1344" s="399" t="s">
        <v>2221</v>
      </c>
      <c r="H1344" s="1235"/>
    </row>
    <row r="1345" spans="1:8" hidden="1">
      <c r="A1345" s="495" t="s">
        <v>2292</v>
      </c>
      <c r="B1345" s="399" t="s">
        <v>631</v>
      </c>
      <c r="C1345" s="399" t="s">
        <v>108</v>
      </c>
      <c r="D1345" s="399" t="s">
        <v>2623</v>
      </c>
      <c r="E1345" s="399" t="s">
        <v>2293</v>
      </c>
      <c r="F1345" s="399" t="s">
        <v>2294</v>
      </c>
      <c r="G1345" s="399" t="s">
        <v>2221</v>
      </c>
      <c r="H1345" s="1235"/>
    </row>
    <row r="1346" spans="1:8" hidden="1">
      <c r="A1346" s="495" t="s">
        <v>2292</v>
      </c>
      <c r="B1346" s="399" t="s">
        <v>631</v>
      </c>
      <c r="C1346" s="399" t="s">
        <v>108</v>
      </c>
      <c r="D1346" s="399" t="s">
        <v>2624</v>
      </c>
      <c r="E1346" s="399" t="s">
        <v>2293</v>
      </c>
      <c r="F1346" s="399" t="s">
        <v>2294</v>
      </c>
      <c r="G1346" s="399" t="s">
        <v>2221</v>
      </c>
      <c r="H1346" s="1235"/>
    </row>
    <row r="1347" spans="1:8" hidden="1">
      <c r="A1347" s="495" t="s">
        <v>2292</v>
      </c>
      <c r="B1347" s="399" t="s">
        <v>631</v>
      </c>
      <c r="C1347" s="399" t="s">
        <v>108</v>
      </c>
      <c r="D1347" s="399" t="s">
        <v>2625</v>
      </c>
      <c r="E1347" s="399" t="s">
        <v>2293</v>
      </c>
      <c r="F1347" s="399" t="s">
        <v>2294</v>
      </c>
      <c r="G1347" s="399" t="s">
        <v>2221</v>
      </c>
      <c r="H1347" s="1235"/>
    </row>
    <row r="1348" spans="1:8" hidden="1">
      <c r="A1348" s="495" t="s">
        <v>2292</v>
      </c>
      <c r="B1348" s="399" t="s">
        <v>631</v>
      </c>
      <c r="C1348" s="399" t="s">
        <v>108</v>
      </c>
      <c r="D1348" s="399" t="s">
        <v>2626</v>
      </c>
      <c r="E1348" s="399" t="s">
        <v>2293</v>
      </c>
      <c r="F1348" s="399" t="s">
        <v>2294</v>
      </c>
      <c r="G1348" s="399" t="s">
        <v>2221</v>
      </c>
      <c r="H1348" s="1235"/>
    </row>
    <row r="1349" spans="1:8" hidden="1">
      <c r="A1349" s="495" t="s">
        <v>2292</v>
      </c>
      <c r="B1349" s="399" t="s">
        <v>631</v>
      </c>
      <c r="C1349" s="399" t="s">
        <v>108</v>
      </c>
      <c r="D1349" s="399" t="s">
        <v>2627</v>
      </c>
      <c r="E1349" s="399" t="s">
        <v>2293</v>
      </c>
      <c r="F1349" s="399" t="s">
        <v>2294</v>
      </c>
      <c r="G1349" s="399" t="s">
        <v>2221</v>
      </c>
      <c r="H1349" s="1235"/>
    </row>
    <row r="1350" spans="1:8" hidden="1">
      <c r="A1350" s="495" t="s">
        <v>2292</v>
      </c>
      <c r="B1350" s="399" t="s">
        <v>631</v>
      </c>
      <c r="C1350" s="399" t="s">
        <v>108</v>
      </c>
      <c r="D1350" s="399" t="s">
        <v>2628</v>
      </c>
      <c r="E1350" s="399" t="s">
        <v>2293</v>
      </c>
      <c r="F1350" s="399" t="s">
        <v>2294</v>
      </c>
      <c r="G1350" s="399" t="s">
        <v>2221</v>
      </c>
      <c r="H1350" s="1235"/>
    </row>
    <row r="1351" spans="1:8" hidden="1">
      <c r="A1351" s="495" t="s">
        <v>2292</v>
      </c>
      <c r="B1351" s="399" t="s">
        <v>631</v>
      </c>
      <c r="C1351" s="399" t="s">
        <v>108</v>
      </c>
      <c r="D1351" s="399" t="s">
        <v>2629</v>
      </c>
      <c r="E1351" s="399" t="s">
        <v>2293</v>
      </c>
      <c r="F1351" s="399" t="s">
        <v>2294</v>
      </c>
      <c r="G1351" s="399" t="s">
        <v>2221</v>
      </c>
      <c r="H1351" s="1235"/>
    </row>
    <row r="1352" spans="1:8" hidden="1">
      <c r="A1352" s="495" t="s">
        <v>2292</v>
      </c>
      <c r="B1352" s="399" t="s">
        <v>631</v>
      </c>
      <c r="C1352" s="399" t="s">
        <v>108</v>
      </c>
      <c r="D1352" s="399" t="s">
        <v>2630</v>
      </c>
      <c r="E1352" s="399" t="s">
        <v>2293</v>
      </c>
      <c r="F1352" s="399" t="s">
        <v>2294</v>
      </c>
      <c r="G1352" s="399" t="s">
        <v>2221</v>
      </c>
      <c r="H1352" s="1235"/>
    </row>
    <row r="1353" spans="1:8" hidden="1">
      <c r="A1353" s="495" t="s">
        <v>2292</v>
      </c>
      <c r="B1353" s="399" t="s">
        <v>631</v>
      </c>
      <c r="C1353" s="399" t="s">
        <v>108</v>
      </c>
      <c r="D1353" s="399" t="s">
        <v>2631</v>
      </c>
      <c r="E1353" s="399" t="s">
        <v>2293</v>
      </c>
      <c r="F1353" s="399" t="s">
        <v>2294</v>
      </c>
      <c r="G1353" s="399" t="s">
        <v>2221</v>
      </c>
      <c r="H1353" s="1235"/>
    </row>
    <row r="1354" spans="1:8" hidden="1">
      <c r="A1354" s="495" t="s">
        <v>2292</v>
      </c>
      <c r="B1354" s="399" t="s">
        <v>631</v>
      </c>
      <c r="C1354" s="399" t="s">
        <v>108</v>
      </c>
      <c r="D1354" s="399" t="s">
        <v>2632</v>
      </c>
      <c r="E1354" s="399" t="s">
        <v>2293</v>
      </c>
      <c r="F1354" s="399" t="s">
        <v>2294</v>
      </c>
      <c r="G1354" s="399" t="s">
        <v>2221</v>
      </c>
      <c r="H1354" s="1235"/>
    </row>
    <row r="1355" spans="1:8" hidden="1">
      <c r="A1355" s="495" t="s">
        <v>2292</v>
      </c>
      <c r="B1355" s="399" t="s">
        <v>631</v>
      </c>
      <c r="C1355" s="399" t="s">
        <v>108</v>
      </c>
      <c r="D1355" s="399" t="s">
        <v>2633</v>
      </c>
      <c r="E1355" s="399" t="s">
        <v>2293</v>
      </c>
      <c r="F1355" s="399" t="s">
        <v>2294</v>
      </c>
      <c r="G1355" s="399" t="s">
        <v>2221</v>
      </c>
      <c r="H1355" s="1235"/>
    </row>
    <row r="1356" spans="1:8" hidden="1">
      <c r="A1356" s="495" t="s">
        <v>2292</v>
      </c>
      <c r="B1356" s="399" t="s">
        <v>631</v>
      </c>
      <c r="C1356" s="399" t="s">
        <v>108</v>
      </c>
      <c r="D1356" s="399" t="s">
        <v>2634</v>
      </c>
      <c r="E1356" s="399" t="s">
        <v>2293</v>
      </c>
      <c r="F1356" s="399" t="s">
        <v>2294</v>
      </c>
      <c r="G1356" s="399" t="s">
        <v>2221</v>
      </c>
      <c r="H1356" s="1235"/>
    </row>
    <row r="1357" spans="1:8" hidden="1">
      <c r="A1357" s="495" t="s">
        <v>2292</v>
      </c>
      <c r="B1357" s="399" t="s">
        <v>631</v>
      </c>
      <c r="C1357" s="399" t="s">
        <v>108</v>
      </c>
      <c r="D1357" s="399" t="s">
        <v>2635</v>
      </c>
      <c r="E1357" s="399" t="s">
        <v>2293</v>
      </c>
      <c r="F1357" s="399" t="s">
        <v>2294</v>
      </c>
      <c r="G1357" s="399" t="s">
        <v>2221</v>
      </c>
      <c r="H1357" s="1235"/>
    </row>
    <row r="1358" spans="1:8" hidden="1">
      <c r="A1358" s="495" t="s">
        <v>2292</v>
      </c>
      <c r="B1358" s="399" t="s">
        <v>631</v>
      </c>
      <c r="C1358" s="399" t="s">
        <v>108</v>
      </c>
      <c r="D1358" s="399" t="s">
        <v>2636</v>
      </c>
      <c r="E1358" s="399" t="s">
        <v>2293</v>
      </c>
      <c r="F1358" s="399" t="s">
        <v>2294</v>
      </c>
      <c r="G1358" s="399" t="s">
        <v>2221</v>
      </c>
      <c r="H1358" s="1235"/>
    </row>
    <row r="1359" spans="1:8" hidden="1">
      <c r="A1359" s="495" t="s">
        <v>2292</v>
      </c>
      <c r="B1359" s="399" t="s">
        <v>631</v>
      </c>
      <c r="C1359" s="399" t="s">
        <v>108</v>
      </c>
      <c r="D1359" s="399" t="s">
        <v>2637</v>
      </c>
      <c r="E1359" s="399" t="s">
        <v>2293</v>
      </c>
      <c r="F1359" s="399" t="s">
        <v>2294</v>
      </c>
      <c r="G1359" s="399" t="s">
        <v>2221</v>
      </c>
      <c r="H1359" s="1235"/>
    </row>
    <row r="1360" spans="1:8" hidden="1">
      <c r="A1360" s="495" t="s">
        <v>2292</v>
      </c>
      <c r="B1360" s="399" t="s">
        <v>631</v>
      </c>
      <c r="C1360" s="399" t="s">
        <v>108</v>
      </c>
      <c r="D1360" s="399" t="s">
        <v>2638</v>
      </c>
      <c r="E1360" s="399" t="s">
        <v>2293</v>
      </c>
      <c r="F1360" s="399" t="s">
        <v>2294</v>
      </c>
      <c r="G1360" s="399" t="s">
        <v>2221</v>
      </c>
      <c r="H1360" s="1235"/>
    </row>
    <row r="1361" spans="1:8" hidden="1">
      <c r="A1361" s="495" t="s">
        <v>2292</v>
      </c>
      <c r="B1361" s="399" t="s">
        <v>631</v>
      </c>
      <c r="C1361" s="399" t="s">
        <v>108</v>
      </c>
      <c r="D1361" s="399" t="s">
        <v>2639</v>
      </c>
      <c r="E1361" s="399" t="s">
        <v>2293</v>
      </c>
      <c r="F1361" s="399" t="s">
        <v>2294</v>
      </c>
      <c r="G1361" s="399" t="s">
        <v>2221</v>
      </c>
      <c r="H1361" s="1235"/>
    </row>
    <row r="1362" spans="1:8" hidden="1">
      <c r="A1362" s="495" t="s">
        <v>2292</v>
      </c>
      <c r="B1362" s="399" t="s">
        <v>631</v>
      </c>
      <c r="C1362" s="399" t="s">
        <v>108</v>
      </c>
      <c r="D1362" s="399" t="s">
        <v>2640</v>
      </c>
      <c r="E1362" s="399" t="s">
        <v>2293</v>
      </c>
      <c r="F1362" s="399" t="s">
        <v>2294</v>
      </c>
      <c r="G1362" s="399" t="s">
        <v>2221</v>
      </c>
      <c r="H1362" s="1235"/>
    </row>
    <row r="1363" spans="1:8" hidden="1">
      <c r="A1363" s="497" t="s">
        <v>2292</v>
      </c>
      <c r="B1363" s="404" t="s">
        <v>631</v>
      </c>
      <c r="C1363" s="404" t="s">
        <v>108</v>
      </c>
      <c r="D1363" s="404" t="s">
        <v>2641</v>
      </c>
      <c r="E1363" s="404" t="s">
        <v>2293</v>
      </c>
      <c r="F1363" s="404" t="s">
        <v>2294</v>
      </c>
      <c r="G1363" s="404" t="s">
        <v>2221</v>
      </c>
      <c r="H1363" s="1236"/>
    </row>
    <row r="1364" spans="1:8" hidden="1">
      <c r="A1364" s="498" t="s">
        <v>2292</v>
      </c>
      <c r="B1364" s="406" t="s">
        <v>631</v>
      </c>
      <c r="C1364" s="406" t="s">
        <v>2642</v>
      </c>
      <c r="D1364" s="406">
        <v>20</v>
      </c>
      <c r="E1364" s="406">
        <v>1</v>
      </c>
      <c r="F1364" s="406" t="s">
        <v>2643</v>
      </c>
      <c r="G1364" s="406" t="s">
        <v>2221</v>
      </c>
      <c r="H1364" s="1234" t="s">
        <v>2644</v>
      </c>
    </row>
    <row r="1365" spans="1:8" hidden="1">
      <c r="A1365" s="495" t="s">
        <v>2292</v>
      </c>
      <c r="B1365" s="399" t="s">
        <v>631</v>
      </c>
      <c r="C1365" s="399" t="s">
        <v>2642</v>
      </c>
      <c r="D1365" s="399">
        <v>51</v>
      </c>
      <c r="E1365" s="399">
        <v>1</v>
      </c>
      <c r="F1365" s="399" t="s">
        <v>2643</v>
      </c>
      <c r="G1365" s="399" t="s">
        <v>2221</v>
      </c>
      <c r="H1365" s="1235"/>
    </row>
    <row r="1366" spans="1:8" hidden="1">
      <c r="A1366" s="495" t="s">
        <v>2292</v>
      </c>
      <c r="B1366" s="399" t="s">
        <v>631</v>
      </c>
      <c r="C1366" s="399" t="s">
        <v>2642</v>
      </c>
      <c r="D1366" s="399">
        <v>71</v>
      </c>
      <c r="E1366" s="399">
        <v>1</v>
      </c>
      <c r="F1366" s="399" t="s">
        <v>2643</v>
      </c>
      <c r="G1366" s="399" t="s">
        <v>2221</v>
      </c>
      <c r="H1366" s="1235"/>
    </row>
    <row r="1367" spans="1:8" hidden="1">
      <c r="A1367" s="495" t="s">
        <v>2292</v>
      </c>
      <c r="B1367" s="399" t="s">
        <v>631</v>
      </c>
      <c r="C1367" s="399" t="s">
        <v>2642</v>
      </c>
      <c r="D1367" s="399">
        <v>1000</v>
      </c>
      <c r="E1367" s="399">
        <v>1</v>
      </c>
      <c r="F1367" s="399" t="s">
        <v>2643</v>
      </c>
      <c r="G1367" s="399" t="s">
        <v>2221</v>
      </c>
      <c r="H1367" s="1235"/>
    </row>
    <row r="1368" spans="1:8" hidden="1">
      <c r="A1368" s="495" t="s">
        <v>2292</v>
      </c>
      <c r="B1368" s="399" t="s">
        <v>631</v>
      </c>
      <c r="C1368" s="399" t="s">
        <v>2642</v>
      </c>
      <c r="D1368" s="399">
        <v>1001</v>
      </c>
      <c r="E1368" s="399">
        <v>1</v>
      </c>
      <c r="F1368" s="399" t="s">
        <v>2643</v>
      </c>
      <c r="G1368" s="399" t="s">
        <v>2221</v>
      </c>
      <c r="H1368" s="1235"/>
    </row>
    <row r="1369" spans="1:8" hidden="1">
      <c r="A1369" s="495" t="s">
        <v>2292</v>
      </c>
      <c r="B1369" s="399" t="s">
        <v>631</v>
      </c>
      <c r="C1369" s="399" t="s">
        <v>2642</v>
      </c>
      <c r="D1369" s="399">
        <v>1003</v>
      </c>
      <c r="E1369" s="399">
        <v>1</v>
      </c>
      <c r="F1369" s="399" t="s">
        <v>2643</v>
      </c>
      <c r="G1369" s="399" t="s">
        <v>2221</v>
      </c>
      <c r="H1369" s="1235"/>
    </row>
    <row r="1370" spans="1:8" hidden="1">
      <c r="A1370" s="495" t="s">
        <v>2292</v>
      </c>
      <c r="B1370" s="399" t="s">
        <v>631</v>
      </c>
      <c r="C1370" s="399" t="s">
        <v>2642</v>
      </c>
      <c r="D1370" s="399">
        <v>2001</v>
      </c>
      <c r="E1370" s="399">
        <v>1</v>
      </c>
      <c r="F1370" s="399" t="s">
        <v>2643</v>
      </c>
      <c r="G1370" s="399" t="s">
        <v>2221</v>
      </c>
      <c r="H1370" s="1235"/>
    </row>
    <row r="1371" spans="1:8" hidden="1">
      <c r="A1371" s="495" t="s">
        <v>2292</v>
      </c>
      <c r="B1371" s="399" t="s">
        <v>631</v>
      </c>
      <c r="C1371" s="399" t="s">
        <v>2642</v>
      </c>
      <c r="D1371" s="399">
        <v>2002</v>
      </c>
      <c r="E1371" s="399">
        <v>1</v>
      </c>
      <c r="F1371" s="399" t="s">
        <v>2643</v>
      </c>
      <c r="G1371" s="399" t="s">
        <v>2221</v>
      </c>
      <c r="H1371" s="1235"/>
    </row>
    <row r="1372" spans="1:8" hidden="1">
      <c r="A1372" s="495" t="s">
        <v>2292</v>
      </c>
      <c r="B1372" s="399" t="s">
        <v>631</v>
      </c>
      <c r="C1372" s="399" t="s">
        <v>2642</v>
      </c>
      <c r="D1372" s="399">
        <v>2003</v>
      </c>
      <c r="E1372" s="399">
        <v>1</v>
      </c>
      <c r="F1372" s="399" t="s">
        <v>2643</v>
      </c>
      <c r="G1372" s="399" t="s">
        <v>2221</v>
      </c>
      <c r="H1372" s="1235"/>
    </row>
    <row r="1373" spans="1:8" hidden="1">
      <c r="A1373" s="495" t="s">
        <v>2292</v>
      </c>
      <c r="B1373" s="399" t="s">
        <v>631</v>
      </c>
      <c r="C1373" s="399" t="s">
        <v>2642</v>
      </c>
      <c r="D1373" s="399">
        <v>2004</v>
      </c>
      <c r="E1373" s="399">
        <v>1</v>
      </c>
      <c r="F1373" s="399" t="s">
        <v>2643</v>
      </c>
      <c r="G1373" s="399" t="s">
        <v>2221</v>
      </c>
      <c r="H1373" s="1235"/>
    </row>
    <row r="1374" spans="1:8" hidden="1">
      <c r="A1374" s="495" t="s">
        <v>2292</v>
      </c>
      <c r="B1374" s="399" t="s">
        <v>631</v>
      </c>
      <c r="C1374" s="399" t="s">
        <v>2642</v>
      </c>
      <c r="D1374" s="399">
        <v>2005</v>
      </c>
      <c r="E1374" s="399">
        <v>1</v>
      </c>
      <c r="F1374" s="399" t="s">
        <v>2643</v>
      </c>
      <c r="G1374" s="399" t="s">
        <v>2221</v>
      </c>
      <c r="H1374" s="1235"/>
    </row>
    <row r="1375" spans="1:8" hidden="1">
      <c r="A1375" s="495" t="s">
        <v>2292</v>
      </c>
      <c r="B1375" s="399" t="s">
        <v>631</v>
      </c>
      <c r="C1375" s="399" t="s">
        <v>2642</v>
      </c>
      <c r="D1375" s="399">
        <v>2006</v>
      </c>
      <c r="E1375" s="399">
        <v>1</v>
      </c>
      <c r="F1375" s="399" t="s">
        <v>2643</v>
      </c>
      <c r="G1375" s="399" t="s">
        <v>2221</v>
      </c>
      <c r="H1375" s="1235"/>
    </row>
    <row r="1376" spans="1:8" hidden="1">
      <c r="A1376" s="495" t="s">
        <v>2292</v>
      </c>
      <c r="B1376" s="399" t="s">
        <v>631</v>
      </c>
      <c r="C1376" s="399" t="s">
        <v>2642</v>
      </c>
      <c r="D1376" s="399">
        <v>2007</v>
      </c>
      <c r="E1376" s="399">
        <v>1</v>
      </c>
      <c r="F1376" s="399" t="s">
        <v>2643</v>
      </c>
      <c r="G1376" s="399" t="s">
        <v>2221</v>
      </c>
      <c r="H1376" s="1235"/>
    </row>
    <row r="1377" spans="1:8" hidden="1">
      <c r="A1377" s="495" t="s">
        <v>2292</v>
      </c>
      <c r="B1377" s="399" t="s">
        <v>631</v>
      </c>
      <c r="C1377" s="399" t="s">
        <v>2642</v>
      </c>
      <c r="D1377" s="399">
        <v>2008</v>
      </c>
      <c r="E1377" s="399">
        <v>1</v>
      </c>
      <c r="F1377" s="399" t="s">
        <v>2643</v>
      </c>
      <c r="G1377" s="399" t="s">
        <v>2221</v>
      </c>
      <c r="H1377" s="1235"/>
    </row>
    <row r="1378" spans="1:8" hidden="1">
      <c r="A1378" s="495" t="s">
        <v>2292</v>
      </c>
      <c r="B1378" s="399" t="s">
        <v>631</v>
      </c>
      <c r="C1378" s="399" t="s">
        <v>2642</v>
      </c>
      <c r="D1378" s="399">
        <v>2009</v>
      </c>
      <c r="E1378" s="399">
        <v>1</v>
      </c>
      <c r="F1378" s="399" t="s">
        <v>2643</v>
      </c>
      <c r="G1378" s="399" t="s">
        <v>2221</v>
      </c>
      <c r="H1378" s="1235"/>
    </row>
    <row r="1379" spans="1:8" hidden="1">
      <c r="A1379" s="495" t="s">
        <v>2292</v>
      </c>
      <c r="B1379" s="399" t="s">
        <v>631</v>
      </c>
      <c r="C1379" s="399" t="s">
        <v>2642</v>
      </c>
      <c r="D1379" s="399">
        <v>2010</v>
      </c>
      <c r="E1379" s="399">
        <v>1</v>
      </c>
      <c r="F1379" s="399" t="s">
        <v>2643</v>
      </c>
      <c r="G1379" s="399" t="s">
        <v>2221</v>
      </c>
      <c r="H1379" s="1235"/>
    </row>
    <row r="1380" spans="1:8" hidden="1">
      <c r="A1380" s="495" t="s">
        <v>2292</v>
      </c>
      <c r="B1380" s="399" t="s">
        <v>631</v>
      </c>
      <c r="C1380" s="399" t="s">
        <v>2642</v>
      </c>
      <c r="D1380" s="399">
        <v>2011</v>
      </c>
      <c r="E1380" s="399">
        <v>1</v>
      </c>
      <c r="F1380" s="399" t="s">
        <v>2643</v>
      </c>
      <c r="G1380" s="399" t="s">
        <v>2221</v>
      </c>
      <c r="H1380" s="1235"/>
    </row>
    <row r="1381" spans="1:8" hidden="1">
      <c r="A1381" s="495" t="s">
        <v>2292</v>
      </c>
      <c r="B1381" s="399" t="s">
        <v>631</v>
      </c>
      <c r="C1381" s="399" t="s">
        <v>2642</v>
      </c>
      <c r="D1381" s="399">
        <v>2012</v>
      </c>
      <c r="E1381" s="399">
        <v>1</v>
      </c>
      <c r="F1381" s="399" t="s">
        <v>2643</v>
      </c>
      <c r="G1381" s="399" t="s">
        <v>2221</v>
      </c>
      <c r="H1381" s="1235"/>
    </row>
    <row r="1382" spans="1:8" hidden="1">
      <c r="A1382" s="495" t="s">
        <v>2292</v>
      </c>
      <c r="B1382" s="399" t="s">
        <v>631</v>
      </c>
      <c r="C1382" s="399" t="s">
        <v>2642</v>
      </c>
      <c r="D1382" s="399">
        <v>2013</v>
      </c>
      <c r="E1382" s="399">
        <v>1</v>
      </c>
      <c r="F1382" s="399" t="s">
        <v>2643</v>
      </c>
      <c r="G1382" s="399" t="s">
        <v>2221</v>
      </c>
      <c r="H1382" s="1235"/>
    </row>
    <row r="1383" spans="1:8" hidden="1">
      <c r="A1383" s="495" t="s">
        <v>2292</v>
      </c>
      <c r="B1383" s="399" t="s">
        <v>631</v>
      </c>
      <c r="C1383" s="399" t="s">
        <v>2642</v>
      </c>
      <c r="D1383" s="399">
        <v>2014</v>
      </c>
      <c r="E1383" s="399">
        <v>1</v>
      </c>
      <c r="F1383" s="399" t="s">
        <v>2643</v>
      </c>
      <c r="G1383" s="399" t="s">
        <v>2221</v>
      </c>
      <c r="H1383" s="1235"/>
    </row>
    <row r="1384" spans="1:8" hidden="1">
      <c r="A1384" s="495" t="s">
        <v>2292</v>
      </c>
      <c r="B1384" s="399" t="s">
        <v>631</v>
      </c>
      <c r="C1384" s="399" t="s">
        <v>2642</v>
      </c>
      <c r="D1384" s="399">
        <v>2015</v>
      </c>
      <c r="E1384" s="399">
        <v>1</v>
      </c>
      <c r="F1384" s="399" t="s">
        <v>2643</v>
      </c>
      <c r="G1384" s="399" t="s">
        <v>2221</v>
      </c>
      <c r="H1384" s="1235"/>
    </row>
    <row r="1385" spans="1:8" hidden="1">
      <c r="A1385" s="495" t="s">
        <v>2292</v>
      </c>
      <c r="B1385" s="399" t="s">
        <v>631</v>
      </c>
      <c r="C1385" s="399" t="s">
        <v>2642</v>
      </c>
      <c r="D1385" s="399">
        <v>2016</v>
      </c>
      <c r="E1385" s="399">
        <v>1</v>
      </c>
      <c r="F1385" s="399" t="s">
        <v>2643</v>
      </c>
      <c r="G1385" s="399" t="s">
        <v>2221</v>
      </c>
      <c r="H1385" s="1235"/>
    </row>
    <row r="1386" spans="1:8" hidden="1">
      <c r="A1386" s="495" t="s">
        <v>2292</v>
      </c>
      <c r="B1386" s="399" t="s">
        <v>631</v>
      </c>
      <c r="C1386" s="399" t="s">
        <v>2642</v>
      </c>
      <c r="D1386" s="399">
        <v>2017</v>
      </c>
      <c r="E1386" s="399">
        <v>1</v>
      </c>
      <c r="F1386" s="399" t="s">
        <v>2643</v>
      </c>
      <c r="G1386" s="399" t="s">
        <v>2221</v>
      </c>
      <c r="H1386" s="1235"/>
    </row>
    <row r="1387" spans="1:8" hidden="1">
      <c r="A1387" s="495" t="s">
        <v>2292</v>
      </c>
      <c r="B1387" s="399" t="s">
        <v>631</v>
      </c>
      <c r="C1387" s="399" t="s">
        <v>2642</v>
      </c>
      <c r="D1387" s="399">
        <v>2018</v>
      </c>
      <c r="E1387" s="399">
        <v>1</v>
      </c>
      <c r="F1387" s="399" t="s">
        <v>2643</v>
      </c>
      <c r="G1387" s="399" t="s">
        <v>2221</v>
      </c>
      <c r="H1387" s="1235"/>
    </row>
    <row r="1388" spans="1:8" hidden="1">
      <c r="A1388" s="495" t="s">
        <v>2292</v>
      </c>
      <c r="B1388" s="399" t="s">
        <v>631</v>
      </c>
      <c r="C1388" s="399" t="s">
        <v>2642</v>
      </c>
      <c r="D1388" s="399">
        <v>2019</v>
      </c>
      <c r="E1388" s="399">
        <v>1</v>
      </c>
      <c r="F1388" s="399" t="s">
        <v>2643</v>
      </c>
      <c r="G1388" s="399" t="s">
        <v>2221</v>
      </c>
      <c r="H1388" s="1235"/>
    </row>
    <row r="1389" spans="1:8" hidden="1">
      <c r="A1389" s="496" t="s">
        <v>2292</v>
      </c>
      <c r="B1389" s="401" t="s">
        <v>631</v>
      </c>
      <c r="C1389" s="401" t="s">
        <v>2642</v>
      </c>
      <c r="D1389" s="401">
        <v>2020</v>
      </c>
      <c r="E1389" s="401">
        <v>1</v>
      </c>
      <c r="F1389" s="401" t="s">
        <v>2643</v>
      </c>
      <c r="G1389" s="401" t="s">
        <v>2221</v>
      </c>
      <c r="H1389" s="1237"/>
    </row>
    <row r="1390" spans="1:8" hidden="1">
      <c r="A1390" s="495" t="s">
        <v>2292</v>
      </c>
      <c r="B1390" s="399" t="s">
        <v>652</v>
      </c>
      <c r="C1390" s="399" t="s">
        <v>85</v>
      </c>
      <c r="D1390" s="399" t="s">
        <v>2285</v>
      </c>
      <c r="E1390" s="399" t="s">
        <v>2645</v>
      </c>
      <c r="F1390" s="399" t="s">
        <v>2645</v>
      </c>
      <c r="G1390" s="399" t="s">
        <v>2221</v>
      </c>
      <c r="H1390" s="1235" t="s">
        <v>2646</v>
      </c>
    </row>
    <row r="1391" spans="1:8" hidden="1">
      <c r="A1391" s="495" t="s">
        <v>2292</v>
      </c>
      <c r="B1391" s="399" t="s">
        <v>652</v>
      </c>
      <c r="C1391" s="399" t="s">
        <v>85</v>
      </c>
      <c r="D1391" s="399" t="s">
        <v>2647</v>
      </c>
      <c r="E1391" s="399" t="s">
        <v>2648</v>
      </c>
      <c r="F1391" s="399" t="s">
        <v>2648</v>
      </c>
      <c r="G1391" s="399" t="s">
        <v>2221</v>
      </c>
      <c r="H1391" s="1235"/>
    </row>
    <row r="1392" spans="1:8" hidden="1">
      <c r="A1392" s="495" t="s">
        <v>2292</v>
      </c>
      <c r="B1392" s="399" t="s">
        <v>652</v>
      </c>
      <c r="C1392" s="399" t="s">
        <v>85</v>
      </c>
      <c r="D1392" s="400" t="s">
        <v>2649</v>
      </c>
      <c r="E1392" s="400" t="s">
        <v>2650</v>
      </c>
      <c r="F1392" s="400" t="s">
        <v>2650</v>
      </c>
      <c r="G1392" s="400" t="s">
        <v>2651</v>
      </c>
      <c r="H1392" s="1235"/>
    </row>
    <row r="1393" spans="1:8" hidden="1">
      <c r="A1393" s="497" t="s">
        <v>2292</v>
      </c>
      <c r="B1393" s="404" t="s">
        <v>652</v>
      </c>
      <c r="C1393" s="404" t="s">
        <v>85</v>
      </c>
      <c r="D1393" s="405" t="s">
        <v>2288</v>
      </c>
      <c r="E1393" s="405" t="s">
        <v>2652</v>
      </c>
      <c r="F1393" s="405" t="s">
        <v>2652</v>
      </c>
      <c r="G1393" s="405" t="s">
        <v>2653</v>
      </c>
      <c r="H1393" s="1236"/>
    </row>
    <row r="1394" spans="1:8" hidden="1">
      <c r="A1394" s="498" t="s">
        <v>2654</v>
      </c>
      <c r="B1394" s="407" t="s">
        <v>684</v>
      </c>
      <c r="C1394" s="407" t="s">
        <v>97</v>
      </c>
      <c r="D1394" s="407">
        <v>0</v>
      </c>
      <c r="E1394" s="407">
        <v>15</v>
      </c>
      <c r="F1394" s="407" t="s">
        <v>2655</v>
      </c>
      <c r="G1394" s="407" t="s">
        <v>2221</v>
      </c>
      <c r="H1394" s="1240" t="s">
        <v>2656</v>
      </c>
    </row>
    <row r="1395" spans="1:8" hidden="1">
      <c r="A1395" s="495" t="s">
        <v>2654</v>
      </c>
      <c r="B1395" s="400" t="s">
        <v>684</v>
      </c>
      <c r="C1395" s="400" t="s">
        <v>97</v>
      </c>
      <c r="D1395" s="400">
        <v>1</v>
      </c>
      <c r="E1395" s="400">
        <v>1</v>
      </c>
      <c r="F1395" s="400" t="s">
        <v>2300</v>
      </c>
      <c r="G1395" s="400" t="s">
        <v>2221</v>
      </c>
      <c r="H1395" s="1238"/>
    </row>
    <row r="1396" spans="1:8" hidden="1">
      <c r="A1396" s="495" t="s">
        <v>2654</v>
      </c>
      <c r="B1396" s="400" t="s">
        <v>684</v>
      </c>
      <c r="C1396" s="400" t="s">
        <v>97</v>
      </c>
      <c r="D1396" s="400">
        <v>4</v>
      </c>
      <c r="E1396" s="400">
        <v>4</v>
      </c>
      <c r="F1396" s="400" t="s">
        <v>2282</v>
      </c>
      <c r="G1396" s="400" t="s">
        <v>2221</v>
      </c>
      <c r="H1396" s="1238"/>
    </row>
    <row r="1397" spans="1:8" hidden="1">
      <c r="A1397" s="495" t="s">
        <v>2654</v>
      </c>
      <c r="B1397" s="400" t="s">
        <v>684</v>
      </c>
      <c r="C1397" s="400" t="s">
        <v>97</v>
      </c>
      <c r="D1397" s="400">
        <v>8</v>
      </c>
      <c r="E1397" s="400">
        <v>8</v>
      </c>
      <c r="F1397" s="400" t="s">
        <v>2297</v>
      </c>
      <c r="G1397" s="400" t="s">
        <v>2221</v>
      </c>
      <c r="H1397" s="1238"/>
    </row>
    <row r="1398" spans="1:8" hidden="1">
      <c r="A1398" s="495" t="s">
        <v>2654</v>
      </c>
      <c r="B1398" s="400" t="s">
        <v>684</v>
      </c>
      <c r="C1398" s="400" t="s">
        <v>97</v>
      </c>
      <c r="D1398" s="400">
        <v>15</v>
      </c>
      <c r="E1398" s="400">
        <v>15</v>
      </c>
      <c r="F1398" s="400" t="s">
        <v>2655</v>
      </c>
      <c r="G1398" s="400" t="s">
        <v>2221</v>
      </c>
      <c r="H1398" s="1238"/>
    </row>
    <row r="1399" spans="1:8" hidden="1">
      <c r="A1399" s="495" t="s">
        <v>2654</v>
      </c>
      <c r="B1399" s="400" t="s">
        <v>684</v>
      </c>
      <c r="C1399" s="400" t="s">
        <v>97</v>
      </c>
      <c r="D1399" s="400">
        <v>18</v>
      </c>
      <c r="E1399" s="400">
        <v>18</v>
      </c>
      <c r="F1399" s="400" t="s">
        <v>2298</v>
      </c>
      <c r="G1399" s="400" t="s">
        <v>2221</v>
      </c>
      <c r="H1399" s="1238"/>
    </row>
    <row r="1400" spans="1:8" hidden="1">
      <c r="A1400" s="495" t="s">
        <v>2654</v>
      </c>
      <c r="B1400" s="400" t="s">
        <v>684</v>
      </c>
      <c r="C1400" s="400" t="s">
        <v>97</v>
      </c>
      <c r="D1400" s="400">
        <v>19</v>
      </c>
      <c r="E1400" s="400">
        <v>19</v>
      </c>
      <c r="F1400" s="400" t="s">
        <v>2299</v>
      </c>
      <c r="G1400" s="400" t="s">
        <v>2221</v>
      </c>
      <c r="H1400" s="1238"/>
    </row>
    <row r="1401" spans="1:8" hidden="1">
      <c r="A1401" s="495" t="s">
        <v>2654</v>
      </c>
      <c r="B1401" s="400" t="s">
        <v>684</v>
      </c>
      <c r="C1401" s="400" t="s">
        <v>97</v>
      </c>
      <c r="D1401" s="400">
        <v>22</v>
      </c>
      <c r="E1401" s="400">
        <v>22</v>
      </c>
      <c r="F1401" s="400" t="s">
        <v>2657</v>
      </c>
      <c r="G1401" s="400" t="s">
        <v>2221</v>
      </c>
      <c r="H1401" s="1238"/>
    </row>
    <row r="1402" spans="1:8" hidden="1">
      <c r="A1402" s="495" t="s">
        <v>2654</v>
      </c>
      <c r="B1402" s="400" t="s">
        <v>684</v>
      </c>
      <c r="C1402" s="400" t="s">
        <v>97</v>
      </c>
      <c r="D1402" s="400">
        <v>101</v>
      </c>
      <c r="E1402" s="400">
        <v>15</v>
      </c>
      <c r="F1402" s="400" t="s">
        <v>2655</v>
      </c>
      <c r="G1402" s="400" t="s">
        <v>2221</v>
      </c>
      <c r="H1402" s="1238"/>
    </row>
    <row r="1403" spans="1:8" hidden="1">
      <c r="A1403" s="495" t="s">
        <v>2654</v>
      </c>
      <c r="B1403" s="400" t="s">
        <v>684</v>
      </c>
      <c r="C1403" s="400" t="s">
        <v>97</v>
      </c>
      <c r="D1403" s="400">
        <v>115</v>
      </c>
      <c r="E1403" s="400">
        <v>15</v>
      </c>
      <c r="F1403" s="400" t="s">
        <v>2655</v>
      </c>
      <c r="G1403" s="400" t="s">
        <v>2221</v>
      </c>
      <c r="H1403" s="1238"/>
    </row>
    <row r="1404" spans="1:8" hidden="1">
      <c r="A1404" s="495" t="s">
        <v>2654</v>
      </c>
      <c r="B1404" s="400" t="s">
        <v>684</v>
      </c>
      <c r="C1404" s="400" t="s">
        <v>97</v>
      </c>
      <c r="D1404" s="400">
        <v>201</v>
      </c>
      <c r="E1404" s="400">
        <v>8</v>
      </c>
      <c r="F1404" s="400" t="s">
        <v>2297</v>
      </c>
      <c r="G1404" s="400" t="s">
        <v>2221</v>
      </c>
      <c r="H1404" s="1238"/>
    </row>
    <row r="1405" spans="1:8" hidden="1">
      <c r="A1405" s="495" t="s">
        <v>2654</v>
      </c>
      <c r="B1405" s="400" t="s">
        <v>684</v>
      </c>
      <c r="C1405" s="400" t="s">
        <v>97</v>
      </c>
      <c r="D1405" s="400">
        <v>202</v>
      </c>
      <c r="E1405" s="400">
        <v>15</v>
      </c>
      <c r="F1405" s="400" t="s">
        <v>2655</v>
      </c>
      <c r="G1405" s="400" t="s">
        <v>2221</v>
      </c>
      <c r="H1405" s="1238"/>
    </row>
    <row r="1406" spans="1:8" hidden="1">
      <c r="A1406" s="495" t="s">
        <v>2654</v>
      </c>
      <c r="B1406" s="400" t="s">
        <v>684</v>
      </c>
      <c r="C1406" s="400" t="s">
        <v>97</v>
      </c>
      <c r="D1406" s="400">
        <v>203</v>
      </c>
      <c r="E1406" s="400">
        <v>18</v>
      </c>
      <c r="F1406" s="400" t="s">
        <v>2298</v>
      </c>
      <c r="G1406" s="400" t="s">
        <v>2221</v>
      </c>
      <c r="H1406" s="1238"/>
    </row>
    <row r="1407" spans="1:8" hidden="1">
      <c r="A1407" s="495" t="s">
        <v>2654</v>
      </c>
      <c r="B1407" s="400" t="s">
        <v>684</v>
      </c>
      <c r="C1407" s="400" t="s">
        <v>97</v>
      </c>
      <c r="D1407" s="400">
        <v>206</v>
      </c>
      <c r="E1407" s="400">
        <v>19</v>
      </c>
      <c r="F1407" s="400" t="s">
        <v>2299</v>
      </c>
      <c r="G1407" s="400" t="s">
        <v>2221</v>
      </c>
      <c r="H1407" s="1238"/>
    </row>
    <row r="1408" spans="1:8" hidden="1">
      <c r="A1408" s="495" t="s">
        <v>2654</v>
      </c>
      <c r="B1408" s="400" t="s">
        <v>684</v>
      </c>
      <c r="C1408" s="400" t="s">
        <v>97</v>
      </c>
      <c r="D1408" s="400">
        <v>212</v>
      </c>
      <c r="E1408" s="400">
        <v>1</v>
      </c>
      <c r="F1408" s="400" t="s">
        <v>2300</v>
      </c>
      <c r="G1408" s="400" t="s">
        <v>2221</v>
      </c>
      <c r="H1408" s="1238"/>
    </row>
    <row r="1409" spans="1:8" hidden="1">
      <c r="A1409" s="495" t="s">
        <v>2654</v>
      </c>
      <c r="B1409" s="400" t="s">
        <v>684</v>
      </c>
      <c r="C1409" s="400" t="s">
        <v>97</v>
      </c>
      <c r="D1409" s="400">
        <v>218</v>
      </c>
      <c r="E1409" s="400">
        <v>15</v>
      </c>
      <c r="F1409" s="400" t="s">
        <v>2655</v>
      </c>
      <c r="G1409" s="400" t="s">
        <v>2221</v>
      </c>
      <c r="H1409" s="1238"/>
    </row>
    <row r="1410" spans="1:8" hidden="1">
      <c r="A1410" s="495" t="s">
        <v>2654</v>
      </c>
      <c r="B1410" s="400" t="s">
        <v>684</v>
      </c>
      <c r="C1410" s="400" t="s">
        <v>97</v>
      </c>
      <c r="D1410" s="400">
        <v>223</v>
      </c>
      <c r="E1410" s="400">
        <v>15</v>
      </c>
      <c r="F1410" s="400" t="s">
        <v>2655</v>
      </c>
      <c r="G1410" s="400" t="s">
        <v>2221</v>
      </c>
      <c r="H1410" s="1238"/>
    </row>
    <row r="1411" spans="1:8" hidden="1">
      <c r="A1411" s="495" t="s">
        <v>2654</v>
      </c>
      <c r="B1411" s="400" t="s">
        <v>684</v>
      </c>
      <c r="C1411" s="400" t="s">
        <v>97</v>
      </c>
      <c r="D1411" s="400">
        <v>224</v>
      </c>
      <c r="E1411" s="400">
        <v>15</v>
      </c>
      <c r="F1411" s="400" t="s">
        <v>2655</v>
      </c>
      <c r="G1411" s="400" t="s">
        <v>2221</v>
      </c>
      <c r="H1411" s="1238"/>
    </row>
    <row r="1412" spans="1:8" hidden="1">
      <c r="A1412" s="495" t="s">
        <v>2654</v>
      </c>
      <c r="B1412" s="400" t="s">
        <v>684</v>
      </c>
      <c r="C1412" s="400" t="s">
        <v>97</v>
      </c>
      <c r="D1412" s="400">
        <v>229</v>
      </c>
      <c r="E1412" s="400">
        <v>15</v>
      </c>
      <c r="F1412" s="400" t="s">
        <v>2655</v>
      </c>
      <c r="G1412" s="400" t="s">
        <v>2221</v>
      </c>
      <c r="H1412" s="1238"/>
    </row>
    <row r="1413" spans="1:8" hidden="1">
      <c r="A1413" s="495" t="s">
        <v>2654</v>
      </c>
      <c r="B1413" s="400" t="s">
        <v>684</v>
      </c>
      <c r="C1413" s="400" t="s">
        <v>97</v>
      </c>
      <c r="D1413" s="400">
        <v>230</v>
      </c>
      <c r="E1413" s="400">
        <v>15</v>
      </c>
      <c r="F1413" s="400" t="s">
        <v>2655</v>
      </c>
      <c r="G1413" s="400" t="s">
        <v>2221</v>
      </c>
      <c r="H1413" s="1238"/>
    </row>
    <row r="1414" spans="1:8" hidden="1">
      <c r="A1414" s="495" t="s">
        <v>2654</v>
      </c>
      <c r="B1414" s="400" t="s">
        <v>684</v>
      </c>
      <c r="C1414" s="400" t="s">
        <v>97</v>
      </c>
      <c r="D1414" s="400">
        <v>261</v>
      </c>
      <c r="E1414" s="400">
        <v>15</v>
      </c>
      <c r="F1414" s="400" t="s">
        <v>2655</v>
      </c>
      <c r="G1414" s="400" t="s">
        <v>2221</v>
      </c>
      <c r="H1414" s="1238"/>
    </row>
    <row r="1415" spans="1:8" hidden="1">
      <c r="A1415" s="495" t="s">
        <v>2654</v>
      </c>
      <c r="B1415" s="400" t="s">
        <v>684</v>
      </c>
      <c r="C1415" s="400" t="s">
        <v>97</v>
      </c>
      <c r="D1415" s="400">
        <v>266</v>
      </c>
      <c r="E1415" s="400">
        <v>15</v>
      </c>
      <c r="F1415" s="400" t="s">
        <v>2655</v>
      </c>
      <c r="G1415" s="400" t="s">
        <v>2221</v>
      </c>
      <c r="H1415" s="1238"/>
    </row>
    <row r="1416" spans="1:8" hidden="1">
      <c r="A1416" s="495" t="s">
        <v>2654</v>
      </c>
      <c r="B1416" s="400" t="s">
        <v>684</v>
      </c>
      <c r="C1416" s="400" t="s">
        <v>97</v>
      </c>
      <c r="D1416" s="400">
        <v>278</v>
      </c>
      <c r="E1416" s="400">
        <v>15</v>
      </c>
      <c r="F1416" s="400" t="s">
        <v>2655</v>
      </c>
      <c r="G1416" s="400" t="s">
        <v>2221</v>
      </c>
      <c r="H1416" s="1238"/>
    </row>
    <row r="1417" spans="1:8" hidden="1">
      <c r="A1417" s="495" t="s">
        <v>2654</v>
      </c>
      <c r="B1417" s="400" t="s">
        <v>684</v>
      </c>
      <c r="C1417" s="400" t="s">
        <v>97</v>
      </c>
      <c r="D1417" s="400">
        <v>301</v>
      </c>
      <c r="E1417" s="400">
        <v>1</v>
      </c>
      <c r="F1417" s="400" t="s">
        <v>2300</v>
      </c>
      <c r="G1417" s="400" t="s">
        <v>2221</v>
      </c>
      <c r="H1417" s="1238"/>
    </row>
    <row r="1418" spans="1:8" hidden="1">
      <c r="A1418" s="495" t="s">
        <v>2654</v>
      </c>
      <c r="B1418" s="400" t="s">
        <v>684</v>
      </c>
      <c r="C1418" s="400" t="s">
        <v>97</v>
      </c>
      <c r="D1418" s="400">
        <v>302</v>
      </c>
      <c r="E1418" s="400">
        <v>15</v>
      </c>
      <c r="F1418" s="400" t="s">
        <v>2655</v>
      </c>
      <c r="G1418" s="400" t="s">
        <v>2221</v>
      </c>
      <c r="H1418" s="1238"/>
    </row>
    <row r="1419" spans="1:8" hidden="1">
      <c r="A1419" s="495" t="s">
        <v>2654</v>
      </c>
      <c r="B1419" s="400" t="s">
        <v>684</v>
      </c>
      <c r="C1419" s="400" t="s">
        <v>97</v>
      </c>
      <c r="D1419" s="400">
        <v>303</v>
      </c>
      <c r="E1419" s="400">
        <v>15</v>
      </c>
      <c r="F1419" s="400" t="s">
        <v>2655</v>
      </c>
      <c r="G1419" s="400" t="s">
        <v>2221</v>
      </c>
      <c r="H1419" s="1238"/>
    </row>
    <row r="1420" spans="1:8" hidden="1">
      <c r="A1420" s="495" t="s">
        <v>2654</v>
      </c>
      <c r="B1420" s="400" t="s">
        <v>684</v>
      </c>
      <c r="C1420" s="400" t="s">
        <v>97</v>
      </c>
      <c r="D1420" s="400">
        <v>304</v>
      </c>
      <c r="E1420" s="400">
        <v>15</v>
      </c>
      <c r="F1420" s="400" t="s">
        <v>2655</v>
      </c>
      <c r="G1420" s="400" t="s">
        <v>2221</v>
      </c>
      <c r="H1420" s="1238"/>
    </row>
    <row r="1421" spans="1:8" hidden="1">
      <c r="A1421" s="495" t="s">
        <v>2654</v>
      </c>
      <c r="B1421" s="400" t="s">
        <v>684</v>
      </c>
      <c r="C1421" s="400" t="s">
        <v>97</v>
      </c>
      <c r="D1421" s="400">
        <v>305</v>
      </c>
      <c r="E1421" s="400">
        <v>15</v>
      </c>
      <c r="F1421" s="400" t="s">
        <v>2655</v>
      </c>
      <c r="G1421" s="400" t="s">
        <v>2221</v>
      </c>
      <c r="H1421" s="1238"/>
    </row>
    <row r="1422" spans="1:8" hidden="1">
      <c r="A1422" s="495" t="s">
        <v>2654</v>
      </c>
      <c r="B1422" s="400" t="s">
        <v>684</v>
      </c>
      <c r="C1422" s="400" t="s">
        <v>97</v>
      </c>
      <c r="D1422" s="400">
        <v>306</v>
      </c>
      <c r="E1422" s="400">
        <v>15</v>
      </c>
      <c r="F1422" s="400" t="s">
        <v>2655</v>
      </c>
      <c r="G1422" s="400" t="s">
        <v>2221</v>
      </c>
      <c r="H1422" s="1238"/>
    </row>
    <row r="1423" spans="1:8" hidden="1">
      <c r="A1423" s="495" t="s">
        <v>2654</v>
      </c>
      <c r="B1423" s="400" t="s">
        <v>684</v>
      </c>
      <c r="C1423" s="400" t="s">
        <v>97</v>
      </c>
      <c r="D1423" s="400">
        <v>307</v>
      </c>
      <c r="E1423" s="400">
        <v>15</v>
      </c>
      <c r="F1423" s="400" t="s">
        <v>2655</v>
      </c>
      <c r="G1423" s="400" t="s">
        <v>2221</v>
      </c>
      <c r="H1423" s="1238"/>
    </row>
    <row r="1424" spans="1:8" hidden="1">
      <c r="A1424" s="495" t="s">
        <v>2654</v>
      </c>
      <c r="B1424" s="400" t="s">
        <v>684</v>
      </c>
      <c r="C1424" s="400" t="s">
        <v>97</v>
      </c>
      <c r="D1424" s="400">
        <v>1001</v>
      </c>
      <c r="E1424" s="400">
        <v>15</v>
      </c>
      <c r="F1424" s="400" t="s">
        <v>2655</v>
      </c>
      <c r="G1424" s="400" t="s">
        <v>2221</v>
      </c>
      <c r="H1424" s="1238"/>
    </row>
    <row r="1425" spans="1:8" hidden="1">
      <c r="A1425" s="495" t="s">
        <v>2654</v>
      </c>
      <c r="B1425" s="400" t="s">
        <v>684</v>
      </c>
      <c r="C1425" s="400" t="s">
        <v>97</v>
      </c>
      <c r="D1425" s="400">
        <v>1002</v>
      </c>
      <c r="E1425" s="400">
        <v>15</v>
      </c>
      <c r="F1425" s="400" t="s">
        <v>2655</v>
      </c>
      <c r="G1425" s="400" t="s">
        <v>2221</v>
      </c>
      <c r="H1425" s="1238"/>
    </row>
    <row r="1426" spans="1:8" hidden="1">
      <c r="A1426" s="495" t="s">
        <v>2654</v>
      </c>
      <c r="B1426" s="400" t="s">
        <v>684</v>
      </c>
      <c r="C1426" s="400" t="s">
        <v>97</v>
      </c>
      <c r="D1426" s="400">
        <v>1003</v>
      </c>
      <c r="E1426" s="400">
        <v>15</v>
      </c>
      <c r="F1426" s="400" t="s">
        <v>2655</v>
      </c>
      <c r="G1426" s="400" t="s">
        <v>2221</v>
      </c>
      <c r="H1426" s="1238"/>
    </row>
    <row r="1427" spans="1:8" hidden="1">
      <c r="A1427" s="495" t="s">
        <v>2654</v>
      </c>
      <c r="B1427" s="400" t="s">
        <v>684</v>
      </c>
      <c r="C1427" s="400" t="s">
        <v>97</v>
      </c>
      <c r="D1427" s="400">
        <v>1004</v>
      </c>
      <c r="E1427" s="400">
        <v>15</v>
      </c>
      <c r="F1427" s="400" t="s">
        <v>2655</v>
      </c>
      <c r="G1427" s="400" t="s">
        <v>2221</v>
      </c>
      <c r="H1427" s="1238"/>
    </row>
    <row r="1428" spans="1:8" hidden="1">
      <c r="A1428" s="495" t="s">
        <v>2654</v>
      </c>
      <c r="B1428" s="400" t="s">
        <v>684</v>
      </c>
      <c r="C1428" s="400" t="s">
        <v>97</v>
      </c>
      <c r="D1428" s="400">
        <v>1005</v>
      </c>
      <c r="E1428" s="400">
        <v>15</v>
      </c>
      <c r="F1428" s="400" t="s">
        <v>2655</v>
      </c>
      <c r="G1428" s="400" t="s">
        <v>2221</v>
      </c>
      <c r="H1428" s="1238"/>
    </row>
    <row r="1429" spans="1:8" hidden="1">
      <c r="A1429" s="495" t="s">
        <v>2654</v>
      </c>
      <c r="B1429" s="400" t="s">
        <v>684</v>
      </c>
      <c r="C1429" s="400" t="s">
        <v>97</v>
      </c>
      <c r="D1429" s="400">
        <v>1006</v>
      </c>
      <c r="E1429" s="400">
        <v>15</v>
      </c>
      <c r="F1429" s="400" t="s">
        <v>2655</v>
      </c>
      <c r="G1429" s="400" t="s">
        <v>2221</v>
      </c>
      <c r="H1429" s="1238"/>
    </row>
    <row r="1430" spans="1:8" hidden="1">
      <c r="A1430" s="495" t="s">
        <v>2654</v>
      </c>
      <c r="B1430" s="400" t="s">
        <v>684</v>
      </c>
      <c r="C1430" s="400" t="s">
        <v>97</v>
      </c>
      <c r="D1430" s="400">
        <v>1007</v>
      </c>
      <c r="E1430" s="400">
        <v>15</v>
      </c>
      <c r="F1430" s="400" t="s">
        <v>2655</v>
      </c>
      <c r="G1430" s="400" t="s">
        <v>2221</v>
      </c>
      <c r="H1430" s="1238"/>
    </row>
    <row r="1431" spans="1:8" hidden="1">
      <c r="A1431" s="495" t="s">
        <v>2654</v>
      </c>
      <c r="B1431" s="400" t="s">
        <v>684</v>
      </c>
      <c r="C1431" s="400" t="s">
        <v>97</v>
      </c>
      <c r="D1431" s="400">
        <v>1008</v>
      </c>
      <c r="E1431" s="400">
        <v>15</v>
      </c>
      <c r="F1431" s="400" t="s">
        <v>2655</v>
      </c>
      <c r="G1431" s="400" t="s">
        <v>2221</v>
      </c>
      <c r="H1431" s="1238"/>
    </row>
    <row r="1432" spans="1:8" hidden="1">
      <c r="A1432" s="495" t="s">
        <v>2654</v>
      </c>
      <c r="B1432" s="400" t="s">
        <v>684</v>
      </c>
      <c r="C1432" s="400" t="s">
        <v>97</v>
      </c>
      <c r="D1432" s="400">
        <v>1009</v>
      </c>
      <c r="E1432" s="400">
        <v>15</v>
      </c>
      <c r="F1432" s="400" t="s">
        <v>2655</v>
      </c>
      <c r="G1432" s="400" t="s">
        <v>2221</v>
      </c>
      <c r="H1432" s="1238"/>
    </row>
    <row r="1433" spans="1:8" hidden="1">
      <c r="A1433" s="495" t="s">
        <v>2654</v>
      </c>
      <c r="B1433" s="400" t="s">
        <v>684</v>
      </c>
      <c r="C1433" s="400" t="s">
        <v>97</v>
      </c>
      <c r="D1433" s="400">
        <v>1010</v>
      </c>
      <c r="E1433" s="400">
        <v>15</v>
      </c>
      <c r="F1433" s="400" t="s">
        <v>2655</v>
      </c>
      <c r="G1433" s="400" t="s">
        <v>2221</v>
      </c>
      <c r="H1433" s="1238"/>
    </row>
    <row r="1434" spans="1:8" hidden="1">
      <c r="A1434" s="495" t="s">
        <v>2654</v>
      </c>
      <c r="B1434" s="400" t="s">
        <v>684</v>
      </c>
      <c r="C1434" s="400" t="s">
        <v>97</v>
      </c>
      <c r="D1434" s="400">
        <v>1011</v>
      </c>
      <c r="E1434" s="400">
        <v>15</v>
      </c>
      <c r="F1434" s="400" t="s">
        <v>2655</v>
      </c>
      <c r="G1434" s="400" t="s">
        <v>2221</v>
      </c>
      <c r="H1434" s="1238"/>
    </row>
    <row r="1435" spans="1:8" hidden="1">
      <c r="A1435" s="495" t="s">
        <v>2654</v>
      </c>
      <c r="B1435" s="400" t="s">
        <v>684</v>
      </c>
      <c r="C1435" s="400" t="s">
        <v>97</v>
      </c>
      <c r="D1435" s="400">
        <v>1012</v>
      </c>
      <c r="E1435" s="400">
        <v>15</v>
      </c>
      <c r="F1435" s="400" t="s">
        <v>2655</v>
      </c>
      <c r="G1435" s="400" t="s">
        <v>2221</v>
      </c>
      <c r="H1435" s="1238"/>
    </row>
    <row r="1436" spans="1:8" hidden="1">
      <c r="A1436" s="495" t="s">
        <v>2654</v>
      </c>
      <c r="B1436" s="400" t="s">
        <v>684</v>
      </c>
      <c r="C1436" s="400" t="s">
        <v>97</v>
      </c>
      <c r="D1436" s="400">
        <v>1013</v>
      </c>
      <c r="E1436" s="400">
        <v>15</v>
      </c>
      <c r="F1436" s="400" t="s">
        <v>2655</v>
      </c>
      <c r="G1436" s="400" t="s">
        <v>2221</v>
      </c>
      <c r="H1436" s="1238"/>
    </row>
    <row r="1437" spans="1:8" hidden="1">
      <c r="A1437" s="495" t="s">
        <v>2654</v>
      </c>
      <c r="B1437" s="400" t="s">
        <v>684</v>
      </c>
      <c r="C1437" s="400" t="s">
        <v>97</v>
      </c>
      <c r="D1437" s="400">
        <v>1014</v>
      </c>
      <c r="E1437" s="400">
        <v>15</v>
      </c>
      <c r="F1437" s="400" t="s">
        <v>2655</v>
      </c>
      <c r="G1437" s="400" t="s">
        <v>2221</v>
      </c>
      <c r="H1437" s="1238"/>
    </row>
    <row r="1438" spans="1:8" hidden="1">
      <c r="A1438" s="495" t="s">
        <v>2654</v>
      </c>
      <c r="B1438" s="400" t="s">
        <v>684</v>
      </c>
      <c r="C1438" s="400" t="s">
        <v>97</v>
      </c>
      <c r="D1438" s="400">
        <v>1015</v>
      </c>
      <c r="E1438" s="400">
        <v>15</v>
      </c>
      <c r="F1438" s="400" t="s">
        <v>2655</v>
      </c>
      <c r="G1438" s="400" t="s">
        <v>2221</v>
      </c>
      <c r="H1438" s="1238"/>
    </row>
    <row r="1439" spans="1:8" hidden="1">
      <c r="A1439" s="495" t="s">
        <v>2654</v>
      </c>
      <c r="B1439" s="400" t="s">
        <v>684</v>
      </c>
      <c r="C1439" s="400" t="s">
        <v>97</v>
      </c>
      <c r="D1439" s="400">
        <v>1016</v>
      </c>
      <c r="E1439" s="400">
        <v>15</v>
      </c>
      <c r="F1439" s="400" t="s">
        <v>2655</v>
      </c>
      <c r="G1439" s="400" t="s">
        <v>2221</v>
      </c>
      <c r="H1439" s="1238"/>
    </row>
    <row r="1440" spans="1:8" hidden="1">
      <c r="A1440" s="495" t="s">
        <v>2654</v>
      </c>
      <c r="B1440" s="400" t="s">
        <v>684</v>
      </c>
      <c r="C1440" s="400" t="s">
        <v>97</v>
      </c>
      <c r="D1440" s="400">
        <v>1017</v>
      </c>
      <c r="E1440" s="400">
        <v>15</v>
      </c>
      <c r="F1440" s="400" t="s">
        <v>2655</v>
      </c>
      <c r="G1440" s="400" t="s">
        <v>2221</v>
      </c>
      <c r="H1440" s="1238"/>
    </row>
    <row r="1441" spans="1:8" hidden="1">
      <c r="A1441" s="495" t="s">
        <v>2654</v>
      </c>
      <c r="B1441" s="400" t="s">
        <v>684</v>
      </c>
      <c r="C1441" s="400" t="s">
        <v>97</v>
      </c>
      <c r="D1441" s="400">
        <v>1018</v>
      </c>
      <c r="E1441" s="400">
        <v>15</v>
      </c>
      <c r="F1441" s="400" t="s">
        <v>2655</v>
      </c>
      <c r="G1441" s="400" t="s">
        <v>2221</v>
      </c>
      <c r="H1441" s="1238"/>
    </row>
    <row r="1442" spans="1:8" hidden="1">
      <c r="A1442" s="495" t="s">
        <v>2654</v>
      </c>
      <c r="B1442" s="400" t="s">
        <v>684</v>
      </c>
      <c r="C1442" s="400" t="s">
        <v>97</v>
      </c>
      <c r="D1442" s="400">
        <v>1019</v>
      </c>
      <c r="E1442" s="400">
        <v>15</v>
      </c>
      <c r="F1442" s="400" t="s">
        <v>2655</v>
      </c>
      <c r="G1442" s="400" t="s">
        <v>2221</v>
      </c>
      <c r="H1442" s="1238"/>
    </row>
    <row r="1443" spans="1:8" hidden="1">
      <c r="A1443" s="495" t="s">
        <v>2654</v>
      </c>
      <c r="B1443" s="400" t="s">
        <v>684</v>
      </c>
      <c r="C1443" s="400" t="s">
        <v>97</v>
      </c>
      <c r="D1443" s="400">
        <v>1020</v>
      </c>
      <c r="E1443" s="400">
        <v>15</v>
      </c>
      <c r="F1443" s="400" t="s">
        <v>2655</v>
      </c>
      <c r="G1443" s="400" t="s">
        <v>2221</v>
      </c>
      <c r="H1443" s="1238"/>
    </row>
    <row r="1444" spans="1:8" hidden="1">
      <c r="A1444" s="495" t="s">
        <v>2654</v>
      </c>
      <c r="B1444" s="400" t="s">
        <v>684</v>
      </c>
      <c r="C1444" s="400" t="s">
        <v>97</v>
      </c>
      <c r="D1444" s="400">
        <v>1021</v>
      </c>
      <c r="E1444" s="400">
        <v>15</v>
      </c>
      <c r="F1444" s="400" t="s">
        <v>2655</v>
      </c>
      <c r="G1444" s="400" t="s">
        <v>2221</v>
      </c>
      <c r="H1444" s="1238"/>
    </row>
    <row r="1445" spans="1:8" hidden="1">
      <c r="A1445" s="495" t="s">
        <v>2654</v>
      </c>
      <c r="B1445" s="400" t="s">
        <v>684</v>
      </c>
      <c r="C1445" s="400" t="s">
        <v>97</v>
      </c>
      <c r="D1445" s="400">
        <v>1022</v>
      </c>
      <c r="E1445" s="400">
        <v>15</v>
      </c>
      <c r="F1445" s="400" t="s">
        <v>2655</v>
      </c>
      <c r="G1445" s="400" t="s">
        <v>2221</v>
      </c>
      <c r="H1445" s="1238"/>
    </row>
    <row r="1446" spans="1:8" hidden="1">
      <c r="A1446" s="495" t="s">
        <v>2654</v>
      </c>
      <c r="B1446" s="400" t="s">
        <v>684</v>
      </c>
      <c r="C1446" s="400" t="s">
        <v>97</v>
      </c>
      <c r="D1446" s="400">
        <v>1023</v>
      </c>
      <c r="E1446" s="400">
        <v>15</v>
      </c>
      <c r="F1446" s="400" t="s">
        <v>2655</v>
      </c>
      <c r="G1446" s="400" t="s">
        <v>2221</v>
      </c>
      <c r="H1446" s="1238"/>
    </row>
    <row r="1447" spans="1:8" hidden="1">
      <c r="A1447" s="495" t="s">
        <v>2654</v>
      </c>
      <c r="B1447" s="400" t="s">
        <v>684</v>
      </c>
      <c r="C1447" s="400" t="s">
        <v>97</v>
      </c>
      <c r="D1447" s="400">
        <v>1024</v>
      </c>
      <c r="E1447" s="400">
        <v>15</v>
      </c>
      <c r="F1447" s="400" t="s">
        <v>2655</v>
      </c>
      <c r="G1447" s="400" t="s">
        <v>2221</v>
      </c>
      <c r="H1447" s="1238"/>
    </row>
    <row r="1448" spans="1:8" hidden="1">
      <c r="A1448" s="495" t="s">
        <v>2654</v>
      </c>
      <c r="B1448" s="400" t="s">
        <v>684</v>
      </c>
      <c r="C1448" s="400" t="s">
        <v>97</v>
      </c>
      <c r="D1448" s="400">
        <v>1025</v>
      </c>
      <c r="E1448" s="400">
        <v>15</v>
      </c>
      <c r="F1448" s="400" t="s">
        <v>2655</v>
      </c>
      <c r="G1448" s="400" t="s">
        <v>2221</v>
      </c>
      <c r="H1448" s="1238"/>
    </row>
    <row r="1449" spans="1:8" hidden="1">
      <c r="A1449" s="495" t="s">
        <v>2654</v>
      </c>
      <c r="B1449" s="400" t="s">
        <v>684</v>
      </c>
      <c r="C1449" s="400" t="s">
        <v>97</v>
      </c>
      <c r="D1449" s="400">
        <v>1026</v>
      </c>
      <c r="E1449" s="400">
        <v>15</v>
      </c>
      <c r="F1449" s="400" t="s">
        <v>2655</v>
      </c>
      <c r="G1449" s="400" t="s">
        <v>2221</v>
      </c>
      <c r="H1449" s="1238"/>
    </row>
    <row r="1450" spans="1:8" hidden="1">
      <c r="A1450" s="495" t="s">
        <v>2654</v>
      </c>
      <c r="B1450" s="400" t="s">
        <v>684</v>
      </c>
      <c r="C1450" s="400" t="s">
        <v>97</v>
      </c>
      <c r="D1450" s="400">
        <v>1027</v>
      </c>
      <c r="E1450" s="400">
        <v>15</v>
      </c>
      <c r="F1450" s="400" t="s">
        <v>2655</v>
      </c>
      <c r="G1450" s="400" t="s">
        <v>2221</v>
      </c>
      <c r="H1450" s="1238"/>
    </row>
    <row r="1451" spans="1:8" hidden="1">
      <c r="A1451" s="495" t="s">
        <v>2654</v>
      </c>
      <c r="B1451" s="400" t="s">
        <v>684</v>
      </c>
      <c r="C1451" s="400" t="s">
        <v>97</v>
      </c>
      <c r="D1451" s="400">
        <v>1028</v>
      </c>
      <c r="E1451" s="400">
        <v>15</v>
      </c>
      <c r="F1451" s="400" t="s">
        <v>2655</v>
      </c>
      <c r="G1451" s="400" t="s">
        <v>2221</v>
      </c>
      <c r="H1451" s="1238"/>
    </row>
    <row r="1452" spans="1:8" hidden="1">
      <c r="A1452" s="495" t="s">
        <v>2654</v>
      </c>
      <c r="B1452" s="400" t="s">
        <v>684</v>
      </c>
      <c r="C1452" s="400" t="s">
        <v>97</v>
      </c>
      <c r="D1452" s="400">
        <v>1029</v>
      </c>
      <c r="E1452" s="400">
        <v>15</v>
      </c>
      <c r="F1452" s="400" t="s">
        <v>2655</v>
      </c>
      <c r="G1452" s="400" t="s">
        <v>2221</v>
      </c>
      <c r="H1452" s="1238"/>
    </row>
    <row r="1453" spans="1:8" hidden="1">
      <c r="A1453" s="495" t="s">
        <v>2654</v>
      </c>
      <c r="B1453" s="400" t="s">
        <v>684</v>
      </c>
      <c r="C1453" s="400" t="s">
        <v>97</v>
      </c>
      <c r="D1453" s="400">
        <v>1030</v>
      </c>
      <c r="E1453" s="400">
        <v>8</v>
      </c>
      <c r="F1453" s="400" t="s">
        <v>2297</v>
      </c>
      <c r="G1453" s="400" t="s">
        <v>2221</v>
      </c>
      <c r="H1453" s="1238"/>
    </row>
    <row r="1454" spans="1:8" hidden="1">
      <c r="A1454" s="495" t="s">
        <v>2654</v>
      </c>
      <c r="B1454" s="400" t="s">
        <v>684</v>
      </c>
      <c r="C1454" s="400" t="s">
        <v>97</v>
      </c>
      <c r="D1454" s="400">
        <v>1031</v>
      </c>
      <c r="E1454" s="400">
        <v>15</v>
      </c>
      <c r="F1454" s="400" t="s">
        <v>2655</v>
      </c>
      <c r="G1454" s="400" t="s">
        <v>2221</v>
      </c>
      <c r="H1454" s="1238"/>
    </row>
    <row r="1455" spans="1:8" hidden="1">
      <c r="A1455" s="495" t="s">
        <v>2654</v>
      </c>
      <c r="B1455" s="400" t="s">
        <v>684</v>
      </c>
      <c r="C1455" s="400" t="s">
        <v>97</v>
      </c>
      <c r="D1455" s="400">
        <v>1032</v>
      </c>
      <c r="E1455" s="400">
        <v>15</v>
      </c>
      <c r="F1455" s="400" t="s">
        <v>2655</v>
      </c>
      <c r="G1455" s="400" t="s">
        <v>2221</v>
      </c>
      <c r="H1455" s="1238"/>
    </row>
    <row r="1456" spans="1:8" hidden="1">
      <c r="A1456" s="495" t="s">
        <v>2654</v>
      </c>
      <c r="B1456" s="400" t="s">
        <v>684</v>
      </c>
      <c r="C1456" s="400" t="s">
        <v>97</v>
      </c>
      <c r="D1456" s="400">
        <v>1033</v>
      </c>
      <c r="E1456" s="400">
        <v>15</v>
      </c>
      <c r="F1456" s="400" t="s">
        <v>2655</v>
      </c>
      <c r="G1456" s="400" t="s">
        <v>2221</v>
      </c>
      <c r="H1456" s="1238"/>
    </row>
    <row r="1457" spans="1:8" hidden="1">
      <c r="A1457" s="495" t="s">
        <v>2654</v>
      </c>
      <c r="B1457" s="400" t="s">
        <v>684</v>
      </c>
      <c r="C1457" s="400" t="s">
        <v>97</v>
      </c>
      <c r="D1457" s="400">
        <v>1034</v>
      </c>
      <c r="E1457" s="400">
        <v>15</v>
      </c>
      <c r="F1457" s="400" t="s">
        <v>2655</v>
      </c>
      <c r="G1457" s="400" t="s">
        <v>2221</v>
      </c>
      <c r="H1457" s="1238"/>
    </row>
    <row r="1458" spans="1:8" hidden="1">
      <c r="A1458" s="495" t="s">
        <v>2654</v>
      </c>
      <c r="B1458" s="400" t="s">
        <v>684</v>
      </c>
      <c r="C1458" s="400" t="s">
        <v>97</v>
      </c>
      <c r="D1458" s="400">
        <v>1035</v>
      </c>
      <c r="E1458" s="400">
        <v>15</v>
      </c>
      <c r="F1458" s="400" t="s">
        <v>2655</v>
      </c>
      <c r="G1458" s="400" t="s">
        <v>2221</v>
      </c>
      <c r="H1458" s="1238"/>
    </row>
    <row r="1459" spans="1:8" hidden="1">
      <c r="A1459" s="495" t="s">
        <v>2654</v>
      </c>
      <c r="B1459" s="400" t="s">
        <v>684</v>
      </c>
      <c r="C1459" s="400" t="s">
        <v>97</v>
      </c>
      <c r="D1459" s="400">
        <v>1036</v>
      </c>
      <c r="E1459" s="400">
        <v>15</v>
      </c>
      <c r="F1459" s="400" t="s">
        <v>2655</v>
      </c>
      <c r="G1459" s="400" t="s">
        <v>2221</v>
      </c>
      <c r="H1459" s="1238"/>
    </row>
    <row r="1460" spans="1:8" hidden="1">
      <c r="A1460" s="495" t="s">
        <v>2654</v>
      </c>
      <c r="B1460" s="400" t="s">
        <v>684</v>
      </c>
      <c r="C1460" s="400" t="s">
        <v>97</v>
      </c>
      <c r="D1460" s="400">
        <v>1037</v>
      </c>
      <c r="E1460" s="400">
        <v>15</v>
      </c>
      <c r="F1460" s="400" t="s">
        <v>2655</v>
      </c>
      <c r="G1460" s="400" t="s">
        <v>2221</v>
      </c>
      <c r="H1460" s="1238"/>
    </row>
    <row r="1461" spans="1:8" hidden="1">
      <c r="A1461" s="495" t="s">
        <v>2654</v>
      </c>
      <c r="B1461" s="400" t="s">
        <v>684</v>
      </c>
      <c r="C1461" s="400" t="s">
        <v>97</v>
      </c>
      <c r="D1461" s="400">
        <v>1038</v>
      </c>
      <c r="E1461" s="400">
        <v>15</v>
      </c>
      <c r="F1461" s="400" t="s">
        <v>2655</v>
      </c>
      <c r="G1461" s="400" t="s">
        <v>2221</v>
      </c>
      <c r="H1461" s="1238"/>
    </row>
    <row r="1462" spans="1:8" hidden="1">
      <c r="A1462" s="495" t="s">
        <v>2654</v>
      </c>
      <c r="B1462" s="400" t="s">
        <v>684</v>
      </c>
      <c r="C1462" s="400" t="s">
        <v>97</v>
      </c>
      <c r="D1462" s="400">
        <v>1039</v>
      </c>
      <c r="E1462" s="400">
        <v>15</v>
      </c>
      <c r="F1462" s="400" t="s">
        <v>2655</v>
      </c>
      <c r="G1462" s="400" t="s">
        <v>2221</v>
      </c>
      <c r="H1462" s="1238"/>
    </row>
    <row r="1463" spans="1:8" hidden="1">
      <c r="A1463" s="495" t="s">
        <v>2654</v>
      </c>
      <c r="B1463" s="400" t="s">
        <v>684</v>
      </c>
      <c r="C1463" s="400" t="s">
        <v>97</v>
      </c>
      <c r="D1463" s="400">
        <v>1040</v>
      </c>
      <c r="E1463" s="400">
        <v>15</v>
      </c>
      <c r="F1463" s="400" t="s">
        <v>2655</v>
      </c>
      <c r="G1463" s="400" t="s">
        <v>2221</v>
      </c>
      <c r="H1463" s="1238"/>
    </row>
    <row r="1464" spans="1:8" hidden="1">
      <c r="A1464" s="495" t="s">
        <v>2654</v>
      </c>
      <c r="B1464" s="400" t="s">
        <v>684</v>
      </c>
      <c r="C1464" s="400" t="s">
        <v>97</v>
      </c>
      <c r="D1464" s="400">
        <v>1041</v>
      </c>
      <c r="E1464" s="400">
        <v>15</v>
      </c>
      <c r="F1464" s="400" t="s">
        <v>2655</v>
      </c>
      <c r="G1464" s="400" t="s">
        <v>2221</v>
      </c>
      <c r="H1464" s="1238"/>
    </row>
    <row r="1465" spans="1:8" hidden="1">
      <c r="A1465" s="495" t="s">
        <v>2654</v>
      </c>
      <c r="B1465" s="400" t="s">
        <v>684</v>
      </c>
      <c r="C1465" s="400" t="s">
        <v>97</v>
      </c>
      <c r="D1465" s="400">
        <v>1042</v>
      </c>
      <c r="E1465" s="400">
        <v>15</v>
      </c>
      <c r="F1465" s="400" t="s">
        <v>2655</v>
      </c>
      <c r="G1465" s="400" t="s">
        <v>2221</v>
      </c>
      <c r="H1465" s="1238"/>
    </row>
    <row r="1466" spans="1:8" hidden="1">
      <c r="A1466" s="495" t="s">
        <v>2654</v>
      </c>
      <c r="B1466" s="400" t="s">
        <v>684</v>
      </c>
      <c r="C1466" s="400" t="s">
        <v>97</v>
      </c>
      <c r="D1466" s="400">
        <v>1043</v>
      </c>
      <c r="E1466" s="400">
        <v>15</v>
      </c>
      <c r="F1466" s="400" t="s">
        <v>2655</v>
      </c>
      <c r="G1466" s="400" t="s">
        <v>2221</v>
      </c>
      <c r="H1466" s="1238"/>
    </row>
    <row r="1467" spans="1:8" hidden="1">
      <c r="A1467" s="495" t="s">
        <v>2654</v>
      </c>
      <c r="B1467" s="400" t="s">
        <v>684</v>
      </c>
      <c r="C1467" s="400" t="s">
        <v>97</v>
      </c>
      <c r="D1467" s="400">
        <v>1044</v>
      </c>
      <c r="E1467" s="400">
        <v>15</v>
      </c>
      <c r="F1467" s="400" t="s">
        <v>2655</v>
      </c>
      <c r="G1467" s="400" t="s">
        <v>2221</v>
      </c>
      <c r="H1467" s="1238"/>
    </row>
    <row r="1468" spans="1:8" hidden="1">
      <c r="A1468" s="495" t="s">
        <v>2654</v>
      </c>
      <c r="B1468" s="400" t="s">
        <v>684</v>
      </c>
      <c r="C1468" s="400" t="s">
        <v>97</v>
      </c>
      <c r="D1468" s="400">
        <v>1045</v>
      </c>
      <c r="E1468" s="400">
        <v>15</v>
      </c>
      <c r="F1468" s="400" t="s">
        <v>2655</v>
      </c>
      <c r="G1468" s="400" t="s">
        <v>2221</v>
      </c>
      <c r="H1468" s="1238"/>
    </row>
    <row r="1469" spans="1:8" hidden="1">
      <c r="A1469" s="495" t="s">
        <v>2654</v>
      </c>
      <c r="B1469" s="400" t="s">
        <v>684</v>
      </c>
      <c r="C1469" s="400" t="s">
        <v>97</v>
      </c>
      <c r="D1469" s="400">
        <v>1046</v>
      </c>
      <c r="E1469" s="400">
        <v>15</v>
      </c>
      <c r="F1469" s="400" t="s">
        <v>2655</v>
      </c>
      <c r="G1469" s="400" t="s">
        <v>2221</v>
      </c>
      <c r="H1469" s="1238"/>
    </row>
    <row r="1470" spans="1:8" hidden="1">
      <c r="A1470" s="495" t="s">
        <v>2654</v>
      </c>
      <c r="B1470" s="400" t="s">
        <v>684</v>
      </c>
      <c r="C1470" s="400" t="s">
        <v>97</v>
      </c>
      <c r="D1470" s="400">
        <v>1047</v>
      </c>
      <c r="E1470" s="400">
        <v>15</v>
      </c>
      <c r="F1470" s="400" t="s">
        <v>2655</v>
      </c>
      <c r="G1470" s="400" t="s">
        <v>2221</v>
      </c>
      <c r="H1470" s="1238"/>
    </row>
    <row r="1471" spans="1:8" hidden="1">
      <c r="A1471" s="495" t="s">
        <v>2654</v>
      </c>
      <c r="B1471" s="400" t="s">
        <v>684</v>
      </c>
      <c r="C1471" s="400" t="s">
        <v>97</v>
      </c>
      <c r="D1471" s="400">
        <v>1048</v>
      </c>
      <c r="E1471" s="400">
        <v>15</v>
      </c>
      <c r="F1471" s="400" t="s">
        <v>2655</v>
      </c>
      <c r="G1471" s="400" t="s">
        <v>2221</v>
      </c>
      <c r="H1471" s="1238"/>
    </row>
    <row r="1472" spans="1:8" hidden="1">
      <c r="A1472" s="495" t="s">
        <v>2654</v>
      </c>
      <c r="B1472" s="400" t="s">
        <v>684</v>
      </c>
      <c r="C1472" s="400" t="s">
        <v>97</v>
      </c>
      <c r="D1472" s="400">
        <v>1049</v>
      </c>
      <c r="E1472" s="400">
        <v>15</v>
      </c>
      <c r="F1472" s="400" t="s">
        <v>2655</v>
      </c>
      <c r="G1472" s="400" t="s">
        <v>2221</v>
      </c>
      <c r="H1472" s="1238"/>
    </row>
    <row r="1473" spans="1:8" hidden="1">
      <c r="A1473" s="495" t="s">
        <v>2654</v>
      </c>
      <c r="B1473" s="400" t="s">
        <v>684</v>
      </c>
      <c r="C1473" s="400" t="s">
        <v>97</v>
      </c>
      <c r="D1473" s="400">
        <v>1050</v>
      </c>
      <c r="E1473" s="400">
        <v>15</v>
      </c>
      <c r="F1473" s="400" t="s">
        <v>2655</v>
      </c>
      <c r="G1473" s="400" t="s">
        <v>2221</v>
      </c>
      <c r="H1473" s="1238"/>
    </row>
    <row r="1474" spans="1:8" hidden="1">
      <c r="A1474" s="495" t="s">
        <v>2654</v>
      </c>
      <c r="B1474" s="400" t="s">
        <v>684</v>
      </c>
      <c r="C1474" s="400" t="s">
        <v>97</v>
      </c>
      <c r="D1474" s="400">
        <v>1051</v>
      </c>
      <c r="E1474" s="400">
        <v>15</v>
      </c>
      <c r="F1474" s="400" t="s">
        <v>2655</v>
      </c>
      <c r="G1474" s="400" t="s">
        <v>2221</v>
      </c>
      <c r="H1474" s="1238"/>
    </row>
    <row r="1475" spans="1:8" hidden="1">
      <c r="A1475" s="495" t="s">
        <v>2654</v>
      </c>
      <c r="B1475" s="400" t="s">
        <v>684</v>
      </c>
      <c r="C1475" s="400" t="s">
        <v>97</v>
      </c>
      <c r="D1475" s="400">
        <v>1052</v>
      </c>
      <c r="E1475" s="400">
        <v>15</v>
      </c>
      <c r="F1475" s="400" t="s">
        <v>2655</v>
      </c>
      <c r="G1475" s="400" t="s">
        <v>2221</v>
      </c>
      <c r="H1475" s="1238"/>
    </row>
    <row r="1476" spans="1:8" hidden="1">
      <c r="A1476" s="495" t="s">
        <v>2654</v>
      </c>
      <c r="B1476" s="400" t="s">
        <v>684</v>
      </c>
      <c r="C1476" s="400" t="s">
        <v>97</v>
      </c>
      <c r="D1476" s="400">
        <v>1053</v>
      </c>
      <c r="E1476" s="400">
        <v>15</v>
      </c>
      <c r="F1476" s="400" t="s">
        <v>2655</v>
      </c>
      <c r="G1476" s="400" t="s">
        <v>2221</v>
      </c>
      <c r="H1476" s="1238"/>
    </row>
    <row r="1477" spans="1:8" hidden="1">
      <c r="A1477" s="495" t="s">
        <v>2654</v>
      </c>
      <c r="B1477" s="400" t="s">
        <v>684</v>
      </c>
      <c r="C1477" s="400" t="s">
        <v>97</v>
      </c>
      <c r="D1477" s="400">
        <v>1054</v>
      </c>
      <c r="E1477" s="400">
        <v>15</v>
      </c>
      <c r="F1477" s="400" t="s">
        <v>2655</v>
      </c>
      <c r="G1477" s="400" t="s">
        <v>2221</v>
      </c>
      <c r="H1477" s="1238"/>
    </row>
    <row r="1478" spans="1:8" hidden="1">
      <c r="A1478" s="495" t="s">
        <v>2654</v>
      </c>
      <c r="B1478" s="400" t="s">
        <v>684</v>
      </c>
      <c r="C1478" s="400" t="s">
        <v>97</v>
      </c>
      <c r="D1478" s="400">
        <v>1055</v>
      </c>
      <c r="E1478" s="400">
        <v>15</v>
      </c>
      <c r="F1478" s="400" t="s">
        <v>2655</v>
      </c>
      <c r="G1478" s="400" t="s">
        <v>2221</v>
      </c>
      <c r="H1478" s="1238"/>
    </row>
    <row r="1479" spans="1:8" hidden="1">
      <c r="A1479" s="495" t="s">
        <v>2654</v>
      </c>
      <c r="B1479" s="400" t="s">
        <v>684</v>
      </c>
      <c r="C1479" s="400" t="s">
        <v>97</v>
      </c>
      <c r="D1479" s="400">
        <v>1056</v>
      </c>
      <c r="E1479" s="400">
        <v>15</v>
      </c>
      <c r="F1479" s="400" t="s">
        <v>2655</v>
      </c>
      <c r="G1479" s="400" t="s">
        <v>2221</v>
      </c>
      <c r="H1479" s="1238"/>
    </row>
    <row r="1480" spans="1:8" hidden="1">
      <c r="A1480" s="495" t="s">
        <v>2654</v>
      </c>
      <c r="B1480" s="400" t="s">
        <v>684</v>
      </c>
      <c r="C1480" s="400" t="s">
        <v>97</v>
      </c>
      <c r="D1480" s="400">
        <v>1057</v>
      </c>
      <c r="E1480" s="400">
        <v>15</v>
      </c>
      <c r="F1480" s="400" t="s">
        <v>2655</v>
      </c>
      <c r="G1480" s="400" t="s">
        <v>2221</v>
      </c>
      <c r="H1480" s="1238"/>
    </row>
    <row r="1481" spans="1:8" hidden="1">
      <c r="A1481" s="495" t="s">
        <v>2654</v>
      </c>
      <c r="B1481" s="400" t="s">
        <v>684</v>
      </c>
      <c r="C1481" s="400" t="s">
        <v>97</v>
      </c>
      <c r="D1481" s="400">
        <v>1058</v>
      </c>
      <c r="E1481" s="400">
        <v>15</v>
      </c>
      <c r="F1481" s="400" t="s">
        <v>2655</v>
      </c>
      <c r="G1481" s="400" t="s">
        <v>2221</v>
      </c>
      <c r="H1481" s="1238"/>
    </row>
    <row r="1482" spans="1:8" hidden="1">
      <c r="A1482" s="495" t="s">
        <v>2654</v>
      </c>
      <c r="B1482" s="400" t="s">
        <v>684</v>
      </c>
      <c r="C1482" s="400" t="s">
        <v>97</v>
      </c>
      <c r="D1482" s="400">
        <v>1059</v>
      </c>
      <c r="E1482" s="400">
        <v>15</v>
      </c>
      <c r="F1482" s="400" t="s">
        <v>2655</v>
      </c>
      <c r="G1482" s="400" t="s">
        <v>2221</v>
      </c>
      <c r="H1482" s="1238"/>
    </row>
    <row r="1483" spans="1:8" hidden="1">
      <c r="A1483" s="495" t="s">
        <v>2654</v>
      </c>
      <c r="B1483" s="400" t="s">
        <v>684</v>
      </c>
      <c r="C1483" s="400" t="s">
        <v>97</v>
      </c>
      <c r="D1483" s="400">
        <v>1060</v>
      </c>
      <c r="E1483" s="400">
        <v>15</v>
      </c>
      <c r="F1483" s="400" t="s">
        <v>2655</v>
      </c>
      <c r="G1483" s="400" t="s">
        <v>2221</v>
      </c>
      <c r="H1483" s="1238"/>
    </row>
    <row r="1484" spans="1:8" hidden="1">
      <c r="A1484" s="495" t="s">
        <v>2654</v>
      </c>
      <c r="B1484" s="400" t="s">
        <v>684</v>
      </c>
      <c r="C1484" s="400" t="s">
        <v>97</v>
      </c>
      <c r="D1484" s="400">
        <v>1061</v>
      </c>
      <c r="E1484" s="400">
        <v>15</v>
      </c>
      <c r="F1484" s="400" t="s">
        <v>2655</v>
      </c>
      <c r="G1484" s="400" t="s">
        <v>2221</v>
      </c>
      <c r="H1484" s="1238"/>
    </row>
    <row r="1485" spans="1:8" hidden="1">
      <c r="A1485" s="495" t="s">
        <v>2654</v>
      </c>
      <c r="B1485" s="400" t="s">
        <v>684</v>
      </c>
      <c r="C1485" s="400" t="s">
        <v>97</v>
      </c>
      <c r="D1485" s="400">
        <v>1062</v>
      </c>
      <c r="E1485" s="400">
        <v>15</v>
      </c>
      <c r="F1485" s="400" t="s">
        <v>2655</v>
      </c>
      <c r="G1485" s="400" t="s">
        <v>2221</v>
      </c>
      <c r="H1485" s="1238"/>
    </row>
    <row r="1486" spans="1:8" hidden="1">
      <c r="A1486" s="495" t="s">
        <v>2654</v>
      </c>
      <c r="B1486" s="400" t="s">
        <v>684</v>
      </c>
      <c r="C1486" s="400" t="s">
        <v>97</v>
      </c>
      <c r="D1486" s="400">
        <v>1063</v>
      </c>
      <c r="E1486" s="400">
        <v>15</v>
      </c>
      <c r="F1486" s="400" t="s">
        <v>2655</v>
      </c>
      <c r="G1486" s="400" t="s">
        <v>2221</v>
      </c>
      <c r="H1486" s="1238"/>
    </row>
    <row r="1487" spans="1:8" hidden="1">
      <c r="A1487" s="495" t="s">
        <v>2654</v>
      </c>
      <c r="B1487" s="400" t="s">
        <v>684</v>
      </c>
      <c r="C1487" s="400" t="s">
        <v>97</v>
      </c>
      <c r="D1487" s="400">
        <v>1064</v>
      </c>
      <c r="E1487" s="400">
        <v>15</v>
      </c>
      <c r="F1487" s="400" t="s">
        <v>2655</v>
      </c>
      <c r="G1487" s="400" t="s">
        <v>2221</v>
      </c>
      <c r="H1487" s="1238"/>
    </row>
    <row r="1488" spans="1:8" hidden="1">
      <c r="A1488" s="495" t="s">
        <v>2654</v>
      </c>
      <c r="B1488" s="400" t="s">
        <v>684</v>
      </c>
      <c r="C1488" s="400" t="s">
        <v>97</v>
      </c>
      <c r="D1488" s="400">
        <v>1065</v>
      </c>
      <c r="E1488" s="400">
        <v>15</v>
      </c>
      <c r="F1488" s="400" t="s">
        <v>2655</v>
      </c>
      <c r="G1488" s="400" t="s">
        <v>2221</v>
      </c>
      <c r="H1488" s="1238"/>
    </row>
    <row r="1489" spans="1:8" hidden="1">
      <c r="A1489" s="495" t="s">
        <v>2654</v>
      </c>
      <c r="B1489" s="400" t="s">
        <v>684</v>
      </c>
      <c r="C1489" s="400" t="s">
        <v>97</v>
      </c>
      <c r="D1489" s="400">
        <v>1066</v>
      </c>
      <c r="E1489" s="400">
        <v>15</v>
      </c>
      <c r="F1489" s="400" t="s">
        <v>2655</v>
      </c>
      <c r="G1489" s="400" t="s">
        <v>2221</v>
      </c>
      <c r="H1489" s="1238"/>
    </row>
    <row r="1490" spans="1:8" hidden="1">
      <c r="A1490" s="495" t="s">
        <v>2654</v>
      </c>
      <c r="B1490" s="400" t="s">
        <v>684</v>
      </c>
      <c r="C1490" s="400" t="s">
        <v>97</v>
      </c>
      <c r="D1490" s="400">
        <v>1067</v>
      </c>
      <c r="E1490" s="400">
        <v>15</v>
      </c>
      <c r="F1490" s="400" t="s">
        <v>2655</v>
      </c>
      <c r="G1490" s="400" t="s">
        <v>2221</v>
      </c>
      <c r="H1490" s="1238"/>
    </row>
    <row r="1491" spans="1:8" hidden="1">
      <c r="A1491" s="495" t="s">
        <v>2654</v>
      </c>
      <c r="B1491" s="400" t="s">
        <v>684</v>
      </c>
      <c r="C1491" s="400" t="s">
        <v>97</v>
      </c>
      <c r="D1491" s="400">
        <v>1068</v>
      </c>
      <c r="E1491" s="400">
        <v>15</v>
      </c>
      <c r="F1491" s="400" t="s">
        <v>2655</v>
      </c>
      <c r="G1491" s="400" t="s">
        <v>2221</v>
      </c>
      <c r="H1491" s="1238"/>
    </row>
    <row r="1492" spans="1:8" hidden="1">
      <c r="A1492" s="495" t="s">
        <v>2654</v>
      </c>
      <c r="B1492" s="400" t="s">
        <v>684</v>
      </c>
      <c r="C1492" s="400" t="s">
        <v>97</v>
      </c>
      <c r="D1492" s="400">
        <v>1069</v>
      </c>
      <c r="E1492" s="400">
        <v>15</v>
      </c>
      <c r="F1492" s="400" t="s">
        <v>2655</v>
      </c>
      <c r="G1492" s="400" t="s">
        <v>2221</v>
      </c>
      <c r="H1492" s="1238"/>
    </row>
    <row r="1493" spans="1:8" hidden="1">
      <c r="A1493" s="495" t="s">
        <v>2654</v>
      </c>
      <c r="B1493" s="400" t="s">
        <v>684</v>
      </c>
      <c r="C1493" s="400" t="s">
        <v>97</v>
      </c>
      <c r="D1493" s="400">
        <v>1070</v>
      </c>
      <c r="E1493" s="400">
        <v>15</v>
      </c>
      <c r="F1493" s="400" t="s">
        <v>2655</v>
      </c>
      <c r="G1493" s="400" t="s">
        <v>2221</v>
      </c>
      <c r="H1493" s="1238"/>
    </row>
    <row r="1494" spans="1:8" hidden="1">
      <c r="A1494" s="495" t="s">
        <v>2654</v>
      </c>
      <c r="B1494" s="400" t="s">
        <v>684</v>
      </c>
      <c r="C1494" s="400" t="s">
        <v>97</v>
      </c>
      <c r="D1494" s="400">
        <v>1071</v>
      </c>
      <c r="E1494" s="400">
        <v>15</v>
      </c>
      <c r="F1494" s="400" t="s">
        <v>2655</v>
      </c>
      <c r="G1494" s="400" t="s">
        <v>2221</v>
      </c>
      <c r="H1494" s="1238"/>
    </row>
    <row r="1495" spans="1:8" hidden="1">
      <c r="A1495" s="495" t="s">
        <v>2654</v>
      </c>
      <c r="B1495" s="400" t="s">
        <v>684</v>
      </c>
      <c r="C1495" s="400" t="s">
        <v>97</v>
      </c>
      <c r="D1495" s="400">
        <v>1072</v>
      </c>
      <c r="E1495" s="400">
        <v>15</v>
      </c>
      <c r="F1495" s="400" t="s">
        <v>2655</v>
      </c>
      <c r="G1495" s="400" t="s">
        <v>2221</v>
      </c>
      <c r="H1495" s="1238"/>
    </row>
    <row r="1496" spans="1:8" hidden="1">
      <c r="A1496" s="495" t="s">
        <v>2654</v>
      </c>
      <c r="B1496" s="400" t="s">
        <v>684</v>
      </c>
      <c r="C1496" s="400" t="s">
        <v>97</v>
      </c>
      <c r="D1496" s="400">
        <v>1073</v>
      </c>
      <c r="E1496" s="400">
        <v>15</v>
      </c>
      <c r="F1496" s="400" t="s">
        <v>2655</v>
      </c>
      <c r="G1496" s="400" t="s">
        <v>2221</v>
      </c>
      <c r="H1496" s="1238"/>
    </row>
    <row r="1497" spans="1:8" hidden="1">
      <c r="A1497" s="495" t="s">
        <v>2654</v>
      </c>
      <c r="B1497" s="400" t="s">
        <v>684</v>
      </c>
      <c r="C1497" s="400" t="s">
        <v>97</v>
      </c>
      <c r="D1497" s="400">
        <v>1074</v>
      </c>
      <c r="E1497" s="400">
        <v>15</v>
      </c>
      <c r="F1497" s="400" t="s">
        <v>2655</v>
      </c>
      <c r="G1497" s="400" t="s">
        <v>2221</v>
      </c>
      <c r="H1497" s="1238"/>
    </row>
    <row r="1498" spans="1:8" hidden="1">
      <c r="A1498" s="495" t="s">
        <v>2654</v>
      </c>
      <c r="B1498" s="400" t="s">
        <v>684</v>
      </c>
      <c r="C1498" s="400" t="s">
        <v>97</v>
      </c>
      <c r="D1498" s="400">
        <v>1075</v>
      </c>
      <c r="E1498" s="400">
        <v>15</v>
      </c>
      <c r="F1498" s="400" t="s">
        <v>2655</v>
      </c>
      <c r="G1498" s="400" t="s">
        <v>2221</v>
      </c>
      <c r="H1498" s="1238"/>
    </row>
    <row r="1499" spans="1:8" hidden="1">
      <c r="A1499" s="495" t="s">
        <v>2654</v>
      </c>
      <c r="B1499" s="400" t="s">
        <v>684</v>
      </c>
      <c r="C1499" s="400" t="s">
        <v>97</v>
      </c>
      <c r="D1499" s="400">
        <v>1076</v>
      </c>
      <c r="E1499" s="400">
        <v>15</v>
      </c>
      <c r="F1499" s="400" t="s">
        <v>2655</v>
      </c>
      <c r="G1499" s="400" t="s">
        <v>2221</v>
      </c>
      <c r="H1499" s="1238"/>
    </row>
    <row r="1500" spans="1:8" hidden="1">
      <c r="A1500" s="495" t="s">
        <v>2654</v>
      </c>
      <c r="B1500" s="400" t="s">
        <v>684</v>
      </c>
      <c r="C1500" s="400" t="s">
        <v>97</v>
      </c>
      <c r="D1500" s="400">
        <v>1077</v>
      </c>
      <c r="E1500" s="400">
        <v>15</v>
      </c>
      <c r="F1500" s="400" t="s">
        <v>2655</v>
      </c>
      <c r="G1500" s="400" t="s">
        <v>2221</v>
      </c>
      <c r="H1500" s="1238"/>
    </row>
    <row r="1501" spans="1:8" hidden="1">
      <c r="A1501" s="495" t="s">
        <v>2654</v>
      </c>
      <c r="B1501" s="400" t="s">
        <v>684</v>
      </c>
      <c r="C1501" s="400" t="s">
        <v>97</v>
      </c>
      <c r="D1501" s="400">
        <v>1078</v>
      </c>
      <c r="E1501" s="400">
        <v>15</v>
      </c>
      <c r="F1501" s="400" t="s">
        <v>2655</v>
      </c>
      <c r="G1501" s="400" t="s">
        <v>2221</v>
      </c>
      <c r="H1501" s="1238"/>
    </row>
    <row r="1502" spans="1:8" hidden="1">
      <c r="A1502" s="495" t="s">
        <v>2654</v>
      </c>
      <c r="B1502" s="400" t="s">
        <v>684</v>
      </c>
      <c r="C1502" s="400" t="s">
        <v>97</v>
      </c>
      <c r="D1502" s="400">
        <v>1079</v>
      </c>
      <c r="E1502" s="400">
        <v>15</v>
      </c>
      <c r="F1502" s="400" t="s">
        <v>2655</v>
      </c>
      <c r="G1502" s="400" t="s">
        <v>2221</v>
      </c>
      <c r="H1502" s="1238"/>
    </row>
    <row r="1503" spans="1:8" hidden="1">
      <c r="A1503" s="495" t="s">
        <v>2654</v>
      </c>
      <c r="B1503" s="400" t="s">
        <v>684</v>
      </c>
      <c r="C1503" s="400" t="s">
        <v>97</v>
      </c>
      <c r="D1503" s="400">
        <v>1080</v>
      </c>
      <c r="E1503" s="400">
        <v>15</v>
      </c>
      <c r="F1503" s="400" t="s">
        <v>2655</v>
      </c>
      <c r="G1503" s="400" t="s">
        <v>2221</v>
      </c>
      <c r="H1503" s="1238"/>
    </row>
    <row r="1504" spans="1:8" hidden="1">
      <c r="A1504" s="495" t="s">
        <v>2654</v>
      </c>
      <c r="B1504" s="400" t="s">
        <v>684</v>
      </c>
      <c r="C1504" s="400" t="s">
        <v>97</v>
      </c>
      <c r="D1504" s="400">
        <v>1081</v>
      </c>
      <c r="E1504" s="400">
        <v>15</v>
      </c>
      <c r="F1504" s="400" t="s">
        <v>2655</v>
      </c>
      <c r="G1504" s="400" t="s">
        <v>2221</v>
      </c>
      <c r="H1504" s="1238"/>
    </row>
    <row r="1505" spans="1:8" hidden="1">
      <c r="A1505" s="495" t="s">
        <v>2654</v>
      </c>
      <c r="B1505" s="400" t="s">
        <v>684</v>
      </c>
      <c r="C1505" s="400" t="s">
        <v>97</v>
      </c>
      <c r="D1505" s="400">
        <v>1082</v>
      </c>
      <c r="E1505" s="400">
        <v>15</v>
      </c>
      <c r="F1505" s="400" t="s">
        <v>2655</v>
      </c>
      <c r="G1505" s="400" t="s">
        <v>2221</v>
      </c>
      <c r="H1505" s="1238"/>
    </row>
    <row r="1506" spans="1:8" hidden="1">
      <c r="A1506" s="495" t="s">
        <v>2654</v>
      </c>
      <c r="B1506" s="400" t="s">
        <v>684</v>
      </c>
      <c r="C1506" s="400" t="s">
        <v>97</v>
      </c>
      <c r="D1506" s="400">
        <v>1083</v>
      </c>
      <c r="E1506" s="400">
        <v>15</v>
      </c>
      <c r="F1506" s="400" t="s">
        <v>2655</v>
      </c>
      <c r="G1506" s="400" t="s">
        <v>2221</v>
      </c>
      <c r="H1506" s="1238"/>
    </row>
    <row r="1507" spans="1:8" hidden="1">
      <c r="A1507" s="495" t="s">
        <v>2654</v>
      </c>
      <c r="B1507" s="400" t="s">
        <v>684</v>
      </c>
      <c r="C1507" s="400" t="s">
        <v>97</v>
      </c>
      <c r="D1507" s="400">
        <v>1084</v>
      </c>
      <c r="E1507" s="400">
        <v>15</v>
      </c>
      <c r="F1507" s="400" t="s">
        <v>2655</v>
      </c>
      <c r="G1507" s="400" t="s">
        <v>2221</v>
      </c>
      <c r="H1507" s="1238"/>
    </row>
    <row r="1508" spans="1:8" hidden="1">
      <c r="A1508" s="495" t="s">
        <v>2654</v>
      </c>
      <c r="B1508" s="400" t="s">
        <v>684</v>
      </c>
      <c r="C1508" s="400" t="s">
        <v>97</v>
      </c>
      <c r="D1508" s="400">
        <v>1085</v>
      </c>
      <c r="E1508" s="400">
        <v>15</v>
      </c>
      <c r="F1508" s="400" t="s">
        <v>2655</v>
      </c>
      <c r="G1508" s="400" t="s">
        <v>2221</v>
      </c>
      <c r="H1508" s="1238"/>
    </row>
    <row r="1509" spans="1:8" hidden="1">
      <c r="A1509" s="495" t="s">
        <v>2654</v>
      </c>
      <c r="B1509" s="400" t="s">
        <v>684</v>
      </c>
      <c r="C1509" s="400" t="s">
        <v>97</v>
      </c>
      <c r="D1509" s="400">
        <v>1086</v>
      </c>
      <c r="E1509" s="400">
        <v>15</v>
      </c>
      <c r="F1509" s="400" t="s">
        <v>2655</v>
      </c>
      <c r="G1509" s="400" t="s">
        <v>2221</v>
      </c>
      <c r="H1509" s="1238"/>
    </row>
    <row r="1510" spans="1:8" hidden="1">
      <c r="A1510" s="495" t="s">
        <v>2654</v>
      </c>
      <c r="B1510" s="400" t="s">
        <v>684</v>
      </c>
      <c r="C1510" s="400" t="s">
        <v>97</v>
      </c>
      <c r="D1510" s="400">
        <v>1087</v>
      </c>
      <c r="E1510" s="400">
        <v>15</v>
      </c>
      <c r="F1510" s="400" t="s">
        <v>2655</v>
      </c>
      <c r="G1510" s="400" t="s">
        <v>2221</v>
      </c>
      <c r="H1510" s="1238"/>
    </row>
    <row r="1511" spans="1:8" hidden="1">
      <c r="A1511" s="495" t="s">
        <v>2654</v>
      </c>
      <c r="B1511" s="400" t="s">
        <v>684</v>
      </c>
      <c r="C1511" s="400" t="s">
        <v>97</v>
      </c>
      <c r="D1511" s="400">
        <v>1088</v>
      </c>
      <c r="E1511" s="400">
        <v>15</v>
      </c>
      <c r="F1511" s="400" t="s">
        <v>2655</v>
      </c>
      <c r="G1511" s="400" t="s">
        <v>2221</v>
      </c>
      <c r="H1511" s="1238"/>
    </row>
    <row r="1512" spans="1:8" hidden="1">
      <c r="A1512" s="495" t="s">
        <v>2654</v>
      </c>
      <c r="B1512" s="400" t="s">
        <v>684</v>
      </c>
      <c r="C1512" s="400" t="s">
        <v>97</v>
      </c>
      <c r="D1512" s="400">
        <v>1089</v>
      </c>
      <c r="E1512" s="400">
        <v>15</v>
      </c>
      <c r="F1512" s="400" t="s">
        <v>2655</v>
      </c>
      <c r="G1512" s="400" t="s">
        <v>2221</v>
      </c>
      <c r="H1512" s="1238"/>
    </row>
    <row r="1513" spans="1:8" hidden="1">
      <c r="A1513" s="495" t="s">
        <v>2654</v>
      </c>
      <c r="B1513" s="400" t="s">
        <v>684</v>
      </c>
      <c r="C1513" s="400" t="s">
        <v>97</v>
      </c>
      <c r="D1513" s="400">
        <v>1090</v>
      </c>
      <c r="E1513" s="400">
        <v>18</v>
      </c>
      <c r="F1513" s="400" t="s">
        <v>2298</v>
      </c>
      <c r="G1513" s="400" t="s">
        <v>2221</v>
      </c>
      <c r="H1513" s="1238"/>
    </row>
    <row r="1514" spans="1:8" hidden="1">
      <c r="A1514" s="495" t="s">
        <v>2654</v>
      </c>
      <c r="B1514" s="400" t="s">
        <v>684</v>
      </c>
      <c r="C1514" s="400" t="s">
        <v>97</v>
      </c>
      <c r="D1514" s="400">
        <v>1091</v>
      </c>
      <c r="E1514" s="400">
        <v>15</v>
      </c>
      <c r="F1514" s="400" t="s">
        <v>2655</v>
      </c>
      <c r="G1514" s="400" t="s">
        <v>2221</v>
      </c>
      <c r="H1514" s="1238"/>
    </row>
    <row r="1515" spans="1:8" hidden="1">
      <c r="A1515" s="495" t="s">
        <v>2654</v>
      </c>
      <c r="B1515" s="400" t="s">
        <v>684</v>
      </c>
      <c r="C1515" s="400" t="s">
        <v>97</v>
      </c>
      <c r="D1515" s="400">
        <v>1092</v>
      </c>
      <c r="E1515" s="400">
        <v>15</v>
      </c>
      <c r="F1515" s="400" t="s">
        <v>2655</v>
      </c>
      <c r="G1515" s="400" t="s">
        <v>2221</v>
      </c>
      <c r="H1515" s="1238"/>
    </row>
    <row r="1516" spans="1:8" hidden="1">
      <c r="A1516" s="495" t="s">
        <v>2654</v>
      </c>
      <c r="B1516" s="400" t="s">
        <v>684</v>
      </c>
      <c r="C1516" s="400" t="s">
        <v>97</v>
      </c>
      <c r="D1516" s="400">
        <v>1093</v>
      </c>
      <c r="E1516" s="400">
        <v>15</v>
      </c>
      <c r="F1516" s="400" t="s">
        <v>2655</v>
      </c>
      <c r="G1516" s="400" t="s">
        <v>2221</v>
      </c>
      <c r="H1516" s="1238"/>
    </row>
    <row r="1517" spans="1:8" hidden="1">
      <c r="A1517" s="495" t="s">
        <v>2654</v>
      </c>
      <c r="B1517" s="400" t="s">
        <v>684</v>
      </c>
      <c r="C1517" s="400" t="s">
        <v>97</v>
      </c>
      <c r="D1517" s="400">
        <v>1094</v>
      </c>
      <c r="E1517" s="400">
        <v>15</v>
      </c>
      <c r="F1517" s="400" t="s">
        <v>2655</v>
      </c>
      <c r="G1517" s="400" t="s">
        <v>2221</v>
      </c>
      <c r="H1517" s="1238"/>
    </row>
    <row r="1518" spans="1:8" hidden="1">
      <c r="A1518" s="495" t="s">
        <v>2654</v>
      </c>
      <c r="B1518" s="400" t="s">
        <v>684</v>
      </c>
      <c r="C1518" s="400" t="s">
        <v>97</v>
      </c>
      <c r="D1518" s="400">
        <v>1095</v>
      </c>
      <c r="E1518" s="400">
        <v>15</v>
      </c>
      <c r="F1518" s="400" t="s">
        <v>2655</v>
      </c>
      <c r="G1518" s="400" t="s">
        <v>2221</v>
      </c>
      <c r="H1518" s="1238"/>
    </row>
    <row r="1519" spans="1:8" hidden="1">
      <c r="A1519" s="495" t="s">
        <v>2654</v>
      </c>
      <c r="B1519" s="400" t="s">
        <v>684</v>
      </c>
      <c r="C1519" s="400" t="s">
        <v>97</v>
      </c>
      <c r="D1519" s="400">
        <v>1096</v>
      </c>
      <c r="E1519" s="400">
        <v>15</v>
      </c>
      <c r="F1519" s="400" t="s">
        <v>2655</v>
      </c>
      <c r="G1519" s="400" t="s">
        <v>2221</v>
      </c>
      <c r="H1519" s="1238"/>
    </row>
    <row r="1520" spans="1:8" hidden="1">
      <c r="A1520" s="495" t="s">
        <v>2654</v>
      </c>
      <c r="B1520" s="400" t="s">
        <v>684</v>
      </c>
      <c r="C1520" s="400" t="s">
        <v>97</v>
      </c>
      <c r="D1520" s="400">
        <v>1097</v>
      </c>
      <c r="E1520" s="400">
        <v>15</v>
      </c>
      <c r="F1520" s="400" t="s">
        <v>2655</v>
      </c>
      <c r="G1520" s="400" t="s">
        <v>2221</v>
      </c>
      <c r="H1520" s="1238"/>
    </row>
    <row r="1521" spans="1:8" hidden="1">
      <c r="A1521" s="495" t="s">
        <v>2654</v>
      </c>
      <c r="B1521" s="400" t="s">
        <v>684</v>
      </c>
      <c r="C1521" s="400" t="s">
        <v>97</v>
      </c>
      <c r="D1521" s="400">
        <v>1098</v>
      </c>
      <c r="E1521" s="400">
        <v>15</v>
      </c>
      <c r="F1521" s="400" t="s">
        <v>2655</v>
      </c>
      <c r="G1521" s="400" t="s">
        <v>2221</v>
      </c>
      <c r="H1521" s="1238"/>
    </row>
    <row r="1522" spans="1:8" hidden="1">
      <c r="A1522" s="495" t="s">
        <v>2654</v>
      </c>
      <c r="B1522" s="400" t="s">
        <v>684</v>
      </c>
      <c r="C1522" s="400" t="s">
        <v>97</v>
      </c>
      <c r="D1522" s="400">
        <v>1099</v>
      </c>
      <c r="E1522" s="400">
        <v>15</v>
      </c>
      <c r="F1522" s="400" t="s">
        <v>2655</v>
      </c>
      <c r="G1522" s="400" t="s">
        <v>2221</v>
      </c>
      <c r="H1522" s="1238"/>
    </row>
    <row r="1523" spans="1:8" hidden="1">
      <c r="A1523" s="495" t="s">
        <v>2654</v>
      </c>
      <c r="B1523" s="400" t="s">
        <v>684</v>
      </c>
      <c r="C1523" s="400" t="s">
        <v>97</v>
      </c>
      <c r="D1523" s="400">
        <v>1100</v>
      </c>
      <c r="E1523" s="400">
        <v>15</v>
      </c>
      <c r="F1523" s="400" t="s">
        <v>2655</v>
      </c>
      <c r="G1523" s="400" t="s">
        <v>2221</v>
      </c>
      <c r="H1523" s="1238"/>
    </row>
    <row r="1524" spans="1:8" hidden="1">
      <c r="A1524" s="495" t="s">
        <v>2654</v>
      </c>
      <c r="B1524" s="400" t="s">
        <v>684</v>
      </c>
      <c r="C1524" s="400" t="s">
        <v>97</v>
      </c>
      <c r="D1524" s="400">
        <v>1101</v>
      </c>
      <c r="E1524" s="400">
        <v>15</v>
      </c>
      <c r="F1524" s="400" t="s">
        <v>2655</v>
      </c>
      <c r="G1524" s="400" t="s">
        <v>2221</v>
      </c>
      <c r="H1524" s="1238"/>
    </row>
    <row r="1525" spans="1:8" hidden="1">
      <c r="A1525" s="495" t="s">
        <v>2654</v>
      </c>
      <c r="B1525" s="400" t="s">
        <v>684</v>
      </c>
      <c r="C1525" s="400" t="s">
        <v>97</v>
      </c>
      <c r="D1525" s="400">
        <v>1102</v>
      </c>
      <c r="E1525" s="400">
        <v>15</v>
      </c>
      <c r="F1525" s="400" t="s">
        <v>2655</v>
      </c>
      <c r="G1525" s="400" t="s">
        <v>2221</v>
      </c>
      <c r="H1525" s="1238"/>
    </row>
    <row r="1526" spans="1:8" hidden="1">
      <c r="A1526" s="495" t="s">
        <v>2654</v>
      </c>
      <c r="B1526" s="400" t="s">
        <v>684</v>
      </c>
      <c r="C1526" s="400" t="s">
        <v>97</v>
      </c>
      <c r="D1526" s="400">
        <v>1103</v>
      </c>
      <c r="E1526" s="400">
        <v>15</v>
      </c>
      <c r="F1526" s="400" t="s">
        <v>2655</v>
      </c>
      <c r="G1526" s="400" t="s">
        <v>2221</v>
      </c>
      <c r="H1526" s="1238"/>
    </row>
    <row r="1527" spans="1:8" hidden="1">
      <c r="A1527" s="495" t="s">
        <v>2654</v>
      </c>
      <c r="B1527" s="400" t="s">
        <v>684</v>
      </c>
      <c r="C1527" s="400" t="s">
        <v>97</v>
      </c>
      <c r="D1527" s="400">
        <v>1104</v>
      </c>
      <c r="E1527" s="400">
        <v>15</v>
      </c>
      <c r="F1527" s="400" t="s">
        <v>2655</v>
      </c>
      <c r="G1527" s="400" t="s">
        <v>2221</v>
      </c>
      <c r="H1527" s="1238"/>
    </row>
    <row r="1528" spans="1:8" hidden="1">
      <c r="A1528" s="495" t="s">
        <v>2654</v>
      </c>
      <c r="B1528" s="400" t="s">
        <v>684</v>
      </c>
      <c r="C1528" s="400" t="s">
        <v>97</v>
      </c>
      <c r="D1528" s="400">
        <v>1105</v>
      </c>
      <c r="E1528" s="400">
        <v>15</v>
      </c>
      <c r="F1528" s="400" t="s">
        <v>2655</v>
      </c>
      <c r="G1528" s="400" t="s">
        <v>2221</v>
      </c>
      <c r="H1528" s="1238"/>
    </row>
    <row r="1529" spans="1:8" hidden="1">
      <c r="A1529" s="495" t="s">
        <v>2654</v>
      </c>
      <c r="B1529" s="400" t="s">
        <v>684</v>
      </c>
      <c r="C1529" s="400" t="s">
        <v>97</v>
      </c>
      <c r="D1529" s="400">
        <v>1106</v>
      </c>
      <c r="E1529" s="400">
        <v>15</v>
      </c>
      <c r="F1529" s="400" t="s">
        <v>2655</v>
      </c>
      <c r="G1529" s="400" t="s">
        <v>2221</v>
      </c>
      <c r="H1529" s="1238"/>
    </row>
    <row r="1530" spans="1:8" hidden="1">
      <c r="A1530" s="495" t="s">
        <v>2654</v>
      </c>
      <c r="B1530" s="400" t="s">
        <v>684</v>
      </c>
      <c r="C1530" s="400" t="s">
        <v>97</v>
      </c>
      <c r="D1530" s="400">
        <v>1107</v>
      </c>
      <c r="E1530" s="400">
        <v>15</v>
      </c>
      <c r="F1530" s="400" t="s">
        <v>2655</v>
      </c>
      <c r="G1530" s="400" t="s">
        <v>2221</v>
      </c>
      <c r="H1530" s="1238"/>
    </row>
    <row r="1531" spans="1:8" hidden="1">
      <c r="A1531" s="495" t="s">
        <v>2654</v>
      </c>
      <c r="B1531" s="400" t="s">
        <v>684</v>
      </c>
      <c r="C1531" s="400" t="s">
        <v>97</v>
      </c>
      <c r="D1531" s="400">
        <v>1108</v>
      </c>
      <c r="E1531" s="400">
        <v>15</v>
      </c>
      <c r="F1531" s="400" t="s">
        <v>2655</v>
      </c>
      <c r="G1531" s="400" t="s">
        <v>2221</v>
      </c>
      <c r="H1531" s="1238"/>
    </row>
    <row r="1532" spans="1:8" hidden="1">
      <c r="A1532" s="495" t="s">
        <v>2654</v>
      </c>
      <c r="B1532" s="400" t="s">
        <v>684</v>
      </c>
      <c r="C1532" s="400" t="s">
        <v>97</v>
      </c>
      <c r="D1532" s="400">
        <v>1109</v>
      </c>
      <c r="E1532" s="400">
        <v>15</v>
      </c>
      <c r="F1532" s="400" t="s">
        <v>2655</v>
      </c>
      <c r="G1532" s="400" t="s">
        <v>2221</v>
      </c>
      <c r="H1532" s="1238"/>
    </row>
    <row r="1533" spans="1:8" hidden="1">
      <c r="A1533" s="495" t="s">
        <v>2654</v>
      </c>
      <c r="B1533" s="400" t="s">
        <v>684</v>
      </c>
      <c r="C1533" s="400" t="s">
        <v>97</v>
      </c>
      <c r="D1533" s="400">
        <v>1110</v>
      </c>
      <c r="E1533" s="400">
        <v>15</v>
      </c>
      <c r="F1533" s="400" t="s">
        <v>2655</v>
      </c>
      <c r="G1533" s="400" t="s">
        <v>2221</v>
      </c>
      <c r="H1533" s="1238"/>
    </row>
    <row r="1534" spans="1:8" hidden="1">
      <c r="A1534" s="495" t="s">
        <v>2654</v>
      </c>
      <c r="B1534" s="400" t="s">
        <v>684</v>
      </c>
      <c r="C1534" s="400" t="s">
        <v>97</v>
      </c>
      <c r="D1534" s="400">
        <v>1111</v>
      </c>
      <c r="E1534" s="400">
        <v>15</v>
      </c>
      <c r="F1534" s="400" t="s">
        <v>2655</v>
      </c>
      <c r="G1534" s="400" t="s">
        <v>2221</v>
      </c>
      <c r="H1534" s="1238"/>
    </row>
    <row r="1535" spans="1:8" hidden="1">
      <c r="A1535" s="495" t="s">
        <v>2654</v>
      </c>
      <c r="B1535" s="400" t="s">
        <v>684</v>
      </c>
      <c r="C1535" s="400" t="s">
        <v>97</v>
      </c>
      <c r="D1535" s="400">
        <v>1112</v>
      </c>
      <c r="E1535" s="400">
        <v>15</v>
      </c>
      <c r="F1535" s="400" t="s">
        <v>2655</v>
      </c>
      <c r="G1535" s="400" t="s">
        <v>2221</v>
      </c>
      <c r="H1535" s="1238"/>
    </row>
    <row r="1536" spans="1:8" hidden="1">
      <c r="A1536" s="495" t="s">
        <v>2654</v>
      </c>
      <c r="B1536" s="400" t="s">
        <v>684</v>
      </c>
      <c r="C1536" s="400" t="s">
        <v>97</v>
      </c>
      <c r="D1536" s="400">
        <v>1113</v>
      </c>
      <c r="E1536" s="400">
        <v>15</v>
      </c>
      <c r="F1536" s="400" t="s">
        <v>2655</v>
      </c>
      <c r="G1536" s="400" t="s">
        <v>2221</v>
      </c>
      <c r="H1536" s="1238"/>
    </row>
    <row r="1537" spans="1:8" hidden="1">
      <c r="A1537" s="495" t="s">
        <v>2654</v>
      </c>
      <c r="B1537" s="400" t="s">
        <v>684</v>
      </c>
      <c r="C1537" s="400" t="s">
        <v>97</v>
      </c>
      <c r="D1537" s="400">
        <v>1114</v>
      </c>
      <c r="E1537" s="400">
        <v>15</v>
      </c>
      <c r="F1537" s="400" t="s">
        <v>2655</v>
      </c>
      <c r="G1537" s="400" t="s">
        <v>2221</v>
      </c>
      <c r="H1537" s="1238"/>
    </row>
    <row r="1538" spans="1:8" hidden="1">
      <c r="A1538" s="495" t="s">
        <v>2654</v>
      </c>
      <c r="B1538" s="400" t="s">
        <v>684</v>
      </c>
      <c r="C1538" s="400" t="s">
        <v>97</v>
      </c>
      <c r="D1538" s="400">
        <v>1115</v>
      </c>
      <c r="E1538" s="400">
        <v>15</v>
      </c>
      <c r="F1538" s="400" t="s">
        <v>2655</v>
      </c>
      <c r="G1538" s="400" t="s">
        <v>2221</v>
      </c>
      <c r="H1538" s="1238"/>
    </row>
    <row r="1539" spans="1:8" hidden="1">
      <c r="A1539" s="495" t="s">
        <v>2654</v>
      </c>
      <c r="B1539" s="400" t="s">
        <v>684</v>
      </c>
      <c r="C1539" s="400" t="s">
        <v>97</v>
      </c>
      <c r="D1539" s="400">
        <v>1116</v>
      </c>
      <c r="E1539" s="400">
        <v>15</v>
      </c>
      <c r="F1539" s="400" t="s">
        <v>2655</v>
      </c>
      <c r="G1539" s="400" t="s">
        <v>2221</v>
      </c>
      <c r="H1539" s="1238"/>
    </row>
    <row r="1540" spans="1:8" hidden="1">
      <c r="A1540" s="495" t="s">
        <v>2654</v>
      </c>
      <c r="B1540" s="400" t="s">
        <v>684</v>
      </c>
      <c r="C1540" s="400" t="s">
        <v>97</v>
      </c>
      <c r="D1540" s="400">
        <v>1117</v>
      </c>
      <c r="E1540" s="400">
        <v>15</v>
      </c>
      <c r="F1540" s="400" t="s">
        <v>2655</v>
      </c>
      <c r="G1540" s="400" t="s">
        <v>2221</v>
      </c>
      <c r="H1540" s="1238"/>
    </row>
    <row r="1541" spans="1:8" hidden="1">
      <c r="A1541" s="495" t="s">
        <v>2654</v>
      </c>
      <c r="B1541" s="400" t="s">
        <v>684</v>
      </c>
      <c r="C1541" s="400" t="s">
        <v>97</v>
      </c>
      <c r="D1541" s="400">
        <v>1118</v>
      </c>
      <c r="E1541" s="400">
        <v>15</v>
      </c>
      <c r="F1541" s="400" t="s">
        <v>2655</v>
      </c>
      <c r="G1541" s="400" t="s">
        <v>2221</v>
      </c>
      <c r="H1541" s="1238"/>
    </row>
    <row r="1542" spans="1:8" hidden="1">
      <c r="A1542" s="495" t="s">
        <v>2654</v>
      </c>
      <c r="B1542" s="400" t="s">
        <v>684</v>
      </c>
      <c r="C1542" s="400" t="s">
        <v>97</v>
      </c>
      <c r="D1542" s="400">
        <v>1119</v>
      </c>
      <c r="E1542" s="400">
        <v>15</v>
      </c>
      <c r="F1542" s="400" t="s">
        <v>2655</v>
      </c>
      <c r="G1542" s="400" t="s">
        <v>2221</v>
      </c>
      <c r="H1542" s="1238"/>
    </row>
    <row r="1543" spans="1:8" hidden="1">
      <c r="A1543" s="495" t="s">
        <v>2654</v>
      </c>
      <c r="B1543" s="400" t="s">
        <v>684</v>
      </c>
      <c r="C1543" s="400" t="s">
        <v>97</v>
      </c>
      <c r="D1543" s="400">
        <v>1120</v>
      </c>
      <c r="E1543" s="400">
        <v>15</v>
      </c>
      <c r="F1543" s="400" t="s">
        <v>2655</v>
      </c>
      <c r="G1543" s="400" t="s">
        <v>2221</v>
      </c>
      <c r="H1543" s="1238"/>
    </row>
    <row r="1544" spans="1:8" hidden="1">
      <c r="A1544" s="495" t="s">
        <v>2654</v>
      </c>
      <c r="B1544" s="400" t="s">
        <v>684</v>
      </c>
      <c r="C1544" s="400" t="s">
        <v>97</v>
      </c>
      <c r="D1544" s="400">
        <v>1121</v>
      </c>
      <c r="E1544" s="400">
        <v>15</v>
      </c>
      <c r="F1544" s="400" t="s">
        <v>2655</v>
      </c>
      <c r="G1544" s="400" t="s">
        <v>2221</v>
      </c>
      <c r="H1544" s="1238"/>
    </row>
    <row r="1545" spans="1:8" hidden="1">
      <c r="A1545" s="495" t="s">
        <v>2654</v>
      </c>
      <c r="B1545" s="400" t="s">
        <v>684</v>
      </c>
      <c r="C1545" s="400" t="s">
        <v>97</v>
      </c>
      <c r="D1545" s="400">
        <v>1122</v>
      </c>
      <c r="E1545" s="400">
        <v>15</v>
      </c>
      <c r="F1545" s="400" t="s">
        <v>2655</v>
      </c>
      <c r="G1545" s="400" t="s">
        <v>2221</v>
      </c>
      <c r="H1545" s="1238"/>
    </row>
    <row r="1546" spans="1:8" hidden="1">
      <c r="A1546" s="495" t="s">
        <v>2654</v>
      </c>
      <c r="B1546" s="400" t="s">
        <v>684</v>
      </c>
      <c r="C1546" s="400" t="s">
        <v>97</v>
      </c>
      <c r="D1546" s="400">
        <v>1123</v>
      </c>
      <c r="E1546" s="400">
        <v>15</v>
      </c>
      <c r="F1546" s="400" t="s">
        <v>2655</v>
      </c>
      <c r="G1546" s="400" t="s">
        <v>2221</v>
      </c>
      <c r="H1546" s="1238"/>
    </row>
    <row r="1547" spans="1:8" hidden="1">
      <c r="A1547" s="495" t="s">
        <v>2654</v>
      </c>
      <c r="B1547" s="400" t="s">
        <v>684</v>
      </c>
      <c r="C1547" s="400" t="s">
        <v>97</v>
      </c>
      <c r="D1547" s="400">
        <v>1124</v>
      </c>
      <c r="E1547" s="400">
        <v>15</v>
      </c>
      <c r="F1547" s="400" t="s">
        <v>2655</v>
      </c>
      <c r="G1547" s="400" t="s">
        <v>2221</v>
      </c>
      <c r="H1547" s="1238"/>
    </row>
    <row r="1548" spans="1:8" hidden="1">
      <c r="A1548" s="495" t="s">
        <v>2654</v>
      </c>
      <c r="B1548" s="400" t="s">
        <v>684</v>
      </c>
      <c r="C1548" s="400" t="s">
        <v>97</v>
      </c>
      <c r="D1548" s="400">
        <v>1125</v>
      </c>
      <c r="E1548" s="400">
        <v>15</v>
      </c>
      <c r="F1548" s="400" t="s">
        <v>2655</v>
      </c>
      <c r="G1548" s="400" t="s">
        <v>2221</v>
      </c>
      <c r="H1548" s="1238"/>
    </row>
    <row r="1549" spans="1:8" hidden="1">
      <c r="A1549" s="495" t="s">
        <v>2654</v>
      </c>
      <c r="B1549" s="400" t="s">
        <v>684</v>
      </c>
      <c r="C1549" s="400" t="s">
        <v>97</v>
      </c>
      <c r="D1549" s="400">
        <v>1126</v>
      </c>
      <c r="E1549" s="400">
        <v>15</v>
      </c>
      <c r="F1549" s="400" t="s">
        <v>2655</v>
      </c>
      <c r="G1549" s="400" t="s">
        <v>2221</v>
      </c>
      <c r="H1549" s="1238"/>
    </row>
    <row r="1550" spans="1:8" hidden="1">
      <c r="A1550" s="495" t="s">
        <v>2654</v>
      </c>
      <c r="B1550" s="400" t="s">
        <v>684</v>
      </c>
      <c r="C1550" s="400" t="s">
        <v>97</v>
      </c>
      <c r="D1550" s="400">
        <v>1127</v>
      </c>
      <c r="E1550" s="400">
        <v>15</v>
      </c>
      <c r="F1550" s="400" t="s">
        <v>2655</v>
      </c>
      <c r="G1550" s="400" t="s">
        <v>2221</v>
      </c>
      <c r="H1550" s="1238"/>
    </row>
    <row r="1551" spans="1:8" hidden="1">
      <c r="A1551" s="495" t="s">
        <v>2654</v>
      </c>
      <c r="B1551" s="400" t="s">
        <v>684</v>
      </c>
      <c r="C1551" s="400" t="s">
        <v>97</v>
      </c>
      <c r="D1551" s="400">
        <v>1128</v>
      </c>
      <c r="E1551" s="400">
        <v>15</v>
      </c>
      <c r="F1551" s="400" t="s">
        <v>2655</v>
      </c>
      <c r="G1551" s="400" t="s">
        <v>2221</v>
      </c>
      <c r="H1551" s="1238"/>
    </row>
    <row r="1552" spans="1:8" hidden="1">
      <c r="A1552" s="495" t="s">
        <v>2654</v>
      </c>
      <c r="B1552" s="400" t="s">
        <v>684</v>
      </c>
      <c r="C1552" s="400" t="s">
        <v>97</v>
      </c>
      <c r="D1552" s="400">
        <v>1129</v>
      </c>
      <c r="E1552" s="400">
        <v>15</v>
      </c>
      <c r="F1552" s="400" t="s">
        <v>2655</v>
      </c>
      <c r="G1552" s="400" t="s">
        <v>2221</v>
      </c>
      <c r="H1552" s="1238"/>
    </row>
    <row r="1553" spans="1:8" hidden="1">
      <c r="A1553" s="495" t="s">
        <v>2654</v>
      </c>
      <c r="B1553" s="400" t="s">
        <v>684</v>
      </c>
      <c r="C1553" s="400" t="s">
        <v>97</v>
      </c>
      <c r="D1553" s="400">
        <v>1130</v>
      </c>
      <c r="E1553" s="400">
        <v>15</v>
      </c>
      <c r="F1553" s="400" t="s">
        <v>2655</v>
      </c>
      <c r="G1553" s="400" t="s">
        <v>2221</v>
      </c>
      <c r="H1553" s="1238"/>
    </row>
    <row r="1554" spans="1:8" hidden="1">
      <c r="A1554" s="495" t="s">
        <v>2654</v>
      </c>
      <c r="B1554" s="400" t="s">
        <v>684</v>
      </c>
      <c r="C1554" s="400" t="s">
        <v>97</v>
      </c>
      <c r="D1554" s="400">
        <v>1132</v>
      </c>
      <c r="E1554" s="400">
        <v>15</v>
      </c>
      <c r="F1554" s="400" t="s">
        <v>2655</v>
      </c>
      <c r="G1554" s="400" t="s">
        <v>2221</v>
      </c>
      <c r="H1554" s="1238"/>
    </row>
    <row r="1555" spans="1:8" hidden="1">
      <c r="A1555" s="495" t="s">
        <v>2654</v>
      </c>
      <c r="B1555" s="400" t="s">
        <v>684</v>
      </c>
      <c r="C1555" s="400" t="s">
        <v>97</v>
      </c>
      <c r="D1555" s="400">
        <v>1136</v>
      </c>
      <c r="E1555" s="400">
        <v>15</v>
      </c>
      <c r="F1555" s="400" t="s">
        <v>2655</v>
      </c>
      <c r="G1555" s="400" t="s">
        <v>2221</v>
      </c>
      <c r="H1555" s="1238"/>
    </row>
    <row r="1556" spans="1:8" hidden="1">
      <c r="A1556" s="495" t="s">
        <v>2654</v>
      </c>
      <c r="B1556" s="400" t="s">
        <v>684</v>
      </c>
      <c r="C1556" s="400" t="s">
        <v>97</v>
      </c>
      <c r="D1556" s="400">
        <v>1140</v>
      </c>
      <c r="E1556" s="400">
        <v>15</v>
      </c>
      <c r="F1556" s="400" t="s">
        <v>2655</v>
      </c>
      <c r="G1556" s="400" t="s">
        <v>2221</v>
      </c>
      <c r="H1556" s="1238"/>
    </row>
    <row r="1557" spans="1:8" hidden="1">
      <c r="A1557" s="495" t="s">
        <v>2654</v>
      </c>
      <c r="B1557" s="400" t="s">
        <v>684</v>
      </c>
      <c r="C1557" s="400" t="s">
        <v>97</v>
      </c>
      <c r="D1557" s="400">
        <v>1148</v>
      </c>
      <c r="E1557" s="400">
        <v>15</v>
      </c>
      <c r="F1557" s="400" t="s">
        <v>2655</v>
      </c>
      <c r="G1557" s="400" t="s">
        <v>2221</v>
      </c>
      <c r="H1557" s="1238"/>
    </row>
    <row r="1558" spans="1:8" hidden="1">
      <c r="A1558" s="495" t="s">
        <v>2654</v>
      </c>
      <c r="B1558" s="400" t="s">
        <v>684</v>
      </c>
      <c r="C1558" s="400" t="s">
        <v>97</v>
      </c>
      <c r="D1558" s="400">
        <v>1150</v>
      </c>
      <c r="E1558" s="400">
        <v>15</v>
      </c>
      <c r="F1558" s="400" t="s">
        <v>2655</v>
      </c>
      <c r="G1558" s="400" t="s">
        <v>2221</v>
      </c>
      <c r="H1558" s="1238"/>
    </row>
    <row r="1559" spans="1:8" hidden="1">
      <c r="A1559" s="495" t="s">
        <v>2654</v>
      </c>
      <c r="B1559" s="400" t="s">
        <v>684</v>
      </c>
      <c r="C1559" s="400" t="s">
        <v>97</v>
      </c>
      <c r="D1559" s="400">
        <v>1152</v>
      </c>
      <c r="E1559" s="400">
        <v>15</v>
      </c>
      <c r="F1559" s="400" t="s">
        <v>2655</v>
      </c>
      <c r="G1559" s="400" t="s">
        <v>2221</v>
      </c>
      <c r="H1559" s="1238"/>
    </row>
    <row r="1560" spans="1:8" hidden="1">
      <c r="A1560" s="495" t="s">
        <v>2654</v>
      </c>
      <c r="B1560" s="400" t="s">
        <v>684</v>
      </c>
      <c r="C1560" s="400" t="s">
        <v>97</v>
      </c>
      <c r="D1560" s="400">
        <v>1154</v>
      </c>
      <c r="E1560" s="400">
        <v>15</v>
      </c>
      <c r="F1560" s="400" t="s">
        <v>2655</v>
      </c>
      <c r="G1560" s="400" t="s">
        <v>2221</v>
      </c>
      <c r="H1560" s="1238"/>
    </row>
    <row r="1561" spans="1:8" hidden="1">
      <c r="A1561" s="495" t="s">
        <v>2654</v>
      </c>
      <c r="B1561" s="400" t="s">
        <v>684</v>
      </c>
      <c r="C1561" s="400" t="s">
        <v>97</v>
      </c>
      <c r="D1561" s="400">
        <v>1160</v>
      </c>
      <c r="E1561" s="400">
        <v>15</v>
      </c>
      <c r="F1561" s="400" t="s">
        <v>2655</v>
      </c>
      <c r="G1561" s="400" t="s">
        <v>2221</v>
      </c>
      <c r="H1561" s="1238"/>
    </row>
    <row r="1562" spans="1:8" hidden="1">
      <c r="A1562" s="495" t="s">
        <v>2654</v>
      </c>
      <c r="B1562" s="400" t="s">
        <v>684</v>
      </c>
      <c r="C1562" s="400" t="s">
        <v>97</v>
      </c>
      <c r="D1562" s="400">
        <v>1164</v>
      </c>
      <c r="E1562" s="400">
        <v>15</v>
      </c>
      <c r="F1562" s="400" t="s">
        <v>2655</v>
      </c>
      <c r="G1562" s="400" t="s">
        <v>2221</v>
      </c>
      <c r="H1562" s="1238"/>
    </row>
    <row r="1563" spans="1:8" hidden="1">
      <c r="A1563" s="495" t="s">
        <v>2654</v>
      </c>
      <c r="B1563" s="400" t="s">
        <v>684</v>
      </c>
      <c r="C1563" s="400" t="s">
        <v>97</v>
      </c>
      <c r="D1563" s="400">
        <v>1165</v>
      </c>
      <c r="E1563" s="400">
        <v>15</v>
      </c>
      <c r="F1563" s="400" t="s">
        <v>2655</v>
      </c>
      <c r="G1563" s="400" t="s">
        <v>2221</v>
      </c>
      <c r="H1563" s="1238"/>
    </row>
    <row r="1564" spans="1:8" hidden="1">
      <c r="A1564" s="495" t="s">
        <v>2654</v>
      </c>
      <c r="B1564" s="400" t="s">
        <v>684</v>
      </c>
      <c r="C1564" s="400" t="s">
        <v>97</v>
      </c>
      <c r="D1564" s="400">
        <v>1169</v>
      </c>
      <c r="E1564" s="400">
        <v>15</v>
      </c>
      <c r="F1564" s="400" t="s">
        <v>2655</v>
      </c>
      <c r="G1564" s="400" t="s">
        <v>2221</v>
      </c>
      <c r="H1564" s="1238"/>
    </row>
    <row r="1565" spans="1:8" hidden="1">
      <c r="A1565" s="495" t="s">
        <v>2654</v>
      </c>
      <c r="B1565" s="400" t="s">
        <v>684</v>
      </c>
      <c r="C1565" s="400" t="s">
        <v>97</v>
      </c>
      <c r="D1565" s="400">
        <v>1170</v>
      </c>
      <c r="E1565" s="400">
        <v>15</v>
      </c>
      <c r="F1565" s="400" t="s">
        <v>2655</v>
      </c>
      <c r="G1565" s="400" t="s">
        <v>2221</v>
      </c>
      <c r="H1565" s="1238"/>
    </row>
    <row r="1566" spans="1:8" hidden="1">
      <c r="A1566" s="495" t="s">
        <v>2654</v>
      </c>
      <c r="B1566" s="400" t="s">
        <v>684</v>
      </c>
      <c r="C1566" s="400" t="s">
        <v>97</v>
      </c>
      <c r="D1566" s="400">
        <v>1176</v>
      </c>
      <c r="E1566" s="400">
        <v>15</v>
      </c>
      <c r="F1566" s="400" t="s">
        <v>2655</v>
      </c>
      <c r="G1566" s="400" t="s">
        <v>2221</v>
      </c>
      <c r="H1566" s="1238"/>
    </row>
    <row r="1567" spans="1:8" hidden="1">
      <c r="A1567" s="495" t="s">
        <v>2654</v>
      </c>
      <c r="B1567" s="400" t="s">
        <v>684</v>
      </c>
      <c r="C1567" s="400" t="s">
        <v>97</v>
      </c>
      <c r="D1567" s="400">
        <v>1177</v>
      </c>
      <c r="E1567" s="400">
        <v>15</v>
      </c>
      <c r="F1567" s="400" t="s">
        <v>2655</v>
      </c>
      <c r="G1567" s="400" t="s">
        <v>2221</v>
      </c>
      <c r="H1567" s="1238"/>
    </row>
    <row r="1568" spans="1:8" hidden="1">
      <c r="A1568" s="495" t="s">
        <v>2654</v>
      </c>
      <c r="B1568" s="400" t="s">
        <v>684</v>
      </c>
      <c r="C1568" s="400" t="s">
        <v>97</v>
      </c>
      <c r="D1568" s="400">
        <v>1178</v>
      </c>
      <c r="E1568" s="400">
        <v>15</v>
      </c>
      <c r="F1568" s="400" t="s">
        <v>2655</v>
      </c>
      <c r="G1568" s="400" t="s">
        <v>2221</v>
      </c>
      <c r="H1568" s="1238"/>
    </row>
    <row r="1569" spans="1:8" hidden="1">
      <c r="A1569" s="495" t="s">
        <v>2654</v>
      </c>
      <c r="B1569" s="400" t="s">
        <v>684</v>
      </c>
      <c r="C1569" s="400" t="s">
        <v>97</v>
      </c>
      <c r="D1569" s="400">
        <v>1179</v>
      </c>
      <c r="E1569" s="400">
        <v>15</v>
      </c>
      <c r="F1569" s="400" t="s">
        <v>2655</v>
      </c>
      <c r="G1569" s="400" t="s">
        <v>2221</v>
      </c>
      <c r="H1569" s="1238"/>
    </row>
    <row r="1570" spans="1:8" hidden="1">
      <c r="A1570" s="495" t="s">
        <v>2654</v>
      </c>
      <c r="B1570" s="400" t="s">
        <v>684</v>
      </c>
      <c r="C1570" s="400" t="s">
        <v>97</v>
      </c>
      <c r="D1570" s="400">
        <v>1180</v>
      </c>
      <c r="E1570" s="400">
        <v>19</v>
      </c>
      <c r="F1570" s="400" t="s">
        <v>2299</v>
      </c>
      <c r="G1570" s="400" t="s">
        <v>2221</v>
      </c>
      <c r="H1570" s="1238"/>
    </row>
    <row r="1571" spans="1:8" hidden="1">
      <c r="A1571" s="495" t="s">
        <v>2654</v>
      </c>
      <c r="B1571" s="400" t="s">
        <v>684</v>
      </c>
      <c r="C1571" s="400" t="s">
        <v>97</v>
      </c>
      <c r="D1571" s="400">
        <v>1181</v>
      </c>
      <c r="E1571" s="400">
        <v>15</v>
      </c>
      <c r="F1571" s="400" t="s">
        <v>2655</v>
      </c>
      <c r="G1571" s="400" t="s">
        <v>2221</v>
      </c>
      <c r="H1571" s="1238"/>
    </row>
    <row r="1572" spans="1:8" hidden="1">
      <c r="A1572" s="495" t="s">
        <v>2654</v>
      </c>
      <c r="B1572" s="400" t="s">
        <v>684</v>
      </c>
      <c r="C1572" s="400" t="s">
        <v>97</v>
      </c>
      <c r="D1572" s="400">
        <v>1182</v>
      </c>
      <c r="E1572" s="400">
        <v>15</v>
      </c>
      <c r="F1572" s="400" t="s">
        <v>2655</v>
      </c>
      <c r="G1572" s="400" t="s">
        <v>2221</v>
      </c>
      <c r="H1572" s="1238"/>
    </row>
    <row r="1573" spans="1:8" hidden="1">
      <c r="A1573" s="495" t="s">
        <v>2654</v>
      </c>
      <c r="B1573" s="400" t="s">
        <v>684</v>
      </c>
      <c r="C1573" s="400" t="s">
        <v>97</v>
      </c>
      <c r="D1573" s="400">
        <v>1183</v>
      </c>
      <c r="E1573" s="400">
        <v>15</v>
      </c>
      <c r="F1573" s="400" t="s">
        <v>2655</v>
      </c>
      <c r="G1573" s="400" t="s">
        <v>2221</v>
      </c>
      <c r="H1573" s="1238"/>
    </row>
    <row r="1574" spans="1:8" hidden="1">
      <c r="A1574" s="495" t="s">
        <v>2654</v>
      </c>
      <c r="B1574" s="400" t="s">
        <v>684</v>
      </c>
      <c r="C1574" s="400" t="s">
        <v>97</v>
      </c>
      <c r="D1574" s="400">
        <v>1184</v>
      </c>
      <c r="E1574" s="400">
        <v>15</v>
      </c>
      <c r="F1574" s="400" t="s">
        <v>2655</v>
      </c>
      <c r="G1574" s="400" t="s">
        <v>2221</v>
      </c>
      <c r="H1574" s="1238"/>
    </row>
    <row r="1575" spans="1:8" hidden="1">
      <c r="A1575" s="495" t="s">
        <v>2654</v>
      </c>
      <c r="B1575" s="400" t="s">
        <v>684</v>
      </c>
      <c r="C1575" s="400" t="s">
        <v>97</v>
      </c>
      <c r="D1575" s="400">
        <v>1185</v>
      </c>
      <c r="E1575" s="400">
        <v>15</v>
      </c>
      <c r="F1575" s="400" t="s">
        <v>2655</v>
      </c>
      <c r="G1575" s="400" t="s">
        <v>2221</v>
      </c>
      <c r="H1575" s="1238"/>
    </row>
    <row r="1576" spans="1:8" hidden="1">
      <c r="A1576" s="495" t="s">
        <v>2654</v>
      </c>
      <c r="B1576" s="400" t="s">
        <v>684</v>
      </c>
      <c r="C1576" s="400" t="s">
        <v>97</v>
      </c>
      <c r="D1576" s="400">
        <v>1188</v>
      </c>
      <c r="E1576" s="400">
        <v>15</v>
      </c>
      <c r="F1576" s="400" t="s">
        <v>2655</v>
      </c>
      <c r="G1576" s="400" t="s">
        <v>2221</v>
      </c>
      <c r="H1576" s="1238"/>
    </row>
    <row r="1577" spans="1:8" hidden="1">
      <c r="A1577" s="495" t="s">
        <v>2654</v>
      </c>
      <c r="B1577" s="400" t="s">
        <v>684</v>
      </c>
      <c r="C1577" s="400" t="s">
        <v>97</v>
      </c>
      <c r="D1577" s="400">
        <v>1189</v>
      </c>
      <c r="E1577" s="400">
        <v>15</v>
      </c>
      <c r="F1577" s="400" t="s">
        <v>2655</v>
      </c>
      <c r="G1577" s="400" t="s">
        <v>2221</v>
      </c>
      <c r="H1577" s="1238"/>
    </row>
    <row r="1578" spans="1:8" hidden="1">
      <c r="A1578" s="495" t="s">
        <v>2654</v>
      </c>
      <c r="B1578" s="400" t="s">
        <v>684</v>
      </c>
      <c r="C1578" s="400" t="s">
        <v>97</v>
      </c>
      <c r="D1578" s="400">
        <v>1190</v>
      </c>
      <c r="E1578" s="400">
        <v>15</v>
      </c>
      <c r="F1578" s="400" t="s">
        <v>2655</v>
      </c>
      <c r="G1578" s="400" t="s">
        <v>2221</v>
      </c>
      <c r="H1578" s="1238"/>
    </row>
    <row r="1579" spans="1:8" hidden="1">
      <c r="A1579" s="495" t="s">
        <v>2654</v>
      </c>
      <c r="B1579" s="400" t="s">
        <v>684</v>
      </c>
      <c r="C1579" s="400" t="s">
        <v>97</v>
      </c>
      <c r="D1579" s="400">
        <v>1200</v>
      </c>
      <c r="E1579" s="400">
        <v>15</v>
      </c>
      <c r="F1579" s="400" t="s">
        <v>2655</v>
      </c>
      <c r="G1579" s="400" t="s">
        <v>2221</v>
      </c>
      <c r="H1579" s="1238"/>
    </row>
    <row r="1580" spans="1:8" hidden="1">
      <c r="A1580" s="495" t="s">
        <v>2654</v>
      </c>
      <c r="B1580" s="400" t="s">
        <v>684</v>
      </c>
      <c r="C1580" s="400" t="s">
        <v>97</v>
      </c>
      <c r="D1580" s="400">
        <v>1210</v>
      </c>
      <c r="E1580" s="400">
        <v>15</v>
      </c>
      <c r="F1580" s="400" t="s">
        <v>2655</v>
      </c>
      <c r="G1580" s="400" t="s">
        <v>2221</v>
      </c>
      <c r="H1580" s="1238"/>
    </row>
    <row r="1581" spans="1:8" hidden="1">
      <c r="A1581" s="495" t="s">
        <v>2654</v>
      </c>
      <c r="B1581" s="400" t="s">
        <v>684</v>
      </c>
      <c r="C1581" s="400" t="s">
        <v>97</v>
      </c>
      <c r="D1581" s="400">
        <v>1220</v>
      </c>
      <c r="E1581" s="400">
        <v>15</v>
      </c>
      <c r="F1581" s="400" t="s">
        <v>2655</v>
      </c>
      <c r="G1581" s="400" t="s">
        <v>2221</v>
      </c>
      <c r="H1581" s="1238"/>
    </row>
    <row r="1582" spans="1:8" hidden="1">
      <c r="A1582" s="495" t="s">
        <v>2654</v>
      </c>
      <c r="B1582" s="400" t="s">
        <v>684</v>
      </c>
      <c r="C1582" s="400" t="s">
        <v>97</v>
      </c>
      <c r="D1582" s="400">
        <v>1230</v>
      </c>
      <c r="E1582" s="400">
        <v>15</v>
      </c>
      <c r="F1582" s="400" t="s">
        <v>2655</v>
      </c>
      <c r="G1582" s="400" t="s">
        <v>2221</v>
      </c>
      <c r="H1582" s="1238"/>
    </row>
    <row r="1583" spans="1:8" hidden="1">
      <c r="A1583" s="495" t="s">
        <v>2654</v>
      </c>
      <c r="B1583" s="400" t="s">
        <v>684</v>
      </c>
      <c r="C1583" s="400" t="s">
        <v>97</v>
      </c>
      <c r="D1583" s="400">
        <v>1240</v>
      </c>
      <c r="E1583" s="400">
        <v>15</v>
      </c>
      <c r="F1583" s="400" t="s">
        <v>2655</v>
      </c>
      <c r="G1583" s="400" t="s">
        <v>2221</v>
      </c>
      <c r="H1583" s="1238"/>
    </row>
    <row r="1584" spans="1:8" hidden="1">
      <c r="A1584" s="495" t="s">
        <v>2654</v>
      </c>
      <c r="B1584" s="400" t="s">
        <v>684</v>
      </c>
      <c r="C1584" s="400" t="s">
        <v>97</v>
      </c>
      <c r="D1584" s="400">
        <v>1250</v>
      </c>
      <c r="E1584" s="400">
        <v>15</v>
      </c>
      <c r="F1584" s="400" t="s">
        <v>2655</v>
      </c>
      <c r="G1584" s="400" t="s">
        <v>2221</v>
      </c>
      <c r="H1584" s="1238"/>
    </row>
    <row r="1585" spans="1:8" hidden="1">
      <c r="A1585" s="495" t="s">
        <v>2654</v>
      </c>
      <c r="B1585" s="400" t="s">
        <v>684</v>
      </c>
      <c r="C1585" s="400" t="s">
        <v>97</v>
      </c>
      <c r="D1585" s="400">
        <v>1260</v>
      </c>
      <c r="E1585" s="400">
        <v>15</v>
      </c>
      <c r="F1585" s="400" t="s">
        <v>2655</v>
      </c>
      <c r="G1585" s="400" t="s">
        <v>2221</v>
      </c>
      <c r="H1585" s="1238"/>
    </row>
    <row r="1586" spans="1:8" hidden="1">
      <c r="A1586" s="495" t="s">
        <v>2654</v>
      </c>
      <c r="B1586" s="400" t="s">
        <v>684</v>
      </c>
      <c r="C1586" s="400" t="s">
        <v>97</v>
      </c>
      <c r="D1586" s="400">
        <v>1270</v>
      </c>
      <c r="E1586" s="400">
        <v>15</v>
      </c>
      <c r="F1586" s="400" t="s">
        <v>2655</v>
      </c>
      <c r="G1586" s="400" t="s">
        <v>2221</v>
      </c>
      <c r="H1586" s="1238"/>
    </row>
    <row r="1587" spans="1:8" hidden="1">
      <c r="A1587" s="495" t="s">
        <v>2654</v>
      </c>
      <c r="B1587" s="400" t="s">
        <v>684</v>
      </c>
      <c r="C1587" s="400" t="s">
        <v>97</v>
      </c>
      <c r="D1587" s="400">
        <v>1273</v>
      </c>
      <c r="E1587" s="400">
        <v>15</v>
      </c>
      <c r="F1587" s="400" t="s">
        <v>2655</v>
      </c>
      <c r="G1587" s="400" t="s">
        <v>2221</v>
      </c>
      <c r="H1587" s="1238"/>
    </row>
    <row r="1588" spans="1:8" hidden="1">
      <c r="A1588" s="495" t="s">
        <v>2654</v>
      </c>
      <c r="B1588" s="400" t="s">
        <v>684</v>
      </c>
      <c r="C1588" s="400" t="s">
        <v>97</v>
      </c>
      <c r="D1588" s="400">
        <v>1274</v>
      </c>
      <c r="E1588" s="400">
        <v>15</v>
      </c>
      <c r="F1588" s="400" t="s">
        <v>2655</v>
      </c>
      <c r="G1588" s="400" t="s">
        <v>2221</v>
      </c>
      <c r="H1588" s="1238"/>
    </row>
    <row r="1589" spans="1:8" hidden="1">
      <c r="A1589" s="495" t="s">
        <v>2654</v>
      </c>
      <c r="B1589" s="400" t="s">
        <v>684</v>
      </c>
      <c r="C1589" s="400" t="s">
        <v>97</v>
      </c>
      <c r="D1589" s="400">
        <v>1275</v>
      </c>
      <c r="E1589" s="400">
        <v>15</v>
      </c>
      <c r="F1589" s="400" t="s">
        <v>2655</v>
      </c>
      <c r="G1589" s="400" t="s">
        <v>2221</v>
      </c>
      <c r="H1589" s="1238"/>
    </row>
    <row r="1590" spans="1:8" hidden="1">
      <c r="A1590" s="495" t="s">
        <v>2654</v>
      </c>
      <c r="B1590" s="400" t="s">
        <v>684</v>
      </c>
      <c r="C1590" s="400" t="s">
        <v>97</v>
      </c>
      <c r="D1590" s="400">
        <v>1276</v>
      </c>
      <c r="E1590" s="400">
        <v>15</v>
      </c>
      <c r="F1590" s="400" t="s">
        <v>2655</v>
      </c>
      <c r="G1590" s="400" t="s">
        <v>2221</v>
      </c>
      <c r="H1590" s="1238"/>
    </row>
    <row r="1591" spans="1:8" hidden="1">
      <c r="A1591" s="495" t="s">
        <v>2654</v>
      </c>
      <c r="B1591" s="400" t="s">
        <v>684</v>
      </c>
      <c r="C1591" s="400" t="s">
        <v>97</v>
      </c>
      <c r="D1591" s="400">
        <v>1277</v>
      </c>
      <c r="E1591" s="400">
        <v>15</v>
      </c>
      <c r="F1591" s="400" t="s">
        <v>2655</v>
      </c>
      <c r="G1591" s="400" t="s">
        <v>2221</v>
      </c>
      <c r="H1591" s="1238"/>
    </row>
    <row r="1592" spans="1:8" hidden="1">
      <c r="A1592" s="495" t="s">
        <v>2654</v>
      </c>
      <c r="B1592" s="400" t="s">
        <v>684</v>
      </c>
      <c r="C1592" s="400" t="s">
        <v>97</v>
      </c>
      <c r="D1592" s="400">
        <v>1280</v>
      </c>
      <c r="E1592" s="400">
        <v>15</v>
      </c>
      <c r="F1592" s="400" t="s">
        <v>2655</v>
      </c>
      <c r="G1592" s="400" t="s">
        <v>2221</v>
      </c>
      <c r="H1592" s="1238"/>
    </row>
    <row r="1593" spans="1:8" hidden="1">
      <c r="A1593" s="495" t="s">
        <v>2654</v>
      </c>
      <c r="B1593" s="400" t="s">
        <v>684</v>
      </c>
      <c r="C1593" s="400" t="s">
        <v>97</v>
      </c>
      <c r="D1593" s="400">
        <v>1285</v>
      </c>
      <c r="E1593" s="400">
        <v>15</v>
      </c>
      <c r="F1593" s="400" t="s">
        <v>2655</v>
      </c>
      <c r="G1593" s="400" t="s">
        <v>2221</v>
      </c>
      <c r="H1593" s="1238"/>
    </row>
    <row r="1594" spans="1:8" hidden="1">
      <c r="A1594" s="495" t="s">
        <v>2654</v>
      </c>
      <c r="B1594" s="400" t="s">
        <v>684</v>
      </c>
      <c r="C1594" s="400" t="s">
        <v>97</v>
      </c>
      <c r="D1594" s="400">
        <v>1290</v>
      </c>
      <c r="E1594" s="400">
        <v>15</v>
      </c>
      <c r="F1594" s="400" t="s">
        <v>2655</v>
      </c>
      <c r="G1594" s="400" t="s">
        <v>2221</v>
      </c>
      <c r="H1594" s="1238"/>
    </row>
    <row r="1595" spans="1:8" hidden="1">
      <c r="A1595" s="495" t="s">
        <v>2654</v>
      </c>
      <c r="B1595" s="400" t="s">
        <v>684</v>
      </c>
      <c r="C1595" s="400" t="s">
        <v>97</v>
      </c>
      <c r="D1595" s="400">
        <v>1291</v>
      </c>
      <c r="E1595" s="400">
        <v>15</v>
      </c>
      <c r="F1595" s="400" t="s">
        <v>2655</v>
      </c>
      <c r="G1595" s="400" t="s">
        <v>2221</v>
      </c>
      <c r="H1595" s="1238"/>
    </row>
    <row r="1596" spans="1:8" hidden="1">
      <c r="A1596" s="495" t="s">
        <v>2654</v>
      </c>
      <c r="B1596" s="400" t="s">
        <v>684</v>
      </c>
      <c r="C1596" s="400" t="s">
        <v>97</v>
      </c>
      <c r="D1596" s="400">
        <v>1300</v>
      </c>
      <c r="E1596" s="400">
        <v>15</v>
      </c>
      <c r="F1596" s="400" t="s">
        <v>2655</v>
      </c>
      <c r="G1596" s="400" t="s">
        <v>2221</v>
      </c>
      <c r="H1596" s="1238"/>
    </row>
    <row r="1597" spans="1:8" hidden="1">
      <c r="A1597" s="495" t="s">
        <v>2654</v>
      </c>
      <c r="B1597" s="400" t="s">
        <v>684</v>
      </c>
      <c r="C1597" s="400" t="s">
        <v>97</v>
      </c>
      <c r="D1597" s="400">
        <v>1310</v>
      </c>
      <c r="E1597" s="400">
        <v>15</v>
      </c>
      <c r="F1597" s="400" t="s">
        <v>2655</v>
      </c>
      <c r="G1597" s="400" t="s">
        <v>2221</v>
      </c>
      <c r="H1597" s="1238"/>
    </row>
    <row r="1598" spans="1:8" hidden="1">
      <c r="A1598" s="495" t="s">
        <v>2654</v>
      </c>
      <c r="B1598" s="400" t="s">
        <v>684</v>
      </c>
      <c r="C1598" s="400" t="s">
        <v>97</v>
      </c>
      <c r="D1598" s="400">
        <v>1320</v>
      </c>
      <c r="E1598" s="400">
        <v>15</v>
      </c>
      <c r="F1598" s="400" t="s">
        <v>2655</v>
      </c>
      <c r="G1598" s="400" t="s">
        <v>2221</v>
      </c>
      <c r="H1598" s="1238"/>
    </row>
    <row r="1599" spans="1:8" hidden="1">
      <c r="A1599" s="495" t="s">
        <v>2654</v>
      </c>
      <c r="B1599" s="400" t="s">
        <v>684</v>
      </c>
      <c r="C1599" s="400" t="s">
        <v>97</v>
      </c>
      <c r="D1599" s="400">
        <v>1330</v>
      </c>
      <c r="E1599" s="400">
        <v>15</v>
      </c>
      <c r="F1599" s="400" t="s">
        <v>2655</v>
      </c>
      <c r="G1599" s="400" t="s">
        <v>2221</v>
      </c>
      <c r="H1599" s="1238"/>
    </row>
    <row r="1600" spans="1:8" hidden="1">
      <c r="A1600" s="495" t="s">
        <v>2654</v>
      </c>
      <c r="B1600" s="400" t="s">
        <v>684</v>
      </c>
      <c r="C1600" s="400" t="s">
        <v>97</v>
      </c>
      <c r="D1600" s="400">
        <v>1340</v>
      </c>
      <c r="E1600" s="400">
        <v>15</v>
      </c>
      <c r="F1600" s="400" t="s">
        <v>2655</v>
      </c>
      <c r="G1600" s="400" t="s">
        <v>2221</v>
      </c>
      <c r="H1600" s="1238"/>
    </row>
    <row r="1601" spans="1:8" hidden="1">
      <c r="A1601" s="495" t="s">
        <v>2654</v>
      </c>
      <c r="B1601" s="400" t="s">
        <v>684</v>
      </c>
      <c r="C1601" s="400" t="s">
        <v>97</v>
      </c>
      <c r="D1601" s="400">
        <v>1350</v>
      </c>
      <c r="E1601" s="400">
        <v>15</v>
      </c>
      <c r="F1601" s="400" t="s">
        <v>2655</v>
      </c>
      <c r="G1601" s="400" t="s">
        <v>2221</v>
      </c>
      <c r="H1601" s="1238"/>
    </row>
    <row r="1602" spans="1:8" hidden="1">
      <c r="A1602" s="495" t="s">
        <v>2654</v>
      </c>
      <c r="B1602" s="400" t="s">
        <v>684</v>
      </c>
      <c r="C1602" s="400" t="s">
        <v>97</v>
      </c>
      <c r="D1602" s="400">
        <v>1352</v>
      </c>
      <c r="E1602" s="400">
        <v>15</v>
      </c>
      <c r="F1602" s="400" t="s">
        <v>2655</v>
      </c>
      <c r="G1602" s="400" t="s">
        <v>2221</v>
      </c>
      <c r="H1602" s="1238"/>
    </row>
    <row r="1603" spans="1:8" hidden="1">
      <c r="A1603" s="495" t="s">
        <v>2654</v>
      </c>
      <c r="B1603" s="400" t="s">
        <v>684</v>
      </c>
      <c r="C1603" s="400" t="s">
        <v>97</v>
      </c>
      <c r="D1603" s="400">
        <v>1357</v>
      </c>
      <c r="E1603" s="400">
        <v>15</v>
      </c>
      <c r="F1603" s="400" t="s">
        <v>2655</v>
      </c>
      <c r="G1603" s="400" t="s">
        <v>2221</v>
      </c>
      <c r="H1603" s="1238"/>
    </row>
    <row r="1604" spans="1:8" hidden="1">
      <c r="A1604" s="495" t="s">
        <v>2654</v>
      </c>
      <c r="B1604" s="400" t="s">
        <v>684</v>
      </c>
      <c r="C1604" s="400" t="s">
        <v>97</v>
      </c>
      <c r="D1604" s="400">
        <v>1358</v>
      </c>
      <c r="E1604" s="400">
        <v>15</v>
      </c>
      <c r="F1604" s="400" t="s">
        <v>2655</v>
      </c>
      <c r="G1604" s="400" t="s">
        <v>2221</v>
      </c>
      <c r="H1604" s="1238"/>
    </row>
    <row r="1605" spans="1:8" hidden="1">
      <c r="A1605" s="495" t="s">
        <v>2654</v>
      </c>
      <c r="B1605" s="400" t="s">
        <v>684</v>
      </c>
      <c r="C1605" s="400" t="s">
        <v>97</v>
      </c>
      <c r="D1605" s="400">
        <v>1360</v>
      </c>
      <c r="E1605" s="400">
        <v>1</v>
      </c>
      <c r="F1605" s="400" t="s">
        <v>2300</v>
      </c>
      <c r="G1605" s="400" t="s">
        <v>2221</v>
      </c>
      <c r="H1605" s="1238"/>
    </row>
    <row r="1606" spans="1:8" hidden="1">
      <c r="A1606" s="495" t="s">
        <v>2654</v>
      </c>
      <c r="B1606" s="400" t="s">
        <v>684</v>
      </c>
      <c r="C1606" s="400" t="s">
        <v>97</v>
      </c>
      <c r="D1606" s="400">
        <v>1361</v>
      </c>
      <c r="E1606" s="400">
        <v>15</v>
      </c>
      <c r="F1606" s="400" t="s">
        <v>2655</v>
      </c>
      <c r="G1606" s="400" t="s">
        <v>2221</v>
      </c>
      <c r="H1606" s="1238"/>
    </row>
    <row r="1607" spans="1:8" hidden="1">
      <c r="A1607" s="495" t="s">
        <v>2654</v>
      </c>
      <c r="B1607" s="400" t="s">
        <v>684</v>
      </c>
      <c r="C1607" s="400" t="s">
        <v>97</v>
      </c>
      <c r="D1607" s="400">
        <v>1362</v>
      </c>
      <c r="E1607" s="400">
        <v>15</v>
      </c>
      <c r="F1607" s="400" t="s">
        <v>2655</v>
      </c>
      <c r="G1607" s="400" t="s">
        <v>2221</v>
      </c>
      <c r="H1607" s="1238"/>
    </row>
    <row r="1608" spans="1:8" hidden="1">
      <c r="A1608" s="495" t="s">
        <v>2654</v>
      </c>
      <c r="B1608" s="400" t="s">
        <v>684</v>
      </c>
      <c r="C1608" s="400" t="s">
        <v>97</v>
      </c>
      <c r="D1608" s="400">
        <v>1363</v>
      </c>
      <c r="E1608" s="400">
        <v>15</v>
      </c>
      <c r="F1608" s="400" t="s">
        <v>2655</v>
      </c>
      <c r="G1608" s="400" t="s">
        <v>2221</v>
      </c>
      <c r="H1608" s="1238"/>
    </row>
    <row r="1609" spans="1:8" hidden="1">
      <c r="A1609" s="495" t="s">
        <v>2654</v>
      </c>
      <c r="B1609" s="400" t="s">
        <v>684</v>
      </c>
      <c r="C1609" s="400" t="s">
        <v>97</v>
      </c>
      <c r="D1609" s="400">
        <v>1364</v>
      </c>
      <c r="E1609" s="400">
        <v>15</v>
      </c>
      <c r="F1609" s="400" t="s">
        <v>2655</v>
      </c>
      <c r="G1609" s="400" t="s">
        <v>2221</v>
      </c>
      <c r="H1609" s="1238"/>
    </row>
    <row r="1610" spans="1:8" hidden="1">
      <c r="A1610" s="495" t="s">
        <v>2654</v>
      </c>
      <c r="B1610" s="400" t="s">
        <v>684</v>
      </c>
      <c r="C1610" s="400" t="s">
        <v>97</v>
      </c>
      <c r="D1610" s="400">
        <v>1365</v>
      </c>
      <c r="E1610" s="400">
        <v>15</v>
      </c>
      <c r="F1610" s="400" t="s">
        <v>2655</v>
      </c>
      <c r="G1610" s="400" t="s">
        <v>2221</v>
      </c>
      <c r="H1610" s="1238"/>
    </row>
    <row r="1611" spans="1:8" hidden="1">
      <c r="A1611" s="495" t="s">
        <v>2654</v>
      </c>
      <c r="B1611" s="400" t="s">
        <v>684</v>
      </c>
      <c r="C1611" s="400" t="s">
        <v>97</v>
      </c>
      <c r="D1611" s="400">
        <v>1366</v>
      </c>
      <c r="E1611" s="400">
        <v>15</v>
      </c>
      <c r="F1611" s="400" t="s">
        <v>2655</v>
      </c>
      <c r="G1611" s="400" t="s">
        <v>2221</v>
      </c>
      <c r="H1611" s="1238"/>
    </row>
    <row r="1612" spans="1:8" hidden="1">
      <c r="A1612" s="495" t="s">
        <v>2654</v>
      </c>
      <c r="B1612" s="400" t="s">
        <v>684</v>
      </c>
      <c r="C1612" s="400" t="s">
        <v>97</v>
      </c>
      <c r="D1612" s="400">
        <v>1367</v>
      </c>
      <c r="E1612" s="400">
        <v>15</v>
      </c>
      <c r="F1612" s="400" t="s">
        <v>2655</v>
      </c>
      <c r="G1612" s="400" t="s">
        <v>2221</v>
      </c>
      <c r="H1612" s="1238"/>
    </row>
    <row r="1613" spans="1:8" hidden="1">
      <c r="A1613" s="495" t="s">
        <v>2654</v>
      </c>
      <c r="B1613" s="400" t="s">
        <v>684</v>
      </c>
      <c r="C1613" s="400" t="s">
        <v>97</v>
      </c>
      <c r="D1613" s="400">
        <v>1368</v>
      </c>
      <c r="E1613" s="400">
        <v>15</v>
      </c>
      <c r="F1613" s="400" t="s">
        <v>2655</v>
      </c>
      <c r="G1613" s="400" t="s">
        <v>2221</v>
      </c>
      <c r="H1613" s="1238"/>
    </row>
    <row r="1614" spans="1:8" hidden="1">
      <c r="A1614" s="495" t="s">
        <v>2654</v>
      </c>
      <c r="B1614" s="400" t="s">
        <v>684</v>
      </c>
      <c r="C1614" s="400" t="s">
        <v>97</v>
      </c>
      <c r="D1614" s="400">
        <v>1954</v>
      </c>
      <c r="E1614" s="400">
        <v>15</v>
      </c>
      <c r="F1614" s="400" t="s">
        <v>2655</v>
      </c>
      <c r="G1614" s="400" t="s">
        <v>2221</v>
      </c>
      <c r="H1614" s="1238"/>
    </row>
    <row r="1615" spans="1:8" hidden="1">
      <c r="A1615" s="495" t="s">
        <v>2654</v>
      </c>
      <c r="B1615" s="400" t="s">
        <v>684</v>
      </c>
      <c r="C1615" s="400" t="s">
        <v>97</v>
      </c>
      <c r="D1615" s="400">
        <v>2001</v>
      </c>
      <c r="E1615" s="400">
        <v>8</v>
      </c>
      <c r="F1615" s="400" t="s">
        <v>2297</v>
      </c>
      <c r="G1615" s="400" t="s">
        <v>2221</v>
      </c>
      <c r="H1615" s="1238"/>
    </row>
    <row r="1616" spans="1:8" hidden="1">
      <c r="A1616" s="495" t="s">
        <v>2654</v>
      </c>
      <c r="B1616" s="400" t="s">
        <v>684</v>
      </c>
      <c r="C1616" s="400" t="s">
        <v>97</v>
      </c>
      <c r="D1616" s="400">
        <v>2002</v>
      </c>
      <c r="E1616" s="400">
        <v>15</v>
      </c>
      <c r="F1616" s="400" t="s">
        <v>2655</v>
      </c>
      <c r="G1616" s="400" t="s">
        <v>2221</v>
      </c>
      <c r="H1616" s="1238"/>
    </row>
    <row r="1617" spans="1:8" hidden="1">
      <c r="A1617" s="495" t="s">
        <v>2654</v>
      </c>
      <c r="B1617" s="400" t="s">
        <v>684</v>
      </c>
      <c r="C1617" s="400" t="s">
        <v>97</v>
      </c>
      <c r="D1617" s="400">
        <v>2003</v>
      </c>
      <c r="E1617" s="400">
        <v>18</v>
      </c>
      <c r="F1617" s="400" t="s">
        <v>2298</v>
      </c>
      <c r="G1617" s="400" t="s">
        <v>2221</v>
      </c>
      <c r="H1617" s="1238"/>
    </row>
    <row r="1618" spans="1:8" hidden="1">
      <c r="A1618" s="495" t="s">
        <v>2654</v>
      </c>
      <c r="B1618" s="400" t="s">
        <v>684</v>
      </c>
      <c r="C1618" s="400" t="s">
        <v>97</v>
      </c>
      <c r="D1618" s="400">
        <v>2004</v>
      </c>
      <c r="E1618" s="400">
        <v>15</v>
      </c>
      <c r="F1618" s="400" t="s">
        <v>2655</v>
      </c>
      <c r="G1618" s="400" t="s">
        <v>2221</v>
      </c>
      <c r="H1618" s="1238"/>
    </row>
    <row r="1619" spans="1:8" hidden="1">
      <c r="A1619" s="495" t="s">
        <v>2654</v>
      </c>
      <c r="B1619" s="400" t="s">
        <v>684</v>
      </c>
      <c r="C1619" s="400" t="s">
        <v>97</v>
      </c>
      <c r="D1619" s="400">
        <v>2005</v>
      </c>
      <c r="E1619" s="400">
        <v>15</v>
      </c>
      <c r="F1619" s="400" t="s">
        <v>2655</v>
      </c>
      <c r="G1619" s="400" t="s">
        <v>2221</v>
      </c>
      <c r="H1619" s="1238"/>
    </row>
    <row r="1620" spans="1:8" hidden="1">
      <c r="A1620" s="495" t="s">
        <v>2654</v>
      </c>
      <c r="B1620" s="400" t="s">
        <v>684</v>
      </c>
      <c r="C1620" s="400" t="s">
        <v>97</v>
      </c>
      <c r="D1620" s="400">
        <v>2006</v>
      </c>
      <c r="E1620" s="400">
        <v>19</v>
      </c>
      <c r="F1620" s="400" t="s">
        <v>2299</v>
      </c>
      <c r="G1620" s="400" t="s">
        <v>2221</v>
      </c>
      <c r="H1620" s="1238"/>
    </row>
    <row r="1621" spans="1:8" hidden="1">
      <c r="A1621" s="495" t="s">
        <v>2654</v>
      </c>
      <c r="B1621" s="400" t="s">
        <v>684</v>
      </c>
      <c r="C1621" s="400" t="s">
        <v>97</v>
      </c>
      <c r="D1621" s="400">
        <v>2007</v>
      </c>
      <c r="E1621" s="400">
        <v>15</v>
      </c>
      <c r="F1621" s="400" t="s">
        <v>2655</v>
      </c>
      <c r="G1621" s="400" t="s">
        <v>2221</v>
      </c>
      <c r="H1621" s="1238"/>
    </row>
    <row r="1622" spans="1:8" hidden="1">
      <c r="A1622" s="495" t="s">
        <v>2654</v>
      </c>
      <c r="B1622" s="400" t="s">
        <v>684</v>
      </c>
      <c r="C1622" s="400" t="s">
        <v>97</v>
      </c>
      <c r="D1622" s="400">
        <v>2008</v>
      </c>
      <c r="E1622" s="400">
        <v>15</v>
      </c>
      <c r="F1622" s="400" t="s">
        <v>2655</v>
      </c>
      <c r="G1622" s="400" t="s">
        <v>2221</v>
      </c>
      <c r="H1622" s="1238"/>
    </row>
    <row r="1623" spans="1:8" hidden="1">
      <c r="A1623" s="495" t="s">
        <v>2654</v>
      </c>
      <c r="B1623" s="400" t="s">
        <v>684</v>
      </c>
      <c r="C1623" s="400" t="s">
        <v>97</v>
      </c>
      <c r="D1623" s="400">
        <v>2009</v>
      </c>
      <c r="E1623" s="400">
        <v>15</v>
      </c>
      <c r="F1623" s="400" t="s">
        <v>2655</v>
      </c>
      <c r="G1623" s="400" t="s">
        <v>2221</v>
      </c>
      <c r="H1623" s="1238"/>
    </row>
    <row r="1624" spans="1:8" hidden="1">
      <c r="A1624" s="495" t="s">
        <v>2654</v>
      </c>
      <c r="B1624" s="400" t="s">
        <v>684</v>
      </c>
      <c r="C1624" s="400" t="s">
        <v>97</v>
      </c>
      <c r="D1624" s="400">
        <v>2010</v>
      </c>
      <c r="E1624" s="400">
        <v>15</v>
      </c>
      <c r="F1624" s="400" t="s">
        <v>2655</v>
      </c>
      <c r="G1624" s="400" t="s">
        <v>2221</v>
      </c>
      <c r="H1624" s="1238"/>
    </row>
    <row r="1625" spans="1:8" hidden="1">
      <c r="A1625" s="495" t="s">
        <v>2654</v>
      </c>
      <c r="B1625" s="400" t="s">
        <v>684</v>
      </c>
      <c r="C1625" s="400" t="s">
        <v>97</v>
      </c>
      <c r="D1625" s="400">
        <v>2011</v>
      </c>
      <c r="E1625" s="400">
        <v>15</v>
      </c>
      <c r="F1625" s="400" t="s">
        <v>2655</v>
      </c>
      <c r="G1625" s="400" t="s">
        <v>2221</v>
      </c>
      <c r="H1625" s="1238"/>
    </row>
    <row r="1626" spans="1:8" hidden="1">
      <c r="A1626" s="495" t="s">
        <v>2654</v>
      </c>
      <c r="B1626" s="400" t="s">
        <v>684</v>
      </c>
      <c r="C1626" s="400" t="s">
        <v>97</v>
      </c>
      <c r="D1626" s="400">
        <v>2012</v>
      </c>
      <c r="E1626" s="400">
        <v>1</v>
      </c>
      <c r="F1626" s="400" t="s">
        <v>2300</v>
      </c>
      <c r="G1626" s="400" t="s">
        <v>2221</v>
      </c>
      <c r="H1626" s="1238"/>
    </row>
    <row r="1627" spans="1:8" hidden="1">
      <c r="A1627" s="495" t="s">
        <v>2654</v>
      </c>
      <c r="B1627" s="400" t="s">
        <v>684</v>
      </c>
      <c r="C1627" s="400" t="s">
        <v>97</v>
      </c>
      <c r="D1627" s="400">
        <v>2013</v>
      </c>
      <c r="E1627" s="400">
        <v>15</v>
      </c>
      <c r="F1627" s="400" t="s">
        <v>2655</v>
      </c>
      <c r="G1627" s="400" t="s">
        <v>2221</v>
      </c>
      <c r="H1627" s="1238"/>
    </row>
    <row r="1628" spans="1:8" hidden="1">
      <c r="A1628" s="495" t="s">
        <v>2654</v>
      </c>
      <c r="B1628" s="400" t="s">
        <v>684</v>
      </c>
      <c r="C1628" s="400" t="s">
        <v>97</v>
      </c>
      <c r="D1628" s="400">
        <v>2014</v>
      </c>
      <c r="E1628" s="400">
        <v>15</v>
      </c>
      <c r="F1628" s="400" t="s">
        <v>2655</v>
      </c>
      <c r="G1628" s="400" t="s">
        <v>2221</v>
      </c>
      <c r="H1628" s="1238"/>
    </row>
    <row r="1629" spans="1:8" hidden="1">
      <c r="A1629" s="495" t="s">
        <v>2654</v>
      </c>
      <c r="B1629" s="400" t="s">
        <v>684</v>
      </c>
      <c r="C1629" s="400" t="s">
        <v>97</v>
      </c>
      <c r="D1629" s="400">
        <v>2015</v>
      </c>
      <c r="E1629" s="400">
        <v>15</v>
      </c>
      <c r="F1629" s="400" t="s">
        <v>2655</v>
      </c>
      <c r="G1629" s="400" t="s">
        <v>2221</v>
      </c>
      <c r="H1629" s="1238"/>
    </row>
    <row r="1630" spans="1:8" hidden="1">
      <c r="A1630" s="495" t="s">
        <v>2654</v>
      </c>
      <c r="B1630" s="400" t="s">
        <v>684</v>
      </c>
      <c r="C1630" s="400" t="s">
        <v>97</v>
      </c>
      <c r="D1630" s="400">
        <v>2016</v>
      </c>
      <c r="E1630" s="400">
        <v>15</v>
      </c>
      <c r="F1630" s="400" t="s">
        <v>2655</v>
      </c>
      <c r="G1630" s="400" t="s">
        <v>2221</v>
      </c>
      <c r="H1630" s="1238"/>
    </row>
    <row r="1631" spans="1:8" hidden="1">
      <c r="A1631" s="495" t="s">
        <v>2654</v>
      </c>
      <c r="B1631" s="400" t="s">
        <v>684</v>
      </c>
      <c r="C1631" s="400" t="s">
        <v>97</v>
      </c>
      <c r="D1631" s="400">
        <v>2017</v>
      </c>
      <c r="E1631" s="400">
        <v>15</v>
      </c>
      <c r="F1631" s="400" t="s">
        <v>2655</v>
      </c>
      <c r="G1631" s="400" t="s">
        <v>2221</v>
      </c>
      <c r="H1631" s="1238"/>
    </row>
    <row r="1632" spans="1:8" hidden="1">
      <c r="A1632" s="495" t="s">
        <v>2654</v>
      </c>
      <c r="B1632" s="400" t="s">
        <v>684</v>
      </c>
      <c r="C1632" s="400" t="s">
        <v>97</v>
      </c>
      <c r="D1632" s="400">
        <v>2018</v>
      </c>
      <c r="E1632" s="400">
        <v>15</v>
      </c>
      <c r="F1632" s="400" t="s">
        <v>2655</v>
      </c>
      <c r="G1632" s="400" t="s">
        <v>2221</v>
      </c>
      <c r="H1632" s="1238"/>
    </row>
    <row r="1633" spans="1:8" hidden="1">
      <c r="A1633" s="495" t="s">
        <v>2654</v>
      </c>
      <c r="B1633" s="400" t="s">
        <v>684</v>
      </c>
      <c r="C1633" s="400" t="s">
        <v>97</v>
      </c>
      <c r="D1633" s="400">
        <v>2019</v>
      </c>
      <c r="E1633" s="400">
        <v>15</v>
      </c>
      <c r="F1633" s="400" t="s">
        <v>2655</v>
      </c>
      <c r="G1633" s="400" t="s">
        <v>2221</v>
      </c>
      <c r="H1633" s="1238"/>
    </row>
    <row r="1634" spans="1:8" hidden="1">
      <c r="A1634" s="495" t="s">
        <v>2654</v>
      </c>
      <c r="B1634" s="400" t="s">
        <v>684</v>
      </c>
      <c r="C1634" s="400" t="s">
        <v>97</v>
      </c>
      <c r="D1634" s="400">
        <v>2020</v>
      </c>
      <c r="E1634" s="400">
        <v>15</v>
      </c>
      <c r="F1634" s="400" t="s">
        <v>2655</v>
      </c>
      <c r="G1634" s="400" t="s">
        <v>2221</v>
      </c>
      <c r="H1634" s="1238"/>
    </row>
    <row r="1635" spans="1:8" hidden="1">
      <c r="A1635" s="495" t="s">
        <v>2654</v>
      </c>
      <c r="B1635" s="400" t="s">
        <v>684</v>
      </c>
      <c r="C1635" s="400" t="s">
        <v>97</v>
      </c>
      <c r="D1635" s="400">
        <v>2021</v>
      </c>
      <c r="E1635" s="400">
        <v>15</v>
      </c>
      <c r="F1635" s="400" t="s">
        <v>2655</v>
      </c>
      <c r="G1635" s="400" t="s">
        <v>2221</v>
      </c>
      <c r="H1635" s="1238"/>
    </row>
    <row r="1636" spans="1:8" hidden="1">
      <c r="A1636" s="495" t="s">
        <v>2654</v>
      </c>
      <c r="B1636" s="400" t="s">
        <v>684</v>
      </c>
      <c r="C1636" s="400" t="s">
        <v>97</v>
      </c>
      <c r="D1636" s="400">
        <v>2022</v>
      </c>
      <c r="E1636" s="400">
        <v>15</v>
      </c>
      <c r="F1636" s="400" t="s">
        <v>2655</v>
      </c>
      <c r="G1636" s="400" t="s">
        <v>2221</v>
      </c>
      <c r="H1636" s="1238"/>
    </row>
    <row r="1637" spans="1:8" hidden="1">
      <c r="A1637" s="495" t="s">
        <v>2654</v>
      </c>
      <c r="B1637" s="400" t="s">
        <v>684</v>
      </c>
      <c r="C1637" s="400" t="s">
        <v>97</v>
      </c>
      <c r="D1637" s="400">
        <v>2023</v>
      </c>
      <c r="E1637" s="400">
        <v>15</v>
      </c>
      <c r="F1637" s="400" t="s">
        <v>2655</v>
      </c>
      <c r="G1637" s="400" t="s">
        <v>2221</v>
      </c>
      <c r="H1637" s="1238"/>
    </row>
    <row r="1638" spans="1:8" hidden="1">
      <c r="A1638" s="495" t="s">
        <v>2654</v>
      </c>
      <c r="B1638" s="400" t="s">
        <v>684</v>
      </c>
      <c r="C1638" s="400" t="s">
        <v>97</v>
      </c>
      <c r="D1638" s="400">
        <v>2024</v>
      </c>
      <c r="E1638" s="400">
        <v>15</v>
      </c>
      <c r="F1638" s="400" t="s">
        <v>2655</v>
      </c>
      <c r="G1638" s="400" t="s">
        <v>2221</v>
      </c>
      <c r="H1638" s="1238"/>
    </row>
    <row r="1639" spans="1:8" hidden="1">
      <c r="A1639" s="495" t="s">
        <v>2654</v>
      </c>
      <c r="B1639" s="400" t="s">
        <v>684</v>
      </c>
      <c r="C1639" s="400" t="s">
        <v>97</v>
      </c>
      <c r="D1639" s="400">
        <v>2025</v>
      </c>
      <c r="E1639" s="400">
        <v>15</v>
      </c>
      <c r="F1639" s="400" t="s">
        <v>2655</v>
      </c>
      <c r="G1639" s="400" t="s">
        <v>2221</v>
      </c>
      <c r="H1639" s="1238"/>
    </row>
    <row r="1640" spans="1:8" hidden="1">
      <c r="A1640" s="495" t="s">
        <v>2654</v>
      </c>
      <c r="B1640" s="400" t="s">
        <v>684</v>
      </c>
      <c r="C1640" s="400" t="s">
        <v>97</v>
      </c>
      <c r="D1640" s="400">
        <v>2026</v>
      </c>
      <c r="E1640" s="400">
        <v>15</v>
      </c>
      <c r="F1640" s="400" t="s">
        <v>2655</v>
      </c>
      <c r="G1640" s="400" t="s">
        <v>2221</v>
      </c>
      <c r="H1640" s="1238"/>
    </row>
    <row r="1641" spans="1:8" hidden="1">
      <c r="A1641" s="495" t="s">
        <v>2654</v>
      </c>
      <c r="B1641" s="400" t="s">
        <v>684</v>
      </c>
      <c r="C1641" s="400" t="s">
        <v>97</v>
      </c>
      <c r="D1641" s="400">
        <v>2027</v>
      </c>
      <c r="E1641" s="400">
        <v>15</v>
      </c>
      <c r="F1641" s="400" t="s">
        <v>2655</v>
      </c>
      <c r="G1641" s="400" t="s">
        <v>2221</v>
      </c>
      <c r="H1641" s="1238"/>
    </row>
    <row r="1642" spans="1:8" hidden="1">
      <c r="A1642" s="495" t="s">
        <v>2654</v>
      </c>
      <c r="B1642" s="400" t="s">
        <v>684</v>
      </c>
      <c r="C1642" s="400" t="s">
        <v>97</v>
      </c>
      <c r="D1642" s="400">
        <v>2028</v>
      </c>
      <c r="E1642" s="400">
        <v>15</v>
      </c>
      <c r="F1642" s="400" t="s">
        <v>2655</v>
      </c>
      <c r="G1642" s="400" t="s">
        <v>2221</v>
      </c>
      <c r="H1642" s="1238"/>
    </row>
    <row r="1643" spans="1:8" hidden="1">
      <c r="A1643" s="495" t="s">
        <v>2654</v>
      </c>
      <c r="B1643" s="400" t="s">
        <v>684</v>
      </c>
      <c r="C1643" s="400" t="s">
        <v>97</v>
      </c>
      <c r="D1643" s="400">
        <v>2029</v>
      </c>
      <c r="E1643" s="400">
        <v>15</v>
      </c>
      <c r="F1643" s="400" t="s">
        <v>2655</v>
      </c>
      <c r="G1643" s="400" t="s">
        <v>2221</v>
      </c>
      <c r="H1643" s="1238"/>
    </row>
    <row r="1644" spans="1:8" hidden="1">
      <c r="A1644" s="495" t="s">
        <v>2654</v>
      </c>
      <c r="B1644" s="400" t="s">
        <v>684</v>
      </c>
      <c r="C1644" s="400" t="s">
        <v>97</v>
      </c>
      <c r="D1644" s="400">
        <v>2030</v>
      </c>
      <c r="E1644" s="400">
        <v>15</v>
      </c>
      <c r="F1644" s="400" t="s">
        <v>2655</v>
      </c>
      <c r="G1644" s="400" t="s">
        <v>2221</v>
      </c>
      <c r="H1644" s="1238"/>
    </row>
    <row r="1645" spans="1:8" hidden="1">
      <c r="A1645" s="495" t="s">
        <v>2654</v>
      </c>
      <c r="B1645" s="400" t="s">
        <v>684</v>
      </c>
      <c r="C1645" s="400" t="s">
        <v>97</v>
      </c>
      <c r="D1645" s="400">
        <v>2031</v>
      </c>
      <c r="E1645" s="400">
        <v>15</v>
      </c>
      <c r="F1645" s="400" t="s">
        <v>2655</v>
      </c>
      <c r="G1645" s="400" t="s">
        <v>2221</v>
      </c>
      <c r="H1645" s="1238"/>
    </row>
    <row r="1646" spans="1:8" hidden="1">
      <c r="A1646" s="495" t="s">
        <v>2654</v>
      </c>
      <c r="B1646" s="400" t="s">
        <v>684</v>
      </c>
      <c r="C1646" s="400" t="s">
        <v>97</v>
      </c>
      <c r="D1646" s="400">
        <v>2032</v>
      </c>
      <c r="E1646" s="400">
        <v>15</v>
      </c>
      <c r="F1646" s="400" t="s">
        <v>2655</v>
      </c>
      <c r="G1646" s="400" t="s">
        <v>2221</v>
      </c>
      <c r="H1646" s="1238"/>
    </row>
    <row r="1647" spans="1:8" hidden="1">
      <c r="A1647" s="495" t="s">
        <v>2654</v>
      </c>
      <c r="B1647" s="400" t="s">
        <v>684</v>
      </c>
      <c r="C1647" s="400" t="s">
        <v>97</v>
      </c>
      <c r="D1647" s="400">
        <v>2033</v>
      </c>
      <c r="E1647" s="400">
        <v>15</v>
      </c>
      <c r="F1647" s="400" t="s">
        <v>2655</v>
      </c>
      <c r="G1647" s="400" t="s">
        <v>2221</v>
      </c>
      <c r="H1647" s="1238"/>
    </row>
    <row r="1648" spans="1:8" hidden="1">
      <c r="A1648" s="495" t="s">
        <v>2654</v>
      </c>
      <c r="B1648" s="400" t="s">
        <v>684</v>
      </c>
      <c r="C1648" s="400" t="s">
        <v>97</v>
      </c>
      <c r="D1648" s="400">
        <v>2034</v>
      </c>
      <c r="E1648" s="400">
        <v>15</v>
      </c>
      <c r="F1648" s="400" t="s">
        <v>2655</v>
      </c>
      <c r="G1648" s="400" t="s">
        <v>2221</v>
      </c>
      <c r="H1648" s="1238"/>
    </row>
    <row r="1649" spans="1:8" hidden="1">
      <c r="A1649" s="495" t="s">
        <v>2654</v>
      </c>
      <c r="B1649" s="400" t="s">
        <v>684</v>
      </c>
      <c r="C1649" s="400" t="s">
        <v>97</v>
      </c>
      <c r="D1649" s="400">
        <v>2035</v>
      </c>
      <c r="E1649" s="400">
        <v>15</v>
      </c>
      <c r="F1649" s="400" t="s">
        <v>2655</v>
      </c>
      <c r="G1649" s="400" t="s">
        <v>2221</v>
      </c>
      <c r="H1649" s="1238"/>
    </row>
    <row r="1650" spans="1:8" hidden="1">
      <c r="A1650" s="495" t="s">
        <v>2654</v>
      </c>
      <c r="B1650" s="400" t="s">
        <v>684</v>
      </c>
      <c r="C1650" s="400" t="s">
        <v>97</v>
      </c>
      <c r="D1650" s="400">
        <v>2036</v>
      </c>
      <c r="E1650" s="400">
        <v>15</v>
      </c>
      <c r="F1650" s="400" t="s">
        <v>2655</v>
      </c>
      <c r="G1650" s="400" t="s">
        <v>2221</v>
      </c>
      <c r="H1650" s="1238"/>
    </row>
    <row r="1651" spans="1:8" hidden="1">
      <c r="A1651" s="495" t="s">
        <v>2654</v>
      </c>
      <c r="B1651" s="400" t="s">
        <v>684</v>
      </c>
      <c r="C1651" s="400" t="s">
        <v>97</v>
      </c>
      <c r="D1651" s="400">
        <v>2037</v>
      </c>
      <c r="E1651" s="400">
        <v>15</v>
      </c>
      <c r="F1651" s="400" t="s">
        <v>2655</v>
      </c>
      <c r="G1651" s="400" t="s">
        <v>2221</v>
      </c>
      <c r="H1651" s="1238"/>
    </row>
    <row r="1652" spans="1:8" hidden="1">
      <c r="A1652" s="495" t="s">
        <v>2654</v>
      </c>
      <c r="B1652" s="400" t="s">
        <v>684</v>
      </c>
      <c r="C1652" s="400" t="s">
        <v>97</v>
      </c>
      <c r="D1652" s="400">
        <v>2038</v>
      </c>
      <c r="E1652" s="400">
        <v>15</v>
      </c>
      <c r="F1652" s="400" t="s">
        <v>2655</v>
      </c>
      <c r="G1652" s="400" t="s">
        <v>2221</v>
      </c>
      <c r="H1652" s="1238"/>
    </row>
    <row r="1653" spans="1:8" hidden="1">
      <c r="A1653" s="495" t="s">
        <v>2654</v>
      </c>
      <c r="B1653" s="400" t="s">
        <v>684</v>
      </c>
      <c r="C1653" s="400" t="s">
        <v>97</v>
      </c>
      <c r="D1653" s="400">
        <v>2039</v>
      </c>
      <c r="E1653" s="400">
        <v>15</v>
      </c>
      <c r="F1653" s="400" t="s">
        <v>2655</v>
      </c>
      <c r="G1653" s="400" t="s">
        <v>2221</v>
      </c>
      <c r="H1653" s="1238"/>
    </row>
    <row r="1654" spans="1:8" hidden="1">
      <c r="A1654" s="495" t="s">
        <v>2654</v>
      </c>
      <c r="B1654" s="400" t="s">
        <v>684</v>
      </c>
      <c r="C1654" s="400" t="s">
        <v>97</v>
      </c>
      <c r="D1654" s="400">
        <v>2040</v>
      </c>
      <c r="E1654" s="400">
        <v>15</v>
      </c>
      <c r="F1654" s="400" t="s">
        <v>2655</v>
      </c>
      <c r="G1654" s="400" t="s">
        <v>2221</v>
      </c>
      <c r="H1654" s="1238"/>
    </row>
    <row r="1655" spans="1:8" hidden="1">
      <c r="A1655" s="495" t="s">
        <v>2654</v>
      </c>
      <c r="B1655" s="400" t="s">
        <v>684</v>
      </c>
      <c r="C1655" s="400" t="s">
        <v>97</v>
      </c>
      <c r="D1655" s="400">
        <v>2041</v>
      </c>
      <c r="E1655" s="400">
        <v>15</v>
      </c>
      <c r="F1655" s="400" t="s">
        <v>2655</v>
      </c>
      <c r="G1655" s="400" t="s">
        <v>2221</v>
      </c>
      <c r="H1655" s="1238"/>
    </row>
    <row r="1656" spans="1:8" hidden="1">
      <c r="A1656" s="495" t="s">
        <v>2654</v>
      </c>
      <c r="B1656" s="400" t="s">
        <v>684</v>
      </c>
      <c r="C1656" s="400" t="s">
        <v>97</v>
      </c>
      <c r="D1656" s="400">
        <v>2042</v>
      </c>
      <c r="E1656" s="400">
        <v>15</v>
      </c>
      <c r="F1656" s="400" t="s">
        <v>2655</v>
      </c>
      <c r="G1656" s="400" t="s">
        <v>2221</v>
      </c>
      <c r="H1656" s="1238"/>
    </row>
    <row r="1657" spans="1:8" hidden="1">
      <c r="A1657" s="495" t="s">
        <v>2654</v>
      </c>
      <c r="B1657" s="400" t="s">
        <v>684</v>
      </c>
      <c r="C1657" s="400" t="s">
        <v>97</v>
      </c>
      <c r="D1657" s="400">
        <v>2043</v>
      </c>
      <c r="E1657" s="400">
        <v>15</v>
      </c>
      <c r="F1657" s="400" t="s">
        <v>2655</v>
      </c>
      <c r="G1657" s="400" t="s">
        <v>2221</v>
      </c>
      <c r="H1657" s="1238"/>
    </row>
    <row r="1658" spans="1:8" hidden="1">
      <c r="A1658" s="495" t="s">
        <v>2654</v>
      </c>
      <c r="B1658" s="400" t="s">
        <v>684</v>
      </c>
      <c r="C1658" s="400" t="s">
        <v>97</v>
      </c>
      <c r="D1658" s="400">
        <v>2044</v>
      </c>
      <c r="E1658" s="400">
        <v>15</v>
      </c>
      <c r="F1658" s="400" t="s">
        <v>2655</v>
      </c>
      <c r="G1658" s="400" t="s">
        <v>2221</v>
      </c>
      <c r="H1658" s="1238"/>
    </row>
    <row r="1659" spans="1:8" hidden="1">
      <c r="A1659" s="495" t="s">
        <v>2654</v>
      </c>
      <c r="B1659" s="400" t="s">
        <v>684</v>
      </c>
      <c r="C1659" s="400" t="s">
        <v>97</v>
      </c>
      <c r="D1659" s="400">
        <v>2045</v>
      </c>
      <c r="E1659" s="400">
        <v>15</v>
      </c>
      <c r="F1659" s="400" t="s">
        <v>2655</v>
      </c>
      <c r="G1659" s="400" t="s">
        <v>2221</v>
      </c>
      <c r="H1659" s="1238"/>
    </row>
    <row r="1660" spans="1:8" hidden="1">
      <c r="A1660" s="495" t="s">
        <v>2654</v>
      </c>
      <c r="B1660" s="400" t="s">
        <v>684</v>
      </c>
      <c r="C1660" s="400" t="s">
        <v>97</v>
      </c>
      <c r="D1660" s="400">
        <v>2046</v>
      </c>
      <c r="E1660" s="400">
        <v>15</v>
      </c>
      <c r="F1660" s="400" t="s">
        <v>2655</v>
      </c>
      <c r="G1660" s="400" t="s">
        <v>2221</v>
      </c>
      <c r="H1660" s="1238"/>
    </row>
    <row r="1661" spans="1:8" hidden="1">
      <c r="A1661" s="495" t="s">
        <v>2654</v>
      </c>
      <c r="B1661" s="400" t="s">
        <v>684</v>
      </c>
      <c r="C1661" s="400" t="s">
        <v>97</v>
      </c>
      <c r="D1661" s="400">
        <v>2047</v>
      </c>
      <c r="E1661" s="400">
        <v>15</v>
      </c>
      <c r="F1661" s="400" t="s">
        <v>2655</v>
      </c>
      <c r="G1661" s="400" t="s">
        <v>2221</v>
      </c>
      <c r="H1661" s="1238"/>
    </row>
    <row r="1662" spans="1:8" hidden="1">
      <c r="A1662" s="495" t="s">
        <v>2654</v>
      </c>
      <c r="B1662" s="400" t="s">
        <v>684</v>
      </c>
      <c r="C1662" s="400" t="s">
        <v>97</v>
      </c>
      <c r="D1662" s="400">
        <v>2048</v>
      </c>
      <c r="E1662" s="400">
        <v>15</v>
      </c>
      <c r="F1662" s="400" t="s">
        <v>2655</v>
      </c>
      <c r="G1662" s="400" t="s">
        <v>2221</v>
      </c>
      <c r="H1662" s="1238"/>
    </row>
    <row r="1663" spans="1:8" hidden="1">
      <c r="A1663" s="495" t="s">
        <v>2654</v>
      </c>
      <c r="B1663" s="400" t="s">
        <v>684</v>
      </c>
      <c r="C1663" s="400" t="s">
        <v>97</v>
      </c>
      <c r="D1663" s="400">
        <v>2049</v>
      </c>
      <c r="E1663" s="400">
        <v>15</v>
      </c>
      <c r="F1663" s="400" t="s">
        <v>2655</v>
      </c>
      <c r="G1663" s="400" t="s">
        <v>2221</v>
      </c>
      <c r="H1663" s="1238"/>
    </row>
    <row r="1664" spans="1:8" hidden="1">
      <c r="A1664" s="495" t="s">
        <v>2654</v>
      </c>
      <c r="B1664" s="400" t="s">
        <v>684</v>
      </c>
      <c r="C1664" s="400" t="s">
        <v>97</v>
      </c>
      <c r="D1664" s="400">
        <v>2050</v>
      </c>
      <c r="E1664" s="400">
        <v>15</v>
      </c>
      <c r="F1664" s="400" t="s">
        <v>2655</v>
      </c>
      <c r="G1664" s="400" t="s">
        <v>2221</v>
      </c>
      <c r="H1664" s="1238"/>
    </row>
    <row r="1665" spans="1:8" hidden="1">
      <c r="A1665" s="495" t="s">
        <v>2654</v>
      </c>
      <c r="B1665" s="400" t="s">
        <v>684</v>
      </c>
      <c r="C1665" s="400" t="s">
        <v>97</v>
      </c>
      <c r="D1665" s="400">
        <v>2051</v>
      </c>
      <c r="E1665" s="400">
        <v>15</v>
      </c>
      <c r="F1665" s="400" t="s">
        <v>2655</v>
      </c>
      <c r="G1665" s="400" t="s">
        <v>2221</v>
      </c>
      <c r="H1665" s="1238"/>
    </row>
    <row r="1666" spans="1:8" hidden="1">
      <c r="A1666" s="495" t="s">
        <v>2654</v>
      </c>
      <c r="B1666" s="400" t="s">
        <v>684</v>
      </c>
      <c r="C1666" s="400" t="s">
        <v>97</v>
      </c>
      <c r="D1666" s="400">
        <v>2052</v>
      </c>
      <c r="E1666" s="400">
        <v>15</v>
      </c>
      <c r="F1666" s="400" t="s">
        <v>2655</v>
      </c>
      <c r="G1666" s="400" t="s">
        <v>2221</v>
      </c>
      <c r="H1666" s="1238"/>
    </row>
    <row r="1667" spans="1:8" hidden="1">
      <c r="A1667" s="495" t="s">
        <v>2654</v>
      </c>
      <c r="B1667" s="400" t="s">
        <v>684</v>
      </c>
      <c r="C1667" s="400" t="s">
        <v>97</v>
      </c>
      <c r="D1667" s="400">
        <v>2053</v>
      </c>
      <c r="E1667" s="400">
        <v>15</v>
      </c>
      <c r="F1667" s="400" t="s">
        <v>2655</v>
      </c>
      <c r="G1667" s="400" t="s">
        <v>2221</v>
      </c>
      <c r="H1667" s="1238"/>
    </row>
    <row r="1668" spans="1:8" hidden="1">
      <c r="A1668" s="495" t="s">
        <v>2654</v>
      </c>
      <c r="B1668" s="400" t="s">
        <v>684</v>
      </c>
      <c r="C1668" s="400" t="s">
        <v>97</v>
      </c>
      <c r="D1668" s="400">
        <v>2054</v>
      </c>
      <c r="E1668" s="400">
        <v>15</v>
      </c>
      <c r="F1668" s="400" t="s">
        <v>2655</v>
      </c>
      <c r="G1668" s="400" t="s">
        <v>2221</v>
      </c>
      <c r="H1668" s="1238"/>
    </row>
    <row r="1669" spans="1:8" hidden="1">
      <c r="A1669" s="495" t="s">
        <v>2654</v>
      </c>
      <c r="B1669" s="400" t="s">
        <v>684</v>
      </c>
      <c r="C1669" s="400" t="s">
        <v>97</v>
      </c>
      <c r="D1669" s="400">
        <v>2055</v>
      </c>
      <c r="E1669" s="400">
        <v>15</v>
      </c>
      <c r="F1669" s="400" t="s">
        <v>2655</v>
      </c>
      <c r="G1669" s="400" t="s">
        <v>2221</v>
      </c>
      <c r="H1669" s="1238"/>
    </row>
    <row r="1670" spans="1:8" hidden="1">
      <c r="A1670" s="495" t="s">
        <v>2654</v>
      </c>
      <c r="B1670" s="400" t="s">
        <v>684</v>
      </c>
      <c r="C1670" s="400" t="s">
        <v>97</v>
      </c>
      <c r="D1670" s="400">
        <v>2056</v>
      </c>
      <c r="E1670" s="400">
        <v>15</v>
      </c>
      <c r="F1670" s="400" t="s">
        <v>2655</v>
      </c>
      <c r="G1670" s="400" t="s">
        <v>2221</v>
      </c>
      <c r="H1670" s="1238"/>
    </row>
    <row r="1671" spans="1:8" hidden="1">
      <c r="A1671" s="495" t="s">
        <v>2654</v>
      </c>
      <c r="B1671" s="400" t="s">
        <v>684</v>
      </c>
      <c r="C1671" s="400" t="s">
        <v>97</v>
      </c>
      <c r="D1671" s="400">
        <v>2057</v>
      </c>
      <c r="E1671" s="400">
        <v>15</v>
      </c>
      <c r="F1671" s="400" t="s">
        <v>2655</v>
      </c>
      <c r="G1671" s="400" t="s">
        <v>2221</v>
      </c>
      <c r="H1671" s="1238"/>
    </row>
    <row r="1672" spans="1:8" hidden="1">
      <c r="A1672" s="495" t="s">
        <v>2654</v>
      </c>
      <c r="B1672" s="400" t="s">
        <v>684</v>
      </c>
      <c r="C1672" s="400" t="s">
        <v>97</v>
      </c>
      <c r="D1672" s="400">
        <v>2058</v>
      </c>
      <c r="E1672" s="400">
        <v>15</v>
      </c>
      <c r="F1672" s="400" t="s">
        <v>2655</v>
      </c>
      <c r="G1672" s="400" t="s">
        <v>2221</v>
      </c>
      <c r="H1672" s="1238"/>
    </row>
    <row r="1673" spans="1:8" hidden="1">
      <c r="A1673" s="495" t="s">
        <v>2654</v>
      </c>
      <c r="B1673" s="400" t="s">
        <v>684</v>
      </c>
      <c r="C1673" s="400" t="s">
        <v>97</v>
      </c>
      <c r="D1673" s="400">
        <v>2059</v>
      </c>
      <c r="E1673" s="400">
        <v>15</v>
      </c>
      <c r="F1673" s="400" t="s">
        <v>2655</v>
      </c>
      <c r="G1673" s="400" t="s">
        <v>2221</v>
      </c>
      <c r="H1673" s="1238"/>
    </row>
    <row r="1674" spans="1:8" hidden="1">
      <c r="A1674" s="495" t="s">
        <v>2654</v>
      </c>
      <c r="B1674" s="400" t="s">
        <v>684</v>
      </c>
      <c r="C1674" s="400" t="s">
        <v>97</v>
      </c>
      <c r="D1674" s="400">
        <v>2060</v>
      </c>
      <c r="E1674" s="400">
        <v>15</v>
      </c>
      <c r="F1674" s="400" t="s">
        <v>2655</v>
      </c>
      <c r="G1674" s="400" t="s">
        <v>2221</v>
      </c>
      <c r="H1674" s="1238"/>
    </row>
    <row r="1675" spans="1:8" hidden="1">
      <c r="A1675" s="495" t="s">
        <v>2654</v>
      </c>
      <c r="B1675" s="400" t="s">
        <v>684</v>
      </c>
      <c r="C1675" s="400" t="s">
        <v>97</v>
      </c>
      <c r="D1675" s="400">
        <v>2061</v>
      </c>
      <c r="E1675" s="400">
        <v>15</v>
      </c>
      <c r="F1675" s="400" t="s">
        <v>2655</v>
      </c>
      <c r="G1675" s="400" t="s">
        <v>2221</v>
      </c>
      <c r="H1675" s="1238"/>
    </row>
    <row r="1676" spans="1:8" hidden="1">
      <c r="A1676" s="495" t="s">
        <v>2654</v>
      </c>
      <c r="B1676" s="400" t="s">
        <v>684</v>
      </c>
      <c r="C1676" s="400" t="s">
        <v>97</v>
      </c>
      <c r="D1676" s="400">
        <v>2062</v>
      </c>
      <c r="E1676" s="400">
        <v>15</v>
      </c>
      <c r="F1676" s="400" t="s">
        <v>2655</v>
      </c>
      <c r="G1676" s="400" t="s">
        <v>2221</v>
      </c>
      <c r="H1676" s="1238"/>
    </row>
    <row r="1677" spans="1:8" hidden="1">
      <c r="A1677" s="495" t="s">
        <v>2654</v>
      </c>
      <c r="B1677" s="400" t="s">
        <v>684</v>
      </c>
      <c r="C1677" s="400" t="s">
        <v>97</v>
      </c>
      <c r="D1677" s="400">
        <v>2063</v>
      </c>
      <c r="E1677" s="400">
        <v>15</v>
      </c>
      <c r="F1677" s="400" t="s">
        <v>2655</v>
      </c>
      <c r="G1677" s="400" t="s">
        <v>2221</v>
      </c>
      <c r="H1677" s="1238"/>
    </row>
    <row r="1678" spans="1:8" hidden="1">
      <c r="A1678" s="495" t="s">
        <v>2654</v>
      </c>
      <c r="B1678" s="400" t="s">
        <v>684</v>
      </c>
      <c r="C1678" s="400" t="s">
        <v>97</v>
      </c>
      <c r="D1678" s="400">
        <v>2064</v>
      </c>
      <c r="E1678" s="400">
        <v>15</v>
      </c>
      <c r="F1678" s="400" t="s">
        <v>2655</v>
      </c>
      <c r="G1678" s="400" t="s">
        <v>2221</v>
      </c>
      <c r="H1678" s="1238"/>
    </row>
    <row r="1679" spans="1:8" hidden="1">
      <c r="A1679" s="495" t="s">
        <v>2654</v>
      </c>
      <c r="B1679" s="400" t="s">
        <v>684</v>
      </c>
      <c r="C1679" s="400" t="s">
        <v>97</v>
      </c>
      <c r="D1679" s="400">
        <v>2065</v>
      </c>
      <c r="E1679" s="400">
        <v>15</v>
      </c>
      <c r="F1679" s="400" t="s">
        <v>2655</v>
      </c>
      <c r="G1679" s="400" t="s">
        <v>2221</v>
      </c>
      <c r="H1679" s="1238"/>
    </row>
    <row r="1680" spans="1:8" hidden="1">
      <c r="A1680" s="495" t="s">
        <v>2654</v>
      </c>
      <c r="B1680" s="400" t="s">
        <v>684</v>
      </c>
      <c r="C1680" s="400" t="s">
        <v>97</v>
      </c>
      <c r="D1680" s="400">
        <v>2066</v>
      </c>
      <c r="E1680" s="400">
        <v>15</v>
      </c>
      <c r="F1680" s="400" t="s">
        <v>2655</v>
      </c>
      <c r="G1680" s="400" t="s">
        <v>2221</v>
      </c>
      <c r="H1680" s="1238"/>
    </row>
    <row r="1681" spans="1:8" hidden="1">
      <c r="A1681" s="495" t="s">
        <v>2654</v>
      </c>
      <c r="B1681" s="400" t="s">
        <v>684</v>
      </c>
      <c r="C1681" s="400" t="s">
        <v>97</v>
      </c>
      <c r="D1681" s="400">
        <v>2067</v>
      </c>
      <c r="E1681" s="400">
        <v>15</v>
      </c>
      <c r="F1681" s="400" t="s">
        <v>2655</v>
      </c>
      <c r="G1681" s="400" t="s">
        <v>2221</v>
      </c>
      <c r="H1681" s="1238"/>
    </row>
    <row r="1682" spans="1:8" hidden="1">
      <c r="A1682" s="495" t="s">
        <v>2654</v>
      </c>
      <c r="B1682" s="400" t="s">
        <v>684</v>
      </c>
      <c r="C1682" s="400" t="s">
        <v>97</v>
      </c>
      <c r="D1682" s="400">
        <v>2068</v>
      </c>
      <c r="E1682" s="400">
        <v>15</v>
      </c>
      <c r="F1682" s="400" t="s">
        <v>2655</v>
      </c>
      <c r="G1682" s="400" t="s">
        <v>2221</v>
      </c>
      <c r="H1682" s="1238"/>
    </row>
    <row r="1683" spans="1:8" hidden="1">
      <c r="A1683" s="495" t="s">
        <v>2654</v>
      </c>
      <c r="B1683" s="400" t="s">
        <v>684</v>
      </c>
      <c r="C1683" s="400" t="s">
        <v>97</v>
      </c>
      <c r="D1683" s="400">
        <v>2069</v>
      </c>
      <c r="E1683" s="400">
        <v>15</v>
      </c>
      <c r="F1683" s="400" t="s">
        <v>2655</v>
      </c>
      <c r="G1683" s="400" t="s">
        <v>2221</v>
      </c>
      <c r="H1683" s="1238"/>
    </row>
    <row r="1684" spans="1:8" hidden="1">
      <c r="A1684" s="495" t="s">
        <v>2654</v>
      </c>
      <c r="B1684" s="400" t="s">
        <v>684</v>
      </c>
      <c r="C1684" s="400" t="s">
        <v>97</v>
      </c>
      <c r="D1684" s="400">
        <v>2070</v>
      </c>
      <c r="E1684" s="400">
        <v>15</v>
      </c>
      <c r="F1684" s="400" t="s">
        <v>2655</v>
      </c>
      <c r="G1684" s="400" t="s">
        <v>2221</v>
      </c>
      <c r="H1684" s="1238"/>
    </row>
    <row r="1685" spans="1:8" hidden="1">
      <c r="A1685" s="495" t="s">
        <v>2654</v>
      </c>
      <c r="B1685" s="400" t="s">
        <v>684</v>
      </c>
      <c r="C1685" s="400" t="s">
        <v>97</v>
      </c>
      <c r="D1685" s="400">
        <v>2071</v>
      </c>
      <c r="E1685" s="400">
        <v>15</v>
      </c>
      <c r="F1685" s="400" t="s">
        <v>2655</v>
      </c>
      <c r="G1685" s="400" t="s">
        <v>2221</v>
      </c>
      <c r="H1685" s="1238"/>
    </row>
    <row r="1686" spans="1:8" hidden="1">
      <c r="A1686" s="495" t="s">
        <v>2654</v>
      </c>
      <c r="B1686" s="400" t="s">
        <v>684</v>
      </c>
      <c r="C1686" s="400" t="s">
        <v>97</v>
      </c>
      <c r="D1686" s="400">
        <v>2072</v>
      </c>
      <c r="E1686" s="400">
        <v>15</v>
      </c>
      <c r="F1686" s="400" t="s">
        <v>2655</v>
      </c>
      <c r="G1686" s="400" t="s">
        <v>2221</v>
      </c>
      <c r="H1686" s="1238"/>
    </row>
    <row r="1687" spans="1:8" hidden="1">
      <c r="A1687" s="495" t="s">
        <v>2654</v>
      </c>
      <c r="B1687" s="400" t="s">
        <v>684</v>
      </c>
      <c r="C1687" s="400" t="s">
        <v>97</v>
      </c>
      <c r="D1687" s="400">
        <v>2073</v>
      </c>
      <c r="E1687" s="400">
        <v>15</v>
      </c>
      <c r="F1687" s="400" t="s">
        <v>2655</v>
      </c>
      <c r="G1687" s="400" t="s">
        <v>2221</v>
      </c>
      <c r="H1687" s="1238"/>
    </row>
    <row r="1688" spans="1:8" hidden="1">
      <c r="A1688" s="495" t="s">
        <v>2654</v>
      </c>
      <c r="B1688" s="400" t="s">
        <v>684</v>
      </c>
      <c r="C1688" s="400" t="s">
        <v>97</v>
      </c>
      <c r="D1688" s="400">
        <v>2074</v>
      </c>
      <c r="E1688" s="400">
        <v>15</v>
      </c>
      <c r="F1688" s="400" t="s">
        <v>2655</v>
      </c>
      <c r="G1688" s="400" t="s">
        <v>2221</v>
      </c>
      <c r="H1688" s="1238"/>
    </row>
    <row r="1689" spans="1:8" hidden="1">
      <c r="A1689" s="495" t="s">
        <v>2654</v>
      </c>
      <c r="B1689" s="400" t="s">
        <v>684</v>
      </c>
      <c r="C1689" s="400" t="s">
        <v>97</v>
      </c>
      <c r="D1689" s="400">
        <v>2075</v>
      </c>
      <c r="E1689" s="400">
        <v>15</v>
      </c>
      <c r="F1689" s="400" t="s">
        <v>2655</v>
      </c>
      <c r="G1689" s="400" t="s">
        <v>2221</v>
      </c>
      <c r="H1689" s="1238"/>
    </row>
    <row r="1690" spans="1:8" hidden="1">
      <c r="A1690" s="495" t="s">
        <v>2654</v>
      </c>
      <c r="B1690" s="400" t="s">
        <v>684</v>
      </c>
      <c r="C1690" s="400" t="s">
        <v>97</v>
      </c>
      <c r="D1690" s="400">
        <v>2076</v>
      </c>
      <c r="E1690" s="400">
        <v>15</v>
      </c>
      <c r="F1690" s="400" t="s">
        <v>2655</v>
      </c>
      <c r="G1690" s="400" t="s">
        <v>2221</v>
      </c>
      <c r="H1690" s="1238"/>
    </row>
    <row r="1691" spans="1:8" hidden="1">
      <c r="A1691" s="495" t="s">
        <v>2654</v>
      </c>
      <c r="B1691" s="400" t="s">
        <v>684</v>
      </c>
      <c r="C1691" s="400" t="s">
        <v>97</v>
      </c>
      <c r="D1691" s="400">
        <v>2077</v>
      </c>
      <c r="E1691" s="400">
        <v>15</v>
      </c>
      <c r="F1691" s="400" t="s">
        <v>2655</v>
      </c>
      <c r="G1691" s="400" t="s">
        <v>2221</v>
      </c>
      <c r="H1691" s="1238"/>
    </row>
    <row r="1692" spans="1:8" hidden="1">
      <c r="A1692" s="495" t="s">
        <v>2654</v>
      </c>
      <c r="B1692" s="400" t="s">
        <v>684</v>
      </c>
      <c r="C1692" s="400" t="s">
        <v>97</v>
      </c>
      <c r="D1692" s="400">
        <v>2078</v>
      </c>
      <c r="E1692" s="400">
        <v>15</v>
      </c>
      <c r="F1692" s="400" t="s">
        <v>2655</v>
      </c>
      <c r="G1692" s="400" t="s">
        <v>2221</v>
      </c>
      <c r="H1692" s="1238"/>
    </row>
    <row r="1693" spans="1:8" hidden="1">
      <c r="A1693" s="495" t="s">
        <v>2654</v>
      </c>
      <c r="B1693" s="400" t="s">
        <v>684</v>
      </c>
      <c r="C1693" s="400" t="s">
        <v>97</v>
      </c>
      <c r="D1693" s="400">
        <v>2079</v>
      </c>
      <c r="E1693" s="400">
        <v>15</v>
      </c>
      <c r="F1693" s="400" t="s">
        <v>2655</v>
      </c>
      <c r="G1693" s="400" t="s">
        <v>2221</v>
      </c>
      <c r="H1693" s="1238"/>
    </row>
    <row r="1694" spans="1:8" hidden="1">
      <c r="A1694" s="495" t="s">
        <v>2654</v>
      </c>
      <c r="B1694" s="400" t="s">
        <v>684</v>
      </c>
      <c r="C1694" s="400" t="s">
        <v>97</v>
      </c>
      <c r="D1694" s="400">
        <v>2080</v>
      </c>
      <c r="E1694" s="400">
        <v>15</v>
      </c>
      <c r="F1694" s="400" t="s">
        <v>2655</v>
      </c>
      <c r="G1694" s="400" t="s">
        <v>2221</v>
      </c>
      <c r="H1694" s="1238"/>
    </row>
    <row r="1695" spans="1:8" hidden="1">
      <c r="A1695" s="495" t="s">
        <v>2654</v>
      </c>
      <c r="B1695" s="400" t="s">
        <v>684</v>
      </c>
      <c r="C1695" s="400" t="s">
        <v>97</v>
      </c>
      <c r="D1695" s="400">
        <v>2081</v>
      </c>
      <c r="E1695" s="400">
        <v>15</v>
      </c>
      <c r="F1695" s="400" t="s">
        <v>2655</v>
      </c>
      <c r="G1695" s="400" t="s">
        <v>2221</v>
      </c>
      <c r="H1695" s="1238"/>
    </row>
    <row r="1696" spans="1:8" hidden="1">
      <c r="A1696" s="495" t="s">
        <v>2654</v>
      </c>
      <c r="B1696" s="400" t="s">
        <v>684</v>
      </c>
      <c r="C1696" s="400" t="s">
        <v>97</v>
      </c>
      <c r="D1696" s="400">
        <v>2082</v>
      </c>
      <c r="E1696" s="400">
        <v>15</v>
      </c>
      <c r="F1696" s="400" t="s">
        <v>2655</v>
      </c>
      <c r="G1696" s="400" t="s">
        <v>2221</v>
      </c>
      <c r="H1696" s="1238"/>
    </row>
    <row r="1697" spans="1:8" hidden="1">
      <c r="A1697" s="495" t="s">
        <v>2654</v>
      </c>
      <c r="B1697" s="400" t="s">
        <v>684</v>
      </c>
      <c r="C1697" s="400" t="s">
        <v>97</v>
      </c>
      <c r="D1697" s="400">
        <v>2083</v>
      </c>
      <c r="E1697" s="400">
        <v>15</v>
      </c>
      <c r="F1697" s="400" t="s">
        <v>2655</v>
      </c>
      <c r="G1697" s="400" t="s">
        <v>2221</v>
      </c>
      <c r="H1697" s="1238"/>
    </row>
    <row r="1698" spans="1:8" hidden="1">
      <c r="A1698" s="495" t="s">
        <v>2654</v>
      </c>
      <c r="B1698" s="400" t="s">
        <v>684</v>
      </c>
      <c r="C1698" s="400" t="s">
        <v>97</v>
      </c>
      <c r="D1698" s="400">
        <v>2084</v>
      </c>
      <c r="E1698" s="400">
        <v>15</v>
      </c>
      <c r="F1698" s="400" t="s">
        <v>2655</v>
      </c>
      <c r="G1698" s="400" t="s">
        <v>2221</v>
      </c>
      <c r="H1698" s="1238"/>
    </row>
    <row r="1699" spans="1:8" hidden="1">
      <c r="A1699" s="495" t="s">
        <v>2654</v>
      </c>
      <c r="B1699" s="400" t="s">
        <v>684</v>
      </c>
      <c r="C1699" s="400" t="s">
        <v>97</v>
      </c>
      <c r="D1699" s="400">
        <v>2085</v>
      </c>
      <c r="E1699" s="400">
        <v>15</v>
      </c>
      <c r="F1699" s="400" t="s">
        <v>2655</v>
      </c>
      <c r="G1699" s="400" t="s">
        <v>2221</v>
      </c>
      <c r="H1699" s="1238"/>
    </row>
    <row r="1700" spans="1:8" hidden="1">
      <c r="A1700" s="495" t="s">
        <v>2654</v>
      </c>
      <c r="B1700" s="400" t="s">
        <v>684</v>
      </c>
      <c r="C1700" s="400" t="s">
        <v>97</v>
      </c>
      <c r="D1700" s="400">
        <v>2086</v>
      </c>
      <c r="E1700" s="400">
        <v>15</v>
      </c>
      <c r="F1700" s="400" t="s">
        <v>2655</v>
      </c>
      <c r="G1700" s="400" t="s">
        <v>2221</v>
      </c>
      <c r="H1700" s="1238"/>
    </row>
    <row r="1701" spans="1:8" hidden="1">
      <c r="A1701" s="495" t="s">
        <v>2654</v>
      </c>
      <c r="B1701" s="400" t="s">
        <v>684</v>
      </c>
      <c r="C1701" s="400" t="s">
        <v>97</v>
      </c>
      <c r="D1701" s="400">
        <v>2087</v>
      </c>
      <c r="E1701" s="400">
        <v>15</v>
      </c>
      <c r="F1701" s="400" t="s">
        <v>2655</v>
      </c>
      <c r="G1701" s="400" t="s">
        <v>2221</v>
      </c>
      <c r="H1701" s="1238"/>
    </row>
    <row r="1702" spans="1:8" hidden="1">
      <c r="A1702" s="495" t="s">
        <v>2654</v>
      </c>
      <c r="B1702" s="400" t="s">
        <v>684</v>
      </c>
      <c r="C1702" s="400" t="s">
        <v>97</v>
      </c>
      <c r="D1702" s="400">
        <v>2088</v>
      </c>
      <c r="E1702" s="400">
        <v>15</v>
      </c>
      <c r="F1702" s="400" t="s">
        <v>2655</v>
      </c>
      <c r="G1702" s="400" t="s">
        <v>2221</v>
      </c>
      <c r="H1702" s="1238"/>
    </row>
    <row r="1703" spans="1:8" hidden="1">
      <c r="A1703" s="495" t="s">
        <v>2654</v>
      </c>
      <c r="B1703" s="400" t="s">
        <v>684</v>
      </c>
      <c r="C1703" s="400" t="s">
        <v>97</v>
      </c>
      <c r="D1703" s="400">
        <v>2089</v>
      </c>
      <c r="E1703" s="400">
        <v>15</v>
      </c>
      <c r="F1703" s="400" t="s">
        <v>2655</v>
      </c>
      <c r="G1703" s="400" t="s">
        <v>2221</v>
      </c>
      <c r="H1703" s="1238"/>
    </row>
    <row r="1704" spans="1:8" hidden="1">
      <c r="A1704" s="495" t="s">
        <v>2654</v>
      </c>
      <c r="B1704" s="400" t="s">
        <v>684</v>
      </c>
      <c r="C1704" s="400" t="s">
        <v>97</v>
      </c>
      <c r="D1704" s="400">
        <v>2090</v>
      </c>
      <c r="E1704" s="400">
        <v>15</v>
      </c>
      <c r="F1704" s="400" t="s">
        <v>2655</v>
      </c>
      <c r="G1704" s="400" t="s">
        <v>2221</v>
      </c>
      <c r="H1704" s="1238"/>
    </row>
    <row r="1705" spans="1:8" hidden="1">
      <c r="A1705" s="495" t="s">
        <v>2654</v>
      </c>
      <c r="B1705" s="400" t="s">
        <v>684</v>
      </c>
      <c r="C1705" s="400" t="s">
        <v>97</v>
      </c>
      <c r="D1705" s="400">
        <v>2091</v>
      </c>
      <c r="E1705" s="400">
        <v>15</v>
      </c>
      <c r="F1705" s="400" t="s">
        <v>2655</v>
      </c>
      <c r="G1705" s="400" t="s">
        <v>2221</v>
      </c>
      <c r="H1705" s="1238"/>
    </row>
    <row r="1706" spans="1:8" hidden="1">
      <c r="A1706" s="495" t="s">
        <v>2654</v>
      </c>
      <c r="B1706" s="400" t="s">
        <v>684</v>
      </c>
      <c r="C1706" s="400" t="s">
        <v>97</v>
      </c>
      <c r="D1706" s="400">
        <v>2092</v>
      </c>
      <c r="E1706" s="400">
        <v>15</v>
      </c>
      <c r="F1706" s="400" t="s">
        <v>2655</v>
      </c>
      <c r="G1706" s="400" t="s">
        <v>2221</v>
      </c>
      <c r="H1706" s="1238"/>
    </row>
    <row r="1707" spans="1:8" hidden="1">
      <c r="A1707" s="495" t="s">
        <v>2654</v>
      </c>
      <c r="B1707" s="400" t="s">
        <v>684</v>
      </c>
      <c r="C1707" s="400" t="s">
        <v>97</v>
      </c>
      <c r="D1707" s="400">
        <v>2093</v>
      </c>
      <c r="E1707" s="400">
        <v>15</v>
      </c>
      <c r="F1707" s="400" t="s">
        <v>2655</v>
      </c>
      <c r="G1707" s="400" t="s">
        <v>2221</v>
      </c>
      <c r="H1707" s="1238"/>
    </row>
    <row r="1708" spans="1:8" hidden="1">
      <c r="A1708" s="495" t="s">
        <v>2654</v>
      </c>
      <c r="B1708" s="400" t="s">
        <v>684</v>
      </c>
      <c r="C1708" s="400" t="s">
        <v>97</v>
      </c>
      <c r="D1708" s="400">
        <v>2094</v>
      </c>
      <c r="E1708" s="400">
        <v>15</v>
      </c>
      <c r="F1708" s="400" t="s">
        <v>2655</v>
      </c>
      <c r="G1708" s="400" t="s">
        <v>2221</v>
      </c>
      <c r="H1708" s="1238"/>
    </row>
    <row r="1709" spans="1:8" hidden="1">
      <c r="A1709" s="495" t="s">
        <v>2654</v>
      </c>
      <c r="B1709" s="400" t="s">
        <v>684</v>
      </c>
      <c r="C1709" s="400" t="s">
        <v>97</v>
      </c>
      <c r="D1709" s="400">
        <v>2095</v>
      </c>
      <c r="E1709" s="400">
        <v>15</v>
      </c>
      <c r="F1709" s="400" t="s">
        <v>2655</v>
      </c>
      <c r="G1709" s="400" t="s">
        <v>2221</v>
      </c>
      <c r="H1709" s="1238"/>
    </row>
    <row r="1710" spans="1:8" hidden="1">
      <c r="A1710" s="495" t="s">
        <v>2654</v>
      </c>
      <c r="B1710" s="400" t="s">
        <v>684</v>
      </c>
      <c r="C1710" s="400" t="s">
        <v>97</v>
      </c>
      <c r="D1710" s="400">
        <v>2096</v>
      </c>
      <c r="E1710" s="400">
        <v>15</v>
      </c>
      <c r="F1710" s="400" t="s">
        <v>2655</v>
      </c>
      <c r="G1710" s="400" t="s">
        <v>2221</v>
      </c>
      <c r="H1710" s="1238"/>
    </row>
    <row r="1711" spans="1:8" hidden="1">
      <c r="A1711" s="495" t="s">
        <v>2654</v>
      </c>
      <c r="B1711" s="400" t="s">
        <v>684</v>
      </c>
      <c r="C1711" s="400" t="s">
        <v>97</v>
      </c>
      <c r="D1711" s="400">
        <v>2097</v>
      </c>
      <c r="E1711" s="400">
        <v>15</v>
      </c>
      <c r="F1711" s="400" t="s">
        <v>2655</v>
      </c>
      <c r="G1711" s="400" t="s">
        <v>2221</v>
      </c>
      <c r="H1711" s="1238"/>
    </row>
    <row r="1712" spans="1:8" hidden="1">
      <c r="A1712" s="495" t="s">
        <v>2654</v>
      </c>
      <c r="B1712" s="400" t="s">
        <v>684</v>
      </c>
      <c r="C1712" s="400" t="s">
        <v>97</v>
      </c>
      <c r="D1712" s="400">
        <v>2098</v>
      </c>
      <c r="E1712" s="400">
        <v>15</v>
      </c>
      <c r="F1712" s="400" t="s">
        <v>2655</v>
      </c>
      <c r="G1712" s="400" t="s">
        <v>2221</v>
      </c>
      <c r="H1712" s="1238"/>
    </row>
    <row r="1713" spans="1:8" hidden="1">
      <c r="A1713" s="495" t="s">
        <v>2654</v>
      </c>
      <c r="B1713" s="400" t="s">
        <v>684</v>
      </c>
      <c r="C1713" s="400" t="s">
        <v>97</v>
      </c>
      <c r="D1713" s="400">
        <v>2099</v>
      </c>
      <c r="E1713" s="400">
        <v>15</v>
      </c>
      <c r="F1713" s="400" t="s">
        <v>2655</v>
      </c>
      <c r="G1713" s="400" t="s">
        <v>2221</v>
      </c>
      <c r="H1713" s="1238"/>
    </row>
    <row r="1714" spans="1:8" hidden="1">
      <c r="A1714" s="495" t="s">
        <v>2654</v>
      </c>
      <c r="B1714" s="400" t="s">
        <v>684</v>
      </c>
      <c r="C1714" s="400" t="s">
        <v>97</v>
      </c>
      <c r="D1714" s="400">
        <v>2100</v>
      </c>
      <c r="E1714" s="400">
        <v>15</v>
      </c>
      <c r="F1714" s="400" t="s">
        <v>2655</v>
      </c>
      <c r="G1714" s="400" t="s">
        <v>2221</v>
      </c>
      <c r="H1714" s="1238"/>
    </row>
    <row r="1715" spans="1:8" hidden="1">
      <c r="A1715" s="495" t="s">
        <v>2654</v>
      </c>
      <c r="B1715" s="400" t="s">
        <v>684</v>
      </c>
      <c r="C1715" s="400" t="s">
        <v>97</v>
      </c>
      <c r="D1715" s="400">
        <v>2101</v>
      </c>
      <c r="E1715" s="400">
        <v>15</v>
      </c>
      <c r="F1715" s="400" t="s">
        <v>2655</v>
      </c>
      <c r="G1715" s="400" t="s">
        <v>2221</v>
      </c>
      <c r="H1715" s="1238"/>
    </row>
    <row r="1716" spans="1:8" hidden="1">
      <c r="A1716" s="495" t="s">
        <v>2654</v>
      </c>
      <c r="B1716" s="400" t="s">
        <v>684</v>
      </c>
      <c r="C1716" s="400" t="s">
        <v>97</v>
      </c>
      <c r="D1716" s="400">
        <v>2102</v>
      </c>
      <c r="E1716" s="400">
        <v>15</v>
      </c>
      <c r="F1716" s="400" t="s">
        <v>2655</v>
      </c>
      <c r="G1716" s="400" t="s">
        <v>2221</v>
      </c>
      <c r="H1716" s="1238"/>
    </row>
    <row r="1717" spans="1:8" hidden="1">
      <c r="A1717" s="495" t="s">
        <v>2654</v>
      </c>
      <c r="B1717" s="400" t="s">
        <v>684</v>
      </c>
      <c r="C1717" s="400" t="s">
        <v>97</v>
      </c>
      <c r="D1717" s="400">
        <v>2103</v>
      </c>
      <c r="E1717" s="400">
        <v>15</v>
      </c>
      <c r="F1717" s="400" t="s">
        <v>2655</v>
      </c>
      <c r="G1717" s="400" t="s">
        <v>2221</v>
      </c>
      <c r="H1717" s="1238"/>
    </row>
    <row r="1718" spans="1:8" hidden="1">
      <c r="A1718" s="495" t="s">
        <v>2654</v>
      </c>
      <c r="B1718" s="400" t="s">
        <v>684</v>
      </c>
      <c r="C1718" s="400" t="s">
        <v>97</v>
      </c>
      <c r="D1718" s="400">
        <v>2104</v>
      </c>
      <c r="E1718" s="400">
        <v>15</v>
      </c>
      <c r="F1718" s="400" t="s">
        <v>2655</v>
      </c>
      <c r="G1718" s="400" t="s">
        <v>2221</v>
      </c>
      <c r="H1718" s="1238"/>
    </row>
    <row r="1719" spans="1:8" hidden="1">
      <c r="A1719" s="495" t="s">
        <v>2654</v>
      </c>
      <c r="B1719" s="400" t="s">
        <v>684</v>
      </c>
      <c r="C1719" s="400" t="s">
        <v>97</v>
      </c>
      <c r="D1719" s="400">
        <v>2105</v>
      </c>
      <c r="E1719" s="400">
        <v>15</v>
      </c>
      <c r="F1719" s="400" t="s">
        <v>2655</v>
      </c>
      <c r="G1719" s="400" t="s">
        <v>2221</v>
      </c>
      <c r="H1719" s="1238"/>
    </row>
    <row r="1720" spans="1:8" hidden="1">
      <c r="A1720" s="495" t="s">
        <v>2654</v>
      </c>
      <c r="B1720" s="400" t="s">
        <v>684</v>
      </c>
      <c r="C1720" s="400" t="s">
        <v>97</v>
      </c>
      <c r="D1720" s="400">
        <v>2106</v>
      </c>
      <c r="E1720" s="400">
        <v>15</v>
      </c>
      <c r="F1720" s="400" t="s">
        <v>2655</v>
      </c>
      <c r="G1720" s="400" t="s">
        <v>2221</v>
      </c>
      <c r="H1720" s="1238"/>
    </row>
    <row r="1721" spans="1:8" hidden="1">
      <c r="A1721" s="495" t="s">
        <v>2654</v>
      </c>
      <c r="B1721" s="400" t="s">
        <v>684</v>
      </c>
      <c r="C1721" s="400" t="s">
        <v>97</v>
      </c>
      <c r="D1721" s="400">
        <v>2107</v>
      </c>
      <c r="E1721" s="400">
        <v>15</v>
      </c>
      <c r="F1721" s="400" t="s">
        <v>2655</v>
      </c>
      <c r="G1721" s="400" t="s">
        <v>2221</v>
      </c>
      <c r="H1721" s="1238"/>
    </row>
    <row r="1722" spans="1:8" hidden="1">
      <c r="A1722" s="495" t="s">
        <v>2654</v>
      </c>
      <c r="B1722" s="400" t="s">
        <v>684</v>
      </c>
      <c r="C1722" s="400" t="s">
        <v>97</v>
      </c>
      <c r="D1722" s="400">
        <v>2108</v>
      </c>
      <c r="E1722" s="400">
        <v>15</v>
      </c>
      <c r="F1722" s="400" t="s">
        <v>2655</v>
      </c>
      <c r="G1722" s="400" t="s">
        <v>2221</v>
      </c>
      <c r="H1722" s="1238"/>
    </row>
    <row r="1723" spans="1:8" hidden="1">
      <c r="A1723" s="495" t="s">
        <v>2654</v>
      </c>
      <c r="B1723" s="400" t="s">
        <v>684</v>
      </c>
      <c r="C1723" s="400" t="s">
        <v>97</v>
      </c>
      <c r="D1723" s="400">
        <v>2109</v>
      </c>
      <c r="E1723" s="400">
        <v>15</v>
      </c>
      <c r="F1723" s="400" t="s">
        <v>2655</v>
      </c>
      <c r="G1723" s="400" t="s">
        <v>2221</v>
      </c>
      <c r="H1723" s="1238"/>
    </row>
    <row r="1724" spans="1:8" hidden="1">
      <c r="A1724" s="495" t="s">
        <v>2654</v>
      </c>
      <c r="B1724" s="400" t="s">
        <v>684</v>
      </c>
      <c r="C1724" s="400" t="s">
        <v>97</v>
      </c>
      <c r="D1724" s="400">
        <v>2110</v>
      </c>
      <c r="E1724" s="400">
        <v>15</v>
      </c>
      <c r="F1724" s="400" t="s">
        <v>2655</v>
      </c>
      <c r="G1724" s="400" t="s">
        <v>2221</v>
      </c>
      <c r="H1724" s="1238"/>
    </row>
    <row r="1725" spans="1:8" hidden="1">
      <c r="A1725" s="495" t="s">
        <v>2654</v>
      </c>
      <c r="B1725" s="400" t="s">
        <v>684</v>
      </c>
      <c r="C1725" s="400" t="s">
        <v>97</v>
      </c>
      <c r="D1725" s="400">
        <v>2111</v>
      </c>
      <c r="E1725" s="400">
        <v>15</v>
      </c>
      <c r="F1725" s="400" t="s">
        <v>2655</v>
      </c>
      <c r="G1725" s="400" t="s">
        <v>2221</v>
      </c>
      <c r="H1725" s="1238"/>
    </row>
    <row r="1726" spans="1:8" hidden="1">
      <c r="A1726" s="495" t="s">
        <v>2654</v>
      </c>
      <c r="B1726" s="400" t="s">
        <v>684</v>
      </c>
      <c r="C1726" s="400" t="s">
        <v>97</v>
      </c>
      <c r="D1726" s="400">
        <v>2112</v>
      </c>
      <c r="E1726" s="400">
        <v>15</v>
      </c>
      <c r="F1726" s="400" t="s">
        <v>2655</v>
      </c>
      <c r="G1726" s="400" t="s">
        <v>2221</v>
      </c>
      <c r="H1726" s="1238"/>
    </row>
    <row r="1727" spans="1:8" hidden="1">
      <c r="A1727" s="495" t="s">
        <v>2654</v>
      </c>
      <c r="B1727" s="400" t="s">
        <v>684</v>
      </c>
      <c r="C1727" s="400" t="s">
        <v>97</v>
      </c>
      <c r="D1727" s="400">
        <v>2113</v>
      </c>
      <c r="E1727" s="400">
        <v>15</v>
      </c>
      <c r="F1727" s="400" t="s">
        <v>2655</v>
      </c>
      <c r="G1727" s="400" t="s">
        <v>2221</v>
      </c>
      <c r="H1727" s="1238"/>
    </row>
    <row r="1728" spans="1:8" hidden="1">
      <c r="A1728" s="495" t="s">
        <v>2654</v>
      </c>
      <c r="B1728" s="400" t="s">
        <v>684</v>
      </c>
      <c r="C1728" s="400" t="s">
        <v>97</v>
      </c>
      <c r="D1728" s="400">
        <v>2114</v>
      </c>
      <c r="E1728" s="400">
        <v>15</v>
      </c>
      <c r="F1728" s="400" t="s">
        <v>2655</v>
      </c>
      <c r="G1728" s="400" t="s">
        <v>2221</v>
      </c>
      <c r="H1728" s="1238"/>
    </row>
    <row r="1729" spans="1:8" hidden="1">
      <c r="A1729" s="495" t="s">
        <v>2654</v>
      </c>
      <c r="B1729" s="400" t="s">
        <v>684</v>
      </c>
      <c r="C1729" s="400" t="s">
        <v>97</v>
      </c>
      <c r="D1729" s="400">
        <v>2115</v>
      </c>
      <c r="E1729" s="400">
        <v>15</v>
      </c>
      <c r="F1729" s="400" t="s">
        <v>2655</v>
      </c>
      <c r="G1729" s="400" t="s">
        <v>2221</v>
      </c>
      <c r="H1729" s="1238"/>
    </row>
    <row r="1730" spans="1:8" hidden="1">
      <c r="A1730" s="495" t="s">
        <v>2654</v>
      </c>
      <c r="B1730" s="400" t="s">
        <v>684</v>
      </c>
      <c r="C1730" s="400" t="s">
        <v>97</v>
      </c>
      <c r="D1730" s="400">
        <v>2116</v>
      </c>
      <c r="E1730" s="400">
        <v>15</v>
      </c>
      <c r="F1730" s="400" t="s">
        <v>2655</v>
      </c>
      <c r="G1730" s="400" t="s">
        <v>2221</v>
      </c>
      <c r="H1730" s="1238"/>
    </row>
    <row r="1731" spans="1:8" hidden="1">
      <c r="A1731" s="495" t="s">
        <v>2654</v>
      </c>
      <c r="B1731" s="400" t="s">
        <v>684</v>
      </c>
      <c r="C1731" s="400" t="s">
        <v>97</v>
      </c>
      <c r="D1731" s="400">
        <v>2117</v>
      </c>
      <c r="E1731" s="400">
        <v>15</v>
      </c>
      <c r="F1731" s="400" t="s">
        <v>2655</v>
      </c>
      <c r="G1731" s="400" t="s">
        <v>2221</v>
      </c>
      <c r="H1731" s="1238"/>
    </row>
    <row r="1732" spans="1:8" hidden="1">
      <c r="A1732" s="495" t="s">
        <v>2654</v>
      </c>
      <c r="B1732" s="400" t="s">
        <v>684</v>
      </c>
      <c r="C1732" s="400" t="s">
        <v>97</v>
      </c>
      <c r="D1732" s="400">
        <v>2118</v>
      </c>
      <c r="E1732" s="400">
        <v>15</v>
      </c>
      <c r="F1732" s="400" t="s">
        <v>2655</v>
      </c>
      <c r="G1732" s="400" t="s">
        <v>2221</v>
      </c>
      <c r="H1732" s="1238"/>
    </row>
    <row r="1733" spans="1:8" hidden="1">
      <c r="A1733" s="495" t="s">
        <v>2654</v>
      </c>
      <c r="B1733" s="400" t="s">
        <v>684</v>
      </c>
      <c r="C1733" s="400" t="s">
        <v>97</v>
      </c>
      <c r="D1733" s="400">
        <v>2119</v>
      </c>
      <c r="E1733" s="400">
        <v>15</v>
      </c>
      <c r="F1733" s="400" t="s">
        <v>2655</v>
      </c>
      <c r="G1733" s="400" t="s">
        <v>2221</v>
      </c>
      <c r="H1733" s="1238"/>
    </row>
    <row r="1734" spans="1:8" hidden="1">
      <c r="A1734" s="495" t="s">
        <v>2654</v>
      </c>
      <c r="B1734" s="400" t="s">
        <v>684</v>
      </c>
      <c r="C1734" s="400" t="s">
        <v>97</v>
      </c>
      <c r="D1734" s="400">
        <v>2120</v>
      </c>
      <c r="E1734" s="400">
        <v>15</v>
      </c>
      <c r="F1734" s="400" t="s">
        <v>2655</v>
      </c>
      <c r="G1734" s="400" t="s">
        <v>2221</v>
      </c>
      <c r="H1734" s="1238"/>
    </row>
    <row r="1735" spans="1:8" hidden="1">
      <c r="A1735" s="495" t="s">
        <v>2654</v>
      </c>
      <c r="B1735" s="400" t="s">
        <v>684</v>
      </c>
      <c r="C1735" s="400" t="s">
        <v>97</v>
      </c>
      <c r="D1735" s="400">
        <v>2121</v>
      </c>
      <c r="E1735" s="400">
        <v>15</v>
      </c>
      <c r="F1735" s="400" t="s">
        <v>2655</v>
      </c>
      <c r="G1735" s="400" t="s">
        <v>2221</v>
      </c>
      <c r="H1735" s="1238"/>
    </row>
    <row r="1736" spans="1:8" hidden="1">
      <c r="A1736" s="495" t="s">
        <v>2654</v>
      </c>
      <c r="B1736" s="400" t="s">
        <v>684</v>
      </c>
      <c r="C1736" s="400" t="s">
        <v>97</v>
      </c>
      <c r="D1736" s="400">
        <v>2122</v>
      </c>
      <c r="E1736" s="400">
        <v>15</v>
      </c>
      <c r="F1736" s="400" t="s">
        <v>2655</v>
      </c>
      <c r="G1736" s="400" t="s">
        <v>2221</v>
      </c>
      <c r="H1736" s="1238"/>
    </row>
    <row r="1737" spans="1:8" hidden="1">
      <c r="A1737" s="495" t="s">
        <v>2654</v>
      </c>
      <c r="B1737" s="400" t="s">
        <v>684</v>
      </c>
      <c r="C1737" s="400" t="s">
        <v>97</v>
      </c>
      <c r="D1737" s="400">
        <v>2123</v>
      </c>
      <c r="E1737" s="400">
        <v>15</v>
      </c>
      <c r="F1737" s="400" t="s">
        <v>2655</v>
      </c>
      <c r="G1737" s="400" t="s">
        <v>2221</v>
      </c>
      <c r="H1737" s="1238"/>
    </row>
    <row r="1738" spans="1:8" hidden="1">
      <c r="A1738" s="495" t="s">
        <v>2654</v>
      </c>
      <c r="B1738" s="400" t="s">
        <v>684</v>
      </c>
      <c r="C1738" s="400" t="s">
        <v>97</v>
      </c>
      <c r="D1738" s="400">
        <v>2124</v>
      </c>
      <c r="E1738" s="400">
        <v>15</v>
      </c>
      <c r="F1738" s="400" t="s">
        <v>2655</v>
      </c>
      <c r="G1738" s="400" t="s">
        <v>2221</v>
      </c>
      <c r="H1738" s="1238"/>
    </row>
    <row r="1739" spans="1:8" hidden="1">
      <c r="A1739" s="495" t="s">
        <v>2654</v>
      </c>
      <c r="B1739" s="400" t="s">
        <v>684</v>
      </c>
      <c r="C1739" s="400" t="s">
        <v>97</v>
      </c>
      <c r="D1739" s="400">
        <v>2125</v>
      </c>
      <c r="E1739" s="400">
        <v>15</v>
      </c>
      <c r="F1739" s="400" t="s">
        <v>2655</v>
      </c>
      <c r="G1739" s="400" t="s">
        <v>2221</v>
      </c>
      <c r="H1739" s="1238"/>
    </row>
    <row r="1740" spans="1:8" hidden="1">
      <c r="A1740" s="495" t="s">
        <v>2654</v>
      </c>
      <c r="B1740" s="400" t="s">
        <v>684</v>
      </c>
      <c r="C1740" s="400" t="s">
        <v>97</v>
      </c>
      <c r="D1740" s="400">
        <v>2126</v>
      </c>
      <c r="E1740" s="400">
        <v>15</v>
      </c>
      <c r="F1740" s="400" t="s">
        <v>2655</v>
      </c>
      <c r="G1740" s="400" t="s">
        <v>2221</v>
      </c>
      <c r="H1740" s="1238"/>
    </row>
    <row r="1741" spans="1:8" hidden="1">
      <c r="A1741" s="495" t="s">
        <v>2654</v>
      </c>
      <c r="B1741" s="400" t="s">
        <v>684</v>
      </c>
      <c r="C1741" s="400" t="s">
        <v>97</v>
      </c>
      <c r="D1741" s="400">
        <v>2127</v>
      </c>
      <c r="E1741" s="400">
        <v>15</v>
      </c>
      <c r="F1741" s="400" t="s">
        <v>2655</v>
      </c>
      <c r="G1741" s="400" t="s">
        <v>2221</v>
      </c>
      <c r="H1741" s="1238"/>
    </row>
    <row r="1742" spans="1:8" hidden="1">
      <c r="A1742" s="495" t="s">
        <v>2654</v>
      </c>
      <c r="B1742" s="400" t="s">
        <v>684</v>
      </c>
      <c r="C1742" s="400" t="s">
        <v>97</v>
      </c>
      <c r="D1742" s="400">
        <v>2128</v>
      </c>
      <c r="E1742" s="400">
        <v>15</v>
      </c>
      <c r="F1742" s="400" t="s">
        <v>2655</v>
      </c>
      <c r="G1742" s="400" t="s">
        <v>2221</v>
      </c>
      <c r="H1742" s="1238"/>
    </row>
    <row r="1743" spans="1:8" hidden="1">
      <c r="A1743" s="495" t="s">
        <v>2654</v>
      </c>
      <c r="B1743" s="400" t="s">
        <v>684</v>
      </c>
      <c r="C1743" s="400" t="s">
        <v>97</v>
      </c>
      <c r="D1743" s="400">
        <v>2129</v>
      </c>
      <c r="E1743" s="400">
        <v>15</v>
      </c>
      <c r="F1743" s="400" t="s">
        <v>2655</v>
      </c>
      <c r="G1743" s="400" t="s">
        <v>2221</v>
      </c>
      <c r="H1743" s="1238"/>
    </row>
    <row r="1744" spans="1:8" hidden="1">
      <c r="A1744" s="495" t="s">
        <v>2654</v>
      </c>
      <c r="B1744" s="400" t="s">
        <v>684</v>
      </c>
      <c r="C1744" s="400" t="s">
        <v>97</v>
      </c>
      <c r="D1744" s="400">
        <v>2130</v>
      </c>
      <c r="E1744" s="400">
        <v>15</v>
      </c>
      <c r="F1744" s="400" t="s">
        <v>2655</v>
      </c>
      <c r="G1744" s="400" t="s">
        <v>2221</v>
      </c>
      <c r="H1744" s="1238"/>
    </row>
    <row r="1745" spans="1:8" hidden="1">
      <c r="A1745" s="495" t="s">
        <v>2654</v>
      </c>
      <c r="B1745" s="400" t="s">
        <v>684</v>
      </c>
      <c r="C1745" s="400" t="s">
        <v>97</v>
      </c>
      <c r="D1745" s="400">
        <v>2131</v>
      </c>
      <c r="E1745" s="400">
        <v>15</v>
      </c>
      <c r="F1745" s="400" t="s">
        <v>2655</v>
      </c>
      <c r="G1745" s="400" t="s">
        <v>2221</v>
      </c>
      <c r="H1745" s="1238"/>
    </row>
    <row r="1746" spans="1:8" hidden="1">
      <c r="A1746" s="495" t="s">
        <v>2654</v>
      </c>
      <c r="B1746" s="400" t="s">
        <v>684</v>
      </c>
      <c r="C1746" s="400" t="s">
        <v>97</v>
      </c>
      <c r="D1746" s="400">
        <v>2132</v>
      </c>
      <c r="E1746" s="400">
        <v>15</v>
      </c>
      <c r="F1746" s="400" t="s">
        <v>2655</v>
      </c>
      <c r="G1746" s="400" t="s">
        <v>2221</v>
      </c>
      <c r="H1746" s="1238"/>
    </row>
    <row r="1747" spans="1:8" hidden="1">
      <c r="A1747" s="495" t="s">
        <v>2654</v>
      </c>
      <c r="B1747" s="400" t="s">
        <v>684</v>
      </c>
      <c r="C1747" s="400" t="s">
        <v>97</v>
      </c>
      <c r="D1747" s="400">
        <v>2133</v>
      </c>
      <c r="E1747" s="400">
        <v>15</v>
      </c>
      <c r="F1747" s="400" t="s">
        <v>2655</v>
      </c>
      <c r="G1747" s="400" t="s">
        <v>2221</v>
      </c>
      <c r="H1747" s="1238"/>
    </row>
    <row r="1748" spans="1:8" hidden="1">
      <c r="A1748" s="495" t="s">
        <v>2654</v>
      </c>
      <c r="B1748" s="400" t="s">
        <v>684</v>
      </c>
      <c r="C1748" s="400" t="s">
        <v>97</v>
      </c>
      <c r="D1748" s="400">
        <v>2134</v>
      </c>
      <c r="E1748" s="400">
        <v>15</v>
      </c>
      <c r="F1748" s="400" t="s">
        <v>2655</v>
      </c>
      <c r="G1748" s="400" t="s">
        <v>2221</v>
      </c>
      <c r="H1748" s="1238"/>
    </row>
    <row r="1749" spans="1:8" hidden="1">
      <c r="A1749" s="495" t="s">
        <v>2654</v>
      </c>
      <c r="B1749" s="400" t="s">
        <v>684</v>
      </c>
      <c r="C1749" s="400" t="s">
        <v>97</v>
      </c>
      <c r="D1749" s="400">
        <v>2135</v>
      </c>
      <c r="E1749" s="400">
        <v>15</v>
      </c>
      <c r="F1749" s="400" t="s">
        <v>2655</v>
      </c>
      <c r="G1749" s="400" t="s">
        <v>2221</v>
      </c>
      <c r="H1749" s="1238"/>
    </row>
    <row r="1750" spans="1:8" hidden="1">
      <c r="A1750" s="495" t="s">
        <v>2654</v>
      </c>
      <c r="B1750" s="400" t="s">
        <v>684</v>
      </c>
      <c r="C1750" s="400" t="s">
        <v>97</v>
      </c>
      <c r="D1750" s="400">
        <v>2136</v>
      </c>
      <c r="E1750" s="400">
        <v>15</v>
      </c>
      <c r="F1750" s="400" t="s">
        <v>2655</v>
      </c>
      <c r="G1750" s="400" t="s">
        <v>2221</v>
      </c>
      <c r="H1750" s="1238"/>
    </row>
    <row r="1751" spans="1:8" hidden="1">
      <c r="A1751" s="495" t="s">
        <v>2654</v>
      </c>
      <c r="B1751" s="400" t="s">
        <v>684</v>
      </c>
      <c r="C1751" s="400" t="s">
        <v>97</v>
      </c>
      <c r="D1751" s="400">
        <v>2137</v>
      </c>
      <c r="E1751" s="400">
        <v>15</v>
      </c>
      <c r="F1751" s="400" t="s">
        <v>2655</v>
      </c>
      <c r="G1751" s="400" t="s">
        <v>2221</v>
      </c>
      <c r="H1751" s="1238"/>
    </row>
    <row r="1752" spans="1:8" hidden="1">
      <c r="A1752" s="495" t="s">
        <v>2654</v>
      </c>
      <c r="B1752" s="400" t="s">
        <v>684</v>
      </c>
      <c r="C1752" s="400" t="s">
        <v>97</v>
      </c>
      <c r="D1752" s="400">
        <v>2138</v>
      </c>
      <c r="E1752" s="400">
        <v>15</v>
      </c>
      <c r="F1752" s="400" t="s">
        <v>2655</v>
      </c>
      <c r="G1752" s="400" t="s">
        <v>2221</v>
      </c>
      <c r="H1752" s="1238"/>
    </row>
    <row r="1753" spans="1:8" hidden="1">
      <c r="A1753" s="495" t="s">
        <v>2654</v>
      </c>
      <c r="B1753" s="400" t="s">
        <v>684</v>
      </c>
      <c r="C1753" s="400" t="s">
        <v>97</v>
      </c>
      <c r="D1753" s="400">
        <v>2139</v>
      </c>
      <c r="E1753" s="400">
        <v>15</v>
      </c>
      <c r="F1753" s="400" t="s">
        <v>2655</v>
      </c>
      <c r="G1753" s="400" t="s">
        <v>2221</v>
      </c>
      <c r="H1753" s="1238"/>
    </row>
    <row r="1754" spans="1:8" hidden="1">
      <c r="A1754" s="495" t="s">
        <v>2654</v>
      </c>
      <c r="B1754" s="400" t="s">
        <v>684</v>
      </c>
      <c r="C1754" s="400" t="s">
        <v>97</v>
      </c>
      <c r="D1754" s="400">
        <v>2140</v>
      </c>
      <c r="E1754" s="400">
        <v>15</v>
      </c>
      <c r="F1754" s="400" t="s">
        <v>2655</v>
      </c>
      <c r="G1754" s="400" t="s">
        <v>2221</v>
      </c>
      <c r="H1754" s="1238"/>
    </row>
    <row r="1755" spans="1:8" hidden="1">
      <c r="A1755" s="495" t="s">
        <v>2654</v>
      </c>
      <c r="B1755" s="400" t="s">
        <v>684</v>
      </c>
      <c r="C1755" s="400" t="s">
        <v>97</v>
      </c>
      <c r="D1755" s="400">
        <v>2141</v>
      </c>
      <c r="E1755" s="400">
        <v>15</v>
      </c>
      <c r="F1755" s="400" t="s">
        <v>2655</v>
      </c>
      <c r="G1755" s="400" t="s">
        <v>2221</v>
      </c>
      <c r="H1755" s="1238"/>
    </row>
    <row r="1756" spans="1:8" hidden="1">
      <c r="A1756" s="495" t="s">
        <v>2654</v>
      </c>
      <c r="B1756" s="400" t="s">
        <v>684</v>
      </c>
      <c r="C1756" s="400" t="s">
        <v>97</v>
      </c>
      <c r="D1756" s="400">
        <v>2142</v>
      </c>
      <c r="E1756" s="400">
        <v>15</v>
      </c>
      <c r="F1756" s="400" t="s">
        <v>2655</v>
      </c>
      <c r="G1756" s="400" t="s">
        <v>2221</v>
      </c>
      <c r="H1756" s="1238"/>
    </row>
    <row r="1757" spans="1:8" hidden="1">
      <c r="A1757" s="495" t="s">
        <v>2654</v>
      </c>
      <c r="B1757" s="400" t="s">
        <v>684</v>
      </c>
      <c r="C1757" s="400" t="s">
        <v>97</v>
      </c>
      <c r="D1757" s="400">
        <v>2143</v>
      </c>
      <c r="E1757" s="400">
        <v>15</v>
      </c>
      <c r="F1757" s="400" t="s">
        <v>2655</v>
      </c>
      <c r="G1757" s="400" t="s">
        <v>2221</v>
      </c>
      <c r="H1757" s="1238"/>
    </row>
    <row r="1758" spans="1:8" hidden="1">
      <c r="A1758" s="495" t="s">
        <v>2654</v>
      </c>
      <c r="B1758" s="400" t="s">
        <v>684</v>
      </c>
      <c r="C1758" s="400" t="s">
        <v>97</v>
      </c>
      <c r="D1758" s="400">
        <v>2144</v>
      </c>
      <c r="E1758" s="400">
        <v>15</v>
      </c>
      <c r="F1758" s="400" t="s">
        <v>2655</v>
      </c>
      <c r="G1758" s="400" t="s">
        <v>2221</v>
      </c>
      <c r="H1758" s="1238"/>
    </row>
    <row r="1759" spans="1:8" hidden="1">
      <c r="A1759" s="495" t="s">
        <v>2654</v>
      </c>
      <c r="B1759" s="400" t="s">
        <v>684</v>
      </c>
      <c r="C1759" s="400" t="s">
        <v>97</v>
      </c>
      <c r="D1759" s="400">
        <v>2145</v>
      </c>
      <c r="E1759" s="400">
        <v>15</v>
      </c>
      <c r="F1759" s="400" t="s">
        <v>2655</v>
      </c>
      <c r="G1759" s="400" t="s">
        <v>2221</v>
      </c>
      <c r="H1759" s="1238"/>
    </row>
    <row r="1760" spans="1:8" hidden="1">
      <c r="A1760" s="495" t="s">
        <v>2654</v>
      </c>
      <c r="B1760" s="400" t="s">
        <v>684</v>
      </c>
      <c r="C1760" s="400" t="s">
        <v>97</v>
      </c>
      <c r="D1760" s="400">
        <v>2146</v>
      </c>
      <c r="E1760" s="400">
        <v>15</v>
      </c>
      <c r="F1760" s="400" t="s">
        <v>2655</v>
      </c>
      <c r="G1760" s="400" t="s">
        <v>2221</v>
      </c>
      <c r="H1760" s="1238"/>
    </row>
    <row r="1761" spans="1:8" hidden="1">
      <c r="A1761" s="495" t="s">
        <v>2654</v>
      </c>
      <c r="B1761" s="400" t="s">
        <v>684</v>
      </c>
      <c r="C1761" s="400" t="s">
        <v>97</v>
      </c>
      <c r="D1761" s="400">
        <v>2147</v>
      </c>
      <c r="E1761" s="400">
        <v>15</v>
      </c>
      <c r="F1761" s="400" t="s">
        <v>2655</v>
      </c>
      <c r="G1761" s="400" t="s">
        <v>2221</v>
      </c>
      <c r="H1761" s="1238"/>
    </row>
    <row r="1762" spans="1:8" hidden="1">
      <c r="A1762" s="495" t="s">
        <v>2654</v>
      </c>
      <c r="B1762" s="400" t="s">
        <v>684</v>
      </c>
      <c r="C1762" s="400" t="s">
        <v>97</v>
      </c>
      <c r="D1762" s="400">
        <v>2148</v>
      </c>
      <c r="E1762" s="400">
        <v>15</v>
      </c>
      <c r="F1762" s="400" t="s">
        <v>2655</v>
      </c>
      <c r="G1762" s="400" t="s">
        <v>2221</v>
      </c>
      <c r="H1762" s="1238"/>
    </row>
    <row r="1763" spans="1:8" hidden="1">
      <c r="A1763" s="495" t="s">
        <v>2654</v>
      </c>
      <c r="B1763" s="400" t="s">
        <v>684</v>
      </c>
      <c r="C1763" s="400" t="s">
        <v>97</v>
      </c>
      <c r="D1763" s="400">
        <v>2149</v>
      </c>
      <c r="E1763" s="400">
        <v>15</v>
      </c>
      <c r="F1763" s="400" t="s">
        <v>2655</v>
      </c>
      <c r="G1763" s="400" t="s">
        <v>2221</v>
      </c>
      <c r="H1763" s="1238"/>
    </row>
    <row r="1764" spans="1:8" hidden="1">
      <c r="A1764" s="495" t="s">
        <v>2654</v>
      </c>
      <c r="B1764" s="400" t="s">
        <v>684</v>
      </c>
      <c r="C1764" s="400" t="s">
        <v>97</v>
      </c>
      <c r="D1764" s="400">
        <v>2150</v>
      </c>
      <c r="E1764" s="400">
        <v>15</v>
      </c>
      <c r="F1764" s="400" t="s">
        <v>2655</v>
      </c>
      <c r="G1764" s="400" t="s">
        <v>2221</v>
      </c>
      <c r="H1764" s="1238"/>
    </row>
    <row r="1765" spans="1:8" hidden="1">
      <c r="A1765" s="495" t="s">
        <v>2654</v>
      </c>
      <c r="B1765" s="400" t="s">
        <v>684</v>
      </c>
      <c r="C1765" s="400" t="s">
        <v>97</v>
      </c>
      <c r="D1765" s="400">
        <v>2151</v>
      </c>
      <c r="E1765" s="400">
        <v>15</v>
      </c>
      <c r="F1765" s="400" t="s">
        <v>2655</v>
      </c>
      <c r="G1765" s="400" t="s">
        <v>2221</v>
      </c>
      <c r="H1765" s="1238"/>
    </row>
    <row r="1766" spans="1:8" hidden="1">
      <c r="A1766" s="495" t="s">
        <v>2654</v>
      </c>
      <c r="B1766" s="400" t="s">
        <v>684</v>
      </c>
      <c r="C1766" s="400" t="s">
        <v>97</v>
      </c>
      <c r="D1766" s="400">
        <v>2152</v>
      </c>
      <c r="E1766" s="400">
        <v>15</v>
      </c>
      <c r="F1766" s="400" t="s">
        <v>2655</v>
      </c>
      <c r="G1766" s="400" t="s">
        <v>2221</v>
      </c>
      <c r="H1766" s="1238"/>
    </row>
    <row r="1767" spans="1:8" hidden="1">
      <c r="A1767" s="495" t="s">
        <v>2654</v>
      </c>
      <c r="B1767" s="400" t="s">
        <v>684</v>
      </c>
      <c r="C1767" s="400" t="s">
        <v>97</v>
      </c>
      <c r="D1767" s="400">
        <v>2153</v>
      </c>
      <c r="E1767" s="400">
        <v>15</v>
      </c>
      <c r="F1767" s="400" t="s">
        <v>2655</v>
      </c>
      <c r="G1767" s="400" t="s">
        <v>2221</v>
      </c>
      <c r="H1767" s="1238"/>
    </row>
    <row r="1768" spans="1:8" hidden="1">
      <c r="A1768" s="495" t="s">
        <v>2654</v>
      </c>
      <c r="B1768" s="400" t="s">
        <v>684</v>
      </c>
      <c r="C1768" s="400" t="s">
        <v>97</v>
      </c>
      <c r="D1768" s="400">
        <v>2154</v>
      </c>
      <c r="E1768" s="400">
        <v>15</v>
      </c>
      <c r="F1768" s="400" t="s">
        <v>2655</v>
      </c>
      <c r="G1768" s="400" t="s">
        <v>2221</v>
      </c>
      <c r="H1768" s="1238"/>
    </row>
    <row r="1769" spans="1:8" hidden="1">
      <c r="A1769" s="495" t="s">
        <v>2654</v>
      </c>
      <c r="B1769" s="400" t="s">
        <v>684</v>
      </c>
      <c r="C1769" s="400" t="s">
        <v>97</v>
      </c>
      <c r="D1769" s="400">
        <v>2155</v>
      </c>
      <c r="E1769" s="400">
        <v>15</v>
      </c>
      <c r="F1769" s="400" t="s">
        <v>2655</v>
      </c>
      <c r="G1769" s="400" t="s">
        <v>2221</v>
      </c>
      <c r="H1769" s="1238"/>
    </row>
    <row r="1770" spans="1:8" hidden="1">
      <c r="A1770" s="495" t="s">
        <v>2654</v>
      </c>
      <c r="B1770" s="400" t="s">
        <v>684</v>
      </c>
      <c r="C1770" s="400" t="s">
        <v>97</v>
      </c>
      <c r="D1770" s="400">
        <v>2156</v>
      </c>
      <c r="E1770" s="400">
        <v>15</v>
      </c>
      <c r="F1770" s="400" t="s">
        <v>2655</v>
      </c>
      <c r="G1770" s="400" t="s">
        <v>2221</v>
      </c>
      <c r="H1770" s="1238"/>
    </row>
    <row r="1771" spans="1:8" hidden="1">
      <c r="A1771" s="495" t="s">
        <v>2654</v>
      </c>
      <c r="B1771" s="400" t="s">
        <v>684</v>
      </c>
      <c r="C1771" s="400" t="s">
        <v>97</v>
      </c>
      <c r="D1771" s="400">
        <v>2157</v>
      </c>
      <c r="E1771" s="400">
        <v>15</v>
      </c>
      <c r="F1771" s="400" t="s">
        <v>2655</v>
      </c>
      <c r="G1771" s="400" t="s">
        <v>2221</v>
      </c>
      <c r="H1771" s="1238"/>
    </row>
    <row r="1772" spans="1:8" hidden="1">
      <c r="A1772" s="495" t="s">
        <v>2654</v>
      </c>
      <c r="B1772" s="400" t="s">
        <v>684</v>
      </c>
      <c r="C1772" s="400" t="s">
        <v>97</v>
      </c>
      <c r="D1772" s="400">
        <v>2158</v>
      </c>
      <c r="E1772" s="400">
        <v>15</v>
      </c>
      <c r="F1772" s="400" t="s">
        <v>2655</v>
      </c>
      <c r="G1772" s="400" t="s">
        <v>2221</v>
      </c>
      <c r="H1772" s="1238"/>
    </row>
    <row r="1773" spans="1:8" hidden="1">
      <c r="A1773" s="495" t="s">
        <v>2654</v>
      </c>
      <c r="B1773" s="400" t="s">
        <v>684</v>
      </c>
      <c r="C1773" s="400" t="s">
        <v>97</v>
      </c>
      <c r="D1773" s="400">
        <v>2159</v>
      </c>
      <c r="E1773" s="400">
        <v>15</v>
      </c>
      <c r="F1773" s="400" t="s">
        <v>2655</v>
      </c>
      <c r="G1773" s="400" t="s">
        <v>2221</v>
      </c>
      <c r="H1773" s="1238"/>
    </row>
    <row r="1774" spans="1:8" hidden="1">
      <c r="A1774" s="495" t="s">
        <v>2654</v>
      </c>
      <c r="B1774" s="400" t="s">
        <v>684</v>
      </c>
      <c r="C1774" s="400" t="s">
        <v>97</v>
      </c>
      <c r="D1774" s="400">
        <v>2160</v>
      </c>
      <c r="E1774" s="400">
        <v>15</v>
      </c>
      <c r="F1774" s="400" t="s">
        <v>2655</v>
      </c>
      <c r="G1774" s="400" t="s">
        <v>2221</v>
      </c>
      <c r="H1774" s="1238"/>
    </row>
    <row r="1775" spans="1:8" hidden="1">
      <c r="A1775" s="495" t="s">
        <v>2654</v>
      </c>
      <c r="B1775" s="400" t="s">
        <v>684</v>
      </c>
      <c r="C1775" s="400" t="s">
        <v>97</v>
      </c>
      <c r="D1775" s="400">
        <v>2161</v>
      </c>
      <c r="E1775" s="400">
        <v>15</v>
      </c>
      <c r="F1775" s="400" t="s">
        <v>2655</v>
      </c>
      <c r="G1775" s="400" t="s">
        <v>2221</v>
      </c>
      <c r="H1775" s="1238"/>
    </row>
    <row r="1776" spans="1:8" hidden="1">
      <c r="A1776" s="495" t="s">
        <v>2654</v>
      </c>
      <c r="B1776" s="400" t="s">
        <v>684</v>
      </c>
      <c r="C1776" s="400" t="s">
        <v>97</v>
      </c>
      <c r="D1776" s="400">
        <v>2162</v>
      </c>
      <c r="E1776" s="400">
        <v>15</v>
      </c>
      <c r="F1776" s="400" t="s">
        <v>2655</v>
      </c>
      <c r="G1776" s="400" t="s">
        <v>2221</v>
      </c>
      <c r="H1776" s="1238"/>
    </row>
    <row r="1777" spans="1:8" hidden="1">
      <c r="A1777" s="495" t="s">
        <v>2654</v>
      </c>
      <c r="B1777" s="400" t="s">
        <v>684</v>
      </c>
      <c r="C1777" s="400" t="s">
        <v>97</v>
      </c>
      <c r="D1777" s="400">
        <v>2163</v>
      </c>
      <c r="E1777" s="400">
        <v>15</v>
      </c>
      <c r="F1777" s="400" t="s">
        <v>2655</v>
      </c>
      <c r="G1777" s="400" t="s">
        <v>2221</v>
      </c>
      <c r="H1777" s="1238"/>
    </row>
    <row r="1778" spans="1:8" hidden="1">
      <c r="A1778" s="495" t="s">
        <v>2654</v>
      </c>
      <c r="B1778" s="400" t="s">
        <v>684</v>
      </c>
      <c r="C1778" s="400" t="s">
        <v>97</v>
      </c>
      <c r="D1778" s="400">
        <v>2164</v>
      </c>
      <c r="E1778" s="400">
        <v>15</v>
      </c>
      <c r="F1778" s="400" t="s">
        <v>2655</v>
      </c>
      <c r="G1778" s="400" t="s">
        <v>2221</v>
      </c>
      <c r="H1778" s="1238"/>
    </row>
    <row r="1779" spans="1:8" hidden="1">
      <c r="A1779" s="495" t="s">
        <v>2654</v>
      </c>
      <c r="B1779" s="400" t="s">
        <v>684</v>
      </c>
      <c r="C1779" s="400" t="s">
        <v>97</v>
      </c>
      <c r="D1779" s="400">
        <v>2165</v>
      </c>
      <c r="E1779" s="400">
        <v>15</v>
      </c>
      <c r="F1779" s="400" t="s">
        <v>2655</v>
      </c>
      <c r="G1779" s="400" t="s">
        <v>2221</v>
      </c>
      <c r="H1779" s="1238"/>
    </row>
    <row r="1780" spans="1:8" hidden="1">
      <c r="A1780" s="495" t="s">
        <v>2654</v>
      </c>
      <c r="B1780" s="400" t="s">
        <v>684</v>
      </c>
      <c r="C1780" s="400" t="s">
        <v>97</v>
      </c>
      <c r="D1780" s="400">
        <v>2166</v>
      </c>
      <c r="E1780" s="400">
        <v>15</v>
      </c>
      <c r="F1780" s="400" t="s">
        <v>2655</v>
      </c>
      <c r="G1780" s="400" t="s">
        <v>2221</v>
      </c>
      <c r="H1780" s="1238"/>
    </row>
    <row r="1781" spans="1:8" hidden="1">
      <c r="A1781" s="495" t="s">
        <v>2654</v>
      </c>
      <c r="B1781" s="400" t="s">
        <v>684</v>
      </c>
      <c r="C1781" s="400" t="s">
        <v>97</v>
      </c>
      <c r="D1781" s="400">
        <v>2167</v>
      </c>
      <c r="E1781" s="400">
        <v>15</v>
      </c>
      <c r="F1781" s="400" t="s">
        <v>2655</v>
      </c>
      <c r="G1781" s="400" t="s">
        <v>2221</v>
      </c>
      <c r="H1781" s="1238"/>
    </row>
    <row r="1782" spans="1:8" hidden="1">
      <c r="A1782" s="495" t="s">
        <v>2654</v>
      </c>
      <c r="B1782" s="400" t="s">
        <v>684</v>
      </c>
      <c r="C1782" s="400" t="s">
        <v>97</v>
      </c>
      <c r="D1782" s="400">
        <v>2168</v>
      </c>
      <c r="E1782" s="400">
        <v>15</v>
      </c>
      <c r="F1782" s="400" t="s">
        <v>2655</v>
      </c>
      <c r="G1782" s="400" t="s">
        <v>2221</v>
      </c>
      <c r="H1782" s="1238"/>
    </row>
    <row r="1783" spans="1:8" hidden="1">
      <c r="A1783" s="495" t="s">
        <v>2654</v>
      </c>
      <c r="B1783" s="400" t="s">
        <v>684</v>
      </c>
      <c r="C1783" s="400" t="s">
        <v>97</v>
      </c>
      <c r="D1783" s="400">
        <v>2169</v>
      </c>
      <c r="E1783" s="400">
        <v>15</v>
      </c>
      <c r="F1783" s="400" t="s">
        <v>2655</v>
      </c>
      <c r="G1783" s="400" t="s">
        <v>2221</v>
      </c>
      <c r="H1783" s="1238"/>
    </row>
    <row r="1784" spans="1:8" hidden="1">
      <c r="A1784" s="495" t="s">
        <v>2654</v>
      </c>
      <c r="B1784" s="400" t="s">
        <v>684</v>
      </c>
      <c r="C1784" s="400" t="s">
        <v>97</v>
      </c>
      <c r="D1784" s="400">
        <v>2170</v>
      </c>
      <c r="E1784" s="400">
        <v>15</v>
      </c>
      <c r="F1784" s="400" t="s">
        <v>2655</v>
      </c>
      <c r="G1784" s="400" t="s">
        <v>2221</v>
      </c>
      <c r="H1784" s="1238"/>
    </row>
    <row r="1785" spans="1:8" hidden="1">
      <c r="A1785" s="495" t="s">
        <v>2654</v>
      </c>
      <c r="B1785" s="400" t="s">
        <v>684</v>
      </c>
      <c r="C1785" s="400" t="s">
        <v>97</v>
      </c>
      <c r="D1785" s="400">
        <v>2171</v>
      </c>
      <c r="E1785" s="400">
        <v>15</v>
      </c>
      <c r="F1785" s="400" t="s">
        <v>2655</v>
      </c>
      <c r="G1785" s="400" t="s">
        <v>2221</v>
      </c>
      <c r="H1785" s="1238"/>
    </row>
    <row r="1786" spans="1:8" hidden="1">
      <c r="A1786" s="495" t="s">
        <v>2654</v>
      </c>
      <c r="B1786" s="400" t="s">
        <v>684</v>
      </c>
      <c r="C1786" s="400" t="s">
        <v>97</v>
      </c>
      <c r="D1786" s="400">
        <v>2172</v>
      </c>
      <c r="E1786" s="400">
        <v>15</v>
      </c>
      <c r="F1786" s="400" t="s">
        <v>2655</v>
      </c>
      <c r="G1786" s="400" t="s">
        <v>2221</v>
      </c>
      <c r="H1786" s="1238"/>
    </row>
    <row r="1787" spans="1:8" hidden="1">
      <c r="A1787" s="495" t="s">
        <v>2654</v>
      </c>
      <c r="B1787" s="400" t="s">
        <v>684</v>
      </c>
      <c r="C1787" s="400" t="s">
        <v>97</v>
      </c>
      <c r="D1787" s="400">
        <v>2173</v>
      </c>
      <c r="E1787" s="400">
        <v>15</v>
      </c>
      <c r="F1787" s="400" t="s">
        <v>2655</v>
      </c>
      <c r="G1787" s="400" t="s">
        <v>2221</v>
      </c>
      <c r="H1787" s="1238"/>
    </row>
    <row r="1788" spans="1:8" hidden="1">
      <c r="A1788" s="495" t="s">
        <v>2654</v>
      </c>
      <c r="B1788" s="400" t="s">
        <v>684</v>
      </c>
      <c r="C1788" s="400" t="s">
        <v>97</v>
      </c>
      <c r="D1788" s="400">
        <v>2174</v>
      </c>
      <c r="E1788" s="400">
        <v>15</v>
      </c>
      <c r="F1788" s="400" t="s">
        <v>2655</v>
      </c>
      <c r="G1788" s="400" t="s">
        <v>2221</v>
      </c>
      <c r="H1788" s="1238"/>
    </row>
    <row r="1789" spans="1:8" hidden="1">
      <c r="A1789" s="495" t="s">
        <v>2654</v>
      </c>
      <c r="B1789" s="400" t="s">
        <v>684</v>
      </c>
      <c r="C1789" s="400" t="s">
        <v>97</v>
      </c>
      <c r="D1789" s="400">
        <v>2175</v>
      </c>
      <c r="E1789" s="400">
        <v>15</v>
      </c>
      <c r="F1789" s="400" t="s">
        <v>2655</v>
      </c>
      <c r="G1789" s="400" t="s">
        <v>2221</v>
      </c>
      <c r="H1789" s="1238"/>
    </row>
    <row r="1790" spans="1:8" hidden="1">
      <c r="A1790" s="495" t="s">
        <v>2654</v>
      </c>
      <c r="B1790" s="400" t="s">
        <v>684</v>
      </c>
      <c r="C1790" s="400" t="s">
        <v>97</v>
      </c>
      <c r="D1790" s="400">
        <v>2176</v>
      </c>
      <c r="E1790" s="400">
        <v>15</v>
      </c>
      <c r="F1790" s="400" t="s">
        <v>2655</v>
      </c>
      <c r="G1790" s="400" t="s">
        <v>2221</v>
      </c>
      <c r="H1790" s="1238"/>
    </row>
    <row r="1791" spans="1:8" hidden="1">
      <c r="A1791" s="495" t="s">
        <v>2654</v>
      </c>
      <c r="B1791" s="400" t="s">
        <v>684</v>
      </c>
      <c r="C1791" s="400" t="s">
        <v>97</v>
      </c>
      <c r="D1791" s="400">
        <v>2177</v>
      </c>
      <c r="E1791" s="400">
        <v>15</v>
      </c>
      <c r="F1791" s="400" t="s">
        <v>2655</v>
      </c>
      <c r="G1791" s="400" t="s">
        <v>2221</v>
      </c>
      <c r="H1791" s="1238"/>
    </row>
    <row r="1792" spans="1:8" hidden="1">
      <c r="A1792" s="495" t="s">
        <v>2654</v>
      </c>
      <c r="B1792" s="400" t="s">
        <v>684</v>
      </c>
      <c r="C1792" s="400" t="s">
        <v>97</v>
      </c>
      <c r="D1792" s="400">
        <v>2178</v>
      </c>
      <c r="E1792" s="400">
        <v>15</v>
      </c>
      <c r="F1792" s="400" t="s">
        <v>2655</v>
      </c>
      <c r="G1792" s="400" t="s">
        <v>2221</v>
      </c>
      <c r="H1792" s="1238"/>
    </row>
    <row r="1793" spans="1:8" hidden="1">
      <c r="A1793" s="495" t="s">
        <v>2654</v>
      </c>
      <c r="B1793" s="400" t="s">
        <v>684</v>
      </c>
      <c r="C1793" s="400" t="s">
        <v>97</v>
      </c>
      <c r="D1793" s="400">
        <v>2179</v>
      </c>
      <c r="E1793" s="400">
        <v>15</v>
      </c>
      <c r="F1793" s="400" t="s">
        <v>2655</v>
      </c>
      <c r="G1793" s="400" t="s">
        <v>2221</v>
      </c>
      <c r="H1793" s="1238"/>
    </row>
    <row r="1794" spans="1:8" hidden="1">
      <c r="A1794" s="495" t="s">
        <v>2654</v>
      </c>
      <c r="B1794" s="400" t="s">
        <v>684</v>
      </c>
      <c r="C1794" s="400" t="s">
        <v>97</v>
      </c>
      <c r="D1794" s="400">
        <v>2180</v>
      </c>
      <c r="E1794" s="400">
        <v>15</v>
      </c>
      <c r="F1794" s="400" t="s">
        <v>2655</v>
      </c>
      <c r="G1794" s="400" t="s">
        <v>2221</v>
      </c>
      <c r="H1794" s="1238"/>
    </row>
    <row r="1795" spans="1:8" hidden="1">
      <c r="A1795" s="495" t="s">
        <v>2654</v>
      </c>
      <c r="B1795" s="400" t="s">
        <v>684</v>
      </c>
      <c r="C1795" s="400" t="s">
        <v>97</v>
      </c>
      <c r="D1795" s="400">
        <v>2181</v>
      </c>
      <c r="E1795" s="400">
        <v>15</v>
      </c>
      <c r="F1795" s="400" t="s">
        <v>2655</v>
      </c>
      <c r="G1795" s="400" t="s">
        <v>2221</v>
      </c>
      <c r="H1795" s="1238"/>
    </row>
    <row r="1796" spans="1:8" hidden="1">
      <c r="A1796" s="495" t="s">
        <v>2654</v>
      </c>
      <c r="B1796" s="400" t="s">
        <v>684</v>
      </c>
      <c r="C1796" s="400" t="s">
        <v>97</v>
      </c>
      <c r="D1796" s="400">
        <v>2182</v>
      </c>
      <c r="E1796" s="400">
        <v>15</v>
      </c>
      <c r="F1796" s="400" t="s">
        <v>2655</v>
      </c>
      <c r="G1796" s="400" t="s">
        <v>2221</v>
      </c>
      <c r="H1796" s="1238"/>
    </row>
    <row r="1797" spans="1:8" hidden="1">
      <c r="A1797" s="495" t="s">
        <v>2654</v>
      </c>
      <c r="B1797" s="400" t="s">
        <v>684</v>
      </c>
      <c r="C1797" s="400" t="s">
        <v>97</v>
      </c>
      <c r="D1797" s="400">
        <v>2183</v>
      </c>
      <c r="E1797" s="400">
        <v>15</v>
      </c>
      <c r="F1797" s="400" t="s">
        <v>2655</v>
      </c>
      <c r="G1797" s="400" t="s">
        <v>2221</v>
      </c>
      <c r="H1797" s="1238"/>
    </row>
    <row r="1798" spans="1:8" hidden="1">
      <c r="A1798" s="495" t="s">
        <v>2654</v>
      </c>
      <c r="B1798" s="400" t="s">
        <v>684</v>
      </c>
      <c r="C1798" s="400" t="s">
        <v>97</v>
      </c>
      <c r="D1798" s="400">
        <v>2184</v>
      </c>
      <c r="E1798" s="400">
        <v>15</v>
      </c>
      <c r="F1798" s="400" t="s">
        <v>2655</v>
      </c>
      <c r="G1798" s="400" t="s">
        <v>2221</v>
      </c>
      <c r="H1798" s="1238"/>
    </row>
    <row r="1799" spans="1:8" hidden="1">
      <c r="A1799" s="495" t="s">
        <v>2654</v>
      </c>
      <c r="B1799" s="400" t="s">
        <v>684</v>
      </c>
      <c r="C1799" s="400" t="s">
        <v>97</v>
      </c>
      <c r="D1799" s="400">
        <v>2185</v>
      </c>
      <c r="E1799" s="400">
        <v>15</v>
      </c>
      <c r="F1799" s="400" t="s">
        <v>2655</v>
      </c>
      <c r="G1799" s="400" t="s">
        <v>2221</v>
      </c>
      <c r="H1799" s="1238"/>
    </row>
    <row r="1800" spans="1:8" hidden="1">
      <c r="A1800" s="495" t="s">
        <v>2654</v>
      </c>
      <c r="B1800" s="400" t="s">
        <v>684</v>
      </c>
      <c r="C1800" s="400" t="s">
        <v>97</v>
      </c>
      <c r="D1800" s="400">
        <v>2186</v>
      </c>
      <c r="E1800" s="400">
        <v>15</v>
      </c>
      <c r="F1800" s="400" t="s">
        <v>2655</v>
      </c>
      <c r="G1800" s="400" t="s">
        <v>2221</v>
      </c>
      <c r="H1800" s="1238"/>
    </row>
    <row r="1801" spans="1:8" hidden="1">
      <c r="A1801" s="495" t="s">
        <v>2654</v>
      </c>
      <c r="B1801" s="400" t="s">
        <v>684</v>
      </c>
      <c r="C1801" s="400" t="s">
        <v>97</v>
      </c>
      <c r="D1801" s="400">
        <v>2187</v>
      </c>
      <c r="E1801" s="400">
        <v>15</v>
      </c>
      <c r="F1801" s="400" t="s">
        <v>2655</v>
      </c>
      <c r="G1801" s="400" t="s">
        <v>2221</v>
      </c>
      <c r="H1801" s="1238"/>
    </row>
    <row r="1802" spans="1:8" hidden="1">
      <c r="A1802" s="495" t="s">
        <v>2654</v>
      </c>
      <c r="B1802" s="400" t="s">
        <v>684</v>
      </c>
      <c r="C1802" s="400" t="s">
        <v>97</v>
      </c>
      <c r="D1802" s="400">
        <v>2188</v>
      </c>
      <c r="E1802" s="400">
        <v>15</v>
      </c>
      <c r="F1802" s="400" t="s">
        <v>2655</v>
      </c>
      <c r="G1802" s="400" t="s">
        <v>2221</v>
      </c>
      <c r="H1802" s="1238"/>
    </row>
    <row r="1803" spans="1:8" hidden="1">
      <c r="A1803" s="495" t="s">
        <v>2654</v>
      </c>
      <c r="B1803" s="400" t="s">
        <v>684</v>
      </c>
      <c r="C1803" s="400" t="s">
        <v>97</v>
      </c>
      <c r="D1803" s="400">
        <v>2189</v>
      </c>
      <c r="E1803" s="400">
        <v>15</v>
      </c>
      <c r="F1803" s="400" t="s">
        <v>2655</v>
      </c>
      <c r="G1803" s="400" t="s">
        <v>2221</v>
      </c>
      <c r="H1803" s="1238"/>
    </row>
    <row r="1804" spans="1:8" hidden="1">
      <c r="A1804" s="495" t="s">
        <v>2654</v>
      </c>
      <c r="B1804" s="400" t="s">
        <v>684</v>
      </c>
      <c r="C1804" s="400" t="s">
        <v>97</v>
      </c>
      <c r="D1804" s="400">
        <v>2190</v>
      </c>
      <c r="E1804" s="400">
        <v>15</v>
      </c>
      <c r="F1804" s="400" t="s">
        <v>2655</v>
      </c>
      <c r="G1804" s="400" t="s">
        <v>2221</v>
      </c>
      <c r="H1804" s="1238"/>
    </row>
    <row r="1805" spans="1:8" hidden="1">
      <c r="A1805" s="495" t="s">
        <v>2654</v>
      </c>
      <c r="B1805" s="400" t="s">
        <v>684</v>
      </c>
      <c r="C1805" s="400" t="s">
        <v>97</v>
      </c>
      <c r="D1805" s="400">
        <v>2191</v>
      </c>
      <c r="E1805" s="400">
        <v>15</v>
      </c>
      <c r="F1805" s="400" t="s">
        <v>2655</v>
      </c>
      <c r="G1805" s="400" t="s">
        <v>2221</v>
      </c>
      <c r="H1805" s="1238"/>
    </row>
    <row r="1806" spans="1:8" hidden="1">
      <c r="A1806" s="495" t="s">
        <v>2654</v>
      </c>
      <c r="B1806" s="400" t="s">
        <v>684</v>
      </c>
      <c r="C1806" s="400" t="s">
        <v>97</v>
      </c>
      <c r="D1806" s="400">
        <v>2192</v>
      </c>
      <c r="E1806" s="400">
        <v>15</v>
      </c>
      <c r="F1806" s="400" t="s">
        <v>2655</v>
      </c>
      <c r="G1806" s="400" t="s">
        <v>2221</v>
      </c>
      <c r="H1806" s="1238"/>
    </row>
    <row r="1807" spans="1:8" hidden="1">
      <c r="A1807" s="495" t="s">
        <v>2654</v>
      </c>
      <c r="B1807" s="400" t="s">
        <v>684</v>
      </c>
      <c r="C1807" s="400" t="s">
        <v>97</v>
      </c>
      <c r="D1807" s="400">
        <v>2193</v>
      </c>
      <c r="E1807" s="400">
        <v>15</v>
      </c>
      <c r="F1807" s="400" t="s">
        <v>2655</v>
      </c>
      <c r="G1807" s="400" t="s">
        <v>2221</v>
      </c>
      <c r="H1807" s="1238"/>
    </row>
    <row r="1808" spans="1:8" hidden="1">
      <c r="A1808" s="495" t="s">
        <v>2654</v>
      </c>
      <c r="B1808" s="400" t="s">
        <v>684</v>
      </c>
      <c r="C1808" s="400" t="s">
        <v>97</v>
      </c>
      <c r="D1808" s="400">
        <v>2194</v>
      </c>
      <c r="E1808" s="400">
        <v>15</v>
      </c>
      <c r="F1808" s="400" t="s">
        <v>2655</v>
      </c>
      <c r="G1808" s="400" t="s">
        <v>2221</v>
      </c>
      <c r="H1808" s="1238"/>
    </row>
    <row r="1809" spans="1:8" hidden="1">
      <c r="A1809" s="495" t="s">
        <v>2654</v>
      </c>
      <c r="B1809" s="400" t="s">
        <v>684</v>
      </c>
      <c r="C1809" s="400" t="s">
        <v>97</v>
      </c>
      <c r="D1809" s="400">
        <v>2195</v>
      </c>
      <c r="E1809" s="400">
        <v>15</v>
      </c>
      <c r="F1809" s="400" t="s">
        <v>2655</v>
      </c>
      <c r="G1809" s="400" t="s">
        <v>2221</v>
      </c>
      <c r="H1809" s="1238"/>
    </row>
    <row r="1810" spans="1:8" hidden="1">
      <c r="A1810" s="495" t="s">
        <v>2654</v>
      </c>
      <c r="B1810" s="400" t="s">
        <v>684</v>
      </c>
      <c r="C1810" s="400" t="s">
        <v>97</v>
      </c>
      <c r="D1810" s="400">
        <v>2196</v>
      </c>
      <c r="E1810" s="400">
        <v>15</v>
      </c>
      <c r="F1810" s="400" t="s">
        <v>2655</v>
      </c>
      <c r="G1810" s="400" t="s">
        <v>2221</v>
      </c>
      <c r="H1810" s="1238"/>
    </row>
    <row r="1811" spans="1:8" hidden="1">
      <c r="A1811" s="495" t="s">
        <v>2654</v>
      </c>
      <c r="B1811" s="400" t="s">
        <v>684</v>
      </c>
      <c r="C1811" s="400" t="s">
        <v>97</v>
      </c>
      <c r="D1811" s="400">
        <v>2197</v>
      </c>
      <c r="E1811" s="400">
        <v>15</v>
      </c>
      <c r="F1811" s="400" t="s">
        <v>2655</v>
      </c>
      <c r="G1811" s="400" t="s">
        <v>2221</v>
      </c>
      <c r="H1811" s="1238"/>
    </row>
    <row r="1812" spans="1:8" hidden="1">
      <c r="A1812" s="495" t="s">
        <v>2654</v>
      </c>
      <c r="B1812" s="400" t="s">
        <v>684</v>
      </c>
      <c r="C1812" s="400" t="s">
        <v>97</v>
      </c>
      <c r="D1812" s="400">
        <v>2198</v>
      </c>
      <c r="E1812" s="400">
        <v>15</v>
      </c>
      <c r="F1812" s="400" t="s">
        <v>2655</v>
      </c>
      <c r="G1812" s="400" t="s">
        <v>2221</v>
      </c>
      <c r="H1812" s="1238"/>
    </row>
    <row r="1813" spans="1:8" hidden="1">
      <c r="A1813" s="495" t="s">
        <v>2654</v>
      </c>
      <c r="B1813" s="400" t="s">
        <v>684</v>
      </c>
      <c r="C1813" s="400" t="s">
        <v>97</v>
      </c>
      <c r="D1813" s="400">
        <v>2199</v>
      </c>
      <c r="E1813" s="400">
        <v>15</v>
      </c>
      <c r="F1813" s="400" t="s">
        <v>2655</v>
      </c>
      <c r="G1813" s="400" t="s">
        <v>2221</v>
      </c>
      <c r="H1813" s="1238"/>
    </row>
    <row r="1814" spans="1:8" hidden="1">
      <c r="A1814" s="495" t="s">
        <v>2654</v>
      </c>
      <c r="B1814" s="400" t="s">
        <v>684</v>
      </c>
      <c r="C1814" s="400" t="s">
        <v>97</v>
      </c>
      <c r="D1814" s="400">
        <v>2200</v>
      </c>
      <c r="E1814" s="400">
        <v>15</v>
      </c>
      <c r="F1814" s="400" t="s">
        <v>2655</v>
      </c>
      <c r="G1814" s="400" t="s">
        <v>2221</v>
      </c>
      <c r="H1814" s="1238"/>
    </row>
    <row r="1815" spans="1:8" hidden="1">
      <c r="A1815" s="495" t="s">
        <v>2654</v>
      </c>
      <c r="B1815" s="400" t="s">
        <v>684</v>
      </c>
      <c r="C1815" s="400" t="s">
        <v>97</v>
      </c>
      <c r="D1815" s="400">
        <v>2201</v>
      </c>
      <c r="E1815" s="400">
        <v>15</v>
      </c>
      <c r="F1815" s="400" t="s">
        <v>2655</v>
      </c>
      <c r="G1815" s="400" t="s">
        <v>2221</v>
      </c>
      <c r="H1815" s="1238"/>
    </row>
    <row r="1816" spans="1:8" hidden="1">
      <c r="A1816" s="495" t="s">
        <v>2654</v>
      </c>
      <c r="B1816" s="400" t="s">
        <v>684</v>
      </c>
      <c r="C1816" s="400" t="s">
        <v>97</v>
      </c>
      <c r="D1816" s="400">
        <v>2202</v>
      </c>
      <c r="E1816" s="400">
        <v>15</v>
      </c>
      <c r="F1816" s="400" t="s">
        <v>2655</v>
      </c>
      <c r="G1816" s="400" t="s">
        <v>2221</v>
      </c>
      <c r="H1816" s="1238"/>
    </row>
    <row r="1817" spans="1:8" hidden="1">
      <c r="A1817" s="495" t="s">
        <v>2654</v>
      </c>
      <c r="B1817" s="400" t="s">
        <v>684</v>
      </c>
      <c r="C1817" s="400" t="s">
        <v>97</v>
      </c>
      <c r="D1817" s="400">
        <v>2203</v>
      </c>
      <c r="E1817" s="400">
        <v>15</v>
      </c>
      <c r="F1817" s="400" t="s">
        <v>2655</v>
      </c>
      <c r="G1817" s="400" t="s">
        <v>2221</v>
      </c>
      <c r="H1817" s="1238"/>
    </row>
    <row r="1818" spans="1:8" hidden="1">
      <c r="A1818" s="495" t="s">
        <v>2654</v>
      </c>
      <c r="B1818" s="400" t="s">
        <v>684</v>
      </c>
      <c r="C1818" s="400" t="s">
        <v>97</v>
      </c>
      <c r="D1818" s="400">
        <v>2204</v>
      </c>
      <c r="E1818" s="400">
        <v>15</v>
      </c>
      <c r="F1818" s="400" t="s">
        <v>2655</v>
      </c>
      <c r="G1818" s="400" t="s">
        <v>2221</v>
      </c>
      <c r="H1818" s="1238"/>
    </row>
    <row r="1819" spans="1:8" hidden="1">
      <c r="A1819" s="495" t="s">
        <v>2654</v>
      </c>
      <c r="B1819" s="400" t="s">
        <v>684</v>
      </c>
      <c r="C1819" s="400" t="s">
        <v>97</v>
      </c>
      <c r="D1819" s="400">
        <v>2205</v>
      </c>
      <c r="E1819" s="400">
        <v>15</v>
      </c>
      <c r="F1819" s="400" t="s">
        <v>2655</v>
      </c>
      <c r="G1819" s="400" t="s">
        <v>2221</v>
      </c>
      <c r="H1819" s="1238"/>
    </row>
    <row r="1820" spans="1:8" hidden="1">
      <c r="A1820" s="495" t="s">
        <v>2654</v>
      </c>
      <c r="B1820" s="400" t="s">
        <v>684</v>
      </c>
      <c r="C1820" s="400" t="s">
        <v>97</v>
      </c>
      <c r="D1820" s="400">
        <v>2206</v>
      </c>
      <c r="E1820" s="400">
        <v>15</v>
      </c>
      <c r="F1820" s="400" t="s">
        <v>2655</v>
      </c>
      <c r="G1820" s="400" t="s">
        <v>2221</v>
      </c>
      <c r="H1820" s="1238"/>
    </row>
    <row r="1821" spans="1:8" hidden="1">
      <c r="A1821" s="495" t="s">
        <v>2654</v>
      </c>
      <c r="B1821" s="400" t="s">
        <v>684</v>
      </c>
      <c r="C1821" s="400" t="s">
        <v>97</v>
      </c>
      <c r="D1821" s="400">
        <v>2207</v>
      </c>
      <c r="E1821" s="400">
        <v>15</v>
      </c>
      <c r="F1821" s="400" t="s">
        <v>2655</v>
      </c>
      <c r="G1821" s="400" t="s">
        <v>2221</v>
      </c>
      <c r="H1821" s="1238"/>
    </row>
    <row r="1822" spans="1:8" hidden="1">
      <c r="A1822" s="495" t="s">
        <v>2654</v>
      </c>
      <c r="B1822" s="400" t="s">
        <v>684</v>
      </c>
      <c r="C1822" s="400" t="s">
        <v>97</v>
      </c>
      <c r="D1822" s="400">
        <v>2208</v>
      </c>
      <c r="E1822" s="400">
        <v>15</v>
      </c>
      <c r="F1822" s="400" t="s">
        <v>2655</v>
      </c>
      <c r="G1822" s="400" t="s">
        <v>2221</v>
      </c>
      <c r="H1822" s="1238"/>
    </row>
    <row r="1823" spans="1:8" hidden="1">
      <c r="A1823" s="495" t="s">
        <v>2654</v>
      </c>
      <c r="B1823" s="400" t="s">
        <v>684</v>
      </c>
      <c r="C1823" s="400" t="s">
        <v>97</v>
      </c>
      <c r="D1823" s="400">
        <v>2209</v>
      </c>
      <c r="E1823" s="400">
        <v>15</v>
      </c>
      <c r="F1823" s="400" t="s">
        <v>2655</v>
      </c>
      <c r="G1823" s="400" t="s">
        <v>2221</v>
      </c>
      <c r="H1823" s="1238"/>
    </row>
    <row r="1824" spans="1:8" hidden="1">
      <c r="A1824" s="495" t="s">
        <v>2654</v>
      </c>
      <c r="B1824" s="400" t="s">
        <v>684</v>
      </c>
      <c r="C1824" s="400" t="s">
        <v>97</v>
      </c>
      <c r="D1824" s="400">
        <v>2210</v>
      </c>
      <c r="E1824" s="400">
        <v>15</v>
      </c>
      <c r="F1824" s="400" t="s">
        <v>2655</v>
      </c>
      <c r="G1824" s="400" t="s">
        <v>2221</v>
      </c>
      <c r="H1824" s="1238"/>
    </row>
    <row r="1825" spans="1:8" hidden="1">
      <c r="A1825" s="495" t="s">
        <v>2654</v>
      </c>
      <c r="B1825" s="400" t="s">
        <v>684</v>
      </c>
      <c r="C1825" s="400" t="s">
        <v>97</v>
      </c>
      <c r="D1825" s="400">
        <v>2211</v>
      </c>
      <c r="E1825" s="400">
        <v>15</v>
      </c>
      <c r="F1825" s="400" t="s">
        <v>2655</v>
      </c>
      <c r="G1825" s="400" t="s">
        <v>2221</v>
      </c>
      <c r="H1825" s="1238"/>
    </row>
    <row r="1826" spans="1:8" hidden="1">
      <c r="A1826" s="495" t="s">
        <v>2654</v>
      </c>
      <c r="B1826" s="400" t="s">
        <v>684</v>
      </c>
      <c r="C1826" s="400" t="s">
        <v>97</v>
      </c>
      <c r="D1826" s="400">
        <v>2212</v>
      </c>
      <c r="E1826" s="400">
        <v>15</v>
      </c>
      <c r="F1826" s="400" t="s">
        <v>2655</v>
      </c>
      <c r="G1826" s="400" t="s">
        <v>2221</v>
      </c>
      <c r="H1826" s="1238"/>
    </row>
    <row r="1827" spans="1:8" hidden="1">
      <c r="A1827" s="495" t="s">
        <v>2654</v>
      </c>
      <c r="B1827" s="400" t="s">
        <v>684</v>
      </c>
      <c r="C1827" s="400" t="s">
        <v>97</v>
      </c>
      <c r="D1827" s="400">
        <v>2213</v>
      </c>
      <c r="E1827" s="400">
        <v>15</v>
      </c>
      <c r="F1827" s="400" t="s">
        <v>2655</v>
      </c>
      <c r="G1827" s="400" t="s">
        <v>2221</v>
      </c>
      <c r="H1827" s="1238"/>
    </row>
    <row r="1828" spans="1:8" hidden="1">
      <c r="A1828" s="495" t="s">
        <v>2654</v>
      </c>
      <c r="B1828" s="400" t="s">
        <v>684</v>
      </c>
      <c r="C1828" s="400" t="s">
        <v>97</v>
      </c>
      <c r="D1828" s="400">
        <v>2214</v>
      </c>
      <c r="E1828" s="400">
        <v>15</v>
      </c>
      <c r="F1828" s="400" t="s">
        <v>2655</v>
      </c>
      <c r="G1828" s="400" t="s">
        <v>2221</v>
      </c>
      <c r="H1828" s="1238"/>
    </row>
    <row r="1829" spans="1:8" hidden="1">
      <c r="A1829" s="495" t="s">
        <v>2654</v>
      </c>
      <c r="B1829" s="400" t="s">
        <v>684</v>
      </c>
      <c r="C1829" s="400" t="s">
        <v>97</v>
      </c>
      <c r="D1829" s="400">
        <v>2215</v>
      </c>
      <c r="E1829" s="400">
        <v>15</v>
      </c>
      <c r="F1829" s="400" t="s">
        <v>2655</v>
      </c>
      <c r="G1829" s="400" t="s">
        <v>2221</v>
      </c>
      <c r="H1829" s="1238"/>
    </row>
    <row r="1830" spans="1:8" hidden="1">
      <c r="A1830" s="495" t="s">
        <v>2654</v>
      </c>
      <c r="B1830" s="400" t="s">
        <v>684</v>
      </c>
      <c r="C1830" s="400" t="s">
        <v>97</v>
      </c>
      <c r="D1830" s="400">
        <v>2216</v>
      </c>
      <c r="E1830" s="400">
        <v>15</v>
      </c>
      <c r="F1830" s="400" t="s">
        <v>2655</v>
      </c>
      <c r="G1830" s="400" t="s">
        <v>2221</v>
      </c>
      <c r="H1830" s="1238"/>
    </row>
    <row r="1831" spans="1:8" hidden="1">
      <c r="A1831" s="495" t="s">
        <v>2654</v>
      </c>
      <c r="B1831" s="400" t="s">
        <v>684</v>
      </c>
      <c r="C1831" s="400" t="s">
        <v>97</v>
      </c>
      <c r="D1831" s="400">
        <v>2217</v>
      </c>
      <c r="E1831" s="400">
        <v>15</v>
      </c>
      <c r="F1831" s="400" t="s">
        <v>2655</v>
      </c>
      <c r="G1831" s="400" t="s">
        <v>2221</v>
      </c>
      <c r="H1831" s="1238"/>
    </row>
    <row r="1832" spans="1:8" hidden="1">
      <c r="A1832" s="495" t="s">
        <v>2654</v>
      </c>
      <c r="B1832" s="400" t="s">
        <v>684</v>
      </c>
      <c r="C1832" s="400" t="s">
        <v>97</v>
      </c>
      <c r="D1832" s="400">
        <v>2218</v>
      </c>
      <c r="E1832" s="400">
        <v>15</v>
      </c>
      <c r="F1832" s="400" t="s">
        <v>2655</v>
      </c>
      <c r="G1832" s="400" t="s">
        <v>2221</v>
      </c>
      <c r="H1832" s="1238"/>
    </row>
    <row r="1833" spans="1:8" hidden="1">
      <c r="A1833" s="495" t="s">
        <v>2654</v>
      </c>
      <c r="B1833" s="400" t="s">
        <v>684</v>
      </c>
      <c r="C1833" s="400" t="s">
        <v>97</v>
      </c>
      <c r="D1833" s="400">
        <v>2219</v>
      </c>
      <c r="E1833" s="400">
        <v>15</v>
      </c>
      <c r="F1833" s="400" t="s">
        <v>2655</v>
      </c>
      <c r="G1833" s="400" t="s">
        <v>2221</v>
      </c>
      <c r="H1833" s="1238"/>
    </row>
    <row r="1834" spans="1:8" hidden="1">
      <c r="A1834" s="495" t="s">
        <v>2654</v>
      </c>
      <c r="B1834" s="400" t="s">
        <v>684</v>
      </c>
      <c r="C1834" s="400" t="s">
        <v>97</v>
      </c>
      <c r="D1834" s="400">
        <v>2220</v>
      </c>
      <c r="E1834" s="400">
        <v>15</v>
      </c>
      <c r="F1834" s="400" t="s">
        <v>2655</v>
      </c>
      <c r="G1834" s="400" t="s">
        <v>2221</v>
      </c>
      <c r="H1834" s="1238"/>
    </row>
    <row r="1835" spans="1:8" hidden="1">
      <c r="A1835" s="495" t="s">
        <v>2654</v>
      </c>
      <c r="B1835" s="400" t="s">
        <v>684</v>
      </c>
      <c r="C1835" s="400" t="s">
        <v>97</v>
      </c>
      <c r="D1835" s="400">
        <v>2221</v>
      </c>
      <c r="E1835" s="400">
        <v>15</v>
      </c>
      <c r="F1835" s="400" t="s">
        <v>2655</v>
      </c>
      <c r="G1835" s="400" t="s">
        <v>2221</v>
      </c>
      <c r="H1835" s="1238"/>
    </row>
    <row r="1836" spans="1:8" hidden="1">
      <c r="A1836" s="495" t="s">
        <v>2654</v>
      </c>
      <c r="B1836" s="400" t="s">
        <v>684</v>
      </c>
      <c r="C1836" s="400" t="s">
        <v>97</v>
      </c>
      <c r="D1836" s="400">
        <v>2222</v>
      </c>
      <c r="E1836" s="400">
        <v>15</v>
      </c>
      <c r="F1836" s="400" t="s">
        <v>2655</v>
      </c>
      <c r="G1836" s="400" t="s">
        <v>2221</v>
      </c>
      <c r="H1836" s="1238"/>
    </row>
    <row r="1837" spans="1:8" hidden="1">
      <c r="A1837" s="495" t="s">
        <v>2654</v>
      </c>
      <c r="B1837" s="400" t="s">
        <v>684</v>
      </c>
      <c r="C1837" s="400" t="s">
        <v>97</v>
      </c>
      <c r="D1837" s="400">
        <v>2223</v>
      </c>
      <c r="E1837" s="400">
        <v>15</v>
      </c>
      <c r="F1837" s="400" t="s">
        <v>2655</v>
      </c>
      <c r="G1837" s="400" t="s">
        <v>2221</v>
      </c>
      <c r="H1837" s="1238"/>
    </row>
    <row r="1838" spans="1:8" hidden="1">
      <c r="A1838" s="495" t="s">
        <v>2654</v>
      </c>
      <c r="B1838" s="400" t="s">
        <v>684</v>
      </c>
      <c r="C1838" s="400" t="s">
        <v>97</v>
      </c>
      <c r="D1838" s="400">
        <v>2224</v>
      </c>
      <c r="E1838" s="400">
        <v>15</v>
      </c>
      <c r="F1838" s="400" t="s">
        <v>2655</v>
      </c>
      <c r="G1838" s="400" t="s">
        <v>2221</v>
      </c>
      <c r="H1838" s="1238"/>
    </row>
    <row r="1839" spans="1:8" hidden="1">
      <c r="A1839" s="495" t="s">
        <v>2654</v>
      </c>
      <c r="B1839" s="400" t="s">
        <v>684</v>
      </c>
      <c r="C1839" s="400" t="s">
        <v>97</v>
      </c>
      <c r="D1839" s="400">
        <v>2225</v>
      </c>
      <c r="E1839" s="400">
        <v>15</v>
      </c>
      <c r="F1839" s="400" t="s">
        <v>2655</v>
      </c>
      <c r="G1839" s="400" t="s">
        <v>2221</v>
      </c>
      <c r="H1839" s="1238"/>
    </row>
    <row r="1840" spans="1:8" hidden="1">
      <c r="A1840" s="495" t="s">
        <v>2654</v>
      </c>
      <c r="B1840" s="400" t="s">
        <v>684</v>
      </c>
      <c r="C1840" s="400" t="s">
        <v>97</v>
      </c>
      <c r="D1840" s="400">
        <v>2226</v>
      </c>
      <c r="E1840" s="400">
        <v>15</v>
      </c>
      <c r="F1840" s="400" t="s">
        <v>2655</v>
      </c>
      <c r="G1840" s="400" t="s">
        <v>2221</v>
      </c>
      <c r="H1840" s="1238"/>
    </row>
    <row r="1841" spans="1:8" hidden="1">
      <c r="A1841" s="495" t="s">
        <v>2654</v>
      </c>
      <c r="B1841" s="400" t="s">
        <v>684</v>
      </c>
      <c r="C1841" s="400" t="s">
        <v>97</v>
      </c>
      <c r="D1841" s="400">
        <v>2227</v>
      </c>
      <c r="E1841" s="400">
        <v>15</v>
      </c>
      <c r="F1841" s="400" t="s">
        <v>2655</v>
      </c>
      <c r="G1841" s="400" t="s">
        <v>2221</v>
      </c>
      <c r="H1841" s="1238"/>
    </row>
    <row r="1842" spans="1:8" hidden="1">
      <c r="A1842" s="495" t="s">
        <v>2654</v>
      </c>
      <c r="B1842" s="400" t="s">
        <v>684</v>
      </c>
      <c r="C1842" s="400" t="s">
        <v>97</v>
      </c>
      <c r="D1842" s="400">
        <v>2228</v>
      </c>
      <c r="E1842" s="400">
        <v>15</v>
      </c>
      <c r="F1842" s="400" t="s">
        <v>2655</v>
      </c>
      <c r="G1842" s="400" t="s">
        <v>2221</v>
      </c>
      <c r="H1842" s="1238"/>
    </row>
    <row r="1843" spans="1:8" hidden="1">
      <c r="A1843" s="495" t="s">
        <v>2654</v>
      </c>
      <c r="B1843" s="400" t="s">
        <v>684</v>
      </c>
      <c r="C1843" s="400" t="s">
        <v>97</v>
      </c>
      <c r="D1843" s="400">
        <v>2229</v>
      </c>
      <c r="E1843" s="400">
        <v>15</v>
      </c>
      <c r="F1843" s="400" t="s">
        <v>2655</v>
      </c>
      <c r="G1843" s="400" t="s">
        <v>2221</v>
      </c>
      <c r="H1843" s="1238"/>
    </row>
    <row r="1844" spans="1:8" hidden="1">
      <c r="A1844" s="495" t="s">
        <v>2654</v>
      </c>
      <c r="B1844" s="400" t="s">
        <v>684</v>
      </c>
      <c r="C1844" s="400" t="s">
        <v>97</v>
      </c>
      <c r="D1844" s="400">
        <v>2230</v>
      </c>
      <c r="E1844" s="400">
        <v>15</v>
      </c>
      <c r="F1844" s="400" t="s">
        <v>2655</v>
      </c>
      <c r="G1844" s="400" t="s">
        <v>2221</v>
      </c>
      <c r="H1844" s="1238"/>
    </row>
    <row r="1845" spans="1:8" hidden="1">
      <c r="A1845" s="495" t="s">
        <v>2654</v>
      </c>
      <c r="B1845" s="400" t="s">
        <v>684</v>
      </c>
      <c r="C1845" s="400" t="s">
        <v>97</v>
      </c>
      <c r="D1845" s="400">
        <v>2231</v>
      </c>
      <c r="E1845" s="400">
        <v>15</v>
      </c>
      <c r="F1845" s="400" t="s">
        <v>2655</v>
      </c>
      <c r="G1845" s="400" t="s">
        <v>2221</v>
      </c>
      <c r="H1845" s="1238"/>
    </row>
    <row r="1846" spans="1:8" hidden="1">
      <c r="A1846" s="495" t="s">
        <v>2654</v>
      </c>
      <c r="B1846" s="400" t="s">
        <v>684</v>
      </c>
      <c r="C1846" s="400" t="s">
        <v>97</v>
      </c>
      <c r="D1846" s="400">
        <v>2232</v>
      </c>
      <c r="E1846" s="400">
        <v>15</v>
      </c>
      <c r="F1846" s="400" t="s">
        <v>2655</v>
      </c>
      <c r="G1846" s="400" t="s">
        <v>2221</v>
      </c>
      <c r="H1846" s="1238"/>
    </row>
    <row r="1847" spans="1:8" hidden="1">
      <c r="A1847" s="495" t="s">
        <v>2654</v>
      </c>
      <c r="B1847" s="400" t="s">
        <v>684</v>
      </c>
      <c r="C1847" s="400" t="s">
        <v>97</v>
      </c>
      <c r="D1847" s="400">
        <v>2233</v>
      </c>
      <c r="E1847" s="400">
        <v>15</v>
      </c>
      <c r="F1847" s="400" t="s">
        <v>2655</v>
      </c>
      <c r="G1847" s="400" t="s">
        <v>2221</v>
      </c>
      <c r="H1847" s="1238"/>
    </row>
    <row r="1848" spans="1:8" hidden="1">
      <c r="A1848" s="495" t="s">
        <v>2654</v>
      </c>
      <c r="B1848" s="400" t="s">
        <v>684</v>
      </c>
      <c r="C1848" s="400" t="s">
        <v>97</v>
      </c>
      <c r="D1848" s="400">
        <v>2234</v>
      </c>
      <c r="E1848" s="400">
        <v>15</v>
      </c>
      <c r="F1848" s="400" t="s">
        <v>2655</v>
      </c>
      <c r="G1848" s="400" t="s">
        <v>2221</v>
      </c>
      <c r="H1848" s="1238"/>
    </row>
    <row r="1849" spans="1:8" hidden="1">
      <c r="A1849" s="495" t="s">
        <v>2654</v>
      </c>
      <c r="B1849" s="400" t="s">
        <v>684</v>
      </c>
      <c r="C1849" s="400" t="s">
        <v>97</v>
      </c>
      <c r="D1849" s="400">
        <v>2235</v>
      </c>
      <c r="E1849" s="400">
        <v>15</v>
      </c>
      <c r="F1849" s="400" t="s">
        <v>2655</v>
      </c>
      <c r="G1849" s="400" t="s">
        <v>2221</v>
      </c>
      <c r="H1849" s="1238"/>
    </row>
    <row r="1850" spans="1:8" hidden="1">
      <c r="A1850" s="495" t="s">
        <v>2654</v>
      </c>
      <c r="B1850" s="400" t="s">
        <v>684</v>
      </c>
      <c r="C1850" s="400" t="s">
        <v>97</v>
      </c>
      <c r="D1850" s="400">
        <v>2236</v>
      </c>
      <c r="E1850" s="400">
        <v>15</v>
      </c>
      <c r="F1850" s="400" t="s">
        <v>2655</v>
      </c>
      <c r="G1850" s="400" t="s">
        <v>2221</v>
      </c>
      <c r="H1850" s="1238"/>
    </row>
    <row r="1851" spans="1:8" hidden="1">
      <c r="A1851" s="495" t="s">
        <v>2654</v>
      </c>
      <c r="B1851" s="400" t="s">
        <v>684</v>
      </c>
      <c r="C1851" s="400" t="s">
        <v>97</v>
      </c>
      <c r="D1851" s="400">
        <v>2237</v>
      </c>
      <c r="E1851" s="400">
        <v>15</v>
      </c>
      <c r="F1851" s="400" t="s">
        <v>2655</v>
      </c>
      <c r="G1851" s="400" t="s">
        <v>2221</v>
      </c>
      <c r="H1851" s="1238"/>
    </row>
    <row r="1852" spans="1:8" hidden="1">
      <c r="A1852" s="495" t="s">
        <v>2654</v>
      </c>
      <c r="B1852" s="400" t="s">
        <v>684</v>
      </c>
      <c r="C1852" s="400" t="s">
        <v>97</v>
      </c>
      <c r="D1852" s="400">
        <v>2238</v>
      </c>
      <c r="E1852" s="400">
        <v>15</v>
      </c>
      <c r="F1852" s="400" t="s">
        <v>2655</v>
      </c>
      <c r="G1852" s="400" t="s">
        <v>2221</v>
      </c>
      <c r="H1852" s="1238"/>
    </row>
    <row r="1853" spans="1:8" hidden="1">
      <c r="A1853" s="495" t="s">
        <v>2654</v>
      </c>
      <c r="B1853" s="400" t="s">
        <v>684</v>
      </c>
      <c r="C1853" s="400" t="s">
        <v>97</v>
      </c>
      <c r="D1853" s="400">
        <v>2239</v>
      </c>
      <c r="E1853" s="400">
        <v>15</v>
      </c>
      <c r="F1853" s="400" t="s">
        <v>2655</v>
      </c>
      <c r="G1853" s="400" t="s">
        <v>2221</v>
      </c>
      <c r="H1853" s="1238"/>
    </row>
    <row r="1854" spans="1:8" hidden="1">
      <c r="A1854" s="495" t="s">
        <v>2654</v>
      </c>
      <c r="B1854" s="400" t="s">
        <v>684</v>
      </c>
      <c r="C1854" s="400" t="s">
        <v>97</v>
      </c>
      <c r="D1854" s="400">
        <v>2240</v>
      </c>
      <c r="E1854" s="400">
        <v>15</v>
      </c>
      <c r="F1854" s="400" t="s">
        <v>2655</v>
      </c>
      <c r="G1854" s="400" t="s">
        <v>2221</v>
      </c>
      <c r="H1854" s="1238"/>
    </row>
    <row r="1855" spans="1:8" hidden="1">
      <c r="A1855" s="495" t="s">
        <v>2654</v>
      </c>
      <c r="B1855" s="400" t="s">
        <v>684</v>
      </c>
      <c r="C1855" s="400" t="s">
        <v>97</v>
      </c>
      <c r="D1855" s="400">
        <v>2241</v>
      </c>
      <c r="E1855" s="400">
        <v>15</v>
      </c>
      <c r="F1855" s="400" t="s">
        <v>2655</v>
      </c>
      <c r="G1855" s="400" t="s">
        <v>2221</v>
      </c>
      <c r="H1855" s="1238"/>
    </row>
    <row r="1856" spans="1:8" hidden="1">
      <c r="A1856" s="495" t="s">
        <v>2654</v>
      </c>
      <c r="B1856" s="400" t="s">
        <v>684</v>
      </c>
      <c r="C1856" s="400" t="s">
        <v>97</v>
      </c>
      <c r="D1856" s="400">
        <v>2242</v>
      </c>
      <c r="E1856" s="400">
        <v>15</v>
      </c>
      <c r="F1856" s="400" t="s">
        <v>2655</v>
      </c>
      <c r="G1856" s="400" t="s">
        <v>2221</v>
      </c>
      <c r="H1856" s="1238"/>
    </row>
    <row r="1857" spans="1:8" hidden="1">
      <c r="A1857" s="495" t="s">
        <v>2654</v>
      </c>
      <c r="B1857" s="400" t="s">
        <v>684</v>
      </c>
      <c r="C1857" s="400" t="s">
        <v>97</v>
      </c>
      <c r="D1857" s="400">
        <v>2243</v>
      </c>
      <c r="E1857" s="400">
        <v>15</v>
      </c>
      <c r="F1857" s="400" t="s">
        <v>2655</v>
      </c>
      <c r="G1857" s="400" t="s">
        <v>2221</v>
      </c>
      <c r="H1857" s="1238"/>
    </row>
    <row r="1858" spans="1:8" hidden="1">
      <c r="A1858" s="495" t="s">
        <v>2654</v>
      </c>
      <c r="B1858" s="400" t="s">
        <v>684</v>
      </c>
      <c r="C1858" s="400" t="s">
        <v>97</v>
      </c>
      <c r="D1858" s="400">
        <v>2244</v>
      </c>
      <c r="E1858" s="400">
        <v>15</v>
      </c>
      <c r="F1858" s="400" t="s">
        <v>2655</v>
      </c>
      <c r="G1858" s="400" t="s">
        <v>2221</v>
      </c>
      <c r="H1858" s="1238"/>
    </row>
    <row r="1859" spans="1:8" hidden="1">
      <c r="A1859" s="495" t="s">
        <v>2654</v>
      </c>
      <c r="B1859" s="400" t="s">
        <v>684</v>
      </c>
      <c r="C1859" s="400" t="s">
        <v>97</v>
      </c>
      <c r="D1859" s="400">
        <v>2245</v>
      </c>
      <c r="E1859" s="400">
        <v>15</v>
      </c>
      <c r="F1859" s="400" t="s">
        <v>2655</v>
      </c>
      <c r="G1859" s="400" t="s">
        <v>2221</v>
      </c>
      <c r="H1859" s="1238"/>
    </row>
    <row r="1860" spans="1:8" hidden="1">
      <c r="A1860" s="495" t="s">
        <v>2654</v>
      </c>
      <c r="B1860" s="400" t="s">
        <v>684</v>
      </c>
      <c r="C1860" s="400" t="s">
        <v>97</v>
      </c>
      <c r="D1860" s="400">
        <v>2246</v>
      </c>
      <c r="E1860" s="400">
        <v>15</v>
      </c>
      <c r="F1860" s="400" t="s">
        <v>2655</v>
      </c>
      <c r="G1860" s="400" t="s">
        <v>2221</v>
      </c>
      <c r="H1860" s="1238"/>
    </row>
    <row r="1861" spans="1:8" hidden="1">
      <c r="A1861" s="495" t="s">
        <v>2654</v>
      </c>
      <c r="B1861" s="400" t="s">
        <v>684</v>
      </c>
      <c r="C1861" s="400" t="s">
        <v>97</v>
      </c>
      <c r="D1861" s="400">
        <v>2247</v>
      </c>
      <c r="E1861" s="400">
        <v>15</v>
      </c>
      <c r="F1861" s="400" t="s">
        <v>2655</v>
      </c>
      <c r="G1861" s="400" t="s">
        <v>2221</v>
      </c>
      <c r="H1861" s="1238"/>
    </row>
    <row r="1862" spans="1:8" hidden="1">
      <c r="A1862" s="495" t="s">
        <v>2654</v>
      </c>
      <c r="B1862" s="400" t="s">
        <v>684</v>
      </c>
      <c r="C1862" s="400" t="s">
        <v>97</v>
      </c>
      <c r="D1862" s="400">
        <v>2248</v>
      </c>
      <c r="E1862" s="400">
        <v>15</v>
      </c>
      <c r="F1862" s="400" t="s">
        <v>2655</v>
      </c>
      <c r="G1862" s="400" t="s">
        <v>2221</v>
      </c>
      <c r="H1862" s="1238"/>
    </row>
    <row r="1863" spans="1:8" hidden="1">
      <c r="A1863" s="495" t="s">
        <v>2654</v>
      </c>
      <c r="B1863" s="400" t="s">
        <v>684</v>
      </c>
      <c r="C1863" s="400" t="s">
        <v>97</v>
      </c>
      <c r="D1863" s="400">
        <v>2249</v>
      </c>
      <c r="E1863" s="400">
        <v>15</v>
      </c>
      <c r="F1863" s="400" t="s">
        <v>2655</v>
      </c>
      <c r="G1863" s="400" t="s">
        <v>2221</v>
      </c>
      <c r="H1863" s="1238"/>
    </row>
    <row r="1864" spans="1:8" hidden="1">
      <c r="A1864" s="495" t="s">
        <v>2654</v>
      </c>
      <c r="B1864" s="400" t="s">
        <v>684</v>
      </c>
      <c r="C1864" s="400" t="s">
        <v>97</v>
      </c>
      <c r="D1864" s="400">
        <v>2250</v>
      </c>
      <c r="E1864" s="400">
        <v>15</v>
      </c>
      <c r="F1864" s="400" t="s">
        <v>2655</v>
      </c>
      <c r="G1864" s="400" t="s">
        <v>2221</v>
      </c>
      <c r="H1864" s="1238"/>
    </row>
    <row r="1865" spans="1:8" hidden="1">
      <c r="A1865" s="495" t="s">
        <v>2654</v>
      </c>
      <c r="B1865" s="400" t="s">
        <v>684</v>
      </c>
      <c r="C1865" s="400" t="s">
        <v>97</v>
      </c>
      <c r="D1865" s="400">
        <v>2251</v>
      </c>
      <c r="E1865" s="400">
        <v>15</v>
      </c>
      <c r="F1865" s="400" t="s">
        <v>2655</v>
      </c>
      <c r="G1865" s="400" t="s">
        <v>2221</v>
      </c>
      <c r="H1865" s="1238"/>
    </row>
    <row r="1866" spans="1:8" hidden="1">
      <c r="A1866" s="495" t="s">
        <v>2654</v>
      </c>
      <c r="B1866" s="400" t="s">
        <v>684</v>
      </c>
      <c r="C1866" s="400" t="s">
        <v>97</v>
      </c>
      <c r="D1866" s="400">
        <v>2252</v>
      </c>
      <c r="E1866" s="400">
        <v>15</v>
      </c>
      <c r="F1866" s="400" t="s">
        <v>2655</v>
      </c>
      <c r="G1866" s="400" t="s">
        <v>2221</v>
      </c>
      <c r="H1866" s="1238"/>
    </row>
    <row r="1867" spans="1:8" hidden="1">
      <c r="A1867" s="495" t="s">
        <v>2654</v>
      </c>
      <c r="B1867" s="400" t="s">
        <v>684</v>
      </c>
      <c r="C1867" s="400" t="s">
        <v>97</v>
      </c>
      <c r="D1867" s="400">
        <v>2253</v>
      </c>
      <c r="E1867" s="400">
        <v>15</v>
      </c>
      <c r="F1867" s="400" t="s">
        <v>2655</v>
      </c>
      <c r="G1867" s="400" t="s">
        <v>2221</v>
      </c>
      <c r="H1867" s="1238"/>
    </row>
    <row r="1868" spans="1:8" hidden="1">
      <c r="A1868" s="495" t="s">
        <v>2654</v>
      </c>
      <c r="B1868" s="400" t="s">
        <v>684</v>
      </c>
      <c r="C1868" s="400" t="s">
        <v>97</v>
      </c>
      <c r="D1868" s="400">
        <v>2254</v>
      </c>
      <c r="E1868" s="400">
        <v>15</v>
      </c>
      <c r="F1868" s="400" t="s">
        <v>2655</v>
      </c>
      <c r="G1868" s="400" t="s">
        <v>2221</v>
      </c>
      <c r="H1868" s="1238"/>
    </row>
    <row r="1869" spans="1:8" hidden="1">
      <c r="A1869" s="495" t="s">
        <v>2654</v>
      </c>
      <c r="B1869" s="400" t="s">
        <v>684</v>
      </c>
      <c r="C1869" s="400" t="s">
        <v>97</v>
      </c>
      <c r="D1869" s="400">
        <v>2255</v>
      </c>
      <c r="E1869" s="400">
        <v>15</v>
      </c>
      <c r="F1869" s="400" t="s">
        <v>2655</v>
      </c>
      <c r="G1869" s="400" t="s">
        <v>2221</v>
      </c>
      <c r="H1869" s="1238"/>
    </row>
    <row r="1870" spans="1:8" hidden="1">
      <c r="A1870" s="495" t="s">
        <v>2654</v>
      </c>
      <c r="B1870" s="400" t="s">
        <v>684</v>
      </c>
      <c r="C1870" s="400" t="s">
        <v>97</v>
      </c>
      <c r="D1870" s="400">
        <v>2256</v>
      </c>
      <c r="E1870" s="400">
        <v>15</v>
      </c>
      <c r="F1870" s="400" t="s">
        <v>2655</v>
      </c>
      <c r="G1870" s="400" t="s">
        <v>2221</v>
      </c>
      <c r="H1870" s="1238"/>
    </row>
    <row r="1871" spans="1:8" hidden="1">
      <c r="A1871" s="495" t="s">
        <v>2654</v>
      </c>
      <c r="B1871" s="400" t="s">
        <v>684</v>
      </c>
      <c r="C1871" s="400" t="s">
        <v>97</v>
      </c>
      <c r="D1871" s="400">
        <v>2257</v>
      </c>
      <c r="E1871" s="400">
        <v>15</v>
      </c>
      <c r="F1871" s="400" t="s">
        <v>2655</v>
      </c>
      <c r="G1871" s="400" t="s">
        <v>2221</v>
      </c>
      <c r="H1871" s="1238"/>
    </row>
    <row r="1872" spans="1:8" hidden="1">
      <c r="A1872" s="495" t="s">
        <v>2654</v>
      </c>
      <c r="B1872" s="400" t="s">
        <v>684</v>
      </c>
      <c r="C1872" s="400" t="s">
        <v>97</v>
      </c>
      <c r="D1872" s="400">
        <v>2258</v>
      </c>
      <c r="E1872" s="400">
        <v>15</v>
      </c>
      <c r="F1872" s="400" t="s">
        <v>2655</v>
      </c>
      <c r="G1872" s="400" t="s">
        <v>2221</v>
      </c>
      <c r="H1872" s="1238"/>
    </row>
    <row r="1873" spans="1:8" hidden="1">
      <c r="A1873" s="495" t="s">
        <v>2654</v>
      </c>
      <c r="B1873" s="400" t="s">
        <v>684</v>
      </c>
      <c r="C1873" s="400" t="s">
        <v>97</v>
      </c>
      <c r="D1873" s="400">
        <v>2259</v>
      </c>
      <c r="E1873" s="400">
        <v>15</v>
      </c>
      <c r="F1873" s="400" t="s">
        <v>2655</v>
      </c>
      <c r="G1873" s="400" t="s">
        <v>2221</v>
      </c>
      <c r="H1873" s="1238"/>
    </row>
    <row r="1874" spans="1:8" hidden="1">
      <c r="A1874" s="495" t="s">
        <v>2654</v>
      </c>
      <c r="B1874" s="400" t="s">
        <v>684</v>
      </c>
      <c r="C1874" s="400" t="s">
        <v>97</v>
      </c>
      <c r="D1874" s="400">
        <v>2260</v>
      </c>
      <c r="E1874" s="400">
        <v>15</v>
      </c>
      <c r="F1874" s="400" t="s">
        <v>2655</v>
      </c>
      <c r="G1874" s="400" t="s">
        <v>2221</v>
      </c>
      <c r="H1874" s="1238"/>
    </row>
    <row r="1875" spans="1:8" hidden="1">
      <c r="A1875" s="495" t="s">
        <v>2654</v>
      </c>
      <c r="B1875" s="400" t="s">
        <v>684</v>
      </c>
      <c r="C1875" s="400" t="s">
        <v>97</v>
      </c>
      <c r="D1875" s="400">
        <v>2261</v>
      </c>
      <c r="E1875" s="400">
        <v>15</v>
      </c>
      <c r="F1875" s="400" t="s">
        <v>2655</v>
      </c>
      <c r="G1875" s="400" t="s">
        <v>2221</v>
      </c>
      <c r="H1875" s="1238"/>
    </row>
    <row r="1876" spans="1:8" hidden="1">
      <c r="A1876" s="495" t="s">
        <v>2654</v>
      </c>
      <c r="B1876" s="400" t="s">
        <v>684</v>
      </c>
      <c r="C1876" s="400" t="s">
        <v>97</v>
      </c>
      <c r="D1876" s="400">
        <v>2262</v>
      </c>
      <c r="E1876" s="400">
        <v>15</v>
      </c>
      <c r="F1876" s="400" t="s">
        <v>2655</v>
      </c>
      <c r="G1876" s="400" t="s">
        <v>2221</v>
      </c>
      <c r="H1876" s="1238"/>
    </row>
    <row r="1877" spans="1:8" hidden="1">
      <c r="A1877" s="495" t="s">
        <v>2654</v>
      </c>
      <c r="B1877" s="400" t="s">
        <v>684</v>
      </c>
      <c r="C1877" s="400" t="s">
        <v>97</v>
      </c>
      <c r="D1877" s="400">
        <v>2263</v>
      </c>
      <c r="E1877" s="400">
        <v>15</v>
      </c>
      <c r="F1877" s="400" t="s">
        <v>2655</v>
      </c>
      <c r="G1877" s="400" t="s">
        <v>2221</v>
      </c>
      <c r="H1877" s="1238"/>
    </row>
    <row r="1878" spans="1:8" hidden="1">
      <c r="A1878" s="495" t="s">
        <v>2654</v>
      </c>
      <c r="B1878" s="400" t="s">
        <v>684</v>
      </c>
      <c r="C1878" s="400" t="s">
        <v>97</v>
      </c>
      <c r="D1878" s="400">
        <v>2264</v>
      </c>
      <c r="E1878" s="400">
        <v>15</v>
      </c>
      <c r="F1878" s="400" t="s">
        <v>2655</v>
      </c>
      <c r="G1878" s="400" t="s">
        <v>2221</v>
      </c>
      <c r="H1878" s="1238"/>
    </row>
    <row r="1879" spans="1:8" hidden="1">
      <c r="A1879" s="495" t="s">
        <v>2654</v>
      </c>
      <c r="B1879" s="400" t="s">
        <v>684</v>
      </c>
      <c r="C1879" s="400" t="s">
        <v>97</v>
      </c>
      <c r="D1879" s="400">
        <v>2265</v>
      </c>
      <c r="E1879" s="400">
        <v>15</v>
      </c>
      <c r="F1879" s="400" t="s">
        <v>2655</v>
      </c>
      <c r="G1879" s="400" t="s">
        <v>2221</v>
      </c>
      <c r="H1879" s="1238"/>
    </row>
    <row r="1880" spans="1:8" hidden="1">
      <c r="A1880" s="495" t="s">
        <v>2654</v>
      </c>
      <c r="B1880" s="400" t="s">
        <v>684</v>
      </c>
      <c r="C1880" s="400" t="s">
        <v>97</v>
      </c>
      <c r="D1880" s="400">
        <v>2266</v>
      </c>
      <c r="E1880" s="400">
        <v>15</v>
      </c>
      <c r="F1880" s="400" t="s">
        <v>2655</v>
      </c>
      <c r="G1880" s="400" t="s">
        <v>2221</v>
      </c>
      <c r="H1880" s="1238"/>
    </row>
    <row r="1881" spans="1:8" hidden="1">
      <c r="A1881" s="495" t="s">
        <v>2654</v>
      </c>
      <c r="B1881" s="400" t="s">
        <v>684</v>
      </c>
      <c r="C1881" s="400" t="s">
        <v>97</v>
      </c>
      <c r="D1881" s="400">
        <v>2267</v>
      </c>
      <c r="E1881" s="400">
        <v>15</v>
      </c>
      <c r="F1881" s="400" t="s">
        <v>2655</v>
      </c>
      <c r="G1881" s="400" t="s">
        <v>2221</v>
      </c>
      <c r="H1881" s="1238"/>
    </row>
    <row r="1882" spans="1:8" hidden="1">
      <c r="A1882" s="495" t="s">
        <v>2654</v>
      </c>
      <c r="B1882" s="400" t="s">
        <v>684</v>
      </c>
      <c r="C1882" s="400" t="s">
        <v>97</v>
      </c>
      <c r="D1882" s="400">
        <v>2268</v>
      </c>
      <c r="E1882" s="400">
        <v>15</v>
      </c>
      <c r="F1882" s="400" t="s">
        <v>2655</v>
      </c>
      <c r="G1882" s="400" t="s">
        <v>2221</v>
      </c>
      <c r="H1882" s="1238"/>
    </row>
    <row r="1883" spans="1:8" hidden="1">
      <c r="A1883" s="495" t="s">
        <v>2654</v>
      </c>
      <c r="B1883" s="400" t="s">
        <v>684</v>
      </c>
      <c r="C1883" s="400" t="s">
        <v>97</v>
      </c>
      <c r="D1883" s="400">
        <v>2269</v>
      </c>
      <c r="E1883" s="400">
        <v>15</v>
      </c>
      <c r="F1883" s="400" t="s">
        <v>2655</v>
      </c>
      <c r="G1883" s="400" t="s">
        <v>2221</v>
      </c>
      <c r="H1883" s="1238"/>
    </row>
    <row r="1884" spans="1:8" hidden="1">
      <c r="A1884" s="495" t="s">
        <v>2654</v>
      </c>
      <c r="B1884" s="400" t="s">
        <v>684</v>
      </c>
      <c r="C1884" s="400" t="s">
        <v>97</v>
      </c>
      <c r="D1884" s="400">
        <v>2270</v>
      </c>
      <c r="E1884" s="400">
        <v>15</v>
      </c>
      <c r="F1884" s="400" t="s">
        <v>2655</v>
      </c>
      <c r="G1884" s="400" t="s">
        <v>2221</v>
      </c>
      <c r="H1884" s="1238"/>
    </row>
    <row r="1885" spans="1:8" hidden="1">
      <c r="A1885" s="495" t="s">
        <v>2654</v>
      </c>
      <c r="B1885" s="400" t="s">
        <v>684</v>
      </c>
      <c r="C1885" s="400" t="s">
        <v>97</v>
      </c>
      <c r="D1885" s="400">
        <v>2271</v>
      </c>
      <c r="E1885" s="400">
        <v>15</v>
      </c>
      <c r="F1885" s="400" t="s">
        <v>2655</v>
      </c>
      <c r="G1885" s="400" t="s">
        <v>2221</v>
      </c>
      <c r="H1885" s="1238"/>
    </row>
    <row r="1886" spans="1:8" hidden="1">
      <c r="A1886" s="495" t="s">
        <v>2654</v>
      </c>
      <c r="B1886" s="400" t="s">
        <v>684</v>
      </c>
      <c r="C1886" s="400" t="s">
        <v>97</v>
      </c>
      <c r="D1886" s="400">
        <v>2272</v>
      </c>
      <c r="E1886" s="400">
        <v>15</v>
      </c>
      <c r="F1886" s="400" t="s">
        <v>2655</v>
      </c>
      <c r="G1886" s="400" t="s">
        <v>2221</v>
      </c>
      <c r="H1886" s="1238"/>
    </row>
    <row r="1887" spans="1:8" hidden="1">
      <c r="A1887" s="495" t="s">
        <v>2654</v>
      </c>
      <c r="B1887" s="400" t="s">
        <v>684</v>
      </c>
      <c r="C1887" s="400" t="s">
        <v>97</v>
      </c>
      <c r="D1887" s="400">
        <v>2273</v>
      </c>
      <c r="E1887" s="400">
        <v>15</v>
      </c>
      <c r="F1887" s="400" t="s">
        <v>2655</v>
      </c>
      <c r="G1887" s="400" t="s">
        <v>2221</v>
      </c>
      <c r="H1887" s="1238"/>
    </row>
    <row r="1888" spans="1:8" hidden="1">
      <c r="A1888" s="495" t="s">
        <v>2654</v>
      </c>
      <c r="B1888" s="400" t="s">
        <v>684</v>
      </c>
      <c r="C1888" s="400" t="s">
        <v>97</v>
      </c>
      <c r="D1888" s="400">
        <v>2274</v>
      </c>
      <c r="E1888" s="400">
        <v>15</v>
      </c>
      <c r="F1888" s="400" t="s">
        <v>2655</v>
      </c>
      <c r="G1888" s="400" t="s">
        <v>2221</v>
      </c>
      <c r="H1888" s="1238"/>
    </row>
    <row r="1889" spans="1:8" hidden="1">
      <c r="A1889" s="495" t="s">
        <v>2654</v>
      </c>
      <c r="B1889" s="400" t="s">
        <v>684</v>
      </c>
      <c r="C1889" s="400" t="s">
        <v>97</v>
      </c>
      <c r="D1889" s="400">
        <v>2275</v>
      </c>
      <c r="E1889" s="400">
        <v>15</v>
      </c>
      <c r="F1889" s="400" t="s">
        <v>2655</v>
      </c>
      <c r="G1889" s="400" t="s">
        <v>2221</v>
      </c>
      <c r="H1889" s="1238"/>
    </row>
    <row r="1890" spans="1:8" hidden="1">
      <c r="A1890" s="495" t="s">
        <v>2654</v>
      </c>
      <c r="B1890" s="400" t="s">
        <v>684</v>
      </c>
      <c r="C1890" s="400" t="s">
        <v>97</v>
      </c>
      <c r="D1890" s="400">
        <v>2276</v>
      </c>
      <c r="E1890" s="400">
        <v>15</v>
      </c>
      <c r="F1890" s="400" t="s">
        <v>2655</v>
      </c>
      <c r="G1890" s="400" t="s">
        <v>2221</v>
      </c>
      <c r="H1890" s="1238"/>
    </row>
    <row r="1891" spans="1:8" hidden="1">
      <c r="A1891" s="495" t="s">
        <v>2654</v>
      </c>
      <c r="B1891" s="400" t="s">
        <v>684</v>
      </c>
      <c r="C1891" s="400" t="s">
        <v>97</v>
      </c>
      <c r="D1891" s="400">
        <v>2277</v>
      </c>
      <c r="E1891" s="400">
        <v>15</v>
      </c>
      <c r="F1891" s="400" t="s">
        <v>2655</v>
      </c>
      <c r="G1891" s="400" t="s">
        <v>2221</v>
      </c>
      <c r="H1891" s="1238"/>
    </row>
    <row r="1892" spans="1:8" hidden="1">
      <c r="A1892" s="495" t="s">
        <v>2654</v>
      </c>
      <c r="B1892" s="400" t="s">
        <v>684</v>
      </c>
      <c r="C1892" s="400" t="s">
        <v>97</v>
      </c>
      <c r="D1892" s="400">
        <v>2278</v>
      </c>
      <c r="E1892" s="400">
        <v>15</v>
      </c>
      <c r="F1892" s="400" t="s">
        <v>2655</v>
      </c>
      <c r="G1892" s="400" t="s">
        <v>2221</v>
      </c>
      <c r="H1892" s="1238"/>
    </row>
    <row r="1893" spans="1:8" hidden="1">
      <c r="A1893" s="495" t="s">
        <v>2654</v>
      </c>
      <c r="B1893" s="400" t="s">
        <v>684</v>
      </c>
      <c r="C1893" s="400" t="s">
        <v>97</v>
      </c>
      <c r="D1893" s="400">
        <v>2279</v>
      </c>
      <c r="E1893" s="400">
        <v>15</v>
      </c>
      <c r="F1893" s="400" t="s">
        <v>2655</v>
      </c>
      <c r="G1893" s="400" t="s">
        <v>2221</v>
      </c>
      <c r="H1893" s="1238"/>
    </row>
    <row r="1894" spans="1:8" hidden="1">
      <c r="A1894" s="495" t="s">
        <v>2654</v>
      </c>
      <c r="B1894" s="400" t="s">
        <v>684</v>
      </c>
      <c r="C1894" s="400" t="s">
        <v>97</v>
      </c>
      <c r="D1894" s="400">
        <v>2280</v>
      </c>
      <c r="E1894" s="400">
        <v>15</v>
      </c>
      <c r="F1894" s="400" t="s">
        <v>2655</v>
      </c>
      <c r="G1894" s="400" t="s">
        <v>2221</v>
      </c>
      <c r="H1894" s="1238"/>
    </row>
    <row r="1895" spans="1:8" hidden="1">
      <c r="A1895" s="495" t="s">
        <v>2654</v>
      </c>
      <c r="B1895" s="400" t="s">
        <v>684</v>
      </c>
      <c r="C1895" s="400" t="s">
        <v>97</v>
      </c>
      <c r="D1895" s="400">
        <v>2281</v>
      </c>
      <c r="E1895" s="400">
        <v>15</v>
      </c>
      <c r="F1895" s="400" t="s">
        <v>2655</v>
      </c>
      <c r="G1895" s="400" t="s">
        <v>2221</v>
      </c>
      <c r="H1895" s="1238"/>
    </row>
    <row r="1896" spans="1:8" hidden="1">
      <c r="A1896" s="495" t="s">
        <v>2654</v>
      </c>
      <c r="B1896" s="400" t="s">
        <v>684</v>
      </c>
      <c r="C1896" s="400" t="s">
        <v>97</v>
      </c>
      <c r="D1896" s="400">
        <v>2282</v>
      </c>
      <c r="E1896" s="400">
        <v>15</v>
      </c>
      <c r="F1896" s="400" t="s">
        <v>2655</v>
      </c>
      <c r="G1896" s="400" t="s">
        <v>2221</v>
      </c>
      <c r="H1896" s="1238"/>
    </row>
    <row r="1897" spans="1:8" hidden="1">
      <c r="A1897" s="495" t="s">
        <v>2654</v>
      </c>
      <c r="B1897" s="400" t="s">
        <v>684</v>
      </c>
      <c r="C1897" s="400" t="s">
        <v>97</v>
      </c>
      <c r="D1897" s="400">
        <v>2283</v>
      </c>
      <c r="E1897" s="400">
        <v>15</v>
      </c>
      <c r="F1897" s="400" t="s">
        <v>2655</v>
      </c>
      <c r="G1897" s="400" t="s">
        <v>2221</v>
      </c>
      <c r="H1897" s="1238"/>
    </row>
    <row r="1898" spans="1:8" hidden="1">
      <c r="A1898" s="495" t="s">
        <v>2654</v>
      </c>
      <c r="B1898" s="400" t="s">
        <v>684</v>
      </c>
      <c r="C1898" s="400" t="s">
        <v>97</v>
      </c>
      <c r="D1898" s="400">
        <v>2284</v>
      </c>
      <c r="E1898" s="400">
        <v>15</v>
      </c>
      <c r="F1898" s="400" t="s">
        <v>2655</v>
      </c>
      <c r="G1898" s="400" t="s">
        <v>2221</v>
      </c>
      <c r="H1898" s="1238"/>
    </row>
    <row r="1899" spans="1:8" hidden="1">
      <c r="A1899" s="495" t="s">
        <v>2654</v>
      </c>
      <c r="B1899" s="400" t="s">
        <v>684</v>
      </c>
      <c r="C1899" s="400" t="s">
        <v>97</v>
      </c>
      <c r="D1899" s="400">
        <v>2285</v>
      </c>
      <c r="E1899" s="400">
        <v>15</v>
      </c>
      <c r="F1899" s="400" t="s">
        <v>2655</v>
      </c>
      <c r="G1899" s="400" t="s">
        <v>2221</v>
      </c>
      <c r="H1899" s="1238"/>
    </row>
    <row r="1900" spans="1:8" hidden="1">
      <c r="A1900" s="495" t="s">
        <v>2654</v>
      </c>
      <c r="B1900" s="400" t="s">
        <v>684</v>
      </c>
      <c r="C1900" s="400" t="s">
        <v>97</v>
      </c>
      <c r="D1900" s="400">
        <v>2286</v>
      </c>
      <c r="E1900" s="400">
        <v>15</v>
      </c>
      <c r="F1900" s="400" t="s">
        <v>2655</v>
      </c>
      <c r="G1900" s="400" t="s">
        <v>2221</v>
      </c>
      <c r="H1900" s="1238"/>
    </row>
    <row r="1901" spans="1:8" hidden="1">
      <c r="A1901" s="495" t="s">
        <v>2654</v>
      </c>
      <c r="B1901" s="400" t="s">
        <v>684</v>
      </c>
      <c r="C1901" s="400" t="s">
        <v>97</v>
      </c>
      <c r="D1901" s="400">
        <v>2287</v>
      </c>
      <c r="E1901" s="400">
        <v>15</v>
      </c>
      <c r="F1901" s="400" t="s">
        <v>2655</v>
      </c>
      <c r="G1901" s="400" t="s">
        <v>2221</v>
      </c>
      <c r="H1901" s="1238"/>
    </row>
    <row r="1902" spans="1:8" hidden="1">
      <c r="A1902" s="495" t="s">
        <v>2654</v>
      </c>
      <c r="B1902" s="400" t="s">
        <v>684</v>
      </c>
      <c r="C1902" s="400" t="s">
        <v>97</v>
      </c>
      <c r="D1902" s="400">
        <v>2288</v>
      </c>
      <c r="E1902" s="400">
        <v>15</v>
      </c>
      <c r="F1902" s="400" t="s">
        <v>2655</v>
      </c>
      <c r="G1902" s="400" t="s">
        <v>2221</v>
      </c>
      <c r="H1902" s="1238"/>
    </row>
    <row r="1903" spans="1:8" hidden="1">
      <c r="A1903" s="495" t="s">
        <v>2654</v>
      </c>
      <c r="B1903" s="400" t="s">
        <v>684</v>
      </c>
      <c r="C1903" s="400" t="s">
        <v>97</v>
      </c>
      <c r="D1903" s="400">
        <v>2289</v>
      </c>
      <c r="E1903" s="400">
        <v>15</v>
      </c>
      <c r="F1903" s="400" t="s">
        <v>2655</v>
      </c>
      <c r="G1903" s="400" t="s">
        <v>2221</v>
      </c>
      <c r="H1903" s="1238"/>
    </row>
    <row r="1904" spans="1:8" hidden="1">
      <c r="A1904" s="495" t="s">
        <v>2654</v>
      </c>
      <c r="B1904" s="400" t="s">
        <v>684</v>
      </c>
      <c r="C1904" s="400" t="s">
        <v>97</v>
      </c>
      <c r="D1904" s="400">
        <v>2290</v>
      </c>
      <c r="E1904" s="400">
        <v>15</v>
      </c>
      <c r="F1904" s="400" t="s">
        <v>2655</v>
      </c>
      <c r="G1904" s="400" t="s">
        <v>2221</v>
      </c>
      <c r="H1904" s="1238"/>
    </row>
    <row r="1905" spans="1:8" hidden="1">
      <c r="A1905" s="495" t="s">
        <v>2654</v>
      </c>
      <c r="B1905" s="400" t="s">
        <v>684</v>
      </c>
      <c r="C1905" s="400" t="s">
        <v>97</v>
      </c>
      <c r="D1905" s="400">
        <v>2291</v>
      </c>
      <c r="E1905" s="400">
        <v>15</v>
      </c>
      <c r="F1905" s="400" t="s">
        <v>2655</v>
      </c>
      <c r="G1905" s="400" t="s">
        <v>2221</v>
      </c>
      <c r="H1905" s="1238"/>
    </row>
    <row r="1906" spans="1:8" hidden="1">
      <c r="A1906" s="495" t="s">
        <v>2654</v>
      </c>
      <c r="B1906" s="400" t="s">
        <v>684</v>
      </c>
      <c r="C1906" s="400" t="s">
        <v>97</v>
      </c>
      <c r="D1906" s="400">
        <v>2292</v>
      </c>
      <c r="E1906" s="400">
        <v>15</v>
      </c>
      <c r="F1906" s="400" t="s">
        <v>2655</v>
      </c>
      <c r="G1906" s="400" t="s">
        <v>2221</v>
      </c>
      <c r="H1906" s="1238"/>
    </row>
    <row r="1907" spans="1:8" hidden="1">
      <c r="A1907" s="495" t="s">
        <v>2654</v>
      </c>
      <c r="B1907" s="400" t="s">
        <v>684</v>
      </c>
      <c r="C1907" s="400" t="s">
        <v>97</v>
      </c>
      <c r="D1907" s="400">
        <v>2293</v>
      </c>
      <c r="E1907" s="400">
        <v>15</v>
      </c>
      <c r="F1907" s="400" t="s">
        <v>2655</v>
      </c>
      <c r="G1907" s="400" t="s">
        <v>2221</v>
      </c>
      <c r="H1907" s="1238"/>
    </row>
    <row r="1908" spans="1:8" hidden="1">
      <c r="A1908" s="495" t="s">
        <v>2654</v>
      </c>
      <c r="B1908" s="400" t="s">
        <v>684</v>
      </c>
      <c r="C1908" s="400" t="s">
        <v>97</v>
      </c>
      <c r="D1908" s="400">
        <v>2294</v>
      </c>
      <c r="E1908" s="400">
        <v>15</v>
      </c>
      <c r="F1908" s="400" t="s">
        <v>2655</v>
      </c>
      <c r="G1908" s="400" t="s">
        <v>2221</v>
      </c>
      <c r="H1908" s="1238"/>
    </row>
    <row r="1909" spans="1:8" hidden="1">
      <c r="A1909" s="495" t="s">
        <v>2654</v>
      </c>
      <c r="B1909" s="400" t="s">
        <v>684</v>
      </c>
      <c r="C1909" s="400" t="s">
        <v>97</v>
      </c>
      <c r="D1909" s="400">
        <v>2295</v>
      </c>
      <c r="E1909" s="400">
        <v>15</v>
      </c>
      <c r="F1909" s="400" t="s">
        <v>2655</v>
      </c>
      <c r="G1909" s="400" t="s">
        <v>2221</v>
      </c>
      <c r="H1909" s="1238"/>
    </row>
    <row r="1910" spans="1:8" hidden="1">
      <c r="A1910" s="495" t="s">
        <v>2654</v>
      </c>
      <c r="B1910" s="400" t="s">
        <v>684</v>
      </c>
      <c r="C1910" s="400" t="s">
        <v>97</v>
      </c>
      <c r="D1910" s="400">
        <v>2296</v>
      </c>
      <c r="E1910" s="400">
        <v>15</v>
      </c>
      <c r="F1910" s="400" t="s">
        <v>2655</v>
      </c>
      <c r="G1910" s="400" t="s">
        <v>2221</v>
      </c>
      <c r="H1910" s="1238"/>
    </row>
    <row r="1911" spans="1:8" hidden="1">
      <c r="A1911" s="495" t="s">
        <v>2654</v>
      </c>
      <c r="B1911" s="400" t="s">
        <v>684</v>
      </c>
      <c r="C1911" s="400" t="s">
        <v>97</v>
      </c>
      <c r="D1911" s="400">
        <v>2297</v>
      </c>
      <c r="E1911" s="400">
        <v>15</v>
      </c>
      <c r="F1911" s="400" t="s">
        <v>2655</v>
      </c>
      <c r="G1911" s="400" t="s">
        <v>2221</v>
      </c>
      <c r="H1911" s="1238"/>
    </row>
    <row r="1912" spans="1:8" hidden="1">
      <c r="A1912" s="495" t="s">
        <v>2654</v>
      </c>
      <c r="B1912" s="400" t="s">
        <v>684</v>
      </c>
      <c r="C1912" s="400" t="s">
        <v>97</v>
      </c>
      <c r="D1912" s="400">
        <v>2298</v>
      </c>
      <c r="E1912" s="400">
        <v>15</v>
      </c>
      <c r="F1912" s="400" t="s">
        <v>2655</v>
      </c>
      <c r="G1912" s="400" t="s">
        <v>2221</v>
      </c>
      <c r="H1912" s="1238"/>
    </row>
    <row r="1913" spans="1:8" hidden="1">
      <c r="A1913" s="495" t="s">
        <v>2654</v>
      </c>
      <c r="B1913" s="400" t="s">
        <v>684</v>
      </c>
      <c r="C1913" s="400" t="s">
        <v>97</v>
      </c>
      <c r="D1913" s="400">
        <v>2299</v>
      </c>
      <c r="E1913" s="400">
        <v>15</v>
      </c>
      <c r="F1913" s="400" t="s">
        <v>2655</v>
      </c>
      <c r="G1913" s="400" t="s">
        <v>2221</v>
      </c>
      <c r="H1913" s="1238"/>
    </row>
    <row r="1914" spans="1:8" hidden="1">
      <c r="A1914" s="495" t="s">
        <v>2654</v>
      </c>
      <c r="B1914" s="400" t="s">
        <v>684</v>
      </c>
      <c r="C1914" s="400" t="s">
        <v>97</v>
      </c>
      <c r="D1914" s="400">
        <v>2300</v>
      </c>
      <c r="E1914" s="400">
        <v>15</v>
      </c>
      <c r="F1914" s="400" t="s">
        <v>2655</v>
      </c>
      <c r="G1914" s="400" t="s">
        <v>2221</v>
      </c>
      <c r="H1914" s="1238"/>
    </row>
    <row r="1915" spans="1:8" hidden="1">
      <c r="A1915" s="495" t="s">
        <v>2654</v>
      </c>
      <c r="B1915" s="400" t="s">
        <v>684</v>
      </c>
      <c r="C1915" s="400" t="s">
        <v>97</v>
      </c>
      <c r="D1915" s="400">
        <v>2301</v>
      </c>
      <c r="E1915" s="400">
        <v>15</v>
      </c>
      <c r="F1915" s="400" t="s">
        <v>2655</v>
      </c>
      <c r="G1915" s="400" t="s">
        <v>2221</v>
      </c>
      <c r="H1915" s="1238"/>
    </row>
    <row r="1916" spans="1:8" hidden="1">
      <c r="A1916" s="495" t="s">
        <v>2654</v>
      </c>
      <c r="B1916" s="400" t="s">
        <v>684</v>
      </c>
      <c r="C1916" s="400" t="s">
        <v>97</v>
      </c>
      <c r="D1916" s="400">
        <v>2302</v>
      </c>
      <c r="E1916" s="400">
        <v>15</v>
      </c>
      <c r="F1916" s="400" t="s">
        <v>2655</v>
      </c>
      <c r="G1916" s="400" t="s">
        <v>2221</v>
      </c>
      <c r="H1916" s="1238"/>
    </row>
    <row r="1917" spans="1:8" hidden="1">
      <c r="A1917" s="495" t="s">
        <v>2654</v>
      </c>
      <c r="B1917" s="400" t="s">
        <v>684</v>
      </c>
      <c r="C1917" s="400" t="s">
        <v>97</v>
      </c>
      <c r="D1917" s="400">
        <v>2303</v>
      </c>
      <c r="E1917" s="400">
        <v>15</v>
      </c>
      <c r="F1917" s="400" t="s">
        <v>2655</v>
      </c>
      <c r="G1917" s="400" t="s">
        <v>2221</v>
      </c>
      <c r="H1917" s="1238"/>
    </row>
    <row r="1918" spans="1:8" hidden="1">
      <c r="A1918" s="495" t="s">
        <v>2654</v>
      </c>
      <c r="B1918" s="400" t="s">
        <v>684</v>
      </c>
      <c r="C1918" s="400" t="s">
        <v>97</v>
      </c>
      <c r="D1918" s="400">
        <v>2304</v>
      </c>
      <c r="E1918" s="400">
        <v>15</v>
      </c>
      <c r="F1918" s="400" t="s">
        <v>2655</v>
      </c>
      <c r="G1918" s="400" t="s">
        <v>2221</v>
      </c>
      <c r="H1918" s="1238"/>
    </row>
    <row r="1919" spans="1:8" hidden="1">
      <c r="A1919" s="495" t="s">
        <v>2654</v>
      </c>
      <c r="B1919" s="400" t="s">
        <v>684</v>
      </c>
      <c r="C1919" s="400" t="s">
        <v>97</v>
      </c>
      <c r="D1919" s="400">
        <v>2305</v>
      </c>
      <c r="E1919" s="400">
        <v>15</v>
      </c>
      <c r="F1919" s="400" t="s">
        <v>2655</v>
      </c>
      <c r="G1919" s="400" t="s">
        <v>2221</v>
      </c>
      <c r="H1919" s="1238"/>
    </row>
    <row r="1920" spans="1:8" hidden="1">
      <c r="A1920" s="495" t="s">
        <v>2654</v>
      </c>
      <c r="B1920" s="400" t="s">
        <v>684</v>
      </c>
      <c r="C1920" s="400" t="s">
        <v>97</v>
      </c>
      <c r="D1920" s="400">
        <v>2306</v>
      </c>
      <c r="E1920" s="400">
        <v>15</v>
      </c>
      <c r="F1920" s="400" t="s">
        <v>2655</v>
      </c>
      <c r="G1920" s="400" t="s">
        <v>2221</v>
      </c>
      <c r="H1920" s="1238"/>
    </row>
    <row r="1921" spans="1:8" hidden="1">
      <c r="A1921" s="495" t="s">
        <v>2654</v>
      </c>
      <c r="B1921" s="400" t="s">
        <v>684</v>
      </c>
      <c r="C1921" s="400" t="s">
        <v>97</v>
      </c>
      <c r="D1921" s="400">
        <v>2307</v>
      </c>
      <c r="E1921" s="400">
        <v>15</v>
      </c>
      <c r="F1921" s="400" t="s">
        <v>2655</v>
      </c>
      <c r="G1921" s="400" t="s">
        <v>2221</v>
      </c>
      <c r="H1921" s="1238"/>
    </row>
    <row r="1922" spans="1:8" hidden="1">
      <c r="A1922" s="495" t="s">
        <v>2654</v>
      </c>
      <c r="B1922" s="400" t="s">
        <v>684</v>
      </c>
      <c r="C1922" s="400" t="s">
        <v>97</v>
      </c>
      <c r="D1922" s="400">
        <v>2308</v>
      </c>
      <c r="E1922" s="400">
        <v>15</v>
      </c>
      <c r="F1922" s="400" t="s">
        <v>2655</v>
      </c>
      <c r="G1922" s="400" t="s">
        <v>2221</v>
      </c>
      <c r="H1922" s="1238"/>
    </row>
    <row r="1923" spans="1:8" hidden="1">
      <c r="A1923" s="495" t="s">
        <v>2654</v>
      </c>
      <c r="B1923" s="400" t="s">
        <v>684</v>
      </c>
      <c r="C1923" s="400" t="s">
        <v>97</v>
      </c>
      <c r="D1923" s="400">
        <v>2309</v>
      </c>
      <c r="E1923" s="400">
        <v>15</v>
      </c>
      <c r="F1923" s="400" t="s">
        <v>2655</v>
      </c>
      <c r="G1923" s="400" t="s">
        <v>2221</v>
      </c>
      <c r="H1923" s="1238"/>
    </row>
    <row r="1924" spans="1:8" hidden="1">
      <c r="A1924" s="495" t="s">
        <v>2654</v>
      </c>
      <c r="B1924" s="400" t="s">
        <v>684</v>
      </c>
      <c r="C1924" s="400" t="s">
        <v>97</v>
      </c>
      <c r="D1924" s="400">
        <v>2310</v>
      </c>
      <c r="E1924" s="400">
        <v>15</v>
      </c>
      <c r="F1924" s="400" t="s">
        <v>2655</v>
      </c>
      <c r="G1924" s="400" t="s">
        <v>2221</v>
      </c>
      <c r="H1924" s="1238"/>
    </row>
    <row r="1925" spans="1:8" hidden="1">
      <c r="A1925" s="495" t="s">
        <v>2654</v>
      </c>
      <c r="B1925" s="400" t="s">
        <v>684</v>
      </c>
      <c r="C1925" s="400" t="s">
        <v>97</v>
      </c>
      <c r="D1925" s="400">
        <v>2311</v>
      </c>
      <c r="E1925" s="400">
        <v>15</v>
      </c>
      <c r="F1925" s="400" t="s">
        <v>2655</v>
      </c>
      <c r="G1925" s="400" t="s">
        <v>2221</v>
      </c>
      <c r="H1925" s="1238"/>
    </row>
    <row r="1926" spans="1:8" hidden="1">
      <c r="A1926" s="495" t="s">
        <v>2654</v>
      </c>
      <c r="B1926" s="400" t="s">
        <v>684</v>
      </c>
      <c r="C1926" s="400" t="s">
        <v>97</v>
      </c>
      <c r="D1926" s="400">
        <v>2312</v>
      </c>
      <c r="E1926" s="400">
        <v>15</v>
      </c>
      <c r="F1926" s="400" t="s">
        <v>2655</v>
      </c>
      <c r="G1926" s="400" t="s">
        <v>2221</v>
      </c>
      <c r="H1926" s="1238"/>
    </row>
    <row r="1927" spans="1:8" hidden="1">
      <c r="A1927" s="495" t="s">
        <v>2654</v>
      </c>
      <c r="B1927" s="400" t="s">
        <v>684</v>
      </c>
      <c r="C1927" s="400" t="s">
        <v>97</v>
      </c>
      <c r="D1927" s="400">
        <v>2313</v>
      </c>
      <c r="E1927" s="400">
        <v>15</v>
      </c>
      <c r="F1927" s="400" t="s">
        <v>2655</v>
      </c>
      <c r="G1927" s="400" t="s">
        <v>2221</v>
      </c>
      <c r="H1927" s="1238"/>
    </row>
    <row r="1928" spans="1:8" hidden="1">
      <c r="A1928" s="495" t="s">
        <v>2654</v>
      </c>
      <c r="B1928" s="400" t="s">
        <v>684</v>
      </c>
      <c r="C1928" s="400" t="s">
        <v>97</v>
      </c>
      <c r="D1928" s="400">
        <v>2314</v>
      </c>
      <c r="E1928" s="400">
        <v>15</v>
      </c>
      <c r="F1928" s="400" t="s">
        <v>2655</v>
      </c>
      <c r="G1928" s="400" t="s">
        <v>2221</v>
      </c>
      <c r="H1928" s="1238"/>
    </row>
    <row r="1929" spans="1:8" hidden="1">
      <c r="A1929" s="495" t="s">
        <v>2654</v>
      </c>
      <c r="B1929" s="400" t="s">
        <v>684</v>
      </c>
      <c r="C1929" s="400" t="s">
        <v>97</v>
      </c>
      <c r="D1929" s="400">
        <v>2315</v>
      </c>
      <c r="E1929" s="400">
        <v>15</v>
      </c>
      <c r="F1929" s="400" t="s">
        <v>2655</v>
      </c>
      <c r="G1929" s="400" t="s">
        <v>2221</v>
      </c>
      <c r="H1929" s="1238"/>
    </row>
    <row r="1930" spans="1:8" hidden="1">
      <c r="A1930" s="495" t="s">
        <v>2654</v>
      </c>
      <c r="B1930" s="400" t="s">
        <v>684</v>
      </c>
      <c r="C1930" s="400" t="s">
        <v>97</v>
      </c>
      <c r="D1930" s="400">
        <v>2316</v>
      </c>
      <c r="E1930" s="400">
        <v>15</v>
      </c>
      <c r="F1930" s="400" t="s">
        <v>2655</v>
      </c>
      <c r="G1930" s="400" t="s">
        <v>2221</v>
      </c>
      <c r="H1930" s="1238"/>
    </row>
    <row r="1931" spans="1:8" hidden="1">
      <c r="A1931" s="495" t="s">
        <v>2654</v>
      </c>
      <c r="B1931" s="400" t="s">
        <v>684</v>
      </c>
      <c r="C1931" s="400" t="s">
        <v>97</v>
      </c>
      <c r="D1931" s="400">
        <v>2317</v>
      </c>
      <c r="E1931" s="400">
        <v>15</v>
      </c>
      <c r="F1931" s="400" t="s">
        <v>2655</v>
      </c>
      <c r="G1931" s="400" t="s">
        <v>2221</v>
      </c>
      <c r="H1931" s="1238"/>
    </row>
    <row r="1932" spans="1:8" hidden="1">
      <c r="A1932" s="495" t="s">
        <v>2654</v>
      </c>
      <c r="B1932" s="400" t="s">
        <v>684</v>
      </c>
      <c r="C1932" s="400" t="s">
        <v>97</v>
      </c>
      <c r="D1932" s="400">
        <v>2318</v>
      </c>
      <c r="E1932" s="400">
        <v>15</v>
      </c>
      <c r="F1932" s="400" t="s">
        <v>2655</v>
      </c>
      <c r="G1932" s="400" t="s">
        <v>2221</v>
      </c>
      <c r="H1932" s="1238"/>
    </row>
    <row r="1933" spans="1:8" hidden="1">
      <c r="A1933" s="495" t="s">
        <v>2654</v>
      </c>
      <c r="B1933" s="400" t="s">
        <v>684</v>
      </c>
      <c r="C1933" s="400" t="s">
        <v>97</v>
      </c>
      <c r="D1933" s="400">
        <v>2319</v>
      </c>
      <c r="E1933" s="400">
        <v>15</v>
      </c>
      <c r="F1933" s="400" t="s">
        <v>2655</v>
      </c>
      <c r="G1933" s="400" t="s">
        <v>2221</v>
      </c>
      <c r="H1933" s="1238"/>
    </row>
    <row r="1934" spans="1:8" hidden="1">
      <c r="A1934" s="495" t="s">
        <v>2654</v>
      </c>
      <c r="B1934" s="400" t="s">
        <v>684</v>
      </c>
      <c r="C1934" s="400" t="s">
        <v>97</v>
      </c>
      <c r="D1934" s="400">
        <v>2320</v>
      </c>
      <c r="E1934" s="400">
        <v>15</v>
      </c>
      <c r="F1934" s="400" t="s">
        <v>2655</v>
      </c>
      <c r="G1934" s="400" t="s">
        <v>2221</v>
      </c>
      <c r="H1934" s="1238"/>
    </row>
    <row r="1935" spans="1:8" hidden="1">
      <c r="A1935" s="495" t="s">
        <v>2654</v>
      </c>
      <c r="B1935" s="400" t="s">
        <v>684</v>
      </c>
      <c r="C1935" s="400" t="s">
        <v>97</v>
      </c>
      <c r="D1935" s="400">
        <v>2321</v>
      </c>
      <c r="E1935" s="400">
        <v>15</v>
      </c>
      <c r="F1935" s="400" t="s">
        <v>2655</v>
      </c>
      <c r="G1935" s="400" t="s">
        <v>2221</v>
      </c>
      <c r="H1935" s="1238"/>
    </row>
    <row r="1936" spans="1:8" hidden="1">
      <c r="A1936" s="495" t="s">
        <v>2654</v>
      </c>
      <c r="B1936" s="400" t="s">
        <v>684</v>
      </c>
      <c r="C1936" s="400" t="s">
        <v>97</v>
      </c>
      <c r="D1936" s="400">
        <v>2322</v>
      </c>
      <c r="E1936" s="400">
        <v>15</v>
      </c>
      <c r="F1936" s="400" t="s">
        <v>2655</v>
      </c>
      <c r="G1936" s="400" t="s">
        <v>2221</v>
      </c>
      <c r="H1936" s="1238"/>
    </row>
    <row r="1937" spans="1:8" hidden="1">
      <c r="A1937" s="495" t="s">
        <v>2654</v>
      </c>
      <c r="B1937" s="400" t="s">
        <v>684</v>
      </c>
      <c r="C1937" s="400" t="s">
        <v>97</v>
      </c>
      <c r="D1937" s="400">
        <v>2323</v>
      </c>
      <c r="E1937" s="400">
        <v>15</v>
      </c>
      <c r="F1937" s="400" t="s">
        <v>2655</v>
      </c>
      <c r="G1937" s="400" t="s">
        <v>2221</v>
      </c>
      <c r="H1937" s="1238"/>
    </row>
    <row r="1938" spans="1:8" hidden="1">
      <c r="A1938" s="495" t="s">
        <v>2654</v>
      </c>
      <c r="B1938" s="400" t="s">
        <v>684</v>
      </c>
      <c r="C1938" s="400" t="s">
        <v>97</v>
      </c>
      <c r="D1938" s="400">
        <v>2324</v>
      </c>
      <c r="E1938" s="400">
        <v>15</v>
      </c>
      <c r="F1938" s="400" t="s">
        <v>2655</v>
      </c>
      <c r="G1938" s="400" t="s">
        <v>2221</v>
      </c>
      <c r="H1938" s="1238"/>
    </row>
    <row r="1939" spans="1:8" hidden="1">
      <c r="A1939" s="495" t="s">
        <v>2654</v>
      </c>
      <c r="B1939" s="400" t="s">
        <v>684</v>
      </c>
      <c r="C1939" s="400" t="s">
        <v>97</v>
      </c>
      <c r="D1939" s="400">
        <v>2325</v>
      </c>
      <c r="E1939" s="400">
        <v>15</v>
      </c>
      <c r="F1939" s="400" t="s">
        <v>2655</v>
      </c>
      <c r="G1939" s="400" t="s">
        <v>2221</v>
      </c>
      <c r="H1939" s="1238"/>
    </row>
    <row r="1940" spans="1:8" hidden="1">
      <c r="A1940" s="495" t="s">
        <v>2654</v>
      </c>
      <c r="B1940" s="400" t="s">
        <v>684</v>
      </c>
      <c r="C1940" s="400" t="s">
        <v>97</v>
      </c>
      <c r="D1940" s="400">
        <v>2326</v>
      </c>
      <c r="E1940" s="400">
        <v>15</v>
      </c>
      <c r="F1940" s="400" t="s">
        <v>2655</v>
      </c>
      <c r="G1940" s="400" t="s">
        <v>2221</v>
      </c>
      <c r="H1940" s="1238"/>
    </row>
    <row r="1941" spans="1:8" hidden="1">
      <c r="A1941" s="495" t="s">
        <v>2654</v>
      </c>
      <c r="B1941" s="400" t="s">
        <v>684</v>
      </c>
      <c r="C1941" s="400" t="s">
        <v>97</v>
      </c>
      <c r="D1941" s="400">
        <v>2327</v>
      </c>
      <c r="E1941" s="400">
        <v>15</v>
      </c>
      <c r="F1941" s="400" t="s">
        <v>2655</v>
      </c>
      <c r="G1941" s="400" t="s">
        <v>2221</v>
      </c>
      <c r="H1941" s="1238"/>
    </row>
    <row r="1942" spans="1:8" hidden="1">
      <c r="A1942" s="495" t="s">
        <v>2654</v>
      </c>
      <c r="B1942" s="400" t="s">
        <v>684</v>
      </c>
      <c r="C1942" s="400" t="s">
        <v>97</v>
      </c>
      <c r="D1942" s="400">
        <v>2328</v>
      </c>
      <c r="E1942" s="400">
        <v>15</v>
      </c>
      <c r="F1942" s="400" t="s">
        <v>2655</v>
      </c>
      <c r="G1942" s="400" t="s">
        <v>2221</v>
      </c>
      <c r="H1942" s="1238"/>
    </row>
    <row r="1943" spans="1:8" hidden="1">
      <c r="A1943" s="495" t="s">
        <v>2654</v>
      </c>
      <c r="B1943" s="400" t="s">
        <v>684</v>
      </c>
      <c r="C1943" s="400" t="s">
        <v>97</v>
      </c>
      <c r="D1943" s="400">
        <v>2329</v>
      </c>
      <c r="E1943" s="400">
        <v>15</v>
      </c>
      <c r="F1943" s="400" t="s">
        <v>2655</v>
      </c>
      <c r="G1943" s="400" t="s">
        <v>2221</v>
      </c>
      <c r="H1943" s="1238"/>
    </row>
    <row r="1944" spans="1:8" hidden="1">
      <c r="A1944" s="495" t="s">
        <v>2654</v>
      </c>
      <c r="B1944" s="400" t="s">
        <v>684</v>
      </c>
      <c r="C1944" s="400" t="s">
        <v>97</v>
      </c>
      <c r="D1944" s="400">
        <v>2330</v>
      </c>
      <c r="E1944" s="400">
        <v>15</v>
      </c>
      <c r="F1944" s="400" t="s">
        <v>2655</v>
      </c>
      <c r="G1944" s="400" t="s">
        <v>2221</v>
      </c>
      <c r="H1944" s="1238"/>
    </row>
    <row r="1945" spans="1:8" hidden="1">
      <c r="A1945" s="495" t="s">
        <v>2654</v>
      </c>
      <c r="B1945" s="400" t="s">
        <v>684</v>
      </c>
      <c r="C1945" s="400" t="s">
        <v>97</v>
      </c>
      <c r="D1945" s="400">
        <v>2331</v>
      </c>
      <c r="E1945" s="400">
        <v>15</v>
      </c>
      <c r="F1945" s="400" t="s">
        <v>2655</v>
      </c>
      <c r="G1945" s="400" t="s">
        <v>2221</v>
      </c>
      <c r="H1945" s="1238"/>
    </row>
    <row r="1946" spans="1:8" hidden="1">
      <c r="A1946" s="495" t="s">
        <v>2654</v>
      </c>
      <c r="B1946" s="400" t="s">
        <v>684</v>
      </c>
      <c r="C1946" s="400" t="s">
        <v>97</v>
      </c>
      <c r="D1946" s="400">
        <v>2332</v>
      </c>
      <c r="E1946" s="400">
        <v>15</v>
      </c>
      <c r="F1946" s="400" t="s">
        <v>2655</v>
      </c>
      <c r="G1946" s="400" t="s">
        <v>2221</v>
      </c>
      <c r="H1946" s="1238"/>
    </row>
    <row r="1947" spans="1:8" hidden="1">
      <c r="A1947" s="495" t="s">
        <v>2654</v>
      </c>
      <c r="B1947" s="400" t="s">
        <v>684</v>
      </c>
      <c r="C1947" s="400" t="s">
        <v>97</v>
      </c>
      <c r="D1947" s="400">
        <v>2333</v>
      </c>
      <c r="E1947" s="400">
        <v>15</v>
      </c>
      <c r="F1947" s="400" t="s">
        <v>2655</v>
      </c>
      <c r="G1947" s="400" t="s">
        <v>2221</v>
      </c>
      <c r="H1947" s="1238"/>
    </row>
    <row r="1948" spans="1:8" hidden="1">
      <c r="A1948" s="495" t="s">
        <v>2654</v>
      </c>
      <c r="B1948" s="400" t="s">
        <v>684</v>
      </c>
      <c r="C1948" s="400" t="s">
        <v>97</v>
      </c>
      <c r="D1948" s="400">
        <v>2334</v>
      </c>
      <c r="E1948" s="400">
        <v>15</v>
      </c>
      <c r="F1948" s="400" t="s">
        <v>2655</v>
      </c>
      <c r="G1948" s="400" t="s">
        <v>2221</v>
      </c>
      <c r="H1948" s="1238"/>
    </row>
    <row r="1949" spans="1:8" hidden="1">
      <c r="A1949" s="495" t="s">
        <v>2654</v>
      </c>
      <c r="B1949" s="400" t="s">
        <v>684</v>
      </c>
      <c r="C1949" s="400" t="s">
        <v>97</v>
      </c>
      <c r="D1949" s="400">
        <v>2335</v>
      </c>
      <c r="E1949" s="400">
        <v>15</v>
      </c>
      <c r="F1949" s="400" t="s">
        <v>2655</v>
      </c>
      <c r="G1949" s="400" t="s">
        <v>2221</v>
      </c>
      <c r="H1949" s="1238"/>
    </row>
    <row r="1950" spans="1:8" hidden="1">
      <c r="A1950" s="495" t="s">
        <v>2654</v>
      </c>
      <c r="B1950" s="400" t="s">
        <v>684</v>
      </c>
      <c r="C1950" s="400" t="s">
        <v>97</v>
      </c>
      <c r="D1950" s="400">
        <v>2336</v>
      </c>
      <c r="E1950" s="400">
        <v>15</v>
      </c>
      <c r="F1950" s="400" t="s">
        <v>2655</v>
      </c>
      <c r="G1950" s="400" t="s">
        <v>2221</v>
      </c>
      <c r="H1950" s="1238"/>
    </row>
    <row r="1951" spans="1:8" hidden="1">
      <c r="A1951" s="495" t="s">
        <v>2654</v>
      </c>
      <c r="B1951" s="400" t="s">
        <v>684</v>
      </c>
      <c r="C1951" s="400" t="s">
        <v>97</v>
      </c>
      <c r="D1951" s="400">
        <v>2337</v>
      </c>
      <c r="E1951" s="400">
        <v>15</v>
      </c>
      <c r="F1951" s="400" t="s">
        <v>2655</v>
      </c>
      <c r="G1951" s="400" t="s">
        <v>2221</v>
      </c>
      <c r="H1951" s="1238"/>
    </row>
    <row r="1952" spans="1:8" hidden="1">
      <c r="A1952" s="495" t="s">
        <v>2654</v>
      </c>
      <c r="B1952" s="400" t="s">
        <v>684</v>
      </c>
      <c r="C1952" s="400" t="s">
        <v>97</v>
      </c>
      <c r="D1952" s="400">
        <v>2338</v>
      </c>
      <c r="E1952" s="400">
        <v>15</v>
      </c>
      <c r="F1952" s="400" t="s">
        <v>2655</v>
      </c>
      <c r="G1952" s="400" t="s">
        <v>2221</v>
      </c>
      <c r="H1952" s="1238"/>
    </row>
    <row r="1953" spans="1:8" hidden="1">
      <c r="A1953" s="495" t="s">
        <v>2654</v>
      </c>
      <c r="B1953" s="400" t="s">
        <v>684</v>
      </c>
      <c r="C1953" s="400" t="s">
        <v>97</v>
      </c>
      <c r="D1953" s="400">
        <v>2339</v>
      </c>
      <c r="E1953" s="400">
        <v>15</v>
      </c>
      <c r="F1953" s="400" t="s">
        <v>2655</v>
      </c>
      <c r="G1953" s="400" t="s">
        <v>2221</v>
      </c>
      <c r="H1953" s="1238"/>
    </row>
    <row r="1954" spans="1:8" hidden="1">
      <c r="A1954" s="495" t="s">
        <v>2654</v>
      </c>
      <c r="B1954" s="400" t="s">
        <v>684</v>
      </c>
      <c r="C1954" s="400" t="s">
        <v>97</v>
      </c>
      <c r="D1954" s="400">
        <v>2340</v>
      </c>
      <c r="E1954" s="400">
        <v>15</v>
      </c>
      <c r="F1954" s="400" t="s">
        <v>2655</v>
      </c>
      <c r="G1954" s="400" t="s">
        <v>2221</v>
      </c>
      <c r="H1954" s="1238"/>
    </row>
    <row r="1955" spans="1:8" hidden="1">
      <c r="A1955" s="495" t="s">
        <v>2654</v>
      </c>
      <c r="B1955" s="400" t="s">
        <v>684</v>
      </c>
      <c r="C1955" s="400" t="s">
        <v>97</v>
      </c>
      <c r="D1955" s="400">
        <v>2341</v>
      </c>
      <c r="E1955" s="400">
        <v>15</v>
      </c>
      <c r="F1955" s="400" t="s">
        <v>2655</v>
      </c>
      <c r="G1955" s="400" t="s">
        <v>2221</v>
      </c>
      <c r="H1955" s="1238"/>
    </row>
    <row r="1956" spans="1:8" hidden="1">
      <c r="A1956" s="495" t="s">
        <v>2654</v>
      </c>
      <c r="B1956" s="400" t="s">
        <v>684</v>
      </c>
      <c r="C1956" s="400" t="s">
        <v>97</v>
      </c>
      <c r="D1956" s="400">
        <v>2342</v>
      </c>
      <c r="E1956" s="400">
        <v>15</v>
      </c>
      <c r="F1956" s="400" t="s">
        <v>2655</v>
      </c>
      <c r="G1956" s="400" t="s">
        <v>2221</v>
      </c>
      <c r="H1956" s="1238"/>
    </row>
    <row r="1957" spans="1:8" hidden="1">
      <c r="A1957" s="495" t="s">
        <v>2654</v>
      </c>
      <c r="B1957" s="400" t="s">
        <v>684</v>
      </c>
      <c r="C1957" s="400" t="s">
        <v>97</v>
      </c>
      <c r="D1957" s="400">
        <v>2343</v>
      </c>
      <c r="E1957" s="400">
        <v>15</v>
      </c>
      <c r="F1957" s="400" t="s">
        <v>2655</v>
      </c>
      <c r="G1957" s="400" t="s">
        <v>2221</v>
      </c>
      <c r="H1957" s="1238"/>
    </row>
    <row r="1958" spans="1:8" hidden="1">
      <c r="A1958" s="495" t="s">
        <v>2654</v>
      </c>
      <c r="B1958" s="400" t="s">
        <v>684</v>
      </c>
      <c r="C1958" s="400" t="s">
        <v>97</v>
      </c>
      <c r="D1958" s="400">
        <v>2344</v>
      </c>
      <c r="E1958" s="400">
        <v>15</v>
      </c>
      <c r="F1958" s="400" t="s">
        <v>2655</v>
      </c>
      <c r="G1958" s="400" t="s">
        <v>2221</v>
      </c>
      <c r="H1958" s="1238"/>
    </row>
    <row r="1959" spans="1:8" hidden="1">
      <c r="A1959" s="495" t="s">
        <v>2654</v>
      </c>
      <c r="B1959" s="400" t="s">
        <v>684</v>
      </c>
      <c r="C1959" s="400" t="s">
        <v>97</v>
      </c>
      <c r="D1959" s="400">
        <v>2345</v>
      </c>
      <c r="E1959" s="400">
        <v>15</v>
      </c>
      <c r="F1959" s="400" t="s">
        <v>2655</v>
      </c>
      <c r="G1959" s="400" t="s">
        <v>2221</v>
      </c>
      <c r="H1959" s="1238"/>
    </row>
    <row r="1960" spans="1:8" hidden="1">
      <c r="A1960" s="495" t="s">
        <v>2654</v>
      </c>
      <c r="B1960" s="400" t="s">
        <v>684</v>
      </c>
      <c r="C1960" s="400" t="s">
        <v>97</v>
      </c>
      <c r="D1960" s="400">
        <v>2346</v>
      </c>
      <c r="E1960" s="400">
        <v>15</v>
      </c>
      <c r="F1960" s="400" t="s">
        <v>2655</v>
      </c>
      <c r="G1960" s="400" t="s">
        <v>2221</v>
      </c>
      <c r="H1960" s="1238"/>
    </row>
    <row r="1961" spans="1:8" hidden="1">
      <c r="A1961" s="495" t="s">
        <v>2654</v>
      </c>
      <c r="B1961" s="400" t="s">
        <v>684</v>
      </c>
      <c r="C1961" s="400" t="s">
        <v>97</v>
      </c>
      <c r="D1961" s="400">
        <v>2347</v>
      </c>
      <c r="E1961" s="400">
        <v>15</v>
      </c>
      <c r="F1961" s="400" t="s">
        <v>2655</v>
      </c>
      <c r="G1961" s="400" t="s">
        <v>2221</v>
      </c>
      <c r="H1961" s="1238"/>
    </row>
    <row r="1962" spans="1:8" hidden="1">
      <c r="A1962" s="495" t="s">
        <v>2654</v>
      </c>
      <c r="B1962" s="400" t="s">
        <v>684</v>
      </c>
      <c r="C1962" s="400" t="s">
        <v>97</v>
      </c>
      <c r="D1962" s="400">
        <v>2348</v>
      </c>
      <c r="E1962" s="400">
        <v>15</v>
      </c>
      <c r="F1962" s="400" t="s">
        <v>2655</v>
      </c>
      <c r="G1962" s="400" t="s">
        <v>2221</v>
      </c>
      <c r="H1962" s="1238"/>
    </row>
    <row r="1963" spans="1:8" hidden="1">
      <c r="A1963" s="495" t="s">
        <v>2654</v>
      </c>
      <c r="B1963" s="400" t="s">
        <v>684</v>
      </c>
      <c r="C1963" s="400" t="s">
        <v>97</v>
      </c>
      <c r="D1963" s="400">
        <v>2349</v>
      </c>
      <c r="E1963" s="400">
        <v>15</v>
      </c>
      <c r="F1963" s="400" t="s">
        <v>2655</v>
      </c>
      <c r="G1963" s="400" t="s">
        <v>2221</v>
      </c>
      <c r="H1963" s="1238"/>
    </row>
    <row r="1964" spans="1:8" hidden="1">
      <c r="A1964" s="495" t="s">
        <v>2654</v>
      </c>
      <c r="B1964" s="400" t="s">
        <v>684</v>
      </c>
      <c r="C1964" s="400" t="s">
        <v>97</v>
      </c>
      <c r="D1964" s="400">
        <v>2350</v>
      </c>
      <c r="E1964" s="400">
        <v>15</v>
      </c>
      <c r="F1964" s="400" t="s">
        <v>2655</v>
      </c>
      <c r="G1964" s="400" t="s">
        <v>2221</v>
      </c>
      <c r="H1964" s="1238"/>
    </row>
    <row r="1965" spans="1:8" hidden="1">
      <c r="A1965" s="495" t="s">
        <v>2654</v>
      </c>
      <c r="B1965" s="400" t="s">
        <v>684</v>
      </c>
      <c r="C1965" s="400" t="s">
        <v>97</v>
      </c>
      <c r="D1965" s="400">
        <v>2351</v>
      </c>
      <c r="E1965" s="400">
        <v>15</v>
      </c>
      <c r="F1965" s="400" t="s">
        <v>2655</v>
      </c>
      <c r="G1965" s="400" t="s">
        <v>2221</v>
      </c>
      <c r="H1965" s="1238"/>
    </row>
    <row r="1966" spans="1:8" hidden="1">
      <c r="A1966" s="495" t="s">
        <v>2654</v>
      </c>
      <c r="B1966" s="400" t="s">
        <v>684</v>
      </c>
      <c r="C1966" s="400" t="s">
        <v>97</v>
      </c>
      <c r="D1966" s="400">
        <v>2352</v>
      </c>
      <c r="E1966" s="400">
        <v>15</v>
      </c>
      <c r="F1966" s="400" t="s">
        <v>2655</v>
      </c>
      <c r="G1966" s="400" t="s">
        <v>2221</v>
      </c>
      <c r="H1966" s="1238"/>
    </row>
    <row r="1967" spans="1:8" hidden="1">
      <c r="A1967" s="495" t="s">
        <v>2654</v>
      </c>
      <c r="B1967" s="400" t="s">
        <v>684</v>
      </c>
      <c r="C1967" s="400" t="s">
        <v>97</v>
      </c>
      <c r="D1967" s="400">
        <v>2353</v>
      </c>
      <c r="E1967" s="400">
        <v>15</v>
      </c>
      <c r="F1967" s="400" t="s">
        <v>2655</v>
      </c>
      <c r="G1967" s="400" t="s">
        <v>2221</v>
      </c>
      <c r="H1967" s="1238"/>
    </row>
    <row r="1968" spans="1:8" hidden="1">
      <c r="A1968" s="495" t="s">
        <v>2654</v>
      </c>
      <c r="B1968" s="400" t="s">
        <v>684</v>
      </c>
      <c r="C1968" s="400" t="s">
        <v>97</v>
      </c>
      <c r="D1968" s="400">
        <v>2354</v>
      </c>
      <c r="E1968" s="400">
        <v>15</v>
      </c>
      <c r="F1968" s="400" t="s">
        <v>2655</v>
      </c>
      <c r="G1968" s="400" t="s">
        <v>2221</v>
      </c>
      <c r="H1968" s="1238"/>
    </row>
    <row r="1969" spans="1:8" hidden="1">
      <c r="A1969" s="495" t="s">
        <v>2654</v>
      </c>
      <c r="B1969" s="400" t="s">
        <v>684</v>
      </c>
      <c r="C1969" s="400" t="s">
        <v>97</v>
      </c>
      <c r="D1969" s="400">
        <v>2355</v>
      </c>
      <c r="E1969" s="400">
        <v>15</v>
      </c>
      <c r="F1969" s="400" t="s">
        <v>2655</v>
      </c>
      <c r="G1969" s="400" t="s">
        <v>2221</v>
      </c>
      <c r="H1969" s="1238"/>
    </row>
    <row r="1970" spans="1:8" hidden="1">
      <c r="A1970" s="495" t="s">
        <v>2654</v>
      </c>
      <c r="B1970" s="400" t="s">
        <v>684</v>
      </c>
      <c r="C1970" s="400" t="s">
        <v>97</v>
      </c>
      <c r="D1970" s="400">
        <v>2356</v>
      </c>
      <c r="E1970" s="400">
        <v>15</v>
      </c>
      <c r="F1970" s="400" t="s">
        <v>2655</v>
      </c>
      <c r="G1970" s="400" t="s">
        <v>2221</v>
      </c>
      <c r="H1970" s="1238"/>
    </row>
    <row r="1971" spans="1:8" hidden="1">
      <c r="A1971" s="495" t="s">
        <v>2654</v>
      </c>
      <c r="B1971" s="400" t="s">
        <v>684</v>
      </c>
      <c r="C1971" s="400" t="s">
        <v>97</v>
      </c>
      <c r="D1971" s="400">
        <v>2357</v>
      </c>
      <c r="E1971" s="400">
        <v>15</v>
      </c>
      <c r="F1971" s="400" t="s">
        <v>2655</v>
      </c>
      <c r="G1971" s="400" t="s">
        <v>2221</v>
      </c>
      <c r="H1971" s="1238"/>
    </row>
    <row r="1972" spans="1:8" hidden="1">
      <c r="A1972" s="495" t="s">
        <v>2654</v>
      </c>
      <c r="B1972" s="400" t="s">
        <v>684</v>
      </c>
      <c r="C1972" s="400" t="s">
        <v>97</v>
      </c>
      <c r="D1972" s="400">
        <v>2358</v>
      </c>
      <c r="E1972" s="400">
        <v>15</v>
      </c>
      <c r="F1972" s="400" t="s">
        <v>2655</v>
      </c>
      <c r="G1972" s="400" t="s">
        <v>2221</v>
      </c>
      <c r="H1972" s="1238"/>
    </row>
    <row r="1973" spans="1:8" hidden="1">
      <c r="A1973" s="495" t="s">
        <v>2654</v>
      </c>
      <c r="B1973" s="400" t="s">
        <v>684</v>
      </c>
      <c r="C1973" s="400" t="s">
        <v>97</v>
      </c>
      <c r="D1973" s="400">
        <v>2359</v>
      </c>
      <c r="E1973" s="400">
        <v>15</v>
      </c>
      <c r="F1973" s="400" t="s">
        <v>2655</v>
      </c>
      <c r="G1973" s="400" t="s">
        <v>2221</v>
      </c>
      <c r="H1973" s="1238"/>
    </row>
    <row r="1974" spans="1:8" hidden="1">
      <c r="A1974" s="495" t="s">
        <v>2654</v>
      </c>
      <c r="B1974" s="400" t="s">
        <v>684</v>
      </c>
      <c r="C1974" s="400" t="s">
        <v>97</v>
      </c>
      <c r="D1974" s="400">
        <v>2360</v>
      </c>
      <c r="E1974" s="400">
        <v>15</v>
      </c>
      <c r="F1974" s="400" t="s">
        <v>2655</v>
      </c>
      <c r="G1974" s="400" t="s">
        <v>2221</v>
      </c>
      <c r="H1974" s="1238"/>
    </row>
    <row r="1975" spans="1:8" hidden="1">
      <c r="A1975" s="495" t="s">
        <v>2654</v>
      </c>
      <c r="B1975" s="400" t="s">
        <v>684</v>
      </c>
      <c r="C1975" s="400" t="s">
        <v>97</v>
      </c>
      <c r="D1975" s="400">
        <v>2361</v>
      </c>
      <c r="E1975" s="400">
        <v>15</v>
      </c>
      <c r="F1975" s="400" t="s">
        <v>2655</v>
      </c>
      <c r="G1975" s="400" t="s">
        <v>2221</v>
      </c>
      <c r="H1975" s="1238"/>
    </row>
    <row r="1976" spans="1:8" hidden="1">
      <c r="A1976" s="495" t="s">
        <v>2654</v>
      </c>
      <c r="B1976" s="400" t="s">
        <v>684</v>
      </c>
      <c r="C1976" s="400" t="s">
        <v>97</v>
      </c>
      <c r="D1976" s="400">
        <v>2362</v>
      </c>
      <c r="E1976" s="400">
        <v>15</v>
      </c>
      <c r="F1976" s="400" t="s">
        <v>2655</v>
      </c>
      <c r="G1976" s="400" t="s">
        <v>2221</v>
      </c>
      <c r="H1976" s="1238"/>
    </row>
    <row r="1977" spans="1:8" hidden="1">
      <c r="A1977" s="495" t="s">
        <v>2654</v>
      </c>
      <c r="B1977" s="400" t="s">
        <v>684</v>
      </c>
      <c r="C1977" s="400" t="s">
        <v>97</v>
      </c>
      <c r="D1977" s="400">
        <v>2363</v>
      </c>
      <c r="E1977" s="400">
        <v>15</v>
      </c>
      <c r="F1977" s="400" t="s">
        <v>2655</v>
      </c>
      <c r="G1977" s="400" t="s">
        <v>2221</v>
      </c>
      <c r="H1977" s="1238"/>
    </row>
    <row r="1978" spans="1:8" hidden="1">
      <c r="A1978" s="495" t="s">
        <v>2654</v>
      </c>
      <c r="B1978" s="400" t="s">
        <v>684</v>
      </c>
      <c r="C1978" s="400" t="s">
        <v>97</v>
      </c>
      <c r="D1978" s="400">
        <v>2364</v>
      </c>
      <c r="E1978" s="400">
        <v>15</v>
      </c>
      <c r="F1978" s="400" t="s">
        <v>2655</v>
      </c>
      <c r="G1978" s="400" t="s">
        <v>2221</v>
      </c>
      <c r="H1978" s="1238"/>
    </row>
    <row r="1979" spans="1:8" hidden="1">
      <c r="A1979" s="495" t="s">
        <v>2654</v>
      </c>
      <c r="B1979" s="400" t="s">
        <v>684</v>
      </c>
      <c r="C1979" s="400" t="s">
        <v>97</v>
      </c>
      <c r="D1979" s="400">
        <v>2365</v>
      </c>
      <c r="E1979" s="400">
        <v>15</v>
      </c>
      <c r="F1979" s="400" t="s">
        <v>2655</v>
      </c>
      <c r="G1979" s="400" t="s">
        <v>2221</v>
      </c>
      <c r="H1979" s="1238"/>
    </row>
    <row r="1980" spans="1:8" hidden="1">
      <c r="A1980" s="495" t="s">
        <v>2654</v>
      </c>
      <c r="B1980" s="400" t="s">
        <v>684</v>
      </c>
      <c r="C1980" s="400" t="s">
        <v>97</v>
      </c>
      <c r="D1980" s="400">
        <v>2366</v>
      </c>
      <c r="E1980" s="400">
        <v>15</v>
      </c>
      <c r="F1980" s="400" t="s">
        <v>2655</v>
      </c>
      <c r="G1980" s="400" t="s">
        <v>2221</v>
      </c>
      <c r="H1980" s="1238"/>
    </row>
    <row r="1981" spans="1:8" hidden="1">
      <c r="A1981" s="495" t="s">
        <v>2654</v>
      </c>
      <c r="B1981" s="400" t="s">
        <v>684</v>
      </c>
      <c r="C1981" s="400" t="s">
        <v>97</v>
      </c>
      <c r="D1981" s="400">
        <v>2367</v>
      </c>
      <c r="E1981" s="400">
        <v>15</v>
      </c>
      <c r="F1981" s="400" t="s">
        <v>2655</v>
      </c>
      <c r="G1981" s="400" t="s">
        <v>2221</v>
      </c>
      <c r="H1981" s="1238"/>
    </row>
    <row r="1982" spans="1:8" hidden="1">
      <c r="A1982" s="495" t="s">
        <v>2654</v>
      </c>
      <c r="B1982" s="400" t="s">
        <v>684</v>
      </c>
      <c r="C1982" s="400" t="s">
        <v>97</v>
      </c>
      <c r="D1982" s="400">
        <v>2368</v>
      </c>
      <c r="E1982" s="400">
        <v>15</v>
      </c>
      <c r="F1982" s="400" t="s">
        <v>2655</v>
      </c>
      <c r="G1982" s="400" t="s">
        <v>2221</v>
      </c>
      <c r="H1982" s="1238"/>
    </row>
    <row r="1983" spans="1:8" hidden="1">
      <c r="A1983" s="495" t="s">
        <v>2654</v>
      </c>
      <c r="B1983" s="400" t="s">
        <v>684</v>
      </c>
      <c r="C1983" s="400" t="s">
        <v>97</v>
      </c>
      <c r="D1983" s="400">
        <v>2369</v>
      </c>
      <c r="E1983" s="400">
        <v>15</v>
      </c>
      <c r="F1983" s="400" t="s">
        <v>2655</v>
      </c>
      <c r="G1983" s="400" t="s">
        <v>2221</v>
      </c>
      <c r="H1983" s="1238"/>
    </row>
    <row r="1984" spans="1:8" hidden="1">
      <c r="A1984" s="495" t="s">
        <v>2654</v>
      </c>
      <c r="B1984" s="400" t="s">
        <v>684</v>
      </c>
      <c r="C1984" s="400" t="s">
        <v>97</v>
      </c>
      <c r="D1984" s="400">
        <v>2370</v>
      </c>
      <c r="E1984" s="400">
        <v>15</v>
      </c>
      <c r="F1984" s="400" t="s">
        <v>2655</v>
      </c>
      <c r="G1984" s="400" t="s">
        <v>2221</v>
      </c>
      <c r="H1984" s="1238"/>
    </row>
    <row r="1985" spans="1:8" hidden="1">
      <c r="A1985" s="495" t="s">
        <v>2654</v>
      </c>
      <c r="B1985" s="400" t="s">
        <v>684</v>
      </c>
      <c r="C1985" s="400" t="s">
        <v>97</v>
      </c>
      <c r="D1985" s="400">
        <v>2371</v>
      </c>
      <c r="E1985" s="400">
        <v>15</v>
      </c>
      <c r="F1985" s="400" t="s">
        <v>2655</v>
      </c>
      <c r="G1985" s="400" t="s">
        <v>2221</v>
      </c>
      <c r="H1985" s="1238"/>
    </row>
    <row r="1986" spans="1:8" hidden="1">
      <c r="A1986" s="495" t="s">
        <v>2654</v>
      </c>
      <c r="B1986" s="400" t="s">
        <v>684</v>
      </c>
      <c r="C1986" s="400" t="s">
        <v>97</v>
      </c>
      <c r="D1986" s="400">
        <v>2372</v>
      </c>
      <c r="E1986" s="400">
        <v>15</v>
      </c>
      <c r="F1986" s="400" t="s">
        <v>2655</v>
      </c>
      <c r="G1986" s="400" t="s">
        <v>2221</v>
      </c>
      <c r="H1986" s="1238"/>
    </row>
    <row r="1987" spans="1:8" hidden="1">
      <c r="A1987" s="495" t="s">
        <v>2654</v>
      </c>
      <c r="B1987" s="400" t="s">
        <v>684</v>
      </c>
      <c r="C1987" s="400" t="s">
        <v>97</v>
      </c>
      <c r="D1987" s="400">
        <v>2373</v>
      </c>
      <c r="E1987" s="400">
        <v>15</v>
      </c>
      <c r="F1987" s="400" t="s">
        <v>2655</v>
      </c>
      <c r="G1987" s="400" t="s">
        <v>2221</v>
      </c>
      <c r="H1987" s="1238"/>
    </row>
    <row r="1988" spans="1:8" hidden="1">
      <c r="A1988" s="495" t="s">
        <v>2654</v>
      </c>
      <c r="B1988" s="400" t="s">
        <v>684</v>
      </c>
      <c r="C1988" s="400" t="s">
        <v>97</v>
      </c>
      <c r="D1988" s="400">
        <v>2374</v>
      </c>
      <c r="E1988" s="400">
        <v>15</v>
      </c>
      <c r="F1988" s="400" t="s">
        <v>2655</v>
      </c>
      <c r="G1988" s="400" t="s">
        <v>2221</v>
      </c>
      <c r="H1988" s="1238"/>
    </row>
    <row r="1989" spans="1:8" hidden="1">
      <c r="A1989" s="495" t="s">
        <v>2654</v>
      </c>
      <c r="B1989" s="400" t="s">
        <v>684</v>
      </c>
      <c r="C1989" s="400" t="s">
        <v>97</v>
      </c>
      <c r="D1989" s="400">
        <v>2375</v>
      </c>
      <c r="E1989" s="400">
        <v>15</v>
      </c>
      <c r="F1989" s="400" t="s">
        <v>2655</v>
      </c>
      <c r="G1989" s="400" t="s">
        <v>2221</v>
      </c>
      <c r="H1989" s="1238"/>
    </row>
    <row r="1990" spans="1:8" hidden="1">
      <c r="A1990" s="495" t="s">
        <v>2654</v>
      </c>
      <c r="B1990" s="400" t="s">
        <v>684</v>
      </c>
      <c r="C1990" s="400" t="s">
        <v>97</v>
      </c>
      <c r="D1990" s="400">
        <v>2376</v>
      </c>
      <c r="E1990" s="400">
        <v>15</v>
      </c>
      <c r="F1990" s="400" t="s">
        <v>2655</v>
      </c>
      <c r="G1990" s="400" t="s">
        <v>2221</v>
      </c>
      <c r="H1990" s="1238"/>
    </row>
    <row r="1991" spans="1:8" hidden="1">
      <c r="A1991" s="495" t="s">
        <v>2654</v>
      </c>
      <c r="B1991" s="400" t="s">
        <v>684</v>
      </c>
      <c r="C1991" s="400" t="s">
        <v>97</v>
      </c>
      <c r="D1991" s="400">
        <v>2377</v>
      </c>
      <c r="E1991" s="400">
        <v>15</v>
      </c>
      <c r="F1991" s="400" t="s">
        <v>2655</v>
      </c>
      <c r="G1991" s="400" t="s">
        <v>2221</v>
      </c>
      <c r="H1991" s="1238"/>
    </row>
    <row r="1992" spans="1:8" hidden="1">
      <c r="A1992" s="495" t="s">
        <v>2654</v>
      </c>
      <c r="B1992" s="400" t="s">
        <v>684</v>
      </c>
      <c r="C1992" s="400" t="s">
        <v>97</v>
      </c>
      <c r="D1992" s="400">
        <v>2378</v>
      </c>
      <c r="E1992" s="400">
        <v>15</v>
      </c>
      <c r="F1992" s="400" t="s">
        <v>2655</v>
      </c>
      <c r="G1992" s="400" t="s">
        <v>2221</v>
      </c>
      <c r="H1992" s="1238"/>
    </row>
    <row r="1993" spans="1:8" hidden="1">
      <c r="A1993" s="495" t="s">
        <v>2654</v>
      </c>
      <c r="B1993" s="400" t="s">
        <v>684</v>
      </c>
      <c r="C1993" s="400" t="s">
        <v>97</v>
      </c>
      <c r="D1993" s="400">
        <v>2379</v>
      </c>
      <c r="E1993" s="400">
        <v>15</v>
      </c>
      <c r="F1993" s="400" t="s">
        <v>2655</v>
      </c>
      <c r="G1993" s="400" t="s">
        <v>2221</v>
      </c>
      <c r="H1993" s="1238"/>
    </row>
    <row r="1994" spans="1:8" hidden="1">
      <c r="A1994" s="495" t="s">
        <v>2654</v>
      </c>
      <c r="B1994" s="400" t="s">
        <v>684</v>
      </c>
      <c r="C1994" s="400" t="s">
        <v>97</v>
      </c>
      <c r="D1994" s="400">
        <v>2380</v>
      </c>
      <c r="E1994" s="400">
        <v>15</v>
      </c>
      <c r="F1994" s="400" t="s">
        <v>2655</v>
      </c>
      <c r="G1994" s="400" t="s">
        <v>2221</v>
      </c>
      <c r="H1994" s="1238"/>
    </row>
    <row r="1995" spans="1:8" hidden="1">
      <c r="A1995" s="495" t="s">
        <v>2654</v>
      </c>
      <c r="B1995" s="400" t="s">
        <v>684</v>
      </c>
      <c r="C1995" s="400" t="s">
        <v>97</v>
      </c>
      <c r="D1995" s="400">
        <v>2381</v>
      </c>
      <c r="E1995" s="400">
        <v>15</v>
      </c>
      <c r="F1995" s="400" t="s">
        <v>2655</v>
      </c>
      <c r="G1995" s="400" t="s">
        <v>2221</v>
      </c>
      <c r="H1995" s="1238"/>
    </row>
    <row r="1996" spans="1:8" hidden="1">
      <c r="A1996" s="495" t="s">
        <v>2654</v>
      </c>
      <c r="B1996" s="400" t="s">
        <v>684</v>
      </c>
      <c r="C1996" s="400" t="s">
        <v>97</v>
      </c>
      <c r="D1996" s="400">
        <v>2382</v>
      </c>
      <c r="E1996" s="400">
        <v>15</v>
      </c>
      <c r="F1996" s="400" t="s">
        <v>2655</v>
      </c>
      <c r="G1996" s="400" t="s">
        <v>2221</v>
      </c>
      <c r="H1996" s="1238"/>
    </row>
    <row r="1997" spans="1:8" hidden="1">
      <c r="A1997" s="495" t="s">
        <v>2654</v>
      </c>
      <c r="B1997" s="400" t="s">
        <v>684</v>
      </c>
      <c r="C1997" s="400" t="s">
        <v>97</v>
      </c>
      <c r="D1997" s="400">
        <v>2383</v>
      </c>
      <c r="E1997" s="400">
        <v>15</v>
      </c>
      <c r="F1997" s="400" t="s">
        <v>2655</v>
      </c>
      <c r="G1997" s="400" t="s">
        <v>2221</v>
      </c>
      <c r="H1997" s="1238"/>
    </row>
    <row r="1998" spans="1:8" hidden="1">
      <c r="A1998" s="495" t="s">
        <v>2654</v>
      </c>
      <c r="B1998" s="400" t="s">
        <v>684</v>
      </c>
      <c r="C1998" s="400" t="s">
        <v>97</v>
      </c>
      <c r="D1998" s="400">
        <v>2384</v>
      </c>
      <c r="E1998" s="400">
        <v>15</v>
      </c>
      <c r="F1998" s="400" t="s">
        <v>2655</v>
      </c>
      <c r="G1998" s="400" t="s">
        <v>2221</v>
      </c>
      <c r="H1998" s="1238"/>
    </row>
    <row r="1999" spans="1:8" hidden="1">
      <c r="A1999" s="495" t="s">
        <v>2654</v>
      </c>
      <c r="B1999" s="400" t="s">
        <v>684</v>
      </c>
      <c r="C1999" s="400" t="s">
        <v>97</v>
      </c>
      <c r="D1999" s="400">
        <v>2385</v>
      </c>
      <c r="E1999" s="400">
        <v>15</v>
      </c>
      <c r="F1999" s="400" t="s">
        <v>2655</v>
      </c>
      <c r="G1999" s="400" t="s">
        <v>2221</v>
      </c>
      <c r="H1999" s="1238"/>
    </row>
    <row r="2000" spans="1:8" hidden="1">
      <c r="A2000" s="495" t="s">
        <v>2654</v>
      </c>
      <c r="B2000" s="400" t="s">
        <v>684</v>
      </c>
      <c r="C2000" s="400" t="s">
        <v>97</v>
      </c>
      <c r="D2000" s="400">
        <v>2386</v>
      </c>
      <c r="E2000" s="400">
        <v>15</v>
      </c>
      <c r="F2000" s="400" t="s">
        <v>2655</v>
      </c>
      <c r="G2000" s="400" t="s">
        <v>2221</v>
      </c>
      <c r="H2000" s="1238"/>
    </row>
    <row r="2001" spans="1:8" hidden="1">
      <c r="A2001" s="495" t="s">
        <v>2654</v>
      </c>
      <c r="B2001" s="400" t="s">
        <v>684</v>
      </c>
      <c r="C2001" s="400" t="s">
        <v>97</v>
      </c>
      <c r="D2001" s="400">
        <v>2387</v>
      </c>
      <c r="E2001" s="400">
        <v>15</v>
      </c>
      <c r="F2001" s="400" t="s">
        <v>2655</v>
      </c>
      <c r="G2001" s="400" t="s">
        <v>2221</v>
      </c>
      <c r="H2001" s="1238"/>
    </row>
    <row r="2002" spans="1:8" hidden="1">
      <c r="A2002" s="495" t="s">
        <v>2654</v>
      </c>
      <c r="B2002" s="400" t="s">
        <v>684</v>
      </c>
      <c r="C2002" s="400" t="s">
        <v>97</v>
      </c>
      <c r="D2002" s="400">
        <v>2388</v>
      </c>
      <c r="E2002" s="400">
        <v>15</v>
      </c>
      <c r="F2002" s="400" t="s">
        <v>2655</v>
      </c>
      <c r="G2002" s="400" t="s">
        <v>2221</v>
      </c>
      <c r="H2002" s="1238"/>
    </row>
    <row r="2003" spans="1:8" hidden="1">
      <c r="A2003" s="495" t="s">
        <v>2654</v>
      </c>
      <c r="B2003" s="400" t="s">
        <v>684</v>
      </c>
      <c r="C2003" s="400" t="s">
        <v>97</v>
      </c>
      <c r="D2003" s="400">
        <v>2389</v>
      </c>
      <c r="E2003" s="400">
        <v>15</v>
      </c>
      <c r="F2003" s="400" t="s">
        <v>2655</v>
      </c>
      <c r="G2003" s="400" t="s">
        <v>2221</v>
      </c>
      <c r="H2003" s="1238"/>
    </row>
    <row r="2004" spans="1:8" hidden="1">
      <c r="A2004" s="495" t="s">
        <v>2654</v>
      </c>
      <c r="B2004" s="400" t="s">
        <v>684</v>
      </c>
      <c r="C2004" s="400" t="s">
        <v>97</v>
      </c>
      <c r="D2004" s="400">
        <v>2390</v>
      </c>
      <c r="E2004" s="400">
        <v>15</v>
      </c>
      <c r="F2004" s="400" t="s">
        <v>2655</v>
      </c>
      <c r="G2004" s="400" t="s">
        <v>2221</v>
      </c>
      <c r="H2004" s="1238"/>
    </row>
    <row r="2005" spans="1:8" hidden="1">
      <c r="A2005" s="495" t="s">
        <v>2654</v>
      </c>
      <c r="B2005" s="400" t="s">
        <v>684</v>
      </c>
      <c r="C2005" s="400" t="s">
        <v>97</v>
      </c>
      <c r="D2005" s="400">
        <v>2391</v>
      </c>
      <c r="E2005" s="400">
        <v>15</v>
      </c>
      <c r="F2005" s="400" t="s">
        <v>2655</v>
      </c>
      <c r="G2005" s="400" t="s">
        <v>2221</v>
      </c>
      <c r="H2005" s="1238"/>
    </row>
    <row r="2006" spans="1:8" hidden="1">
      <c r="A2006" s="495" t="s">
        <v>2654</v>
      </c>
      <c r="B2006" s="400" t="s">
        <v>684</v>
      </c>
      <c r="C2006" s="400" t="s">
        <v>97</v>
      </c>
      <c r="D2006" s="400">
        <v>2392</v>
      </c>
      <c r="E2006" s="400">
        <v>15</v>
      </c>
      <c r="F2006" s="400" t="s">
        <v>2655</v>
      </c>
      <c r="G2006" s="400" t="s">
        <v>2221</v>
      </c>
      <c r="H2006" s="1238"/>
    </row>
    <row r="2007" spans="1:8" hidden="1">
      <c r="A2007" s="495" t="s">
        <v>2654</v>
      </c>
      <c r="B2007" s="400" t="s">
        <v>684</v>
      </c>
      <c r="C2007" s="400" t="s">
        <v>97</v>
      </c>
      <c r="D2007" s="400">
        <v>2393</v>
      </c>
      <c r="E2007" s="400">
        <v>15</v>
      </c>
      <c r="F2007" s="400" t="s">
        <v>2655</v>
      </c>
      <c r="G2007" s="400" t="s">
        <v>2221</v>
      </c>
      <c r="H2007" s="1238"/>
    </row>
    <row r="2008" spans="1:8" hidden="1">
      <c r="A2008" s="495" t="s">
        <v>2654</v>
      </c>
      <c r="B2008" s="400" t="s">
        <v>684</v>
      </c>
      <c r="C2008" s="400" t="s">
        <v>97</v>
      </c>
      <c r="D2008" s="400">
        <v>2394</v>
      </c>
      <c r="E2008" s="400">
        <v>15</v>
      </c>
      <c r="F2008" s="400" t="s">
        <v>2655</v>
      </c>
      <c r="G2008" s="400" t="s">
        <v>2221</v>
      </c>
      <c r="H2008" s="1238"/>
    </row>
    <row r="2009" spans="1:8" hidden="1">
      <c r="A2009" s="495" t="s">
        <v>2654</v>
      </c>
      <c r="B2009" s="400" t="s">
        <v>684</v>
      </c>
      <c r="C2009" s="400" t="s">
        <v>97</v>
      </c>
      <c r="D2009" s="400">
        <v>2395</v>
      </c>
      <c r="E2009" s="400">
        <v>15</v>
      </c>
      <c r="F2009" s="400" t="s">
        <v>2655</v>
      </c>
      <c r="G2009" s="400" t="s">
        <v>2221</v>
      </c>
      <c r="H2009" s="1238"/>
    </row>
    <row r="2010" spans="1:8" hidden="1">
      <c r="A2010" s="495" t="s">
        <v>2654</v>
      </c>
      <c r="B2010" s="400" t="s">
        <v>684</v>
      </c>
      <c r="C2010" s="400" t="s">
        <v>97</v>
      </c>
      <c r="D2010" s="400">
        <v>2396</v>
      </c>
      <c r="E2010" s="400">
        <v>15</v>
      </c>
      <c r="F2010" s="400" t="s">
        <v>2655</v>
      </c>
      <c r="G2010" s="400" t="s">
        <v>2221</v>
      </c>
      <c r="H2010" s="1238"/>
    </row>
    <row r="2011" spans="1:8" hidden="1">
      <c r="A2011" s="495" t="s">
        <v>2654</v>
      </c>
      <c r="B2011" s="400" t="s">
        <v>684</v>
      </c>
      <c r="C2011" s="400" t="s">
        <v>97</v>
      </c>
      <c r="D2011" s="400">
        <v>2397</v>
      </c>
      <c r="E2011" s="400">
        <v>15</v>
      </c>
      <c r="F2011" s="400" t="s">
        <v>2655</v>
      </c>
      <c r="G2011" s="400" t="s">
        <v>2221</v>
      </c>
      <c r="H2011" s="1238"/>
    </row>
    <row r="2012" spans="1:8" hidden="1">
      <c r="A2012" s="495" t="s">
        <v>2654</v>
      </c>
      <c r="B2012" s="400" t="s">
        <v>684</v>
      </c>
      <c r="C2012" s="400" t="s">
        <v>97</v>
      </c>
      <c r="D2012" s="400">
        <v>2398</v>
      </c>
      <c r="E2012" s="400">
        <v>15</v>
      </c>
      <c r="F2012" s="400" t="s">
        <v>2655</v>
      </c>
      <c r="G2012" s="400" t="s">
        <v>2221</v>
      </c>
      <c r="H2012" s="1238"/>
    </row>
    <row r="2013" spans="1:8" hidden="1">
      <c r="A2013" s="495" t="s">
        <v>2654</v>
      </c>
      <c r="B2013" s="400" t="s">
        <v>684</v>
      </c>
      <c r="C2013" s="400" t="s">
        <v>97</v>
      </c>
      <c r="D2013" s="400">
        <v>2399</v>
      </c>
      <c r="E2013" s="400">
        <v>15</v>
      </c>
      <c r="F2013" s="400" t="s">
        <v>2655</v>
      </c>
      <c r="G2013" s="400" t="s">
        <v>2221</v>
      </c>
      <c r="H2013" s="1238"/>
    </row>
    <row r="2014" spans="1:8" hidden="1">
      <c r="A2014" s="495" t="s">
        <v>2654</v>
      </c>
      <c r="B2014" s="400" t="s">
        <v>684</v>
      </c>
      <c r="C2014" s="400" t="s">
        <v>97</v>
      </c>
      <c r="D2014" s="400">
        <v>2400</v>
      </c>
      <c r="E2014" s="400">
        <v>15</v>
      </c>
      <c r="F2014" s="400" t="s">
        <v>2655</v>
      </c>
      <c r="G2014" s="400" t="s">
        <v>2221</v>
      </c>
      <c r="H2014" s="1238"/>
    </row>
    <row r="2015" spans="1:8" hidden="1">
      <c r="A2015" s="495" t="s">
        <v>2654</v>
      </c>
      <c r="B2015" s="400" t="s">
        <v>684</v>
      </c>
      <c r="C2015" s="400" t="s">
        <v>97</v>
      </c>
      <c r="D2015" s="400">
        <v>2401</v>
      </c>
      <c r="E2015" s="400">
        <v>15</v>
      </c>
      <c r="F2015" s="400" t="s">
        <v>2655</v>
      </c>
      <c r="G2015" s="400" t="s">
        <v>2221</v>
      </c>
      <c r="H2015" s="1238"/>
    </row>
    <row r="2016" spans="1:8" hidden="1">
      <c r="A2016" s="495" t="s">
        <v>2654</v>
      </c>
      <c r="B2016" s="400" t="s">
        <v>684</v>
      </c>
      <c r="C2016" s="400" t="s">
        <v>97</v>
      </c>
      <c r="D2016" s="400">
        <v>2402</v>
      </c>
      <c r="E2016" s="400">
        <v>15</v>
      </c>
      <c r="F2016" s="400" t="s">
        <v>2655</v>
      </c>
      <c r="G2016" s="400" t="s">
        <v>2221</v>
      </c>
      <c r="H2016" s="1238"/>
    </row>
    <row r="2017" spans="1:8" hidden="1">
      <c r="A2017" s="495" t="s">
        <v>2654</v>
      </c>
      <c r="B2017" s="400" t="s">
        <v>684</v>
      </c>
      <c r="C2017" s="400" t="s">
        <v>97</v>
      </c>
      <c r="D2017" s="400">
        <v>2403</v>
      </c>
      <c r="E2017" s="400">
        <v>15</v>
      </c>
      <c r="F2017" s="400" t="s">
        <v>2655</v>
      </c>
      <c r="G2017" s="400" t="s">
        <v>2221</v>
      </c>
      <c r="H2017" s="1238"/>
    </row>
    <row r="2018" spans="1:8" hidden="1">
      <c r="A2018" s="495" t="s">
        <v>2654</v>
      </c>
      <c r="B2018" s="400" t="s">
        <v>684</v>
      </c>
      <c r="C2018" s="400" t="s">
        <v>97</v>
      </c>
      <c r="D2018" s="400">
        <v>2404</v>
      </c>
      <c r="E2018" s="400">
        <v>15</v>
      </c>
      <c r="F2018" s="400" t="s">
        <v>2655</v>
      </c>
      <c r="G2018" s="400" t="s">
        <v>2221</v>
      </c>
      <c r="H2018" s="1238"/>
    </row>
    <row r="2019" spans="1:8" hidden="1">
      <c r="A2019" s="495" t="s">
        <v>2654</v>
      </c>
      <c r="B2019" s="400" t="s">
        <v>684</v>
      </c>
      <c r="C2019" s="400" t="s">
        <v>97</v>
      </c>
      <c r="D2019" s="400">
        <v>2405</v>
      </c>
      <c r="E2019" s="400">
        <v>15</v>
      </c>
      <c r="F2019" s="400" t="s">
        <v>2655</v>
      </c>
      <c r="G2019" s="400" t="s">
        <v>2221</v>
      </c>
      <c r="H2019" s="1238"/>
    </row>
    <row r="2020" spans="1:8" hidden="1">
      <c r="A2020" s="495" t="s">
        <v>2654</v>
      </c>
      <c r="B2020" s="400" t="s">
        <v>684</v>
      </c>
      <c r="C2020" s="400" t="s">
        <v>97</v>
      </c>
      <c r="D2020" s="400">
        <v>2406</v>
      </c>
      <c r="E2020" s="400">
        <v>15</v>
      </c>
      <c r="F2020" s="400" t="s">
        <v>2655</v>
      </c>
      <c r="G2020" s="400" t="s">
        <v>2221</v>
      </c>
      <c r="H2020" s="1238"/>
    </row>
    <row r="2021" spans="1:8" hidden="1">
      <c r="A2021" s="495" t="s">
        <v>2654</v>
      </c>
      <c r="B2021" s="400" t="s">
        <v>684</v>
      </c>
      <c r="C2021" s="400" t="s">
        <v>97</v>
      </c>
      <c r="D2021" s="400">
        <v>2407</v>
      </c>
      <c r="E2021" s="400">
        <v>15</v>
      </c>
      <c r="F2021" s="400" t="s">
        <v>2655</v>
      </c>
      <c r="G2021" s="400" t="s">
        <v>2221</v>
      </c>
      <c r="H2021" s="1238"/>
    </row>
    <row r="2022" spans="1:8" hidden="1">
      <c r="A2022" s="495" t="s">
        <v>2654</v>
      </c>
      <c r="B2022" s="400" t="s">
        <v>684</v>
      </c>
      <c r="C2022" s="400" t="s">
        <v>97</v>
      </c>
      <c r="D2022" s="400">
        <v>2408</v>
      </c>
      <c r="E2022" s="400">
        <v>15</v>
      </c>
      <c r="F2022" s="400" t="s">
        <v>2655</v>
      </c>
      <c r="G2022" s="400" t="s">
        <v>2221</v>
      </c>
      <c r="H2022" s="1238"/>
    </row>
    <row r="2023" spans="1:8" hidden="1">
      <c r="A2023" s="495" t="s">
        <v>2654</v>
      </c>
      <c r="B2023" s="400" t="s">
        <v>684</v>
      </c>
      <c r="C2023" s="400" t="s">
        <v>97</v>
      </c>
      <c r="D2023" s="400">
        <v>2409</v>
      </c>
      <c r="E2023" s="400">
        <v>15</v>
      </c>
      <c r="F2023" s="400" t="s">
        <v>2655</v>
      </c>
      <c r="G2023" s="400" t="s">
        <v>2221</v>
      </c>
      <c r="H2023" s="1238"/>
    </row>
    <row r="2024" spans="1:8" hidden="1">
      <c r="A2024" s="495" t="s">
        <v>2654</v>
      </c>
      <c r="B2024" s="400" t="s">
        <v>684</v>
      </c>
      <c r="C2024" s="400" t="s">
        <v>97</v>
      </c>
      <c r="D2024" s="400">
        <v>2410</v>
      </c>
      <c r="E2024" s="400">
        <v>15</v>
      </c>
      <c r="F2024" s="400" t="s">
        <v>2655</v>
      </c>
      <c r="G2024" s="400" t="s">
        <v>2221</v>
      </c>
      <c r="H2024" s="1238"/>
    </row>
    <row r="2025" spans="1:8" hidden="1">
      <c r="A2025" s="495" t="s">
        <v>2654</v>
      </c>
      <c r="B2025" s="400" t="s">
        <v>684</v>
      </c>
      <c r="C2025" s="400" t="s">
        <v>97</v>
      </c>
      <c r="D2025" s="400">
        <v>2411</v>
      </c>
      <c r="E2025" s="400">
        <v>15</v>
      </c>
      <c r="F2025" s="400" t="s">
        <v>2655</v>
      </c>
      <c r="G2025" s="400" t="s">
        <v>2221</v>
      </c>
      <c r="H2025" s="1238"/>
    </row>
    <row r="2026" spans="1:8" hidden="1">
      <c r="A2026" s="495" t="s">
        <v>2654</v>
      </c>
      <c r="B2026" s="400" t="s">
        <v>684</v>
      </c>
      <c r="C2026" s="400" t="s">
        <v>97</v>
      </c>
      <c r="D2026" s="400">
        <v>2412</v>
      </c>
      <c r="E2026" s="400">
        <v>15</v>
      </c>
      <c r="F2026" s="400" t="s">
        <v>2655</v>
      </c>
      <c r="G2026" s="400" t="s">
        <v>2221</v>
      </c>
      <c r="H2026" s="1238"/>
    </row>
    <row r="2027" spans="1:8" hidden="1">
      <c r="A2027" s="495" t="s">
        <v>2654</v>
      </c>
      <c r="B2027" s="400" t="s">
        <v>684</v>
      </c>
      <c r="C2027" s="400" t="s">
        <v>97</v>
      </c>
      <c r="D2027" s="400">
        <v>2413</v>
      </c>
      <c r="E2027" s="400">
        <v>15</v>
      </c>
      <c r="F2027" s="400" t="s">
        <v>2655</v>
      </c>
      <c r="G2027" s="400" t="s">
        <v>2221</v>
      </c>
      <c r="H2027" s="1238"/>
    </row>
    <row r="2028" spans="1:8" hidden="1">
      <c r="A2028" s="495" t="s">
        <v>2654</v>
      </c>
      <c r="B2028" s="400" t="s">
        <v>684</v>
      </c>
      <c r="C2028" s="400" t="s">
        <v>97</v>
      </c>
      <c r="D2028" s="400">
        <v>2414</v>
      </c>
      <c r="E2028" s="400">
        <v>15</v>
      </c>
      <c r="F2028" s="400" t="s">
        <v>2655</v>
      </c>
      <c r="G2028" s="400" t="s">
        <v>2221</v>
      </c>
      <c r="H2028" s="1238"/>
    </row>
    <row r="2029" spans="1:8" hidden="1">
      <c r="A2029" s="495" t="s">
        <v>2654</v>
      </c>
      <c r="B2029" s="400" t="s">
        <v>684</v>
      </c>
      <c r="C2029" s="400" t="s">
        <v>97</v>
      </c>
      <c r="D2029" s="400">
        <v>2415</v>
      </c>
      <c r="E2029" s="400">
        <v>15</v>
      </c>
      <c r="F2029" s="400" t="s">
        <v>2655</v>
      </c>
      <c r="G2029" s="400" t="s">
        <v>2221</v>
      </c>
      <c r="H2029" s="1238"/>
    </row>
    <row r="2030" spans="1:8" hidden="1">
      <c r="A2030" s="495" t="s">
        <v>2654</v>
      </c>
      <c r="B2030" s="400" t="s">
        <v>684</v>
      </c>
      <c r="C2030" s="400" t="s">
        <v>97</v>
      </c>
      <c r="D2030" s="400">
        <v>2416</v>
      </c>
      <c r="E2030" s="400">
        <v>15</v>
      </c>
      <c r="F2030" s="400" t="s">
        <v>2655</v>
      </c>
      <c r="G2030" s="400" t="s">
        <v>2221</v>
      </c>
      <c r="H2030" s="1238"/>
    </row>
    <row r="2031" spans="1:8" hidden="1">
      <c r="A2031" s="495" t="s">
        <v>2654</v>
      </c>
      <c r="B2031" s="400" t="s">
        <v>684</v>
      </c>
      <c r="C2031" s="400" t="s">
        <v>97</v>
      </c>
      <c r="D2031" s="400">
        <v>2417</v>
      </c>
      <c r="E2031" s="400">
        <v>15</v>
      </c>
      <c r="F2031" s="400" t="s">
        <v>2655</v>
      </c>
      <c r="G2031" s="400" t="s">
        <v>2221</v>
      </c>
      <c r="H2031" s="1238"/>
    </row>
    <row r="2032" spans="1:8" hidden="1">
      <c r="A2032" s="495" t="s">
        <v>2654</v>
      </c>
      <c r="B2032" s="400" t="s">
        <v>684</v>
      </c>
      <c r="C2032" s="400" t="s">
        <v>97</v>
      </c>
      <c r="D2032" s="400">
        <v>2418</v>
      </c>
      <c r="E2032" s="400">
        <v>15</v>
      </c>
      <c r="F2032" s="400" t="s">
        <v>2655</v>
      </c>
      <c r="G2032" s="400" t="s">
        <v>2221</v>
      </c>
      <c r="H2032" s="1238"/>
    </row>
    <row r="2033" spans="1:8" hidden="1">
      <c r="A2033" s="495" t="s">
        <v>2654</v>
      </c>
      <c r="B2033" s="400" t="s">
        <v>684</v>
      </c>
      <c r="C2033" s="400" t="s">
        <v>97</v>
      </c>
      <c r="D2033" s="400">
        <v>2419</v>
      </c>
      <c r="E2033" s="400">
        <v>15</v>
      </c>
      <c r="F2033" s="400" t="s">
        <v>2655</v>
      </c>
      <c r="G2033" s="400" t="s">
        <v>2221</v>
      </c>
      <c r="H2033" s="1238"/>
    </row>
    <row r="2034" spans="1:8" hidden="1">
      <c r="A2034" s="495" t="s">
        <v>2654</v>
      </c>
      <c r="B2034" s="400" t="s">
        <v>684</v>
      </c>
      <c r="C2034" s="400" t="s">
        <v>97</v>
      </c>
      <c r="D2034" s="400">
        <v>2420</v>
      </c>
      <c r="E2034" s="400">
        <v>15</v>
      </c>
      <c r="F2034" s="400" t="s">
        <v>2655</v>
      </c>
      <c r="G2034" s="400" t="s">
        <v>2221</v>
      </c>
      <c r="H2034" s="1238"/>
    </row>
    <row r="2035" spans="1:8" hidden="1">
      <c r="A2035" s="495" t="s">
        <v>2654</v>
      </c>
      <c r="B2035" s="400" t="s">
        <v>684</v>
      </c>
      <c r="C2035" s="400" t="s">
        <v>97</v>
      </c>
      <c r="D2035" s="400">
        <v>2421</v>
      </c>
      <c r="E2035" s="400">
        <v>15</v>
      </c>
      <c r="F2035" s="400" t="s">
        <v>2655</v>
      </c>
      <c r="G2035" s="400" t="s">
        <v>2221</v>
      </c>
      <c r="H2035" s="1238"/>
    </row>
    <row r="2036" spans="1:8" hidden="1">
      <c r="A2036" s="495" t="s">
        <v>2654</v>
      </c>
      <c r="B2036" s="400" t="s">
        <v>684</v>
      </c>
      <c r="C2036" s="400" t="s">
        <v>97</v>
      </c>
      <c r="D2036" s="400">
        <v>2422</v>
      </c>
      <c r="E2036" s="400">
        <v>15</v>
      </c>
      <c r="F2036" s="400" t="s">
        <v>2655</v>
      </c>
      <c r="G2036" s="400" t="s">
        <v>2221</v>
      </c>
      <c r="H2036" s="1238"/>
    </row>
    <row r="2037" spans="1:8" hidden="1">
      <c r="A2037" s="495" t="s">
        <v>2654</v>
      </c>
      <c r="B2037" s="400" t="s">
        <v>684</v>
      </c>
      <c r="C2037" s="400" t="s">
        <v>97</v>
      </c>
      <c r="D2037" s="400">
        <v>2423</v>
      </c>
      <c r="E2037" s="400">
        <v>15</v>
      </c>
      <c r="F2037" s="400" t="s">
        <v>2655</v>
      </c>
      <c r="G2037" s="400" t="s">
        <v>2221</v>
      </c>
      <c r="H2037" s="1238"/>
    </row>
    <row r="2038" spans="1:8" hidden="1">
      <c r="A2038" s="495" t="s">
        <v>2654</v>
      </c>
      <c r="B2038" s="400" t="s">
        <v>684</v>
      </c>
      <c r="C2038" s="400" t="s">
        <v>97</v>
      </c>
      <c r="D2038" s="400">
        <v>2424</v>
      </c>
      <c r="E2038" s="400">
        <v>15</v>
      </c>
      <c r="F2038" s="400" t="s">
        <v>2655</v>
      </c>
      <c r="G2038" s="400" t="s">
        <v>2221</v>
      </c>
      <c r="H2038" s="1238"/>
    </row>
    <row r="2039" spans="1:8" hidden="1">
      <c r="A2039" s="495" t="s">
        <v>2654</v>
      </c>
      <c r="B2039" s="400" t="s">
        <v>684</v>
      </c>
      <c r="C2039" s="400" t="s">
        <v>97</v>
      </c>
      <c r="D2039" s="400">
        <v>2425</v>
      </c>
      <c r="E2039" s="400">
        <v>15</v>
      </c>
      <c r="F2039" s="400" t="s">
        <v>2655</v>
      </c>
      <c r="G2039" s="400" t="s">
        <v>2221</v>
      </c>
      <c r="H2039" s="1238"/>
    </row>
    <row r="2040" spans="1:8" hidden="1">
      <c r="A2040" s="495" t="s">
        <v>2654</v>
      </c>
      <c r="B2040" s="400" t="s">
        <v>684</v>
      </c>
      <c r="C2040" s="400" t="s">
        <v>97</v>
      </c>
      <c r="D2040" s="400">
        <v>2426</v>
      </c>
      <c r="E2040" s="400">
        <v>15</v>
      </c>
      <c r="F2040" s="400" t="s">
        <v>2655</v>
      </c>
      <c r="G2040" s="400" t="s">
        <v>2221</v>
      </c>
      <c r="H2040" s="1238"/>
    </row>
    <row r="2041" spans="1:8" hidden="1">
      <c r="A2041" s="495" t="s">
        <v>2654</v>
      </c>
      <c r="B2041" s="400" t="s">
        <v>684</v>
      </c>
      <c r="C2041" s="400" t="s">
        <v>97</v>
      </c>
      <c r="D2041" s="400">
        <v>2427</v>
      </c>
      <c r="E2041" s="400">
        <v>15</v>
      </c>
      <c r="F2041" s="400" t="s">
        <v>2655</v>
      </c>
      <c r="G2041" s="400" t="s">
        <v>2221</v>
      </c>
      <c r="H2041" s="1238"/>
    </row>
    <row r="2042" spans="1:8" hidden="1">
      <c r="A2042" s="495" t="s">
        <v>2654</v>
      </c>
      <c r="B2042" s="400" t="s">
        <v>684</v>
      </c>
      <c r="C2042" s="400" t="s">
        <v>97</v>
      </c>
      <c r="D2042" s="400">
        <v>2428</v>
      </c>
      <c r="E2042" s="400">
        <v>15</v>
      </c>
      <c r="F2042" s="400" t="s">
        <v>2655</v>
      </c>
      <c r="G2042" s="400" t="s">
        <v>2221</v>
      </c>
      <c r="H2042" s="1238"/>
    </row>
    <row r="2043" spans="1:8" hidden="1">
      <c r="A2043" s="495" t="s">
        <v>2654</v>
      </c>
      <c r="B2043" s="400" t="s">
        <v>684</v>
      </c>
      <c r="C2043" s="400" t="s">
        <v>97</v>
      </c>
      <c r="D2043" s="400">
        <v>2429</v>
      </c>
      <c r="E2043" s="400">
        <v>15</v>
      </c>
      <c r="F2043" s="400" t="s">
        <v>2655</v>
      </c>
      <c r="G2043" s="400" t="s">
        <v>2221</v>
      </c>
      <c r="H2043" s="1238"/>
    </row>
    <row r="2044" spans="1:8" hidden="1">
      <c r="A2044" s="495" t="s">
        <v>2654</v>
      </c>
      <c r="B2044" s="400" t="s">
        <v>684</v>
      </c>
      <c r="C2044" s="400" t="s">
        <v>97</v>
      </c>
      <c r="D2044" s="400">
        <v>2430</v>
      </c>
      <c r="E2044" s="400">
        <v>15</v>
      </c>
      <c r="F2044" s="400" t="s">
        <v>2655</v>
      </c>
      <c r="G2044" s="400" t="s">
        <v>2221</v>
      </c>
      <c r="H2044" s="1238"/>
    </row>
    <row r="2045" spans="1:8" hidden="1">
      <c r="A2045" s="495" t="s">
        <v>2654</v>
      </c>
      <c r="B2045" s="400" t="s">
        <v>684</v>
      </c>
      <c r="C2045" s="400" t="s">
        <v>97</v>
      </c>
      <c r="D2045" s="400">
        <v>2431</v>
      </c>
      <c r="E2045" s="400">
        <v>15</v>
      </c>
      <c r="F2045" s="400" t="s">
        <v>2655</v>
      </c>
      <c r="G2045" s="400" t="s">
        <v>2221</v>
      </c>
      <c r="H2045" s="1238"/>
    </row>
    <row r="2046" spans="1:8" hidden="1">
      <c r="A2046" s="495" t="s">
        <v>2654</v>
      </c>
      <c r="B2046" s="400" t="s">
        <v>684</v>
      </c>
      <c r="C2046" s="400" t="s">
        <v>97</v>
      </c>
      <c r="D2046" s="400">
        <v>2432</v>
      </c>
      <c r="E2046" s="400">
        <v>15</v>
      </c>
      <c r="F2046" s="400" t="s">
        <v>2655</v>
      </c>
      <c r="G2046" s="400" t="s">
        <v>2221</v>
      </c>
      <c r="H2046" s="1238"/>
    </row>
    <row r="2047" spans="1:8" hidden="1">
      <c r="A2047" s="495" t="s">
        <v>2654</v>
      </c>
      <c r="B2047" s="400" t="s">
        <v>684</v>
      </c>
      <c r="C2047" s="400" t="s">
        <v>97</v>
      </c>
      <c r="D2047" s="400">
        <v>2433</v>
      </c>
      <c r="E2047" s="400">
        <v>15</v>
      </c>
      <c r="F2047" s="400" t="s">
        <v>2655</v>
      </c>
      <c r="G2047" s="400" t="s">
        <v>2221</v>
      </c>
      <c r="H2047" s="1238"/>
    </row>
    <row r="2048" spans="1:8" hidden="1">
      <c r="A2048" s="495" t="s">
        <v>2654</v>
      </c>
      <c r="B2048" s="400" t="s">
        <v>684</v>
      </c>
      <c r="C2048" s="400" t="s">
        <v>97</v>
      </c>
      <c r="D2048" s="400">
        <v>2434</v>
      </c>
      <c r="E2048" s="400">
        <v>15</v>
      </c>
      <c r="F2048" s="400" t="s">
        <v>2655</v>
      </c>
      <c r="G2048" s="400" t="s">
        <v>2221</v>
      </c>
      <c r="H2048" s="1238"/>
    </row>
    <row r="2049" spans="1:8" hidden="1">
      <c r="A2049" s="495" t="s">
        <v>2654</v>
      </c>
      <c r="B2049" s="400" t="s">
        <v>684</v>
      </c>
      <c r="C2049" s="400" t="s">
        <v>97</v>
      </c>
      <c r="D2049" s="400">
        <v>2435</v>
      </c>
      <c r="E2049" s="400">
        <v>15</v>
      </c>
      <c r="F2049" s="400" t="s">
        <v>2655</v>
      </c>
      <c r="G2049" s="400" t="s">
        <v>2221</v>
      </c>
      <c r="H2049" s="1238"/>
    </row>
    <row r="2050" spans="1:8" hidden="1">
      <c r="A2050" s="495" t="s">
        <v>2654</v>
      </c>
      <c r="B2050" s="400" t="s">
        <v>684</v>
      </c>
      <c r="C2050" s="400" t="s">
        <v>97</v>
      </c>
      <c r="D2050" s="400">
        <v>2436</v>
      </c>
      <c r="E2050" s="400">
        <v>15</v>
      </c>
      <c r="F2050" s="400" t="s">
        <v>2655</v>
      </c>
      <c r="G2050" s="400" t="s">
        <v>2221</v>
      </c>
      <c r="H2050" s="1238"/>
    </row>
    <row r="2051" spans="1:8" hidden="1">
      <c r="A2051" s="495" t="s">
        <v>2654</v>
      </c>
      <c r="B2051" s="400" t="s">
        <v>684</v>
      </c>
      <c r="C2051" s="400" t="s">
        <v>97</v>
      </c>
      <c r="D2051" s="400">
        <v>2437</v>
      </c>
      <c r="E2051" s="400">
        <v>15</v>
      </c>
      <c r="F2051" s="400" t="s">
        <v>2655</v>
      </c>
      <c r="G2051" s="400" t="s">
        <v>2221</v>
      </c>
      <c r="H2051" s="1238"/>
    </row>
    <row r="2052" spans="1:8" hidden="1">
      <c r="A2052" s="495" t="s">
        <v>2654</v>
      </c>
      <c r="B2052" s="400" t="s">
        <v>684</v>
      </c>
      <c r="C2052" s="400" t="s">
        <v>97</v>
      </c>
      <c r="D2052" s="400">
        <v>2438</v>
      </c>
      <c r="E2052" s="400">
        <v>15</v>
      </c>
      <c r="F2052" s="400" t="s">
        <v>2655</v>
      </c>
      <c r="G2052" s="400" t="s">
        <v>2221</v>
      </c>
      <c r="H2052" s="1238"/>
    </row>
    <row r="2053" spans="1:8" hidden="1">
      <c r="A2053" s="495" t="s">
        <v>2654</v>
      </c>
      <c r="B2053" s="400" t="s">
        <v>684</v>
      </c>
      <c r="C2053" s="400" t="s">
        <v>97</v>
      </c>
      <c r="D2053" s="400">
        <v>2439</v>
      </c>
      <c r="E2053" s="400">
        <v>15</v>
      </c>
      <c r="F2053" s="400" t="s">
        <v>2655</v>
      </c>
      <c r="G2053" s="400" t="s">
        <v>2221</v>
      </c>
      <c r="H2053" s="1238"/>
    </row>
    <row r="2054" spans="1:8" hidden="1">
      <c r="A2054" s="495" t="s">
        <v>2654</v>
      </c>
      <c r="B2054" s="400" t="s">
        <v>684</v>
      </c>
      <c r="C2054" s="400" t="s">
        <v>97</v>
      </c>
      <c r="D2054" s="400">
        <v>2440</v>
      </c>
      <c r="E2054" s="400">
        <v>15</v>
      </c>
      <c r="F2054" s="400" t="s">
        <v>2655</v>
      </c>
      <c r="G2054" s="400" t="s">
        <v>2221</v>
      </c>
      <c r="H2054" s="1238"/>
    </row>
    <row r="2055" spans="1:8" hidden="1">
      <c r="A2055" s="495" t="s">
        <v>2654</v>
      </c>
      <c r="B2055" s="400" t="s">
        <v>684</v>
      </c>
      <c r="C2055" s="400" t="s">
        <v>97</v>
      </c>
      <c r="D2055" s="400">
        <v>2441</v>
      </c>
      <c r="E2055" s="400">
        <v>15</v>
      </c>
      <c r="F2055" s="400" t="s">
        <v>2655</v>
      </c>
      <c r="G2055" s="400" t="s">
        <v>2221</v>
      </c>
      <c r="H2055" s="1238"/>
    </row>
    <row r="2056" spans="1:8" hidden="1">
      <c r="A2056" s="495" t="s">
        <v>2654</v>
      </c>
      <c r="B2056" s="400" t="s">
        <v>684</v>
      </c>
      <c r="C2056" s="400" t="s">
        <v>97</v>
      </c>
      <c r="D2056" s="400">
        <v>2442</v>
      </c>
      <c r="E2056" s="400">
        <v>15</v>
      </c>
      <c r="F2056" s="400" t="s">
        <v>2655</v>
      </c>
      <c r="G2056" s="400" t="s">
        <v>2221</v>
      </c>
      <c r="H2056" s="1238"/>
    </row>
    <row r="2057" spans="1:8" hidden="1">
      <c r="A2057" s="495" t="s">
        <v>2654</v>
      </c>
      <c r="B2057" s="400" t="s">
        <v>684</v>
      </c>
      <c r="C2057" s="400" t="s">
        <v>97</v>
      </c>
      <c r="D2057" s="400">
        <v>2443</v>
      </c>
      <c r="E2057" s="400">
        <v>15</v>
      </c>
      <c r="F2057" s="400" t="s">
        <v>2655</v>
      </c>
      <c r="G2057" s="400" t="s">
        <v>2221</v>
      </c>
      <c r="H2057" s="1238"/>
    </row>
    <row r="2058" spans="1:8" hidden="1">
      <c r="A2058" s="495" t="s">
        <v>2654</v>
      </c>
      <c r="B2058" s="400" t="s">
        <v>684</v>
      </c>
      <c r="C2058" s="400" t="s">
        <v>97</v>
      </c>
      <c r="D2058" s="400">
        <v>2444</v>
      </c>
      <c r="E2058" s="400">
        <v>15</v>
      </c>
      <c r="F2058" s="400" t="s">
        <v>2655</v>
      </c>
      <c r="G2058" s="400" t="s">
        <v>2221</v>
      </c>
      <c r="H2058" s="1238"/>
    </row>
    <row r="2059" spans="1:8" hidden="1">
      <c r="A2059" s="495" t="s">
        <v>2654</v>
      </c>
      <c r="B2059" s="400" t="s">
        <v>684</v>
      </c>
      <c r="C2059" s="400" t="s">
        <v>97</v>
      </c>
      <c r="D2059" s="400">
        <v>2445</v>
      </c>
      <c r="E2059" s="400">
        <v>15</v>
      </c>
      <c r="F2059" s="400" t="s">
        <v>2655</v>
      </c>
      <c r="G2059" s="400" t="s">
        <v>2221</v>
      </c>
      <c r="H2059" s="1238"/>
    </row>
    <row r="2060" spans="1:8" hidden="1">
      <c r="A2060" s="495" t="s">
        <v>2654</v>
      </c>
      <c r="B2060" s="400" t="s">
        <v>684</v>
      </c>
      <c r="C2060" s="400" t="s">
        <v>97</v>
      </c>
      <c r="D2060" s="400">
        <v>2446</v>
      </c>
      <c r="E2060" s="400">
        <v>15</v>
      </c>
      <c r="F2060" s="400" t="s">
        <v>2655</v>
      </c>
      <c r="G2060" s="400" t="s">
        <v>2221</v>
      </c>
      <c r="H2060" s="1238"/>
    </row>
    <row r="2061" spans="1:8" hidden="1">
      <c r="A2061" s="495" t="s">
        <v>2654</v>
      </c>
      <c r="B2061" s="400" t="s">
        <v>684</v>
      </c>
      <c r="C2061" s="400" t="s">
        <v>97</v>
      </c>
      <c r="D2061" s="400">
        <v>2447</v>
      </c>
      <c r="E2061" s="400">
        <v>15</v>
      </c>
      <c r="F2061" s="400" t="s">
        <v>2655</v>
      </c>
      <c r="G2061" s="400" t="s">
        <v>2221</v>
      </c>
      <c r="H2061" s="1238"/>
    </row>
    <row r="2062" spans="1:8" hidden="1">
      <c r="A2062" s="495" t="s">
        <v>2654</v>
      </c>
      <c r="B2062" s="400" t="s">
        <v>684</v>
      </c>
      <c r="C2062" s="400" t="s">
        <v>97</v>
      </c>
      <c r="D2062" s="400">
        <v>2448</v>
      </c>
      <c r="E2062" s="400">
        <v>15</v>
      </c>
      <c r="F2062" s="400" t="s">
        <v>2655</v>
      </c>
      <c r="G2062" s="400" t="s">
        <v>2221</v>
      </c>
      <c r="H2062" s="1238"/>
    </row>
    <row r="2063" spans="1:8" hidden="1">
      <c r="A2063" s="495" t="s">
        <v>2654</v>
      </c>
      <c r="B2063" s="400" t="s">
        <v>684</v>
      </c>
      <c r="C2063" s="400" t="s">
        <v>97</v>
      </c>
      <c r="D2063" s="400">
        <v>2449</v>
      </c>
      <c r="E2063" s="400">
        <v>15</v>
      </c>
      <c r="F2063" s="400" t="s">
        <v>2655</v>
      </c>
      <c r="G2063" s="400" t="s">
        <v>2221</v>
      </c>
      <c r="H2063" s="1238"/>
    </row>
    <row r="2064" spans="1:8" hidden="1">
      <c r="A2064" s="495" t="s">
        <v>2654</v>
      </c>
      <c r="B2064" s="400" t="s">
        <v>684</v>
      </c>
      <c r="C2064" s="400" t="s">
        <v>97</v>
      </c>
      <c r="D2064" s="400">
        <v>2450</v>
      </c>
      <c r="E2064" s="400">
        <v>15</v>
      </c>
      <c r="F2064" s="400" t="s">
        <v>2655</v>
      </c>
      <c r="G2064" s="400" t="s">
        <v>2221</v>
      </c>
      <c r="H2064" s="1238"/>
    </row>
    <row r="2065" spans="1:8" hidden="1">
      <c r="A2065" s="495" t="s">
        <v>2654</v>
      </c>
      <c r="B2065" s="400" t="s">
        <v>684</v>
      </c>
      <c r="C2065" s="400" t="s">
        <v>97</v>
      </c>
      <c r="D2065" s="400">
        <v>2451</v>
      </c>
      <c r="E2065" s="400">
        <v>15</v>
      </c>
      <c r="F2065" s="400" t="s">
        <v>2655</v>
      </c>
      <c r="G2065" s="400" t="s">
        <v>2221</v>
      </c>
      <c r="H2065" s="1238"/>
    </row>
    <row r="2066" spans="1:8" hidden="1">
      <c r="A2066" s="495" t="s">
        <v>2654</v>
      </c>
      <c r="B2066" s="400" t="s">
        <v>684</v>
      </c>
      <c r="C2066" s="400" t="s">
        <v>97</v>
      </c>
      <c r="D2066" s="400">
        <v>2452</v>
      </c>
      <c r="E2066" s="400">
        <v>15</v>
      </c>
      <c r="F2066" s="400" t="s">
        <v>2655</v>
      </c>
      <c r="G2066" s="400" t="s">
        <v>2221</v>
      </c>
      <c r="H2066" s="1238"/>
    </row>
    <row r="2067" spans="1:8" hidden="1">
      <c r="A2067" s="495" t="s">
        <v>2654</v>
      </c>
      <c r="B2067" s="400" t="s">
        <v>684</v>
      </c>
      <c r="C2067" s="400" t="s">
        <v>97</v>
      </c>
      <c r="D2067" s="400">
        <v>2453</v>
      </c>
      <c r="E2067" s="400">
        <v>15</v>
      </c>
      <c r="F2067" s="400" t="s">
        <v>2655</v>
      </c>
      <c r="G2067" s="400" t="s">
        <v>2221</v>
      </c>
      <c r="H2067" s="1238"/>
    </row>
    <row r="2068" spans="1:8" hidden="1">
      <c r="A2068" s="495" t="s">
        <v>2654</v>
      </c>
      <c r="B2068" s="400" t="s">
        <v>684</v>
      </c>
      <c r="C2068" s="400" t="s">
        <v>97</v>
      </c>
      <c r="D2068" s="400">
        <v>2454</v>
      </c>
      <c r="E2068" s="400">
        <v>15</v>
      </c>
      <c r="F2068" s="400" t="s">
        <v>2655</v>
      </c>
      <c r="G2068" s="400" t="s">
        <v>2221</v>
      </c>
      <c r="H2068" s="1238"/>
    </row>
    <row r="2069" spans="1:8" hidden="1">
      <c r="A2069" s="495" t="s">
        <v>2654</v>
      </c>
      <c r="B2069" s="400" t="s">
        <v>684</v>
      </c>
      <c r="C2069" s="400" t="s">
        <v>97</v>
      </c>
      <c r="D2069" s="400">
        <v>2455</v>
      </c>
      <c r="E2069" s="400">
        <v>15</v>
      </c>
      <c r="F2069" s="400" t="s">
        <v>2655</v>
      </c>
      <c r="G2069" s="400" t="s">
        <v>2221</v>
      </c>
      <c r="H2069" s="1238"/>
    </row>
    <row r="2070" spans="1:8" hidden="1">
      <c r="A2070" s="495" t="s">
        <v>2654</v>
      </c>
      <c r="B2070" s="400" t="s">
        <v>684</v>
      </c>
      <c r="C2070" s="400" t="s">
        <v>97</v>
      </c>
      <c r="D2070" s="400">
        <v>2456</v>
      </c>
      <c r="E2070" s="400">
        <v>15</v>
      </c>
      <c r="F2070" s="400" t="s">
        <v>2655</v>
      </c>
      <c r="G2070" s="400" t="s">
        <v>2221</v>
      </c>
      <c r="H2070" s="1238"/>
    </row>
    <row r="2071" spans="1:8" hidden="1">
      <c r="A2071" s="495" t="s">
        <v>2654</v>
      </c>
      <c r="B2071" s="400" t="s">
        <v>684</v>
      </c>
      <c r="C2071" s="400" t="s">
        <v>97</v>
      </c>
      <c r="D2071" s="400">
        <v>2457</v>
      </c>
      <c r="E2071" s="400">
        <v>15</v>
      </c>
      <c r="F2071" s="400" t="s">
        <v>2655</v>
      </c>
      <c r="G2071" s="400" t="s">
        <v>2221</v>
      </c>
      <c r="H2071" s="1238"/>
    </row>
    <row r="2072" spans="1:8" hidden="1">
      <c r="A2072" s="495" t="s">
        <v>2654</v>
      </c>
      <c r="B2072" s="400" t="s">
        <v>684</v>
      </c>
      <c r="C2072" s="400" t="s">
        <v>97</v>
      </c>
      <c r="D2072" s="400">
        <v>2458</v>
      </c>
      <c r="E2072" s="400">
        <v>15</v>
      </c>
      <c r="F2072" s="400" t="s">
        <v>2655</v>
      </c>
      <c r="G2072" s="400" t="s">
        <v>2221</v>
      </c>
      <c r="H2072" s="1238"/>
    </row>
    <row r="2073" spans="1:8" hidden="1">
      <c r="A2073" s="495" t="s">
        <v>2654</v>
      </c>
      <c r="B2073" s="400" t="s">
        <v>684</v>
      </c>
      <c r="C2073" s="400" t="s">
        <v>97</v>
      </c>
      <c r="D2073" s="400">
        <v>2459</v>
      </c>
      <c r="E2073" s="400">
        <v>15</v>
      </c>
      <c r="F2073" s="400" t="s">
        <v>2655</v>
      </c>
      <c r="G2073" s="400" t="s">
        <v>2221</v>
      </c>
      <c r="H2073" s="1238"/>
    </row>
    <row r="2074" spans="1:8" hidden="1">
      <c r="A2074" s="495" t="s">
        <v>2654</v>
      </c>
      <c r="B2074" s="400" t="s">
        <v>684</v>
      </c>
      <c r="C2074" s="400" t="s">
        <v>97</v>
      </c>
      <c r="D2074" s="400">
        <v>2460</v>
      </c>
      <c r="E2074" s="400">
        <v>15</v>
      </c>
      <c r="F2074" s="400" t="s">
        <v>2655</v>
      </c>
      <c r="G2074" s="400" t="s">
        <v>2221</v>
      </c>
      <c r="H2074" s="1238"/>
    </row>
    <row r="2075" spans="1:8" hidden="1">
      <c r="A2075" s="495" t="s">
        <v>2654</v>
      </c>
      <c r="B2075" s="400" t="s">
        <v>684</v>
      </c>
      <c r="C2075" s="400" t="s">
        <v>97</v>
      </c>
      <c r="D2075" s="400">
        <v>2461</v>
      </c>
      <c r="E2075" s="400">
        <v>15</v>
      </c>
      <c r="F2075" s="400" t="s">
        <v>2655</v>
      </c>
      <c r="G2075" s="400" t="s">
        <v>2221</v>
      </c>
      <c r="H2075" s="1238"/>
    </row>
    <row r="2076" spans="1:8" hidden="1">
      <c r="A2076" s="495" t="s">
        <v>2654</v>
      </c>
      <c r="B2076" s="400" t="s">
        <v>684</v>
      </c>
      <c r="C2076" s="400" t="s">
        <v>97</v>
      </c>
      <c r="D2076" s="400">
        <v>2462</v>
      </c>
      <c r="E2076" s="400">
        <v>15</v>
      </c>
      <c r="F2076" s="400" t="s">
        <v>2655</v>
      </c>
      <c r="G2076" s="400" t="s">
        <v>2221</v>
      </c>
      <c r="H2076" s="1238"/>
    </row>
    <row r="2077" spans="1:8" hidden="1">
      <c r="A2077" s="495" t="s">
        <v>2654</v>
      </c>
      <c r="B2077" s="400" t="s">
        <v>684</v>
      </c>
      <c r="C2077" s="400" t="s">
        <v>97</v>
      </c>
      <c r="D2077" s="400">
        <v>2463</v>
      </c>
      <c r="E2077" s="400">
        <v>15</v>
      </c>
      <c r="F2077" s="400" t="s">
        <v>2655</v>
      </c>
      <c r="G2077" s="400" t="s">
        <v>2221</v>
      </c>
      <c r="H2077" s="1238"/>
    </row>
    <row r="2078" spans="1:8" hidden="1">
      <c r="A2078" s="495" t="s">
        <v>2654</v>
      </c>
      <c r="B2078" s="400" t="s">
        <v>684</v>
      </c>
      <c r="C2078" s="400" t="s">
        <v>97</v>
      </c>
      <c r="D2078" s="400">
        <v>2464</v>
      </c>
      <c r="E2078" s="400">
        <v>15</v>
      </c>
      <c r="F2078" s="400" t="s">
        <v>2655</v>
      </c>
      <c r="G2078" s="400" t="s">
        <v>2221</v>
      </c>
      <c r="H2078" s="1238"/>
    </row>
    <row r="2079" spans="1:8" hidden="1">
      <c r="A2079" s="495" t="s">
        <v>2654</v>
      </c>
      <c r="B2079" s="400" t="s">
        <v>684</v>
      </c>
      <c r="C2079" s="400" t="s">
        <v>97</v>
      </c>
      <c r="D2079" s="400">
        <v>2465</v>
      </c>
      <c r="E2079" s="400">
        <v>15</v>
      </c>
      <c r="F2079" s="400" t="s">
        <v>2655</v>
      </c>
      <c r="G2079" s="400" t="s">
        <v>2221</v>
      </c>
      <c r="H2079" s="1238"/>
    </row>
    <row r="2080" spans="1:8" hidden="1">
      <c r="A2080" s="495" t="s">
        <v>2654</v>
      </c>
      <c r="B2080" s="400" t="s">
        <v>684</v>
      </c>
      <c r="C2080" s="400" t="s">
        <v>97</v>
      </c>
      <c r="D2080" s="400">
        <v>2466</v>
      </c>
      <c r="E2080" s="400">
        <v>15</v>
      </c>
      <c r="F2080" s="400" t="s">
        <v>2655</v>
      </c>
      <c r="G2080" s="400" t="s">
        <v>2221</v>
      </c>
      <c r="H2080" s="1238"/>
    </row>
    <row r="2081" spans="1:8" hidden="1">
      <c r="A2081" s="495" t="s">
        <v>2654</v>
      </c>
      <c r="B2081" s="400" t="s">
        <v>684</v>
      </c>
      <c r="C2081" s="400" t="s">
        <v>97</v>
      </c>
      <c r="D2081" s="400">
        <v>2467</v>
      </c>
      <c r="E2081" s="400">
        <v>15</v>
      </c>
      <c r="F2081" s="400" t="s">
        <v>2655</v>
      </c>
      <c r="G2081" s="400" t="s">
        <v>2221</v>
      </c>
      <c r="H2081" s="1238"/>
    </row>
    <row r="2082" spans="1:8" hidden="1">
      <c r="A2082" s="495" t="s">
        <v>2654</v>
      </c>
      <c r="B2082" s="400" t="s">
        <v>684</v>
      </c>
      <c r="C2082" s="400" t="s">
        <v>97</v>
      </c>
      <c r="D2082" s="400">
        <v>2468</v>
      </c>
      <c r="E2082" s="400">
        <v>15</v>
      </c>
      <c r="F2082" s="400" t="s">
        <v>2655</v>
      </c>
      <c r="G2082" s="400" t="s">
        <v>2221</v>
      </c>
      <c r="H2082" s="1238"/>
    </row>
    <row r="2083" spans="1:8" hidden="1">
      <c r="A2083" s="495" t="s">
        <v>2654</v>
      </c>
      <c r="B2083" s="400" t="s">
        <v>684</v>
      </c>
      <c r="C2083" s="400" t="s">
        <v>97</v>
      </c>
      <c r="D2083" s="400">
        <v>2469</v>
      </c>
      <c r="E2083" s="400">
        <v>15</v>
      </c>
      <c r="F2083" s="400" t="s">
        <v>2655</v>
      </c>
      <c r="G2083" s="400" t="s">
        <v>2221</v>
      </c>
      <c r="H2083" s="1238"/>
    </row>
    <row r="2084" spans="1:8" hidden="1">
      <c r="A2084" s="495" t="s">
        <v>2654</v>
      </c>
      <c r="B2084" s="400" t="s">
        <v>684</v>
      </c>
      <c r="C2084" s="400" t="s">
        <v>97</v>
      </c>
      <c r="D2084" s="400">
        <v>2470</v>
      </c>
      <c r="E2084" s="400">
        <v>15</v>
      </c>
      <c r="F2084" s="400" t="s">
        <v>2655</v>
      </c>
      <c r="G2084" s="400" t="s">
        <v>2221</v>
      </c>
      <c r="H2084" s="1238"/>
    </row>
    <row r="2085" spans="1:8" hidden="1">
      <c r="A2085" s="495" t="s">
        <v>2654</v>
      </c>
      <c r="B2085" s="400" t="s">
        <v>684</v>
      </c>
      <c r="C2085" s="400" t="s">
        <v>97</v>
      </c>
      <c r="D2085" s="400">
        <v>2471</v>
      </c>
      <c r="E2085" s="400">
        <v>15</v>
      </c>
      <c r="F2085" s="400" t="s">
        <v>2655</v>
      </c>
      <c r="G2085" s="400" t="s">
        <v>2221</v>
      </c>
      <c r="H2085" s="1238"/>
    </row>
    <row r="2086" spans="1:8" hidden="1">
      <c r="A2086" s="495" t="s">
        <v>2654</v>
      </c>
      <c r="B2086" s="400" t="s">
        <v>684</v>
      </c>
      <c r="C2086" s="400" t="s">
        <v>97</v>
      </c>
      <c r="D2086" s="400">
        <v>2472</v>
      </c>
      <c r="E2086" s="400">
        <v>15</v>
      </c>
      <c r="F2086" s="400" t="s">
        <v>2655</v>
      </c>
      <c r="G2086" s="400" t="s">
        <v>2221</v>
      </c>
      <c r="H2086" s="1238"/>
    </row>
    <row r="2087" spans="1:8" hidden="1">
      <c r="A2087" s="495" t="s">
        <v>2654</v>
      </c>
      <c r="B2087" s="400" t="s">
        <v>684</v>
      </c>
      <c r="C2087" s="400" t="s">
        <v>97</v>
      </c>
      <c r="D2087" s="400">
        <v>2473</v>
      </c>
      <c r="E2087" s="400">
        <v>15</v>
      </c>
      <c r="F2087" s="400" t="s">
        <v>2655</v>
      </c>
      <c r="G2087" s="400" t="s">
        <v>2221</v>
      </c>
      <c r="H2087" s="1238"/>
    </row>
    <row r="2088" spans="1:8" hidden="1">
      <c r="A2088" s="495" t="s">
        <v>2654</v>
      </c>
      <c r="B2088" s="400" t="s">
        <v>684</v>
      </c>
      <c r="C2088" s="400" t="s">
        <v>97</v>
      </c>
      <c r="D2088" s="400">
        <v>2474</v>
      </c>
      <c r="E2088" s="400">
        <v>15</v>
      </c>
      <c r="F2088" s="400" t="s">
        <v>2655</v>
      </c>
      <c r="G2088" s="400" t="s">
        <v>2221</v>
      </c>
      <c r="H2088" s="1238"/>
    </row>
    <row r="2089" spans="1:8" hidden="1">
      <c r="A2089" s="495" t="s">
        <v>2654</v>
      </c>
      <c r="B2089" s="400" t="s">
        <v>684</v>
      </c>
      <c r="C2089" s="400" t="s">
        <v>97</v>
      </c>
      <c r="D2089" s="400">
        <v>2475</v>
      </c>
      <c r="E2089" s="400">
        <v>15</v>
      </c>
      <c r="F2089" s="400" t="s">
        <v>2655</v>
      </c>
      <c r="G2089" s="400" t="s">
        <v>2221</v>
      </c>
      <c r="H2089" s="1238"/>
    </row>
    <row r="2090" spans="1:8" hidden="1">
      <c r="A2090" s="495" t="s">
        <v>2654</v>
      </c>
      <c r="B2090" s="400" t="s">
        <v>684</v>
      </c>
      <c r="C2090" s="400" t="s">
        <v>97</v>
      </c>
      <c r="D2090" s="400">
        <v>2476</v>
      </c>
      <c r="E2090" s="400">
        <v>15</v>
      </c>
      <c r="F2090" s="400" t="s">
        <v>2655</v>
      </c>
      <c r="G2090" s="400" t="s">
        <v>2221</v>
      </c>
      <c r="H2090" s="1238"/>
    </row>
    <row r="2091" spans="1:8" hidden="1">
      <c r="A2091" s="495" t="s">
        <v>2654</v>
      </c>
      <c r="B2091" s="400" t="s">
        <v>684</v>
      </c>
      <c r="C2091" s="400" t="s">
        <v>97</v>
      </c>
      <c r="D2091" s="400">
        <v>2477</v>
      </c>
      <c r="E2091" s="400">
        <v>15</v>
      </c>
      <c r="F2091" s="400" t="s">
        <v>2655</v>
      </c>
      <c r="G2091" s="400" t="s">
        <v>2221</v>
      </c>
      <c r="H2091" s="1238"/>
    </row>
    <row r="2092" spans="1:8" hidden="1">
      <c r="A2092" s="495" t="s">
        <v>2654</v>
      </c>
      <c r="B2092" s="400" t="s">
        <v>684</v>
      </c>
      <c r="C2092" s="400" t="s">
        <v>97</v>
      </c>
      <c r="D2092" s="400">
        <v>2478</v>
      </c>
      <c r="E2092" s="400">
        <v>15</v>
      </c>
      <c r="F2092" s="400" t="s">
        <v>2655</v>
      </c>
      <c r="G2092" s="400" t="s">
        <v>2221</v>
      </c>
      <c r="H2092" s="1238"/>
    </row>
    <row r="2093" spans="1:8" hidden="1">
      <c r="A2093" s="495" t="s">
        <v>2654</v>
      </c>
      <c r="B2093" s="400" t="s">
        <v>684</v>
      </c>
      <c r="C2093" s="400" t="s">
        <v>97</v>
      </c>
      <c r="D2093" s="400">
        <v>2479</v>
      </c>
      <c r="E2093" s="400">
        <v>15</v>
      </c>
      <c r="F2093" s="400" t="s">
        <v>2655</v>
      </c>
      <c r="G2093" s="400" t="s">
        <v>2221</v>
      </c>
      <c r="H2093" s="1238"/>
    </row>
    <row r="2094" spans="1:8" hidden="1">
      <c r="A2094" s="495" t="s">
        <v>2654</v>
      </c>
      <c r="B2094" s="400" t="s">
        <v>684</v>
      </c>
      <c r="C2094" s="400" t="s">
        <v>97</v>
      </c>
      <c r="D2094" s="400">
        <v>2480</v>
      </c>
      <c r="E2094" s="400">
        <v>15</v>
      </c>
      <c r="F2094" s="400" t="s">
        <v>2655</v>
      </c>
      <c r="G2094" s="400" t="s">
        <v>2221</v>
      </c>
      <c r="H2094" s="1238"/>
    </row>
    <row r="2095" spans="1:8" hidden="1">
      <c r="A2095" s="495" t="s">
        <v>2654</v>
      </c>
      <c r="B2095" s="400" t="s">
        <v>684</v>
      </c>
      <c r="C2095" s="400" t="s">
        <v>97</v>
      </c>
      <c r="D2095" s="400">
        <v>2481</v>
      </c>
      <c r="E2095" s="400">
        <v>15</v>
      </c>
      <c r="F2095" s="400" t="s">
        <v>2655</v>
      </c>
      <c r="G2095" s="400" t="s">
        <v>2221</v>
      </c>
      <c r="H2095" s="1238"/>
    </row>
    <row r="2096" spans="1:8" hidden="1">
      <c r="A2096" s="495" t="s">
        <v>2654</v>
      </c>
      <c r="B2096" s="400" t="s">
        <v>684</v>
      </c>
      <c r="C2096" s="400" t="s">
        <v>97</v>
      </c>
      <c r="D2096" s="400">
        <v>2482</v>
      </c>
      <c r="E2096" s="400">
        <v>15</v>
      </c>
      <c r="F2096" s="400" t="s">
        <v>2655</v>
      </c>
      <c r="G2096" s="400" t="s">
        <v>2221</v>
      </c>
      <c r="H2096" s="1238"/>
    </row>
    <row r="2097" spans="1:8" hidden="1">
      <c r="A2097" s="495" t="s">
        <v>2654</v>
      </c>
      <c r="B2097" s="400" t="s">
        <v>684</v>
      </c>
      <c r="C2097" s="400" t="s">
        <v>97</v>
      </c>
      <c r="D2097" s="400">
        <v>2483</v>
      </c>
      <c r="E2097" s="400">
        <v>15</v>
      </c>
      <c r="F2097" s="400" t="s">
        <v>2655</v>
      </c>
      <c r="G2097" s="400" t="s">
        <v>2221</v>
      </c>
      <c r="H2097" s="1238"/>
    </row>
    <row r="2098" spans="1:8" hidden="1">
      <c r="A2098" s="495" t="s">
        <v>2654</v>
      </c>
      <c r="B2098" s="400" t="s">
        <v>684</v>
      </c>
      <c r="C2098" s="400" t="s">
        <v>97</v>
      </c>
      <c r="D2098" s="400">
        <v>2484</v>
      </c>
      <c r="E2098" s="400">
        <v>15</v>
      </c>
      <c r="F2098" s="400" t="s">
        <v>2655</v>
      </c>
      <c r="G2098" s="400" t="s">
        <v>2221</v>
      </c>
      <c r="H2098" s="1238"/>
    </row>
    <row r="2099" spans="1:8" hidden="1">
      <c r="A2099" s="495" t="s">
        <v>2654</v>
      </c>
      <c r="B2099" s="400" t="s">
        <v>684</v>
      </c>
      <c r="C2099" s="400" t="s">
        <v>97</v>
      </c>
      <c r="D2099" s="400">
        <v>2485</v>
      </c>
      <c r="E2099" s="400">
        <v>15</v>
      </c>
      <c r="F2099" s="400" t="s">
        <v>2655</v>
      </c>
      <c r="G2099" s="400" t="s">
        <v>2221</v>
      </c>
      <c r="H2099" s="1238"/>
    </row>
    <row r="2100" spans="1:8" hidden="1">
      <c r="A2100" s="495" t="s">
        <v>2654</v>
      </c>
      <c r="B2100" s="400" t="s">
        <v>684</v>
      </c>
      <c r="C2100" s="400" t="s">
        <v>97</v>
      </c>
      <c r="D2100" s="400">
        <v>2486</v>
      </c>
      <c r="E2100" s="400">
        <v>15</v>
      </c>
      <c r="F2100" s="400" t="s">
        <v>2655</v>
      </c>
      <c r="G2100" s="400" t="s">
        <v>2221</v>
      </c>
      <c r="H2100" s="1238"/>
    </row>
    <row r="2101" spans="1:8" hidden="1">
      <c r="A2101" s="495" t="s">
        <v>2654</v>
      </c>
      <c r="B2101" s="400" t="s">
        <v>684</v>
      </c>
      <c r="C2101" s="400" t="s">
        <v>97</v>
      </c>
      <c r="D2101" s="400">
        <v>2487</v>
      </c>
      <c r="E2101" s="400">
        <v>15</v>
      </c>
      <c r="F2101" s="400" t="s">
        <v>2655</v>
      </c>
      <c r="G2101" s="400" t="s">
        <v>2221</v>
      </c>
      <c r="H2101" s="1238"/>
    </row>
    <row r="2102" spans="1:8" hidden="1">
      <c r="A2102" s="495" t="s">
        <v>2654</v>
      </c>
      <c r="B2102" s="400" t="s">
        <v>684</v>
      </c>
      <c r="C2102" s="400" t="s">
        <v>97</v>
      </c>
      <c r="D2102" s="400">
        <v>2488</v>
      </c>
      <c r="E2102" s="400">
        <v>15</v>
      </c>
      <c r="F2102" s="400" t="s">
        <v>2655</v>
      </c>
      <c r="G2102" s="400" t="s">
        <v>2221</v>
      </c>
      <c r="H2102" s="1238"/>
    </row>
    <row r="2103" spans="1:8" hidden="1">
      <c r="A2103" s="495" t="s">
        <v>2654</v>
      </c>
      <c r="B2103" s="400" t="s">
        <v>684</v>
      </c>
      <c r="C2103" s="400" t="s">
        <v>97</v>
      </c>
      <c r="D2103" s="400">
        <v>2489</v>
      </c>
      <c r="E2103" s="400">
        <v>15</v>
      </c>
      <c r="F2103" s="400" t="s">
        <v>2655</v>
      </c>
      <c r="G2103" s="400" t="s">
        <v>2221</v>
      </c>
      <c r="H2103" s="1238"/>
    </row>
    <row r="2104" spans="1:8" hidden="1">
      <c r="A2104" s="495" t="s">
        <v>2654</v>
      </c>
      <c r="B2104" s="400" t="s">
        <v>684</v>
      </c>
      <c r="C2104" s="400" t="s">
        <v>97</v>
      </c>
      <c r="D2104" s="400">
        <v>2490</v>
      </c>
      <c r="E2104" s="400">
        <v>15</v>
      </c>
      <c r="F2104" s="400" t="s">
        <v>2655</v>
      </c>
      <c r="G2104" s="400" t="s">
        <v>2221</v>
      </c>
      <c r="H2104" s="1238"/>
    </row>
    <row r="2105" spans="1:8" hidden="1">
      <c r="A2105" s="495" t="s">
        <v>2654</v>
      </c>
      <c r="B2105" s="400" t="s">
        <v>684</v>
      </c>
      <c r="C2105" s="400" t="s">
        <v>97</v>
      </c>
      <c r="D2105" s="400">
        <v>2491</v>
      </c>
      <c r="E2105" s="400">
        <v>15</v>
      </c>
      <c r="F2105" s="400" t="s">
        <v>2655</v>
      </c>
      <c r="G2105" s="400" t="s">
        <v>2221</v>
      </c>
      <c r="H2105" s="1238"/>
    </row>
    <row r="2106" spans="1:8" hidden="1">
      <c r="A2106" s="495" t="s">
        <v>2654</v>
      </c>
      <c r="B2106" s="400" t="s">
        <v>684</v>
      </c>
      <c r="C2106" s="400" t="s">
        <v>97</v>
      </c>
      <c r="D2106" s="400">
        <v>2492</v>
      </c>
      <c r="E2106" s="400">
        <v>15</v>
      </c>
      <c r="F2106" s="400" t="s">
        <v>2655</v>
      </c>
      <c r="G2106" s="400" t="s">
        <v>2221</v>
      </c>
      <c r="H2106" s="1238"/>
    </row>
    <row r="2107" spans="1:8" hidden="1">
      <c r="A2107" s="495" t="s">
        <v>2654</v>
      </c>
      <c r="B2107" s="400" t="s">
        <v>684</v>
      </c>
      <c r="C2107" s="400" t="s">
        <v>97</v>
      </c>
      <c r="D2107" s="400">
        <v>2493</v>
      </c>
      <c r="E2107" s="400">
        <v>15</v>
      </c>
      <c r="F2107" s="400" t="s">
        <v>2655</v>
      </c>
      <c r="G2107" s="400" t="s">
        <v>2221</v>
      </c>
      <c r="H2107" s="1238"/>
    </row>
    <row r="2108" spans="1:8" hidden="1">
      <c r="A2108" s="495" t="s">
        <v>2654</v>
      </c>
      <c r="B2108" s="400" t="s">
        <v>684</v>
      </c>
      <c r="C2108" s="400" t="s">
        <v>97</v>
      </c>
      <c r="D2108" s="400">
        <v>2494</v>
      </c>
      <c r="E2108" s="400">
        <v>15</v>
      </c>
      <c r="F2108" s="400" t="s">
        <v>2655</v>
      </c>
      <c r="G2108" s="400" t="s">
        <v>2221</v>
      </c>
      <c r="H2108" s="1238"/>
    </row>
    <row r="2109" spans="1:8" hidden="1">
      <c r="A2109" s="495" t="s">
        <v>2654</v>
      </c>
      <c r="B2109" s="400" t="s">
        <v>684</v>
      </c>
      <c r="C2109" s="400" t="s">
        <v>97</v>
      </c>
      <c r="D2109" s="400">
        <v>2495</v>
      </c>
      <c r="E2109" s="400">
        <v>15</v>
      </c>
      <c r="F2109" s="400" t="s">
        <v>2655</v>
      </c>
      <c r="G2109" s="400" t="s">
        <v>2221</v>
      </c>
      <c r="H2109" s="1238"/>
    </row>
    <row r="2110" spans="1:8" hidden="1">
      <c r="A2110" s="495" t="s">
        <v>2654</v>
      </c>
      <c r="B2110" s="400" t="s">
        <v>684</v>
      </c>
      <c r="C2110" s="400" t="s">
        <v>97</v>
      </c>
      <c r="D2110" s="400">
        <v>2496</v>
      </c>
      <c r="E2110" s="400">
        <v>15</v>
      </c>
      <c r="F2110" s="400" t="s">
        <v>2655</v>
      </c>
      <c r="G2110" s="400" t="s">
        <v>2221</v>
      </c>
      <c r="H2110" s="1238"/>
    </row>
    <row r="2111" spans="1:8" hidden="1">
      <c r="A2111" s="495" t="s">
        <v>2654</v>
      </c>
      <c r="B2111" s="400" t="s">
        <v>684</v>
      </c>
      <c r="C2111" s="400" t="s">
        <v>97</v>
      </c>
      <c r="D2111" s="400">
        <v>2497</v>
      </c>
      <c r="E2111" s="400">
        <v>15</v>
      </c>
      <c r="F2111" s="400" t="s">
        <v>2655</v>
      </c>
      <c r="G2111" s="400" t="s">
        <v>2221</v>
      </c>
      <c r="H2111" s="1238"/>
    </row>
    <row r="2112" spans="1:8" hidden="1">
      <c r="A2112" s="495" t="s">
        <v>2654</v>
      </c>
      <c r="B2112" s="400" t="s">
        <v>684</v>
      </c>
      <c r="C2112" s="400" t="s">
        <v>97</v>
      </c>
      <c r="D2112" s="400">
        <v>2497</v>
      </c>
      <c r="E2112" s="400">
        <v>15</v>
      </c>
      <c r="F2112" s="400" t="s">
        <v>2655</v>
      </c>
      <c r="G2112" s="400" t="s">
        <v>2221</v>
      </c>
      <c r="H2112" s="1238"/>
    </row>
    <row r="2113" spans="1:8" hidden="1">
      <c r="A2113" s="495" t="s">
        <v>2654</v>
      </c>
      <c r="B2113" s="400" t="s">
        <v>684</v>
      </c>
      <c r="C2113" s="400" t="s">
        <v>97</v>
      </c>
      <c r="D2113" s="400">
        <v>2498</v>
      </c>
      <c r="E2113" s="400">
        <v>15</v>
      </c>
      <c r="F2113" s="400" t="s">
        <v>2655</v>
      </c>
      <c r="G2113" s="400" t="s">
        <v>2221</v>
      </c>
      <c r="H2113" s="1238"/>
    </row>
    <row r="2114" spans="1:8" hidden="1">
      <c r="A2114" s="495" t="s">
        <v>2654</v>
      </c>
      <c r="B2114" s="400" t="s">
        <v>684</v>
      </c>
      <c r="C2114" s="400" t="s">
        <v>97</v>
      </c>
      <c r="D2114" s="400">
        <v>2499</v>
      </c>
      <c r="E2114" s="400">
        <v>15</v>
      </c>
      <c r="F2114" s="400" t="s">
        <v>2655</v>
      </c>
      <c r="G2114" s="400" t="s">
        <v>2221</v>
      </c>
      <c r="H2114" s="1238"/>
    </row>
    <row r="2115" spans="1:8" hidden="1">
      <c r="A2115" s="495" t="s">
        <v>2654</v>
      </c>
      <c r="B2115" s="400" t="s">
        <v>684</v>
      </c>
      <c r="C2115" s="400" t="s">
        <v>97</v>
      </c>
      <c r="D2115" s="400">
        <v>2500</v>
      </c>
      <c r="E2115" s="400">
        <v>15</v>
      </c>
      <c r="F2115" s="400" t="s">
        <v>2655</v>
      </c>
      <c r="G2115" s="400" t="s">
        <v>2221</v>
      </c>
      <c r="H2115" s="1238"/>
    </row>
    <row r="2116" spans="1:8" hidden="1">
      <c r="A2116" s="495" t="s">
        <v>2654</v>
      </c>
      <c r="B2116" s="400" t="s">
        <v>684</v>
      </c>
      <c r="C2116" s="400" t="s">
        <v>97</v>
      </c>
      <c r="D2116" s="400">
        <v>2501</v>
      </c>
      <c r="E2116" s="400">
        <v>15</v>
      </c>
      <c r="F2116" s="400" t="s">
        <v>2655</v>
      </c>
      <c r="G2116" s="400" t="s">
        <v>2221</v>
      </c>
      <c r="H2116" s="1238"/>
    </row>
    <row r="2117" spans="1:8" hidden="1">
      <c r="A2117" s="495" t="s">
        <v>2654</v>
      </c>
      <c r="B2117" s="400" t="s">
        <v>684</v>
      </c>
      <c r="C2117" s="400" t="s">
        <v>97</v>
      </c>
      <c r="D2117" s="400">
        <v>2502</v>
      </c>
      <c r="E2117" s="400">
        <v>15</v>
      </c>
      <c r="F2117" s="400" t="s">
        <v>2655</v>
      </c>
      <c r="G2117" s="400" t="s">
        <v>2221</v>
      </c>
      <c r="H2117" s="1238"/>
    </row>
    <row r="2118" spans="1:8" hidden="1">
      <c r="A2118" s="495" t="s">
        <v>2654</v>
      </c>
      <c r="B2118" s="400" t="s">
        <v>684</v>
      </c>
      <c r="C2118" s="400" t="s">
        <v>97</v>
      </c>
      <c r="D2118" s="400">
        <v>2503</v>
      </c>
      <c r="E2118" s="400">
        <v>15</v>
      </c>
      <c r="F2118" s="400" t="s">
        <v>2655</v>
      </c>
      <c r="G2118" s="400" t="s">
        <v>2221</v>
      </c>
      <c r="H2118" s="1238"/>
    </row>
    <row r="2119" spans="1:8" hidden="1">
      <c r="A2119" s="495" t="s">
        <v>2654</v>
      </c>
      <c r="B2119" s="400" t="s">
        <v>684</v>
      </c>
      <c r="C2119" s="400" t="s">
        <v>97</v>
      </c>
      <c r="D2119" s="400">
        <v>2504</v>
      </c>
      <c r="E2119" s="400">
        <v>15</v>
      </c>
      <c r="F2119" s="400" t="s">
        <v>2655</v>
      </c>
      <c r="G2119" s="400" t="s">
        <v>2221</v>
      </c>
      <c r="H2119" s="1238"/>
    </row>
    <row r="2120" spans="1:8" hidden="1">
      <c r="A2120" s="495" t="s">
        <v>2654</v>
      </c>
      <c r="B2120" s="400" t="s">
        <v>684</v>
      </c>
      <c r="C2120" s="400" t="s">
        <v>97</v>
      </c>
      <c r="D2120" s="400">
        <v>2505</v>
      </c>
      <c r="E2120" s="400">
        <v>15</v>
      </c>
      <c r="F2120" s="400" t="s">
        <v>2655</v>
      </c>
      <c r="G2120" s="400" t="s">
        <v>2221</v>
      </c>
      <c r="H2120" s="1238"/>
    </row>
    <row r="2121" spans="1:8" hidden="1">
      <c r="A2121" s="495" t="s">
        <v>2654</v>
      </c>
      <c r="B2121" s="400" t="s">
        <v>684</v>
      </c>
      <c r="C2121" s="400" t="s">
        <v>97</v>
      </c>
      <c r="D2121" s="400">
        <v>2506</v>
      </c>
      <c r="E2121" s="400">
        <v>15</v>
      </c>
      <c r="F2121" s="400" t="s">
        <v>2655</v>
      </c>
      <c r="G2121" s="400" t="s">
        <v>2221</v>
      </c>
      <c r="H2121" s="1238"/>
    </row>
    <row r="2122" spans="1:8" hidden="1">
      <c r="A2122" s="495" t="s">
        <v>2654</v>
      </c>
      <c r="B2122" s="400" t="s">
        <v>684</v>
      </c>
      <c r="C2122" s="400" t="s">
        <v>97</v>
      </c>
      <c r="D2122" s="400">
        <v>2507</v>
      </c>
      <c r="E2122" s="400">
        <v>15</v>
      </c>
      <c r="F2122" s="400" t="s">
        <v>2655</v>
      </c>
      <c r="G2122" s="400" t="s">
        <v>2221</v>
      </c>
      <c r="H2122" s="1238"/>
    </row>
    <row r="2123" spans="1:8" hidden="1">
      <c r="A2123" s="495" t="s">
        <v>2654</v>
      </c>
      <c r="B2123" s="400" t="s">
        <v>684</v>
      </c>
      <c r="C2123" s="400" t="s">
        <v>97</v>
      </c>
      <c r="D2123" s="400">
        <v>2508</v>
      </c>
      <c r="E2123" s="400">
        <v>15</v>
      </c>
      <c r="F2123" s="400" t="s">
        <v>2655</v>
      </c>
      <c r="G2123" s="400" t="s">
        <v>2221</v>
      </c>
      <c r="H2123" s="1238"/>
    </row>
    <row r="2124" spans="1:8" hidden="1">
      <c r="A2124" s="495" t="s">
        <v>2654</v>
      </c>
      <c r="B2124" s="400" t="s">
        <v>684</v>
      </c>
      <c r="C2124" s="400" t="s">
        <v>97</v>
      </c>
      <c r="D2124" s="400">
        <v>2509</v>
      </c>
      <c r="E2124" s="400">
        <v>15</v>
      </c>
      <c r="F2124" s="400" t="s">
        <v>2655</v>
      </c>
      <c r="G2124" s="400" t="s">
        <v>2221</v>
      </c>
      <c r="H2124" s="1238"/>
    </row>
    <row r="2125" spans="1:8" hidden="1">
      <c r="A2125" s="495" t="s">
        <v>2654</v>
      </c>
      <c r="B2125" s="400" t="s">
        <v>684</v>
      </c>
      <c r="C2125" s="400" t="s">
        <v>97</v>
      </c>
      <c r="D2125" s="400">
        <v>2510</v>
      </c>
      <c r="E2125" s="400">
        <v>15</v>
      </c>
      <c r="F2125" s="400" t="s">
        <v>2655</v>
      </c>
      <c r="G2125" s="400" t="s">
        <v>2221</v>
      </c>
      <c r="H2125" s="1238"/>
    </row>
    <row r="2126" spans="1:8" hidden="1">
      <c r="A2126" s="495" t="s">
        <v>2654</v>
      </c>
      <c r="B2126" s="400" t="s">
        <v>684</v>
      </c>
      <c r="C2126" s="400" t="s">
        <v>97</v>
      </c>
      <c r="D2126" s="400">
        <v>2511</v>
      </c>
      <c r="E2126" s="400">
        <v>15</v>
      </c>
      <c r="F2126" s="400" t="s">
        <v>2655</v>
      </c>
      <c r="G2126" s="400" t="s">
        <v>2221</v>
      </c>
      <c r="H2126" s="1238"/>
    </row>
    <row r="2127" spans="1:8" hidden="1">
      <c r="A2127" s="495" t="s">
        <v>2654</v>
      </c>
      <c r="B2127" s="400" t="s">
        <v>684</v>
      </c>
      <c r="C2127" s="400" t="s">
        <v>97</v>
      </c>
      <c r="D2127" s="400">
        <v>2512</v>
      </c>
      <c r="E2127" s="400">
        <v>15</v>
      </c>
      <c r="F2127" s="400" t="s">
        <v>2655</v>
      </c>
      <c r="G2127" s="400" t="s">
        <v>2221</v>
      </c>
      <c r="H2127" s="1238"/>
    </row>
    <row r="2128" spans="1:8" hidden="1">
      <c r="A2128" s="495" t="s">
        <v>2654</v>
      </c>
      <c r="B2128" s="400" t="s">
        <v>684</v>
      </c>
      <c r="C2128" s="400" t="s">
        <v>97</v>
      </c>
      <c r="D2128" s="400">
        <v>2513</v>
      </c>
      <c r="E2128" s="400">
        <v>15</v>
      </c>
      <c r="F2128" s="400" t="s">
        <v>2655</v>
      </c>
      <c r="G2128" s="400" t="s">
        <v>2221</v>
      </c>
      <c r="H2128" s="1238"/>
    </row>
    <row r="2129" spans="1:8" hidden="1">
      <c r="A2129" s="495" t="s">
        <v>2654</v>
      </c>
      <c r="B2129" s="400" t="s">
        <v>684</v>
      </c>
      <c r="C2129" s="400" t="s">
        <v>97</v>
      </c>
      <c r="D2129" s="400">
        <v>2514</v>
      </c>
      <c r="E2129" s="400">
        <v>15</v>
      </c>
      <c r="F2129" s="400" t="s">
        <v>2655</v>
      </c>
      <c r="G2129" s="400" t="s">
        <v>2221</v>
      </c>
      <c r="H2129" s="1238"/>
    </row>
    <row r="2130" spans="1:8" hidden="1">
      <c r="A2130" s="495" t="s">
        <v>2654</v>
      </c>
      <c r="B2130" s="400" t="s">
        <v>684</v>
      </c>
      <c r="C2130" s="400" t="s">
        <v>97</v>
      </c>
      <c r="D2130" s="400">
        <v>2515</v>
      </c>
      <c r="E2130" s="400">
        <v>15</v>
      </c>
      <c r="F2130" s="400" t="s">
        <v>2655</v>
      </c>
      <c r="G2130" s="400" t="s">
        <v>2221</v>
      </c>
      <c r="H2130" s="1238"/>
    </row>
    <row r="2131" spans="1:8" hidden="1">
      <c r="A2131" s="495" t="s">
        <v>2654</v>
      </c>
      <c r="B2131" s="400" t="s">
        <v>684</v>
      </c>
      <c r="C2131" s="400" t="s">
        <v>97</v>
      </c>
      <c r="D2131" s="400">
        <v>2516</v>
      </c>
      <c r="E2131" s="400">
        <v>15</v>
      </c>
      <c r="F2131" s="400" t="s">
        <v>2655</v>
      </c>
      <c r="G2131" s="400" t="s">
        <v>2221</v>
      </c>
      <c r="H2131" s="1238"/>
    </row>
    <row r="2132" spans="1:8" hidden="1">
      <c r="A2132" s="495" t="s">
        <v>2654</v>
      </c>
      <c r="B2132" s="400" t="s">
        <v>684</v>
      </c>
      <c r="C2132" s="400" t="s">
        <v>97</v>
      </c>
      <c r="D2132" s="400">
        <v>2517</v>
      </c>
      <c r="E2132" s="400">
        <v>15</v>
      </c>
      <c r="F2132" s="400" t="s">
        <v>2655</v>
      </c>
      <c r="G2132" s="400" t="s">
        <v>2221</v>
      </c>
      <c r="H2132" s="1238"/>
    </row>
    <row r="2133" spans="1:8" hidden="1">
      <c r="A2133" s="495" t="s">
        <v>2654</v>
      </c>
      <c r="B2133" s="400" t="s">
        <v>684</v>
      </c>
      <c r="C2133" s="400" t="s">
        <v>97</v>
      </c>
      <c r="D2133" s="400">
        <v>2518</v>
      </c>
      <c r="E2133" s="400">
        <v>15</v>
      </c>
      <c r="F2133" s="400" t="s">
        <v>2655</v>
      </c>
      <c r="G2133" s="400" t="s">
        <v>2221</v>
      </c>
      <c r="H2133" s="1238"/>
    </row>
    <row r="2134" spans="1:8" hidden="1">
      <c r="A2134" s="495" t="s">
        <v>2654</v>
      </c>
      <c r="B2134" s="400" t="s">
        <v>684</v>
      </c>
      <c r="C2134" s="400" t="s">
        <v>97</v>
      </c>
      <c r="D2134" s="400">
        <v>2519</v>
      </c>
      <c r="E2134" s="400">
        <v>15</v>
      </c>
      <c r="F2134" s="400" t="s">
        <v>2655</v>
      </c>
      <c r="G2134" s="400" t="s">
        <v>2221</v>
      </c>
      <c r="H2134" s="1238"/>
    </row>
    <row r="2135" spans="1:8" hidden="1">
      <c r="A2135" s="495" t="s">
        <v>2654</v>
      </c>
      <c r="B2135" s="400" t="s">
        <v>684</v>
      </c>
      <c r="C2135" s="400" t="s">
        <v>97</v>
      </c>
      <c r="D2135" s="400">
        <v>2520</v>
      </c>
      <c r="E2135" s="400">
        <v>15</v>
      </c>
      <c r="F2135" s="400" t="s">
        <v>2655</v>
      </c>
      <c r="G2135" s="400" t="s">
        <v>2221</v>
      </c>
      <c r="H2135" s="1238"/>
    </row>
    <row r="2136" spans="1:8" hidden="1">
      <c r="A2136" s="495" t="s">
        <v>2654</v>
      </c>
      <c r="B2136" s="400" t="s">
        <v>684</v>
      </c>
      <c r="C2136" s="400" t="s">
        <v>97</v>
      </c>
      <c r="D2136" s="400">
        <v>2521</v>
      </c>
      <c r="E2136" s="400">
        <v>15</v>
      </c>
      <c r="F2136" s="400" t="s">
        <v>2655</v>
      </c>
      <c r="G2136" s="400" t="s">
        <v>2221</v>
      </c>
      <c r="H2136" s="1238"/>
    </row>
    <row r="2137" spans="1:8" hidden="1">
      <c r="A2137" s="495" t="s">
        <v>2654</v>
      </c>
      <c r="B2137" s="400" t="s">
        <v>684</v>
      </c>
      <c r="C2137" s="400" t="s">
        <v>97</v>
      </c>
      <c r="D2137" s="400">
        <v>2522</v>
      </c>
      <c r="E2137" s="400">
        <v>15</v>
      </c>
      <c r="F2137" s="400" t="s">
        <v>2655</v>
      </c>
      <c r="G2137" s="400" t="s">
        <v>2221</v>
      </c>
      <c r="H2137" s="1238"/>
    </row>
    <row r="2138" spans="1:8" hidden="1">
      <c r="A2138" s="495" t="s">
        <v>2654</v>
      </c>
      <c r="B2138" s="400" t="s">
        <v>684</v>
      </c>
      <c r="C2138" s="400" t="s">
        <v>97</v>
      </c>
      <c r="D2138" s="400">
        <v>2523</v>
      </c>
      <c r="E2138" s="400">
        <v>15</v>
      </c>
      <c r="F2138" s="400" t="s">
        <v>2655</v>
      </c>
      <c r="G2138" s="400" t="s">
        <v>2221</v>
      </c>
      <c r="H2138" s="1238"/>
    </row>
    <row r="2139" spans="1:8" hidden="1">
      <c r="A2139" s="495" t="s">
        <v>2654</v>
      </c>
      <c r="B2139" s="400" t="s">
        <v>684</v>
      </c>
      <c r="C2139" s="400" t="s">
        <v>97</v>
      </c>
      <c r="D2139" s="400">
        <v>2524</v>
      </c>
      <c r="E2139" s="400">
        <v>15</v>
      </c>
      <c r="F2139" s="400" t="s">
        <v>2655</v>
      </c>
      <c r="G2139" s="400" t="s">
        <v>2221</v>
      </c>
      <c r="H2139" s="1238"/>
    </row>
    <row r="2140" spans="1:8" hidden="1">
      <c r="A2140" s="495" t="s">
        <v>2654</v>
      </c>
      <c r="B2140" s="400" t="s">
        <v>684</v>
      </c>
      <c r="C2140" s="400" t="s">
        <v>97</v>
      </c>
      <c r="D2140" s="400">
        <v>2525</v>
      </c>
      <c r="E2140" s="400">
        <v>15</v>
      </c>
      <c r="F2140" s="400" t="s">
        <v>2655</v>
      </c>
      <c r="G2140" s="400" t="s">
        <v>2221</v>
      </c>
      <c r="H2140" s="1238"/>
    </row>
    <row r="2141" spans="1:8" hidden="1">
      <c r="A2141" s="495" t="s">
        <v>2654</v>
      </c>
      <c r="B2141" s="400" t="s">
        <v>684</v>
      </c>
      <c r="C2141" s="400" t="s">
        <v>97</v>
      </c>
      <c r="D2141" s="400">
        <v>2526</v>
      </c>
      <c r="E2141" s="400">
        <v>15</v>
      </c>
      <c r="F2141" s="400" t="s">
        <v>2655</v>
      </c>
      <c r="G2141" s="400" t="s">
        <v>2221</v>
      </c>
      <c r="H2141" s="1238"/>
    </row>
    <row r="2142" spans="1:8" hidden="1">
      <c r="A2142" s="495" t="s">
        <v>2654</v>
      </c>
      <c r="B2142" s="400" t="s">
        <v>684</v>
      </c>
      <c r="C2142" s="400" t="s">
        <v>97</v>
      </c>
      <c r="D2142" s="400">
        <v>2527</v>
      </c>
      <c r="E2142" s="400">
        <v>15</v>
      </c>
      <c r="F2142" s="400" t="s">
        <v>2655</v>
      </c>
      <c r="G2142" s="400" t="s">
        <v>2221</v>
      </c>
      <c r="H2142" s="1238"/>
    </row>
    <row r="2143" spans="1:8" hidden="1">
      <c r="A2143" s="495" t="s">
        <v>2654</v>
      </c>
      <c r="B2143" s="400" t="s">
        <v>684</v>
      </c>
      <c r="C2143" s="400" t="s">
        <v>97</v>
      </c>
      <c r="D2143" s="400">
        <v>2528</v>
      </c>
      <c r="E2143" s="400">
        <v>15</v>
      </c>
      <c r="F2143" s="400" t="s">
        <v>2655</v>
      </c>
      <c r="G2143" s="400" t="s">
        <v>2221</v>
      </c>
      <c r="H2143" s="1238"/>
    </row>
    <row r="2144" spans="1:8" hidden="1">
      <c r="A2144" s="495" t="s">
        <v>2654</v>
      </c>
      <c r="B2144" s="400" t="s">
        <v>684</v>
      </c>
      <c r="C2144" s="400" t="s">
        <v>97</v>
      </c>
      <c r="D2144" s="400">
        <v>2529</v>
      </c>
      <c r="E2144" s="400">
        <v>15</v>
      </c>
      <c r="F2144" s="400" t="s">
        <v>2655</v>
      </c>
      <c r="G2144" s="400" t="s">
        <v>2221</v>
      </c>
      <c r="H2144" s="1238"/>
    </row>
    <row r="2145" spans="1:8" hidden="1">
      <c r="A2145" s="495" t="s">
        <v>2654</v>
      </c>
      <c r="B2145" s="400" t="s">
        <v>684</v>
      </c>
      <c r="C2145" s="400" t="s">
        <v>97</v>
      </c>
      <c r="D2145" s="400">
        <v>2530</v>
      </c>
      <c r="E2145" s="400">
        <v>15</v>
      </c>
      <c r="F2145" s="400" t="s">
        <v>2655</v>
      </c>
      <c r="G2145" s="400" t="s">
        <v>2221</v>
      </c>
      <c r="H2145" s="1238"/>
    </row>
    <row r="2146" spans="1:8" hidden="1">
      <c r="A2146" s="495" t="s">
        <v>2654</v>
      </c>
      <c r="B2146" s="400" t="s">
        <v>684</v>
      </c>
      <c r="C2146" s="400" t="s">
        <v>97</v>
      </c>
      <c r="D2146" s="400">
        <v>2531</v>
      </c>
      <c r="E2146" s="400">
        <v>15</v>
      </c>
      <c r="F2146" s="400" t="s">
        <v>2655</v>
      </c>
      <c r="G2146" s="400" t="s">
        <v>2221</v>
      </c>
      <c r="H2146" s="1238"/>
    </row>
    <row r="2147" spans="1:8" hidden="1">
      <c r="A2147" s="495" t="s">
        <v>2654</v>
      </c>
      <c r="B2147" s="400" t="s">
        <v>684</v>
      </c>
      <c r="C2147" s="400" t="s">
        <v>97</v>
      </c>
      <c r="D2147" s="400">
        <v>2532</v>
      </c>
      <c r="E2147" s="400">
        <v>15</v>
      </c>
      <c r="F2147" s="400" t="s">
        <v>2655</v>
      </c>
      <c r="G2147" s="400" t="s">
        <v>2221</v>
      </c>
      <c r="H2147" s="1238"/>
    </row>
    <row r="2148" spans="1:8" hidden="1">
      <c r="A2148" s="495" t="s">
        <v>2654</v>
      </c>
      <c r="B2148" s="400" t="s">
        <v>684</v>
      </c>
      <c r="C2148" s="400" t="s">
        <v>97</v>
      </c>
      <c r="D2148" s="400">
        <v>2533</v>
      </c>
      <c r="E2148" s="400">
        <v>15</v>
      </c>
      <c r="F2148" s="400" t="s">
        <v>2655</v>
      </c>
      <c r="G2148" s="400" t="s">
        <v>2221</v>
      </c>
      <c r="H2148" s="1238"/>
    </row>
    <row r="2149" spans="1:8" hidden="1">
      <c r="A2149" s="495" t="s">
        <v>2654</v>
      </c>
      <c r="B2149" s="400" t="s">
        <v>684</v>
      </c>
      <c r="C2149" s="400" t="s">
        <v>97</v>
      </c>
      <c r="D2149" s="400">
        <v>2534</v>
      </c>
      <c r="E2149" s="400">
        <v>15</v>
      </c>
      <c r="F2149" s="400" t="s">
        <v>2655</v>
      </c>
      <c r="G2149" s="400" t="s">
        <v>2221</v>
      </c>
      <c r="H2149" s="1238"/>
    </row>
    <row r="2150" spans="1:8" hidden="1">
      <c r="A2150" s="495" t="s">
        <v>2654</v>
      </c>
      <c r="B2150" s="400" t="s">
        <v>684</v>
      </c>
      <c r="C2150" s="400" t="s">
        <v>97</v>
      </c>
      <c r="D2150" s="400">
        <v>2535</v>
      </c>
      <c r="E2150" s="400">
        <v>15</v>
      </c>
      <c r="F2150" s="400" t="s">
        <v>2655</v>
      </c>
      <c r="G2150" s="400" t="s">
        <v>2221</v>
      </c>
      <c r="H2150" s="1238"/>
    </row>
    <row r="2151" spans="1:8" hidden="1">
      <c r="A2151" s="495" t="s">
        <v>2654</v>
      </c>
      <c r="B2151" s="400" t="s">
        <v>684</v>
      </c>
      <c r="C2151" s="400" t="s">
        <v>97</v>
      </c>
      <c r="D2151" s="400">
        <v>2536</v>
      </c>
      <c r="E2151" s="400">
        <v>15</v>
      </c>
      <c r="F2151" s="400" t="s">
        <v>2655</v>
      </c>
      <c r="G2151" s="400" t="s">
        <v>2221</v>
      </c>
      <c r="H2151" s="1238"/>
    </row>
    <row r="2152" spans="1:8" hidden="1">
      <c r="A2152" s="495" t="s">
        <v>2654</v>
      </c>
      <c r="B2152" s="400" t="s">
        <v>684</v>
      </c>
      <c r="C2152" s="400" t="s">
        <v>97</v>
      </c>
      <c r="D2152" s="400">
        <v>2537</v>
      </c>
      <c r="E2152" s="400">
        <v>15</v>
      </c>
      <c r="F2152" s="400" t="s">
        <v>2655</v>
      </c>
      <c r="G2152" s="400" t="s">
        <v>2221</v>
      </c>
      <c r="H2152" s="1238"/>
    </row>
    <row r="2153" spans="1:8" hidden="1">
      <c r="A2153" s="495" t="s">
        <v>2654</v>
      </c>
      <c r="B2153" s="400" t="s">
        <v>684</v>
      </c>
      <c r="C2153" s="400" t="s">
        <v>97</v>
      </c>
      <c r="D2153" s="400">
        <v>2538</v>
      </c>
      <c r="E2153" s="400">
        <v>15</v>
      </c>
      <c r="F2153" s="400" t="s">
        <v>2655</v>
      </c>
      <c r="G2153" s="400" t="s">
        <v>2221</v>
      </c>
      <c r="H2153" s="1238"/>
    </row>
    <row r="2154" spans="1:8" hidden="1">
      <c r="A2154" s="495" t="s">
        <v>2654</v>
      </c>
      <c r="B2154" s="400" t="s">
        <v>684</v>
      </c>
      <c r="C2154" s="400" t="s">
        <v>97</v>
      </c>
      <c r="D2154" s="400">
        <v>2539</v>
      </c>
      <c r="E2154" s="400">
        <v>15</v>
      </c>
      <c r="F2154" s="400" t="s">
        <v>2655</v>
      </c>
      <c r="G2154" s="400" t="s">
        <v>2221</v>
      </c>
      <c r="H2154" s="1238"/>
    </row>
    <row r="2155" spans="1:8" hidden="1">
      <c r="A2155" s="495" t="s">
        <v>2654</v>
      </c>
      <c r="B2155" s="400" t="s">
        <v>684</v>
      </c>
      <c r="C2155" s="400" t="s">
        <v>97</v>
      </c>
      <c r="D2155" s="400">
        <v>2540</v>
      </c>
      <c r="E2155" s="400">
        <v>15</v>
      </c>
      <c r="F2155" s="400" t="s">
        <v>2655</v>
      </c>
      <c r="G2155" s="400" t="s">
        <v>2221</v>
      </c>
      <c r="H2155" s="1238"/>
    </row>
    <row r="2156" spans="1:8" hidden="1">
      <c r="A2156" s="495" t="s">
        <v>2654</v>
      </c>
      <c r="B2156" s="400" t="s">
        <v>684</v>
      </c>
      <c r="C2156" s="400" t="s">
        <v>97</v>
      </c>
      <c r="D2156" s="400">
        <v>2541</v>
      </c>
      <c r="E2156" s="400">
        <v>15</v>
      </c>
      <c r="F2156" s="400" t="s">
        <v>2655</v>
      </c>
      <c r="G2156" s="400" t="s">
        <v>2221</v>
      </c>
      <c r="H2156" s="1238"/>
    </row>
    <row r="2157" spans="1:8" hidden="1">
      <c r="A2157" s="495" t="s">
        <v>2654</v>
      </c>
      <c r="B2157" s="400" t="s">
        <v>684</v>
      </c>
      <c r="C2157" s="400" t="s">
        <v>97</v>
      </c>
      <c r="D2157" s="400">
        <v>2542</v>
      </c>
      <c r="E2157" s="400">
        <v>15</v>
      </c>
      <c r="F2157" s="400" t="s">
        <v>2655</v>
      </c>
      <c r="G2157" s="400" t="s">
        <v>2221</v>
      </c>
      <c r="H2157" s="1238"/>
    </row>
    <row r="2158" spans="1:8" hidden="1">
      <c r="A2158" s="495" t="s">
        <v>2654</v>
      </c>
      <c r="B2158" s="400" t="s">
        <v>684</v>
      </c>
      <c r="C2158" s="400" t="s">
        <v>97</v>
      </c>
      <c r="D2158" s="400">
        <v>2543</v>
      </c>
      <c r="E2158" s="400">
        <v>15</v>
      </c>
      <c r="F2158" s="400" t="s">
        <v>2655</v>
      </c>
      <c r="G2158" s="400" t="s">
        <v>2221</v>
      </c>
      <c r="H2158" s="1238"/>
    </row>
    <row r="2159" spans="1:8" hidden="1">
      <c r="A2159" s="495" t="s">
        <v>2654</v>
      </c>
      <c r="B2159" s="400" t="s">
        <v>684</v>
      </c>
      <c r="C2159" s="400" t="s">
        <v>97</v>
      </c>
      <c r="D2159" s="400">
        <v>2544</v>
      </c>
      <c r="E2159" s="400">
        <v>15</v>
      </c>
      <c r="F2159" s="400" t="s">
        <v>2655</v>
      </c>
      <c r="G2159" s="400" t="s">
        <v>2221</v>
      </c>
      <c r="H2159" s="1238"/>
    </row>
    <row r="2160" spans="1:8" hidden="1">
      <c r="A2160" s="495" t="s">
        <v>2654</v>
      </c>
      <c r="B2160" s="400" t="s">
        <v>684</v>
      </c>
      <c r="C2160" s="400" t="s">
        <v>97</v>
      </c>
      <c r="D2160" s="400">
        <v>2545</v>
      </c>
      <c r="E2160" s="400">
        <v>15</v>
      </c>
      <c r="F2160" s="400" t="s">
        <v>2655</v>
      </c>
      <c r="G2160" s="400" t="s">
        <v>2221</v>
      </c>
      <c r="H2160" s="1238"/>
    </row>
    <row r="2161" spans="1:8" hidden="1">
      <c r="A2161" s="495" t="s">
        <v>2654</v>
      </c>
      <c r="B2161" s="400" t="s">
        <v>684</v>
      </c>
      <c r="C2161" s="400" t="s">
        <v>97</v>
      </c>
      <c r="D2161" s="400">
        <v>2546</v>
      </c>
      <c r="E2161" s="400">
        <v>15</v>
      </c>
      <c r="F2161" s="400" t="s">
        <v>2655</v>
      </c>
      <c r="G2161" s="400" t="s">
        <v>2221</v>
      </c>
      <c r="H2161" s="1238"/>
    </row>
    <row r="2162" spans="1:8" hidden="1">
      <c r="A2162" s="495" t="s">
        <v>2654</v>
      </c>
      <c r="B2162" s="400" t="s">
        <v>684</v>
      </c>
      <c r="C2162" s="400" t="s">
        <v>97</v>
      </c>
      <c r="D2162" s="400">
        <v>2547</v>
      </c>
      <c r="E2162" s="400">
        <v>15</v>
      </c>
      <c r="F2162" s="400" t="s">
        <v>2655</v>
      </c>
      <c r="G2162" s="400" t="s">
        <v>2221</v>
      </c>
      <c r="H2162" s="1238"/>
    </row>
    <row r="2163" spans="1:8" hidden="1">
      <c r="A2163" s="495" t="s">
        <v>2654</v>
      </c>
      <c r="B2163" s="400" t="s">
        <v>684</v>
      </c>
      <c r="C2163" s="400" t="s">
        <v>97</v>
      </c>
      <c r="D2163" s="400">
        <v>2548</v>
      </c>
      <c r="E2163" s="400">
        <v>15</v>
      </c>
      <c r="F2163" s="400" t="s">
        <v>2655</v>
      </c>
      <c r="G2163" s="400" t="s">
        <v>2221</v>
      </c>
      <c r="H2163" s="1238"/>
    </row>
    <row r="2164" spans="1:8" hidden="1">
      <c r="A2164" s="495" t="s">
        <v>2654</v>
      </c>
      <c r="B2164" s="400" t="s">
        <v>684</v>
      </c>
      <c r="C2164" s="400" t="s">
        <v>97</v>
      </c>
      <c r="D2164" s="400">
        <v>2549</v>
      </c>
      <c r="E2164" s="400">
        <v>15</v>
      </c>
      <c r="F2164" s="400" t="s">
        <v>2655</v>
      </c>
      <c r="G2164" s="400" t="s">
        <v>2221</v>
      </c>
      <c r="H2164" s="1238"/>
    </row>
    <row r="2165" spans="1:8" hidden="1">
      <c r="A2165" s="495" t="s">
        <v>2654</v>
      </c>
      <c r="B2165" s="400" t="s">
        <v>684</v>
      </c>
      <c r="C2165" s="400" t="s">
        <v>97</v>
      </c>
      <c r="D2165" s="400">
        <v>2550</v>
      </c>
      <c r="E2165" s="400">
        <v>15</v>
      </c>
      <c r="F2165" s="400" t="s">
        <v>2655</v>
      </c>
      <c r="G2165" s="400" t="s">
        <v>2221</v>
      </c>
      <c r="H2165" s="1238"/>
    </row>
    <row r="2166" spans="1:8" hidden="1">
      <c r="A2166" s="495" t="s">
        <v>2654</v>
      </c>
      <c r="B2166" s="400" t="s">
        <v>684</v>
      </c>
      <c r="C2166" s="400" t="s">
        <v>97</v>
      </c>
      <c r="D2166" s="400">
        <v>2551</v>
      </c>
      <c r="E2166" s="400">
        <v>15</v>
      </c>
      <c r="F2166" s="400" t="s">
        <v>2655</v>
      </c>
      <c r="G2166" s="400" t="s">
        <v>2221</v>
      </c>
      <c r="H2166" s="1238"/>
    </row>
    <row r="2167" spans="1:8" hidden="1">
      <c r="A2167" s="495" t="s">
        <v>2654</v>
      </c>
      <c r="B2167" s="400" t="s">
        <v>684</v>
      </c>
      <c r="C2167" s="400" t="s">
        <v>97</v>
      </c>
      <c r="D2167" s="400">
        <v>2552</v>
      </c>
      <c r="E2167" s="400">
        <v>15</v>
      </c>
      <c r="F2167" s="400" t="s">
        <v>2655</v>
      </c>
      <c r="G2167" s="400" t="s">
        <v>2221</v>
      </c>
      <c r="H2167" s="1238"/>
    </row>
    <row r="2168" spans="1:8" hidden="1">
      <c r="A2168" s="495" t="s">
        <v>2654</v>
      </c>
      <c r="B2168" s="400" t="s">
        <v>684</v>
      </c>
      <c r="C2168" s="400" t="s">
        <v>97</v>
      </c>
      <c r="D2168" s="400">
        <v>2553</v>
      </c>
      <c r="E2168" s="400">
        <v>15</v>
      </c>
      <c r="F2168" s="400" t="s">
        <v>2655</v>
      </c>
      <c r="G2168" s="400" t="s">
        <v>2221</v>
      </c>
      <c r="H2168" s="1238"/>
    </row>
    <row r="2169" spans="1:8" hidden="1">
      <c r="A2169" s="495" t="s">
        <v>2654</v>
      </c>
      <c r="B2169" s="400" t="s">
        <v>684</v>
      </c>
      <c r="C2169" s="400" t="s">
        <v>97</v>
      </c>
      <c r="D2169" s="400">
        <v>2554</v>
      </c>
      <c r="E2169" s="400">
        <v>15</v>
      </c>
      <c r="F2169" s="400" t="s">
        <v>2655</v>
      </c>
      <c r="G2169" s="400" t="s">
        <v>2221</v>
      </c>
      <c r="H2169" s="1238"/>
    </row>
    <row r="2170" spans="1:8" hidden="1">
      <c r="A2170" s="495" t="s">
        <v>2654</v>
      </c>
      <c r="B2170" s="400" t="s">
        <v>684</v>
      </c>
      <c r="C2170" s="400" t="s">
        <v>97</v>
      </c>
      <c r="D2170" s="400">
        <v>2555</v>
      </c>
      <c r="E2170" s="400">
        <v>15</v>
      </c>
      <c r="F2170" s="400" t="s">
        <v>2655</v>
      </c>
      <c r="G2170" s="400" t="s">
        <v>2221</v>
      </c>
      <c r="H2170" s="1238"/>
    </row>
    <row r="2171" spans="1:8" hidden="1">
      <c r="A2171" s="495" t="s">
        <v>2654</v>
      </c>
      <c r="B2171" s="400" t="s">
        <v>684</v>
      </c>
      <c r="C2171" s="400" t="s">
        <v>97</v>
      </c>
      <c r="D2171" s="400">
        <v>2556</v>
      </c>
      <c r="E2171" s="400">
        <v>15</v>
      </c>
      <c r="F2171" s="400" t="s">
        <v>2655</v>
      </c>
      <c r="G2171" s="400" t="s">
        <v>2221</v>
      </c>
      <c r="H2171" s="1238"/>
    </row>
    <row r="2172" spans="1:8" hidden="1">
      <c r="A2172" s="495" t="s">
        <v>2654</v>
      </c>
      <c r="B2172" s="400" t="s">
        <v>684</v>
      </c>
      <c r="C2172" s="400" t="s">
        <v>97</v>
      </c>
      <c r="D2172" s="400">
        <v>2557</v>
      </c>
      <c r="E2172" s="400">
        <v>15</v>
      </c>
      <c r="F2172" s="400" t="s">
        <v>2655</v>
      </c>
      <c r="G2172" s="400" t="s">
        <v>2221</v>
      </c>
      <c r="H2172" s="1238"/>
    </row>
    <row r="2173" spans="1:8" hidden="1">
      <c r="A2173" s="495" t="s">
        <v>2654</v>
      </c>
      <c r="B2173" s="400" t="s">
        <v>684</v>
      </c>
      <c r="C2173" s="400" t="s">
        <v>97</v>
      </c>
      <c r="D2173" s="400">
        <v>2558</v>
      </c>
      <c r="E2173" s="400">
        <v>15</v>
      </c>
      <c r="F2173" s="400" t="s">
        <v>2655</v>
      </c>
      <c r="G2173" s="400" t="s">
        <v>2221</v>
      </c>
      <c r="H2173" s="1238"/>
    </row>
    <row r="2174" spans="1:8" hidden="1">
      <c r="A2174" s="495" t="s">
        <v>2654</v>
      </c>
      <c r="B2174" s="400" t="s">
        <v>684</v>
      </c>
      <c r="C2174" s="400" t="s">
        <v>97</v>
      </c>
      <c r="D2174" s="400">
        <v>2559</v>
      </c>
      <c r="E2174" s="400">
        <v>15</v>
      </c>
      <c r="F2174" s="400" t="s">
        <v>2655</v>
      </c>
      <c r="G2174" s="400" t="s">
        <v>2221</v>
      </c>
      <c r="H2174" s="1238"/>
    </row>
    <row r="2175" spans="1:8" hidden="1">
      <c r="A2175" s="495" t="s">
        <v>2654</v>
      </c>
      <c r="B2175" s="400" t="s">
        <v>684</v>
      </c>
      <c r="C2175" s="400" t="s">
        <v>97</v>
      </c>
      <c r="D2175" s="400">
        <v>2560</v>
      </c>
      <c r="E2175" s="400">
        <v>15</v>
      </c>
      <c r="F2175" s="400" t="s">
        <v>2655</v>
      </c>
      <c r="G2175" s="400" t="s">
        <v>2221</v>
      </c>
      <c r="H2175" s="1238"/>
    </row>
    <row r="2176" spans="1:8" hidden="1">
      <c r="A2176" s="495" t="s">
        <v>2654</v>
      </c>
      <c r="B2176" s="400" t="s">
        <v>684</v>
      </c>
      <c r="C2176" s="400" t="s">
        <v>97</v>
      </c>
      <c r="D2176" s="400">
        <v>2561</v>
      </c>
      <c r="E2176" s="400">
        <v>15</v>
      </c>
      <c r="F2176" s="400" t="s">
        <v>2655</v>
      </c>
      <c r="G2176" s="400" t="s">
        <v>2221</v>
      </c>
      <c r="H2176" s="1238"/>
    </row>
    <row r="2177" spans="1:8" hidden="1">
      <c r="A2177" s="495" t="s">
        <v>2654</v>
      </c>
      <c r="B2177" s="400" t="s">
        <v>684</v>
      </c>
      <c r="C2177" s="400" t="s">
        <v>97</v>
      </c>
      <c r="D2177" s="400">
        <v>2562</v>
      </c>
      <c r="E2177" s="400">
        <v>15</v>
      </c>
      <c r="F2177" s="400" t="s">
        <v>2655</v>
      </c>
      <c r="G2177" s="400" t="s">
        <v>2221</v>
      </c>
      <c r="H2177" s="1238"/>
    </row>
    <row r="2178" spans="1:8" hidden="1">
      <c r="A2178" s="495" t="s">
        <v>2654</v>
      </c>
      <c r="B2178" s="400" t="s">
        <v>684</v>
      </c>
      <c r="C2178" s="400" t="s">
        <v>97</v>
      </c>
      <c r="D2178" s="400">
        <v>2563</v>
      </c>
      <c r="E2178" s="400">
        <v>15</v>
      </c>
      <c r="F2178" s="400" t="s">
        <v>2655</v>
      </c>
      <c r="G2178" s="400" t="s">
        <v>2221</v>
      </c>
      <c r="H2178" s="1238"/>
    </row>
    <row r="2179" spans="1:8" hidden="1">
      <c r="A2179" s="495" t="s">
        <v>2654</v>
      </c>
      <c r="B2179" s="400" t="s">
        <v>684</v>
      </c>
      <c r="C2179" s="400" t="s">
        <v>97</v>
      </c>
      <c r="D2179" s="400">
        <v>2565</v>
      </c>
      <c r="E2179" s="400">
        <v>15</v>
      </c>
      <c r="F2179" s="400" t="s">
        <v>2655</v>
      </c>
      <c r="G2179" s="400" t="s">
        <v>2221</v>
      </c>
      <c r="H2179" s="1238"/>
    </row>
    <row r="2180" spans="1:8" hidden="1">
      <c r="A2180" s="495" t="s">
        <v>2654</v>
      </c>
      <c r="B2180" s="400" t="s">
        <v>684</v>
      </c>
      <c r="C2180" s="400" t="s">
        <v>97</v>
      </c>
      <c r="D2180" s="400">
        <v>2566</v>
      </c>
      <c r="E2180" s="400">
        <v>15</v>
      </c>
      <c r="F2180" s="400" t="s">
        <v>2655</v>
      </c>
      <c r="G2180" s="400" t="s">
        <v>2221</v>
      </c>
      <c r="H2180" s="1238"/>
    </row>
    <row r="2181" spans="1:8" hidden="1">
      <c r="A2181" s="495" t="s">
        <v>2654</v>
      </c>
      <c r="B2181" s="400" t="s">
        <v>684</v>
      </c>
      <c r="C2181" s="400" t="s">
        <v>97</v>
      </c>
      <c r="D2181" s="400">
        <v>2567</v>
      </c>
      <c r="E2181" s="400">
        <v>15</v>
      </c>
      <c r="F2181" s="400" t="s">
        <v>2655</v>
      </c>
      <c r="G2181" s="400" t="s">
        <v>2221</v>
      </c>
      <c r="H2181" s="1238"/>
    </row>
    <row r="2182" spans="1:8" hidden="1">
      <c r="A2182" s="495" t="s">
        <v>2654</v>
      </c>
      <c r="B2182" s="400" t="s">
        <v>684</v>
      </c>
      <c r="C2182" s="400" t="s">
        <v>97</v>
      </c>
      <c r="D2182" s="400">
        <v>2568</v>
      </c>
      <c r="E2182" s="400">
        <v>15</v>
      </c>
      <c r="F2182" s="400" t="s">
        <v>2655</v>
      </c>
      <c r="G2182" s="400" t="s">
        <v>2221</v>
      </c>
      <c r="H2182" s="1238"/>
    </row>
    <row r="2183" spans="1:8" hidden="1">
      <c r="A2183" s="495" t="s">
        <v>2654</v>
      </c>
      <c r="B2183" s="400" t="s">
        <v>684</v>
      </c>
      <c r="C2183" s="400" t="s">
        <v>97</v>
      </c>
      <c r="D2183" s="400">
        <v>2569</v>
      </c>
      <c r="E2183" s="400">
        <v>15</v>
      </c>
      <c r="F2183" s="400" t="s">
        <v>2655</v>
      </c>
      <c r="G2183" s="400" t="s">
        <v>2221</v>
      </c>
      <c r="H2183" s="1238"/>
    </row>
    <row r="2184" spans="1:8" hidden="1">
      <c r="A2184" s="495" t="s">
        <v>2654</v>
      </c>
      <c r="B2184" s="400" t="s">
        <v>684</v>
      </c>
      <c r="C2184" s="400" t="s">
        <v>97</v>
      </c>
      <c r="D2184" s="400">
        <v>2570</v>
      </c>
      <c r="E2184" s="400">
        <v>15</v>
      </c>
      <c r="F2184" s="400" t="s">
        <v>2655</v>
      </c>
      <c r="G2184" s="400" t="s">
        <v>2221</v>
      </c>
      <c r="H2184" s="1238"/>
    </row>
    <row r="2185" spans="1:8" hidden="1">
      <c r="A2185" s="495" t="s">
        <v>2654</v>
      </c>
      <c r="B2185" s="400" t="s">
        <v>684</v>
      </c>
      <c r="C2185" s="400" t="s">
        <v>97</v>
      </c>
      <c r="D2185" s="400">
        <v>2571</v>
      </c>
      <c r="E2185" s="400">
        <v>15</v>
      </c>
      <c r="F2185" s="400" t="s">
        <v>2655</v>
      </c>
      <c r="G2185" s="400" t="s">
        <v>2221</v>
      </c>
      <c r="H2185" s="1238"/>
    </row>
    <row r="2186" spans="1:8" hidden="1">
      <c r="A2186" s="495" t="s">
        <v>2654</v>
      </c>
      <c r="B2186" s="400" t="s">
        <v>684</v>
      </c>
      <c r="C2186" s="400" t="s">
        <v>97</v>
      </c>
      <c r="D2186" s="400">
        <v>2572</v>
      </c>
      <c r="E2186" s="400">
        <v>15</v>
      </c>
      <c r="F2186" s="400" t="s">
        <v>2655</v>
      </c>
      <c r="G2186" s="400" t="s">
        <v>2221</v>
      </c>
      <c r="H2186" s="1238"/>
    </row>
    <row r="2187" spans="1:8" hidden="1">
      <c r="A2187" s="495" t="s">
        <v>2654</v>
      </c>
      <c r="B2187" s="400" t="s">
        <v>684</v>
      </c>
      <c r="C2187" s="400" t="s">
        <v>97</v>
      </c>
      <c r="D2187" s="400">
        <v>2573</v>
      </c>
      <c r="E2187" s="400">
        <v>15</v>
      </c>
      <c r="F2187" s="400" t="s">
        <v>2655</v>
      </c>
      <c r="G2187" s="400" t="s">
        <v>2221</v>
      </c>
      <c r="H2187" s="1238"/>
    </row>
    <row r="2188" spans="1:8" hidden="1">
      <c r="A2188" s="495" t="s">
        <v>2654</v>
      </c>
      <c r="B2188" s="400" t="s">
        <v>684</v>
      </c>
      <c r="C2188" s="400" t="s">
        <v>97</v>
      </c>
      <c r="D2188" s="400">
        <v>2574</v>
      </c>
      <c r="E2188" s="400">
        <v>15</v>
      </c>
      <c r="F2188" s="400" t="s">
        <v>2655</v>
      </c>
      <c r="G2188" s="400" t="s">
        <v>2221</v>
      </c>
      <c r="H2188" s="1238"/>
    </row>
    <row r="2189" spans="1:8" hidden="1">
      <c r="A2189" s="495" t="s">
        <v>2654</v>
      </c>
      <c r="B2189" s="400" t="s">
        <v>684</v>
      </c>
      <c r="C2189" s="400" t="s">
        <v>97</v>
      </c>
      <c r="D2189" s="400">
        <v>2575</v>
      </c>
      <c r="E2189" s="400">
        <v>15</v>
      </c>
      <c r="F2189" s="400" t="s">
        <v>2655</v>
      </c>
      <c r="G2189" s="400" t="s">
        <v>2221</v>
      </c>
      <c r="H2189" s="1238"/>
    </row>
    <row r="2190" spans="1:8" hidden="1">
      <c r="A2190" s="495" t="s">
        <v>2654</v>
      </c>
      <c r="B2190" s="400" t="s">
        <v>684</v>
      </c>
      <c r="C2190" s="400" t="s">
        <v>97</v>
      </c>
      <c r="D2190" s="400">
        <v>2576</v>
      </c>
      <c r="E2190" s="400">
        <v>15</v>
      </c>
      <c r="F2190" s="400" t="s">
        <v>2655</v>
      </c>
      <c r="G2190" s="400" t="s">
        <v>2221</v>
      </c>
      <c r="H2190" s="1238"/>
    </row>
    <row r="2191" spans="1:8" hidden="1">
      <c r="A2191" s="495" t="s">
        <v>2654</v>
      </c>
      <c r="B2191" s="400" t="s">
        <v>684</v>
      </c>
      <c r="C2191" s="400" t="s">
        <v>97</v>
      </c>
      <c r="D2191" s="400">
        <v>2577</v>
      </c>
      <c r="E2191" s="400">
        <v>15</v>
      </c>
      <c r="F2191" s="400" t="s">
        <v>2655</v>
      </c>
      <c r="G2191" s="400" t="s">
        <v>2221</v>
      </c>
      <c r="H2191" s="1238"/>
    </row>
    <row r="2192" spans="1:8" hidden="1">
      <c r="A2192" s="495" t="s">
        <v>2654</v>
      </c>
      <c r="B2192" s="400" t="s">
        <v>684</v>
      </c>
      <c r="C2192" s="400" t="s">
        <v>97</v>
      </c>
      <c r="D2192" s="400">
        <v>2578</v>
      </c>
      <c r="E2192" s="400">
        <v>15</v>
      </c>
      <c r="F2192" s="400" t="s">
        <v>2655</v>
      </c>
      <c r="G2192" s="400" t="s">
        <v>2221</v>
      </c>
      <c r="H2192" s="1238"/>
    </row>
    <row r="2193" spans="1:8" hidden="1">
      <c r="A2193" s="495" t="s">
        <v>2654</v>
      </c>
      <c r="B2193" s="400" t="s">
        <v>684</v>
      </c>
      <c r="C2193" s="400" t="s">
        <v>97</v>
      </c>
      <c r="D2193" s="400">
        <v>2579</v>
      </c>
      <c r="E2193" s="400">
        <v>15</v>
      </c>
      <c r="F2193" s="400" t="s">
        <v>2655</v>
      </c>
      <c r="G2193" s="400" t="s">
        <v>2221</v>
      </c>
      <c r="H2193" s="1238"/>
    </row>
    <row r="2194" spans="1:8" hidden="1">
      <c r="A2194" s="495" t="s">
        <v>2654</v>
      </c>
      <c r="B2194" s="400" t="s">
        <v>684</v>
      </c>
      <c r="C2194" s="400" t="s">
        <v>97</v>
      </c>
      <c r="D2194" s="400">
        <v>2580</v>
      </c>
      <c r="E2194" s="400">
        <v>15</v>
      </c>
      <c r="F2194" s="400" t="s">
        <v>2655</v>
      </c>
      <c r="G2194" s="400" t="s">
        <v>2221</v>
      </c>
      <c r="H2194" s="1238"/>
    </row>
    <row r="2195" spans="1:8" hidden="1">
      <c r="A2195" s="495" t="s">
        <v>2654</v>
      </c>
      <c r="B2195" s="400" t="s">
        <v>684</v>
      </c>
      <c r="C2195" s="400" t="s">
        <v>97</v>
      </c>
      <c r="D2195" s="400">
        <v>2581</v>
      </c>
      <c r="E2195" s="400">
        <v>15</v>
      </c>
      <c r="F2195" s="400" t="s">
        <v>2655</v>
      </c>
      <c r="G2195" s="400" t="s">
        <v>2221</v>
      </c>
      <c r="H2195" s="1238"/>
    </row>
    <row r="2196" spans="1:8" hidden="1">
      <c r="A2196" s="495" t="s">
        <v>2654</v>
      </c>
      <c r="B2196" s="400" t="s">
        <v>684</v>
      </c>
      <c r="C2196" s="400" t="s">
        <v>97</v>
      </c>
      <c r="D2196" s="400">
        <v>2582</v>
      </c>
      <c r="E2196" s="400">
        <v>15</v>
      </c>
      <c r="F2196" s="400" t="s">
        <v>2655</v>
      </c>
      <c r="G2196" s="400" t="s">
        <v>2221</v>
      </c>
      <c r="H2196" s="1238"/>
    </row>
    <row r="2197" spans="1:8" hidden="1">
      <c r="A2197" s="495" t="s">
        <v>2654</v>
      </c>
      <c r="B2197" s="400" t="s">
        <v>684</v>
      </c>
      <c r="C2197" s="400" t="s">
        <v>97</v>
      </c>
      <c r="D2197" s="400">
        <v>2583</v>
      </c>
      <c r="E2197" s="400">
        <v>15</v>
      </c>
      <c r="F2197" s="400" t="s">
        <v>2655</v>
      </c>
      <c r="G2197" s="400" t="s">
        <v>2221</v>
      </c>
      <c r="H2197" s="1238"/>
    </row>
    <row r="2198" spans="1:8" hidden="1">
      <c r="A2198" s="495" t="s">
        <v>2654</v>
      </c>
      <c r="B2198" s="400" t="s">
        <v>684</v>
      </c>
      <c r="C2198" s="400" t="s">
        <v>97</v>
      </c>
      <c r="D2198" s="400">
        <v>2584</v>
      </c>
      <c r="E2198" s="400">
        <v>15</v>
      </c>
      <c r="F2198" s="400" t="s">
        <v>2655</v>
      </c>
      <c r="G2198" s="400" t="s">
        <v>2221</v>
      </c>
      <c r="H2198" s="1238"/>
    </row>
    <row r="2199" spans="1:8" hidden="1">
      <c r="A2199" s="495" t="s">
        <v>2654</v>
      </c>
      <c r="B2199" s="400" t="s">
        <v>684</v>
      </c>
      <c r="C2199" s="400" t="s">
        <v>97</v>
      </c>
      <c r="D2199" s="400">
        <v>2585</v>
      </c>
      <c r="E2199" s="400">
        <v>15</v>
      </c>
      <c r="F2199" s="400" t="s">
        <v>2655</v>
      </c>
      <c r="G2199" s="400" t="s">
        <v>2221</v>
      </c>
      <c r="H2199" s="1238"/>
    </row>
    <row r="2200" spans="1:8" hidden="1">
      <c r="A2200" s="495" t="s">
        <v>2654</v>
      </c>
      <c r="B2200" s="400" t="s">
        <v>684</v>
      </c>
      <c r="C2200" s="400" t="s">
        <v>97</v>
      </c>
      <c r="D2200" s="400">
        <v>2586</v>
      </c>
      <c r="E2200" s="400">
        <v>15</v>
      </c>
      <c r="F2200" s="400" t="s">
        <v>2655</v>
      </c>
      <c r="G2200" s="400" t="s">
        <v>2221</v>
      </c>
      <c r="H2200" s="1238"/>
    </row>
    <row r="2201" spans="1:8" hidden="1">
      <c r="A2201" s="495" t="s">
        <v>2654</v>
      </c>
      <c r="B2201" s="400" t="s">
        <v>684</v>
      </c>
      <c r="C2201" s="400" t="s">
        <v>97</v>
      </c>
      <c r="D2201" s="400">
        <v>2587</v>
      </c>
      <c r="E2201" s="400">
        <v>15</v>
      </c>
      <c r="F2201" s="400" t="s">
        <v>2655</v>
      </c>
      <c r="G2201" s="400" t="s">
        <v>2221</v>
      </c>
      <c r="H2201" s="1238"/>
    </row>
    <row r="2202" spans="1:8" hidden="1">
      <c r="A2202" s="495" t="s">
        <v>2654</v>
      </c>
      <c r="B2202" s="400" t="s">
        <v>684</v>
      </c>
      <c r="C2202" s="400" t="s">
        <v>97</v>
      </c>
      <c r="D2202" s="400">
        <v>2588</v>
      </c>
      <c r="E2202" s="400">
        <v>15</v>
      </c>
      <c r="F2202" s="400" t="s">
        <v>2655</v>
      </c>
      <c r="G2202" s="400" t="s">
        <v>2221</v>
      </c>
      <c r="H2202" s="1238"/>
    </row>
    <row r="2203" spans="1:8" hidden="1">
      <c r="A2203" s="495" t="s">
        <v>2654</v>
      </c>
      <c r="B2203" s="400" t="s">
        <v>684</v>
      </c>
      <c r="C2203" s="400" t="s">
        <v>97</v>
      </c>
      <c r="D2203" s="400">
        <v>2589</v>
      </c>
      <c r="E2203" s="400">
        <v>15</v>
      </c>
      <c r="F2203" s="400" t="s">
        <v>2655</v>
      </c>
      <c r="G2203" s="400" t="s">
        <v>2221</v>
      </c>
      <c r="H2203" s="1238"/>
    </row>
    <row r="2204" spans="1:8" hidden="1">
      <c r="A2204" s="495" t="s">
        <v>2654</v>
      </c>
      <c r="B2204" s="400" t="s">
        <v>684</v>
      </c>
      <c r="C2204" s="400" t="s">
        <v>97</v>
      </c>
      <c r="D2204" s="400">
        <v>2590</v>
      </c>
      <c r="E2204" s="400">
        <v>15</v>
      </c>
      <c r="F2204" s="400" t="s">
        <v>2655</v>
      </c>
      <c r="G2204" s="400" t="s">
        <v>2221</v>
      </c>
      <c r="H2204" s="1238"/>
    </row>
    <row r="2205" spans="1:8" hidden="1">
      <c r="A2205" s="495" t="s">
        <v>2654</v>
      </c>
      <c r="B2205" s="400" t="s">
        <v>684</v>
      </c>
      <c r="C2205" s="400" t="s">
        <v>97</v>
      </c>
      <c r="D2205" s="400">
        <v>2591</v>
      </c>
      <c r="E2205" s="400">
        <v>15</v>
      </c>
      <c r="F2205" s="400" t="s">
        <v>2655</v>
      </c>
      <c r="G2205" s="400" t="s">
        <v>2221</v>
      </c>
      <c r="H2205" s="1238"/>
    </row>
    <row r="2206" spans="1:8" hidden="1">
      <c r="A2206" s="495" t="s">
        <v>2654</v>
      </c>
      <c r="B2206" s="400" t="s">
        <v>684</v>
      </c>
      <c r="C2206" s="400" t="s">
        <v>97</v>
      </c>
      <c r="D2206" s="400">
        <v>2592</v>
      </c>
      <c r="E2206" s="400">
        <v>15</v>
      </c>
      <c r="F2206" s="400" t="s">
        <v>2655</v>
      </c>
      <c r="G2206" s="400" t="s">
        <v>2221</v>
      </c>
      <c r="H2206" s="1238"/>
    </row>
    <row r="2207" spans="1:8" hidden="1">
      <c r="A2207" s="495" t="s">
        <v>2654</v>
      </c>
      <c r="B2207" s="400" t="s">
        <v>684</v>
      </c>
      <c r="C2207" s="400" t="s">
        <v>97</v>
      </c>
      <c r="D2207" s="400">
        <v>2593</v>
      </c>
      <c r="E2207" s="400">
        <v>15</v>
      </c>
      <c r="F2207" s="400" t="s">
        <v>2655</v>
      </c>
      <c r="G2207" s="400" t="s">
        <v>2221</v>
      </c>
      <c r="H2207" s="1238"/>
    </row>
    <row r="2208" spans="1:8" hidden="1">
      <c r="A2208" s="495" t="s">
        <v>2654</v>
      </c>
      <c r="B2208" s="400" t="s">
        <v>684</v>
      </c>
      <c r="C2208" s="400" t="s">
        <v>97</v>
      </c>
      <c r="D2208" s="400">
        <v>2594</v>
      </c>
      <c r="E2208" s="400">
        <v>15</v>
      </c>
      <c r="F2208" s="400" t="s">
        <v>2655</v>
      </c>
      <c r="G2208" s="400" t="s">
        <v>2221</v>
      </c>
      <c r="H2208" s="1238"/>
    </row>
    <row r="2209" spans="1:8" hidden="1">
      <c r="A2209" s="495" t="s">
        <v>2654</v>
      </c>
      <c r="B2209" s="400" t="s">
        <v>684</v>
      </c>
      <c r="C2209" s="400" t="s">
        <v>97</v>
      </c>
      <c r="D2209" s="400">
        <v>2595</v>
      </c>
      <c r="E2209" s="400">
        <v>15</v>
      </c>
      <c r="F2209" s="400" t="s">
        <v>2655</v>
      </c>
      <c r="G2209" s="400" t="s">
        <v>2221</v>
      </c>
      <c r="H2209" s="1238"/>
    </row>
    <row r="2210" spans="1:8" hidden="1">
      <c r="A2210" s="495" t="s">
        <v>2654</v>
      </c>
      <c r="B2210" s="400" t="s">
        <v>684</v>
      </c>
      <c r="C2210" s="400" t="s">
        <v>97</v>
      </c>
      <c r="D2210" s="400">
        <v>2596</v>
      </c>
      <c r="E2210" s="400">
        <v>15</v>
      </c>
      <c r="F2210" s="400" t="s">
        <v>2655</v>
      </c>
      <c r="G2210" s="400" t="s">
        <v>2221</v>
      </c>
      <c r="H2210" s="1238"/>
    </row>
    <row r="2211" spans="1:8" hidden="1">
      <c r="A2211" s="495" t="s">
        <v>2654</v>
      </c>
      <c r="B2211" s="400" t="s">
        <v>684</v>
      </c>
      <c r="C2211" s="400" t="s">
        <v>97</v>
      </c>
      <c r="D2211" s="400">
        <v>2597</v>
      </c>
      <c r="E2211" s="400">
        <v>15</v>
      </c>
      <c r="F2211" s="400" t="s">
        <v>2655</v>
      </c>
      <c r="G2211" s="400" t="s">
        <v>2221</v>
      </c>
      <c r="H2211" s="1238"/>
    </row>
    <row r="2212" spans="1:8" hidden="1">
      <c r="A2212" s="495" t="s">
        <v>2654</v>
      </c>
      <c r="B2212" s="400" t="s">
        <v>684</v>
      </c>
      <c r="C2212" s="400" t="s">
        <v>97</v>
      </c>
      <c r="D2212" s="400">
        <v>2598</v>
      </c>
      <c r="E2212" s="400">
        <v>15</v>
      </c>
      <c r="F2212" s="400" t="s">
        <v>2655</v>
      </c>
      <c r="G2212" s="400" t="s">
        <v>2221</v>
      </c>
      <c r="H2212" s="1238"/>
    </row>
    <row r="2213" spans="1:8" hidden="1">
      <c r="A2213" s="495" t="s">
        <v>2654</v>
      </c>
      <c r="B2213" s="400" t="s">
        <v>684</v>
      </c>
      <c r="C2213" s="400" t="s">
        <v>97</v>
      </c>
      <c r="D2213" s="400">
        <v>2599</v>
      </c>
      <c r="E2213" s="400">
        <v>15</v>
      </c>
      <c r="F2213" s="400" t="s">
        <v>2655</v>
      </c>
      <c r="G2213" s="400" t="s">
        <v>2221</v>
      </c>
      <c r="H2213" s="1238"/>
    </row>
    <row r="2214" spans="1:8" hidden="1">
      <c r="A2214" s="495" t="s">
        <v>2654</v>
      </c>
      <c r="B2214" s="400" t="s">
        <v>684</v>
      </c>
      <c r="C2214" s="400" t="s">
        <v>97</v>
      </c>
      <c r="D2214" s="400">
        <v>2600</v>
      </c>
      <c r="E2214" s="400">
        <v>15</v>
      </c>
      <c r="F2214" s="400" t="s">
        <v>2655</v>
      </c>
      <c r="G2214" s="400" t="s">
        <v>2221</v>
      </c>
      <c r="H2214" s="1238"/>
    </row>
    <row r="2215" spans="1:8" hidden="1">
      <c r="A2215" s="495" t="s">
        <v>2654</v>
      </c>
      <c r="B2215" s="400" t="s">
        <v>684</v>
      </c>
      <c r="C2215" s="400" t="s">
        <v>97</v>
      </c>
      <c r="D2215" s="400">
        <v>2602</v>
      </c>
      <c r="E2215" s="400">
        <v>15</v>
      </c>
      <c r="F2215" s="400" t="s">
        <v>2655</v>
      </c>
      <c r="G2215" s="400" t="s">
        <v>2221</v>
      </c>
      <c r="H2215" s="1238"/>
    </row>
    <row r="2216" spans="1:8" hidden="1">
      <c r="A2216" s="495" t="s">
        <v>2654</v>
      </c>
      <c r="B2216" s="400" t="s">
        <v>684</v>
      </c>
      <c r="C2216" s="400" t="s">
        <v>97</v>
      </c>
      <c r="D2216" s="400">
        <v>2603</v>
      </c>
      <c r="E2216" s="400">
        <v>15</v>
      </c>
      <c r="F2216" s="400" t="s">
        <v>2655</v>
      </c>
      <c r="G2216" s="400" t="s">
        <v>2221</v>
      </c>
      <c r="H2216" s="1238"/>
    </row>
    <row r="2217" spans="1:8" hidden="1">
      <c r="A2217" s="495" t="s">
        <v>2654</v>
      </c>
      <c r="B2217" s="400" t="s">
        <v>684</v>
      </c>
      <c r="C2217" s="400" t="s">
        <v>97</v>
      </c>
      <c r="D2217" s="400">
        <v>2604</v>
      </c>
      <c r="E2217" s="400">
        <v>15</v>
      </c>
      <c r="F2217" s="400" t="s">
        <v>2655</v>
      </c>
      <c r="G2217" s="400" t="s">
        <v>2221</v>
      </c>
      <c r="H2217" s="1238"/>
    </row>
    <row r="2218" spans="1:8" hidden="1">
      <c r="A2218" s="495" t="s">
        <v>2654</v>
      </c>
      <c r="B2218" s="400" t="s">
        <v>684</v>
      </c>
      <c r="C2218" s="400" t="s">
        <v>97</v>
      </c>
      <c r="D2218" s="400">
        <v>2606</v>
      </c>
      <c r="E2218" s="400">
        <v>15</v>
      </c>
      <c r="F2218" s="400" t="s">
        <v>2655</v>
      </c>
      <c r="G2218" s="400" t="s">
        <v>2221</v>
      </c>
      <c r="H2218" s="1238"/>
    </row>
    <row r="2219" spans="1:8" hidden="1">
      <c r="A2219" s="495" t="s">
        <v>2654</v>
      </c>
      <c r="B2219" s="400" t="s">
        <v>684</v>
      </c>
      <c r="C2219" s="400" t="s">
        <v>97</v>
      </c>
      <c r="D2219" s="400">
        <v>2614</v>
      </c>
      <c r="E2219" s="400">
        <v>15</v>
      </c>
      <c r="F2219" s="400" t="s">
        <v>2655</v>
      </c>
      <c r="G2219" s="400" t="s">
        <v>2221</v>
      </c>
      <c r="H2219" s="1238"/>
    </row>
    <row r="2220" spans="1:8" hidden="1">
      <c r="A2220" s="495" t="s">
        <v>2654</v>
      </c>
      <c r="B2220" s="400" t="s">
        <v>684</v>
      </c>
      <c r="C2220" s="400" t="s">
        <v>97</v>
      </c>
      <c r="D2220" s="400">
        <v>2627</v>
      </c>
      <c r="E2220" s="400">
        <v>15</v>
      </c>
      <c r="F2220" s="400" t="s">
        <v>2655</v>
      </c>
      <c r="G2220" s="400" t="s">
        <v>2221</v>
      </c>
      <c r="H2220" s="1238"/>
    </row>
    <row r="2221" spans="1:8" hidden="1">
      <c r="A2221" s="495" t="s">
        <v>2654</v>
      </c>
      <c r="B2221" s="400" t="s">
        <v>684</v>
      </c>
      <c r="C2221" s="400" t="s">
        <v>97</v>
      </c>
      <c r="D2221" s="400">
        <v>3001</v>
      </c>
      <c r="E2221" s="400">
        <v>1</v>
      </c>
      <c r="F2221" s="400" t="s">
        <v>2300</v>
      </c>
      <c r="G2221" s="400" t="s">
        <v>2221</v>
      </c>
      <c r="H2221" s="1238"/>
    </row>
    <row r="2222" spans="1:8" hidden="1">
      <c r="A2222" s="495" t="s">
        <v>2654</v>
      </c>
      <c r="B2222" s="400" t="s">
        <v>684</v>
      </c>
      <c r="C2222" s="400" t="s">
        <v>97</v>
      </c>
      <c r="D2222" s="400">
        <v>3002</v>
      </c>
      <c r="E2222" s="400">
        <v>15</v>
      </c>
      <c r="F2222" s="400" t="s">
        <v>2655</v>
      </c>
      <c r="G2222" s="400" t="s">
        <v>2221</v>
      </c>
      <c r="H2222" s="1238"/>
    </row>
    <row r="2223" spans="1:8" hidden="1">
      <c r="A2223" s="495" t="s">
        <v>2654</v>
      </c>
      <c r="B2223" s="400" t="s">
        <v>684</v>
      </c>
      <c r="C2223" s="400" t="s">
        <v>97</v>
      </c>
      <c r="D2223" s="400">
        <v>3003</v>
      </c>
      <c r="E2223" s="400">
        <v>15</v>
      </c>
      <c r="F2223" s="400" t="s">
        <v>2655</v>
      </c>
      <c r="G2223" s="400" t="s">
        <v>2221</v>
      </c>
      <c r="H2223" s="1238"/>
    </row>
    <row r="2224" spans="1:8" hidden="1">
      <c r="A2224" s="495" t="s">
        <v>2654</v>
      </c>
      <c r="B2224" s="400" t="s">
        <v>684</v>
      </c>
      <c r="C2224" s="400" t="s">
        <v>97</v>
      </c>
      <c r="D2224" s="400">
        <v>3004</v>
      </c>
      <c r="E2224" s="400">
        <v>15</v>
      </c>
      <c r="F2224" s="400" t="s">
        <v>2655</v>
      </c>
      <c r="G2224" s="400" t="s">
        <v>2221</v>
      </c>
      <c r="H2224" s="1238"/>
    </row>
    <row r="2225" spans="1:8" hidden="1">
      <c r="A2225" s="495" t="s">
        <v>2654</v>
      </c>
      <c r="B2225" s="400" t="s">
        <v>684</v>
      </c>
      <c r="C2225" s="400" t="s">
        <v>97</v>
      </c>
      <c r="D2225" s="400">
        <v>3005</v>
      </c>
      <c r="E2225" s="400">
        <v>15</v>
      </c>
      <c r="F2225" s="400" t="s">
        <v>2655</v>
      </c>
      <c r="G2225" s="400" t="s">
        <v>2221</v>
      </c>
      <c r="H2225" s="1238"/>
    </row>
    <row r="2226" spans="1:8" hidden="1">
      <c r="A2226" s="495" t="s">
        <v>2654</v>
      </c>
      <c r="B2226" s="400" t="s">
        <v>684</v>
      </c>
      <c r="C2226" s="400" t="s">
        <v>97</v>
      </c>
      <c r="D2226" s="400">
        <v>3006</v>
      </c>
      <c r="E2226" s="400">
        <v>15</v>
      </c>
      <c r="F2226" s="400" t="s">
        <v>2655</v>
      </c>
      <c r="G2226" s="400" t="s">
        <v>2221</v>
      </c>
      <c r="H2226" s="1238"/>
    </row>
    <row r="2227" spans="1:8" hidden="1">
      <c r="A2227" s="495" t="s">
        <v>2654</v>
      </c>
      <c r="B2227" s="400" t="s">
        <v>684</v>
      </c>
      <c r="C2227" s="400" t="s">
        <v>97</v>
      </c>
      <c r="D2227" s="400">
        <v>3007</v>
      </c>
      <c r="E2227" s="400">
        <v>15</v>
      </c>
      <c r="F2227" s="400" t="s">
        <v>2655</v>
      </c>
      <c r="G2227" s="400" t="s">
        <v>2221</v>
      </c>
      <c r="H2227" s="1238"/>
    </row>
    <row r="2228" spans="1:8" hidden="1">
      <c r="A2228" s="495" t="s">
        <v>2654</v>
      </c>
      <c r="B2228" s="400" t="s">
        <v>684</v>
      </c>
      <c r="C2228" s="400" t="s">
        <v>97</v>
      </c>
      <c r="D2228" s="400">
        <v>3008</v>
      </c>
      <c r="E2228" s="400">
        <v>15</v>
      </c>
      <c r="F2228" s="400" t="s">
        <v>2655</v>
      </c>
      <c r="G2228" s="400" t="s">
        <v>2221</v>
      </c>
      <c r="H2228" s="1238"/>
    </row>
    <row r="2229" spans="1:8" hidden="1">
      <c r="A2229" s="495" t="s">
        <v>2654</v>
      </c>
      <c r="B2229" s="400" t="s">
        <v>684</v>
      </c>
      <c r="C2229" s="400" t="s">
        <v>97</v>
      </c>
      <c r="D2229" s="400">
        <v>3009</v>
      </c>
      <c r="E2229" s="400">
        <v>15</v>
      </c>
      <c r="F2229" s="400" t="s">
        <v>2655</v>
      </c>
      <c r="G2229" s="400" t="s">
        <v>2221</v>
      </c>
      <c r="H2229" s="1238"/>
    </row>
    <row r="2230" spans="1:8" hidden="1">
      <c r="A2230" s="495" t="s">
        <v>2654</v>
      </c>
      <c r="B2230" s="400" t="s">
        <v>684</v>
      </c>
      <c r="C2230" s="400" t="s">
        <v>97</v>
      </c>
      <c r="D2230" s="400">
        <v>3010</v>
      </c>
      <c r="E2230" s="400">
        <v>15</v>
      </c>
      <c r="F2230" s="400" t="s">
        <v>2655</v>
      </c>
      <c r="G2230" s="400" t="s">
        <v>2221</v>
      </c>
      <c r="H2230" s="1238"/>
    </row>
    <row r="2231" spans="1:8" hidden="1">
      <c r="A2231" s="495" t="s">
        <v>2654</v>
      </c>
      <c r="B2231" s="400" t="s">
        <v>684</v>
      </c>
      <c r="C2231" s="400" t="s">
        <v>97</v>
      </c>
      <c r="D2231" s="400">
        <v>3011</v>
      </c>
      <c r="E2231" s="400">
        <v>15</v>
      </c>
      <c r="F2231" s="400" t="s">
        <v>2655</v>
      </c>
      <c r="G2231" s="400" t="s">
        <v>2221</v>
      </c>
      <c r="H2231" s="1238"/>
    </row>
    <row r="2232" spans="1:8" hidden="1">
      <c r="A2232" s="495" t="s">
        <v>2654</v>
      </c>
      <c r="B2232" s="400" t="s">
        <v>684</v>
      </c>
      <c r="C2232" s="400" t="s">
        <v>97</v>
      </c>
      <c r="D2232" s="400">
        <v>3012</v>
      </c>
      <c r="E2232" s="400">
        <v>15</v>
      </c>
      <c r="F2232" s="400" t="s">
        <v>2655</v>
      </c>
      <c r="G2232" s="400" t="s">
        <v>2221</v>
      </c>
      <c r="H2232" s="1238"/>
    </row>
    <row r="2233" spans="1:8" hidden="1">
      <c r="A2233" s="495" t="s">
        <v>2654</v>
      </c>
      <c r="B2233" s="400" t="s">
        <v>684</v>
      </c>
      <c r="C2233" s="400" t="s">
        <v>97</v>
      </c>
      <c r="D2233" s="400">
        <v>3013</v>
      </c>
      <c r="E2233" s="400">
        <v>15</v>
      </c>
      <c r="F2233" s="400" t="s">
        <v>2655</v>
      </c>
      <c r="G2233" s="400" t="s">
        <v>2221</v>
      </c>
      <c r="H2233" s="1238"/>
    </row>
    <row r="2234" spans="1:8" hidden="1">
      <c r="A2234" s="495" t="s">
        <v>2654</v>
      </c>
      <c r="B2234" s="400" t="s">
        <v>684</v>
      </c>
      <c r="C2234" s="400" t="s">
        <v>97</v>
      </c>
      <c r="D2234" s="400">
        <v>3014</v>
      </c>
      <c r="E2234" s="400">
        <v>15</v>
      </c>
      <c r="F2234" s="400" t="s">
        <v>2655</v>
      </c>
      <c r="G2234" s="400" t="s">
        <v>2221</v>
      </c>
      <c r="H2234" s="1238"/>
    </row>
    <row r="2235" spans="1:8" hidden="1">
      <c r="A2235" s="495" t="s">
        <v>2654</v>
      </c>
      <c r="B2235" s="400" t="s">
        <v>684</v>
      </c>
      <c r="C2235" s="400" t="s">
        <v>97</v>
      </c>
      <c r="D2235" s="400">
        <v>3015</v>
      </c>
      <c r="E2235" s="400">
        <v>15</v>
      </c>
      <c r="F2235" s="400" t="s">
        <v>2655</v>
      </c>
      <c r="G2235" s="400" t="s">
        <v>2221</v>
      </c>
      <c r="H2235" s="1238"/>
    </row>
    <row r="2236" spans="1:8" hidden="1">
      <c r="A2236" s="495" t="s">
        <v>2654</v>
      </c>
      <c r="B2236" s="400" t="s">
        <v>684</v>
      </c>
      <c r="C2236" s="400" t="s">
        <v>97</v>
      </c>
      <c r="D2236" s="400">
        <v>3016</v>
      </c>
      <c r="E2236" s="400">
        <v>15</v>
      </c>
      <c r="F2236" s="400" t="s">
        <v>2655</v>
      </c>
      <c r="G2236" s="400" t="s">
        <v>2221</v>
      </c>
      <c r="H2236" s="1238"/>
    </row>
    <row r="2237" spans="1:8" hidden="1">
      <c r="A2237" s="495" t="s">
        <v>2654</v>
      </c>
      <c r="B2237" s="400" t="s">
        <v>684</v>
      </c>
      <c r="C2237" s="400" t="s">
        <v>97</v>
      </c>
      <c r="D2237" s="400">
        <v>3017</v>
      </c>
      <c r="E2237" s="400">
        <v>15</v>
      </c>
      <c r="F2237" s="400" t="s">
        <v>2655</v>
      </c>
      <c r="G2237" s="400" t="s">
        <v>2221</v>
      </c>
      <c r="H2237" s="1238"/>
    </row>
    <row r="2238" spans="1:8" hidden="1">
      <c r="A2238" s="495" t="s">
        <v>2654</v>
      </c>
      <c r="B2238" s="400" t="s">
        <v>684</v>
      </c>
      <c r="C2238" s="400" t="s">
        <v>97</v>
      </c>
      <c r="D2238" s="400">
        <v>3018</v>
      </c>
      <c r="E2238" s="400">
        <v>15</v>
      </c>
      <c r="F2238" s="400" t="s">
        <v>2655</v>
      </c>
      <c r="G2238" s="400" t="s">
        <v>2221</v>
      </c>
      <c r="H2238" s="1238"/>
    </row>
    <row r="2239" spans="1:8" hidden="1">
      <c r="A2239" s="495" t="s">
        <v>2654</v>
      </c>
      <c r="B2239" s="400" t="s">
        <v>684</v>
      </c>
      <c r="C2239" s="400" t="s">
        <v>97</v>
      </c>
      <c r="D2239" s="400">
        <v>3019</v>
      </c>
      <c r="E2239" s="400">
        <v>15</v>
      </c>
      <c r="F2239" s="400" t="s">
        <v>2655</v>
      </c>
      <c r="G2239" s="400" t="s">
        <v>2221</v>
      </c>
      <c r="H2239" s="1238"/>
    </row>
    <row r="2240" spans="1:8" hidden="1">
      <c r="A2240" s="495" t="s">
        <v>2654</v>
      </c>
      <c r="B2240" s="400" t="s">
        <v>684</v>
      </c>
      <c r="C2240" s="400" t="s">
        <v>97</v>
      </c>
      <c r="D2240" s="400">
        <v>3020</v>
      </c>
      <c r="E2240" s="400">
        <v>15</v>
      </c>
      <c r="F2240" s="400" t="s">
        <v>2655</v>
      </c>
      <c r="G2240" s="400" t="s">
        <v>2221</v>
      </c>
      <c r="H2240" s="1238"/>
    </row>
    <row r="2241" spans="1:8" hidden="1">
      <c r="A2241" s="495" t="s">
        <v>2654</v>
      </c>
      <c r="B2241" s="400" t="s">
        <v>684</v>
      </c>
      <c r="C2241" s="400" t="s">
        <v>97</v>
      </c>
      <c r="D2241" s="400">
        <v>3021</v>
      </c>
      <c r="E2241" s="400">
        <v>15</v>
      </c>
      <c r="F2241" s="400" t="s">
        <v>2655</v>
      </c>
      <c r="G2241" s="400" t="s">
        <v>2221</v>
      </c>
      <c r="H2241" s="1238"/>
    </row>
    <row r="2242" spans="1:8" hidden="1">
      <c r="A2242" s="495" t="s">
        <v>2654</v>
      </c>
      <c r="B2242" s="400" t="s">
        <v>684</v>
      </c>
      <c r="C2242" s="400" t="s">
        <v>97</v>
      </c>
      <c r="D2242" s="400">
        <v>3022</v>
      </c>
      <c r="E2242" s="400">
        <v>15</v>
      </c>
      <c r="F2242" s="400" t="s">
        <v>2655</v>
      </c>
      <c r="G2242" s="400" t="s">
        <v>2221</v>
      </c>
      <c r="H2242" s="1238"/>
    </row>
    <row r="2243" spans="1:8" hidden="1">
      <c r="A2243" s="495" t="s">
        <v>2654</v>
      </c>
      <c r="B2243" s="400" t="s">
        <v>684</v>
      </c>
      <c r="C2243" s="400" t="s">
        <v>97</v>
      </c>
      <c r="D2243" s="400">
        <v>3023</v>
      </c>
      <c r="E2243" s="400">
        <v>15</v>
      </c>
      <c r="F2243" s="400" t="s">
        <v>2655</v>
      </c>
      <c r="G2243" s="400" t="s">
        <v>2221</v>
      </c>
      <c r="H2243" s="1238"/>
    </row>
    <row r="2244" spans="1:8" hidden="1">
      <c r="A2244" s="495" t="s">
        <v>2654</v>
      </c>
      <c r="B2244" s="400" t="s">
        <v>684</v>
      </c>
      <c r="C2244" s="400" t="s">
        <v>97</v>
      </c>
      <c r="D2244" s="400">
        <v>3024</v>
      </c>
      <c r="E2244" s="400">
        <v>15</v>
      </c>
      <c r="F2244" s="400" t="s">
        <v>2655</v>
      </c>
      <c r="G2244" s="400" t="s">
        <v>2221</v>
      </c>
      <c r="H2244" s="1238"/>
    </row>
    <row r="2245" spans="1:8" hidden="1">
      <c r="A2245" s="495" t="s">
        <v>2654</v>
      </c>
      <c r="B2245" s="400" t="s">
        <v>684</v>
      </c>
      <c r="C2245" s="400" t="s">
        <v>97</v>
      </c>
      <c r="D2245" s="400">
        <v>3025</v>
      </c>
      <c r="E2245" s="400">
        <v>15</v>
      </c>
      <c r="F2245" s="400" t="s">
        <v>2655</v>
      </c>
      <c r="G2245" s="400" t="s">
        <v>2221</v>
      </c>
      <c r="H2245" s="1238"/>
    </row>
    <row r="2246" spans="1:8" hidden="1">
      <c r="A2246" s="495" t="s">
        <v>2654</v>
      </c>
      <c r="B2246" s="400" t="s">
        <v>684</v>
      </c>
      <c r="C2246" s="400" t="s">
        <v>97</v>
      </c>
      <c r="D2246" s="400">
        <v>3026</v>
      </c>
      <c r="E2246" s="400">
        <v>15</v>
      </c>
      <c r="F2246" s="400" t="s">
        <v>2655</v>
      </c>
      <c r="G2246" s="400" t="s">
        <v>2221</v>
      </c>
      <c r="H2246" s="1238"/>
    </row>
    <row r="2247" spans="1:8" hidden="1">
      <c r="A2247" s="495" t="s">
        <v>2654</v>
      </c>
      <c r="B2247" s="400" t="s">
        <v>684</v>
      </c>
      <c r="C2247" s="400" t="s">
        <v>97</v>
      </c>
      <c r="D2247" s="400">
        <v>3027</v>
      </c>
      <c r="E2247" s="400">
        <v>15</v>
      </c>
      <c r="F2247" s="400" t="s">
        <v>2655</v>
      </c>
      <c r="G2247" s="400" t="s">
        <v>2221</v>
      </c>
      <c r="H2247" s="1238"/>
    </row>
    <row r="2248" spans="1:8" hidden="1">
      <c r="A2248" s="495" t="s">
        <v>2654</v>
      </c>
      <c r="B2248" s="400" t="s">
        <v>684</v>
      </c>
      <c r="C2248" s="400" t="s">
        <v>97</v>
      </c>
      <c r="D2248" s="400">
        <v>3028</v>
      </c>
      <c r="E2248" s="400">
        <v>15</v>
      </c>
      <c r="F2248" s="400" t="s">
        <v>2655</v>
      </c>
      <c r="G2248" s="400" t="s">
        <v>2221</v>
      </c>
      <c r="H2248" s="1238"/>
    </row>
    <row r="2249" spans="1:8" hidden="1">
      <c r="A2249" s="495" t="s">
        <v>2654</v>
      </c>
      <c r="B2249" s="400" t="s">
        <v>684</v>
      </c>
      <c r="C2249" s="400" t="s">
        <v>97</v>
      </c>
      <c r="D2249" s="400">
        <v>3029</v>
      </c>
      <c r="E2249" s="400">
        <v>15</v>
      </c>
      <c r="F2249" s="400" t="s">
        <v>2655</v>
      </c>
      <c r="G2249" s="400" t="s">
        <v>2221</v>
      </c>
      <c r="H2249" s="1238"/>
    </row>
    <row r="2250" spans="1:8" hidden="1">
      <c r="A2250" s="495" t="s">
        <v>2654</v>
      </c>
      <c r="B2250" s="400" t="s">
        <v>684</v>
      </c>
      <c r="C2250" s="400" t="s">
        <v>97</v>
      </c>
      <c r="D2250" s="400">
        <v>3030</v>
      </c>
      <c r="E2250" s="400">
        <v>15</v>
      </c>
      <c r="F2250" s="400" t="s">
        <v>2655</v>
      </c>
      <c r="G2250" s="400" t="s">
        <v>2221</v>
      </c>
      <c r="H2250" s="1238"/>
    </row>
    <row r="2251" spans="1:8" hidden="1">
      <c r="A2251" s="495" t="s">
        <v>2654</v>
      </c>
      <c r="B2251" s="400" t="s">
        <v>684</v>
      </c>
      <c r="C2251" s="400" t="s">
        <v>97</v>
      </c>
      <c r="D2251" s="400">
        <v>3031</v>
      </c>
      <c r="E2251" s="400">
        <v>15</v>
      </c>
      <c r="F2251" s="400" t="s">
        <v>2655</v>
      </c>
      <c r="G2251" s="400" t="s">
        <v>2221</v>
      </c>
      <c r="H2251" s="1238"/>
    </row>
    <row r="2252" spans="1:8" hidden="1">
      <c r="A2252" s="495" t="s">
        <v>2654</v>
      </c>
      <c r="B2252" s="400" t="s">
        <v>684</v>
      </c>
      <c r="C2252" s="400" t="s">
        <v>97</v>
      </c>
      <c r="D2252" s="400">
        <v>3032</v>
      </c>
      <c r="E2252" s="400">
        <v>15</v>
      </c>
      <c r="F2252" s="400" t="s">
        <v>2655</v>
      </c>
      <c r="G2252" s="400" t="s">
        <v>2221</v>
      </c>
      <c r="H2252" s="1238"/>
    </row>
    <row r="2253" spans="1:8" hidden="1">
      <c r="A2253" s="495" t="s">
        <v>2654</v>
      </c>
      <c r="B2253" s="400" t="s">
        <v>684</v>
      </c>
      <c r="C2253" s="400" t="s">
        <v>97</v>
      </c>
      <c r="D2253" s="400">
        <v>3033</v>
      </c>
      <c r="E2253" s="400">
        <v>15</v>
      </c>
      <c r="F2253" s="400" t="s">
        <v>2655</v>
      </c>
      <c r="G2253" s="400" t="s">
        <v>2221</v>
      </c>
      <c r="H2253" s="1238"/>
    </row>
    <row r="2254" spans="1:8" hidden="1">
      <c r="A2254" s="495" t="s">
        <v>2654</v>
      </c>
      <c r="B2254" s="400" t="s">
        <v>684</v>
      </c>
      <c r="C2254" s="400" t="s">
        <v>97</v>
      </c>
      <c r="D2254" s="400">
        <v>3034</v>
      </c>
      <c r="E2254" s="400">
        <v>15</v>
      </c>
      <c r="F2254" s="400" t="s">
        <v>2655</v>
      </c>
      <c r="G2254" s="400" t="s">
        <v>2221</v>
      </c>
      <c r="H2254" s="1238"/>
    </row>
    <row r="2255" spans="1:8" hidden="1">
      <c r="A2255" s="495" t="s">
        <v>2654</v>
      </c>
      <c r="B2255" s="400" t="s">
        <v>684</v>
      </c>
      <c r="C2255" s="400" t="s">
        <v>97</v>
      </c>
      <c r="D2255" s="400">
        <v>3035</v>
      </c>
      <c r="E2255" s="400">
        <v>15</v>
      </c>
      <c r="F2255" s="400" t="s">
        <v>2655</v>
      </c>
      <c r="G2255" s="400" t="s">
        <v>2221</v>
      </c>
      <c r="H2255" s="1238"/>
    </row>
    <row r="2256" spans="1:8" hidden="1">
      <c r="A2256" s="495" t="s">
        <v>2654</v>
      </c>
      <c r="B2256" s="400" t="s">
        <v>684</v>
      </c>
      <c r="C2256" s="400" t="s">
        <v>97</v>
      </c>
      <c r="D2256" s="400">
        <v>3036</v>
      </c>
      <c r="E2256" s="400">
        <v>15</v>
      </c>
      <c r="F2256" s="400" t="s">
        <v>2655</v>
      </c>
      <c r="G2256" s="400" t="s">
        <v>2221</v>
      </c>
      <c r="H2256" s="1238"/>
    </row>
    <row r="2257" spans="1:8" hidden="1">
      <c r="A2257" s="495" t="s">
        <v>2654</v>
      </c>
      <c r="B2257" s="400" t="s">
        <v>684</v>
      </c>
      <c r="C2257" s="400" t="s">
        <v>97</v>
      </c>
      <c r="D2257" s="400">
        <v>3037</v>
      </c>
      <c r="E2257" s="400">
        <v>15</v>
      </c>
      <c r="F2257" s="400" t="s">
        <v>2655</v>
      </c>
      <c r="G2257" s="400" t="s">
        <v>2221</v>
      </c>
      <c r="H2257" s="1238"/>
    </row>
    <row r="2258" spans="1:8" hidden="1">
      <c r="A2258" s="495" t="s">
        <v>2654</v>
      </c>
      <c r="B2258" s="400" t="s">
        <v>684</v>
      </c>
      <c r="C2258" s="400" t="s">
        <v>97</v>
      </c>
      <c r="D2258" s="400">
        <v>3038</v>
      </c>
      <c r="E2258" s="400">
        <v>15</v>
      </c>
      <c r="F2258" s="400" t="s">
        <v>2655</v>
      </c>
      <c r="G2258" s="400" t="s">
        <v>2221</v>
      </c>
      <c r="H2258" s="1238"/>
    </row>
    <row r="2259" spans="1:8" hidden="1">
      <c r="A2259" s="495" t="s">
        <v>2654</v>
      </c>
      <c r="B2259" s="400" t="s">
        <v>684</v>
      </c>
      <c r="C2259" s="400" t="s">
        <v>97</v>
      </c>
      <c r="D2259" s="400">
        <v>3039</v>
      </c>
      <c r="E2259" s="400">
        <v>15</v>
      </c>
      <c r="F2259" s="400" t="s">
        <v>2655</v>
      </c>
      <c r="G2259" s="400" t="s">
        <v>2221</v>
      </c>
      <c r="H2259" s="1238"/>
    </row>
    <row r="2260" spans="1:8" hidden="1">
      <c r="A2260" s="495" t="s">
        <v>2654</v>
      </c>
      <c r="B2260" s="400" t="s">
        <v>684</v>
      </c>
      <c r="C2260" s="400" t="s">
        <v>97</v>
      </c>
      <c r="D2260" s="400">
        <v>3040</v>
      </c>
      <c r="E2260" s="400">
        <v>15</v>
      </c>
      <c r="F2260" s="400" t="s">
        <v>2655</v>
      </c>
      <c r="G2260" s="400" t="s">
        <v>2221</v>
      </c>
      <c r="H2260" s="1238"/>
    </row>
    <row r="2261" spans="1:8" hidden="1">
      <c r="A2261" s="495" t="s">
        <v>2654</v>
      </c>
      <c r="B2261" s="400" t="s">
        <v>684</v>
      </c>
      <c r="C2261" s="400" t="s">
        <v>97</v>
      </c>
      <c r="D2261" s="400">
        <v>3041</v>
      </c>
      <c r="E2261" s="400">
        <v>15</v>
      </c>
      <c r="F2261" s="400" t="s">
        <v>2655</v>
      </c>
      <c r="G2261" s="400" t="s">
        <v>2221</v>
      </c>
      <c r="H2261" s="1238"/>
    </row>
    <row r="2262" spans="1:8" hidden="1">
      <c r="A2262" s="495" t="s">
        <v>2654</v>
      </c>
      <c r="B2262" s="400" t="s">
        <v>684</v>
      </c>
      <c r="C2262" s="400" t="s">
        <v>97</v>
      </c>
      <c r="D2262" s="400">
        <v>3042</v>
      </c>
      <c r="E2262" s="400">
        <v>15</v>
      </c>
      <c r="F2262" s="400" t="s">
        <v>2655</v>
      </c>
      <c r="G2262" s="400" t="s">
        <v>2221</v>
      </c>
      <c r="H2262" s="1238"/>
    </row>
    <row r="2263" spans="1:8" hidden="1">
      <c r="A2263" s="495" t="s">
        <v>2654</v>
      </c>
      <c r="B2263" s="400" t="s">
        <v>684</v>
      </c>
      <c r="C2263" s="400" t="s">
        <v>97</v>
      </c>
      <c r="D2263" s="400">
        <v>3043</v>
      </c>
      <c r="E2263" s="400">
        <v>15</v>
      </c>
      <c r="F2263" s="400" t="s">
        <v>2655</v>
      </c>
      <c r="G2263" s="400" t="s">
        <v>2221</v>
      </c>
      <c r="H2263" s="1238"/>
    </row>
    <row r="2264" spans="1:8" hidden="1">
      <c r="A2264" s="495" t="s">
        <v>2654</v>
      </c>
      <c r="B2264" s="400" t="s">
        <v>684</v>
      </c>
      <c r="C2264" s="400" t="s">
        <v>97</v>
      </c>
      <c r="D2264" s="400">
        <v>3044</v>
      </c>
      <c r="E2264" s="400">
        <v>15</v>
      </c>
      <c r="F2264" s="400" t="s">
        <v>2655</v>
      </c>
      <c r="G2264" s="400" t="s">
        <v>2221</v>
      </c>
      <c r="H2264" s="1238"/>
    </row>
    <row r="2265" spans="1:8" hidden="1">
      <c r="A2265" s="495" t="s">
        <v>2654</v>
      </c>
      <c r="B2265" s="400" t="s">
        <v>684</v>
      </c>
      <c r="C2265" s="400" t="s">
        <v>97</v>
      </c>
      <c r="D2265" s="400">
        <v>3045</v>
      </c>
      <c r="E2265" s="400">
        <v>15</v>
      </c>
      <c r="F2265" s="400" t="s">
        <v>2655</v>
      </c>
      <c r="G2265" s="400" t="s">
        <v>2221</v>
      </c>
      <c r="H2265" s="1238"/>
    </row>
    <row r="2266" spans="1:8" hidden="1">
      <c r="A2266" s="495" t="s">
        <v>2654</v>
      </c>
      <c r="B2266" s="400" t="s">
        <v>684</v>
      </c>
      <c r="C2266" s="400" t="s">
        <v>97</v>
      </c>
      <c r="D2266" s="400">
        <v>3046</v>
      </c>
      <c r="E2266" s="400">
        <v>15</v>
      </c>
      <c r="F2266" s="400" t="s">
        <v>2655</v>
      </c>
      <c r="G2266" s="400" t="s">
        <v>2221</v>
      </c>
      <c r="H2266" s="1238"/>
    </row>
    <row r="2267" spans="1:8" hidden="1">
      <c r="A2267" s="495" t="s">
        <v>2654</v>
      </c>
      <c r="B2267" s="400" t="s">
        <v>684</v>
      </c>
      <c r="C2267" s="400" t="s">
        <v>97</v>
      </c>
      <c r="D2267" s="400">
        <v>3047</v>
      </c>
      <c r="E2267" s="400">
        <v>15</v>
      </c>
      <c r="F2267" s="400" t="s">
        <v>2655</v>
      </c>
      <c r="G2267" s="400" t="s">
        <v>2221</v>
      </c>
      <c r="H2267" s="1238"/>
    </row>
    <row r="2268" spans="1:8" hidden="1">
      <c r="A2268" s="495" t="s">
        <v>2654</v>
      </c>
      <c r="B2268" s="400" t="s">
        <v>684</v>
      </c>
      <c r="C2268" s="400" t="s">
        <v>97</v>
      </c>
      <c r="D2268" s="400">
        <v>3048</v>
      </c>
      <c r="E2268" s="400">
        <v>15</v>
      </c>
      <c r="F2268" s="400" t="s">
        <v>2655</v>
      </c>
      <c r="G2268" s="400" t="s">
        <v>2221</v>
      </c>
      <c r="H2268" s="1238"/>
    </row>
    <row r="2269" spans="1:8" hidden="1">
      <c r="A2269" s="495" t="s">
        <v>2654</v>
      </c>
      <c r="B2269" s="400" t="s">
        <v>684</v>
      </c>
      <c r="C2269" s="400" t="s">
        <v>97</v>
      </c>
      <c r="D2269" s="400">
        <v>3049</v>
      </c>
      <c r="E2269" s="400">
        <v>15</v>
      </c>
      <c r="F2269" s="400" t="s">
        <v>2655</v>
      </c>
      <c r="G2269" s="400" t="s">
        <v>2221</v>
      </c>
      <c r="H2269" s="1238"/>
    </row>
    <row r="2270" spans="1:8" hidden="1">
      <c r="A2270" s="495" t="s">
        <v>2654</v>
      </c>
      <c r="B2270" s="400" t="s">
        <v>684</v>
      </c>
      <c r="C2270" s="400" t="s">
        <v>97</v>
      </c>
      <c r="D2270" s="400">
        <v>3050</v>
      </c>
      <c r="E2270" s="400">
        <v>15</v>
      </c>
      <c r="F2270" s="400" t="s">
        <v>2655</v>
      </c>
      <c r="G2270" s="400" t="s">
        <v>2221</v>
      </c>
      <c r="H2270" s="1238"/>
    </row>
    <row r="2271" spans="1:8" hidden="1">
      <c r="A2271" s="495" t="s">
        <v>2654</v>
      </c>
      <c r="B2271" s="400" t="s">
        <v>684</v>
      </c>
      <c r="C2271" s="400" t="s">
        <v>97</v>
      </c>
      <c r="D2271" s="400">
        <v>3051</v>
      </c>
      <c r="E2271" s="400">
        <v>15</v>
      </c>
      <c r="F2271" s="400" t="s">
        <v>2655</v>
      </c>
      <c r="G2271" s="400" t="s">
        <v>2221</v>
      </c>
      <c r="H2271" s="1238"/>
    </row>
    <row r="2272" spans="1:8" hidden="1">
      <c r="A2272" s="495" t="s">
        <v>2654</v>
      </c>
      <c r="B2272" s="400" t="s">
        <v>684</v>
      </c>
      <c r="C2272" s="400" t="s">
        <v>97</v>
      </c>
      <c r="D2272" s="400">
        <v>3052</v>
      </c>
      <c r="E2272" s="400">
        <v>15</v>
      </c>
      <c r="F2272" s="400" t="s">
        <v>2655</v>
      </c>
      <c r="G2272" s="400" t="s">
        <v>2221</v>
      </c>
      <c r="H2272" s="1238"/>
    </row>
    <row r="2273" spans="1:8" hidden="1">
      <c r="A2273" s="495" t="s">
        <v>2654</v>
      </c>
      <c r="B2273" s="400" t="s">
        <v>684</v>
      </c>
      <c r="C2273" s="400" t="s">
        <v>97</v>
      </c>
      <c r="D2273" s="400">
        <v>3053</v>
      </c>
      <c r="E2273" s="400">
        <v>15</v>
      </c>
      <c r="F2273" s="400" t="s">
        <v>2655</v>
      </c>
      <c r="G2273" s="400" t="s">
        <v>2221</v>
      </c>
      <c r="H2273" s="1238"/>
    </row>
    <row r="2274" spans="1:8" hidden="1">
      <c r="A2274" s="495" t="s">
        <v>2654</v>
      </c>
      <c r="B2274" s="400" t="s">
        <v>684</v>
      </c>
      <c r="C2274" s="400" t="s">
        <v>97</v>
      </c>
      <c r="D2274" s="400">
        <v>3054</v>
      </c>
      <c r="E2274" s="400">
        <v>15</v>
      </c>
      <c r="F2274" s="400" t="s">
        <v>2655</v>
      </c>
      <c r="G2274" s="400" t="s">
        <v>2221</v>
      </c>
      <c r="H2274" s="1238"/>
    </row>
    <row r="2275" spans="1:8" hidden="1">
      <c r="A2275" s="495" t="s">
        <v>2654</v>
      </c>
      <c r="B2275" s="400" t="s">
        <v>684</v>
      </c>
      <c r="C2275" s="400" t="s">
        <v>97</v>
      </c>
      <c r="D2275" s="400">
        <v>3055</v>
      </c>
      <c r="E2275" s="400">
        <v>15</v>
      </c>
      <c r="F2275" s="400" t="s">
        <v>2655</v>
      </c>
      <c r="G2275" s="400" t="s">
        <v>2221</v>
      </c>
      <c r="H2275" s="1238"/>
    </row>
    <row r="2276" spans="1:8" hidden="1">
      <c r="A2276" s="495" t="s">
        <v>2654</v>
      </c>
      <c r="B2276" s="400" t="s">
        <v>684</v>
      </c>
      <c r="C2276" s="400" t="s">
        <v>97</v>
      </c>
      <c r="D2276" s="400">
        <v>3056</v>
      </c>
      <c r="E2276" s="400">
        <v>15</v>
      </c>
      <c r="F2276" s="400" t="s">
        <v>2655</v>
      </c>
      <c r="G2276" s="400" t="s">
        <v>2221</v>
      </c>
      <c r="H2276" s="1238"/>
    </row>
    <row r="2277" spans="1:8" hidden="1">
      <c r="A2277" s="495" t="s">
        <v>2654</v>
      </c>
      <c r="B2277" s="400" t="s">
        <v>684</v>
      </c>
      <c r="C2277" s="400" t="s">
        <v>97</v>
      </c>
      <c r="D2277" s="400">
        <v>3059</v>
      </c>
      <c r="E2277" s="400">
        <v>15</v>
      </c>
      <c r="F2277" s="400" t="s">
        <v>2655</v>
      </c>
      <c r="G2277" s="400" t="s">
        <v>2221</v>
      </c>
      <c r="H2277" s="1238"/>
    </row>
    <row r="2278" spans="1:8" hidden="1">
      <c r="A2278" s="495" t="s">
        <v>2654</v>
      </c>
      <c r="B2278" s="400" t="s">
        <v>684</v>
      </c>
      <c r="C2278" s="400" t="s">
        <v>97</v>
      </c>
      <c r="D2278" s="400">
        <v>3060</v>
      </c>
      <c r="E2278" s="400">
        <v>15</v>
      </c>
      <c r="F2278" s="400" t="s">
        <v>2655</v>
      </c>
      <c r="G2278" s="400" t="s">
        <v>2221</v>
      </c>
      <c r="H2278" s="1238"/>
    </row>
    <row r="2279" spans="1:8" hidden="1">
      <c r="A2279" s="495" t="s">
        <v>2654</v>
      </c>
      <c r="B2279" s="400" t="s">
        <v>684</v>
      </c>
      <c r="C2279" s="400" t="s">
        <v>97</v>
      </c>
      <c r="D2279" s="400" t="s">
        <v>2302</v>
      </c>
      <c r="E2279" s="400">
        <v>15</v>
      </c>
      <c r="F2279" s="400" t="s">
        <v>2655</v>
      </c>
      <c r="G2279" s="400" t="s">
        <v>2221</v>
      </c>
      <c r="H2279" s="1238"/>
    </row>
    <row r="2280" spans="1:8" hidden="1">
      <c r="A2280" s="495" t="s">
        <v>2654</v>
      </c>
      <c r="B2280" s="400" t="s">
        <v>684</v>
      </c>
      <c r="C2280" s="400" t="s">
        <v>97</v>
      </c>
      <c r="D2280" s="400" t="s">
        <v>2303</v>
      </c>
      <c r="E2280" s="400">
        <v>15</v>
      </c>
      <c r="F2280" s="400" t="s">
        <v>2655</v>
      </c>
      <c r="G2280" s="400" t="s">
        <v>2221</v>
      </c>
      <c r="H2280" s="1238"/>
    </row>
    <row r="2281" spans="1:8" hidden="1">
      <c r="A2281" s="495" t="s">
        <v>2654</v>
      </c>
      <c r="B2281" s="400" t="s">
        <v>684</v>
      </c>
      <c r="C2281" s="400" t="s">
        <v>97</v>
      </c>
      <c r="D2281" s="400" t="s">
        <v>2304</v>
      </c>
      <c r="E2281" s="400">
        <v>15</v>
      </c>
      <c r="F2281" s="400" t="s">
        <v>2655</v>
      </c>
      <c r="G2281" s="400" t="s">
        <v>2221</v>
      </c>
      <c r="H2281" s="1238"/>
    </row>
    <row r="2282" spans="1:8" hidden="1">
      <c r="A2282" s="495" t="s">
        <v>2654</v>
      </c>
      <c r="B2282" s="400" t="s">
        <v>684</v>
      </c>
      <c r="C2282" s="400" t="s">
        <v>97</v>
      </c>
      <c r="D2282" s="400" t="s">
        <v>2305</v>
      </c>
      <c r="E2282" s="400">
        <v>15</v>
      </c>
      <c r="F2282" s="400" t="s">
        <v>2655</v>
      </c>
      <c r="G2282" s="400" t="s">
        <v>2221</v>
      </c>
      <c r="H2282" s="1238"/>
    </row>
    <row r="2283" spans="1:8" hidden="1">
      <c r="A2283" s="495" t="s">
        <v>2654</v>
      </c>
      <c r="B2283" s="400" t="s">
        <v>684</v>
      </c>
      <c r="C2283" s="400" t="s">
        <v>97</v>
      </c>
      <c r="D2283" s="400" t="s">
        <v>2306</v>
      </c>
      <c r="E2283" s="400">
        <v>15</v>
      </c>
      <c r="F2283" s="400" t="s">
        <v>2655</v>
      </c>
      <c r="G2283" s="400" t="s">
        <v>2221</v>
      </c>
      <c r="H2283" s="1238"/>
    </row>
    <row r="2284" spans="1:8" hidden="1">
      <c r="A2284" s="495" t="s">
        <v>2654</v>
      </c>
      <c r="B2284" s="400" t="s">
        <v>684</v>
      </c>
      <c r="C2284" s="400" t="s">
        <v>97</v>
      </c>
      <c r="D2284" s="400" t="s">
        <v>2307</v>
      </c>
      <c r="E2284" s="400">
        <v>15</v>
      </c>
      <c r="F2284" s="400" t="s">
        <v>2655</v>
      </c>
      <c r="G2284" s="400" t="s">
        <v>2221</v>
      </c>
      <c r="H2284" s="1238"/>
    </row>
    <row r="2285" spans="1:8" hidden="1">
      <c r="A2285" s="495" t="s">
        <v>2654</v>
      </c>
      <c r="B2285" s="400" t="s">
        <v>684</v>
      </c>
      <c r="C2285" s="400" t="s">
        <v>97</v>
      </c>
      <c r="D2285" s="400" t="s">
        <v>2308</v>
      </c>
      <c r="E2285" s="400">
        <v>15</v>
      </c>
      <c r="F2285" s="400" t="s">
        <v>2655</v>
      </c>
      <c r="G2285" s="400" t="s">
        <v>2221</v>
      </c>
      <c r="H2285" s="1238"/>
    </row>
    <row r="2286" spans="1:8" hidden="1">
      <c r="A2286" s="495" t="s">
        <v>2654</v>
      </c>
      <c r="B2286" s="400" t="s">
        <v>684</v>
      </c>
      <c r="C2286" s="400" t="s">
        <v>97</v>
      </c>
      <c r="D2286" s="400" t="s">
        <v>2309</v>
      </c>
      <c r="E2286" s="400">
        <v>15</v>
      </c>
      <c r="F2286" s="400" t="s">
        <v>2655</v>
      </c>
      <c r="G2286" s="400" t="s">
        <v>2221</v>
      </c>
      <c r="H2286" s="1238"/>
    </row>
    <row r="2287" spans="1:8" hidden="1">
      <c r="A2287" s="495" t="s">
        <v>2654</v>
      </c>
      <c r="B2287" s="400" t="s">
        <v>684</v>
      </c>
      <c r="C2287" s="400" t="s">
        <v>97</v>
      </c>
      <c r="D2287" s="400" t="s">
        <v>2310</v>
      </c>
      <c r="E2287" s="400">
        <v>15</v>
      </c>
      <c r="F2287" s="400" t="s">
        <v>2655</v>
      </c>
      <c r="G2287" s="400" t="s">
        <v>2221</v>
      </c>
      <c r="H2287" s="1238"/>
    </row>
    <row r="2288" spans="1:8" hidden="1">
      <c r="A2288" s="495" t="s">
        <v>2654</v>
      </c>
      <c r="B2288" s="400" t="s">
        <v>684</v>
      </c>
      <c r="C2288" s="400" t="s">
        <v>97</v>
      </c>
      <c r="D2288" s="400" t="s">
        <v>2311</v>
      </c>
      <c r="E2288" s="400">
        <v>15</v>
      </c>
      <c r="F2288" s="400" t="s">
        <v>2655</v>
      </c>
      <c r="G2288" s="400" t="s">
        <v>2221</v>
      </c>
      <c r="H2288" s="1238"/>
    </row>
    <row r="2289" spans="1:8" hidden="1">
      <c r="A2289" s="495" t="s">
        <v>2654</v>
      </c>
      <c r="B2289" s="400" t="s">
        <v>684</v>
      </c>
      <c r="C2289" s="400" t="s">
        <v>97</v>
      </c>
      <c r="D2289" s="400" t="s">
        <v>2312</v>
      </c>
      <c r="E2289" s="400">
        <v>15</v>
      </c>
      <c r="F2289" s="400" t="s">
        <v>2655</v>
      </c>
      <c r="G2289" s="400" t="s">
        <v>2221</v>
      </c>
      <c r="H2289" s="1238"/>
    </row>
    <row r="2290" spans="1:8" hidden="1">
      <c r="A2290" s="495" t="s">
        <v>2654</v>
      </c>
      <c r="B2290" s="400" t="s">
        <v>684</v>
      </c>
      <c r="C2290" s="400" t="s">
        <v>97</v>
      </c>
      <c r="D2290" s="400" t="s">
        <v>2313</v>
      </c>
      <c r="E2290" s="400">
        <v>15</v>
      </c>
      <c r="F2290" s="400" t="s">
        <v>2655</v>
      </c>
      <c r="G2290" s="400" t="s">
        <v>2221</v>
      </c>
      <c r="H2290" s="1238"/>
    </row>
    <row r="2291" spans="1:8" hidden="1">
      <c r="A2291" s="495" t="s">
        <v>2654</v>
      </c>
      <c r="B2291" s="400" t="s">
        <v>684</v>
      </c>
      <c r="C2291" s="400" t="s">
        <v>97</v>
      </c>
      <c r="D2291" s="400" t="s">
        <v>2314</v>
      </c>
      <c r="E2291" s="400">
        <v>15</v>
      </c>
      <c r="F2291" s="400" t="s">
        <v>2655</v>
      </c>
      <c r="G2291" s="400" t="s">
        <v>2221</v>
      </c>
      <c r="H2291" s="1238"/>
    </row>
    <row r="2292" spans="1:8" hidden="1">
      <c r="A2292" s="495" t="s">
        <v>2654</v>
      </c>
      <c r="B2292" s="400" t="s">
        <v>684</v>
      </c>
      <c r="C2292" s="400" t="s">
        <v>97</v>
      </c>
      <c r="D2292" s="400" t="s">
        <v>2315</v>
      </c>
      <c r="E2292" s="400">
        <v>15</v>
      </c>
      <c r="F2292" s="400" t="s">
        <v>2655</v>
      </c>
      <c r="G2292" s="400" t="s">
        <v>2221</v>
      </c>
      <c r="H2292" s="1238"/>
    </row>
    <row r="2293" spans="1:8" hidden="1">
      <c r="A2293" s="495" t="s">
        <v>2654</v>
      </c>
      <c r="B2293" s="400" t="s">
        <v>684</v>
      </c>
      <c r="C2293" s="400" t="s">
        <v>97</v>
      </c>
      <c r="D2293" s="400" t="s">
        <v>2316</v>
      </c>
      <c r="E2293" s="400">
        <v>15</v>
      </c>
      <c r="F2293" s="400" t="s">
        <v>2655</v>
      </c>
      <c r="G2293" s="400" t="s">
        <v>2221</v>
      </c>
      <c r="H2293" s="1238"/>
    </row>
    <row r="2294" spans="1:8" hidden="1">
      <c r="A2294" s="495" t="s">
        <v>2654</v>
      </c>
      <c r="B2294" s="400" t="s">
        <v>684</v>
      </c>
      <c r="C2294" s="400" t="s">
        <v>97</v>
      </c>
      <c r="D2294" s="400" t="s">
        <v>2317</v>
      </c>
      <c r="E2294" s="400">
        <v>15</v>
      </c>
      <c r="F2294" s="400" t="s">
        <v>2655</v>
      </c>
      <c r="G2294" s="400" t="s">
        <v>2221</v>
      </c>
      <c r="H2294" s="1238"/>
    </row>
    <row r="2295" spans="1:8" hidden="1">
      <c r="A2295" s="495" t="s">
        <v>2654</v>
      </c>
      <c r="B2295" s="400" t="s">
        <v>684</v>
      </c>
      <c r="C2295" s="400" t="s">
        <v>97</v>
      </c>
      <c r="D2295" s="400" t="s">
        <v>2318</v>
      </c>
      <c r="E2295" s="400">
        <v>15</v>
      </c>
      <c r="F2295" s="400" t="s">
        <v>2655</v>
      </c>
      <c r="G2295" s="400" t="s">
        <v>2221</v>
      </c>
      <c r="H2295" s="1238"/>
    </row>
    <row r="2296" spans="1:8" hidden="1">
      <c r="A2296" s="495" t="s">
        <v>2654</v>
      </c>
      <c r="B2296" s="400" t="s">
        <v>684</v>
      </c>
      <c r="C2296" s="400" t="s">
        <v>97</v>
      </c>
      <c r="D2296" s="400" t="s">
        <v>2319</v>
      </c>
      <c r="E2296" s="400">
        <v>15</v>
      </c>
      <c r="F2296" s="400" t="s">
        <v>2655</v>
      </c>
      <c r="G2296" s="400" t="s">
        <v>2221</v>
      </c>
      <c r="H2296" s="1238"/>
    </row>
    <row r="2297" spans="1:8" hidden="1">
      <c r="A2297" s="495" t="s">
        <v>2654</v>
      </c>
      <c r="B2297" s="400" t="s">
        <v>684</v>
      </c>
      <c r="C2297" s="400" t="s">
        <v>97</v>
      </c>
      <c r="D2297" s="400" t="s">
        <v>2320</v>
      </c>
      <c r="E2297" s="400">
        <v>15</v>
      </c>
      <c r="F2297" s="400" t="s">
        <v>2655</v>
      </c>
      <c r="G2297" s="400" t="s">
        <v>2221</v>
      </c>
      <c r="H2297" s="1238"/>
    </row>
    <row r="2298" spans="1:8" hidden="1">
      <c r="A2298" s="495" t="s">
        <v>2654</v>
      </c>
      <c r="B2298" s="400" t="s">
        <v>684</v>
      </c>
      <c r="C2298" s="400" t="s">
        <v>97</v>
      </c>
      <c r="D2298" s="400" t="s">
        <v>2321</v>
      </c>
      <c r="E2298" s="400">
        <v>15</v>
      </c>
      <c r="F2298" s="400" t="s">
        <v>2655</v>
      </c>
      <c r="G2298" s="400" t="s">
        <v>2221</v>
      </c>
      <c r="H2298" s="1238"/>
    </row>
    <row r="2299" spans="1:8" hidden="1">
      <c r="A2299" s="495" t="s">
        <v>2654</v>
      </c>
      <c r="B2299" s="400" t="s">
        <v>684</v>
      </c>
      <c r="C2299" s="400" t="s">
        <v>97</v>
      </c>
      <c r="D2299" s="400" t="s">
        <v>2322</v>
      </c>
      <c r="E2299" s="400">
        <v>15</v>
      </c>
      <c r="F2299" s="400" t="s">
        <v>2655</v>
      </c>
      <c r="G2299" s="400" t="s">
        <v>2221</v>
      </c>
      <c r="H2299" s="1238"/>
    </row>
    <row r="2300" spans="1:8" hidden="1">
      <c r="A2300" s="495" t="s">
        <v>2654</v>
      </c>
      <c r="B2300" s="400" t="s">
        <v>684</v>
      </c>
      <c r="C2300" s="400" t="s">
        <v>97</v>
      </c>
      <c r="D2300" s="400" t="s">
        <v>2323</v>
      </c>
      <c r="E2300" s="400">
        <v>15</v>
      </c>
      <c r="F2300" s="400" t="s">
        <v>2655</v>
      </c>
      <c r="G2300" s="400" t="s">
        <v>2221</v>
      </c>
      <c r="H2300" s="1238"/>
    </row>
    <row r="2301" spans="1:8" hidden="1">
      <c r="A2301" s="495" t="s">
        <v>2654</v>
      </c>
      <c r="B2301" s="400" t="s">
        <v>684</v>
      </c>
      <c r="C2301" s="400" t="s">
        <v>97</v>
      </c>
      <c r="D2301" s="400" t="s">
        <v>2324</v>
      </c>
      <c r="E2301" s="400">
        <v>15</v>
      </c>
      <c r="F2301" s="400" t="s">
        <v>2655</v>
      </c>
      <c r="G2301" s="400" t="s">
        <v>2221</v>
      </c>
      <c r="H2301" s="1238"/>
    </row>
    <row r="2302" spans="1:8" hidden="1">
      <c r="A2302" s="495" t="s">
        <v>2654</v>
      </c>
      <c r="B2302" s="400" t="s">
        <v>684</v>
      </c>
      <c r="C2302" s="400" t="s">
        <v>97</v>
      </c>
      <c r="D2302" s="400" t="s">
        <v>2325</v>
      </c>
      <c r="E2302" s="400">
        <v>15</v>
      </c>
      <c r="F2302" s="400" t="s">
        <v>2655</v>
      </c>
      <c r="G2302" s="400" t="s">
        <v>2221</v>
      </c>
      <c r="H2302" s="1238"/>
    </row>
    <row r="2303" spans="1:8" hidden="1">
      <c r="A2303" s="495" t="s">
        <v>2654</v>
      </c>
      <c r="B2303" s="400" t="s">
        <v>684</v>
      </c>
      <c r="C2303" s="400" t="s">
        <v>97</v>
      </c>
      <c r="D2303" s="400" t="s">
        <v>2326</v>
      </c>
      <c r="E2303" s="400">
        <v>15</v>
      </c>
      <c r="F2303" s="400" t="s">
        <v>2655</v>
      </c>
      <c r="G2303" s="400" t="s">
        <v>2221</v>
      </c>
      <c r="H2303" s="1238"/>
    </row>
    <row r="2304" spans="1:8" hidden="1">
      <c r="A2304" s="495" t="s">
        <v>2654</v>
      </c>
      <c r="B2304" s="400" t="s">
        <v>684</v>
      </c>
      <c r="C2304" s="400" t="s">
        <v>97</v>
      </c>
      <c r="D2304" s="400" t="s">
        <v>2327</v>
      </c>
      <c r="E2304" s="400">
        <v>15</v>
      </c>
      <c r="F2304" s="400" t="s">
        <v>2655</v>
      </c>
      <c r="G2304" s="400" t="s">
        <v>2221</v>
      </c>
      <c r="H2304" s="1238"/>
    </row>
    <row r="2305" spans="1:8" hidden="1">
      <c r="A2305" s="495" t="s">
        <v>2654</v>
      </c>
      <c r="B2305" s="400" t="s">
        <v>684</v>
      </c>
      <c r="C2305" s="400" t="s">
        <v>97</v>
      </c>
      <c r="D2305" s="400" t="s">
        <v>2328</v>
      </c>
      <c r="E2305" s="400">
        <v>15</v>
      </c>
      <c r="F2305" s="400" t="s">
        <v>2655</v>
      </c>
      <c r="G2305" s="400" t="s">
        <v>2221</v>
      </c>
      <c r="H2305" s="1238"/>
    </row>
    <row r="2306" spans="1:8" hidden="1">
      <c r="A2306" s="495" t="s">
        <v>2654</v>
      </c>
      <c r="B2306" s="400" t="s">
        <v>684</v>
      </c>
      <c r="C2306" s="400" t="s">
        <v>97</v>
      </c>
      <c r="D2306" s="400" t="s">
        <v>2329</v>
      </c>
      <c r="E2306" s="400">
        <v>15</v>
      </c>
      <c r="F2306" s="400" t="s">
        <v>2655</v>
      </c>
      <c r="G2306" s="400" t="s">
        <v>2221</v>
      </c>
      <c r="H2306" s="1238"/>
    </row>
    <row r="2307" spans="1:8" hidden="1">
      <c r="A2307" s="495" t="s">
        <v>2654</v>
      </c>
      <c r="B2307" s="400" t="s">
        <v>684</v>
      </c>
      <c r="C2307" s="400" t="s">
        <v>97</v>
      </c>
      <c r="D2307" s="400" t="s">
        <v>2330</v>
      </c>
      <c r="E2307" s="400">
        <v>15</v>
      </c>
      <c r="F2307" s="400" t="s">
        <v>2655</v>
      </c>
      <c r="G2307" s="400" t="s">
        <v>2221</v>
      </c>
      <c r="H2307" s="1238"/>
    </row>
    <row r="2308" spans="1:8" hidden="1">
      <c r="A2308" s="495" t="s">
        <v>2654</v>
      </c>
      <c r="B2308" s="400" t="s">
        <v>684</v>
      </c>
      <c r="C2308" s="400" t="s">
        <v>97</v>
      </c>
      <c r="D2308" s="400" t="s">
        <v>2331</v>
      </c>
      <c r="E2308" s="400">
        <v>8</v>
      </c>
      <c r="F2308" s="400" t="s">
        <v>2297</v>
      </c>
      <c r="G2308" s="400" t="s">
        <v>2221</v>
      </c>
      <c r="H2308" s="1238"/>
    </row>
    <row r="2309" spans="1:8" hidden="1">
      <c r="A2309" s="495" t="s">
        <v>2654</v>
      </c>
      <c r="B2309" s="400" t="s">
        <v>684</v>
      </c>
      <c r="C2309" s="400" t="s">
        <v>97</v>
      </c>
      <c r="D2309" s="400" t="s">
        <v>2332</v>
      </c>
      <c r="E2309" s="400">
        <v>15</v>
      </c>
      <c r="F2309" s="400" t="s">
        <v>2655</v>
      </c>
      <c r="G2309" s="400" t="s">
        <v>2221</v>
      </c>
      <c r="H2309" s="1238"/>
    </row>
    <row r="2310" spans="1:8" hidden="1">
      <c r="A2310" s="495" t="s">
        <v>2654</v>
      </c>
      <c r="B2310" s="400" t="s">
        <v>684</v>
      </c>
      <c r="C2310" s="400" t="s">
        <v>97</v>
      </c>
      <c r="D2310" s="400" t="s">
        <v>2333</v>
      </c>
      <c r="E2310" s="400">
        <v>15</v>
      </c>
      <c r="F2310" s="400" t="s">
        <v>2655</v>
      </c>
      <c r="G2310" s="400" t="s">
        <v>2221</v>
      </c>
      <c r="H2310" s="1238"/>
    </row>
    <row r="2311" spans="1:8" hidden="1">
      <c r="A2311" s="495" t="s">
        <v>2654</v>
      </c>
      <c r="B2311" s="400" t="s">
        <v>684</v>
      </c>
      <c r="C2311" s="400" t="s">
        <v>97</v>
      </c>
      <c r="D2311" s="400" t="s">
        <v>2334</v>
      </c>
      <c r="E2311" s="400">
        <v>15</v>
      </c>
      <c r="F2311" s="400" t="s">
        <v>2655</v>
      </c>
      <c r="G2311" s="400" t="s">
        <v>2221</v>
      </c>
      <c r="H2311" s="1238"/>
    </row>
    <row r="2312" spans="1:8" hidden="1">
      <c r="A2312" s="495" t="s">
        <v>2654</v>
      </c>
      <c r="B2312" s="400" t="s">
        <v>684</v>
      </c>
      <c r="C2312" s="400" t="s">
        <v>97</v>
      </c>
      <c r="D2312" s="400" t="s">
        <v>2335</v>
      </c>
      <c r="E2312" s="400">
        <v>15</v>
      </c>
      <c r="F2312" s="400" t="s">
        <v>2655</v>
      </c>
      <c r="G2312" s="400" t="s">
        <v>2221</v>
      </c>
      <c r="H2312" s="1238"/>
    </row>
    <row r="2313" spans="1:8" hidden="1">
      <c r="A2313" s="495" t="s">
        <v>2654</v>
      </c>
      <c r="B2313" s="400" t="s">
        <v>684</v>
      </c>
      <c r="C2313" s="400" t="s">
        <v>97</v>
      </c>
      <c r="D2313" s="400" t="s">
        <v>2336</v>
      </c>
      <c r="E2313" s="400">
        <v>15</v>
      </c>
      <c r="F2313" s="400" t="s">
        <v>2655</v>
      </c>
      <c r="G2313" s="400" t="s">
        <v>2221</v>
      </c>
      <c r="H2313" s="1238"/>
    </row>
    <row r="2314" spans="1:8" hidden="1">
      <c r="A2314" s="495" t="s">
        <v>2654</v>
      </c>
      <c r="B2314" s="400" t="s">
        <v>684</v>
      </c>
      <c r="C2314" s="400" t="s">
        <v>97</v>
      </c>
      <c r="D2314" s="400" t="s">
        <v>2337</v>
      </c>
      <c r="E2314" s="400">
        <v>15</v>
      </c>
      <c r="F2314" s="400" t="s">
        <v>2655</v>
      </c>
      <c r="G2314" s="400" t="s">
        <v>2221</v>
      </c>
      <c r="H2314" s="1238"/>
    </row>
    <row r="2315" spans="1:8" hidden="1">
      <c r="A2315" s="495" t="s">
        <v>2654</v>
      </c>
      <c r="B2315" s="400" t="s">
        <v>684</v>
      </c>
      <c r="C2315" s="400" t="s">
        <v>97</v>
      </c>
      <c r="D2315" s="400" t="s">
        <v>2338</v>
      </c>
      <c r="E2315" s="400">
        <v>15</v>
      </c>
      <c r="F2315" s="400" t="s">
        <v>2655</v>
      </c>
      <c r="G2315" s="400" t="s">
        <v>2221</v>
      </c>
      <c r="H2315" s="1238"/>
    </row>
    <row r="2316" spans="1:8" hidden="1">
      <c r="A2316" s="495" t="s">
        <v>2654</v>
      </c>
      <c r="B2316" s="400" t="s">
        <v>684</v>
      </c>
      <c r="C2316" s="400" t="s">
        <v>97</v>
      </c>
      <c r="D2316" s="400" t="s">
        <v>2339</v>
      </c>
      <c r="E2316" s="400">
        <v>15</v>
      </c>
      <c r="F2316" s="400" t="s">
        <v>2655</v>
      </c>
      <c r="G2316" s="400" t="s">
        <v>2221</v>
      </c>
      <c r="H2316" s="1238"/>
    </row>
    <row r="2317" spans="1:8" hidden="1">
      <c r="A2317" s="495" t="s">
        <v>2654</v>
      </c>
      <c r="B2317" s="400" t="s">
        <v>684</v>
      </c>
      <c r="C2317" s="400" t="s">
        <v>97</v>
      </c>
      <c r="D2317" s="400" t="s">
        <v>2340</v>
      </c>
      <c r="E2317" s="400">
        <v>15</v>
      </c>
      <c r="F2317" s="400" t="s">
        <v>2655</v>
      </c>
      <c r="G2317" s="400" t="s">
        <v>2221</v>
      </c>
      <c r="H2317" s="1238"/>
    </row>
    <row r="2318" spans="1:8" hidden="1">
      <c r="A2318" s="495" t="s">
        <v>2654</v>
      </c>
      <c r="B2318" s="400" t="s">
        <v>684</v>
      </c>
      <c r="C2318" s="400" t="s">
        <v>97</v>
      </c>
      <c r="D2318" s="400" t="s">
        <v>2341</v>
      </c>
      <c r="E2318" s="400">
        <v>15</v>
      </c>
      <c r="F2318" s="400" t="s">
        <v>2655</v>
      </c>
      <c r="G2318" s="400" t="s">
        <v>2221</v>
      </c>
      <c r="H2318" s="1238"/>
    </row>
    <row r="2319" spans="1:8" hidden="1">
      <c r="A2319" s="495" t="s">
        <v>2654</v>
      </c>
      <c r="B2319" s="400" t="s">
        <v>684</v>
      </c>
      <c r="C2319" s="400" t="s">
        <v>97</v>
      </c>
      <c r="D2319" s="400" t="s">
        <v>2342</v>
      </c>
      <c r="E2319" s="400">
        <v>15</v>
      </c>
      <c r="F2319" s="400" t="s">
        <v>2655</v>
      </c>
      <c r="G2319" s="400" t="s">
        <v>2221</v>
      </c>
      <c r="H2319" s="1238"/>
    </row>
    <row r="2320" spans="1:8" hidden="1">
      <c r="A2320" s="495" t="s">
        <v>2654</v>
      </c>
      <c r="B2320" s="400" t="s">
        <v>684</v>
      </c>
      <c r="C2320" s="400" t="s">
        <v>97</v>
      </c>
      <c r="D2320" s="400" t="s">
        <v>2343</v>
      </c>
      <c r="E2320" s="400">
        <v>15</v>
      </c>
      <c r="F2320" s="400" t="s">
        <v>2655</v>
      </c>
      <c r="G2320" s="400" t="s">
        <v>2221</v>
      </c>
      <c r="H2320" s="1238"/>
    </row>
    <row r="2321" spans="1:8" hidden="1">
      <c r="A2321" s="495" t="s">
        <v>2654</v>
      </c>
      <c r="B2321" s="400" t="s">
        <v>684</v>
      </c>
      <c r="C2321" s="400" t="s">
        <v>97</v>
      </c>
      <c r="D2321" s="400" t="s">
        <v>2344</v>
      </c>
      <c r="E2321" s="400">
        <v>15</v>
      </c>
      <c r="F2321" s="400" t="s">
        <v>2655</v>
      </c>
      <c r="G2321" s="400" t="s">
        <v>2221</v>
      </c>
      <c r="H2321" s="1238"/>
    </row>
    <row r="2322" spans="1:8" hidden="1">
      <c r="A2322" s="495" t="s">
        <v>2654</v>
      </c>
      <c r="B2322" s="400" t="s">
        <v>684</v>
      </c>
      <c r="C2322" s="400" t="s">
        <v>97</v>
      </c>
      <c r="D2322" s="400" t="s">
        <v>2345</v>
      </c>
      <c r="E2322" s="400">
        <v>15</v>
      </c>
      <c r="F2322" s="400" t="s">
        <v>2655</v>
      </c>
      <c r="G2322" s="400" t="s">
        <v>2221</v>
      </c>
      <c r="H2322" s="1238"/>
    </row>
    <row r="2323" spans="1:8" hidden="1">
      <c r="A2323" s="495" t="s">
        <v>2654</v>
      </c>
      <c r="B2323" s="400" t="s">
        <v>684</v>
      </c>
      <c r="C2323" s="400" t="s">
        <v>97</v>
      </c>
      <c r="D2323" s="400" t="s">
        <v>2346</v>
      </c>
      <c r="E2323" s="400">
        <v>15</v>
      </c>
      <c r="F2323" s="400" t="s">
        <v>2655</v>
      </c>
      <c r="G2323" s="400" t="s">
        <v>2221</v>
      </c>
      <c r="H2323" s="1238"/>
    </row>
    <row r="2324" spans="1:8" hidden="1">
      <c r="A2324" s="495" t="s">
        <v>2654</v>
      </c>
      <c r="B2324" s="400" t="s">
        <v>684</v>
      </c>
      <c r="C2324" s="400" t="s">
        <v>97</v>
      </c>
      <c r="D2324" s="400" t="s">
        <v>2347</v>
      </c>
      <c r="E2324" s="400">
        <v>15</v>
      </c>
      <c r="F2324" s="400" t="s">
        <v>2655</v>
      </c>
      <c r="G2324" s="400" t="s">
        <v>2221</v>
      </c>
      <c r="H2324" s="1238"/>
    </row>
    <row r="2325" spans="1:8" hidden="1">
      <c r="A2325" s="495" t="s">
        <v>2654</v>
      </c>
      <c r="B2325" s="400" t="s">
        <v>684</v>
      </c>
      <c r="C2325" s="400" t="s">
        <v>97</v>
      </c>
      <c r="D2325" s="400" t="s">
        <v>2348</v>
      </c>
      <c r="E2325" s="400">
        <v>15</v>
      </c>
      <c r="F2325" s="400" t="s">
        <v>2655</v>
      </c>
      <c r="G2325" s="400" t="s">
        <v>2221</v>
      </c>
      <c r="H2325" s="1238"/>
    </row>
    <row r="2326" spans="1:8" hidden="1">
      <c r="A2326" s="495" t="s">
        <v>2654</v>
      </c>
      <c r="B2326" s="400" t="s">
        <v>684</v>
      </c>
      <c r="C2326" s="400" t="s">
        <v>97</v>
      </c>
      <c r="D2326" s="400" t="s">
        <v>2349</v>
      </c>
      <c r="E2326" s="400">
        <v>15</v>
      </c>
      <c r="F2326" s="400" t="s">
        <v>2655</v>
      </c>
      <c r="G2326" s="400" t="s">
        <v>2221</v>
      </c>
      <c r="H2326" s="1238"/>
    </row>
    <row r="2327" spans="1:8" hidden="1">
      <c r="A2327" s="495" t="s">
        <v>2654</v>
      </c>
      <c r="B2327" s="400" t="s">
        <v>684</v>
      </c>
      <c r="C2327" s="400" t="s">
        <v>97</v>
      </c>
      <c r="D2327" s="400" t="s">
        <v>2350</v>
      </c>
      <c r="E2327" s="400">
        <v>15</v>
      </c>
      <c r="F2327" s="400" t="s">
        <v>2655</v>
      </c>
      <c r="G2327" s="400" t="s">
        <v>2221</v>
      </c>
      <c r="H2327" s="1238"/>
    </row>
    <row r="2328" spans="1:8" hidden="1">
      <c r="A2328" s="495" t="s">
        <v>2654</v>
      </c>
      <c r="B2328" s="400" t="s">
        <v>684</v>
      </c>
      <c r="C2328" s="400" t="s">
        <v>97</v>
      </c>
      <c r="D2328" s="400" t="s">
        <v>2351</v>
      </c>
      <c r="E2328" s="400">
        <v>15</v>
      </c>
      <c r="F2328" s="400" t="s">
        <v>2655</v>
      </c>
      <c r="G2328" s="400" t="s">
        <v>2221</v>
      </c>
      <c r="H2328" s="1238"/>
    </row>
    <row r="2329" spans="1:8" hidden="1">
      <c r="A2329" s="495" t="s">
        <v>2654</v>
      </c>
      <c r="B2329" s="400" t="s">
        <v>684</v>
      </c>
      <c r="C2329" s="400" t="s">
        <v>97</v>
      </c>
      <c r="D2329" s="400" t="s">
        <v>2352</v>
      </c>
      <c r="E2329" s="400">
        <v>15</v>
      </c>
      <c r="F2329" s="400" t="s">
        <v>2655</v>
      </c>
      <c r="G2329" s="400" t="s">
        <v>2221</v>
      </c>
      <c r="H2329" s="1238"/>
    </row>
    <row r="2330" spans="1:8" hidden="1">
      <c r="A2330" s="495" t="s">
        <v>2654</v>
      </c>
      <c r="B2330" s="400" t="s">
        <v>684</v>
      </c>
      <c r="C2330" s="400" t="s">
        <v>97</v>
      </c>
      <c r="D2330" s="400" t="s">
        <v>2353</v>
      </c>
      <c r="E2330" s="400">
        <v>15</v>
      </c>
      <c r="F2330" s="400" t="s">
        <v>2655</v>
      </c>
      <c r="G2330" s="400" t="s">
        <v>2221</v>
      </c>
      <c r="H2330" s="1238"/>
    </row>
    <row r="2331" spans="1:8" hidden="1">
      <c r="A2331" s="495" t="s">
        <v>2654</v>
      </c>
      <c r="B2331" s="400" t="s">
        <v>684</v>
      </c>
      <c r="C2331" s="400" t="s">
        <v>97</v>
      </c>
      <c r="D2331" s="400" t="s">
        <v>2354</v>
      </c>
      <c r="E2331" s="400">
        <v>15</v>
      </c>
      <c r="F2331" s="400" t="s">
        <v>2655</v>
      </c>
      <c r="G2331" s="400" t="s">
        <v>2221</v>
      </c>
      <c r="H2331" s="1238"/>
    </row>
    <row r="2332" spans="1:8" hidden="1">
      <c r="A2332" s="495" t="s">
        <v>2654</v>
      </c>
      <c r="B2332" s="400" t="s">
        <v>684</v>
      </c>
      <c r="C2332" s="400" t="s">
        <v>97</v>
      </c>
      <c r="D2332" s="400" t="s">
        <v>2355</v>
      </c>
      <c r="E2332" s="400">
        <v>15</v>
      </c>
      <c r="F2332" s="400" t="s">
        <v>2655</v>
      </c>
      <c r="G2332" s="400" t="s">
        <v>2221</v>
      </c>
      <c r="H2332" s="1238"/>
    </row>
    <row r="2333" spans="1:8" hidden="1">
      <c r="A2333" s="495" t="s">
        <v>2654</v>
      </c>
      <c r="B2333" s="400" t="s">
        <v>684</v>
      </c>
      <c r="C2333" s="400" t="s">
        <v>97</v>
      </c>
      <c r="D2333" s="400" t="s">
        <v>2356</v>
      </c>
      <c r="E2333" s="400">
        <v>15</v>
      </c>
      <c r="F2333" s="400" t="s">
        <v>2655</v>
      </c>
      <c r="G2333" s="400" t="s">
        <v>2221</v>
      </c>
      <c r="H2333" s="1238"/>
    </row>
    <row r="2334" spans="1:8" hidden="1">
      <c r="A2334" s="495" t="s">
        <v>2654</v>
      </c>
      <c r="B2334" s="400" t="s">
        <v>684</v>
      </c>
      <c r="C2334" s="400" t="s">
        <v>97</v>
      </c>
      <c r="D2334" s="400" t="s">
        <v>2357</v>
      </c>
      <c r="E2334" s="400">
        <v>15</v>
      </c>
      <c r="F2334" s="400" t="s">
        <v>2655</v>
      </c>
      <c r="G2334" s="400" t="s">
        <v>2221</v>
      </c>
      <c r="H2334" s="1238"/>
    </row>
    <row r="2335" spans="1:8" hidden="1">
      <c r="A2335" s="495" t="s">
        <v>2654</v>
      </c>
      <c r="B2335" s="400" t="s">
        <v>684</v>
      </c>
      <c r="C2335" s="400" t="s">
        <v>97</v>
      </c>
      <c r="D2335" s="400" t="s">
        <v>2358</v>
      </c>
      <c r="E2335" s="400">
        <v>15</v>
      </c>
      <c r="F2335" s="400" t="s">
        <v>2655</v>
      </c>
      <c r="G2335" s="400" t="s">
        <v>2221</v>
      </c>
      <c r="H2335" s="1238"/>
    </row>
    <row r="2336" spans="1:8" hidden="1">
      <c r="A2336" s="495" t="s">
        <v>2654</v>
      </c>
      <c r="B2336" s="400" t="s">
        <v>684</v>
      </c>
      <c r="C2336" s="400" t="s">
        <v>97</v>
      </c>
      <c r="D2336" s="400" t="s">
        <v>2359</v>
      </c>
      <c r="E2336" s="400">
        <v>15</v>
      </c>
      <c r="F2336" s="400" t="s">
        <v>2655</v>
      </c>
      <c r="G2336" s="400" t="s">
        <v>2221</v>
      </c>
      <c r="H2336" s="1238"/>
    </row>
    <row r="2337" spans="1:8" hidden="1">
      <c r="A2337" s="495" t="s">
        <v>2654</v>
      </c>
      <c r="B2337" s="400" t="s">
        <v>684</v>
      </c>
      <c r="C2337" s="400" t="s">
        <v>97</v>
      </c>
      <c r="D2337" s="400" t="s">
        <v>2360</v>
      </c>
      <c r="E2337" s="400">
        <v>15</v>
      </c>
      <c r="F2337" s="400" t="s">
        <v>2655</v>
      </c>
      <c r="G2337" s="400" t="s">
        <v>2221</v>
      </c>
      <c r="H2337" s="1238"/>
    </row>
    <row r="2338" spans="1:8" hidden="1">
      <c r="A2338" s="495" t="s">
        <v>2654</v>
      </c>
      <c r="B2338" s="400" t="s">
        <v>684</v>
      </c>
      <c r="C2338" s="400" t="s">
        <v>97</v>
      </c>
      <c r="D2338" s="400" t="s">
        <v>2361</v>
      </c>
      <c r="E2338" s="400">
        <v>15</v>
      </c>
      <c r="F2338" s="400" t="s">
        <v>2655</v>
      </c>
      <c r="G2338" s="400" t="s">
        <v>2221</v>
      </c>
      <c r="H2338" s="1238"/>
    </row>
    <row r="2339" spans="1:8" hidden="1">
      <c r="A2339" s="495" t="s">
        <v>2654</v>
      </c>
      <c r="B2339" s="400" t="s">
        <v>684</v>
      </c>
      <c r="C2339" s="400" t="s">
        <v>97</v>
      </c>
      <c r="D2339" s="400" t="s">
        <v>2362</v>
      </c>
      <c r="E2339" s="400">
        <v>15</v>
      </c>
      <c r="F2339" s="400" t="s">
        <v>2655</v>
      </c>
      <c r="G2339" s="400" t="s">
        <v>2221</v>
      </c>
      <c r="H2339" s="1238"/>
    </row>
    <row r="2340" spans="1:8" hidden="1">
      <c r="A2340" s="495" t="s">
        <v>2654</v>
      </c>
      <c r="B2340" s="400" t="s">
        <v>684</v>
      </c>
      <c r="C2340" s="400" t="s">
        <v>97</v>
      </c>
      <c r="D2340" s="400" t="s">
        <v>2363</v>
      </c>
      <c r="E2340" s="400">
        <v>15</v>
      </c>
      <c r="F2340" s="400" t="s">
        <v>2655</v>
      </c>
      <c r="G2340" s="400" t="s">
        <v>2221</v>
      </c>
      <c r="H2340" s="1238"/>
    </row>
    <row r="2341" spans="1:8" hidden="1">
      <c r="A2341" s="495" t="s">
        <v>2654</v>
      </c>
      <c r="B2341" s="400" t="s">
        <v>684</v>
      </c>
      <c r="C2341" s="400" t="s">
        <v>97</v>
      </c>
      <c r="D2341" s="400" t="s">
        <v>2364</v>
      </c>
      <c r="E2341" s="400">
        <v>15</v>
      </c>
      <c r="F2341" s="400" t="s">
        <v>2655</v>
      </c>
      <c r="G2341" s="400" t="s">
        <v>2221</v>
      </c>
      <c r="H2341" s="1238"/>
    </row>
    <row r="2342" spans="1:8" hidden="1">
      <c r="A2342" s="495" t="s">
        <v>2654</v>
      </c>
      <c r="B2342" s="400" t="s">
        <v>684</v>
      </c>
      <c r="C2342" s="400" t="s">
        <v>97</v>
      </c>
      <c r="D2342" s="400" t="s">
        <v>2365</v>
      </c>
      <c r="E2342" s="400">
        <v>15</v>
      </c>
      <c r="F2342" s="400" t="s">
        <v>2655</v>
      </c>
      <c r="G2342" s="400" t="s">
        <v>2221</v>
      </c>
      <c r="H2342" s="1238"/>
    </row>
    <row r="2343" spans="1:8" hidden="1">
      <c r="A2343" s="495" t="s">
        <v>2654</v>
      </c>
      <c r="B2343" s="400" t="s">
        <v>684</v>
      </c>
      <c r="C2343" s="400" t="s">
        <v>97</v>
      </c>
      <c r="D2343" s="400" t="s">
        <v>2366</v>
      </c>
      <c r="E2343" s="400">
        <v>15</v>
      </c>
      <c r="F2343" s="400" t="s">
        <v>2655</v>
      </c>
      <c r="G2343" s="400" t="s">
        <v>2221</v>
      </c>
      <c r="H2343" s="1238"/>
    </row>
    <row r="2344" spans="1:8" hidden="1">
      <c r="A2344" s="495" t="s">
        <v>2654</v>
      </c>
      <c r="B2344" s="400" t="s">
        <v>684</v>
      </c>
      <c r="C2344" s="400" t="s">
        <v>97</v>
      </c>
      <c r="D2344" s="400" t="s">
        <v>2367</v>
      </c>
      <c r="E2344" s="400">
        <v>15</v>
      </c>
      <c r="F2344" s="400" t="s">
        <v>2655</v>
      </c>
      <c r="G2344" s="400" t="s">
        <v>2221</v>
      </c>
      <c r="H2344" s="1238"/>
    </row>
    <row r="2345" spans="1:8" hidden="1">
      <c r="A2345" s="495" t="s">
        <v>2654</v>
      </c>
      <c r="B2345" s="400" t="s">
        <v>684</v>
      </c>
      <c r="C2345" s="400" t="s">
        <v>97</v>
      </c>
      <c r="D2345" s="400" t="s">
        <v>2368</v>
      </c>
      <c r="E2345" s="400">
        <v>15</v>
      </c>
      <c r="F2345" s="400" t="s">
        <v>2655</v>
      </c>
      <c r="G2345" s="400" t="s">
        <v>2221</v>
      </c>
      <c r="H2345" s="1238"/>
    </row>
    <row r="2346" spans="1:8" hidden="1">
      <c r="A2346" s="495" t="s">
        <v>2654</v>
      </c>
      <c r="B2346" s="400" t="s">
        <v>684</v>
      </c>
      <c r="C2346" s="400" t="s">
        <v>97</v>
      </c>
      <c r="D2346" s="400" t="s">
        <v>2369</v>
      </c>
      <c r="E2346" s="400">
        <v>15</v>
      </c>
      <c r="F2346" s="400" t="s">
        <v>2655</v>
      </c>
      <c r="G2346" s="400" t="s">
        <v>2221</v>
      </c>
      <c r="H2346" s="1238"/>
    </row>
    <row r="2347" spans="1:8" hidden="1">
      <c r="A2347" s="495" t="s">
        <v>2654</v>
      </c>
      <c r="B2347" s="400" t="s">
        <v>684</v>
      </c>
      <c r="C2347" s="400" t="s">
        <v>97</v>
      </c>
      <c r="D2347" s="400" t="s">
        <v>2370</v>
      </c>
      <c r="E2347" s="400">
        <v>15</v>
      </c>
      <c r="F2347" s="400" t="s">
        <v>2655</v>
      </c>
      <c r="G2347" s="400" t="s">
        <v>2221</v>
      </c>
      <c r="H2347" s="1238"/>
    </row>
    <row r="2348" spans="1:8" hidden="1">
      <c r="A2348" s="495" t="s">
        <v>2654</v>
      </c>
      <c r="B2348" s="400" t="s">
        <v>684</v>
      </c>
      <c r="C2348" s="400" t="s">
        <v>97</v>
      </c>
      <c r="D2348" s="400" t="s">
        <v>2371</v>
      </c>
      <c r="E2348" s="400">
        <v>15</v>
      </c>
      <c r="F2348" s="400" t="s">
        <v>2655</v>
      </c>
      <c r="G2348" s="400" t="s">
        <v>2221</v>
      </c>
      <c r="H2348" s="1238"/>
    </row>
    <row r="2349" spans="1:8" hidden="1">
      <c r="A2349" s="495" t="s">
        <v>2654</v>
      </c>
      <c r="B2349" s="400" t="s">
        <v>684</v>
      </c>
      <c r="C2349" s="400" t="s">
        <v>97</v>
      </c>
      <c r="D2349" s="400" t="s">
        <v>2372</v>
      </c>
      <c r="E2349" s="400">
        <v>15</v>
      </c>
      <c r="F2349" s="400" t="s">
        <v>2655</v>
      </c>
      <c r="G2349" s="400" t="s">
        <v>2221</v>
      </c>
      <c r="H2349" s="1238"/>
    </row>
    <row r="2350" spans="1:8" hidden="1">
      <c r="A2350" s="495" t="s">
        <v>2654</v>
      </c>
      <c r="B2350" s="400" t="s">
        <v>684</v>
      </c>
      <c r="C2350" s="400" t="s">
        <v>97</v>
      </c>
      <c r="D2350" s="400" t="s">
        <v>2373</v>
      </c>
      <c r="E2350" s="400">
        <v>15</v>
      </c>
      <c r="F2350" s="400" t="s">
        <v>2655</v>
      </c>
      <c r="G2350" s="400" t="s">
        <v>2221</v>
      </c>
      <c r="H2350" s="1238"/>
    </row>
    <row r="2351" spans="1:8" hidden="1">
      <c r="A2351" s="495" t="s">
        <v>2654</v>
      </c>
      <c r="B2351" s="400" t="s">
        <v>684</v>
      </c>
      <c r="C2351" s="400" t="s">
        <v>97</v>
      </c>
      <c r="D2351" s="400" t="s">
        <v>2374</v>
      </c>
      <c r="E2351" s="400">
        <v>15</v>
      </c>
      <c r="F2351" s="400" t="s">
        <v>2655</v>
      </c>
      <c r="G2351" s="400" t="s">
        <v>2221</v>
      </c>
      <c r="H2351" s="1238"/>
    </row>
    <row r="2352" spans="1:8" hidden="1">
      <c r="A2352" s="495" t="s">
        <v>2654</v>
      </c>
      <c r="B2352" s="400" t="s">
        <v>684</v>
      </c>
      <c r="C2352" s="400" t="s">
        <v>97</v>
      </c>
      <c r="D2352" s="400" t="s">
        <v>2375</v>
      </c>
      <c r="E2352" s="400">
        <v>15</v>
      </c>
      <c r="F2352" s="400" t="s">
        <v>2655</v>
      </c>
      <c r="G2352" s="400" t="s">
        <v>2221</v>
      </c>
      <c r="H2352" s="1238"/>
    </row>
    <row r="2353" spans="1:8" hidden="1">
      <c r="A2353" s="495" t="s">
        <v>2654</v>
      </c>
      <c r="B2353" s="400" t="s">
        <v>684</v>
      </c>
      <c r="C2353" s="400" t="s">
        <v>97</v>
      </c>
      <c r="D2353" s="400" t="s">
        <v>2376</v>
      </c>
      <c r="E2353" s="400">
        <v>15</v>
      </c>
      <c r="F2353" s="400" t="s">
        <v>2655</v>
      </c>
      <c r="G2353" s="400" t="s">
        <v>2221</v>
      </c>
      <c r="H2353" s="1238"/>
    </row>
    <row r="2354" spans="1:8" hidden="1">
      <c r="A2354" s="495" t="s">
        <v>2654</v>
      </c>
      <c r="B2354" s="400" t="s">
        <v>684</v>
      </c>
      <c r="C2354" s="400" t="s">
        <v>97</v>
      </c>
      <c r="D2354" s="400" t="s">
        <v>2377</v>
      </c>
      <c r="E2354" s="400">
        <v>15</v>
      </c>
      <c r="F2354" s="400" t="s">
        <v>2655</v>
      </c>
      <c r="G2354" s="400" t="s">
        <v>2221</v>
      </c>
      <c r="H2354" s="1238"/>
    </row>
    <row r="2355" spans="1:8" hidden="1">
      <c r="A2355" s="495" t="s">
        <v>2654</v>
      </c>
      <c r="B2355" s="400" t="s">
        <v>684</v>
      </c>
      <c r="C2355" s="400" t="s">
        <v>97</v>
      </c>
      <c r="D2355" s="400" t="s">
        <v>2378</v>
      </c>
      <c r="E2355" s="400">
        <v>15</v>
      </c>
      <c r="F2355" s="400" t="s">
        <v>2655</v>
      </c>
      <c r="G2355" s="400" t="s">
        <v>2221</v>
      </c>
      <c r="H2355" s="1238"/>
    </row>
    <row r="2356" spans="1:8" hidden="1">
      <c r="A2356" s="495" t="s">
        <v>2654</v>
      </c>
      <c r="B2356" s="400" t="s">
        <v>684</v>
      </c>
      <c r="C2356" s="400" t="s">
        <v>97</v>
      </c>
      <c r="D2356" s="400" t="s">
        <v>2379</v>
      </c>
      <c r="E2356" s="400">
        <v>15</v>
      </c>
      <c r="F2356" s="400" t="s">
        <v>2655</v>
      </c>
      <c r="G2356" s="400" t="s">
        <v>2221</v>
      </c>
      <c r="H2356" s="1238"/>
    </row>
    <row r="2357" spans="1:8" hidden="1">
      <c r="A2357" s="495" t="s">
        <v>2654</v>
      </c>
      <c r="B2357" s="400" t="s">
        <v>684</v>
      </c>
      <c r="C2357" s="400" t="s">
        <v>97</v>
      </c>
      <c r="D2357" s="400" t="s">
        <v>2380</v>
      </c>
      <c r="E2357" s="400">
        <v>15</v>
      </c>
      <c r="F2357" s="400" t="s">
        <v>2655</v>
      </c>
      <c r="G2357" s="400" t="s">
        <v>2221</v>
      </c>
      <c r="H2357" s="1238"/>
    </row>
    <row r="2358" spans="1:8" hidden="1">
      <c r="A2358" s="495" t="s">
        <v>2654</v>
      </c>
      <c r="B2358" s="400" t="s">
        <v>684</v>
      </c>
      <c r="C2358" s="400" t="s">
        <v>97</v>
      </c>
      <c r="D2358" s="400" t="s">
        <v>2381</v>
      </c>
      <c r="E2358" s="400">
        <v>15</v>
      </c>
      <c r="F2358" s="400" t="s">
        <v>2655</v>
      </c>
      <c r="G2358" s="400" t="s">
        <v>2221</v>
      </c>
      <c r="H2358" s="1238"/>
    </row>
    <row r="2359" spans="1:8" hidden="1">
      <c r="A2359" s="495" t="s">
        <v>2654</v>
      </c>
      <c r="B2359" s="400" t="s">
        <v>684</v>
      </c>
      <c r="C2359" s="400" t="s">
        <v>97</v>
      </c>
      <c r="D2359" s="400" t="s">
        <v>2382</v>
      </c>
      <c r="E2359" s="400">
        <v>15</v>
      </c>
      <c r="F2359" s="400" t="s">
        <v>2655</v>
      </c>
      <c r="G2359" s="400" t="s">
        <v>2221</v>
      </c>
      <c r="H2359" s="1238"/>
    </row>
    <row r="2360" spans="1:8" hidden="1">
      <c r="A2360" s="495" t="s">
        <v>2654</v>
      </c>
      <c r="B2360" s="400" t="s">
        <v>684</v>
      </c>
      <c r="C2360" s="400" t="s">
        <v>97</v>
      </c>
      <c r="D2360" s="400" t="s">
        <v>2383</v>
      </c>
      <c r="E2360" s="400">
        <v>15</v>
      </c>
      <c r="F2360" s="400" t="s">
        <v>2655</v>
      </c>
      <c r="G2360" s="400" t="s">
        <v>2221</v>
      </c>
      <c r="H2360" s="1238"/>
    </row>
    <row r="2361" spans="1:8" hidden="1">
      <c r="A2361" s="495" t="s">
        <v>2654</v>
      </c>
      <c r="B2361" s="400" t="s">
        <v>684</v>
      </c>
      <c r="C2361" s="400" t="s">
        <v>97</v>
      </c>
      <c r="D2361" s="400" t="s">
        <v>2384</v>
      </c>
      <c r="E2361" s="400">
        <v>15</v>
      </c>
      <c r="F2361" s="400" t="s">
        <v>2655</v>
      </c>
      <c r="G2361" s="400" t="s">
        <v>2221</v>
      </c>
      <c r="H2361" s="1238"/>
    </row>
    <row r="2362" spans="1:8" hidden="1">
      <c r="A2362" s="495" t="s">
        <v>2654</v>
      </c>
      <c r="B2362" s="400" t="s">
        <v>684</v>
      </c>
      <c r="C2362" s="400" t="s">
        <v>97</v>
      </c>
      <c r="D2362" s="400" t="s">
        <v>2385</v>
      </c>
      <c r="E2362" s="400">
        <v>15</v>
      </c>
      <c r="F2362" s="400" t="s">
        <v>2655</v>
      </c>
      <c r="G2362" s="400" t="s">
        <v>2221</v>
      </c>
      <c r="H2362" s="1238"/>
    </row>
    <row r="2363" spans="1:8" hidden="1">
      <c r="A2363" s="495" t="s">
        <v>2654</v>
      </c>
      <c r="B2363" s="400" t="s">
        <v>684</v>
      </c>
      <c r="C2363" s="400" t="s">
        <v>97</v>
      </c>
      <c r="D2363" s="400" t="s">
        <v>2386</v>
      </c>
      <c r="E2363" s="400">
        <v>15</v>
      </c>
      <c r="F2363" s="400" t="s">
        <v>2655</v>
      </c>
      <c r="G2363" s="400" t="s">
        <v>2221</v>
      </c>
      <c r="H2363" s="1238"/>
    </row>
    <row r="2364" spans="1:8" hidden="1">
      <c r="A2364" s="495" t="s">
        <v>2654</v>
      </c>
      <c r="B2364" s="400" t="s">
        <v>684</v>
      </c>
      <c r="C2364" s="400" t="s">
        <v>97</v>
      </c>
      <c r="D2364" s="400" t="s">
        <v>2387</v>
      </c>
      <c r="E2364" s="400">
        <v>15</v>
      </c>
      <c r="F2364" s="400" t="s">
        <v>2655</v>
      </c>
      <c r="G2364" s="400" t="s">
        <v>2221</v>
      </c>
      <c r="H2364" s="1238"/>
    </row>
    <row r="2365" spans="1:8" hidden="1">
      <c r="A2365" s="495" t="s">
        <v>2654</v>
      </c>
      <c r="B2365" s="400" t="s">
        <v>684</v>
      </c>
      <c r="C2365" s="400" t="s">
        <v>97</v>
      </c>
      <c r="D2365" s="400" t="s">
        <v>2388</v>
      </c>
      <c r="E2365" s="400">
        <v>15</v>
      </c>
      <c r="F2365" s="400" t="s">
        <v>2655</v>
      </c>
      <c r="G2365" s="400" t="s">
        <v>2221</v>
      </c>
      <c r="H2365" s="1238"/>
    </row>
    <row r="2366" spans="1:8" hidden="1">
      <c r="A2366" s="495" t="s">
        <v>2654</v>
      </c>
      <c r="B2366" s="400" t="s">
        <v>684</v>
      </c>
      <c r="C2366" s="400" t="s">
        <v>97</v>
      </c>
      <c r="D2366" s="400" t="s">
        <v>2389</v>
      </c>
      <c r="E2366" s="400">
        <v>15</v>
      </c>
      <c r="F2366" s="400" t="s">
        <v>2655</v>
      </c>
      <c r="G2366" s="400" t="s">
        <v>2221</v>
      </c>
      <c r="H2366" s="1238"/>
    </row>
    <row r="2367" spans="1:8" hidden="1">
      <c r="A2367" s="495" t="s">
        <v>2654</v>
      </c>
      <c r="B2367" s="400" t="s">
        <v>684</v>
      </c>
      <c r="C2367" s="400" t="s">
        <v>97</v>
      </c>
      <c r="D2367" s="400" t="s">
        <v>2390</v>
      </c>
      <c r="E2367" s="400">
        <v>15</v>
      </c>
      <c r="F2367" s="400" t="s">
        <v>2655</v>
      </c>
      <c r="G2367" s="400" t="s">
        <v>2221</v>
      </c>
      <c r="H2367" s="1238"/>
    </row>
    <row r="2368" spans="1:8" hidden="1">
      <c r="A2368" s="495" t="s">
        <v>2654</v>
      </c>
      <c r="B2368" s="400" t="s">
        <v>684</v>
      </c>
      <c r="C2368" s="400" t="s">
        <v>97</v>
      </c>
      <c r="D2368" s="400" t="s">
        <v>2391</v>
      </c>
      <c r="E2368" s="400">
        <v>18</v>
      </c>
      <c r="F2368" s="400" t="s">
        <v>2298</v>
      </c>
      <c r="G2368" s="400" t="s">
        <v>2221</v>
      </c>
      <c r="H2368" s="1238"/>
    </row>
    <row r="2369" spans="1:8" hidden="1">
      <c r="A2369" s="495" t="s">
        <v>2654</v>
      </c>
      <c r="B2369" s="400" t="s">
        <v>684</v>
      </c>
      <c r="C2369" s="400" t="s">
        <v>97</v>
      </c>
      <c r="D2369" s="400" t="s">
        <v>2392</v>
      </c>
      <c r="E2369" s="400">
        <v>15</v>
      </c>
      <c r="F2369" s="400" t="s">
        <v>2655</v>
      </c>
      <c r="G2369" s="400" t="s">
        <v>2221</v>
      </c>
      <c r="H2369" s="1238"/>
    </row>
    <row r="2370" spans="1:8" hidden="1">
      <c r="A2370" s="495" t="s">
        <v>2654</v>
      </c>
      <c r="B2370" s="400" t="s">
        <v>684</v>
      </c>
      <c r="C2370" s="400" t="s">
        <v>97</v>
      </c>
      <c r="D2370" s="400" t="s">
        <v>2393</v>
      </c>
      <c r="E2370" s="400">
        <v>15</v>
      </c>
      <c r="F2370" s="400" t="s">
        <v>2655</v>
      </c>
      <c r="G2370" s="400" t="s">
        <v>2221</v>
      </c>
      <c r="H2370" s="1238"/>
    </row>
    <row r="2371" spans="1:8" hidden="1">
      <c r="A2371" s="495" t="s">
        <v>2654</v>
      </c>
      <c r="B2371" s="400" t="s">
        <v>684</v>
      </c>
      <c r="C2371" s="400" t="s">
        <v>97</v>
      </c>
      <c r="D2371" s="400" t="s">
        <v>2394</v>
      </c>
      <c r="E2371" s="400">
        <v>15</v>
      </c>
      <c r="F2371" s="400" t="s">
        <v>2655</v>
      </c>
      <c r="G2371" s="400" t="s">
        <v>2221</v>
      </c>
      <c r="H2371" s="1238"/>
    </row>
    <row r="2372" spans="1:8" hidden="1">
      <c r="A2372" s="495" t="s">
        <v>2654</v>
      </c>
      <c r="B2372" s="400" t="s">
        <v>684</v>
      </c>
      <c r="C2372" s="400" t="s">
        <v>97</v>
      </c>
      <c r="D2372" s="400" t="s">
        <v>2395</v>
      </c>
      <c r="E2372" s="400">
        <v>15</v>
      </c>
      <c r="F2372" s="400" t="s">
        <v>2655</v>
      </c>
      <c r="G2372" s="400" t="s">
        <v>2221</v>
      </c>
      <c r="H2372" s="1238"/>
    </row>
    <row r="2373" spans="1:8" hidden="1">
      <c r="A2373" s="495" t="s">
        <v>2654</v>
      </c>
      <c r="B2373" s="400" t="s">
        <v>684</v>
      </c>
      <c r="C2373" s="400" t="s">
        <v>97</v>
      </c>
      <c r="D2373" s="400" t="s">
        <v>2396</v>
      </c>
      <c r="E2373" s="400">
        <v>15</v>
      </c>
      <c r="F2373" s="400" t="s">
        <v>2655</v>
      </c>
      <c r="G2373" s="400" t="s">
        <v>2221</v>
      </c>
      <c r="H2373" s="1238"/>
    </row>
    <row r="2374" spans="1:8" hidden="1">
      <c r="A2374" s="495" t="s">
        <v>2654</v>
      </c>
      <c r="B2374" s="400" t="s">
        <v>684</v>
      </c>
      <c r="C2374" s="400" t="s">
        <v>97</v>
      </c>
      <c r="D2374" s="400" t="s">
        <v>2397</v>
      </c>
      <c r="E2374" s="400">
        <v>15</v>
      </c>
      <c r="F2374" s="400" t="s">
        <v>2655</v>
      </c>
      <c r="G2374" s="400" t="s">
        <v>2221</v>
      </c>
      <c r="H2374" s="1238"/>
    </row>
    <row r="2375" spans="1:8" hidden="1">
      <c r="A2375" s="495" t="s">
        <v>2654</v>
      </c>
      <c r="B2375" s="400" t="s">
        <v>684</v>
      </c>
      <c r="C2375" s="400" t="s">
        <v>97</v>
      </c>
      <c r="D2375" s="400" t="s">
        <v>2398</v>
      </c>
      <c r="E2375" s="400">
        <v>15</v>
      </c>
      <c r="F2375" s="400" t="s">
        <v>2655</v>
      </c>
      <c r="G2375" s="400" t="s">
        <v>2221</v>
      </c>
      <c r="H2375" s="1238"/>
    </row>
    <row r="2376" spans="1:8" hidden="1">
      <c r="A2376" s="495" t="s">
        <v>2654</v>
      </c>
      <c r="B2376" s="400" t="s">
        <v>684</v>
      </c>
      <c r="C2376" s="400" t="s">
        <v>97</v>
      </c>
      <c r="D2376" s="400" t="s">
        <v>2399</v>
      </c>
      <c r="E2376" s="400">
        <v>15</v>
      </c>
      <c r="F2376" s="400" t="s">
        <v>2655</v>
      </c>
      <c r="G2376" s="400" t="s">
        <v>2221</v>
      </c>
      <c r="H2376" s="1238"/>
    </row>
    <row r="2377" spans="1:8" hidden="1">
      <c r="A2377" s="495" t="s">
        <v>2654</v>
      </c>
      <c r="B2377" s="400" t="s">
        <v>684</v>
      </c>
      <c r="C2377" s="400" t="s">
        <v>97</v>
      </c>
      <c r="D2377" s="400" t="s">
        <v>2400</v>
      </c>
      <c r="E2377" s="400">
        <v>15</v>
      </c>
      <c r="F2377" s="400" t="s">
        <v>2655</v>
      </c>
      <c r="G2377" s="400" t="s">
        <v>2221</v>
      </c>
      <c r="H2377" s="1238"/>
    </row>
    <row r="2378" spans="1:8" hidden="1">
      <c r="A2378" s="495" t="s">
        <v>2654</v>
      </c>
      <c r="B2378" s="400" t="s">
        <v>684</v>
      </c>
      <c r="C2378" s="400" t="s">
        <v>97</v>
      </c>
      <c r="D2378" s="400" t="s">
        <v>2401</v>
      </c>
      <c r="E2378" s="400">
        <v>19</v>
      </c>
      <c r="F2378" s="400" t="s">
        <v>2299</v>
      </c>
      <c r="G2378" s="400" t="s">
        <v>2221</v>
      </c>
      <c r="H2378" s="1238"/>
    </row>
    <row r="2379" spans="1:8" hidden="1">
      <c r="A2379" s="495" t="s">
        <v>2654</v>
      </c>
      <c r="B2379" s="400" t="s">
        <v>684</v>
      </c>
      <c r="C2379" s="400" t="s">
        <v>97</v>
      </c>
      <c r="D2379" s="400" t="s">
        <v>2402</v>
      </c>
      <c r="E2379" s="400">
        <v>1</v>
      </c>
      <c r="F2379" s="400" t="s">
        <v>2300</v>
      </c>
      <c r="G2379" s="400" t="s">
        <v>2221</v>
      </c>
      <c r="H2379" s="1238"/>
    </row>
    <row r="2380" spans="1:8" hidden="1">
      <c r="A2380" s="495" t="s">
        <v>2654</v>
      </c>
      <c r="B2380" s="400" t="s">
        <v>684</v>
      </c>
      <c r="C2380" s="400" t="s">
        <v>97</v>
      </c>
      <c r="D2380" s="400" t="s">
        <v>2403</v>
      </c>
      <c r="E2380" s="400">
        <v>15</v>
      </c>
      <c r="F2380" s="400" t="s">
        <v>2655</v>
      </c>
      <c r="G2380" s="400" t="s">
        <v>2221</v>
      </c>
      <c r="H2380" s="1238"/>
    </row>
    <row r="2381" spans="1:8" hidden="1">
      <c r="A2381" s="495" t="s">
        <v>2654</v>
      </c>
      <c r="B2381" s="400" t="s">
        <v>684</v>
      </c>
      <c r="C2381" s="400" t="s">
        <v>97</v>
      </c>
      <c r="D2381" s="400" t="s">
        <v>2404</v>
      </c>
      <c r="E2381" s="400">
        <v>15</v>
      </c>
      <c r="F2381" s="400" t="s">
        <v>2655</v>
      </c>
      <c r="G2381" s="400" t="s">
        <v>2221</v>
      </c>
      <c r="H2381" s="1238"/>
    </row>
    <row r="2382" spans="1:8" hidden="1">
      <c r="A2382" s="495" t="s">
        <v>2654</v>
      </c>
      <c r="B2382" s="400" t="s">
        <v>684</v>
      </c>
      <c r="C2382" s="400" t="s">
        <v>97</v>
      </c>
      <c r="D2382" s="400" t="s">
        <v>2405</v>
      </c>
      <c r="E2382" s="400">
        <v>15</v>
      </c>
      <c r="F2382" s="400" t="s">
        <v>2655</v>
      </c>
      <c r="G2382" s="400" t="s">
        <v>2221</v>
      </c>
      <c r="H2382" s="1238"/>
    </row>
    <row r="2383" spans="1:8" hidden="1">
      <c r="A2383" s="495" t="s">
        <v>2654</v>
      </c>
      <c r="B2383" s="400" t="s">
        <v>684</v>
      </c>
      <c r="C2383" s="400" t="s">
        <v>97</v>
      </c>
      <c r="D2383" s="400" t="s">
        <v>2406</v>
      </c>
      <c r="E2383" s="400">
        <v>15</v>
      </c>
      <c r="F2383" s="400" t="s">
        <v>2655</v>
      </c>
      <c r="G2383" s="400" t="s">
        <v>2221</v>
      </c>
      <c r="H2383" s="1238"/>
    </row>
    <row r="2384" spans="1:8" hidden="1">
      <c r="A2384" s="495" t="s">
        <v>2654</v>
      </c>
      <c r="B2384" s="400" t="s">
        <v>684</v>
      </c>
      <c r="C2384" s="400" t="s">
        <v>97</v>
      </c>
      <c r="D2384" s="400" t="s">
        <v>2407</v>
      </c>
      <c r="E2384" s="400">
        <v>15</v>
      </c>
      <c r="F2384" s="400" t="s">
        <v>2655</v>
      </c>
      <c r="G2384" s="400" t="s">
        <v>2221</v>
      </c>
      <c r="H2384" s="1238"/>
    </row>
    <row r="2385" spans="1:8" hidden="1">
      <c r="A2385" s="495" t="s">
        <v>2654</v>
      </c>
      <c r="B2385" s="400" t="s">
        <v>684</v>
      </c>
      <c r="C2385" s="400" t="s">
        <v>97</v>
      </c>
      <c r="D2385" s="400" t="s">
        <v>2408</v>
      </c>
      <c r="E2385" s="400">
        <v>15</v>
      </c>
      <c r="F2385" s="400" t="s">
        <v>2655</v>
      </c>
      <c r="G2385" s="400" t="s">
        <v>2221</v>
      </c>
      <c r="H2385" s="1238"/>
    </row>
    <row r="2386" spans="1:8" hidden="1">
      <c r="A2386" s="495" t="s">
        <v>2654</v>
      </c>
      <c r="B2386" s="400" t="s">
        <v>684</v>
      </c>
      <c r="C2386" s="400" t="s">
        <v>97</v>
      </c>
      <c r="D2386" s="400" t="s">
        <v>2409</v>
      </c>
      <c r="E2386" s="400">
        <v>15</v>
      </c>
      <c r="F2386" s="400" t="s">
        <v>2655</v>
      </c>
      <c r="G2386" s="400" t="s">
        <v>2221</v>
      </c>
      <c r="H2386" s="1238"/>
    </row>
    <row r="2387" spans="1:8" hidden="1">
      <c r="A2387" s="495" t="s">
        <v>2654</v>
      </c>
      <c r="B2387" s="400" t="s">
        <v>684</v>
      </c>
      <c r="C2387" s="400" t="s">
        <v>97</v>
      </c>
      <c r="D2387" s="400" t="s">
        <v>2410</v>
      </c>
      <c r="E2387" s="400">
        <v>15</v>
      </c>
      <c r="F2387" s="400" t="s">
        <v>2655</v>
      </c>
      <c r="G2387" s="400" t="s">
        <v>2221</v>
      </c>
      <c r="H2387" s="1238"/>
    </row>
    <row r="2388" spans="1:8" hidden="1">
      <c r="A2388" s="495" t="s">
        <v>2654</v>
      </c>
      <c r="B2388" s="400" t="s">
        <v>684</v>
      </c>
      <c r="C2388" s="400" t="s">
        <v>97</v>
      </c>
      <c r="D2388" s="400" t="s">
        <v>2411</v>
      </c>
      <c r="E2388" s="400">
        <v>15</v>
      </c>
      <c r="F2388" s="400" t="s">
        <v>2655</v>
      </c>
      <c r="G2388" s="400" t="s">
        <v>2221</v>
      </c>
      <c r="H2388" s="1238"/>
    </row>
    <row r="2389" spans="1:8" hidden="1">
      <c r="A2389" s="495" t="s">
        <v>2654</v>
      </c>
      <c r="B2389" s="400" t="s">
        <v>684</v>
      </c>
      <c r="C2389" s="400" t="s">
        <v>97</v>
      </c>
      <c r="D2389" s="400" t="s">
        <v>2412</v>
      </c>
      <c r="E2389" s="400">
        <v>15</v>
      </c>
      <c r="F2389" s="400" t="s">
        <v>2655</v>
      </c>
      <c r="G2389" s="400" t="s">
        <v>2221</v>
      </c>
      <c r="H2389" s="1238"/>
    </row>
    <row r="2390" spans="1:8" hidden="1">
      <c r="A2390" s="495" t="s">
        <v>2654</v>
      </c>
      <c r="B2390" s="400" t="s">
        <v>684</v>
      </c>
      <c r="C2390" s="400" t="s">
        <v>97</v>
      </c>
      <c r="D2390" s="400" t="s">
        <v>2413</v>
      </c>
      <c r="E2390" s="400">
        <v>15</v>
      </c>
      <c r="F2390" s="400" t="s">
        <v>2655</v>
      </c>
      <c r="G2390" s="400" t="s">
        <v>2221</v>
      </c>
      <c r="H2390" s="1238"/>
    </row>
    <row r="2391" spans="1:8" hidden="1">
      <c r="A2391" s="495" t="s">
        <v>2654</v>
      </c>
      <c r="B2391" s="400" t="s">
        <v>684</v>
      </c>
      <c r="C2391" s="400" t="s">
        <v>97</v>
      </c>
      <c r="D2391" s="400" t="s">
        <v>2414</v>
      </c>
      <c r="E2391" s="400">
        <v>15</v>
      </c>
      <c r="F2391" s="400" t="s">
        <v>2655</v>
      </c>
      <c r="G2391" s="400" t="s">
        <v>2221</v>
      </c>
      <c r="H2391" s="1238"/>
    </row>
    <row r="2392" spans="1:8" hidden="1">
      <c r="A2392" s="495" t="s">
        <v>2654</v>
      </c>
      <c r="B2392" s="400" t="s">
        <v>684</v>
      </c>
      <c r="C2392" s="400" t="s">
        <v>97</v>
      </c>
      <c r="D2392" s="400" t="s">
        <v>2415</v>
      </c>
      <c r="E2392" s="400">
        <v>15</v>
      </c>
      <c r="F2392" s="400" t="s">
        <v>2655</v>
      </c>
      <c r="G2392" s="400" t="s">
        <v>2221</v>
      </c>
      <c r="H2392" s="1238"/>
    </row>
    <row r="2393" spans="1:8" hidden="1">
      <c r="A2393" s="495" t="s">
        <v>2654</v>
      </c>
      <c r="B2393" s="400" t="s">
        <v>684</v>
      </c>
      <c r="C2393" s="400" t="s">
        <v>97</v>
      </c>
      <c r="D2393" s="400" t="s">
        <v>2416</v>
      </c>
      <c r="E2393" s="400">
        <v>15</v>
      </c>
      <c r="F2393" s="400" t="s">
        <v>2655</v>
      </c>
      <c r="G2393" s="400" t="s">
        <v>2221</v>
      </c>
      <c r="H2393" s="1238"/>
    </row>
    <row r="2394" spans="1:8" hidden="1">
      <c r="A2394" s="495" t="s">
        <v>2654</v>
      </c>
      <c r="B2394" s="400" t="s">
        <v>684</v>
      </c>
      <c r="C2394" s="400" t="s">
        <v>97</v>
      </c>
      <c r="D2394" s="400" t="s">
        <v>2417</v>
      </c>
      <c r="E2394" s="400">
        <v>15</v>
      </c>
      <c r="F2394" s="400" t="s">
        <v>2655</v>
      </c>
      <c r="G2394" s="400" t="s">
        <v>2221</v>
      </c>
      <c r="H2394" s="1238"/>
    </row>
    <row r="2395" spans="1:8" hidden="1">
      <c r="A2395" s="495" t="s">
        <v>2654</v>
      </c>
      <c r="B2395" s="400" t="s">
        <v>684</v>
      </c>
      <c r="C2395" s="400" t="s">
        <v>97</v>
      </c>
      <c r="D2395" s="400" t="s">
        <v>2418</v>
      </c>
      <c r="E2395" s="400">
        <v>15</v>
      </c>
      <c r="F2395" s="400" t="s">
        <v>2655</v>
      </c>
      <c r="G2395" s="400" t="s">
        <v>2221</v>
      </c>
      <c r="H2395" s="1238"/>
    </row>
    <row r="2396" spans="1:8" hidden="1">
      <c r="A2396" s="495" t="s">
        <v>2654</v>
      </c>
      <c r="B2396" s="400" t="s">
        <v>684</v>
      </c>
      <c r="C2396" s="400" t="s">
        <v>97</v>
      </c>
      <c r="D2396" s="400" t="s">
        <v>2419</v>
      </c>
      <c r="E2396" s="400">
        <v>15</v>
      </c>
      <c r="F2396" s="400" t="s">
        <v>2655</v>
      </c>
      <c r="G2396" s="400" t="s">
        <v>2221</v>
      </c>
      <c r="H2396" s="1238"/>
    </row>
    <row r="2397" spans="1:8" hidden="1">
      <c r="A2397" s="495" t="s">
        <v>2654</v>
      </c>
      <c r="B2397" s="400" t="s">
        <v>684</v>
      </c>
      <c r="C2397" s="400" t="s">
        <v>97</v>
      </c>
      <c r="D2397" s="400" t="s">
        <v>2420</v>
      </c>
      <c r="E2397" s="400">
        <v>15</v>
      </c>
      <c r="F2397" s="400" t="s">
        <v>2655</v>
      </c>
      <c r="G2397" s="400" t="s">
        <v>2221</v>
      </c>
      <c r="H2397" s="1238"/>
    </row>
    <row r="2398" spans="1:8" hidden="1">
      <c r="A2398" s="495" t="s">
        <v>2654</v>
      </c>
      <c r="B2398" s="400" t="s">
        <v>684</v>
      </c>
      <c r="C2398" s="400" t="s">
        <v>97</v>
      </c>
      <c r="D2398" s="400" t="s">
        <v>2421</v>
      </c>
      <c r="E2398" s="400">
        <v>15</v>
      </c>
      <c r="F2398" s="400" t="s">
        <v>2655</v>
      </c>
      <c r="G2398" s="400" t="s">
        <v>2221</v>
      </c>
      <c r="H2398" s="1238"/>
    </row>
    <row r="2399" spans="1:8" hidden="1">
      <c r="A2399" s="495" t="s">
        <v>2654</v>
      </c>
      <c r="B2399" s="400" t="s">
        <v>684</v>
      </c>
      <c r="C2399" s="400" t="s">
        <v>97</v>
      </c>
      <c r="D2399" s="400" t="s">
        <v>2422</v>
      </c>
      <c r="E2399" s="400">
        <v>15</v>
      </c>
      <c r="F2399" s="400" t="s">
        <v>2655</v>
      </c>
      <c r="G2399" s="400" t="s">
        <v>2221</v>
      </c>
      <c r="H2399" s="1238"/>
    </row>
    <row r="2400" spans="1:8" hidden="1">
      <c r="A2400" s="495" t="s">
        <v>2654</v>
      </c>
      <c r="B2400" s="400" t="s">
        <v>684</v>
      </c>
      <c r="C2400" s="400" t="s">
        <v>97</v>
      </c>
      <c r="D2400" s="400" t="s">
        <v>2423</v>
      </c>
      <c r="E2400" s="400">
        <v>15</v>
      </c>
      <c r="F2400" s="400" t="s">
        <v>2655</v>
      </c>
      <c r="G2400" s="400" t="s">
        <v>2221</v>
      </c>
      <c r="H2400" s="1238"/>
    </row>
    <row r="2401" spans="1:8" hidden="1">
      <c r="A2401" s="495" t="s">
        <v>2654</v>
      </c>
      <c r="B2401" s="400" t="s">
        <v>684</v>
      </c>
      <c r="C2401" s="400" t="s">
        <v>97</v>
      </c>
      <c r="D2401" s="400" t="s">
        <v>2424</v>
      </c>
      <c r="E2401" s="400">
        <v>15</v>
      </c>
      <c r="F2401" s="400" t="s">
        <v>2655</v>
      </c>
      <c r="G2401" s="400" t="s">
        <v>2221</v>
      </c>
      <c r="H2401" s="1238"/>
    </row>
    <row r="2402" spans="1:8" hidden="1">
      <c r="A2402" s="495" t="s">
        <v>2654</v>
      </c>
      <c r="B2402" s="400" t="s">
        <v>684</v>
      </c>
      <c r="C2402" s="400" t="s">
        <v>97</v>
      </c>
      <c r="D2402" s="400" t="s">
        <v>2425</v>
      </c>
      <c r="E2402" s="400">
        <v>15</v>
      </c>
      <c r="F2402" s="400" t="s">
        <v>2655</v>
      </c>
      <c r="G2402" s="400" t="s">
        <v>2221</v>
      </c>
      <c r="H2402" s="1238"/>
    </row>
    <row r="2403" spans="1:8" hidden="1">
      <c r="A2403" s="495" t="s">
        <v>2654</v>
      </c>
      <c r="B2403" s="400" t="s">
        <v>684</v>
      </c>
      <c r="C2403" s="400" t="s">
        <v>97</v>
      </c>
      <c r="D2403" s="400" t="s">
        <v>2426</v>
      </c>
      <c r="E2403" s="400">
        <v>15</v>
      </c>
      <c r="F2403" s="400" t="s">
        <v>2655</v>
      </c>
      <c r="G2403" s="400" t="s">
        <v>2221</v>
      </c>
      <c r="H2403" s="1238"/>
    </row>
    <row r="2404" spans="1:8" hidden="1">
      <c r="A2404" s="495" t="s">
        <v>2654</v>
      </c>
      <c r="B2404" s="400" t="s">
        <v>684</v>
      </c>
      <c r="C2404" s="400" t="s">
        <v>97</v>
      </c>
      <c r="D2404" s="400" t="s">
        <v>2427</v>
      </c>
      <c r="E2404" s="400">
        <v>15</v>
      </c>
      <c r="F2404" s="400" t="s">
        <v>2655</v>
      </c>
      <c r="G2404" s="400" t="s">
        <v>2221</v>
      </c>
      <c r="H2404" s="1238"/>
    </row>
    <row r="2405" spans="1:8" hidden="1">
      <c r="A2405" s="495" t="s">
        <v>2654</v>
      </c>
      <c r="B2405" s="400" t="s">
        <v>684</v>
      </c>
      <c r="C2405" s="400" t="s">
        <v>97</v>
      </c>
      <c r="D2405" s="400" t="s">
        <v>2428</v>
      </c>
      <c r="E2405" s="400">
        <v>15</v>
      </c>
      <c r="F2405" s="400" t="s">
        <v>2655</v>
      </c>
      <c r="G2405" s="400" t="s">
        <v>2221</v>
      </c>
      <c r="H2405" s="1238"/>
    </row>
    <row r="2406" spans="1:8" hidden="1">
      <c r="A2406" s="495" t="s">
        <v>2654</v>
      </c>
      <c r="B2406" s="400" t="s">
        <v>684</v>
      </c>
      <c r="C2406" s="400" t="s">
        <v>97</v>
      </c>
      <c r="D2406" s="400" t="s">
        <v>2429</v>
      </c>
      <c r="E2406" s="400">
        <v>15</v>
      </c>
      <c r="F2406" s="400" t="s">
        <v>2655</v>
      </c>
      <c r="G2406" s="400" t="s">
        <v>2221</v>
      </c>
      <c r="H2406" s="1238"/>
    </row>
    <row r="2407" spans="1:8" hidden="1">
      <c r="A2407" s="495" t="s">
        <v>2654</v>
      </c>
      <c r="B2407" s="400" t="s">
        <v>684</v>
      </c>
      <c r="C2407" s="400" t="s">
        <v>97</v>
      </c>
      <c r="D2407" s="400" t="s">
        <v>2430</v>
      </c>
      <c r="E2407" s="400">
        <v>15</v>
      </c>
      <c r="F2407" s="400" t="s">
        <v>2655</v>
      </c>
      <c r="G2407" s="400" t="s">
        <v>2221</v>
      </c>
      <c r="H2407" s="1238"/>
    </row>
    <row r="2408" spans="1:8" hidden="1">
      <c r="A2408" s="495" t="s">
        <v>2654</v>
      </c>
      <c r="B2408" s="400" t="s">
        <v>684</v>
      </c>
      <c r="C2408" s="400" t="s">
        <v>97</v>
      </c>
      <c r="D2408" s="400" t="s">
        <v>2431</v>
      </c>
      <c r="E2408" s="400">
        <v>15</v>
      </c>
      <c r="F2408" s="400" t="s">
        <v>2655</v>
      </c>
      <c r="G2408" s="400" t="s">
        <v>2221</v>
      </c>
      <c r="H2408" s="1238"/>
    </row>
    <row r="2409" spans="1:8" hidden="1">
      <c r="A2409" s="495" t="s">
        <v>2654</v>
      </c>
      <c r="B2409" s="400" t="s">
        <v>684</v>
      </c>
      <c r="C2409" s="400" t="s">
        <v>97</v>
      </c>
      <c r="D2409" s="400" t="s">
        <v>2432</v>
      </c>
      <c r="E2409" s="400">
        <v>8</v>
      </c>
      <c r="F2409" s="400" t="s">
        <v>2297</v>
      </c>
      <c r="G2409" s="400" t="s">
        <v>2221</v>
      </c>
      <c r="H2409" s="1238"/>
    </row>
    <row r="2410" spans="1:8" hidden="1">
      <c r="A2410" s="495" t="s">
        <v>2654</v>
      </c>
      <c r="B2410" s="400" t="s">
        <v>684</v>
      </c>
      <c r="C2410" s="400" t="s">
        <v>97</v>
      </c>
      <c r="D2410" s="400" t="s">
        <v>2433</v>
      </c>
      <c r="E2410" s="400">
        <v>15</v>
      </c>
      <c r="F2410" s="400" t="s">
        <v>2655</v>
      </c>
      <c r="G2410" s="400" t="s">
        <v>2221</v>
      </c>
      <c r="H2410" s="1238"/>
    </row>
    <row r="2411" spans="1:8" hidden="1">
      <c r="A2411" s="495" t="s">
        <v>2654</v>
      </c>
      <c r="B2411" s="400" t="s">
        <v>684</v>
      </c>
      <c r="C2411" s="400" t="s">
        <v>97</v>
      </c>
      <c r="D2411" s="400" t="s">
        <v>2434</v>
      </c>
      <c r="E2411" s="400">
        <v>18</v>
      </c>
      <c r="F2411" s="400" t="s">
        <v>2298</v>
      </c>
      <c r="G2411" s="400" t="s">
        <v>2221</v>
      </c>
      <c r="H2411" s="1238"/>
    </row>
    <row r="2412" spans="1:8" hidden="1">
      <c r="A2412" s="495" t="s">
        <v>2654</v>
      </c>
      <c r="B2412" s="400" t="s">
        <v>684</v>
      </c>
      <c r="C2412" s="400" t="s">
        <v>97</v>
      </c>
      <c r="D2412" s="400" t="s">
        <v>2435</v>
      </c>
      <c r="E2412" s="400">
        <v>15</v>
      </c>
      <c r="F2412" s="400" t="s">
        <v>2655</v>
      </c>
      <c r="G2412" s="400" t="s">
        <v>2221</v>
      </c>
      <c r="H2412" s="1238"/>
    </row>
    <row r="2413" spans="1:8" hidden="1">
      <c r="A2413" s="495" t="s">
        <v>2654</v>
      </c>
      <c r="B2413" s="400" t="s">
        <v>684</v>
      </c>
      <c r="C2413" s="400" t="s">
        <v>97</v>
      </c>
      <c r="D2413" s="400" t="s">
        <v>2436</v>
      </c>
      <c r="E2413" s="400">
        <v>15</v>
      </c>
      <c r="F2413" s="400" t="s">
        <v>2655</v>
      </c>
      <c r="G2413" s="400" t="s">
        <v>2221</v>
      </c>
      <c r="H2413" s="1238"/>
    </row>
    <row r="2414" spans="1:8" hidden="1">
      <c r="A2414" s="495" t="s">
        <v>2654</v>
      </c>
      <c r="B2414" s="400" t="s">
        <v>684</v>
      </c>
      <c r="C2414" s="400" t="s">
        <v>97</v>
      </c>
      <c r="D2414" s="400" t="s">
        <v>2437</v>
      </c>
      <c r="E2414" s="400">
        <v>19</v>
      </c>
      <c r="F2414" s="400" t="s">
        <v>2299</v>
      </c>
      <c r="G2414" s="400" t="s">
        <v>2221</v>
      </c>
      <c r="H2414" s="1238"/>
    </row>
    <row r="2415" spans="1:8" hidden="1">
      <c r="A2415" s="495" t="s">
        <v>2654</v>
      </c>
      <c r="B2415" s="400" t="s">
        <v>684</v>
      </c>
      <c r="C2415" s="400" t="s">
        <v>97</v>
      </c>
      <c r="D2415" s="400" t="s">
        <v>2438</v>
      </c>
      <c r="E2415" s="400">
        <v>15</v>
      </c>
      <c r="F2415" s="400" t="s">
        <v>2655</v>
      </c>
      <c r="G2415" s="400" t="s">
        <v>2221</v>
      </c>
      <c r="H2415" s="1238"/>
    </row>
    <row r="2416" spans="1:8" hidden="1">
      <c r="A2416" s="495" t="s">
        <v>2654</v>
      </c>
      <c r="B2416" s="400" t="s">
        <v>684</v>
      </c>
      <c r="C2416" s="400" t="s">
        <v>97</v>
      </c>
      <c r="D2416" s="400" t="s">
        <v>2439</v>
      </c>
      <c r="E2416" s="400">
        <v>15</v>
      </c>
      <c r="F2416" s="400" t="s">
        <v>2655</v>
      </c>
      <c r="G2416" s="400" t="s">
        <v>2221</v>
      </c>
      <c r="H2416" s="1238"/>
    </row>
    <row r="2417" spans="1:8" hidden="1">
      <c r="A2417" s="495" t="s">
        <v>2654</v>
      </c>
      <c r="B2417" s="400" t="s">
        <v>684</v>
      </c>
      <c r="C2417" s="400" t="s">
        <v>97</v>
      </c>
      <c r="D2417" s="400" t="s">
        <v>2440</v>
      </c>
      <c r="E2417" s="400">
        <v>15</v>
      </c>
      <c r="F2417" s="400" t="s">
        <v>2655</v>
      </c>
      <c r="G2417" s="400" t="s">
        <v>2221</v>
      </c>
      <c r="H2417" s="1238"/>
    </row>
    <row r="2418" spans="1:8" hidden="1">
      <c r="A2418" s="495" t="s">
        <v>2654</v>
      </c>
      <c r="B2418" s="400" t="s">
        <v>684</v>
      </c>
      <c r="C2418" s="400" t="s">
        <v>97</v>
      </c>
      <c r="D2418" s="400" t="s">
        <v>2441</v>
      </c>
      <c r="E2418" s="400">
        <v>15</v>
      </c>
      <c r="F2418" s="400" t="s">
        <v>2655</v>
      </c>
      <c r="G2418" s="400" t="s">
        <v>2221</v>
      </c>
      <c r="H2418" s="1238"/>
    </row>
    <row r="2419" spans="1:8" hidden="1">
      <c r="A2419" s="495" t="s">
        <v>2654</v>
      </c>
      <c r="B2419" s="400" t="s">
        <v>684</v>
      </c>
      <c r="C2419" s="400" t="s">
        <v>97</v>
      </c>
      <c r="D2419" s="400" t="s">
        <v>2442</v>
      </c>
      <c r="E2419" s="400">
        <v>15</v>
      </c>
      <c r="F2419" s="400" t="s">
        <v>2655</v>
      </c>
      <c r="G2419" s="400" t="s">
        <v>2221</v>
      </c>
      <c r="H2419" s="1238"/>
    </row>
    <row r="2420" spans="1:8" hidden="1">
      <c r="A2420" s="495" t="s">
        <v>2654</v>
      </c>
      <c r="B2420" s="400" t="s">
        <v>684</v>
      </c>
      <c r="C2420" s="400" t="s">
        <v>97</v>
      </c>
      <c r="D2420" s="400" t="s">
        <v>2443</v>
      </c>
      <c r="E2420" s="400">
        <v>1</v>
      </c>
      <c r="F2420" s="400" t="s">
        <v>2300</v>
      </c>
      <c r="G2420" s="400" t="s">
        <v>2221</v>
      </c>
      <c r="H2420" s="1238"/>
    </row>
    <row r="2421" spans="1:8" hidden="1">
      <c r="A2421" s="495" t="s">
        <v>2654</v>
      </c>
      <c r="B2421" s="400" t="s">
        <v>684</v>
      </c>
      <c r="C2421" s="400" t="s">
        <v>97</v>
      </c>
      <c r="D2421" s="400" t="s">
        <v>2444</v>
      </c>
      <c r="E2421" s="400">
        <v>15</v>
      </c>
      <c r="F2421" s="400" t="s">
        <v>2655</v>
      </c>
      <c r="G2421" s="400" t="s">
        <v>2221</v>
      </c>
      <c r="H2421" s="1238"/>
    </row>
    <row r="2422" spans="1:8" hidden="1">
      <c r="A2422" s="495" t="s">
        <v>2654</v>
      </c>
      <c r="B2422" s="400" t="s">
        <v>684</v>
      </c>
      <c r="C2422" s="400" t="s">
        <v>97</v>
      </c>
      <c r="D2422" s="400" t="s">
        <v>2445</v>
      </c>
      <c r="E2422" s="400">
        <v>15</v>
      </c>
      <c r="F2422" s="400" t="s">
        <v>2655</v>
      </c>
      <c r="G2422" s="400" t="s">
        <v>2221</v>
      </c>
      <c r="H2422" s="1238"/>
    </row>
    <row r="2423" spans="1:8" hidden="1">
      <c r="A2423" s="495" t="s">
        <v>2654</v>
      </c>
      <c r="B2423" s="400" t="s">
        <v>684</v>
      </c>
      <c r="C2423" s="400" t="s">
        <v>97</v>
      </c>
      <c r="D2423" s="400" t="s">
        <v>2446</v>
      </c>
      <c r="E2423" s="400">
        <v>15</v>
      </c>
      <c r="F2423" s="400" t="s">
        <v>2655</v>
      </c>
      <c r="G2423" s="400" t="s">
        <v>2221</v>
      </c>
      <c r="H2423" s="1238"/>
    </row>
    <row r="2424" spans="1:8" hidden="1">
      <c r="A2424" s="495" t="s">
        <v>2654</v>
      </c>
      <c r="B2424" s="400" t="s">
        <v>684</v>
      </c>
      <c r="C2424" s="400" t="s">
        <v>97</v>
      </c>
      <c r="D2424" s="400" t="s">
        <v>2447</v>
      </c>
      <c r="E2424" s="400">
        <v>15</v>
      </c>
      <c r="F2424" s="400" t="s">
        <v>2655</v>
      </c>
      <c r="G2424" s="400" t="s">
        <v>2221</v>
      </c>
      <c r="H2424" s="1238"/>
    </row>
    <row r="2425" spans="1:8" hidden="1">
      <c r="A2425" s="495" t="s">
        <v>2654</v>
      </c>
      <c r="B2425" s="400" t="s">
        <v>684</v>
      </c>
      <c r="C2425" s="400" t="s">
        <v>97</v>
      </c>
      <c r="D2425" s="400" t="s">
        <v>2448</v>
      </c>
      <c r="E2425" s="400">
        <v>15</v>
      </c>
      <c r="F2425" s="400" t="s">
        <v>2655</v>
      </c>
      <c r="G2425" s="400" t="s">
        <v>2221</v>
      </c>
      <c r="H2425" s="1238"/>
    </row>
    <row r="2426" spans="1:8" hidden="1">
      <c r="A2426" s="495" t="s">
        <v>2654</v>
      </c>
      <c r="B2426" s="400" t="s">
        <v>684</v>
      </c>
      <c r="C2426" s="400" t="s">
        <v>97</v>
      </c>
      <c r="D2426" s="400" t="s">
        <v>2449</v>
      </c>
      <c r="E2426" s="400">
        <v>15</v>
      </c>
      <c r="F2426" s="400" t="s">
        <v>2655</v>
      </c>
      <c r="G2426" s="400" t="s">
        <v>2221</v>
      </c>
      <c r="H2426" s="1238"/>
    </row>
    <row r="2427" spans="1:8" hidden="1">
      <c r="A2427" s="495" t="s">
        <v>2654</v>
      </c>
      <c r="B2427" s="400" t="s">
        <v>684</v>
      </c>
      <c r="C2427" s="400" t="s">
        <v>97</v>
      </c>
      <c r="D2427" s="400" t="s">
        <v>2450</v>
      </c>
      <c r="E2427" s="400">
        <v>15</v>
      </c>
      <c r="F2427" s="400" t="s">
        <v>2655</v>
      </c>
      <c r="G2427" s="400" t="s">
        <v>2221</v>
      </c>
      <c r="H2427" s="1238"/>
    </row>
    <row r="2428" spans="1:8" hidden="1">
      <c r="A2428" s="495" t="s">
        <v>2654</v>
      </c>
      <c r="B2428" s="400" t="s">
        <v>684</v>
      </c>
      <c r="C2428" s="400" t="s">
        <v>97</v>
      </c>
      <c r="D2428" s="400" t="s">
        <v>2451</v>
      </c>
      <c r="E2428" s="400">
        <v>15</v>
      </c>
      <c r="F2428" s="400" t="s">
        <v>2655</v>
      </c>
      <c r="G2428" s="400" t="s">
        <v>2221</v>
      </c>
      <c r="H2428" s="1238"/>
    </row>
    <row r="2429" spans="1:8" hidden="1">
      <c r="A2429" s="495" t="s">
        <v>2654</v>
      </c>
      <c r="B2429" s="400" t="s">
        <v>684</v>
      </c>
      <c r="C2429" s="400" t="s">
        <v>97</v>
      </c>
      <c r="D2429" s="400" t="s">
        <v>2452</v>
      </c>
      <c r="E2429" s="400">
        <v>15</v>
      </c>
      <c r="F2429" s="400" t="s">
        <v>2655</v>
      </c>
      <c r="G2429" s="400" t="s">
        <v>2221</v>
      </c>
      <c r="H2429" s="1238"/>
    </row>
    <row r="2430" spans="1:8" hidden="1">
      <c r="A2430" s="495" t="s">
        <v>2654</v>
      </c>
      <c r="B2430" s="400" t="s">
        <v>684</v>
      </c>
      <c r="C2430" s="400" t="s">
        <v>97</v>
      </c>
      <c r="D2430" s="400" t="s">
        <v>2453</v>
      </c>
      <c r="E2430" s="400">
        <v>15</v>
      </c>
      <c r="F2430" s="400" t="s">
        <v>2655</v>
      </c>
      <c r="G2430" s="400" t="s">
        <v>2221</v>
      </c>
      <c r="H2430" s="1238"/>
    </row>
    <row r="2431" spans="1:8" hidden="1">
      <c r="A2431" s="495" t="s">
        <v>2654</v>
      </c>
      <c r="B2431" s="400" t="s">
        <v>684</v>
      </c>
      <c r="C2431" s="400" t="s">
        <v>97</v>
      </c>
      <c r="D2431" s="400" t="s">
        <v>2454</v>
      </c>
      <c r="E2431" s="400">
        <v>15</v>
      </c>
      <c r="F2431" s="400" t="s">
        <v>2655</v>
      </c>
      <c r="G2431" s="400" t="s">
        <v>2221</v>
      </c>
      <c r="H2431" s="1238"/>
    </row>
    <row r="2432" spans="1:8" hidden="1">
      <c r="A2432" s="495" t="s">
        <v>2654</v>
      </c>
      <c r="B2432" s="400" t="s">
        <v>684</v>
      </c>
      <c r="C2432" s="400" t="s">
        <v>97</v>
      </c>
      <c r="D2432" s="400" t="s">
        <v>2455</v>
      </c>
      <c r="E2432" s="400">
        <v>15</v>
      </c>
      <c r="F2432" s="400" t="s">
        <v>2655</v>
      </c>
      <c r="G2432" s="400" t="s">
        <v>2221</v>
      </c>
      <c r="H2432" s="1238"/>
    </row>
    <row r="2433" spans="1:8" hidden="1">
      <c r="A2433" s="495" t="s">
        <v>2654</v>
      </c>
      <c r="B2433" s="400" t="s">
        <v>684</v>
      </c>
      <c r="C2433" s="400" t="s">
        <v>97</v>
      </c>
      <c r="D2433" s="400" t="s">
        <v>2456</v>
      </c>
      <c r="E2433" s="400">
        <v>15</v>
      </c>
      <c r="F2433" s="400" t="s">
        <v>2655</v>
      </c>
      <c r="G2433" s="400" t="s">
        <v>2221</v>
      </c>
      <c r="H2433" s="1238"/>
    </row>
    <row r="2434" spans="1:8" hidden="1">
      <c r="A2434" s="495" t="s">
        <v>2654</v>
      </c>
      <c r="B2434" s="400" t="s">
        <v>684</v>
      </c>
      <c r="C2434" s="400" t="s">
        <v>97</v>
      </c>
      <c r="D2434" s="400" t="s">
        <v>2457</v>
      </c>
      <c r="E2434" s="400">
        <v>15</v>
      </c>
      <c r="F2434" s="400" t="s">
        <v>2655</v>
      </c>
      <c r="G2434" s="400" t="s">
        <v>2221</v>
      </c>
      <c r="H2434" s="1238"/>
    </row>
    <row r="2435" spans="1:8" hidden="1">
      <c r="A2435" s="495" t="s">
        <v>2654</v>
      </c>
      <c r="B2435" s="400" t="s">
        <v>684</v>
      </c>
      <c r="C2435" s="400" t="s">
        <v>97</v>
      </c>
      <c r="D2435" s="400" t="s">
        <v>2458</v>
      </c>
      <c r="E2435" s="400">
        <v>15</v>
      </c>
      <c r="F2435" s="400" t="s">
        <v>2655</v>
      </c>
      <c r="G2435" s="400" t="s">
        <v>2221</v>
      </c>
      <c r="H2435" s="1238"/>
    </row>
    <row r="2436" spans="1:8" hidden="1">
      <c r="A2436" s="495" t="s">
        <v>2654</v>
      </c>
      <c r="B2436" s="400" t="s">
        <v>684</v>
      </c>
      <c r="C2436" s="400" t="s">
        <v>97</v>
      </c>
      <c r="D2436" s="400" t="s">
        <v>2459</v>
      </c>
      <c r="E2436" s="400">
        <v>15</v>
      </c>
      <c r="F2436" s="400" t="s">
        <v>2655</v>
      </c>
      <c r="G2436" s="400" t="s">
        <v>2221</v>
      </c>
      <c r="H2436" s="1238"/>
    </row>
    <row r="2437" spans="1:8" hidden="1">
      <c r="A2437" s="495" t="s">
        <v>2654</v>
      </c>
      <c r="B2437" s="400" t="s">
        <v>684</v>
      </c>
      <c r="C2437" s="400" t="s">
        <v>97</v>
      </c>
      <c r="D2437" s="400" t="s">
        <v>2460</v>
      </c>
      <c r="E2437" s="400">
        <v>15</v>
      </c>
      <c r="F2437" s="400" t="s">
        <v>2655</v>
      </c>
      <c r="G2437" s="400" t="s">
        <v>2221</v>
      </c>
      <c r="H2437" s="1238"/>
    </row>
    <row r="2438" spans="1:8" hidden="1">
      <c r="A2438" s="495" t="s">
        <v>2654</v>
      </c>
      <c r="B2438" s="400" t="s">
        <v>684</v>
      </c>
      <c r="C2438" s="400" t="s">
        <v>97</v>
      </c>
      <c r="D2438" s="400" t="s">
        <v>2461</v>
      </c>
      <c r="E2438" s="400">
        <v>15</v>
      </c>
      <c r="F2438" s="400" t="s">
        <v>2655</v>
      </c>
      <c r="G2438" s="400" t="s">
        <v>2221</v>
      </c>
      <c r="H2438" s="1238"/>
    </row>
    <row r="2439" spans="1:8" hidden="1">
      <c r="A2439" s="495" t="s">
        <v>2654</v>
      </c>
      <c r="B2439" s="400" t="s">
        <v>684</v>
      </c>
      <c r="C2439" s="400" t="s">
        <v>97</v>
      </c>
      <c r="D2439" s="400" t="s">
        <v>2462</v>
      </c>
      <c r="E2439" s="400">
        <v>15</v>
      </c>
      <c r="F2439" s="400" t="s">
        <v>2655</v>
      </c>
      <c r="G2439" s="400" t="s">
        <v>2221</v>
      </c>
      <c r="H2439" s="1238"/>
    </row>
    <row r="2440" spans="1:8" hidden="1">
      <c r="A2440" s="495" t="s">
        <v>2654</v>
      </c>
      <c r="B2440" s="400" t="s">
        <v>684</v>
      </c>
      <c r="C2440" s="400" t="s">
        <v>97</v>
      </c>
      <c r="D2440" s="400" t="s">
        <v>2463</v>
      </c>
      <c r="E2440" s="400">
        <v>15</v>
      </c>
      <c r="F2440" s="400" t="s">
        <v>2655</v>
      </c>
      <c r="G2440" s="400" t="s">
        <v>2221</v>
      </c>
      <c r="H2440" s="1238"/>
    </row>
    <row r="2441" spans="1:8" hidden="1">
      <c r="A2441" s="495" t="s">
        <v>2654</v>
      </c>
      <c r="B2441" s="400" t="s">
        <v>684</v>
      </c>
      <c r="C2441" s="400" t="s">
        <v>97</v>
      </c>
      <c r="D2441" s="400" t="s">
        <v>2464</v>
      </c>
      <c r="E2441" s="400">
        <v>15</v>
      </c>
      <c r="F2441" s="400" t="s">
        <v>2655</v>
      </c>
      <c r="G2441" s="400" t="s">
        <v>2221</v>
      </c>
      <c r="H2441" s="1238"/>
    </row>
    <row r="2442" spans="1:8" hidden="1">
      <c r="A2442" s="495" t="s">
        <v>2654</v>
      </c>
      <c r="B2442" s="400" t="s">
        <v>684</v>
      </c>
      <c r="C2442" s="400" t="s">
        <v>97</v>
      </c>
      <c r="D2442" s="400" t="s">
        <v>2465</v>
      </c>
      <c r="E2442" s="400">
        <v>15</v>
      </c>
      <c r="F2442" s="400" t="s">
        <v>2655</v>
      </c>
      <c r="G2442" s="400" t="s">
        <v>2221</v>
      </c>
      <c r="H2442" s="1238"/>
    </row>
    <row r="2443" spans="1:8" hidden="1">
      <c r="A2443" s="495" t="s">
        <v>2654</v>
      </c>
      <c r="B2443" s="400" t="s">
        <v>684</v>
      </c>
      <c r="C2443" s="400" t="s">
        <v>97</v>
      </c>
      <c r="D2443" s="400" t="s">
        <v>2466</v>
      </c>
      <c r="E2443" s="400">
        <v>15</v>
      </c>
      <c r="F2443" s="400" t="s">
        <v>2655</v>
      </c>
      <c r="G2443" s="400" t="s">
        <v>2221</v>
      </c>
      <c r="H2443" s="1238"/>
    </row>
    <row r="2444" spans="1:8" hidden="1">
      <c r="A2444" s="495" t="s">
        <v>2654</v>
      </c>
      <c r="B2444" s="400" t="s">
        <v>684</v>
      </c>
      <c r="C2444" s="400" t="s">
        <v>97</v>
      </c>
      <c r="D2444" s="400" t="s">
        <v>2467</v>
      </c>
      <c r="E2444" s="400">
        <v>15</v>
      </c>
      <c r="F2444" s="400" t="s">
        <v>2655</v>
      </c>
      <c r="G2444" s="400" t="s">
        <v>2221</v>
      </c>
      <c r="H2444" s="1238"/>
    </row>
    <row r="2445" spans="1:8" hidden="1">
      <c r="A2445" s="495" t="s">
        <v>2654</v>
      </c>
      <c r="B2445" s="400" t="s">
        <v>684</v>
      </c>
      <c r="C2445" s="400" t="s">
        <v>97</v>
      </c>
      <c r="D2445" s="400" t="s">
        <v>2508</v>
      </c>
      <c r="E2445" s="400">
        <v>1</v>
      </c>
      <c r="F2445" s="400" t="s">
        <v>2300</v>
      </c>
      <c r="G2445" s="400" t="s">
        <v>2221</v>
      </c>
      <c r="H2445" s="1238"/>
    </row>
    <row r="2446" spans="1:8" hidden="1">
      <c r="A2446" s="495" t="s">
        <v>2654</v>
      </c>
      <c r="B2446" s="400" t="s">
        <v>684</v>
      </c>
      <c r="C2446" s="400" t="s">
        <v>97</v>
      </c>
      <c r="D2446" s="400" t="s">
        <v>2509</v>
      </c>
      <c r="E2446" s="400">
        <v>15</v>
      </c>
      <c r="F2446" s="400" t="s">
        <v>2655</v>
      </c>
      <c r="G2446" s="400" t="s">
        <v>2221</v>
      </c>
      <c r="H2446" s="1238"/>
    </row>
    <row r="2447" spans="1:8" hidden="1">
      <c r="A2447" s="495" t="s">
        <v>2654</v>
      </c>
      <c r="B2447" s="400" t="s">
        <v>684</v>
      </c>
      <c r="C2447" s="400" t="s">
        <v>97</v>
      </c>
      <c r="D2447" s="400" t="s">
        <v>2510</v>
      </c>
      <c r="E2447" s="400">
        <v>15</v>
      </c>
      <c r="F2447" s="400" t="s">
        <v>2655</v>
      </c>
      <c r="G2447" s="400" t="s">
        <v>2221</v>
      </c>
      <c r="H2447" s="1238"/>
    </row>
    <row r="2448" spans="1:8" hidden="1">
      <c r="A2448" s="495" t="s">
        <v>2654</v>
      </c>
      <c r="B2448" s="400" t="s">
        <v>684</v>
      </c>
      <c r="C2448" s="400" t="s">
        <v>97</v>
      </c>
      <c r="D2448" s="400" t="s">
        <v>2511</v>
      </c>
      <c r="E2448" s="400">
        <v>15</v>
      </c>
      <c r="F2448" s="400" t="s">
        <v>2655</v>
      </c>
      <c r="G2448" s="400" t="s">
        <v>2221</v>
      </c>
      <c r="H2448" s="1238"/>
    </row>
    <row r="2449" spans="1:8" hidden="1">
      <c r="A2449" s="495" t="s">
        <v>2654</v>
      </c>
      <c r="B2449" s="400" t="s">
        <v>684</v>
      </c>
      <c r="C2449" s="400" t="s">
        <v>97</v>
      </c>
      <c r="D2449" s="400" t="s">
        <v>2512</v>
      </c>
      <c r="E2449" s="400">
        <v>15</v>
      </c>
      <c r="F2449" s="400" t="s">
        <v>2655</v>
      </c>
      <c r="G2449" s="400" t="s">
        <v>2221</v>
      </c>
      <c r="H2449" s="1238"/>
    </row>
    <row r="2450" spans="1:8" hidden="1">
      <c r="A2450" s="495" t="s">
        <v>2654</v>
      </c>
      <c r="B2450" s="400" t="s">
        <v>684</v>
      </c>
      <c r="C2450" s="400" t="s">
        <v>97</v>
      </c>
      <c r="D2450" s="400" t="s">
        <v>2513</v>
      </c>
      <c r="E2450" s="400">
        <v>15</v>
      </c>
      <c r="F2450" s="400" t="s">
        <v>2655</v>
      </c>
      <c r="G2450" s="400" t="s">
        <v>2221</v>
      </c>
      <c r="H2450" s="1238"/>
    </row>
    <row r="2451" spans="1:8" hidden="1">
      <c r="A2451" s="495" t="s">
        <v>2654</v>
      </c>
      <c r="B2451" s="400" t="s">
        <v>684</v>
      </c>
      <c r="C2451" s="400" t="s">
        <v>97</v>
      </c>
      <c r="D2451" s="400" t="s">
        <v>2514</v>
      </c>
      <c r="E2451" s="400">
        <v>15</v>
      </c>
      <c r="F2451" s="400" t="s">
        <v>2655</v>
      </c>
      <c r="G2451" s="400" t="s">
        <v>2221</v>
      </c>
      <c r="H2451" s="1238"/>
    </row>
    <row r="2452" spans="1:8" hidden="1">
      <c r="A2452" s="495" t="s">
        <v>2654</v>
      </c>
      <c r="B2452" s="400" t="s">
        <v>684</v>
      </c>
      <c r="C2452" s="400" t="s">
        <v>97</v>
      </c>
      <c r="D2452" s="400" t="s">
        <v>2515</v>
      </c>
      <c r="E2452" s="400">
        <v>15</v>
      </c>
      <c r="F2452" s="400" t="s">
        <v>2655</v>
      </c>
      <c r="G2452" s="400" t="s">
        <v>2221</v>
      </c>
      <c r="H2452" s="1238"/>
    </row>
    <row r="2453" spans="1:8" hidden="1">
      <c r="A2453" s="495" t="s">
        <v>2654</v>
      </c>
      <c r="B2453" s="400" t="s">
        <v>684</v>
      </c>
      <c r="C2453" s="400" t="s">
        <v>97</v>
      </c>
      <c r="D2453" s="400" t="s">
        <v>2516</v>
      </c>
      <c r="E2453" s="400">
        <v>15</v>
      </c>
      <c r="F2453" s="400" t="s">
        <v>2655</v>
      </c>
      <c r="G2453" s="400" t="s">
        <v>2221</v>
      </c>
      <c r="H2453" s="1238"/>
    </row>
    <row r="2454" spans="1:8" hidden="1">
      <c r="A2454" s="495" t="s">
        <v>2654</v>
      </c>
      <c r="B2454" s="400" t="s">
        <v>684</v>
      </c>
      <c r="C2454" s="400" t="s">
        <v>97</v>
      </c>
      <c r="D2454" s="400" t="s">
        <v>2517</v>
      </c>
      <c r="E2454" s="400">
        <v>15</v>
      </c>
      <c r="F2454" s="400" t="s">
        <v>2655</v>
      </c>
      <c r="G2454" s="400" t="s">
        <v>2221</v>
      </c>
      <c r="H2454" s="1238"/>
    </row>
    <row r="2455" spans="1:8" hidden="1">
      <c r="A2455" s="495" t="s">
        <v>2654</v>
      </c>
      <c r="B2455" s="400" t="s">
        <v>684</v>
      </c>
      <c r="C2455" s="400" t="s">
        <v>97</v>
      </c>
      <c r="D2455" s="400" t="s">
        <v>2518</v>
      </c>
      <c r="E2455" s="400">
        <v>15</v>
      </c>
      <c r="F2455" s="400" t="s">
        <v>2655</v>
      </c>
      <c r="G2455" s="400" t="s">
        <v>2221</v>
      </c>
      <c r="H2455" s="1238"/>
    </row>
    <row r="2456" spans="1:8" hidden="1">
      <c r="A2456" s="495" t="s">
        <v>2654</v>
      </c>
      <c r="B2456" s="400" t="s">
        <v>684</v>
      </c>
      <c r="C2456" s="400" t="s">
        <v>97</v>
      </c>
      <c r="D2456" s="400" t="s">
        <v>2519</v>
      </c>
      <c r="E2456" s="400">
        <v>15</v>
      </c>
      <c r="F2456" s="400" t="s">
        <v>2655</v>
      </c>
      <c r="G2456" s="400" t="s">
        <v>2221</v>
      </c>
      <c r="H2456" s="1238"/>
    </row>
    <row r="2457" spans="1:8" hidden="1">
      <c r="A2457" s="495" t="s">
        <v>2654</v>
      </c>
      <c r="B2457" s="400" t="s">
        <v>684</v>
      </c>
      <c r="C2457" s="400" t="s">
        <v>97</v>
      </c>
      <c r="D2457" s="400" t="s">
        <v>2520</v>
      </c>
      <c r="E2457" s="400">
        <v>15</v>
      </c>
      <c r="F2457" s="400" t="s">
        <v>2655</v>
      </c>
      <c r="G2457" s="400" t="s">
        <v>2221</v>
      </c>
      <c r="H2457" s="1238"/>
    </row>
    <row r="2458" spans="1:8" hidden="1">
      <c r="A2458" s="495" t="s">
        <v>2654</v>
      </c>
      <c r="B2458" s="400" t="s">
        <v>684</v>
      </c>
      <c r="C2458" s="400" t="s">
        <v>97</v>
      </c>
      <c r="D2458" s="400" t="s">
        <v>2521</v>
      </c>
      <c r="E2458" s="400">
        <v>15</v>
      </c>
      <c r="F2458" s="400" t="s">
        <v>2655</v>
      </c>
      <c r="G2458" s="400" t="s">
        <v>2221</v>
      </c>
      <c r="H2458" s="1238"/>
    </row>
    <row r="2459" spans="1:8" hidden="1">
      <c r="A2459" s="495" t="s">
        <v>2654</v>
      </c>
      <c r="B2459" s="400" t="s">
        <v>684</v>
      </c>
      <c r="C2459" s="400" t="s">
        <v>97</v>
      </c>
      <c r="D2459" s="400" t="s">
        <v>2522</v>
      </c>
      <c r="E2459" s="400">
        <v>15</v>
      </c>
      <c r="F2459" s="400" t="s">
        <v>2655</v>
      </c>
      <c r="G2459" s="400" t="s">
        <v>2221</v>
      </c>
      <c r="H2459" s="1238"/>
    </row>
    <row r="2460" spans="1:8" hidden="1">
      <c r="A2460" s="495" t="s">
        <v>2654</v>
      </c>
      <c r="B2460" s="400" t="s">
        <v>684</v>
      </c>
      <c r="C2460" s="400" t="s">
        <v>97</v>
      </c>
      <c r="D2460" s="400" t="s">
        <v>2523</v>
      </c>
      <c r="E2460" s="400">
        <v>15</v>
      </c>
      <c r="F2460" s="400" t="s">
        <v>2655</v>
      </c>
      <c r="G2460" s="400" t="s">
        <v>2221</v>
      </c>
      <c r="H2460" s="1238"/>
    </row>
    <row r="2461" spans="1:8" hidden="1">
      <c r="A2461" s="495" t="s">
        <v>2654</v>
      </c>
      <c r="B2461" s="400" t="s">
        <v>684</v>
      </c>
      <c r="C2461" s="400" t="s">
        <v>97</v>
      </c>
      <c r="D2461" s="400" t="s">
        <v>2524</v>
      </c>
      <c r="E2461" s="400">
        <v>15</v>
      </c>
      <c r="F2461" s="400" t="s">
        <v>2655</v>
      </c>
      <c r="G2461" s="400" t="s">
        <v>2221</v>
      </c>
      <c r="H2461" s="1238"/>
    </row>
    <row r="2462" spans="1:8" hidden="1">
      <c r="A2462" s="495" t="s">
        <v>2654</v>
      </c>
      <c r="B2462" s="400" t="s">
        <v>684</v>
      </c>
      <c r="C2462" s="400" t="s">
        <v>97</v>
      </c>
      <c r="D2462" s="400" t="s">
        <v>2525</v>
      </c>
      <c r="E2462" s="400">
        <v>15</v>
      </c>
      <c r="F2462" s="400" t="s">
        <v>2655</v>
      </c>
      <c r="G2462" s="400" t="s">
        <v>2221</v>
      </c>
      <c r="H2462" s="1238"/>
    </row>
    <row r="2463" spans="1:8" hidden="1">
      <c r="A2463" s="495" t="s">
        <v>2654</v>
      </c>
      <c r="B2463" s="400" t="s">
        <v>684</v>
      </c>
      <c r="C2463" s="400" t="s">
        <v>97</v>
      </c>
      <c r="D2463" s="400" t="s">
        <v>2526</v>
      </c>
      <c r="E2463" s="400">
        <v>15</v>
      </c>
      <c r="F2463" s="400" t="s">
        <v>2655</v>
      </c>
      <c r="G2463" s="400" t="s">
        <v>2221</v>
      </c>
      <c r="H2463" s="1238"/>
    </row>
    <row r="2464" spans="1:8" hidden="1">
      <c r="A2464" s="495" t="s">
        <v>2654</v>
      </c>
      <c r="B2464" s="400" t="s">
        <v>684</v>
      </c>
      <c r="C2464" s="400" t="s">
        <v>97</v>
      </c>
      <c r="D2464" s="400" t="s">
        <v>2527</v>
      </c>
      <c r="E2464" s="400">
        <v>15</v>
      </c>
      <c r="F2464" s="400" t="s">
        <v>2655</v>
      </c>
      <c r="G2464" s="400" t="s">
        <v>2221</v>
      </c>
      <c r="H2464" s="1238"/>
    </row>
    <row r="2465" spans="1:8" hidden="1">
      <c r="A2465" s="495" t="s">
        <v>2654</v>
      </c>
      <c r="B2465" s="400" t="s">
        <v>684</v>
      </c>
      <c r="C2465" s="400" t="s">
        <v>97</v>
      </c>
      <c r="D2465" s="400" t="s">
        <v>2528</v>
      </c>
      <c r="E2465" s="400">
        <v>15</v>
      </c>
      <c r="F2465" s="400" t="s">
        <v>2655</v>
      </c>
      <c r="G2465" s="400" t="s">
        <v>2221</v>
      </c>
      <c r="H2465" s="1238"/>
    </row>
    <row r="2466" spans="1:8" hidden="1">
      <c r="A2466" s="495" t="s">
        <v>2654</v>
      </c>
      <c r="B2466" s="400" t="s">
        <v>684</v>
      </c>
      <c r="C2466" s="400" t="s">
        <v>97</v>
      </c>
      <c r="D2466" s="400" t="s">
        <v>2529</v>
      </c>
      <c r="E2466" s="400">
        <v>15</v>
      </c>
      <c r="F2466" s="400" t="s">
        <v>2655</v>
      </c>
      <c r="G2466" s="400" t="s">
        <v>2221</v>
      </c>
      <c r="H2466" s="1238"/>
    </row>
    <row r="2467" spans="1:8" hidden="1">
      <c r="A2467" s="495" t="s">
        <v>2654</v>
      </c>
      <c r="B2467" s="400" t="s">
        <v>684</v>
      </c>
      <c r="C2467" s="400" t="s">
        <v>97</v>
      </c>
      <c r="D2467" s="400" t="s">
        <v>2530</v>
      </c>
      <c r="E2467" s="400">
        <v>15</v>
      </c>
      <c r="F2467" s="400" t="s">
        <v>2655</v>
      </c>
      <c r="G2467" s="400" t="s">
        <v>2221</v>
      </c>
      <c r="H2467" s="1238"/>
    </row>
    <row r="2468" spans="1:8" hidden="1">
      <c r="A2468" s="495" t="s">
        <v>2654</v>
      </c>
      <c r="B2468" s="400" t="s">
        <v>684</v>
      </c>
      <c r="C2468" s="400" t="s">
        <v>97</v>
      </c>
      <c r="D2468" s="400" t="s">
        <v>2531</v>
      </c>
      <c r="E2468" s="400">
        <v>15</v>
      </c>
      <c r="F2468" s="400" t="s">
        <v>2655</v>
      </c>
      <c r="G2468" s="400" t="s">
        <v>2221</v>
      </c>
      <c r="H2468" s="1238"/>
    </row>
    <row r="2469" spans="1:8" hidden="1">
      <c r="A2469" s="495" t="s">
        <v>2654</v>
      </c>
      <c r="B2469" s="400" t="s">
        <v>684</v>
      </c>
      <c r="C2469" s="400" t="s">
        <v>97</v>
      </c>
      <c r="D2469" s="400" t="s">
        <v>2532</v>
      </c>
      <c r="E2469" s="400">
        <v>15</v>
      </c>
      <c r="F2469" s="400" t="s">
        <v>2655</v>
      </c>
      <c r="G2469" s="400" t="s">
        <v>2221</v>
      </c>
      <c r="H2469" s="1238"/>
    </row>
    <row r="2470" spans="1:8" hidden="1">
      <c r="A2470" s="495" t="s">
        <v>2654</v>
      </c>
      <c r="B2470" s="400" t="s">
        <v>684</v>
      </c>
      <c r="C2470" s="400" t="s">
        <v>97</v>
      </c>
      <c r="D2470" s="400" t="s">
        <v>2533</v>
      </c>
      <c r="E2470" s="400">
        <v>15</v>
      </c>
      <c r="F2470" s="400" t="s">
        <v>2655</v>
      </c>
      <c r="G2470" s="400" t="s">
        <v>2221</v>
      </c>
      <c r="H2470" s="1238"/>
    </row>
    <row r="2471" spans="1:8" hidden="1">
      <c r="A2471" s="495" t="s">
        <v>2654</v>
      </c>
      <c r="B2471" s="400" t="s">
        <v>684</v>
      </c>
      <c r="C2471" s="400" t="s">
        <v>97</v>
      </c>
      <c r="D2471" s="400" t="s">
        <v>2534</v>
      </c>
      <c r="E2471" s="400">
        <v>15</v>
      </c>
      <c r="F2471" s="400" t="s">
        <v>2655</v>
      </c>
      <c r="G2471" s="400" t="s">
        <v>2221</v>
      </c>
      <c r="H2471" s="1238"/>
    </row>
    <row r="2472" spans="1:8" hidden="1">
      <c r="A2472" s="495" t="s">
        <v>2654</v>
      </c>
      <c r="B2472" s="400" t="s">
        <v>684</v>
      </c>
      <c r="C2472" s="400" t="s">
        <v>97</v>
      </c>
      <c r="D2472" s="400" t="s">
        <v>2535</v>
      </c>
      <c r="E2472" s="400">
        <v>15</v>
      </c>
      <c r="F2472" s="400" t="s">
        <v>2655</v>
      </c>
      <c r="G2472" s="400" t="s">
        <v>2221</v>
      </c>
      <c r="H2472" s="1238"/>
    </row>
    <row r="2473" spans="1:8" hidden="1">
      <c r="A2473" s="495" t="s">
        <v>2654</v>
      </c>
      <c r="B2473" s="400" t="s">
        <v>684</v>
      </c>
      <c r="C2473" s="400" t="s">
        <v>97</v>
      </c>
      <c r="D2473" s="400" t="s">
        <v>2536</v>
      </c>
      <c r="E2473" s="400">
        <v>15</v>
      </c>
      <c r="F2473" s="400" t="s">
        <v>2655</v>
      </c>
      <c r="G2473" s="400" t="s">
        <v>2221</v>
      </c>
      <c r="H2473" s="1238"/>
    </row>
    <row r="2474" spans="1:8" hidden="1">
      <c r="A2474" s="495" t="s">
        <v>2654</v>
      </c>
      <c r="B2474" s="400" t="s">
        <v>684</v>
      </c>
      <c r="C2474" s="400" t="s">
        <v>97</v>
      </c>
      <c r="D2474" s="400" t="s">
        <v>2537</v>
      </c>
      <c r="E2474" s="400">
        <v>15</v>
      </c>
      <c r="F2474" s="400" t="s">
        <v>2655</v>
      </c>
      <c r="G2474" s="400" t="s">
        <v>2221</v>
      </c>
      <c r="H2474" s="1238"/>
    </row>
    <row r="2475" spans="1:8" hidden="1">
      <c r="A2475" s="495" t="s">
        <v>2654</v>
      </c>
      <c r="B2475" s="400" t="s">
        <v>684</v>
      </c>
      <c r="C2475" s="400" t="s">
        <v>97</v>
      </c>
      <c r="D2475" s="400" t="s">
        <v>2538</v>
      </c>
      <c r="E2475" s="400">
        <v>15</v>
      </c>
      <c r="F2475" s="400" t="s">
        <v>2655</v>
      </c>
      <c r="G2475" s="400" t="s">
        <v>2221</v>
      </c>
      <c r="H2475" s="1238"/>
    </row>
    <row r="2476" spans="1:8" hidden="1">
      <c r="A2476" s="495" t="s">
        <v>2654</v>
      </c>
      <c r="B2476" s="400" t="s">
        <v>684</v>
      </c>
      <c r="C2476" s="400" t="s">
        <v>97</v>
      </c>
      <c r="D2476" s="400" t="s">
        <v>2539</v>
      </c>
      <c r="E2476" s="400">
        <v>15</v>
      </c>
      <c r="F2476" s="400" t="s">
        <v>2655</v>
      </c>
      <c r="G2476" s="400" t="s">
        <v>2221</v>
      </c>
      <c r="H2476" s="1238"/>
    </row>
    <row r="2477" spans="1:8" hidden="1">
      <c r="A2477" s="495" t="s">
        <v>2654</v>
      </c>
      <c r="B2477" s="400" t="s">
        <v>684</v>
      </c>
      <c r="C2477" s="400" t="s">
        <v>97</v>
      </c>
      <c r="D2477" s="400" t="s">
        <v>2288</v>
      </c>
      <c r="E2477" s="400">
        <v>99999999999</v>
      </c>
      <c r="F2477" s="400" t="s">
        <v>2658</v>
      </c>
      <c r="G2477" s="400" t="s">
        <v>2221</v>
      </c>
      <c r="H2477" s="1238"/>
    </row>
    <row r="2478" spans="1:8" hidden="1">
      <c r="A2478" s="495" t="s">
        <v>2654</v>
      </c>
      <c r="B2478" s="400" t="s">
        <v>684</v>
      </c>
      <c r="C2478" s="400" t="s">
        <v>97</v>
      </c>
      <c r="D2478" s="400" t="s">
        <v>2543</v>
      </c>
      <c r="E2478" s="400">
        <v>18</v>
      </c>
      <c r="F2478" s="400" t="s">
        <v>2298</v>
      </c>
      <c r="G2478" s="400" t="s">
        <v>2221</v>
      </c>
      <c r="H2478" s="1238"/>
    </row>
    <row r="2479" spans="1:8" hidden="1">
      <c r="A2479" s="495" t="s">
        <v>2654</v>
      </c>
      <c r="B2479" s="400" t="s">
        <v>684</v>
      </c>
      <c r="C2479" s="400" t="s">
        <v>97</v>
      </c>
      <c r="D2479" s="400" t="s">
        <v>2544</v>
      </c>
      <c r="E2479" s="400">
        <v>19</v>
      </c>
      <c r="F2479" s="400" t="s">
        <v>2299</v>
      </c>
      <c r="G2479" s="400" t="s">
        <v>2221</v>
      </c>
      <c r="H2479" s="1238"/>
    </row>
    <row r="2480" spans="1:8" hidden="1">
      <c r="A2480" s="495" t="s">
        <v>2654</v>
      </c>
      <c r="B2480" s="400" t="s">
        <v>684</v>
      </c>
      <c r="C2480" s="400" t="s">
        <v>97</v>
      </c>
      <c r="D2480" s="400" t="s">
        <v>2545</v>
      </c>
      <c r="E2480" s="400">
        <v>15</v>
      </c>
      <c r="F2480" s="400" t="s">
        <v>2655</v>
      </c>
      <c r="G2480" s="400" t="s">
        <v>2221</v>
      </c>
      <c r="H2480" s="1238"/>
    </row>
    <row r="2481" spans="1:8" hidden="1">
      <c r="A2481" s="495" t="s">
        <v>2654</v>
      </c>
      <c r="B2481" s="400" t="s">
        <v>684</v>
      </c>
      <c r="C2481" s="400" t="s">
        <v>97</v>
      </c>
      <c r="D2481" s="400" t="s">
        <v>2546</v>
      </c>
      <c r="E2481" s="400">
        <v>1</v>
      </c>
      <c r="F2481" s="400" t="s">
        <v>2300</v>
      </c>
      <c r="G2481" s="400" t="s">
        <v>2221</v>
      </c>
      <c r="H2481" s="1238"/>
    </row>
    <row r="2482" spans="1:8" hidden="1">
      <c r="A2482" s="495" t="s">
        <v>2654</v>
      </c>
      <c r="B2482" s="400" t="s">
        <v>684</v>
      </c>
      <c r="C2482" s="400" t="s">
        <v>97</v>
      </c>
      <c r="D2482" s="400" t="s">
        <v>2547</v>
      </c>
      <c r="E2482" s="400">
        <v>15</v>
      </c>
      <c r="F2482" s="400" t="s">
        <v>2655</v>
      </c>
      <c r="G2482" s="400" t="s">
        <v>2221</v>
      </c>
      <c r="H2482" s="1238"/>
    </row>
    <row r="2483" spans="1:8" hidden="1">
      <c r="A2483" s="495" t="s">
        <v>2654</v>
      </c>
      <c r="B2483" s="400" t="s">
        <v>684</v>
      </c>
      <c r="C2483" s="400" t="s">
        <v>97</v>
      </c>
      <c r="D2483" s="400" t="s">
        <v>2548</v>
      </c>
      <c r="E2483" s="400">
        <v>15</v>
      </c>
      <c r="F2483" s="400" t="s">
        <v>2655</v>
      </c>
      <c r="G2483" s="400" t="s">
        <v>2221</v>
      </c>
      <c r="H2483" s="1238"/>
    </row>
    <row r="2484" spans="1:8" hidden="1">
      <c r="A2484" s="495" t="s">
        <v>2654</v>
      </c>
      <c r="B2484" s="400" t="s">
        <v>684</v>
      </c>
      <c r="C2484" s="400" t="s">
        <v>97</v>
      </c>
      <c r="D2484" s="400" t="s">
        <v>2549</v>
      </c>
      <c r="E2484" s="400">
        <v>15</v>
      </c>
      <c r="F2484" s="400" t="s">
        <v>2655</v>
      </c>
      <c r="G2484" s="400" t="s">
        <v>2221</v>
      </c>
      <c r="H2484" s="1238"/>
    </row>
    <row r="2485" spans="1:8" hidden="1">
      <c r="A2485" s="495" t="s">
        <v>2654</v>
      </c>
      <c r="B2485" s="400" t="s">
        <v>684</v>
      </c>
      <c r="C2485" s="400" t="s">
        <v>97</v>
      </c>
      <c r="D2485" s="400" t="s">
        <v>2550</v>
      </c>
      <c r="E2485" s="400">
        <v>15</v>
      </c>
      <c r="F2485" s="400" t="s">
        <v>2655</v>
      </c>
      <c r="G2485" s="400" t="s">
        <v>2221</v>
      </c>
      <c r="H2485" s="1238"/>
    </row>
    <row r="2486" spans="1:8" hidden="1">
      <c r="A2486" s="495" t="s">
        <v>2654</v>
      </c>
      <c r="B2486" s="400" t="s">
        <v>684</v>
      </c>
      <c r="C2486" s="400" t="s">
        <v>97</v>
      </c>
      <c r="D2486" s="400" t="s">
        <v>2551</v>
      </c>
      <c r="E2486" s="400">
        <v>15</v>
      </c>
      <c r="F2486" s="400" t="s">
        <v>2655</v>
      </c>
      <c r="G2486" s="400" t="s">
        <v>2221</v>
      </c>
      <c r="H2486" s="1238"/>
    </row>
    <row r="2487" spans="1:8" hidden="1">
      <c r="A2487" s="495" t="s">
        <v>2654</v>
      </c>
      <c r="B2487" s="400" t="s">
        <v>684</v>
      </c>
      <c r="C2487" s="400" t="s">
        <v>97</v>
      </c>
      <c r="D2487" s="400" t="s">
        <v>2552</v>
      </c>
      <c r="E2487" s="400">
        <v>15</v>
      </c>
      <c r="F2487" s="400" t="s">
        <v>2655</v>
      </c>
      <c r="G2487" s="400" t="s">
        <v>2221</v>
      </c>
      <c r="H2487" s="1238"/>
    </row>
    <row r="2488" spans="1:8" hidden="1">
      <c r="A2488" s="495" t="s">
        <v>2654</v>
      </c>
      <c r="B2488" s="400" t="s">
        <v>684</v>
      </c>
      <c r="C2488" s="400" t="s">
        <v>97</v>
      </c>
      <c r="D2488" s="400" t="s">
        <v>2553</v>
      </c>
      <c r="E2488" s="400">
        <v>15</v>
      </c>
      <c r="F2488" s="400" t="s">
        <v>2655</v>
      </c>
      <c r="G2488" s="400" t="s">
        <v>2221</v>
      </c>
      <c r="H2488" s="1238"/>
    </row>
    <row r="2489" spans="1:8" hidden="1">
      <c r="A2489" s="495" t="s">
        <v>2654</v>
      </c>
      <c r="B2489" s="400" t="s">
        <v>684</v>
      </c>
      <c r="C2489" s="400" t="s">
        <v>97</v>
      </c>
      <c r="D2489" s="400" t="s">
        <v>2554</v>
      </c>
      <c r="E2489" s="400">
        <v>15</v>
      </c>
      <c r="F2489" s="400" t="s">
        <v>2655</v>
      </c>
      <c r="G2489" s="400" t="s">
        <v>2221</v>
      </c>
      <c r="H2489" s="1238"/>
    </row>
    <row r="2490" spans="1:8" hidden="1">
      <c r="A2490" s="495" t="s">
        <v>2654</v>
      </c>
      <c r="B2490" s="400" t="s">
        <v>684</v>
      </c>
      <c r="C2490" s="400" t="s">
        <v>97</v>
      </c>
      <c r="D2490" s="400" t="s">
        <v>2555</v>
      </c>
      <c r="E2490" s="400">
        <v>15</v>
      </c>
      <c r="F2490" s="400" t="s">
        <v>2655</v>
      </c>
      <c r="G2490" s="400" t="s">
        <v>2221</v>
      </c>
      <c r="H2490" s="1238"/>
    </row>
    <row r="2491" spans="1:8" hidden="1">
      <c r="A2491" s="495" t="s">
        <v>2654</v>
      </c>
      <c r="B2491" s="400" t="s">
        <v>684</v>
      </c>
      <c r="C2491" s="400" t="s">
        <v>97</v>
      </c>
      <c r="D2491" s="400" t="s">
        <v>2556</v>
      </c>
      <c r="E2491" s="400">
        <v>15</v>
      </c>
      <c r="F2491" s="400" t="s">
        <v>2655</v>
      </c>
      <c r="G2491" s="400" t="s">
        <v>2221</v>
      </c>
      <c r="H2491" s="1238"/>
    </row>
    <row r="2492" spans="1:8" hidden="1">
      <c r="A2492" s="495" t="s">
        <v>2654</v>
      </c>
      <c r="B2492" s="400" t="s">
        <v>684</v>
      </c>
      <c r="C2492" s="400" t="s">
        <v>97</v>
      </c>
      <c r="D2492" s="400" t="s">
        <v>2557</v>
      </c>
      <c r="E2492" s="400">
        <v>15</v>
      </c>
      <c r="F2492" s="400" t="s">
        <v>2655</v>
      </c>
      <c r="G2492" s="400" t="s">
        <v>2221</v>
      </c>
      <c r="H2492" s="1238"/>
    </row>
    <row r="2493" spans="1:8" hidden="1">
      <c r="A2493" s="495" t="s">
        <v>2654</v>
      </c>
      <c r="B2493" s="400" t="s">
        <v>684</v>
      </c>
      <c r="C2493" s="400" t="s">
        <v>97</v>
      </c>
      <c r="D2493" s="400" t="s">
        <v>2558</v>
      </c>
      <c r="E2493" s="400">
        <v>15</v>
      </c>
      <c r="F2493" s="400" t="s">
        <v>2655</v>
      </c>
      <c r="G2493" s="400" t="s">
        <v>2221</v>
      </c>
      <c r="H2493" s="1238"/>
    </row>
    <row r="2494" spans="1:8" hidden="1">
      <c r="A2494" s="495" t="s">
        <v>2654</v>
      </c>
      <c r="B2494" s="400" t="s">
        <v>684</v>
      </c>
      <c r="C2494" s="400" t="s">
        <v>97</v>
      </c>
      <c r="D2494" s="400" t="s">
        <v>2559</v>
      </c>
      <c r="E2494" s="400">
        <v>15</v>
      </c>
      <c r="F2494" s="400" t="s">
        <v>2655</v>
      </c>
      <c r="G2494" s="400" t="s">
        <v>2221</v>
      </c>
      <c r="H2494" s="1238"/>
    </row>
    <row r="2495" spans="1:8" hidden="1">
      <c r="A2495" s="495" t="s">
        <v>2654</v>
      </c>
      <c r="B2495" s="400" t="s">
        <v>684</v>
      </c>
      <c r="C2495" s="400" t="s">
        <v>97</v>
      </c>
      <c r="D2495" s="400" t="s">
        <v>2560</v>
      </c>
      <c r="E2495" s="400">
        <v>15</v>
      </c>
      <c r="F2495" s="400" t="s">
        <v>2655</v>
      </c>
      <c r="G2495" s="400" t="s">
        <v>2221</v>
      </c>
      <c r="H2495" s="1238"/>
    </row>
    <row r="2496" spans="1:8" hidden="1">
      <c r="A2496" s="495" t="s">
        <v>2654</v>
      </c>
      <c r="B2496" s="400" t="s">
        <v>684</v>
      </c>
      <c r="C2496" s="400" t="s">
        <v>97</v>
      </c>
      <c r="D2496" s="400" t="s">
        <v>2561</v>
      </c>
      <c r="E2496" s="400">
        <v>15</v>
      </c>
      <c r="F2496" s="400" t="s">
        <v>2655</v>
      </c>
      <c r="G2496" s="400" t="s">
        <v>2221</v>
      </c>
      <c r="H2496" s="1238"/>
    </row>
    <row r="2497" spans="1:8" hidden="1">
      <c r="A2497" s="495" t="s">
        <v>2654</v>
      </c>
      <c r="B2497" s="400" t="s">
        <v>684</v>
      </c>
      <c r="C2497" s="400" t="s">
        <v>97</v>
      </c>
      <c r="D2497" s="400" t="s">
        <v>2562</v>
      </c>
      <c r="E2497" s="400">
        <v>15</v>
      </c>
      <c r="F2497" s="400" t="s">
        <v>2655</v>
      </c>
      <c r="G2497" s="400" t="s">
        <v>2221</v>
      </c>
      <c r="H2497" s="1238"/>
    </row>
    <row r="2498" spans="1:8" hidden="1">
      <c r="A2498" s="495" t="s">
        <v>2654</v>
      </c>
      <c r="B2498" s="400" t="s">
        <v>684</v>
      </c>
      <c r="C2498" s="400" t="s">
        <v>97</v>
      </c>
      <c r="D2498" s="400" t="s">
        <v>2563</v>
      </c>
      <c r="E2498" s="400">
        <v>15</v>
      </c>
      <c r="F2498" s="400" t="s">
        <v>2655</v>
      </c>
      <c r="G2498" s="400" t="s">
        <v>2221</v>
      </c>
      <c r="H2498" s="1238"/>
    </row>
    <row r="2499" spans="1:8" hidden="1">
      <c r="A2499" s="495" t="s">
        <v>2654</v>
      </c>
      <c r="B2499" s="400" t="s">
        <v>684</v>
      </c>
      <c r="C2499" s="400" t="s">
        <v>97</v>
      </c>
      <c r="D2499" s="400" t="s">
        <v>2564</v>
      </c>
      <c r="E2499" s="400">
        <v>15</v>
      </c>
      <c r="F2499" s="400" t="s">
        <v>2655</v>
      </c>
      <c r="G2499" s="400" t="s">
        <v>2221</v>
      </c>
      <c r="H2499" s="1238"/>
    </row>
    <row r="2500" spans="1:8" hidden="1">
      <c r="A2500" s="495" t="s">
        <v>2654</v>
      </c>
      <c r="B2500" s="400" t="s">
        <v>684</v>
      </c>
      <c r="C2500" s="400" t="s">
        <v>97</v>
      </c>
      <c r="D2500" s="400" t="s">
        <v>2565</v>
      </c>
      <c r="E2500" s="400">
        <v>15</v>
      </c>
      <c r="F2500" s="400" t="s">
        <v>2655</v>
      </c>
      <c r="G2500" s="400" t="s">
        <v>2221</v>
      </c>
      <c r="H2500" s="1238"/>
    </row>
    <row r="2501" spans="1:8" hidden="1">
      <c r="A2501" s="495" t="s">
        <v>2654</v>
      </c>
      <c r="B2501" s="400" t="s">
        <v>684</v>
      </c>
      <c r="C2501" s="400" t="s">
        <v>97</v>
      </c>
      <c r="D2501" s="400" t="s">
        <v>2566</v>
      </c>
      <c r="E2501" s="400">
        <v>15</v>
      </c>
      <c r="F2501" s="400" t="s">
        <v>2655</v>
      </c>
      <c r="G2501" s="400" t="s">
        <v>2221</v>
      </c>
      <c r="H2501" s="1238"/>
    </row>
    <row r="2502" spans="1:8" hidden="1">
      <c r="A2502" s="495" t="s">
        <v>2654</v>
      </c>
      <c r="B2502" s="400" t="s">
        <v>684</v>
      </c>
      <c r="C2502" s="400" t="s">
        <v>97</v>
      </c>
      <c r="D2502" s="400" t="s">
        <v>2567</v>
      </c>
      <c r="E2502" s="400">
        <v>15</v>
      </c>
      <c r="F2502" s="400" t="s">
        <v>2655</v>
      </c>
      <c r="G2502" s="400" t="s">
        <v>2221</v>
      </c>
      <c r="H2502" s="1238"/>
    </row>
    <row r="2503" spans="1:8" hidden="1">
      <c r="A2503" s="495" t="s">
        <v>2654</v>
      </c>
      <c r="B2503" s="400" t="s">
        <v>684</v>
      </c>
      <c r="C2503" s="400" t="s">
        <v>97</v>
      </c>
      <c r="D2503" s="400" t="s">
        <v>2568</v>
      </c>
      <c r="E2503" s="400">
        <v>15</v>
      </c>
      <c r="F2503" s="400" t="s">
        <v>2655</v>
      </c>
      <c r="G2503" s="400" t="s">
        <v>2221</v>
      </c>
      <c r="H2503" s="1238"/>
    </row>
    <row r="2504" spans="1:8" hidden="1">
      <c r="A2504" s="495" t="s">
        <v>2654</v>
      </c>
      <c r="B2504" s="400" t="s">
        <v>684</v>
      </c>
      <c r="C2504" s="400" t="s">
        <v>97</v>
      </c>
      <c r="D2504" s="400" t="s">
        <v>2569</v>
      </c>
      <c r="E2504" s="400">
        <v>15</v>
      </c>
      <c r="F2504" s="400" t="s">
        <v>2655</v>
      </c>
      <c r="G2504" s="400" t="s">
        <v>2221</v>
      </c>
      <c r="H2504" s="1238"/>
    </row>
    <row r="2505" spans="1:8" hidden="1">
      <c r="A2505" s="495" t="s">
        <v>2654</v>
      </c>
      <c r="B2505" s="400" t="s">
        <v>684</v>
      </c>
      <c r="C2505" s="400" t="s">
        <v>97</v>
      </c>
      <c r="D2505" s="400" t="s">
        <v>2570</v>
      </c>
      <c r="E2505" s="400">
        <v>15</v>
      </c>
      <c r="F2505" s="400" t="s">
        <v>2655</v>
      </c>
      <c r="G2505" s="400" t="s">
        <v>2221</v>
      </c>
      <c r="H2505" s="1238"/>
    </row>
    <row r="2506" spans="1:8" hidden="1">
      <c r="A2506" s="495" t="s">
        <v>2654</v>
      </c>
      <c r="B2506" s="400" t="s">
        <v>684</v>
      </c>
      <c r="C2506" s="400" t="s">
        <v>97</v>
      </c>
      <c r="D2506" s="400" t="s">
        <v>2571</v>
      </c>
      <c r="E2506" s="400">
        <v>15</v>
      </c>
      <c r="F2506" s="400" t="s">
        <v>2655</v>
      </c>
      <c r="G2506" s="400" t="s">
        <v>2221</v>
      </c>
      <c r="H2506" s="1238"/>
    </row>
    <row r="2507" spans="1:8" hidden="1">
      <c r="A2507" s="495" t="s">
        <v>2654</v>
      </c>
      <c r="B2507" s="400" t="s">
        <v>684</v>
      </c>
      <c r="C2507" s="400" t="s">
        <v>97</v>
      </c>
      <c r="D2507" s="400" t="s">
        <v>2572</v>
      </c>
      <c r="E2507" s="400">
        <v>15</v>
      </c>
      <c r="F2507" s="400" t="s">
        <v>2655</v>
      </c>
      <c r="G2507" s="400" t="s">
        <v>2221</v>
      </c>
      <c r="H2507" s="1238"/>
    </row>
    <row r="2508" spans="1:8" hidden="1">
      <c r="A2508" s="495" t="s">
        <v>2654</v>
      </c>
      <c r="B2508" s="400" t="s">
        <v>684</v>
      </c>
      <c r="C2508" s="400" t="s">
        <v>97</v>
      </c>
      <c r="D2508" s="400" t="s">
        <v>2573</v>
      </c>
      <c r="E2508" s="400">
        <v>15</v>
      </c>
      <c r="F2508" s="400" t="s">
        <v>2655</v>
      </c>
      <c r="G2508" s="400" t="s">
        <v>2221</v>
      </c>
      <c r="H2508" s="1238"/>
    </row>
    <row r="2509" spans="1:8" hidden="1">
      <c r="A2509" s="495" t="s">
        <v>2654</v>
      </c>
      <c r="B2509" s="400" t="s">
        <v>684</v>
      </c>
      <c r="C2509" s="400" t="s">
        <v>97</v>
      </c>
      <c r="D2509" s="400" t="s">
        <v>2574</v>
      </c>
      <c r="E2509" s="400">
        <v>15</v>
      </c>
      <c r="F2509" s="400" t="s">
        <v>2655</v>
      </c>
      <c r="G2509" s="400" t="s">
        <v>2221</v>
      </c>
      <c r="H2509" s="1238"/>
    </row>
    <row r="2510" spans="1:8" hidden="1">
      <c r="A2510" s="495" t="s">
        <v>2654</v>
      </c>
      <c r="B2510" s="400" t="s">
        <v>684</v>
      </c>
      <c r="C2510" s="400" t="s">
        <v>97</v>
      </c>
      <c r="D2510" s="400" t="s">
        <v>2575</v>
      </c>
      <c r="E2510" s="400">
        <v>15</v>
      </c>
      <c r="F2510" s="400" t="s">
        <v>2655</v>
      </c>
      <c r="G2510" s="400" t="s">
        <v>2221</v>
      </c>
      <c r="H2510" s="1238"/>
    </row>
    <row r="2511" spans="1:8" hidden="1">
      <c r="A2511" s="495" t="s">
        <v>2654</v>
      </c>
      <c r="B2511" s="400" t="s">
        <v>684</v>
      </c>
      <c r="C2511" s="400" t="s">
        <v>97</v>
      </c>
      <c r="D2511" s="400" t="s">
        <v>2576</v>
      </c>
      <c r="E2511" s="400">
        <v>15</v>
      </c>
      <c r="F2511" s="400" t="s">
        <v>2655</v>
      </c>
      <c r="G2511" s="400" t="s">
        <v>2221</v>
      </c>
      <c r="H2511" s="1238"/>
    </row>
    <row r="2512" spans="1:8" hidden="1">
      <c r="A2512" s="495" t="s">
        <v>2654</v>
      </c>
      <c r="B2512" s="400" t="s">
        <v>684</v>
      </c>
      <c r="C2512" s="400" t="s">
        <v>97</v>
      </c>
      <c r="D2512" s="400" t="s">
        <v>2577</v>
      </c>
      <c r="E2512" s="400">
        <v>15</v>
      </c>
      <c r="F2512" s="400" t="s">
        <v>2655</v>
      </c>
      <c r="G2512" s="400" t="s">
        <v>2221</v>
      </c>
      <c r="H2512" s="1238"/>
    </row>
    <row r="2513" spans="1:8" hidden="1">
      <c r="A2513" s="495" t="s">
        <v>2654</v>
      </c>
      <c r="B2513" s="400" t="s">
        <v>684</v>
      </c>
      <c r="C2513" s="400" t="s">
        <v>97</v>
      </c>
      <c r="D2513" s="400" t="s">
        <v>2578</v>
      </c>
      <c r="E2513" s="400">
        <v>15</v>
      </c>
      <c r="F2513" s="400" t="s">
        <v>2655</v>
      </c>
      <c r="G2513" s="400" t="s">
        <v>2221</v>
      </c>
      <c r="H2513" s="1238"/>
    </row>
    <row r="2514" spans="1:8" hidden="1">
      <c r="A2514" s="495" t="s">
        <v>2654</v>
      </c>
      <c r="B2514" s="400" t="s">
        <v>684</v>
      </c>
      <c r="C2514" s="400" t="s">
        <v>97</v>
      </c>
      <c r="D2514" s="400" t="s">
        <v>2579</v>
      </c>
      <c r="E2514" s="400">
        <v>15</v>
      </c>
      <c r="F2514" s="400" t="s">
        <v>2655</v>
      </c>
      <c r="G2514" s="400" t="s">
        <v>2221</v>
      </c>
      <c r="H2514" s="1238"/>
    </row>
    <row r="2515" spans="1:8" hidden="1">
      <c r="A2515" s="495" t="s">
        <v>2654</v>
      </c>
      <c r="B2515" s="400" t="s">
        <v>684</v>
      </c>
      <c r="C2515" s="400" t="s">
        <v>97</v>
      </c>
      <c r="D2515" s="400" t="s">
        <v>2580</v>
      </c>
      <c r="E2515" s="400">
        <v>15</v>
      </c>
      <c r="F2515" s="400" t="s">
        <v>2655</v>
      </c>
      <c r="G2515" s="400" t="s">
        <v>2221</v>
      </c>
      <c r="H2515" s="1238"/>
    </row>
    <row r="2516" spans="1:8" hidden="1">
      <c r="A2516" s="495" t="s">
        <v>2654</v>
      </c>
      <c r="B2516" s="400" t="s">
        <v>684</v>
      </c>
      <c r="C2516" s="400" t="s">
        <v>97</v>
      </c>
      <c r="D2516" s="400" t="s">
        <v>2581</v>
      </c>
      <c r="E2516" s="400">
        <v>15</v>
      </c>
      <c r="F2516" s="400" t="s">
        <v>2655</v>
      </c>
      <c r="G2516" s="400" t="s">
        <v>2221</v>
      </c>
      <c r="H2516" s="1238"/>
    </row>
    <row r="2517" spans="1:8" hidden="1">
      <c r="A2517" s="495" t="s">
        <v>2654</v>
      </c>
      <c r="B2517" s="400" t="s">
        <v>684</v>
      </c>
      <c r="C2517" s="400" t="s">
        <v>97</v>
      </c>
      <c r="D2517" s="400" t="s">
        <v>2582</v>
      </c>
      <c r="E2517" s="400">
        <v>15</v>
      </c>
      <c r="F2517" s="400" t="s">
        <v>2655</v>
      </c>
      <c r="G2517" s="400" t="s">
        <v>2221</v>
      </c>
      <c r="H2517" s="1238"/>
    </row>
    <row r="2518" spans="1:8" hidden="1">
      <c r="A2518" s="495" t="s">
        <v>2654</v>
      </c>
      <c r="B2518" s="400" t="s">
        <v>684</v>
      </c>
      <c r="C2518" s="400" t="s">
        <v>97</v>
      </c>
      <c r="D2518" s="400" t="s">
        <v>2583</v>
      </c>
      <c r="E2518" s="400">
        <v>15</v>
      </c>
      <c r="F2518" s="400" t="s">
        <v>2655</v>
      </c>
      <c r="G2518" s="400" t="s">
        <v>2221</v>
      </c>
      <c r="H2518" s="1238"/>
    </row>
    <row r="2519" spans="1:8" hidden="1">
      <c r="A2519" s="495" t="s">
        <v>2654</v>
      </c>
      <c r="B2519" s="400" t="s">
        <v>684</v>
      </c>
      <c r="C2519" s="400" t="s">
        <v>97</v>
      </c>
      <c r="D2519" s="400" t="s">
        <v>2584</v>
      </c>
      <c r="E2519" s="400">
        <v>15</v>
      </c>
      <c r="F2519" s="400" t="s">
        <v>2655</v>
      </c>
      <c r="G2519" s="400" t="s">
        <v>2221</v>
      </c>
      <c r="H2519" s="1238"/>
    </row>
    <row r="2520" spans="1:8" hidden="1">
      <c r="A2520" s="495" t="s">
        <v>2654</v>
      </c>
      <c r="B2520" s="400" t="s">
        <v>684</v>
      </c>
      <c r="C2520" s="400" t="s">
        <v>97</v>
      </c>
      <c r="D2520" s="400" t="s">
        <v>2585</v>
      </c>
      <c r="E2520" s="400">
        <v>15</v>
      </c>
      <c r="F2520" s="400" t="s">
        <v>2655</v>
      </c>
      <c r="G2520" s="400" t="s">
        <v>2221</v>
      </c>
      <c r="H2520" s="1238"/>
    </row>
    <row r="2521" spans="1:8" hidden="1">
      <c r="A2521" s="495" t="s">
        <v>2654</v>
      </c>
      <c r="B2521" s="400" t="s">
        <v>684</v>
      </c>
      <c r="C2521" s="400" t="s">
        <v>97</v>
      </c>
      <c r="D2521" s="400" t="s">
        <v>2586</v>
      </c>
      <c r="E2521" s="400">
        <v>15</v>
      </c>
      <c r="F2521" s="400" t="s">
        <v>2655</v>
      </c>
      <c r="G2521" s="400" t="s">
        <v>2221</v>
      </c>
      <c r="H2521" s="1238"/>
    </row>
    <row r="2522" spans="1:8" hidden="1">
      <c r="A2522" s="495" t="s">
        <v>2654</v>
      </c>
      <c r="B2522" s="400" t="s">
        <v>684</v>
      </c>
      <c r="C2522" s="400" t="s">
        <v>97</v>
      </c>
      <c r="D2522" s="400" t="s">
        <v>2587</v>
      </c>
      <c r="E2522" s="400">
        <v>15</v>
      </c>
      <c r="F2522" s="400" t="s">
        <v>2655</v>
      </c>
      <c r="G2522" s="400" t="s">
        <v>2221</v>
      </c>
      <c r="H2522" s="1238"/>
    </row>
    <row r="2523" spans="1:8" hidden="1">
      <c r="A2523" s="495" t="s">
        <v>2654</v>
      </c>
      <c r="B2523" s="400" t="s">
        <v>684</v>
      </c>
      <c r="C2523" s="400" t="s">
        <v>97</v>
      </c>
      <c r="D2523" s="400" t="s">
        <v>2588</v>
      </c>
      <c r="E2523" s="400">
        <v>15</v>
      </c>
      <c r="F2523" s="400" t="s">
        <v>2655</v>
      </c>
      <c r="G2523" s="400" t="s">
        <v>2221</v>
      </c>
      <c r="H2523" s="1238"/>
    </row>
    <row r="2524" spans="1:8" hidden="1">
      <c r="A2524" s="495" t="s">
        <v>2654</v>
      </c>
      <c r="B2524" s="400" t="s">
        <v>684</v>
      </c>
      <c r="C2524" s="400" t="s">
        <v>97</v>
      </c>
      <c r="D2524" s="400" t="s">
        <v>2589</v>
      </c>
      <c r="E2524" s="400">
        <v>15</v>
      </c>
      <c r="F2524" s="400" t="s">
        <v>2655</v>
      </c>
      <c r="G2524" s="400" t="s">
        <v>2221</v>
      </c>
      <c r="H2524" s="1238"/>
    </row>
    <row r="2525" spans="1:8" hidden="1">
      <c r="A2525" s="495" t="s">
        <v>2654</v>
      </c>
      <c r="B2525" s="400" t="s">
        <v>684</v>
      </c>
      <c r="C2525" s="400" t="s">
        <v>97</v>
      </c>
      <c r="D2525" s="400" t="s">
        <v>2590</v>
      </c>
      <c r="E2525" s="400">
        <v>15</v>
      </c>
      <c r="F2525" s="400" t="s">
        <v>2655</v>
      </c>
      <c r="G2525" s="400" t="s">
        <v>2221</v>
      </c>
      <c r="H2525" s="1238"/>
    </row>
    <row r="2526" spans="1:8" hidden="1">
      <c r="A2526" s="495" t="s">
        <v>2654</v>
      </c>
      <c r="B2526" s="400" t="s">
        <v>684</v>
      </c>
      <c r="C2526" s="400" t="s">
        <v>97</v>
      </c>
      <c r="D2526" s="400" t="s">
        <v>2591</v>
      </c>
      <c r="E2526" s="400">
        <v>15</v>
      </c>
      <c r="F2526" s="400" t="s">
        <v>2655</v>
      </c>
      <c r="G2526" s="400" t="s">
        <v>2221</v>
      </c>
      <c r="H2526" s="1238"/>
    </row>
    <row r="2527" spans="1:8" hidden="1">
      <c r="A2527" s="495" t="s">
        <v>2654</v>
      </c>
      <c r="B2527" s="400" t="s">
        <v>684</v>
      </c>
      <c r="C2527" s="400" t="s">
        <v>97</v>
      </c>
      <c r="D2527" s="400" t="s">
        <v>2592</v>
      </c>
      <c r="E2527" s="400">
        <v>15</v>
      </c>
      <c r="F2527" s="400" t="s">
        <v>2655</v>
      </c>
      <c r="G2527" s="400" t="s">
        <v>2221</v>
      </c>
      <c r="H2527" s="1238"/>
    </row>
    <row r="2528" spans="1:8" hidden="1">
      <c r="A2528" s="495" t="s">
        <v>2654</v>
      </c>
      <c r="B2528" s="400" t="s">
        <v>684</v>
      </c>
      <c r="C2528" s="400" t="s">
        <v>97</v>
      </c>
      <c r="D2528" s="400" t="s">
        <v>2593</v>
      </c>
      <c r="E2528" s="400">
        <v>15</v>
      </c>
      <c r="F2528" s="400" t="s">
        <v>2655</v>
      </c>
      <c r="G2528" s="400" t="s">
        <v>2221</v>
      </c>
      <c r="H2528" s="1238"/>
    </row>
    <row r="2529" spans="1:8" hidden="1">
      <c r="A2529" s="495" t="s">
        <v>2654</v>
      </c>
      <c r="B2529" s="400" t="s">
        <v>684</v>
      </c>
      <c r="C2529" s="400" t="s">
        <v>97</v>
      </c>
      <c r="D2529" s="400" t="s">
        <v>2594</v>
      </c>
      <c r="E2529" s="400">
        <v>15</v>
      </c>
      <c r="F2529" s="400" t="s">
        <v>2655</v>
      </c>
      <c r="G2529" s="400" t="s">
        <v>2221</v>
      </c>
      <c r="H2529" s="1238"/>
    </row>
    <row r="2530" spans="1:8" hidden="1">
      <c r="A2530" s="495" t="s">
        <v>2654</v>
      </c>
      <c r="B2530" s="400" t="s">
        <v>684</v>
      </c>
      <c r="C2530" s="400" t="s">
        <v>97</v>
      </c>
      <c r="D2530" s="400" t="s">
        <v>2595</v>
      </c>
      <c r="E2530" s="400">
        <v>15</v>
      </c>
      <c r="F2530" s="400" t="s">
        <v>2655</v>
      </c>
      <c r="G2530" s="400" t="s">
        <v>2221</v>
      </c>
      <c r="H2530" s="1238"/>
    </row>
    <row r="2531" spans="1:8" hidden="1">
      <c r="A2531" s="495" t="s">
        <v>2654</v>
      </c>
      <c r="B2531" s="400" t="s">
        <v>684</v>
      </c>
      <c r="C2531" s="400" t="s">
        <v>97</v>
      </c>
      <c r="D2531" s="400" t="s">
        <v>2596</v>
      </c>
      <c r="E2531" s="400">
        <v>15</v>
      </c>
      <c r="F2531" s="400" t="s">
        <v>2655</v>
      </c>
      <c r="G2531" s="400" t="s">
        <v>2221</v>
      </c>
      <c r="H2531" s="1238"/>
    </row>
    <row r="2532" spans="1:8" hidden="1">
      <c r="A2532" s="495" t="s">
        <v>2654</v>
      </c>
      <c r="B2532" s="400" t="s">
        <v>684</v>
      </c>
      <c r="C2532" s="400" t="s">
        <v>97</v>
      </c>
      <c r="D2532" s="400" t="s">
        <v>2597</v>
      </c>
      <c r="E2532" s="400">
        <v>15</v>
      </c>
      <c r="F2532" s="400" t="s">
        <v>2655</v>
      </c>
      <c r="G2532" s="400" t="s">
        <v>2221</v>
      </c>
      <c r="H2532" s="1238"/>
    </row>
    <row r="2533" spans="1:8" hidden="1">
      <c r="A2533" s="495" t="s">
        <v>2654</v>
      </c>
      <c r="B2533" s="400" t="s">
        <v>684</v>
      </c>
      <c r="C2533" s="400" t="s">
        <v>97</v>
      </c>
      <c r="D2533" s="400" t="s">
        <v>2598</v>
      </c>
      <c r="E2533" s="400">
        <v>15</v>
      </c>
      <c r="F2533" s="400" t="s">
        <v>2655</v>
      </c>
      <c r="G2533" s="400" t="s">
        <v>2221</v>
      </c>
      <c r="H2533" s="1238"/>
    </row>
    <row r="2534" spans="1:8" hidden="1">
      <c r="A2534" s="495" t="s">
        <v>2654</v>
      </c>
      <c r="B2534" s="400" t="s">
        <v>684</v>
      </c>
      <c r="C2534" s="400" t="s">
        <v>97</v>
      </c>
      <c r="D2534" s="400" t="s">
        <v>2599</v>
      </c>
      <c r="E2534" s="400">
        <v>15</v>
      </c>
      <c r="F2534" s="400" t="s">
        <v>2655</v>
      </c>
      <c r="G2534" s="400" t="s">
        <v>2221</v>
      </c>
      <c r="H2534" s="1238"/>
    </row>
    <row r="2535" spans="1:8" hidden="1">
      <c r="A2535" s="495" t="s">
        <v>2654</v>
      </c>
      <c r="B2535" s="400" t="s">
        <v>684</v>
      </c>
      <c r="C2535" s="400" t="s">
        <v>97</v>
      </c>
      <c r="D2535" s="400" t="s">
        <v>2600</v>
      </c>
      <c r="E2535" s="400">
        <v>15</v>
      </c>
      <c r="F2535" s="400" t="s">
        <v>2655</v>
      </c>
      <c r="G2535" s="400" t="s">
        <v>2221</v>
      </c>
      <c r="H2535" s="1238"/>
    </row>
    <row r="2536" spans="1:8" hidden="1">
      <c r="A2536" s="495" t="s">
        <v>2654</v>
      </c>
      <c r="B2536" s="400" t="s">
        <v>684</v>
      </c>
      <c r="C2536" s="400" t="s">
        <v>97</v>
      </c>
      <c r="D2536" s="400" t="s">
        <v>2601</v>
      </c>
      <c r="E2536" s="400">
        <v>15</v>
      </c>
      <c r="F2536" s="400" t="s">
        <v>2655</v>
      </c>
      <c r="G2536" s="400" t="s">
        <v>2221</v>
      </c>
      <c r="H2536" s="1238"/>
    </row>
    <row r="2537" spans="1:8" hidden="1">
      <c r="A2537" s="495" t="s">
        <v>2654</v>
      </c>
      <c r="B2537" s="400" t="s">
        <v>684</v>
      </c>
      <c r="C2537" s="400" t="s">
        <v>97</v>
      </c>
      <c r="D2537" s="400" t="s">
        <v>2602</v>
      </c>
      <c r="E2537" s="400">
        <v>15</v>
      </c>
      <c r="F2537" s="400" t="s">
        <v>2655</v>
      </c>
      <c r="G2537" s="400" t="s">
        <v>2221</v>
      </c>
      <c r="H2537" s="1238"/>
    </row>
    <row r="2538" spans="1:8" hidden="1">
      <c r="A2538" s="495" t="s">
        <v>2654</v>
      </c>
      <c r="B2538" s="400" t="s">
        <v>684</v>
      </c>
      <c r="C2538" s="400" t="s">
        <v>97</v>
      </c>
      <c r="D2538" s="400" t="s">
        <v>2603</v>
      </c>
      <c r="E2538" s="400">
        <v>15</v>
      </c>
      <c r="F2538" s="400" t="s">
        <v>2655</v>
      </c>
      <c r="G2538" s="400" t="s">
        <v>2221</v>
      </c>
      <c r="H2538" s="1238"/>
    </row>
    <row r="2539" spans="1:8" hidden="1">
      <c r="A2539" s="495" t="s">
        <v>2654</v>
      </c>
      <c r="B2539" s="400" t="s">
        <v>684</v>
      </c>
      <c r="C2539" s="400" t="s">
        <v>97</v>
      </c>
      <c r="D2539" s="400" t="s">
        <v>2604</v>
      </c>
      <c r="E2539" s="400">
        <v>15</v>
      </c>
      <c r="F2539" s="400" t="s">
        <v>2655</v>
      </c>
      <c r="G2539" s="400" t="s">
        <v>2221</v>
      </c>
      <c r="H2539" s="1238"/>
    </row>
    <row r="2540" spans="1:8" hidden="1">
      <c r="A2540" s="495" t="s">
        <v>2654</v>
      </c>
      <c r="B2540" s="400" t="s">
        <v>684</v>
      </c>
      <c r="C2540" s="400" t="s">
        <v>97</v>
      </c>
      <c r="D2540" s="400" t="s">
        <v>2605</v>
      </c>
      <c r="E2540" s="400">
        <v>15</v>
      </c>
      <c r="F2540" s="400" t="s">
        <v>2655</v>
      </c>
      <c r="G2540" s="400" t="s">
        <v>2221</v>
      </c>
      <c r="H2540" s="1238"/>
    </row>
    <row r="2541" spans="1:8" hidden="1">
      <c r="A2541" s="495" t="s">
        <v>2654</v>
      </c>
      <c r="B2541" s="400" t="s">
        <v>684</v>
      </c>
      <c r="C2541" s="400" t="s">
        <v>97</v>
      </c>
      <c r="D2541" s="400" t="s">
        <v>2606</v>
      </c>
      <c r="E2541" s="400">
        <v>15</v>
      </c>
      <c r="F2541" s="400" t="s">
        <v>2655</v>
      </c>
      <c r="G2541" s="400" t="s">
        <v>2221</v>
      </c>
      <c r="H2541" s="1238"/>
    </row>
    <row r="2542" spans="1:8" hidden="1">
      <c r="A2542" s="495" t="s">
        <v>2654</v>
      </c>
      <c r="B2542" s="400" t="s">
        <v>684</v>
      </c>
      <c r="C2542" s="400" t="s">
        <v>97</v>
      </c>
      <c r="D2542" s="400" t="s">
        <v>2607</v>
      </c>
      <c r="E2542" s="400">
        <v>15</v>
      </c>
      <c r="F2542" s="400" t="s">
        <v>2655</v>
      </c>
      <c r="G2542" s="400" t="s">
        <v>2221</v>
      </c>
      <c r="H2542" s="1238"/>
    </row>
    <row r="2543" spans="1:8" hidden="1">
      <c r="A2543" s="495" t="s">
        <v>2654</v>
      </c>
      <c r="B2543" s="400" t="s">
        <v>684</v>
      </c>
      <c r="C2543" s="400" t="s">
        <v>97</v>
      </c>
      <c r="D2543" s="400" t="s">
        <v>2608</v>
      </c>
      <c r="E2543" s="400">
        <v>15</v>
      </c>
      <c r="F2543" s="400" t="s">
        <v>2655</v>
      </c>
      <c r="G2543" s="400" t="s">
        <v>2221</v>
      </c>
      <c r="H2543" s="1238"/>
    </row>
    <row r="2544" spans="1:8" hidden="1">
      <c r="A2544" s="495" t="s">
        <v>2654</v>
      </c>
      <c r="B2544" s="400" t="s">
        <v>684</v>
      </c>
      <c r="C2544" s="400" t="s">
        <v>97</v>
      </c>
      <c r="D2544" s="400" t="s">
        <v>2609</v>
      </c>
      <c r="E2544" s="400">
        <v>15</v>
      </c>
      <c r="F2544" s="400" t="s">
        <v>2655</v>
      </c>
      <c r="G2544" s="400" t="s">
        <v>2221</v>
      </c>
      <c r="H2544" s="1238"/>
    </row>
    <row r="2545" spans="1:8" hidden="1">
      <c r="A2545" s="495" t="s">
        <v>2654</v>
      </c>
      <c r="B2545" s="400" t="s">
        <v>684</v>
      </c>
      <c r="C2545" s="400" t="s">
        <v>97</v>
      </c>
      <c r="D2545" s="400" t="s">
        <v>2610</v>
      </c>
      <c r="E2545" s="400">
        <v>15</v>
      </c>
      <c r="F2545" s="400" t="s">
        <v>2655</v>
      </c>
      <c r="G2545" s="400" t="s">
        <v>2221</v>
      </c>
      <c r="H2545" s="1238"/>
    </row>
    <row r="2546" spans="1:8" hidden="1">
      <c r="A2546" s="495" t="s">
        <v>2654</v>
      </c>
      <c r="B2546" s="400" t="s">
        <v>684</v>
      </c>
      <c r="C2546" s="400" t="s">
        <v>97</v>
      </c>
      <c r="D2546" s="400" t="s">
        <v>2611</v>
      </c>
      <c r="E2546" s="400">
        <v>15</v>
      </c>
      <c r="F2546" s="400" t="s">
        <v>2655</v>
      </c>
      <c r="G2546" s="400" t="s">
        <v>2221</v>
      </c>
      <c r="H2546" s="1238"/>
    </row>
    <row r="2547" spans="1:8" hidden="1">
      <c r="A2547" s="495" t="s">
        <v>2654</v>
      </c>
      <c r="B2547" s="400" t="s">
        <v>684</v>
      </c>
      <c r="C2547" s="400" t="s">
        <v>97</v>
      </c>
      <c r="D2547" s="400" t="s">
        <v>2612</v>
      </c>
      <c r="E2547" s="400">
        <v>15</v>
      </c>
      <c r="F2547" s="400" t="s">
        <v>2655</v>
      </c>
      <c r="G2547" s="400" t="s">
        <v>2221</v>
      </c>
      <c r="H2547" s="1238"/>
    </row>
    <row r="2548" spans="1:8" hidden="1">
      <c r="A2548" s="495" t="s">
        <v>2654</v>
      </c>
      <c r="B2548" s="400" t="s">
        <v>684</v>
      </c>
      <c r="C2548" s="400" t="s">
        <v>97</v>
      </c>
      <c r="D2548" s="400" t="s">
        <v>2613</v>
      </c>
      <c r="E2548" s="400">
        <v>15</v>
      </c>
      <c r="F2548" s="400" t="s">
        <v>2655</v>
      </c>
      <c r="G2548" s="400" t="s">
        <v>2221</v>
      </c>
      <c r="H2548" s="1238"/>
    </row>
    <row r="2549" spans="1:8" hidden="1">
      <c r="A2549" s="495" t="s">
        <v>2654</v>
      </c>
      <c r="B2549" s="400" t="s">
        <v>684</v>
      </c>
      <c r="C2549" s="400" t="s">
        <v>97</v>
      </c>
      <c r="D2549" s="400" t="s">
        <v>2614</v>
      </c>
      <c r="E2549" s="400">
        <v>15</v>
      </c>
      <c r="F2549" s="400" t="s">
        <v>2655</v>
      </c>
      <c r="G2549" s="400" t="s">
        <v>2221</v>
      </c>
      <c r="H2549" s="1238"/>
    </row>
    <row r="2550" spans="1:8" hidden="1">
      <c r="A2550" s="495" t="s">
        <v>2654</v>
      </c>
      <c r="B2550" s="400" t="s">
        <v>684</v>
      </c>
      <c r="C2550" s="400" t="s">
        <v>97</v>
      </c>
      <c r="D2550" s="400" t="s">
        <v>2615</v>
      </c>
      <c r="E2550" s="400">
        <v>15</v>
      </c>
      <c r="F2550" s="400" t="s">
        <v>2655</v>
      </c>
      <c r="G2550" s="400" t="s">
        <v>2221</v>
      </c>
      <c r="H2550" s="1238"/>
    </row>
    <row r="2551" spans="1:8" hidden="1">
      <c r="A2551" s="495" t="s">
        <v>2654</v>
      </c>
      <c r="B2551" s="400" t="s">
        <v>684</v>
      </c>
      <c r="C2551" s="400" t="s">
        <v>97</v>
      </c>
      <c r="D2551" s="400" t="s">
        <v>2616</v>
      </c>
      <c r="E2551" s="400">
        <v>15</v>
      </c>
      <c r="F2551" s="400" t="s">
        <v>2655</v>
      </c>
      <c r="G2551" s="400" t="s">
        <v>2221</v>
      </c>
      <c r="H2551" s="1238"/>
    </row>
    <row r="2552" spans="1:8" hidden="1">
      <c r="A2552" s="495" t="s">
        <v>2654</v>
      </c>
      <c r="B2552" s="400" t="s">
        <v>684</v>
      </c>
      <c r="C2552" s="400" t="s">
        <v>97</v>
      </c>
      <c r="D2552" s="400" t="s">
        <v>2617</v>
      </c>
      <c r="E2552" s="400">
        <v>15</v>
      </c>
      <c r="F2552" s="400" t="s">
        <v>2655</v>
      </c>
      <c r="G2552" s="400" t="s">
        <v>2221</v>
      </c>
      <c r="H2552" s="1238"/>
    </row>
    <row r="2553" spans="1:8" hidden="1">
      <c r="A2553" s="495" t="s">
        <v>2654</v>
      </c>
      <c r="B2553" s="400" t="s">
        <v>684</v>
      </c>
      <c r="C2553" s="400" t="s">
        <v>97</v>
      </c>
      <c r="D2553" s="400" t="s">
        <v>2618</v>
      </c>
      <c r="E2553" s="400">
        <v>15</v>
      </c>
      <c r="F2553" s="400" t="s">
        <v>2655</v>
      </c>
      <c r="G2553" s="400" t="s">
        <v>2221</v>
      </c>
      <c r="H2553" s="1238"/>
    </row>
    <row r="2554" spans="1:8" hidden="1">
      <c r="A2554" s="495" t="s">
        <v>2654</v>
      </c>
      <c r="B2554" s="400" t="s">
        <v>684</v>
      </c>
      <c r="C2554" s="400" t="s">
        <v>97</v>
      </c>
      <c r="D2554" s="400" t="s">
        <v>2619</v>
      </c>
      <c r="E2554" s="400">
        <v>15</v>
      </c>
      <c r="F2554" s="400" t="s">
        <v>2655</v>
      </c>
      <c r="G2554" s="400" t="s">
        <v>2221</v>
      </c>
      <c r="H2554" s="1238"/>
    </row>
    <row r="2555" spans="1:8" hidden="1">
      <c r="A2555" s="495" t="s">
        <v>2654</v>
      </c>
      <c r="B2555" s="400" t="s">
        <v>684</v>
      </c>
      <c r="C2555" s="400" t="s">
        <v>97</v>
      </c>
      <c r="D2555" s="400" t="s">
        <v>2620</v>
      </c>
      <c r="E2555" s="400">
        <v>15</v>
      </c>
      <c r="F2555" s="400" t="s">
        <v>2655</v>
      </c>
      <c r="G2555" s="400" t="s">
        <v>2221</v>
      </c>
      <c r="H2555" s="1238"/>
    </row>
    <row r="2556" spans="1:8" hidden="1">
      <c r="A2556" s="495" t="s">
        <v>2654</v>
      </c>
      <c r="B2556" s="400" t="s">
        <v>684</v>
      </c>
      <c r="C2556" s="400" t="s">
        <v>97</v>
      </c>
      <c r="D2556" s="400" t="s">
        <v>2621</v>
      </c>
      <c r="E2556" s="400">
        <v>15</v>
      </c>
      <c r="F2556" s="400" t="s">
        <v>2655</v>
      </c>
      <c r="G2556" s="400" t="s">
        <v>2221</v>
      </c>
      <c r="H2556" s="1238"/>
    </row>
    <row r="2557" spans="1:8" hidden="1">
      <c r="A2557" s="495" t="s">
        <v>2654</v>
      </c>
      <c r="B2557" s="400" t="s">
        <v>684</v>
      </c>
      <c r="C2557" s="400" t="s">
        <v>97</v>
      </c>
      <c r="D2557" s="400" t="s">
        <v>2622</v>
      </c>
      <c r="E2557" s="400">
        <v>15</v>
      </c>
      <c r="F2557" s="400" t="s">
        <v>2655</v>
      </c>
      <c r="G2557" s="400" t="s">
        <v>2221</v>
      </c>
      <c r="H2557" s="1238"/>
    </row>
    <row r="2558" spans="1:8" hidden="1">
      <c r="A2558" s="495" t="s">
        <v>2654</v>
      </c>
      <c r="B2558" s="400" t="s">
        <v>684</v>
      </c>
      <c r="C2558" s="400" t="s">
        <v>97</v>
      </c>
      <c r="D2558" s="400" t="s">
        <v>2623</v>
      </c>
      <c r="E2558" s="400">
        <v>15</v>
      </c>
      <c r="F2558" s="400" t="s">
        <v>2655</v>
      </c>
      <c r="G2558" s="400" t="s">
        <v>2221</v>
      </c>
      <c r="H2558" s="1238"/>
    </row>
    <row r="2559" spans="1:8" hidden="1">
      <c r="A2559" s="495" t="s">
        <v>2654</v>
      </c>
      <c r="B2559" s="400" t="s">
        <v>684</v>
      </c>
      <c r="C2559" s="400" t="s">
        <v>97</v>
      </c>
      <c r="D2559" s="400" t="s">
        <v>2624</v>
      </c>
      <c r="E2559" s="400">
        <v>15</v>
      </c>
      <c r="F2559" s="400" t="s">
        <v>2655</v>
      </c>
      <c r="G2559" s="400" t="s">
        <v>2221</v>
      </c>
      <c r="H2559" s="1238"/>
    </row>
    <row r="2560" spans="1:8" hidden="1">
      <c r="A2560" s="495" t="s">
        <v>2654</v>
      </c>
      <c r="B2560" s="400" t="s">
        <v>684</v>
      </c>
      <c r="C2560" s="400" t="s">
        <v>97</v>
      </c>
      <c r="D2560" s="400" t="s">
        <v>2625</v>
      </c>
      <c r="E2560" s="400">
        <v>15</v>
      </c>
      <c r="F2560" s="400" t="s">
        <v>2655</v>
      </c>
      <c r="G2560" s="400" t="s">
        <v>2221</v>
      </c>
      <c r="H2560" s="1238"/>
    </row>
    <row r="2561" spans="1:8" hidden="1">
      <c r="A2561" s="495" t="s">
        <v>2654</v>
      </c>
      <c r="B2561" s="400" t="s">
        <v>684</v>
      </c>
      <c r="C2561" s="400" t="s">
        <v>97</v>
      </c>
      <c r="D2561" s="400" t="s">
        <v>2626</v>
      </c>
      <c r="E2561" s="400">
        <v>15</v>
      </c>
      <c r="F2561" s="400" t="s">
        <v>2655</v>
      </c>
      <c r="G2561" s="400" t="s">
        <v>2221</v>
      </c>
      <c r="H2561" s="1238"/>
    </row>
    <row r="2562" spans="1:8" hidden="1">
      <c r="A2562" s="495" t="s">
        <v>2654</v>
      </c>
      <c r="B2562" s="400" t="s">
        <v>684</v>
      </c>
      <c r="C2562" s="400" t="s">
        <v>97</v>
      </c>
      <c r="D2562" s="400" t="s">
        <v>2627</v>
      </c>
      <c r="E2562" s="400">
        <v>15</v>
      </c>
      <c r="F2562" s="400" t="s">
        <v>2655</v>
      </c>
      <c r="G2562" s="400" t="s">
        <v>2221</v>
      </c>
      <c r="H2562" s="1238"/>
    </row>
    <row r="2563" spans="1:8" hidden="1">
      <c r="A2563" s="495" t="s">
        <v>2654</v>
      </c>
      <c r="B2563" s="400" t="s">
        <v>684</v>
      </c>
      <c r="C2563" s="400" t="s">
        <v>97</v>
      </c>
      <c r="D2563" s="400" t="s">
        <v>2628</v>
      </c>
      <c r="E2563" s="400">
        <v>15</v>
      </c>
      <c r="F2563" s="400" t="s">
        <v>2655</v>
      </c>
      <c r="G2563" s="400" t="s">
        <v>2221</v>
      </c>
      <c r="H2563" s="1238"/>
    </row>
    <row r="2564" spans="1:8" hidden="1">
      <c r="A2564" s="495" t="s">
        <v>2654</v>
      </c>
      <c r="B2564" s="400" t="s">
        <v>684</v>
      </c>
      <c r="C2564" s="400" t="s">
        <v>97</v>
      </c>
      <c r="D2564" s="400" t="s">
        <v>2629</v>
      </c>
      <c r="E2564" s="400">
        <v>15</v>
      </c>
      <c r="F2564" s="400" t="s">
        <v>2655</v>
      </c>
      <c r="G2564" s="400" t="s">
        <v>2221</v>
      </c>
      <c r="H2564" s="1238"/>
    </row>
    <row r="2565" spans="1:8" hidden="1">
      <c r="A2565" s="495" t="s">
        <v>2654</v>
      </c>
      <c r="B2565" s="400" t="s">
        <v>684</v>
      </c>
      <c r="C2565" s="400" t="s">
        <v>97</v>
      </c>
      <c r="D2565" s="400" t="s">
        <v>2630</v>
      </c>
      <c r="E2565" s="400">
        <v>15</v>
      </c>
      <c r="F2565" s="400" t="s">
        <v>2655</v>
      </c>
      <c r="G2565" s="400" t="s">
        <v>2221</v>
      </c>
      <c r="H2565" s="1238"/>
    </row>
    <row r="2566" spans="1:8" hidden="1">
      <c r="A2566" s="495" t="s">
        <v>2654</v>
      </c>
      <c r="B2566" s="400" t="s">
        <v>684</v>
      </c>
      <c r="C2566" s="400" t="s">
        <v>97</v>
      </c>
      <c r="D2566" s="400" t="s">
        <v>2631</v>
      </c>
      <c r="E2566" s="400">
        <v>15</v>
      </c>
      <c r="F2566" s="400" t="s">
        <v>2655</v>
      </c>
      <c r="G2566" s="400" t="s">
        <v>2221</v>
      </c>
      <c r="H2566" s="1238"/>
    </row>
    <row r="2567" spans="1:8" hidden="1">
      <c r="A2567" s="495" t="s">
        <v>2654</v>
      </c>
      <c r="B2567" s="400" t="s">
        <v>684</v>
      </c>
      <c r="C2567" s="400" t="s">
        <v>97</v>
      </c>
      <c r="D2567" s="400" t="s">
        <v>2632</v>
      </c>
      <c r="E2567" s="400">
        <v>15</v>
      </c>
      <c r="F2567" s="400" t="s">
        <v>2655</v>
      </c>
      <c r="G2567" s="400" t="s">
        <v>2221</v>
      </c>
      <c r="H2567" s="1238"/>
    </row>
    <row r="2568" spans="1:8" hidden="1">
      <c r="A2568" s="495" t="s">
        <v>2654</v>
      </c>
      <c r="B2568" s="400" t="s">
        <v>684</v>
      </c>
      <c r="C2568" s="400" t="s">
        <v>97</v>
      </c>
      <c r="D2568" s="400" t="s">
        <v>2633</v>
      </c>
      <c r="E2568" s="400">
        <v>15</v>
      </c>
      <c r="F2568" s="400" t="s">
        <v>2655</v>
      </c>
      <c r="G2568" s="400" t="s">
        <v>2221</v>
      </c>
      <c r="H2568" s="1238"/>
    </row>
    <row r="2569" spans="1:8" hidden="1">
      <c r="A2569" s="495" t="s">
        <v>2654</v>
      </c>
      <c r="B2569" s="400" t="s">
        <v>684</v>
      </c>
      <c r="C2569" s="400" t="s">
        <v>97</v>
      </c>
      <c r="D2569" s="400" t="s">
        <v>2634</v>
      </c>
      <c r="E2569" s="400">
        <v>15</v>
      </c>
      <c r="F2569" s="400" t="s">
        <v>2655</v>
      </c>
      <c r="G2569" s="400" t="s">
        <v>2221</v>
      </c>
      <c r="H2569" s="1238"/>
    </row>
    <row r="2570" spans="1:8" hidden="1">
      <c r="A2570" s="495" t="s">
        <v>2654</v>
      </c>
      <c r="B2570" s="400" t="s">
        <v>684</v>
      </c>
      <c r="C2570" s="400" t="s">
        <v>97</v>
      </c>
      <c r="D2570" s="400" t="s">
        <v>2635</v>
      </c>
      <c r="E2570" s="400">
        <v>15</v>
      </c>
      <c r="F2570" s="400" t="s">
        <v>2655</v>
      </c>
      <c r="G2570" s="400" t="s">
        <v>2221</v>
      </c>
      <c r="H2570" s="1238"/>
    </row>
    <row r="2571" spans="1:8" hidden="1">
      <c r="A2571" s="495" t="s">
        <v>2654</v>
      </c>
      <c r="B2571" s="400" t="s">
        <v>684</v>
      </c>
      <c r="C2571" s="400" t="s">
        <v>97</v>
      </c>
      <c r="D2571" s="400" t="s">
        <v>2636</v>
      </c>
      <c r="E2571" s="400">
        <v>15</v>
      </c>
      <c r="F2571" s="400" t="s">
        <v>2655</v>
      </c>
      <c r="G2571" s="400" t="s">
        <v>2221</v>
      </c>
      <c r="H2571" s="1238"/>
    </row>
    <row r="2572" spans="1:8" hidden="1">
      <c r="A2572" s="495" t="s">
        <v>2654</v>
      </c>
      <c r="B2572" s="400" t="s">
        <v>684</v>
      </c>
      <c r="C2572" s="400" t="s">
        <v>97</v>
      </c>
      <c r="D2572" s="400" t="s">
        <v>2637</v>
      </c>
      <c r="E2572" s="400">
        <v>15</v>
      </c>
      <c r="F2572" s="400" t="s">
        <v>2655</v>
      </c>
      <c r="G2572" s="400" t="s">
        <v>2221</v>
      </c>
      <c r="H2572" s="1238"/>
    </row>
    <row r="2573" spans="1:8" hidden="1">
      <c r="A2573" s="495" t="s">
        <v>2654</v>
      </c>
      <c r="B2573" s="400" t="s">
        <v>684</v>
      </c>
      <c r="C2573" s="400" t="s">
        <v>97</v>
      </c>
      <c r="D2573" s="400" t="s">
        <v>2638</v>
      </c>
      <c r="E2573" s="400">
        <v>15</v>
      </c>
      <c r="F2573" s="400" t="s">
        <v>2655</v>
      </c>
      <c r="G2573" s="400" t="s">
        <v>2221</v>
      </c>
      <c r="H2573" s="1238"/>
    </row>
    <row r="2574" spans="1:8" hidden="1">
      <c r="A2574" s="495" t="s">
        <v>2654</v>
      </c>
      <c r="B2574" s="400" t="s">
        <v>684</v>
      </c>
      <c r="C2574" s="400" t="s">
        <v>97</v>
      </c>
      <c r="D2574" s="400" t="s">
        <v>2639</v>
      </c>
      <c r="E2574" s="400">
        <v>15</v>
      </c>
      <c r="F2574" s="400" t="s">
        <v>2655</v>
      </c>
      <c r="G2574" s="400" t="s">
        <v>2221</v>
      </c>
      <c r="H2574" s="1238"/>
    </row>
    <row r="2575" spans="1:8" hidden="1">
      <c r="A2575" s="495" t="s">
        <v>2654</v>
      </c>
      <c r="B2575" s="400" t="s">
        <v>684</v>
      </c>
      <c r="C2575" s="400" t="s">
        <v>97</v>
      </c>
      <c r="D2575" s="400" t="s">
        <v>2640</v>
      </c>
      <c r="E2575" s="400">
        <v>15</v>
      </c>
      <c r="F2575" s="400" t="s">
        <v>2655</v>
      </c>
      <c r="G2575" s="400" t="s">
        <v>2221</v>
      </c>
      <c r="H2575" s="1238"/>
    </row>
    <row r="2576" spans="1:8" hidden="1">
      <c r="A2576" s="497" t="s">
        <v>2654</v>
      </c>
      <c r="B2576" s="405" t="s">
        <v>684</v>
      </c>
      <c r="C2576" s="405" t="s">
        <v>97</v>
      </c>
      <c r="D2576" s="405" t="s">
        <v>2641</v>
      </c>
      <c r="E2576" s="405">
        <v>15</v>
      </c>
      <c r="F2576" s="405" t="s">
        <v>2655</v>
      </c>
      <c r="G2576" s="405" t="s">
        <v>2221</v>
      </c>
      <c r="H2576" s="1239"/>
    </row>
    <row r="2577" spans="1:8">
      <c r="A2577" s="498" t="s">
        <v>2654</v>
      </c>
      <c r="B2577" s="406" t="s">
        <v>684</v>
      </c>
      <c r="C2577" s="406" t="s">
        <v>2659</v>
      </c>
      <c r="D2577" s="406">
        <v>20</v>
      </c>
      <c r="E2577" s="406">
        <v>1</v>
      </c>
      <c r="F2577" s="406" t="s">
        <v>2643</v>
      </c>
      <c r="G2577" s="406" t="s">
        <v>2221</v>
      </c>
      <c r="H2577" s="1234" t="s">
        <v>2660</v>
      </c>
    </row>
    <row r="2578" spans="1:8">
      <c r="A2578" s="495" t="s">
        <v>2654</v>
      </c>
      <c r="B2578" s="399" t="s">
        <v>684</v>
      </c>
      <c r="C2578" s="399" t="s">
        <v>2659</v>
      </c>
      <c r="D2578" s="399">
        <v>51</v>
      </c>
      <c r="E2578" s="399">
        <v>1</v>
      </c>
      <c r="F2578" s="399" t="s">
        <v>2643</v>
      </c>
      <c r="G2578" s="399" t="s">
        <v>2221</v>
      </c>
      <c r="H2578" s="1235"/>
    </row>
    <row r="2579" spans="1:8">
      <c r="A2579" s="495" t="s">
        <v>2654</v>
      </c>
      <c r="B2579" s="399" t="s">
        <v>684</v>
      </c>
      <c r="C2579" s="399" t="s">
        <v>2659</v>
      </c>
      <c r="D2579" s="399">
        <v>71</v>
      </c>
      <c r="E2579" s="399">
        <v>1</v>
      </c>
      <c r="F2579" s="399" t="s">
        <v>2643</v>
      </c>
      <c r="G2579" s="399" t="s">
        <v>2221</v>
      </c>
      <c r="H2579" s="1235"/>
    </row>
    <row r="2580" spans="1:8">
      <c r="A2580" s="495" t="s">
        <v>2654</v>
      </c>
      <c r="B2580" s="399" t="s">
        <v>684</v>
      </c>
      <c r="C2580" s="399" t="s">
        <v>2659</v>
      </c>
      <c r="D2580" s="399">
        <v>1000</v>
      </c>
      <c r="E2580" s="399">
        <v>1</v>
      </c>
      <c r="F2580" s="399" t="s">
        <v>2643</v>
      </c>
      <c r="G2580" s="399" t="s">
        <v>2221</v>
      </c>
      <c r="H2580" s="1235"/>
    </row>
    <row r="2581" spans="1:8">
      <c r="A2581" s="495" t="s">
        <v>2654</v>
      </c>
      <c r="B2581" s="399" t="s">
        <v>684</v>
      </c>
      <c r="C2581" s="399" t="s">
        <v>2659</v>
      </c>
      <c r="D2581" s="399">
        <v>1001</v>
      </c>
      <c r="E2581" s="399">
        <v>1</v>
      </c>
      <c r="F2581" s="399" t="s">
        <v>2643</v>
      </c>
      <c r="G2581" s="399" t="s">
        <v>2221</v>
      </c>
      <c r="H2581" s="1235"/>
    </row>
    <row r="2582" spans="1:8">
      <c r="A2582" s="495" t="s">
        <v>2654</v>
      </c>
      <c r="B2582" s="399" t="s">
        <v>684</v>
      </c>
      <c r="C2582" s="399" t="s">
        <v>2659</v>
      </c>
      <c r="D2582" s="399">
        <v>1003</v>
      </c>
      <c r="E2582" s="399">
        <v>1</v>
      </c>
      <c r="F2582" s="399" t="s">
        <v>2643</v>
      </c>
      <c r="G2582" s="399" t="s">
        <v>2221</v>
      </c>
      <c r="H2582" s="1235"/>
    </row>
    <row r="2583" spans="1:8">
      <c r="A2583" s="495" t="s">
        <v>2654</v>
      </c>
      <c r="B2583" s="399" t="s">
        <v>684</v>
      </c>
      <c r="C2583" s="399" t="s">
        <v>2659</v>
      </c>
      <c r="D2583" s="399">
        <v>2001</v>
      </c>
      <c r="E2583" s="399">
        <v>1</v>
      </c>
      <c r="F2583" s="399" t="s">
        <v>2643</v>
      </c>
      <c r="G2583" s="399" t="s">
        <v>2221</v>
      </c>
      <c r="H2583" s="1235"/>
    </row>
    <row r="2584" spans="1:8">
      <c r="A2584" s="495" t="s">
        <v>2654</v>
      </c>
      <c r="B2584" s="399" t="s">
        <v>684</v>
      </c>
      <c r="C2584" s="399" t="s">
        <v>2659</v>
      </c>
      <c r="D2584" s="399">
        <v>2002</v>
      </c>
      <c r="E2584" s="399">
        <v>1</v>
      </c>
      <c r="F2584" s="399" t="s">
        <v>2643</v>
      </c>
      <c r="G2584" s="399" t="s">
        <v>2221</v>
      </c>
      <c r="H2584" s="1235"/>
    </row>
    <row r="2585" spans="1:8">
      <c r="A2585" s="495" t="s">
        <v>2654</v>
      </c>
      <c r="B2585" s="399" t="s">
        <v>684</v>
      </c>
      <c r="C2585" s="399" t="s">
        <v>2659</v>
      </c>
      <c r="D2585" s="399">
        <v>2003</v>
      </c>
      <c r="E2585" s="399">
        <v>1</v>
      </c>
      <c r="F2585" s="399" t="s">
        <v>2643</v>
      </c>
      <c r="G2585" s="399" t="s">
        <v>2221</v>
      </c>
      <c r="H2585" s="1235"/>
    </row>
    <row r="2586" spans="1:8">
      <c r="A2586" s="495" t="s">
        <v>2654</v>
      </c>
      <c r="B2586" s="399" t="s">
        <v>684</v>
      </c>
      <c r="C2586" s="399" t="s">
        <v>2659</v>
      </c>
      <c r="D2586" s="399">
        <v>2004</v>
      </c>
      <c r="E2586" s="399">
        <v>1</v>
      </c>
      <c r="F2586" s="399" t="s">
        <v>2643</v>
      </c>
      <c r="G2586" s="399" t="s">
        <v>2221</v>
      </c>
      <c r="H2586" s="1235"/>
    </row>
    <row r="2587" spans="1:8">
      <c r="A2587" s="495" t="s">
        <v>2654</v>
      </c>
      <c r="B2587" s="399" t="s">
        <v>684</v>
      </c>
      <c r="C2587" s="399" t="s">
        <v>2659</v>
      </c>
      <c r="D2587" s="399">
        <v>2005</v>
      </c>
      <c r="E2587" s="399">
        <v>1</v>
      </c>
      <c r="F2587" s="399" t="s">
        <v>2643</v>
      </c>
      <c r="G2587" s="399" t="s">
        <v>2221</v>
      </c>
      <c r="H2587" s="1235"/>
    </row>
    <row r="2588" spans="1:8">
      <c r="A2588" s="495" t="s">
        <v>2654</v>
      </c>
      <c r="B2588" s="399" t="s">
        <v>684</v>
      </c>
      <c r="C2588" s="399" t="s">
        <v>2659</v>
      </c>
      <c r="D2588" s="399">
        <v>2006</v>
      </c>
      <c r="E2588" s="399">
        <v>1</v>
      </c>
      <c r="F2588" s="399" t="s">
        <v>2643</v>
      </c>
      <c r="G2588" s="399" t="s">
        <v>2221</v>
      </c>
      <c r="H2588" s="1235"/>
    </row>
    <row r="2589" spans="1:8">
      <c r="A2589" s="495" t="s">
        <v>2654</v>
      </c>
      <c r="B2589" s="399" t="s">
        <v>684</v>
      </c>
      <c r="C2589" s="399" t="s">
        <v>2659</v>
      </c>
      <c r="D2589" s="399">
        <v>2007</v>
      </c>
      <c r="E2589" s="399">
        <v>1</v>
      </c>
      <c r="F2589" s="399" t="s">
        <v>2643</v>
      </c>
      <c r="G2589" s="399" t="s">
        <v>2221</v>
      </c>
      <c r="H2589" s="1235"/>
    </row>
    <row r="2590" spans="1:8">
      <c r="A2590" s="495" t="s">
        <v>2654</v>
      </c>
      <c r="B2590" s="399" t="s">
        <v>684</v>
      </c>
      <c r="C2590" s="399" t="s">
        <v>2659</v>
      </c>
      <c r="D2590" s="399">
        <v>2008</v>
      </c>
      <c r="E2590" s="399">
        <v>1</v>
      </c>
      <c r="F2590" s="399" t="s">
        <v>2643</v>
      </c>
      <c r="G2590" s="399" t="s">
        <v>2221</v>
      </c>
      <c r="H2590" s="1235"/>
    </row>
    <row r="2591" spans="1:8">
      <c r="A2591" s="495" t="s">
        <v>2654</v>
      </c>
      <c r="B2591" s="399" t="s">
        <v>684</v>
      </c>
      <c r="C2591" s="399" t="s">
        <v>2659</v>
      </c>
      <c r="D2591" s="399">
        <v>2009</v>
      </c>
      <c r="E2591" s="399">
        <v>1</v>
      </c>
      <c r="F2591" s="399" t="s">
        <v>2643</v>
      </c>
      <c r="G2591" s="399" t="s">
        <v>2221</v>
      </c>
      <c r="H2591" s="1235"/>
    </row>
    <row r="2592" spans="1:8">
      <c r="A2592" s="495" t="s">
        <v>2654</v>
      </c>
      <c r="B2592" s="399" t="s">
        <v>684</v>
      </c>
      <c r="C2592" s="399" t="s">
        <v>2659</v>
      </c>
      <c r="D2592" s="399">
        <v>2010</v>
      </c>
      <c r="E2592" s="399">
        <v>1</v>
      </c>
      <c r="F2592" s="399" t="s">
        <v>2643</v>
      </c>
      <c r="G2592" s="399" t="s">
        <v>2221</v>
      </c>
      <c r="H2592" s="1235"/>
    </row>
    <row r="2593" spans="1:8">
      <c r="A2593" s="495" t="s">
        <v>2654</v>
      </c>
      <c r="B2593" s="399" t="s">
        <v>684</v>
      </c>
      <c r="C2593" s="399" t="s">
        <v>2659</v>
      </c>
      <c r="D2593" s="399">
        <v>2011</v>
      </c>
      <c r="E2593" s="399">
        <v>1</v>
      </c>
      <c r="F2593" s="399" t="s">
        <v>2643</v>
      </c>
      <c r="G2593" s="399" t="s">
        <v>2221</v>
      </c>
      <c r="H2593" s="1235"/>
    </row>
    <row r="2594" spans="1:8">
      <c r="A2594" s="495" t="s">
        <v>2654</v>
      </c>
      <c r="B2594" s="399" t="s">
        <v>684</v>
      </c>
      <c r="C2594" s="399" t="s">
        <v>2659</v>
      </c>
      <c r="D2594" s="399">
        <v>2012</v>
      </c>
      <c r="E2594" s="399">
        <v>1</v>
      </c>
      <c r="F2594" s="399" t="s">
        <v>2643</v>
      </c>
      <c r="G2594" s="399" t="s">
        <v>2221</v>
      </c>
      <c r="H2594" s="1235"/>
    </row>
    <row r="2595" spans="1:8">
      <c r="A2595" s="495" t="s">
        <v>2654</v>
      </c>
      <c r="B2595" s="399" t="s">
        <v>684</v>
      </c>
      <c r="C2595" s="399" t="s">
        <v>2659</v>
      </c>
      <c r="D2595" s="399">
        <v>2013</v>
      </c>
      <c r="E2595" s="399">
        <v>1</v>
      </c>
      <c r="F2595" s="399" t="s">
        <v>2643</v>
      </c>
      <c r="G2595" s="399" t="s">
        <v>2221</v>
      </c>
      <c r="H2595" s="1235"/>
    </row>
    <row r="2596" spans="1:8">
      <c r="A2596" s="495" t="s">
        <v>2654</v>
      </c>
      <c r="B2596" s="399" t="s">
        <v>684</v>
      </c>
      <c r="C2596" s="399" t="s">
        <v>2659</v>
      </c>
      <c r="D2596" s="399">
        <v>2014</v>
      </c>
      <c r="E2596" s="399">
        <v>1</v>
      </c>
      <c r="F2596" s="399" t="s">
        <v>2643</v>
      </c>
      <c r="G2596" s="399" t="s">
        <v>2221</v>
      </c>
      <c r="H2596" s="1235"/>
    </row>
    <row r="2597" spans="1:8">
      <c r="A2597" s="495" t="s">
        <v>2654</v>
      </c>
      <c r="B2597" s="399" t="s">
        <v>684</v>
      </c>
      <c r="C2597" s="399" t="s">
        <v>2659</v>
      </c>
      <c r="D2597" s="399">
        <v>2015</v>
      </c>
      <c r="E2597" s="399">
        <v>1</v>
      </c>
      <c r="F2597" s="399" t="s">
        <v>2643</v>
      </c>
      <c r="G2597" s="399" t="s">
        <v>2221</v>
      </c>
      <c r="H2597" s="1235"/>
    </row>
    <row r="2598" spans="1:8">
      <c r="A2598" s="495" t="s">
        <v>2654</v>
      </c>
      <c r="B2598" s="399" t="s">
        <v>684</v>
      </c>
      <c r="C2598" s="399" t="s">
        <v>2659</v>
      </c>
      <c r="D2598" s="399">
        <v>2016</v>
      </c>
      <c r="E2598" s="399">
        <v>1</v>
      </c>
      <c r="F2598" s="399" t="s">
        <v>2643</v>
      </c>
      <c r="G2598" s="399" t="s">
        <v>2221</v>
      </c>
      <c r="H2598" s="1235"/>
    </row>
    <row r="2599" spans="1:8">
      <c r="A2599" s="495" t="s">
        <v>2654</v>
      </c>
      <c r="B2599" s="399" t="s">
        <v>684</v>
      </c>
      <c r="C2599" s="399" t="s">
        <v>2659</v>
      </c>
      <c r="D2599" s="399">
        <v>2017</v>
      </c>
      <c r="E2599" s="399">
        <v>1</v>
      </c>
      <c r="F2599" s="399" t="s">
        <v>2643</v>
      </c>
      <c r="G2599" s="399" t="s">
        <v>2221</v>
      </c>
      <c r="H2599" s="1235"/>
    </row>
    <row r="2600" spans="1:8">
      <c r="A2600" s="495" t="s">
        <v>2654</v>
      </c>
      <c r="B2600" s="399" t="s">
        <v>684</v>
      </c>
      <c r="C2600" s="399" t="s">
        <v>2659</v>
      </c>
      <c r="D2600" s="399">
        <v>2018</v>
      </c>
      <c r="E2600" s="399">
        <v>1</v>
      </c>
      <c r="F2600" s="399" t="s">
        <v>2643</v>
      </c>
      <c r="G2600" s="399" t="s">
        <v>2221</v>
      </c>
      <c r="H2600" s="1235"/>
    </row>
    <row r="2601" spans="1:8">
      <c r="A2601" s="495" t="s">
        <v>2654</v>
      </c>
      <c r="B2601" s="399" t="s">
        <v>684</v>
      </c>
      <c r="C2601" s="399" t="s">
        <v>2659</v>
      </c>
      <c r="D2601" s="399">
        <v>2019</v>
      </c>
      <c r="E2601" s="399">
        <v>1</v>
      </c>
      <c r="F2601" s="399" t="s">
        <v>2643</v>
      </c>
      <c r="G2601" s="399" t="s">
        <v>2221</v>
      </c>
      <c r="H2601" s="1235"/>
    </row>
    <row r="2602" spans="1:8">
      <c r="A2602" s="497" t="s">
        <v>2654</v>
      </c>
      <c r="B2602" s="404" t="s">
        <v>684</v>
      </c>
      <c r="C2602" s="404" t="s">
        <v>2659</v>
      </c>
      <c r="D2602" s="404">
        <v>2020</v>
      </c>
      <c r="E2602" s="404">
        <v>1</v>
      </c>
      <c r="F2602" s="404" t="s">
        <v>2643</v>
      </c>
      <c r="G2602" s="404" t="s">
        <v>2221</v>
      </c>
      <c r="H2602" s="1236"/>
    </row>
    <row r="2603" spans="1:8" hidden="1">
      <c r="A2603" s="498" t="s">
        <v>2661</v>
      </c>
      <c r="B2603" s="407" t="s">
        <v>684</v>
      </c>
      <c r="C2603" s="407" t="s">
        <v>72</v>
      </c>
      <c r="D2603" s="407">
        <v>14</v>
      </c>
      <c r="E2603" s="407" t="s">
        <v>2662</v>
      </c>
      <c r="F2603" s="407" t="s">
        <v>2662</v>
      </c>
      <c r="G2603" s="407" t="s">
        <v>2221</v>
      </c>
      <c r="H2603" s="1240" t="s">
        <v>2663</v>
      </c>
    </row>
    <row r="2604" spans="1:8" hidden="1">
      <c r="A2604" s="495" t="s">
        <v>2661</v>
      </c>
      <c r="B2604" s="400" t="s">
        <v>684</v>
      </c>
      <c r="C2604" s="400" t="s">
        <v>72</v>
      </c>
      <c r="D2604" s="400">
        <v>18</v>
      </c>
      <c r="E2604" s="400" t="s">
        <v>2664</v>
      </c>
      <c r="F2604" s="400" t="s">
        <v>2664</v>
      </c>
      <c r="G2604" s="400" t="s">
        <v>2221</v>
      </c>
      <c r="H2604" s="1238"/>
    </row>
    <row r="2605" spans="1:8" hidden="1">
      <c r="A2605" s="495" t="s">
        <v>2661</v>
      </c>
      <c r="B2605" s="400" t="s">
        <v>684</v>
      </c>
      <c r="C2605" s="400" t="s">
        <v>72</v>
      </c>
      <c r="D2605" s="400">
        <v>19</v>
      </c>
      <c r="E2605" s="400" t="s">
        <v>2665</v>
      </c>
      <c r="F2605" s="400" t="s">
        <v>2666</v>
      </c>
      <c r="G2605" s="400" t="s">
        <v>2221</v>
      </c>
      <c r="H2605" s="1238"/>
    </row>
    <row r="2606" spans="1:8" hidden="1">
      <c r="A2606" s="497" t="s">
        <v>2661</v>
      </c>
      <c r="B2606" s="405" t="s">
        <v>684</v>
      </c>
      <c r="C2606" s="405" t="s">
        <v>72</v>
      </c>
      <c r="D2606" s="405">
        <v>20</v>
      </c>
      <c r="E2606" s="405" t="s">
        <v>2667</v>
      </c>
      <c r="F2606" s="405" t="s">
        <v>2667</v>
      </c>
      <c r="G2606" s="405" t="s">
        <v>2221</v>
      </c>
      <c r="H2606" s="1238"/>
    </row>
    <row r="2607" spans="1:8" ht="15" hidden="1" customHeight="1">
      <c r="A2607" s="498" t="s">
        <v>2292</v>
      </c>
      <c r="B2607" s="406" t="s">
        <v>835</v>
      </c>
      <c r="C2607" s="406" t="s">
        <v>88</v>
      </c>
      <c r="D2607" s="406" t="s">
        <v>2668</v>
      </c>
      <c r="E2607" s="406" t="s">
        <v>2669</v>
      </c>
      <c r="F2607" s="406" t="s">
        <v>2670</v>
      </c>
      <c r="G2607" s="406" t="s">
        <v>2221</v>
      </c>
      <c r="H2607" s="1228" t="s">
        <v>2671</v>
      </c>
    </row>
    <row r="2608" spans="1:8" hidden="1">
      <c r="A2608" s="495" t="s">
        <v>2292</v>
      </c>
      <c r="B2608" s="399" t="s">
        <v>835</v>
      </c>
      <c r="C2608" s="399" t="s">
        <v>88</v>
      </c>
      <c r="D2608" s="399" t="s">
        <v>2288</v>
      </c>
      <c r="E2608" s="399" t="s">
        <v>2672</v>
      </c>
      <c r="F2608" s="399" t="s">
        <v>2673</v>
      </c>
      <c r="G2608" s="399" t="s">
        <v>2221</v>
      </c>
      <c r="H2608" s="1229"/>
    </row>
    <row r="2609" spans="1:8" hidden="1">
      <c r="A2609" s="495" t="s">
        <v>2292</v>
      </c>
      <c r="B2609" s="399" t="s">
        <v>835</v>
      </c>
      <c r="C2609" s="399" t="s">
        <v>88</v>
      </c>
      <c r="D2609" s="399" t="s">
        <v>2674</v>
      </c>
      <c r="E2609" s="399" t="s">
        <v>2675</v>
      </c>
      <c r="F2609" s="399" t="s">
        <v>2676</v>
      </c>
      <c r="G2609" s="399" t="s">
        <v>2221</v>
      </c>
      <c r="H2609" s="1229"/>
    </row>
    <row r="2610" spans="1:8" hidden="1">
      <c r="A2610" s="495" t="s">
        <v>2292</v>
      </c>
      <c r="B2610" s="399" t="s">
        <v>835</v>
      </c>
      <c r="C2610" s="399" t="s">
        <v>88</v>
      </c>
      <c r="D2610" s="399" t="s">
        <v>2288</v>
      </c>
      <c r="E2610" s="399" t="s">
        <v>2677</v>
      </c>
      <c r="F2610" s="399" t="s">
        <v>2678</v>
      </c>
      <c r="G2610" s="399" t="s">
        <v>2221</v>
      </c>
      <c r="H2610" s="1229"/>
    </row>
    <row r="2611" spans="1:8" hidden="1">
      <c r="A2611" s="495" t="s">
        <v>2292</v>
      </c>
      <c r="B2611" s="399" t="s">
        <v>835</v>
      </c>
      <c r="C2611" s="399" t="s">
        <v>88</v>
      </c>
      <c r="D2611" s="399" t="s">
        <v>2679</v>
      </c>
      <c r="E2611" s="399" t="s">
        <v>2680</v>
      </c>
      <c r="F2611" s="399" t="s">
        <v>2681</v>
      </c>
      <c r="G2611" s="399" t="s">
        <v>2221</v>
      </c>
      <c r="H2611" s="1229"/>
    </row>
    <row r="2612" spans="1:8" hidden="1">
      <c r="A2612" s="495" t="s">
        <v>2292</v>
      </c>
      <c r="B2612" s="399" t="s">
        <v>835</v>
      </c>
      <c r="C2612" s="399" t="s">
        <v>88</v>
      </c>
      <c r="D2612" s="399" t="s">
        <v>2288</v>
      </c>
      <c r="E2612" s="399" t="s">
        <v>2682</v>
      </c>
      <c r="F2612" s="399" t="s">
        <v>2683</v>
      </c>
      <c r="G2612" s="399" t="s">
        <v>2221</v>
      </c>
      <c r="H2612" s="1229"/>
    </row>
    <row r="2613" spans="1:8" hidden="1">
      <c r="A2613" s="495" t="s">
        <v>2292</v>
      </c>
      <c r="B2613" s="399" t="s">
        <v>835</v>
      </c>
      <c r="C2613" s="399" t="s">
        <v>88</v>
      </c>
      <c r="D2613" s="399" t="s">
        <v>2684</v>
      </c>
      <c r="E2613" s="399" t="s">
        <v>2685</v>
      </c>
      <c r="F2613" s="399" t="s">
        <v>2686</v>
      </c>
      <c r="G2613" s="399" t="s">
        <v>2221</v>
      </c>
      <c r="H2613" s="1229"/>
    </row>
    <row r="2614" spans="1:8" hidden="1">
      <c r="A2614" s="495" t="s">
        <v>2292</v>
      </c>
      <c r="B2614" s="399" t="s">
        <v>835</v>
      </c>
      <c r="C2614" s="399" t="s">
        <v>88</v>
      </c>
      <c r="D2614" s="399" t="s">
        <v>2288</v>
      </c>
      <c r="E2614" s="399" t="s">
        <v>2687</v>
      </c>
      <c r="F2614" s="399" t="s">
        <v>2688</v>
      </c>
      <c r="G2614" s="399" t="s">
        <v>2221</v>
      </c>
      <c r="H2614" s="1229"/>
    </row>
    <row r="2615" spans="1:8" hidden="1">
      <c r="A2615" s="495" t="s">
        <v>2292</v>
      </c>
      <c r="B2615" s="399" t="s">
        <v>835</v>
      </c>
      <c r="C2615" s="399" t="s">
        <v>88</v>
      </c>
      <c r="D2615" s="399" t="s">
        <v>2288</v>
      </c>
      <c r="E2615" s="399" t="s">
        <v>2689</v>
      </c>
      <c r="F2615" s="399" t="s">
        <v>2690</v>
      </c>
      <c r="G2615" s="399" t="s">
        <v>2221</v>
      </c>
      <c r="H2615" s="1229"/>
    </row>
    <row r="2616" spans="1:8" hidden="1">
      <c r="A2616" s="495" t="s">
        <v>2292</v>
      </c>
      <c r="B2616" s="399" t="s">
        <v>835</v>
      </c>
      <c r="C2616" s="399" t="s">
        <v>88</v>
      </c>
      <c r="D2616" s="399" t="s">
        <v>2288</v>
      </c>
      <c r="E2616" s="399" t="s">
        <v>2691</v>
      </c>
      <c r="F2616" s="399" t="s">
        <v>2692</v>
      </c>
      <c r="G2616" s="399" t="s">
        <v>2221</v>
      </c>
      <c r="H2616" s="1229"/>
    </row>
    <row r="2617" spans="1:8" hidden="1">
      <c r="A2617" s="495" t="s">
        <v>2292</v>
      </c>
      <c r="B2617" s="399" t="s">
        <v>835</v>
      </c>
      <c r="C2617" s="399" t="s">
        <v>88</v>
      </c>
      <c r="D2617" s="400" t="s">
        <v>2288</v>
      </c>
      <c r="E2617" s="400" t="s">
        <v>2693</v>
      </c>
      <c r="F2617" s="400" t="s">
        <v>2694</v>
      </c>
      <c r="G2617" s="400" t="s">
        <v>2695</v>
      </c>
      <c r="H2617" s="1229"/>
    </row>
    <row r="2618" spans="1:8" hidden="1">
      <c r="A2618" s="495" t="s">
        <v>2292</v>
      </c>
      <c r="B2618" s="399" t="s">
        <v>835</v>
      </c>
      <c r="C2618" s="399" t="s">
        <v>88</v>
      </c>
      <c r="D2618" s="399" t="s">
        <v>2696</v>
      </c>
      <c r="E2618" s="399" t="s">
        <v>2697</v>
      </c>
      <c r="F2618" s="399" t="s">
        <v>2698</v>
      </c>
      <c r="G2618" s="399" t="s">
        <v>2221</v>
      </c>
      <c r="H2618" s="1229"/>
    </row>
    <row r="2619" spans="1:8" hidden="1">
      <c r="A2619" s="495" t="s">
        <v>2292</v>
      </c>
      <c r="B2619" s="399" t="s">
        <v>835</v>
      </c>
      <c r="C2619" s="399" t="s">
        <v>88</v>
      </c>
      <c r="D2619" s="399" t="s">
        <v>2699</v>
      </c>
      <c r="E2619" s="399" t="s">
        <v>2697</v>
      </c>
      <c r="F2619" s="399" t="s">
        <v>2698</v>
      </c>
      <c r="G2619" s="399" t="s">
        <v>2221</v>
      </c>
      <c r="H2619" s="1229"/>
    </row>
    <row r="2620" spans="1:8" hidden="1">
      <c r="A2620" s="495" t="s">
        <v>2292</v>
      </c>
      <c r="B2620" s="399" t="s">
        <v>835</v>
      </c>
      <c r="C2620" s="399" t="s">
        <v>88</v>
      </c>
      <c r="D2620" s="399" t="s">
        <v>2288</v>
      </c>
      <c r="E2620" s="399" t="s">
        <v>2700</v>
      </c>
      <c r="F2620" s="399" t="s">
        <v>2701</v>
      </c>
      <c r="G2620" s="399" t="s">
        <v>2221</v>
      </c>
      <c r="H2620" s="1229"/>
    </row>
    <row r="2621" spans="1:8" hidden="1">
      <c r="A2621" s="495" t="s">
        <v>2292</v>
      </c>
      <c r="B2621" s="399" t="s">
        <v>835</v>
      </c>
      <c r="C2621" s="399" t="s">
        <v>88</v>
      </c>
      <c r="D2621" s="399" t="s">
        <v>2702</v>
      </c>
      <c r="E2621" s="399" t="s">
        <v>2703</v>
      </c>
      <c r="F2621" s="399" t="s">
        <v>2704</v>
      </c>
      <c r="G2621" s="399" t="s">
        <v>2221</v>
      </c>
      <c r="H2621" s="1229"/>
    </row>
    <row r="2622" spans="1:8" hidden="1">
      <c r="A2622" s="495" t="s">
        <v>2292</v>
      </c>
      <c r="B2622" s="399" t="s">
        <v>835</v>
      </c>
      <c r="C2622" s="399" t="s">
        <v>88</v>
      </c>
      <c r="D2622" s="399" t="s">
        <v>2288</v>
      </c>
      <c r="E2622" s="399" t="s">
        <v>2705</v>
      </c>
      <c r="F2622" s="399" t="s">
        <v>2706</v>
      </c>
      <c r="G2622" s="399" t="s">
        <v>2221</v>
      </c>
      <c r="H2622" s="1229"/>
    </row>
    <row r="2623" spans="1:8" hidden="1">
      <c r="A2623" s="495" t="s">
        <v>2292</v>
      </c>
      <c r="B2623" s="399" t="s">
        <v>835</v>
      </c>
      <c r="C2623" s="399" t="s">
        <v>88</v>
      </c>
      <c r="D2623" s="399" t="s">
        <v>2288</v>
      </c>
      <c r="E2623" s="399" t="s">
        <v>2707</v>
      </c>
      <c r="F2623" s="399" t="s">
        <v>2708</v>
      </c>
      <c r="G2623" s="399" t="s">
        <v>2221</v>
      </c>
      <c r="H2623" s="1229"/>
    </row>
    <row r="2624" spans="1:8" hidden="1">
      <c r="A2624" s="495" t="s">
        <v>2292</v>
      </c>
      <c r="B2624" s="399" t="s">
        <v>835</v>
      </c>
      <c r="C2624" s="399" t="s">
        <v>88</v>
      </c>
      <c r="D2624" s="399" t="s">
        <v>2288</v>
      </c>
      <c r="E2624" s="399" t="s">
        <v>2709</v>
      </c>
      <c r="F2624" s="399" t="s">
        <v>2710</v>
      </c>
      <c r="G2624" s="399" t="s">
        <v>2221</v>
      </c>
      <c r="H2624" s="1229"/>
    </row>
    <row r="2625" spans="1:8" hidden="1">
      <c r="A2625" s="495" t="s">
        <v>2292</v>
      </c>
      <c r="B2625" s="399" t="s">
        <v>835</v>
      </c>
      <c r="C2625" s="399" t="s">
        <v>88</v>
      </c>
      <c r="D2625" s="400" t="s">
        <v>2288</v>
      </c>
      <c r="E2625" s="400" t="s">
        <v>2693</v>
      </c>
      <c r="F2625" s="400" t="s">
        <v>2711</v>
      </c>
      <c r="G2625" s="400" t="s">
        <v>2695</v>
      </c>
      <c r="H2625" s="1229"/>
    </row>
    <row r="2626" spans="1:8" hidden="1">
      <c r="A2626" s="495" t="s">
        <v>2292</v>
      </c>
      <c r="B2626" s="399" t="s">
        <v>835</v>
      </c>
      <c r="C2626" s="399" t="s">
        <v>88</v>
      </c>
      <c r="D2626" s="400" t="s">
        <v>2693</v>
      </c>
      <c r="E2626" s="400" t="s">
        <v>2712</v>
      </c>
      <c r="F2626" s="400" t="s">
        <v>2693</v>
      </c>
      <c r="G2626" s="400" t="s">
        <v>2254</v>
      </c>
      <c r="H2626" s="1229"/>
    </row>
    <row r="2627" spans="1:8" hidden="1">
      <c r="A2627" s="495" t="s">
        <v>2292</v>
      </c>
      <c r="B2627" s="399" t="s">
        <v>835</v>
      </c>
      <c r="C2627" s="399" t="s">
        <v>88</v>
      </c>
      <c r="D2627" s="399" t="s">
        <v>2713</v>
      </c>
      <c r="E2627" s="399" t="s">
        <v>422</v>
      </c>
      <c r="F2627" s="399" t="s">
        <v>2714</v>
      </c>
      <c r="G2627" s="399" t="s">
        <v>2221</v>
      </c>
      <c r="H2627" s="1229"/>
    </row>
    <row r="2628" spans="1:8" hidden="1">
      <c r="A2628" s="497" t="s">
        <v>2292</v>
      </c>
      <c r="B2628" s="404" t="s">
        <v>835</v>
      </c>
      <c r="C2628" s="404" t="s">
        <v>88</v>
      </c>
      <c r="D2628" s="404" t="s">
        <v>2715</v>
      </c>
      <c r="E2628" s="404" t="s">
        <v>422</v>
      </c>
      <c r="F2628" s="404" t="s">
        <v>2714</v>
      </c>
      <c r="G2628" s="404" t="s">
        <v>2221</v>
      </c>
      <c r="H2628" s="1230"/>
    </row>
    <row r="2629" spans="1:8" hidden="1">
      <c r="A2629" s="513" t="s">
        <v>2661</v>
      </c>
      <c r="B2629" s="408" t="s">
        <v>874</v>
      </c>
      <c r="C2629" s="408" t="s">
        <v>79</v>
      </c>
      <c r="D2629" s="409" t="s">
        <v>2288</v>
      </c>
      <c r="E2629" s="409" t="s">
        <v>2716</v>
      </c>
      <c r="F2629" s="409" t="s">
        <v>2716</v>
      </c>
      <c r="G2629" s="409" t="s">
        <v>2717</v>
      </c>
      <c r="H2629" s="1231" t="s">
        <v>2718</v>
      </c>
    </row>
    <row r="2630" spans="1:8" hidden="1">
      <c r="A2630" s="514" t="s">
        <v>2661</v>
      </c>
      <c r="B2630" s="399" t="s">
        <v>874</v>
      </c>
      <c r="C2630" s="399" t="s">
        <v>79</v>
      </c>
      <c r="D2630" s="399">
        <v>1</v>
      </c>
      <c r="E2630" s="399" t="s">
        <v>2719</v>
      </c>
      <c r="F2630" s="399" t="s">
        <v>2719</v>
      </c>
      <c r="G2630" s="399" t="s">
        <v>2221</v>
      </c>
      <c r="H2630" s="1232"/>
    </row>
    <row r="2631" spans="1:8" hidden="1">
      <c r="A2631" s="514" t="s">
        <v>2661</v>
      </c>
      <c r="B2631" s="399" t="s">
        <v>874</v>
      </c>
      <c r="C2631" s="399" t="s">
        <v>79</v>
      </c>
      <c r="D2631" s="399">
        <v>2</v>
      </c>
      <c r="E2631" s="399" t="s">
        <v>2720</v>
      </c>
      <c r="F2631" s="399" t="s">
        <v>2720</v>
      </c>
      <c r="G2631" s="399" t="s">
        <v>2221</v>
      </c>
      <c r="H2631" s="1232"/>
    </row>
    <row r="2632" spans="1:8" hidden="1">
      <c r="A2632" s="514" t="s">
        <v>2661</v>
      </c>
      <c r="B2632" s="399" t="s">
        <v>874</v>
      </c>
      <c r="C2632" s="399" t="s">
        <v>79</v>
      </c>
      <c r="D2632" s="399">
        <v>3</v>
      </c>
      <c r="E2632" s="399" t="s">
        <v>2721</v>
      </c>
      <c r="F2632" s="399" t="s">
        <v>2721</v>
      </c>
      <c r="G2632" s="399" t="s">
        <v>2221</v>
      </c>
      <c r="H2632" s="1232"/>
    </row>
    <row r="2633" spans="1:8" hidden="1">
      <c r="A2633" s="515" t="s">
        <v>2661</v>
      </c>
      <c r="B2633" s="410" t="s">
        <v>874</v>
      </c>
      <c r="C2633" s="410" t="s">
        <v>79</v>
      </c>
      <c r="D2633" s="411" t="s">
        <v>2288</v>
      </c>
      <c r="E2633" s="411" t="s">
        <v>2722</v>
      </c>
      <c r="F2633" s="411" t="s">
        <v>2722</v>
      </c>
      <c r="G2633" s="411" t="s">
        <v>2717</v>
      </c>
      <c r="H2633" s="1233"/>
    </row>
    <row r="2634" spans="1:8" hidden="1">
      <c r="A2634" s="495" t="s">
        <v>2661</v>
      </c>
      <c r="B2634" s="399" t="s">
        <v>886</v>
      </c>
      <c r="C2634" s="399" t="s">
        <v>104</v>
      </c>
      <c r="D2634" s="399" t="s">
        <v>2649</v>
      </c>
      <c r="E2634" s="399" t="s">
        <v>2723</v>
      </c>
      <c r="F2634" s="399" t="s">
        <v>2723</v>
      </c>
      <c r="G2634" s="399" t="s">
        <v>2221</v>
      </c>
      <c r="H2634" s="1238" t="s">
        <v>2724</v>
      </c>
    </row>
    <row r="2635" spans="1:8" hidden="1">
      <c r="A2635" s="495" t="s">
        <v>2661</v>
      </c>
      <c r="B2635" s="399" t="s">
        <v>886</v>
      </c>
      <c r="C2635" s="399" t="s">
        <v>104</v>
      </c>
      <c r="D2635" s="399" t="s">
        <v>2725</v>
      </c>
      <c r="E2635" s="399" t="s">
        <v>2726</v>
      </c>
      <c r="F2635" s="399" t="s">
        <v>2726</v>
      </c>
      <c r="G2635" s="399" t="s">
        <v>2221</v>
      </c>
      <c r="H2635" s="1238"/>
    </row>
    <row r="2636" spans="1:8" hidden="1">
      <c r="A2636" s="497" t="s">
        <v>2661</v>
      </c>
      <c r="B2636" s="405" t="s">
        <v>886</v>
      </c>
      <c r="C2636" s="405" t="s">
        <v>104</v>
      </c>
      <c r="D2636" s="405" t="s">
        <v>2221</v>
      </c>
      <c r="E2636" s="405" t="s">
        <v>2726</v>
      </c>
      <c r="F2636" s="405" t="s">
        <v>2726</v>
      </c>
      <c r="G2636" s="405" t="s">
        <v>2727</v>
      </c>
      <c r="H2636" s="1239"/>
    </row>
    <row r="2637" spans="1:8" hidden="1">
      <c r="A2637" s="498" t="s">
        <v>2292</v>
      </c>
      <c r="B2637" s="406" t="s">
        <v>897</v>
      </c>
      <c r="C2637" s="406" t="s">
        <v>134</v>
      </c>
      <c r="D2637" s="309" t="s">
        <v>2728</v>
      </c>
      <c r="E2637" s="309" t="s">
        <v>2729</v>
      </c>
      <c r="F2637" s="309" t="s">
        <v>2730</v>
      </c>
      <c r="G2637" s="407" t="s">
        <v>2731</v>
      </c>
      <c r="H2637" s="1234" t="s">
        <v>2732</v>
      </c>
    </row>
    <row r="2638" spans="1:8" hidden="1">
      <c r="A2638" s="495" t="s">
        <v>2292</v>
      </c>
      <c r="B2638" s="399" t="s">
        <v>897</v>
      </c>
      <c r="C2638" s="399" t="s">
        <v>134</v>
      </c>
      <c r="D2638" s="399" t="s">
        <v>2733</v>
      </c>
      <c r="E2638" s="399" t="s">
        <v>2734</v>
      </c>
      <c r="F2638" s="399" t="s">
        <v>2735</v>
      </c>
      <c r="G2638" s="399" t="s">
        <v>2221</v>
      </c>
      <c r="H2638" s="1235"/>
    </row>
    <row r="2639" spans="1:8" hidden="1">
      <c r="A2639" s="495" t="s">
        <v>2292</v>
      </c>
      <c r="B2639" s="399" t="s">
        <v>897</v>
      </c>
      <c r="C2639" s="399" t="s">
        <v>134</v>
      </c>
      <c r="D2639" s="399" t="s">
        <v>2736</v>
      </c>
      <c r="E2639" s="399" t="s">
        <v>2737</v>
      </c>
      <c r="F2639" s="399" t="s">
        <v>2738</v>
      </c>
      <c r="G2639" s="399" t="s">
        <v>2221</v>
      </c>
      <c r="H2639" s="1235"/>
    </row>
    <row r="2640" spans="1:8" hidden="1">
      <c r="A2640" s="495" t="s">
        <v>2292</v>
      </c>
      <c r="B2640" s="399" t="s">
        <v>897</v>
      </c>
      <c r="C2640" s="399" t="s">
        <v>134</v>
      </c>
      <c r="D2640" s="399" t="s">
        <v>2739</v>
      </c>
      <c r="E2640" s="399" t="s">
        <v>2740</v>
      </c>
      <c r="F2640" s="399" t="s">
        <v>2741</v>
      </c>
      <c r="G2640" s="399" t="s">
        <v>2221</v>
      </c>
      <c r="H2640" s="1235"/>
    </row>
    <row r="2641" spans="1:8" hidden="1">
      <c r="A2641" s="495" t="s">
        <v>2292</v>
      </c>
      <c r="B2641" s="399" t="s">
        <v>897</v>
      </c>
      <c r="C2641" s="399" t="s">
        <v>134</v>
      </c>
      <c r="D2641" s="399" t="s">
        <v>2742</v>
      </c>
      <c r="E2641" s="399" t="s">
        <v>2740</v>
      </c>
      <c r="F2641" s="399" t="s">
        <v>2741</v>
      </c>
      <c r="G2641" s="399" t="s">
        <v>2221</v>
      </c>
      <c r="H2641" s="1235"/>
    </row>
    <row r="2642" spans="1:8" hidden="1">
      <c r="A2642" s="495" t="s">
        <v>2292</v>
      </c>
      <c r="B2642" s="399" t="s">
        <v>897</v>
      </c>
      <c r="C2642" s="399" t="s">
        <v>134</v>
      </c>
      <c r="D2642" s="399" t="s">
        <v>2743</v>
      </c>
      <c r="E2642" s="399" t="s">
        <v>2744</v>
      </c>
      <c r="F2642" s="399" t="s">
        <v>2745</v>
      </c>
      <c r="G2642" s="399" t="s">
        <v>2221</v>
      </c>
      <c r="H2642" s="1235"/>
    </row>
    <row r="2643" spans="1:8" hidden="1">
      <c r="A2643" s="495" t="s">
        <v>2292</v>
      </c>
      <c r="B2643" s="399" t="s">
        <v>897</v>
      </c>
      <c r="C2643" s="399" t="s">
        <v>134</v>
      </c>
      <c r="D2643" s="399" t="s">
        <v>2746</v>
      </c>
      <c r="E2643" s="399" t="s">
        <v>2744</v>
      </c>
      <c r="F2643" s="399" t="s">
        <v>2745</v>
      </c>
      <c r="G2643" s="399" t="s">
        <v>2221</v>
      </c>
      <c r="H2643" s="1235"/>
    </row>
    <row r="2644" spans="1:8" hidden="1">
      <c r="A2644" s="495" t="s">
        <v>2292</v>
      </c>
      <c r="B2644" s="399" t="s">
        <v>897</v>
      </c>
      <c r="C2644" s="399" t="s">
        <v>134</v>
      </c>
      <c r="D2644" s="399" t="s">
        <v>2747</v>
      </c>
      <c r="E2644" s="399" t="s">
        <v>2744</v>
      </c>
      <c r="F2644" s="399" t="s">
        <v>2745</v>
      </c>
      <c r="G2644" s="399" t="s">
        <v>2221</v>
      </c>
      <c r="H2644" s="1235"/>
    </row>
    <row r="2645" spans="1:8" hidden="1">
      <c r="A2645" s="495" t="s">
        <v>2292</v>
      </c>
      <c r="B2645" s="399" t="s">
        <v>897</v>
      </c>
      <c r="C2645" s="399" t="s">
        <v>134</v>
      </c>
      <c r="D2645" s="400" t="s">
        <v>2233</v>
      </c>
      <c r="E2645" s="400" t="s">
        <v>2748</v>
      </c>
      <c r="F2645" s="400" t="s">
        <v>2749</v>
      </c>
      <c r="G2645" s="400" t="s">
        <v>2254</v>
      </c>
      <c r="H2645" s="1235"/>
    </row>
    <row r="2646" spans="1:8" hidden="1">
      <c r="A2646" s="495" t="s">
        <v>2292</v>
      </c>
      <c r="B2646" s="399" t="s">
        <v>897</v>
      </c>
      <c r="C2646" s="399" t="s">
        <v>134</v>
      </c>
      <c r="D2646" s="400" t="s">
        <v>2233</v>
      </c>
      <c r="E2646" s="400" t="s">
        <v>2750</v>
      </c>
      <c r="F2646" s="400" t="s">
        <v>2751</v>
      </c>
      <c r="G2646" s="400" t="s">
        <v>2254</v>
      </c>
      <c r="H2646" s="1235"/>
    </row>
    <row r="2647" spans="1:8" hidden="1">
      <c r="A2647" s="495" t="s">
        <v>2292</v>
      </c>
      <c r="B2647" s="399" t="s">
        <v>897</v>
      </c>
      <c r="C2647" s="399" t="s">
        <v>134</v>
      </c>
      <c r="D2647" s="400" t="s">
        <v>2233</v>
      </c>
      <c r="E2647" s="400" t="s">
        <v>2752</v>
      </c>
      <c r="F2647" s="400" t="s">
        <v>2753</v>
      </c>
      <c r="G2647" s="400" t="s">
        <v>2254</v>
      </c>
      <c r="H2647" s="1235"/>
    </row>
    <row r="2648" spans="1:8" hidden="1">
      <c r="A2648" s="495" t="s">
        <v>2292</v>
      </c>
      <c r="B2648" s="399" t="s">
        <v>897</v>
      </c>
      <c r="C2648" s="399" t="s">
        <v>134</v>
      </c>
      <c r="D2648" s="400" t="s">
        <v>2233</v>
      </c>
      <c r="E2648" s="400" t="s">
        <v>2754</v>
      </c>
      <c r="F2648" s="400" t="s">
        <v>2755</v>
      </c>
      <c r="G2648" s="400" t="s">
        <v>2254</v>
      </c>
      <c r="H2648" s="1235"/>
    </row>
    <row r="2649" spans="1:8" hidden="1">
      <c r="A2649" s="495" t="s">
        <v>2292</v>
      </c>
      <c r="B2649" s="399" t="s">
        <v>897</v>
      </c>
      <c r="C2649" s="399" t="s">
        <v>134</v>
      </c>
      <c r="D2649" s="400" t="s">
        <v>2233</v>
      </c>
      <c r="E2649" s="400" t="s">
        <v>2756</v>
      </c>
      <c r="F2649" s="400" t="s">
        <v>2757</v>
      </c>
      <c r="G2649" s="400" t="s">
        <v>2254</v>
      </c>
      <c r="H2649" s="1235"/>
    </row>
    <row r="2650" spans="1:8" hidden="1">
      <c r="A2650" s="495" t="s">
        <v>2292</v>
      </c>
      <c r="B2650" s="399" t="s">
        <v>897</v>
      </c>
      <c r="C2650" s="399" t="s">
        <v>134</v>
      </c>
      <c r="D2650" s="400" t="s">
        <v>2758</v>
      </c>
      <c r="E2650" s="400" t="s">
        <v>2756</v>
      </c>
      <c r="F2650" s="400" t="s">
        <v>2757</v>
      </c>
      <c r="G2650" s="400" t="s">
        <v>2254</v>
      </c>
      <c r="H2650" s="1235"/>
    </row>
    <row r="2651" spans="1:8" hidden="1">
      <c r="A2651" s="495" t="s">
        <v>2292</v>
      </c>
      <c r="B2651" s="399" t="s">
        <v>897</v>
      </c>
      <c r="C2651" s="399" t="s">
        <v>134</v>
      </c>
      <c r="D2651" s="400" t="s">
        <v>2759</v>
      </c>
      <c r="E2651" s="400" t="s">
        <v>2233</v>
      </c>
      <c r="F2651" s="400" t="s">
        <v>2233</v>
      </c>
      <c r="G2651" s="400" t="s">
        <v>2760</v>
      </c>
      <c r="H2651" s="1235"/>
    </row>
    <row r="2652" spans="1:8" hidden="1">
      <c r="A2652" s="495" t="s">
        <v>2292</v>
      </c>
      <c r="B2652" s="399" t="s">
        <v>897</v>
      </c>
      <c r="C2652" s="399" t="s">
        <v>134</v>
      </c>
      <c r="D2652" s="400" t="s">
        <v>2761</v>
      </c>
      <c r="E2652" s="400" t="s">
        <v>2233</v>
      </c>
      <c r="F2652" s="400" t="s">
        <v>2233</v>
      </c>
      <c r="G2652" s="400" t="s">
        <v>2760</v>
      </c>
      <c r="H2652" s="1235"/>
    </row>
    <row r="2653" spans="1:8" hidden="1">
      <c r="A2653" s="495" t="s">
        <v>2292</v>
      </c>
      <c r="B2653" s="399" t="s">
        <v>897</v>
      </c>
      <c r="C2653" s="399" t="s">
        <v>134</v>
      </c>
      <c r="D2653" s="400" t="s">
        <v>2762</v>
      </c>
      <c r="E2653" s="400" t="s">
        <v>2233</v>
      </c>
      <c r="F2653" s="400" t="s">
        <v>2233</v>
      </c>
      <c r="G2653" s="400" t="s">
        <v>2760</v>
      </c>
      <c r="H2653" s="1235"/>
    </row>
    <row r="2654" spans="1:8" hidden="1">
      <c r="A2654" s="497" t="s">
        <v>2292</v>
      </c>
      <c r="B2654" s="404" t="s">
        <v>897</v>
      </c>
      <c r="C2654" s="404" t="s">
        <v>134</v>
      </c>
      <c r="D2654" s="405" t="s">
        <v>2763</v>
      </c>
      <c r="E2654" s="405" t="s">
        <v>2233</v>
      </c>
      <c r="F2654" s="405" t="s">
        <v>2233</v>
      </c>
      <c r="G2654" s="405" t="s">
        <v>2760</v>
      </c>
      <c r="H2654" s="1236"/>
    </row>
    <row r="2655" spans="1:8" hidden="1">
      <c r="A2655" s="498" t="s">
        <v>2661</v>
      </c>
      <c r="B2655" s="406" t="s">
        <v>906</v>
      </c>
      <c r="C2655" s="406" t="s">
        <v>82</v>
      </c>
      <c r="D2655" s="406">
        <v>1</v>
      </c>
      <c r="E2655" s="406" t="s">
        <v>2764</v>
      </c>
      <c r="F2655" s="406" t="s">
        <v>2764</v>
      </c>
      <c r="G2655" s="406" t="s">
        <v>2221</v>
      </c>
      <c r="H2655" s="1234" t="s">
        <v>2765</v>
      </c>
    </row>
    <row r="2656" spans="1:8" hidden="1">
      <c r="A2656" s="495" t="s">
        <v>2661</v>
      </c>
      <c r="B2656" s="399" t="s">
        <v>906</v>
      </c>
      <c r="C2656" s="399" t="s">
        <v>82</v>
      </c>
      <c r="D2656" s="399">
        <v>2</v>
      </c>
      <c r="E2656" s="399" t="s">
        <v>2764</v>
      </c>
      <c r="F2656" s="399" t="s">
        <v>2764</v>
      </c>
      <c r="G2656" s="399" t="s">
        <v>2221</v>
      </c>
      <c r="H2656" s="1235"/>
    </row>
    <row r="2657" spans="1:8" hidden="1">
      <c r="A2657" s="497" t="s">
        <v>2661</v>
      </c>
      <c r="B2657" s="404" t="s">
        <v>906</v>
      </c>
      <c r="C2657" s="404" t="s">
        <v>82</v>
      </c>
      <c r="D2657" s="404">
        <v>3</v>
      </c>
      <c r="E2657" s="404" t="s">
        <v>2766</v>
      </c>
      <c r="F2657" s="404" t="s">
        <v>2766</v>
      </c>
      <c r="G2657" s="404" t="s">
        <v>2221</v>
      </c>
      <c r="H2657" s="1236"/>
    </row>
    <row r="2658" spans="1:8" hidden="1">
      <c r="A2658" s="498" t="s">
        <v>2661</v>
      </c>
      <c r="B2658" s="407" t="s">
        <v>936</v>
      </c>
      <c r="C2658" s="407" t="s">
        <v>78</v>
      </c>
      <c r="D2658" s="407">
        <v>3</v>
      </c>
      <c r="E2658" s="407" t="s">
        <v>2767</v>
      </c>
      <c r="F2658" s="407" t="s">
        <v>2768</v>
      </c>
      <c r="G2658" s="407" t="s">
        <v>2221</v>
      </c>
      <c r="H2658" s="1240" t="s">
        <v>2769</v>
      </c>
    </row>
    <row r="2659" spans="1:8" hidden="1">
      <c r="A2659" s="495" t="s">
        <v>2661</v>
      </c>
      <c r="B2659" s="400" t="s">
        <v>936</v>
      </c>
      <c r="C2659" s="400" t="s">
        <v>78</v>
      </c>
      <c r="D2659" s="400" t="s">
        <v>2288</v>
      </c>
      <c r="E2659" s="400" t="s">
        <v>2770</v>
      </c>
      <c r="F2659" s="400" t="s">
        <v>2770</v>
      </c>
      <c r="G2659" s="400" t="s">
        <v>2221</v>
      </c>
      <c r="H2659" s="1238"/>
    </row>
    <row r="2660" spans="1:8" hidden="1">
      <c r="A2660" s="495" t="s">
        <v>2661</v>
      </c>
      <c r="B2660" s="400" t="s">
        <v>936</v>
      </c>
      <c r="C2660" s="400" t="s">
        <v>78</v>
      </c>
      <c r="D2660" s="400">
        <v>2</v>
      </c>
      <c r="E2660" s="400" t="s">
        <v>2771</v>
      </c>
      <c r="F2660" s="400" t="s">
        <v>2771</v>
      </c>
      <c r="G2660" s="400" t="s">
        <v>2221</v>
      </c>
      <c r="H2660" s="1238"/>
    </row>
    <row r="2661" spans="1:8" hidden="1">
      <c r="A2661" s="495" t="s">
        <v>2661</v>
      </c>
      <c r="B2661" s="400" t="s">
        <v>936</v>
      </c>
      <c r="C2661" s="400" t="s">
        <v>78</v>
      </c>
      <c r="D2661" s="400" t="s">
        <v>2288</v>
      </c>
      <c r="E2661" s="400" t="s">
        <v>2772</v>
      </c>
      <c r="F2661" s="400" t="s">
        <v>2772</v>
      </c>
      <c r="G2661" s="400" t="s">
        <v>2221</v>
      </c>
      <c r="H2661" s="1238"/>
    </row>
    <row r="2662" spans="1:8" hidden="1">
      <c r="A2662" s="497" t="s">
        <v>2661</v>
      </c>
      <c r="B2662" s="405" t="s">
        <v>936</v>
      </c>
      <c r="C2662" s="405" t="s">
        <v>78</v>
      </c>
      <c r="D2662" s="405">
        <v>4</v>
      </c>
      <c r="E2662" s="405" t="s">
        <v>2773</v>
      </c>
      <c r="F2662" s="405" t="s">
        <v>2773</v>
      </c>
      <c r="G2662" s="405" t="s">
        <v>2221</v>
      </c>
      <c r="H2662" s="1239"/>
    </row>
    <row r="2663" spans="1:8" ht="16.5" hidden="1" customHeight="1">
      <c r="A2663" s="516" t="s">
        <v>2774</v>
      </c>
      <c r="B2663" s="412" t="s">
        <v>1004</v>
      </c>
      <c r="C2663" s="412" t="s">
        <v>129</v>
      </c>
      <c r="D2663" s="412" t="s">
        <v>2775</v>
      </c>
      <c r="E2663" s="412" t="s">
        <v>2776</v>
      </c>
      <c r="F2663" s="412" t="s">
        <v>2776</v>
      </c>
      <c r="G2663" s="412" t="s">
        <v>2221</v>
      </c>
      <c r="H2663" s="500" t="s">
        <v>2777</v>
      </c>
    </row>
    <row r="2664" spans="1:8" hidden="1">
      <c r="A2664" s="498" t="s">
        <v>2778</v>
      </c>
      <c r="B2664" s="407" t="s">
        <v>684</v>
      </c>
      <c r="C2664" s="407" t="s">
        <v>183</v>
      </c>
      <c r="D2664" s="407">
        <v>14</v>
      </c>
      <c r="E2664" s="407" t="s">
        <v>2662</v>
      </c>
      <c r="F2664" s="407" t="s">
        <v>2662</v>
      </c>
      <c r="G2664" s="407" t="s">
        <v>2221</v>
      </c>
      <c r="H2664" s="1240" t="s">
        <v>2779</v>
      </c>
    </row>
    <row r="2665" spans="1:8" hidden="1">
      <c r="A2665" s="495" t="s">
        <v>2778</v>
      </c>
      <c r="B2665" s="400" t="s">
        <v>684</v>
      </c>
      <c r="C2665" s="400" t="s">
        <v>183</v>
      </c>
      <c r="D2665" s="400">
        <v>18</v>
      </c>
      <c r="E2665" s="400" t="s">
        <v>2664</v>
      </c>
      <c r="F2665" s="400" t="s">
        <v>2664</v>
      </c>
      <c r="G2665" s="400" t="s">
        <v>2221</v>
      </c>
      <c r="H2665" s="1238"/>
    </row>
    <row r="2666" spans="1:8" hidden="1">
      <c r="A2666" s="495" t="s">
        <v>2778</v>
      </c>
      <c r="B2666" s="400" t="s">
        <v>684</v>
      </c>
      <c r="C2666" s="400" t="s">
        <v>183</v>
      </c>
      <c r="D2666" s="400">
        <v>19</v>
      </c>
      <c r="E2666" s="400" t="s">
        <v>2666</v>
      </c>
      <c r="F2666" s="400" t="s">
        <v>2666</v>
      </c>
      <c r="G2666" s="400" t="s">
        <v>2221</v>
      </c>
      <c r="H2666" s="1238"/>
    </row>
    <row r="2667" spans="1:8" hidden="1">
      <c r="A2667" s="497" t="s">
        <v>2778</v>
      </c>
      <c r="B2667" s="405" t="s">
        <v>684</v>
      </c>
      <c r="C2667" s="405" t="s">
        <v>183</v>
      </c>
      <c r="D2667" s="405">
        <v>20</v>
      </c>
      <c r="E2667" s="405" t="s">
        <v>2667</v>
      </c>
      <c r="F2667" s="405" t="s">
        <v>2667</v>
      </c>
      <c r="G2667" s="405" t="s">
        <v>2221</v>
      </c>
      <c r="H2667" s="1238"/>
    </row>
    <row r="2668" spans="1:8" hidden="1">
      <c r="A2668" s="498" t="s">
        <v>2780</v>
      </c>
      <c r="B2668" s="406" t="s">
        <v>1140</v>
      </c>
      <c r="C2668" s="406" t="s">
        <v>214</v>
      </c>
      <c r="D2668" s="406">
        <v>3</v>
      </c>
      <c r="E2668" s="406" t="s">
        <v>2781</v>
      </c>
      <c r="F2668" s="406" t="s">
        <v>2781</v>
      </c>
      <c r="G2668" s="406" t="s">
        <v>2221</v>
      </c>
      <c r="H2668" s="1234" t="s">
        <v>2782</v>
      </c>
    </row>
    <row r="2669" spans="1:8" hidden="1">
      <c r="A2669" s="495" t="s">
        <v>2780</v>
      </c>
      <c r="B2669" s="306" t="s">
        <v>1140</v>
      </c>
      <c r="C2669" s="399" t="s">
        <v>214</v>
      </c>
      <c r="D2669" s="399">
        <v>18</v>
      </c>
      <c r="E2669" s="399" t="s">
        <v>2783</v>
      </c>
      <c r="F2669" s="399" t="s">
        <v>2783</v>
      </c>
      <c r="G2669" s="399" t="s">
        <v>2221</v>
      </c>
      <c r="H2669" s="1235"/>
    </row>
    <row r="2670" spans="1:8" hidden="1">
      <c r="A2670" s="495" t="s">
        <v>2780</v>
      </c>
      <c r="B2670" s="399" t="s">
        <v>1140</v>
      </c>
      <c r="C2670" s="399" t="s">
        <v>214</v>
      </c>
      <c r="D2670" s="399">
        <v>12</v>
      </c>
      <c r="E2670" s="399" t="s">
        <v>2783</v>
      </c>
      <c r="F2670" s="399" t="s">
        <v>2784</v>
      </c>
      <c r="G2670" s="399" t="s">
        <v>2221</v>
      </c>
      <c r="H2670" s="1235"/>
    </row>
    <row r="2671" spans="1:8" hidden="1">
      <c r="A2671" s="495" t="s">
        <v>2780</v>
      </c>
      <c r="B2671" s="306" t="s">
        <v>1140</v>
      </c>
      <c r="C2671" s="399" t="s">
        <v>214</v>
      </c>
      <c r="D2671" s="399">
        <v>5</v>
      </c>
      <c r="E2671" s="399" t="s">
        <v>2783</v>
      </c>
      <c r="F2671" s="399" t="s">
        <v>2784</v>
      </c>
      <c r="G2671" s="399" t="s">
        <v>2221</v>
      </c>
      <c r="H2671" s="1235"/>
    </row>
    <row r="2672" spans="1:8" hidden="1">
      <c r="A2672" s="495" t="s">
        <v>2780</v>
      </c>
      <c r="B2672" s="399" t="s">
        <v>1140</v>
      </c>
      <c r="C2672" s="399" t="s">
        <v>214</v>
      </c>
      <c r="D2672" s="399">
        <v>9</v>
      </c>
      <c r="E2672" s="399" t="s">
        <v>2783</v>
      </c>
      <c r="F2672" s="399" t="s">
        <v>2783</v>
      </c>
      <c r="G2672" s="399" t="s">
        <v>2221</v>
      </c>
      <c r="H2672" s="1235"/>
    </row>
    <row r="2673" spans="1:8" hidden="1">
      <c r="A2673" s="495" t="s">
        <v>2780</v>
      </c>
      <c r="B2673" s="306" t="s">
        <v>1140</v>
      </c>
      <c r="C2673" s="399" t="s">
        <v>214</v>
      </c>
      <c r="D2673" s="399">
        <v>8</v>
      </c>
      <c r="E2673" s="399" t="s">
        <v>2783</v>
      </c>
      <c r="F2673" s="399" t="s">
        <v>2783</v>
      </c>
      <c r="G2673" s="399" t="s">
        <v>2221</v>
      </c>
      <c r="H2673" s="1235"/>
    </row>
    <row r="2674" spans="1:8" hidden="1">
      <c r="A2674" s="495" t="s">
        <v>2780</v>
      </c>
      <c r="B2674" s="399" t="s">
        <v>1140</v>
      </c>
      <c r="C2674" s="399" t="s">
        <v>214</v>
      </c>
      <c r="D2674" s="399">
        <v>13</v>
      </c>
      <c r="E2674" s="399" t="s">
        <v>2783</v>
      </c>
      <c r="F2674" s="399" t="s">
        <v>2783</v>
      </c>
      <c r="G2674" s="399" t="s">
        <v>2221</v>
      </c>
      <c r="H2674" s="1235"/>
    </row>
    <row r="2675" spans="1:8" hidden="1">
      <c r="A2675" s="495" t="s">
        <v>2780</v>
      </c>
      <c r="B2675" s="306" t="s">
        <v>1140</v>
      </c>
      <c r="C2675" s="399" t="s">
        <v>214</v>
      </c>
      <c r="D2675" s="399">
        <v>10</v>
      </c>
      <c r="E2675" s="399" t="s">
        <v>2783</v>
      </c>
      <c r="F2675" s="399" t="s">
        <v>2783</v>
      </c>
      <c r="G2675" s="399" t="s">
        <v>2221</v>
      </c>
      <c r="H2675" s="1235"/>
    </row>
    <row r="2676" spans="1:8" hidden="1">
      <c r="A2676" s="495" t="s">
        <v>2780</v>
      </c>
      <c r="B2676" s="399" t="s">
        <v>1140</v>
      </c>
      <c r="C2676" s="399" t="s">
        <v>214</v>
      </c>
      <c r="D2676" s="399">
        <v>4</v>
      </c>
      <c r="E2676" s="399" t="s">
        <v>2785</v>
      </c>
      <c r="F2676" s="399" t="s">
        <v>2785</v>
      </c>
      <c r="G2676" s="399" t="s">
        <v>2221</v>
      </c>
      <c r="H2676" s="1235"/>
    </row>
    <row r="2677" spans="1:8" hidden="1">
      <c r="A2677" s="495" t="s">
        <v>2780</v>
      </c>
      <c r="B2677" s="306" t="s">
        <v>1140</v>
      </c>
      <c r="C2677" s="399" t="s">
        <v>214</v>
      </c>
      <c r="D2677" s="399">
        <v>2</v>
      </c>
      <c r="E2677" s="399" t="s">
        <v>2785</v>
      </c>
      <c r="F2677" s="399" t="s">
        <v>2785</v>
      </c>
      <c r="G2677" s="399" t="s">
        <v>2221</v>
      </c>
      <c r="H2677" s="1235"/>
    </row>
    <row r="2678" spans="1:8" hidden="1">
      <c r="A2678" s="495" t="s">
        <v>2780</v>
      </c>
      <c r="B2678" s="399" t="s">
        <v>1140</v>
      </c>
      <c r="C2678" s="399" t="s">
        <v>214</v>
      </c>
      <c r="D2678" s="399">
        <v>17</v>
      </c>
      <c r="E2678" s="399" t="s">
        <v>2785</v>
      </c>
      <c r="F2678" s="399" t="s">
        <v>2785</v>
      </c>
      <c r="G2678" s="399" t="s">
        <v>2221</v>
      </c>
      <c r="H2678" s="1235"/>
    </row>
    <row r="2679" spans="1:8" hidden="1">
      <c r="A2679" s="495" t="s">
        <v>2780</v>
      </c>
      <c r="B2679" s="306" t="s">
        <v>1140</v>
      </c>
      <c r="C2679" s="399" t="s">
        <v>214</v>
      </c>
      <c r="D2679" s="399">
        <v>16</v>
      </c>
      <c r="E2679" s="399" t="s">
        <v>2785</v>
      </c>
      <c r="F2679" s="399" t="s">
        <v>2785</v>
      </c>
      <c r="G2679" s="399" t="s">
        <v>2221</v>
      </c>
      <c r="H2679" s="1235"/>
    </row>
    <row r="2680" spans="1:8" hidden="1">
      <c r="A2680" s="495" t="s">
        <v>2780</v>
      </c>
      <c r="B2680" s="399" t="s">
        <v>1140</v>
      </c>
      <c r="C2680" s="399" t="s">
        <v>214</v>
      </c>
      <c r="D2680" s="399">
        <v>15</v>
      </c>
      <c r="E2680" s="399" t="s">
        <v>2785</v>
      </c>
      <c r="F2680" s="399" t="s">
        <v>2785</v>
      </c>
      <c r="G2680" s="399" t="s">
        <v>2221</v>
      </c>
      <c r="H2680" s="1235"/>
    </row>
    <row r="2681" spans="1:8" hidden="1">
      <c r="A2681" s="495" t="s">
        <v>2780</v>
      </c>
      <c r="B2681" s="306" t="s">
        <v>1140</v>
      </c>
      <c r="C2681" s="399" t="s">
        <v>214</v>
      </c>
      <c r="D2681" s="399">
        <v>7</v>
      </c>
      <c r="E2681" s="399" t="s">
        <v>422</v>
      </c>
      <c r="F2681" s="399" t="s">
        <v>2714</v>
      </c>
      <c r="G2681" s="399" t="s">
        <v>2221</v>
      </c>
      <c r="H2681" s="1235"/>
    </row>
    <row r="2682" spans="1:8" hidden="1">
      <c r="A2682" s="495" t="s">
        <v>2780</v>
      </c>
      <c r="B2682" s="310" t="s">
        <v>1140</v>
      </c>
      <c r="C2682" s="400" t="s">
        <v>214</v>
      </c>
      <c r="D2682" s="400" t="s">
        <v>2233</v>
      </c>
      <c r="E2682" s="400" t="s">
        <v>2786</v>
      </c>
      <c r="F2682" s="400" t="s">
        <v>2233</v>
      </c>
      <c r="G2682" s="400" t="s">
        <v>2254</v>
      </c>
      <c r="H2682" s="1235"/>
    </row>
    <row r="2683" spans="1:8" hidden="1">
      <c r="A2683" s="497" t="s">
        <v>2780</v>
      </c>
      <c r="B2683" s="311" t="s">
        <v>1140</v>
      </c>
      <c r="C2683" s="405" t="s">
        <v>214</v>
      </c>
      <c r="D2683" s="405" t="s">
        <v>2233</v>
      </c>
      <c r="E2683" s="405" t="s">
        <v>2787</v>
      </c>
      <c r="F2683" s="405" t="s">
        <v>2233</v>
      </c>
      <c r="G2683" s="405" t="s">
        <v>2254</v>
      </c>
      <c r="H2683" s="1236"/>
    </row>
    <row r="2684" spans="1:8" hidden="1">
      <c r="A2684" s="498" t="s">
        <v>2780</v>
      </c>
      <c r="B2684" s="406" t="s">
        <v>1149</v>
      </c>
      <c r="C2684" s="406" t="s">
        <v>219</v>
      </c>
      <c r="D2684" s="406">
        <v>1</v>
      </c>
      <c r="E2684" s="406" t="s">
        <v>2788</v>
      </c>
      <c r="F2684" s="406" t="s">
        <v>2788</v>
      </c>
      <c r="G2684" s="406" t="s">
        <v>2221</v>
      </c>
      <c r="H2684" s="1234" t="s">
        <v>2789</v>
      </c>
    </row>
    <row r="2685" spans="1:8" hidden="1">
      <c r="A2685" s="495" t="s">
        <v>2780</v>
      </c>
      <c r="B2685" s="399" t="s">
        <v>1149</v>
      </c>
      <c r="C2685" s="399" t="s">
        <v>219</v>
      </c>
      <c r="D2685" s="399">
        <v>2</v>
      </c>
      <c r="E2685" s="399" t="s">
        <v>2790</v>
      </c>
      <c r="F2685" s="399" t="s">
        <v>2790</v>
      </c>
      <c r="G2685" s="399" t="s">
        <v>2221</v>
      </c>
      <c r="H2685" s="1235"/>
    </row>
    <row r="2686" spans="1:8" hidden="1">
      <c r="A2686" s="495" t="s">
        <v>2780</v>
      </c>
      <c r="B2686" s="399" t="s">
        <v>1149</v>
      </c>
      <c r="C2686" s="399" t="s">
        <v>219</v>
      </c>
      <c r="D2686" s="399">
        <v>3</v>
      </c>
      <c r="E2686" s="399" t="s">
        <v>2791</v>
      </c>
      <c r="F2686" s="399" t="s">
        <v>2792</v>
      </c>
      <c r="G2686" s="399" t="s">
        <v>2221</v>
      </c>
      <c r="H2686" s="1235"/>
    </row>
    <row r="2687" spans="1:8" hidden="1">
      <c r="A2687" s="495" t="s">
        <v>2780</v>
      </c>
      <c r="B2687" s="399" t="s">
        <v>1149</v>
      </c>
      <c r="C2687" s="399" t="s">
        <v>219</v>
      </c>
      <c r="D2687" s="400">
        <v>4</v>
      </c>
      <c r="E2687" s="400" t="s">
        <v>422</v>
      </c>
      <c r="F2687" s="400" t="s">
        <v>2793</v>
      </c>
      <c r="G2687" s="400" t="s">
        <v>2794</v>
      </c>
      <c r="H2687" s="1235"/>
    </row>
    <row r="2688" spans="1:8" hidden="1">
      <c r="A2688" s="497" t="s">
        <v>2780</v>
      </c>
      <c r="B2688" s="404" t="s">
        <v>1149</v>
      </c>
      <c r="C2688" s="404" t="s">
        <v>219</v>
      </c>
      <c r="D2688" s="404">
        <v>5</v>
      </c>
      <c r="E2688" s="404" t="s">
        <v>2795</v>
      </c>
      <c r="F2688" s="404" t="s">
        <v>2796</v>
      </c>
      <c r="G2688" s="404" t="s">
        <v>2221</v>
      </c>
      <c r="H2688" s="1236"/>
    </row>
    <row r="2689" spans="1:8" hidden="1">
      <c r="A2689" s="550" t="s">
        <v>2797</v>
      </c>
      <c r="B2689" s="406" t="s">
        <v>1412</v>
      </c>
      <c r="C2689" s="406" t="s">
        <v>184</v>
      </c>
      <c r="D2689" s="406">
        <v>100</v>
      </c>
      <c r="E2689" s="406">
        <v>1</v>
      </c>
      <c r="F2689" s="406" t="s">
        <v>2798</v>
      </c>
      <c r="G2689" s="406" t="s">
        <v>2221</v>
      </c>
      <c r="H2689" s="1234" t="s">
        <v>2799</v>
      </c>
    </row>
    <row r="2690" spans="1:8" hidden="1">
      <c r="A2690" s="551" t="s">
        <v>2797</v>
      </c>
      <c r="B2690" s="399" t="s">
        <v>1412</v>
      </c>
      <c r="C2690" s="399" t="s">
        <v>184</v>
      </c>
      <c r="D2690" s="399">
        <v>110</v>
      </c>
      <c r="E2690" s="399" t="s">
        <v>2800</v>
      </c>
      <c r="F2690" s="399" t="s">
        <v>2801</v>
      </c>
      <c r="G2690" s="399" t="s">
        <v>2221</v>
      </c>
      <c r="H2690" s="1235"/>
    </row>
    <row r="2691" spans="1:8" hidden="1">
      <c r="A2691" s="551" t="s">
        <v>2797</v>
      </c>
      <c r="B2691" s="399" t="s">
        <v>1412</v>
      </c>
      <c r="C2691" s="399" t="s">
        <v>184</v>
      </c>
      <c r="D2691" s="399">
        <v>111</v>
      </c>
      <c r="E2691" s="399" t="s">
        <v>2802</v>
      </c>
      <c r="F2691" s="399" t="s">
        <v>2803</v>
      </c>
      <c r="G2691" s="399" t="s">
        <v>2221</v>
      </c>
      <c r="H2691" s="1235"/>
    </row>
    <row r="2692" spans="1:8" hidden="1">
      <c r="A2692" s="551" t="s">
        <v>2797</v>
      </c>
      <c r="B2692" s="399" t="s">
        <v>1412</v>
      </c>
      <c r="C2692" s="399" t="s">
        <v>184</v>
      </c>
      <c r="D2692" s="399">
        <v>112</v>
      </c>
      <c r="E2692" s="399" t="s">
        <v>2804</v>
      </c>
      <c r="F2692" s="399" t="s">
        <v>2805</v>
      </c>
      <c r="G2692" s="399" t="s">
        <v>2221</v>
      </c>
      <c r="H2692" s="1235"/>
    </row>
    <row r="2693" spans="1:8" hidden="1">
      <c r="A2693" s="551" t="s">
        <v>2797</v>
      </c>
      <c r="B2693" s="399" t="s">
        <v>1412</v>
      </c>
      <c r="C2693" s="399" t="s">
        <v>184</v>
      </c>
      <c r="D2693" s="399">
        <v>113</v>
      </c>
      <c r="E2693" s="399" t="s">
        <v>2806</v>
      </c>
      <c r="F2693" s="399" t="s">
        <v>2807</v>
      </c>
      <c r="G2693" s="399" t="s">
        <v>2221</v>
      </c>
      <c r="H2693" s="1235"/>
    </row>
    <row r="2694" spans="1:8" hidden="1">
      <c r="A2694" s="551" t="s">
        <v>2797</v>
      </c>
      <c r="B2694" s="399" t="s">
        <v>1412</v>
      </c>
      <c r="C2694" s="399" t="s">
        <v>184</v>
      </c>
      <c r="D2694" s="399">
        <v>114</v>
      </c>
      <c r="E2694" s="399" t="s">
        <v>2808</v>
      </c>
      <c r="F2694" s="399" t="s">
        <v>2809</v>
      </c>
      <c r="G2694" s="399" t="s">
        <v>2221</v>
      </c>
      <c r="H2694" s="1235"/>
    </row>
    <row r="2695" spans="1:8" hidden="1">
      <c r="A2695" s="551" t="s">
        <v>2797</v>
      </c>
      <c r="B2695" s="399" t="s">
        <v>1412</v>
      </c>
      <c r="C2695" s="399" t="s">
        <v>184</v>
      </c>
      <c r="D2695" s="399">
        <v>115</v>
      </c>
      <c r="E2695" s="399" t="s">
        <v>2810</v>
      </c>
      <c r="F2695" s="399" t="s">
        <v>2811</v>
      </c>
      <c r="G2695" s="399" t="s">
        <v>2221</v>
      </c>
      <c r="H2695" s="1235"/>
    </row>
    <row r="2696" spans="1:8" hidden="1">
      <c r="A2696" s="551" t="s">
        <v>2797</v>
      </c>
      <c r="B2696" s="399" t="s">
        <v>1412</v>
      </c>
      <c r="C2696" s="399" t="s">
        <v>184</v>
      </c>
      <c r="D2696" s="399">
        <v>116</v>
      </c>
      <c r="E2696" s="399" t="s">
        <v>2812</v>
      </c>
      <c r="F2696" s="399" t="s">
        <v>2813</v>
      </c>
      <c r="G2696" s="399" t="s">
        <v>2221</v>
      </c>
      <c r="H2696" s="1235"/>
    </row>
    <row r="2697" spans="1:8" hidden="1">
      <c r="A2697" s="551" t="s">
        <v>2797</v>
      </c>
      <c r="B2697" s="399" t="s">
        <v>1412</v>
      </c>
      <c r="C2697" s="399" t="s">
        <v>184</v>
      </c>
      <c r="D2697" s="399">
        <v>119</v>
      </c>
      <c r="E2697" s="399" t="s">
        <v>2814</v>
      </c>
      <c r="F2697" s="399" t="s">
        <v>2815</v>
      </c>
      <c r="G2697" s="399" t="s">
        <v>2221</v>
      </c>
      <c r="H2697" s="1235"/>
    </row>
    <row r="2698" spans="1:8" hidden="1">
      <c r="A2698" s="551" t="s">
        <v>2797</v>
      </c>
      <c r="B2698" s="399" t="s">
        <v>1412</v>
      </c>
      <c r="C2698" s="399" t="s">
        <v>184</v>
      </c>
      <c r="D2698" s="399">
        <v>120</v>
      </c>
      <c r="E2698" s="399" t="s">
        <v>2816</v>
      </c>
      <c r="F2698" s="399" t="s">
        <v>2817</v>
      </c>
      <c r="G2698" s="399" t="s">
        <v>2221</v>
      </c>
      <c r="H2698" s="1235"/>
    </row>
    <row r="2699" spans="1:8" hidden="1">
      <c r="A2699" s="551" t="s">
        <v>2797</v>
      </c>
      <c r="B2699" s="399" t="s">
        <v>1412</v>
      </c>
      <c r="C2699" s="399" t="s">
        <v>184</v>
      </c>
      <c r="D2699" s="399">
        <v>121</v>
      </c>
      <c r="E2699" s="399" t="s">
        <v>2818</v>
      </c>
      <c r="F2699" s="399" t="s">
        <v>2819</v>
      </c>
      <c r="G2699" s="399" t="s">
        <v>2221</v>
      </c>
      <c r="H2699" s="1235"/>
    </row>
    <row r="2700" spans="1:8" hidden="1">
      <c r="A2700" s="551" t="s">
        <v>2797</v>
      </c>
      <c r="B2700" s="399" t="s">
        <v>1412</v>
      </c>
      <c r="C2700" s="399" t="s">
        <v>184</v>
      </c>
      <c r="D2700" s="399">
        <v>122</v>
      </c>
      <c r="E2700" s="399" t="s">
        <v>2820</v>
      </c>
      <c r="F2700" s="399" t="s">
        <v>2821</v>
      </c>
      <c r="G2700" s="399" t="s">
        <v>2221</v>
      </c>
      <c r="H2700" s="1235"/>
    </row>
    <row r="2701" spans="1:8" hidden="1">
      <c r="A2701" s="551" t="s">
        <v>2797</v>
      </c>
      <c r="B2701" s="399" t="s">
        <v>1412</v>
      </c>
      <c r="C2701" s="399" t="s">
        <v>184</v>
      </c>
      <c r="D2701" s="399">
        <v>123</v>
      </c>
      <c r="E2701" s="399" t="s">
        <v>2822</v>
      </c>
      <c r="F2701" s="399" t="s">
        <v>2823</v>
      </c>
      <c r="G2701" s="399" t="s">
        <v>2221</v>
      </c>
      <c r="H2701" s="1235"/>
    </row>
    <row r="2702" spans="1:8" hidden="1">
      <c r="A2702" s="551" t="s">
        <v>2797</v>
      </c>
      <c r="B2702" s="399" t="s">
        <v>1412</v>
      </c>
      <c r="C2702" s="399" t="s">
        <v>184</v>
      </c>
      <c r="D2702" s="399">
        <v>124</v>
      </c>
      <c r="E2702" s="399" t="s">
        <v>2824</v>
      </c>
      <c r="F2702" s="399" t="s">
        <v>2825</v>
      </c>
      <c r="G2702" s="399" t="s">
        <v>2221</v>
      </c>
      <c r="H2702" s="1235"/>
    </row>
    <row r="2703" spans="1:8" hidden="1">
      <c r="A2703" s="551" t="s">
        <v>2797</v>
      </c>
      <c r="B2703" s="399" t="s">
        <v>1412</v>
      </c>
      <c r="C2703" s="399" t="s">
        <v>184</v>
      </c>
      <c r="D2703" s="399">
        <v>125</v>
      </c>
      <c r="E2703" s="399" t="s">
        <v>2826</v>
      </c>
      <c r="F2703" s="399" t="s">
        <v>2827</v>
      </c>
      <c r="G2703" s="399" t="s">
        <v>2221</v>
      </c>
      <c r="H2703" s="1235"/>
    </row>
    <row r="2704" spans="1:8" hidden="1">
      <c r="A2704" s="551" t="s">
        <v>2797</v>
      </c>
      <c r="B2704" s="399" t="s">
        <v>1412</v>
      </c>
      <c r="C2704" s="399" t="s">
        <v>184</v>
      </c>
      <c r="D2704" s="399">
        <v>126</v>
      </c>
      <c r="E2704" s="399" t="s">
        <v>2828</v>
      </c>
      <c r="F2704" s="399" t="s">
        <v>2829</v>
      </c>
      <c r="G2704" s="399" t="s">
        <v>2221</v>
      </c>
      <c r="H2704" s="1235"/>
    </row>
    <row r="2705" spans="1:8" hidden="1">
      <c r="A2705" s="551" t="s">
        <v>2797</v>
      </c>
      <c r="B2705" s="399" t="s">
        <v>1412</v>
      </c>
      <c r="C2705" s="399" t="s">
        <v>184</v>
      </c>
      <c r="D2705" s="399">
        <v>127</v>
      </c>
      <c r="E2705" s="399" t="s">
        <v>2830</v>
      </c>
      <c r="F2705" s="399" t="s">
        <v>2831</v>
      </c>
      <c r="G2705" s="399" t="s">
        <v>2221</v>
      </c>
      <c r="H2705" s="1235"/>
    </row>
    <row r="2706" spans="1:8" hidden="1">
      <c r="A2706" s="551" t="s">
        <v>2797</v>
      </c>
      <c r="B2706" s="399" t="s">
        <v>1412</v>
      </c>
      <c r="C2706" s="399" t="s">
        <v>184</v>
      </c>
      <c r="D2706" s="399">
        <v>128</v>
      </c>
      <c r="E2706" s="399" t="s">
        <v>2832</v>
      </c>
      <c r="F2706" s="399" t="s">
        <v>2833</v>
      </c>
      <c r="G2706" s="399" t="s">
        <v>2221</v>
      </c>
      <c r="H2706" s="1235"/>
    </row>
    <row r="2707" spans="1:8" hidden="1">
      <c r="A2707" s="551" t="s">
        <v>2797</v>
      </c>
      <c r="B2707" s="399" t="s">
        <v>1412</v>
      </c>
      <c r="C2707" s="399" t="s">
        <v>184</v>
      </c>
      <c r="D2707" s="399">
        <v>129</v>
      </c>
      <c r="E2707" s="399" t="s">
        <v>2834</v>
      </c>
      <c r="F2707" s="399" t="s">
        <v>2835</v>
      </c>
      <c r="G2707" s="399" t="s">
        <v>2221</v>
      </c>
      <c r="H2707" s="1235"/>
    </row>
    <row r="2708" spans="1:8" hidden="1">
      <c r="A2708" s="551" t="s">
        <v>2797</v>
      </c>
      <c r="B2708" s="399" t="s">
        <v>1412</v>
      </c>
      <c r="C2708" s="399" t="s">
        <v>184</v>
      </c>
      <c r="D2708" s="399">
        <v>130</v>
      </c>
      <c r="E2708" s="399" t="s">
        <v>2836</v>
      </c>
      <c r="F2708" s="399" t="s">
        <v>2837</v>
      </c>
      <c r="G2708" s="399" t="s">
        <v>2221</v>
      </c>
      <c r="H2708" s="1235"/>
    </row>
    <row r="2709" spans="1:8" hidden="1">
      <c r="A2709" s="551" t="s">
        <v>2797</v>
      </c>
      <c r="B2709" s="399" t="s">
        <v>1412</v>
      </c>
      <c r="C2709" s="399" t="s">
        <v>184</v>
      </c>
      <c r="D2709" s="399">
        <v>140</v>
      </c>
      <c r="E2709" s="399" t="s">
        <v>2838</v>
      </c>
      <c r="F2709" s="399" t="s">
        <v>2839</v>
      </c>
      <c r="G2709" s="399" t="s">
        <v>2221</v>
      </c>
      <c r="H2709" s="1235"/>
    </row>
    <row r="2710" spans="1:8" hidden="1">
      <c r="A2710" s="551" t="s">
        <v>2797</v>
      </c>
      <c r="B2710" s="399" t="s">
        <v>1412</v>
      </c>
      <c r="C2710" s="399" t="s">
        <v>184</v>
      </c>
      <c r="D2710" s="399">
        <v>141</v>
      </c>
      <c r="E2710" s="399" t="s">
        <v>2840</v>
      </c>
      <c r="F2710" s="399" t="s">
        <v>2841</v>
      </c>
      <c r="G2710" s="399" t="s">
        <v>2221</v>
      </c>
      <c r="H2710" s="1235"/>
    </row>
    <row r="2711" spans="1:8" hidden="1">
      <c r="A2711" s="551" t="s">
        <v>2797</v>
      </c>
      <c r="B2711" s="399" t="s">
        <v>1412</v>
      </c>
      <c r="C2711" s="399" t="s">
        <v>184</v>
      </c>
      <c r="D2711" s="399">
        <v>142</v>
      </c>
      <c r="E2711" s="399" t="s">
        <v>2842</v>
      </c>
      <c r="F2711" s="399" t="s">
        <v>2843</v>
      </c>
      <c r="G2711" s="399" t="s">
        <v>2221</v>
      </c>
      <c r="H2711" s="1235"/>
    </row>
    <row r="2712" spans="1:8" hidden="1">
      <c r="A2712" s="551" t="s">
        <v>2797</v>
      </c>
      <c r="B2712" s="399" t="s">
        <v>1412</v>
      </c>
      <c r="C2712" s="399" t="s">
        <v>184</v>
      </c>
      <c r="D2712" s="399">
        <v>143</v>
      </c>
      <c r="E2712" s="399" t="s">
        <v>2844</v>
      </c>
      <c r="F2712" s="399" t="s">
        <v>2845</v>
      </c>
      <c r="G2712" s="399" t="s">
        <v>2221</v>
      </c>
      <c r="H2712" s="1235"/>
    </row>
    <row r="2713" spans="1:8" hidden="1">
      <c r="A2713" s="551" t="s">
        <v>2797</v>
      </c>
      <c r="B2713" s="399" t="s">
        <v>1412</v>
      </c>
      <c r="C2713" s="399" t="s">
        <v>184</v>
      </c>
      <c r="D2713" s="399">
        <v>144</v>
      </c>
      <c r="E2713" s="399" t="s">
        <v>2846</v>
      </c>
      <c r="F2713" s="399" t="s">
        <v>2847</v>
      </c>
      <c r="G2713" s="399" t="s">
        <v>2221</v>
      </c>
      <c r="H2713" s="1235"/>
    </row>
    <row r="2714" spans="1:8" hidden="1">
      <c r="A2714" s="551" t="s">
        <v>2797</v>
      </c>
      <c r="B2714" s="399" t="s">
        <v>1412</v>
      </c>
      <c r="C2714" s="399" t="s">
        <v>184</v>
      </c>
      <c r="D2714" s="399">
        <v>145</v>
      </c>
      <c r="E2714" s="399" t="s">
        <v>2848</v>
      </c>
      <c r="F2714" s="399" t="s">
        <v>2849</v>
      </c>
      <c r="G2714" s="399" t="s">
        <v>2221</v>
      </c>
      <c r="H2714" s="1235"/>
    </row>
    <row r="2715" spans="1:8" hidden="1">
      <c r="A2715" s="551" t="s">
        <v>2797</v>
      </c>
      <c r="B2715" s="399" t="s">
        <v>1412</v>
      </c>
      <c r="C2715" s="399" t="s">
        <v>184</v>
      </c>
      <c r="D2715" s="399">
        <v>146</v>
      </c>
      <c r="E2715" s="399" t="s">
        <v>2850</v>
      </c>
      <c r="F2715" s="399" t="s">
        <v>2851</v>
      </c>
      <c r="G2715" s="399" t="s">
        <v>2221</v>
      </c>
      <c r="H2715" s="1235"/>
    </row>
    <row r="2716" spans="1:8" hidden="1">
      <c r="A2716" s="551" t="s">
        <v>2797</v>
      </c>
      <c r="B2716" s="399" t="s">
        <v>1412</v>
      </c>
      <c r="C2716" s="399" t="s">
        <v>184</v>
      </c>
      <c r="D2716" s="399">
        <v>147</v>
      </c>
      <c r="E2716" s="399" t="s">
        <v>2852</v>
      </c>
      <c r="F2716" s="399" t="s">
        <v>2853</v>
      </c>
      <c r="G2716" s="399" t="s">
        <v>2221</v>
      </c>
      <c r="H2716" s="1235"/>
    </row>
    <row r="2717" spans="1:8" hidden="1">
      <c r="A2717" s="551" t="s">
        <v>2797</v>
      </c>
      <c r="B2717" s="399" t="s">
        <v>1412</v>
      </c>
      <c r="C2717" s="399" t="s">
        <v>184</v>
      </c>
      <c r="D2717" s="399">
        <v>149</v>
      </c>
      <c r="E2717" s="399" t="s">
        <v>2854</v>
      </c>
      <c r="F2717" s="399" t="s">
        <v>2855</v>
      </c>
      <c r="G2717" s="399" t="s">
        <v>2221</v>
      </c>
      <c r="H2717" s="1235"/>
    </row>
    <row r="2718" spans="1:8" hidden="1">
      <c r="A2718" s="551" t="s">
        <v>2797</v>
      </c>
      <c r="B2718" s="399" t="s">
        <v>1412</v>
      </c>
      <c r="C2718" s="399" t="s">
        <v>184</v>
      </c>
      <c r="D2718" s="399">
        <v>150</v>
      </c>
      <c r="E2718" s="399" t="s">
        <v>2856</v>
      </c>
      <c r="F2718" s="399" t="s">
        <v>2857</v>
      </c>
      <c r="G2718" s="399" t="s">
        <v>2221</v>
      </c>
      <c r="H2718" s="1235"/>
    </row>
    <row r="2719" spans="1:8" hidden="1">
      <c r="A2719" s="551" t="s">
        <v>2797</v>
      </c>
      <c r="B2719" s="399" t="s">
        <v>1412</v>
      </c>
      <c r="C2719" s="399" t="s">
        <v>184</v>
      </c>
      <c r="D2719" s="399">
        <v>160</v>
      </c>
      <c r="E2719" s="399" t="s">
        <v>2858</v>
      </c>
      <c r="F2719" s="399" t="s">
        <v>2859</v>
      </c>
      <c r="G2719" s="399" t="s">
        <v>2221</v>
      </c>
      <c r="H2719" s="1235"/>
    </row>
    <row r="2720" spans="1:8" hidden="1">
      <c r="A2720" s="551" t="s">
        <v>2797</v>
      </c>
      <c r="B2720" s="399" t="s">
        <v>1412</v>
      </c>
      <c r="C2720" s="399" t="s">
        <v>184</v>
      </c>
      <c r="D2720" s="399">
        <v>161</v>
      </c>
      <c r="E2720" s="399" t="s">
        <v>2860</v>
      </c>
      <c r="F2720" s="399" t="s">
        <v>2861</v>
      </c>
      <c r="G2720" s="399" t="s">
        <v>2221</v>
      </c>
      <c r="H2720" s="1235"/>
    </row>
    <row r="2721" spans="1:8" hidden="1">
      <c r="A2721" s="551" t="s">
        <v>2797</v>
      </c>
      <c r="B2721" s="399" t="s">
        <v>1412</v>
      </c>
      <c r="C2721" s="399" t="s">
        <v>184</v>
      </c>
      <c r="D2721" s="399">
        <v>162</v>
      </c>
      <c r="E2721" s="399" t="s">
        <v>2862</v>
      </c>
      <c r="F2721" s="399" t="s">
        <v>2863</v>
      </c>
      <c r="G2721" s="399" t="s">
        <v>2221</v>
      </c>
      <c r="H2721" s="1235"/>
    </row>
    <row r="2722" spans="1:8" hidden="1">
      <c r="A2722" s="551" t="s">
        <v>2797</v>
      </c>
      <c r="B2722" s="399" t="s">
        <v>1412</v>
      </c>
      <c r="C2722" s="399" t="s">
        <v>184</v>
      </c>
      <c r="D2722" s="399">
        <v>163</v>
      </c>
      <c r="E2722" s="399" t="s">
        <v>2864</v>
      </c>
      <c r="F2722" s="399" t="s">
        <v>2865</v>
      </c>
      <c r="G2722" s="399" t="s">
        <v>2221</v>
      </c>
      <c r="H2722" s="1235"/>
    </row>
    <row r="2723" spans="1:8" hidden="1">
      <c r="A2723" s="551" t="s">
        <v>2797</v>
      </c>
      <c r="B2723" s="399" t="s">
        <v>1412</v>
      </c>
      <c r="C2723" s="399" t="s">
        <v>184</v>
      </c>
      <c r="D2723" s="399">
        <v>164</v>
      </c>
      <c r="E2723" s="399" t="s">
        <v>2866</v>
      </c>
      <c r="F2723" s="399" t="s">
        <v>2867</v>
      </c>
      <c r="G2723" s="399" t="s">
        <v>2221</v>
      </c>
      <c r="H2723" s="1235"/>
    </row>
    <row r="2724" spans="1:8" hidden="1">
      <c r="A2724" s="551" t="s">
        <v>2797</v>
      </c>
      <c r="B2724" s="399" t="s">
        <v>1412</v>
      </c>
      <c r="C2724" s="399" t="s">
        <v>184</v>
      </c>
      <c r="D2724" s="399">
        <v>170</v>
      </c>
      <c r="E2724" s="399" t="s">
        <v>2868</v>
      </c>
      <c r="F2724" s="399" t="s">
        <v>2869</v>
      </c>
      <c r="G2724" s="399" t="s">
        <v>2221</v>
      </c>
      <c r="H2724" s="1235"/>
    </row>
    <row r="2725" spans="1:8" hidden="1">
      <c r="A2725" s="551" t="s">
        <v>2797</v>
      </c>
      <c r="B2725" s="399" t="s">
        <v>1412</v>
      </c>
      <c r="C2725" s="399" t="s">
        <v>184</v>
      </c>
      <c r="D2725" s="399">
        <v>200</v>
      </c>
      <c r="E2725" s="399">
        <v>2</v>
      </c>
      <c r="F2725" s="399" t="s">
        <v>2870</v>
      </c>
      <c r="G2725" s="399" t="s">
        <v>2221</v>
      </c>
      <c r="H2725" s="1235"/>
    </row>
    <row r="2726" spans="1:8" hidden="1">
      <c r="A2726" s="551" t="s">
        <v>2797</v>
      </c>
      <c r="B2726" s="399" t="s">
        <v>1412</v>
      </c>
      <c r="C2726" s="399" t="s">
        <v>184</v>
      </c>
      <c r="D2726" s="399">
        <v>210</v>
      </c>
      <c r="E2726" s="399" t="s">
        <v>2871</v>
      </c>
      <c r="F2726" s="399" t="s">
        <v>2872</v>
      </c>
      <c r="G2726" s="399" t="s">
        <v>2221</v>
      </c>
      <c r="H2726" s="1235"/>
    </row>
    <row r="2727" spans="1:8" hidden="1">
      <c r="A2727" s="551" t="s">
        <v>2797</v>
      </c>
      <c r="B2727" s="399" t="s">
        <v>1412</v>
      </c>
      <c r="C2727" s="399" t="s">
        <v>184</v>
      </c>
      <c r="D2727" s="399">
        <v>220</v>
      </c>
      <c r="E2727" s="399" t="s">
        <v>2873</v>
      </c>
      <c r="F2727" s="399" t="s">
        <v>2874</v>
      </c>
      <c r="G2727" s="399" t="s">
        <v>2221</v>
      </c>
      <c r="H2727" s="1235"/>
    </row>
    <row r="2728" spans="1:8" hidden="1">
      <c r="A2728" s="551" t="s">
        <v>2797</v>
      </c>
      <c r="B2728" s="399" t="s">
        <v>1412</v>
      </c>
      <c r="C2728" s="399" t="s">
        <v>184</v>
      </c>
      <c r="D2728" s="399">
        <v>230</v>
      </c>
      <c r="E2728" s="399" t="s">
        <v>2875</v>
      </c>
      <c r="F2728" s="399" t="s">
        <v>2876</v>
      </c>
      <c r="G2728" s="399" t="s">
        <v>2221</v>
      </c>
      <c r="H2728" s="1235"/>
    </row>
    <row r="2729" spans="1:8" hidden="1">
      <c r="A2729" s="551" t="s">
        <v>2797</v>
      </c>
      <c r="B2729" s="399" t="s">
        <v>1412</v>
      </c>
      <c r="C2729" s="399" t="s">
        <v>184</v>
      </c>
      <c r="D2729" s="399">
        <v>240</v>
      </c>
      <c r="E2729" s="399" t="s">
        <v>2877</v>
      </c>
      <c r="F2729" s="399" t="s">
        <v>2878</v>
      </c>
      <c r="G2729" s="399" t="s">
        <v>2221</v>
      </c>
      <c r="H2729" s="1235"/>
    </row>
    <row r="2730" spans="1:8" hidden="1">
      <c r="A2730" s="551" t="s">
        <v>2797</v>
      </c>
      <c r="B2730" s="399" t="s">
        <v>1412</v>
      </c>
      <c r="C2730" s="399" t="s">
        <v>184</v>
      </c>
      <c r="D2730" s="399">
        <v>300</v>
      </c>
      <c r="E2730" s="399">
        <v>3</v>
      </c>
      <c r="F2730" s="399" t="s">
        <v>2879</v>
      </c>
      <c r="G2730" s="399" t="s">
        <v>2221</v>
      </c>
      <c r="H2730" s="1235"/>
    </row>
    <row r="2731" spans="1:8" hidden="1">
      <c r="A2731" s="551" t="s">
        <v>2797</v>
      </c>
      <c r="B2731" s="399" t="s">
        <v>1412</v>
      </c>
      <c r="C2731" s="399" t="s">
        <v>184</v>
      </c>
      <c r="D2731" s="399">
        <v>310</v>
      </c>
      <c r="E2731" s="399" t="s">
        <v>2880</v>
      </c>
      <c r="F2731" s="399" t="s">
        <v>2881</v>
      </c>
      <c r="G2731" s="399" t="s">
        <v>2221</v>
      </c>
      <c r="H2731" s="1235"/>
    </row>
    <row r="2732" spans="1:8" hidden="1">
      <c r="A2732" s="551" t="s">
        <v>2797</v>
      </c>
      <c r="B2732" s="399" t="s">
        <v>1412</v>
      </c>
      <c r="C2732" s="399" t="s">
        <v>184</v>
      </c>
      <c r="D2732" s="399">
        <v>311</v>
      </c>
      <c r="E2732" s="399" t="s">
        <v>2882</v>
      </c>
      <c r="F2732" s="399" t="s">
        <v>2883</v>
      </c>
      <c r="G2732" s="399" t="s">
        <v>2221</v>
      </c>
      <c r="H2732" s="1235"/>
    </row>
    <row r="2733" spans="1:8" hidden="1">
      <c r="A2733" s="551" t="s">
        <v>2797</v>
      </c>
      <c r="B2733" s="399" t="s">
        <v>1412</v>
      </c>
      <c r="C2733" s="399" t="s">
        <v>184</v>
      </c>
      <c r="D2733" s="399">
        <v>312</v>
      </c>
      <c r="E2733" s="399" t="s">
        <v>2884</v>
      </c>
      <c r="F2733" s="399" t="s">
        <v>2885</v>
      </c>
      <c r="G2733" s="399" t="s">
        <v>2221</v>
      </c>
      <c r="H2733" s="1235"/>
    </row>
    <row r="2734" spans="1:8" hidden="1">
      <c r="A2734" s="551" t="s">
        <v>2797</v>
      </c>
      <c r="B2734" s="399" t="s">
        <v>1412</v>
      </c>
      <c r="C2734" s="399" t="s">
        <v>184</v>
      </c>
      <c r="D2734" s="399">
        <v>320</v>
      </c>
      <c r="E2734" s="399" t="s">
        <v>2886</v>
      </c>
      <c r="F2734" s="399" t="s">
        <v>2887</v>
      </c>
      <c r="G2734" s="399" t="s">
        <v>2221</v>
      </c>
      <c r="H2734" s="1235"/>
    </row>
    <row r="2735" spans="1:8" hidden="1">
      <c r="A2735" s="551" t="s">
        <v>2797</v>
      </c>
      <c r="B2735" s="399" t="s">
        <v>1412</v>
      </c>
      <c r="C2735" s="399" t="s">
        <v>184</v>
      </c>
      <c r="D2735" s="399">
        <v>321</v>
      </c>
      <c r="E2735" s="399" t="s">
        <v>2888</v>
      </c>
      <c r="F2735" s="399" t="s">
        <v>2889</v>
      </c>
      <c r="G2735" s="399" t="s">
        <v>2221</v>
      </c>
      <c r="H2735" s="1235"/>
    </row>
    <row r="2736" spans="1:8" hidden="1">
      <c r="A2736" s="551" t="s">
        <v>2797</v>
      </c>
      <c r="B2736" s="399" t="s">
        <v>1412</v>
      </c>
      <c r="C2736" s="399" t="s">
        <v>184</v>
      </c>
      <c r="D2736" s="399">
        <v>322</v>
      </c>
      <c r="E2736" s="399" t="s">
        <v>2890</v>
      </c>
      <c r="F2736" s="399" t="s">
        <v>2891</v>
      </c>
      <c r="G2736" s="399" t="s">
        <v>2221</v>
      </c>
      <c r="H2736" s="1235"/>
    </row>
    <row r="2737" spans="1:8" hidden="1">
      <c r="A2737" s="551" t="s">
        <v>2797</v>
      </c>
      <c r="B2737" s="399" t="s">
        <v>1412</v>
      </c>
      <c r="C2737" s="399" t="s">
        <v>184</v>
      </c>
      <c r="D2737" s="399">
        <v>500</v>
      </c>
      <c r="E2737" s="399">
        <v>5</v>
      </c>
      <c r="F2737" s="399" t="s">
        <v>2892</v>
      </c>
      <c r="G2737" s="399" t="s">
        <v>2221</v>
      </c>
      <c r="H2737" s="1235"/>
    </row>
    <row r="2738" spans="1:8" hidden="1">
      <c r="A2738" s="551" t="s">
        <v>2797</v>
      </c>
      <c r="B2738" s="399" t="s">
        <v>1412</v>
      </c>
      <c r="C2738" s="399" t="s">
        <v>184</v>
      </c>
      <c r="D2738" s="399">
        <v>510</v>
      </c>
      <c r="E2738" s="399" t="s">
        <v>2893</v>
      </c>
      <c r="F2738" s="399" t="s">
        <v>2894</v>
      </c>
      <c r="G2738" s="399" t="s">
        <v>2221</v>
      </c>
      <c r="H2738" s="1235"/>
    </row>
    <row r="2739" spans="1:8" hidden="1">
      <c r="A2739" s="551" t="s">
        <v>2797</v>
      </c>
      <c r="B2739" s="399" t="s">
        <v>1412</v>
      </c>
      <c r="C2739" s="399" t="s">
        <v>184</v>
      </c>
      <c r="D2739" s="399">
        <v>520</v>
      </c>
      <c r="E2739" s="399" t="s">
        <v>2895</v>
      </c>
      <c r="F2739" s="399" t="s">
        <v>2896</v>
      </c>
      <c r="G2739" s="399" t="s">
        <v>2221</v>
      </c>
      <c r="H2739" s="1235"/>
    </row>
    <row r="2740" spans="1:8" hidden="1">
      <c r="A2740" s="551" t="s">
        <v>2797</v>
      </c>
      <c r="B2740" s="399" t="s">
        <v>1412</v>
      </c>
      <c r="C2740" s="399" t="s">
        <v>184</v>
      </c>
      <c r="D2740" s="399">
        <v>600</v>
      </c>
      <c r="E2740" s="399">
        <v>6</v>
      </c>
      <c r="F2740" s="399" t="s">
        <v>2897</v>
      </c>
      <c r="G2740" s="399" t="s">
        <v>2221</v>
      </c>
      <c r="H2740" s="1235"/>
    </row>
    <row r="2741" spans="1:8" hidden="1">
      <c r="A2741" s="551" t="s">
        <v>2797</v>
      </c>
      <c r="B2741" s="399" t="s">
        <v>1412</v>
      </c>
      <c r="C2741" s="399" t="s">
        <v>184</v>
      </c>
      <c r="D2741" s="399">
        <v>610</v>
      </c>
      <c r="E2741" s="399" t="s">
        <v>2898</v>
      </c>
      <c r="F2741" s="399" t="s">
        <v>2899</v>
      </c>
      <c r="G2741" s="399" t="s">
        <v>2221</v>
      </c>
      <c r="H2741" s="1235"/>
    </row>
    <row r="2742" spans="1:8" hidden="1">
      <c r="A2742" s="551" t="s">
        <v>2797</v>
      </c>
      <c r="B2742" s="399" t="s">
        <v>1412</v>
      </c>
      <c r="C2742" s="399" t="s">
        <v>184</v>
      </c>
      <c r="D2742" s="399">
        <v>620</v>
      </c>
      <c r="E2742" s="399" t="s">
        <v>2900</v>
      </c>
      <c r="F2742" s="399" t="s">
        <v>2901</v>
      </c>
      <c r="G2742" s="399" t="s">
        <v>2221</v>
      </c>
      <c r="H2742" s="1235"/>
    </row>
    <row r="2743" spans="1:8" hidden="1">
      <c r="A2743" s="551" t="s">
        <v>2797</v>
      </c>
      <c r="B2743" s="399" t="s">
        <v>1412</v>
      </c>
      <c r="C2743" s="399" t="s">
        <v>184</v>
      </c>
      <c r="D2743" s="399">
        <v>700</v>
      </c>
      <c r="E2743" s="399">
        <v>7</v>
      </c>
      <c r="F2743" s="399" t="s">
        <v>2902</v>
      </c>
      <c r="G2743" s="399" t="s">
        <v>2221</v>
      </c>
      <c r="H2743" s="1235"/>
    </row>
    <row r="2744" spans="1:8" hidden="1">
      <c r="A2744" s="551" t="s">
        <v>2797</v>
      </c>
      <c r="B2744" s="399" t="s">
        <v>1412</v>
      </c>
      <c r="C2744" s="399" t="s">
        <v>184</v>
      </c>
      <c r="D2744" s="399">
        <v>710</v>
      </c>
      <c r="E2744" s="399" t="s">
        <v>2903</v>
      </c>
      <c r="F2744" s="399" t="s">
        <v>2904</v>
      </c>
      <c r="G2744" s="399" t="s">
        <v>2221</v>
      </c>
      <c r="H2744" s="1235"/>
    </row>
    <row r="2745" spans="1:8" hidden="1">
      <c r="A2745" s="551" t="s">
        <v>2797</v>
      </c>
      <c r="B2745" s="399" t="s">
        <v>1412</v>
      </c>
      <c r="C2745" s="399" t="s">
        <v>184</v>
      </c>
      <c r="D2745" s="399">
        <v>720</v>
      </c>
      <c r="E2745" s="399" t="s">
        <v>2905</v>
      </c>
      <c r="F2745" s="399" t="s">
        <v>2906</v>
      </c>
      <c r="G2745" s="399" t="s">
        <v>2221</v>
      </c>
      <c r="H2745" s="1235"/>
    </row>
    <row r="2746" spans="1:8" hidden="1">
      <c r="A2746" s="551" t="s">
        <v>2797</v>
      </c>
      <c r="B2746" s="399" t="s">
        <v>1412</v>
      </c>
      <c r="C2746" s="399" t="s">
        <v>184</v>
      </c>
      <c r="D2746" s="399">
        <v>721</v>
      </c>
      <c r="E2746" s="399" t="s">
        <v>2907</v>
      </c>
      <c r="F2746" s="399" t="s">
        <v>2908</v>
      </c>
      <c r="G2746" s="399" t="s">
        <v>2221</v>
      </c>
      <c r="H2746" s="1235"/>
    </row>
    <row r="2747" spans="1:8" hidden="1">
      <c r="A2747" s="551" t="s">
        <v>2797</v>
      </c>
      <c r="B2747" s="399" t="s">
        <v>1412</v>
      </c>
      <c r="C2747" s="399" t="s">
        <v>184</v>
      </c>
      <c r="D2747" s="399">
        <v>729</v>
      </c>
      <c r="E2747" s="399" t="s">
        <v>2909</v>
      </c>
      <c r="F2747" s="399" t="s">
        <v>2910</v>
      </c>
      <c r="G2747" s="399" t="s">
        <v>2221</v>
      </c>
      <c r="H2747" s="1235"/>
    </row>
    <row r="2748" spans="1:8" hidden="1">
      <c r="A2748" s="551" t="s">
        <v>2797</v>
      </c>
      <c r="B2748" s="399" t="s">
        <v>1412</v>
      </c>
      <c r="C2748" s="399" t="s">
        <v>184</v>
      </c>
      <c r="D2748" s="399">
        <v>800</v>
      </c>
      <c r="E2748" s="399">
        <v>8</v>
      </c>
      <c r="F2748" s="399" t="s">
        <v>2911</v>
      </c>
      <c r="G2748" s="399" t="s">
        <v>2221</v>
      </c>
      <c r="H2748" s="1235"/>
    </row>
    <row r="2749" spans="1:8" hidden="1">
      <c r="A2749" s="551" t="s">
        <v>2797</v>
      </c>
      <c r="B2749" s="399" t="s">
        <v>1412</v>
      </c>
      <c r="C2749" s="399" t="s">
        <v>184</v>
      </c>
      <c r="D2749" s="399">
        <v>810</v>
      </c>
      <c r="E2749" s="399" t="s">
        <v>2912</v>
      </c>
      <c r="F2749" s="399" t="s">
        <v>2913</v>
      </c>
      <c r="G2749" s="399" t="s">
        <v>2221</v>
      </c>
      <c r="H2749" s="1235"/>
    </row>
    <row r="2750" spans="1:8" hidden="1">
      <c r="A2750" s="551" t="s">
        <v>2797</v>
      </c>
      <c r="B2750" s="399" t="s">
        <v>1412</v>
      </c>
      <c r="C2750" s="399" t="s">
        <v>184</v>
      </c>
      <c r="D2750" s="399">
        <v>811</v>
      </c>
      <c r="E2750" s="399" t="s">
        <v>2914</v>
      </c>
      <c r="F2750" s="399" t="s">
        <v>2915</v>
      </c>
      <c r="G2750" s="399" t="s">
        <v>2221</v>
      </c>
      <c r="H2750" s="1235"/>
    </row>
    <row r="2751" spans="1:8" hidden="1">
      <c r="A2751" s="551" t="s">
        <v>2797</v>
      </c>
      <c r="B2751" s="399" t="s">
        <v>1412</v>
      </c>
      <c r="C2751" s="399" t="s">
        <v>184</v>
      </c>
      <c r="D2751" s="399">
        <v>812</v>
      </c>
      <c r="E2751" s="399" t="s">
        <v>2916</v>
      </c>
      <c r="F2751" s="399" t="s">
        <v>2917</v>
      </c>
      <c r="G2751" s="399" t="s">
        <v>2221</v>
      </c>
      <c r="H2751" s="1235"/>
    </row>
    <row r="2752" spans="1:8" hidden="1">
      <c r="A2752" s="551" t="s">
        <v>2797</v>
      </c>
      <c r="B2752" s="399" t="s">
        <v>1412</v>
      </c>
      <c r="C2752" s="399" t="s">
        <v>184</v>
      </c>
      <c r="D2752" s="399">
        <v>890</v>
      </c>
      <c r="E2752" s="399" t="s">
        <v>2918</v>
      </c>
      <c r="F2752" s="399" t="s">
        <v>2919</v>
      </c>
      <c r="G2752" s="399" t="s">
        <v>2221</v>
      </c>
      <c r="H2752" s="1235"/>
    </row>
    <row r="2753" spans="1:8" hidden="1">
      <c r="A2753" s="551" t="s">
        <v>2797</v>
      </c>
      <c r="B2753" s="399" t="s">
        <v>1412</v>
      </c>
      <c r="C2753" s="399" t="s">
        <v>184</v>
      </c>
      <c r="D2753" s="399">
        <v>891</v>
      </c>
      <c r="E2753" s="399" t="s">
        <v>2920</v>
      </c>
      <c r="F2753" s="399" t="s">
        <v>2921</v>
      </c>
      <c r="G2753" s="399" t="s">
        <v>2221</v>
      </c>
      <c r="H2753" s="1235"/>
    </row>
    <row r="2754" spans="1:8" hidden="1">
      <c r="A2754" s="551" t="s">
        <v>2797</v>
      </c>
      <c r="B2754" s="399" t="s">
        <v>1412</v>
      </c>
      <c r="C2754" s="399" t="s">
        <v>184</v>
      </c>
      <c r="D2754" s="399">
        <v>892</v>
      </c>
      <c r="E2754" s="399" t="s">
        <v>2922</v>
      </c>
      <c r="F2754" s="399" t="s">
        <v>2923</v>
      </c>
      <c r="G2754" s="399" t="s">
        <v>2221</v>
      </c>
      <c r="H2754" s="1235"/>
    </row>
    <row r="2755" spans="1:8" hidden="1">
      <c r="A2755" s="551" t="s">
        <v>2797</v>
      </c>
      <c r="B2755" s="399" t="s">
        <v>1412</v>
      </c>
      <c r="C2755" s="399" t="s">
        <v>184</v>
      </c>
      <c r="D2755" s="399">
        <v>893</v>
      </c>
      <c r="E2755" s="399" t="s">
        <v>2924</v>
      </c>
      <c r="F2755" s="399" t="s">
        <v>2925</v>
      </c>
      <c r="G2755" s="399" t="s">
        <v>2221</v>
      </c>
      <c r="H2755" s="1235"/>
    </row>
    <row r="2756" spans="1:8" hidden="1">
      <c r="A2756" s="551" t="s">
        <v>2797</v>
      </c>
      <c r="B2756" s="399" t="s">
        <v>1412</v>
      </c>
      <c r="C2756" s="399" t="s">
        <v>184</v>
      </c>
      <c r="D2756" s="399">
        <v>899</v>
      </c>
      <c r="E2756" s="399" t="s">
        <v>2926</v>
      </c>
      <c r="F2756" s="399" t="s">
        <v>2927</v>
      </c>
      <c r="G2756" s="399" t="s">
        <v>2221</v>
      </c>
      <c r="H2756" s="1235"/>
    </row>
    <row r="2757" spans="1:8" hidden="1">
      <c r="A2757" s="551" t="s">
        <v>2797</v>
      </c>
      <c r="B2757" s="399" t="s">
        <v>1412</v>
      </c>
      <c r="C2757" s="399" t="s">
        <v>184</v>
      </c>
      <c r="D2757" s="399">
        <v>900</v>
      </c>
      <c r="E2757" s="399">
        <v>9</v>
      </c>
      <c r="F2757" s="399" t="s">
        <v>2928</v>
      </c>
      <c r="G2757" s="399" t="s">
        <v>2221</v>
      </c>
      <c r="H2757" s="1235"/>
    </row>
    <row r="2758" spans="1:8" hidden="1">
      <c r="A2758" s="551" t="s">
        <v>2797</v>
      </c>
      <c r="B2758" s="399" t="s">
        <v>1412</v>
      </c>
      <c r="C2758" s="399" t="s">
        <v>184</v>
      </c>
      <c r="D2758" s="399">
        <v>910</v>
      </c>
      <c r="E2758" s="399" t="s">
        <v>2929</v>
      </c>
      <c r="F2758" s="399" t="s">
        <v>2930</v>
      </c>
      <c r="G2758" s="399" t="s">
        <v>2221</v>
      </c>
      <c r="H2758" s="1235"/>
    </row>
    <row r="2759" spans="1:8" hidden="1">
      <c r="A2759" s="551" t="s">
        <v>2797</v>
      </c>
      <c r="B2759" s="399" t="s">
        <v>1412</v>
      </c>
      <c r="C2759" s="399" t="s">
        <v>184</v>
      </c>
      <c r="D2759" s="399">
        <v>990</v>
      </c>
      <c r="E2759" s="399" t="s">
        <v>2931</v>
      </c>
      <c r="F2759" s="399" t="s">
        <v>2932</v>
      </c>
      <c r="G2759" s="399" t="s">
        <v>2221</v>
      </c>
      <c r="H2759" s="1235"/>
    </row>
    <row r="2760" spans="1:8" hidden="1">
      <c r="A2760" s="551" t="s">
        <v>2797</v>
      </c>
      <c r="B2760" s="399" t="s">
        <v>1412</v>
      </c>
      <c r="C2760" s="399" t="s">
        <v>184</v>
      </c>
      <c r="D2760" s="399">
        <v>1000</v>
      </c>
      <c r="E2760" s="399">
        <v>10</v>
      </c>
      <c r="F2760" s="399" t="s">
        <v>2933</v>
      </c>
      <c r="G2760" s="399" t="s">
        <v>2221</v>
      </c>
      <c r="H2760" s="1235"/>
    </row>
    <row r="2761" spans="1:8" hidden="1">
      <c r="A2761" s="551" t="s">
        <v>2797</v>
      </c>
      <c r="B2761" s="399" t="s">
        <v>1412</v>
      </c>
      <c r="C2761" s="399" t="s">
        <v>184</v>
      </c>
      <c r="D2761" s="399">
        <v>1010</v>
      </c>
      <c r="E2761" s="399" t="s">
        <v>2934</v>
      </c>
      <c r="F2761" s="399" t="s">
        <v>2935</v>
      </c>
      <c r="G2761" s="399" t="s">
        <v>2221</v>
      </c>
      <c r="H2761" s="1235"/>
    </row>
    <row r="2762" spans="1:8" hidden="1">
      <c r="A2762" s="551" t="s">
        <v>2797</v>
      </c>
      <c r="B2762" s="399" t="s">
        <v>1412</v>
      </c>
      <c r="C2762" s="399" t="s">
        <v>184</v>
      </c>
      <c r="D2762" s="399">
        <v>1011</v>
      </c>
      <c r="E2762" s="399" t="s">
        <v>2936</v>
      </c>
      <c r="F2762" s="399" t="s">
        <v>2937</v>
      </c>
      <c r="G2762" s="399" t="s">
        <v>2221</v>
      </c>
      <c r="H2762" s="1235"/>
    </row>
    <row r="2763" spans="1:8" hidden="1">
      <c r="A2763" s="551" t="s">
        <v>2797</v>
      </c>
      <c r="B2763" s="399" t="s">
        <v>1412</v>
      </c>
      <c r="C2763" s="399" t="s">
        <v>184</v>
      </c>
      <c r="D2763" s="399">
        <v>1012</v>
      </c>
      <c r="E2763" s="399" t="s">
        <v>2938</v>
      </c>
      <c r="F2763" s="399" t="s">
        <v>2939</v>
      </c>
      <c r="G2763" s="399" t="s">
        <v>2221</v>
      </c>
      <c r="H2763" s="1235"/>
    </row>
    <row r="2764" spans="1:8" hidden="1">
      <c r="A2764" s="551" t="s">
        <v>2797</v>
      </c>
      <c r="B2764" s="399" t="s">
        <v>1412</v>
      </c>
      <c r="C2764" s="399" t="s">
        <v>184</v>
      </c>
      <c r="D2764" s="399">
        <v>1013</v>
      </c>
      <c r="E2764" s="399" t="s">
        <v>2940</v>
      </c>
      <c r="F2764" s="399" t="s">
        <v>2941</v>
      </c>
      <c r="G2764" s="399" t="s">
        <v>2221</v>
      </c>
      <c r="H2764" s="1235"/>
    </row>
    <row r="2765" spans="1:8" hidden="1">
      <c r="A2765" s="551" t="s">
        <v>2797</v>
      </c>
      <c r="B2765" s="399" t="s">
        <v>1412</v>
      </c>
      <c r="C2765" s="399" t="s">
        <v>184</v>
      </c>
      <c r="D2765" s="399">
        <v>1020</v>
      </c>
      <c r="E2765" s="399" t="s">
        <v>2942</v>
      </c>
      <c r="F2765" s="399" t="s">
        <v>2943</v>
      </c>
      <c r="G2765" s="399" t="s">
        <v>2221</v>
      </c>
      <c r="H2765" s="1235"/>
    </row>
    <row r="2766" spans="1:8" hidden="1">
      <c r="A2766" s="551" t="s">
        <v>2797</v>
      </c>
      <c r="B2766" s="399" t="s">
        <v>1412</v>
      </c>
      <c r="C2766" s="399" t="s">
        <v>184</v>
      </c>
      <c r="D2766" s="399">
        <v>1030</v>
      </c>
      <c r="E2766" s="399" t="s">
        <v>2944</v>
      </c>
      <c r="F2766" s="399" t="s">
        <v>2945</v>
      </c>
      <c r="G2766" s="399" t="s">
        <v>2221</v>
      </c>
      <c r="H2766" s="1235"/>
    </row>
    <row r="2767" spans="1:8" hidden="1">
      <c r="A2767" s="551" t="s">
        <v>2797</v>
      </c>
      <c r="B2767" s="399" t="s">
        <v>1412</v>
      </c>
      <c r="C2767" s="399" t="s">
        <v>184</v>
      </c>
      <c r="D2767" s="399">
        <v>1031</v>
      </c>
      <c r="E2767" s="399" t="s">
        <v>2946</v>
      </c>
      <c r="F2767" s="399" t="s">
        <v>2947</v>
      </c>
      <c r="G2767" s="399" t="s">
        <v>2221</v>
      </c>
      <c r="H2767" s="1235"/>
    </row>
    <row r="2768" spans="1:8" hidden="1">
      <c r="A2768" s="551" t="s">
        <v>2797</v>
      </c>
      <c r="B2768" s="399" t="s">
        <v>1412</v>
      </c>
      <c r="C2768" s="399" t="s">
        <v>184</v>
      </c>
      <c r="D2768" s="399">
        <v>1032</v>
      </c>
      <c r="E2768" s="399" t="s">
        <v>2948</v>
      </c>
      <c r="F2768" s="399" t="s">
        <v>2949</v>
      </c>
      <c r="G2768" s="399" t="s">
        <v>2221</v>
      </c>
      <c r="H2768" s="1235"/>
    </row>
    <row r="2769" spans="1:8" hidden="1">
      <c r="A2769" s="551" t="s">
        <v>2797</v>
      </c>
      <c r="B2769" s="399" t="s">
        <v>1412</v>
      </c>
      <c r="C2769" s="399" t="s">
        <v>184</v>
      </c>
      <c r="D2769" s="399">
        <v>1039</v>
      </c>
      <c r="E2769" s="399" t="s">
        <v>2950</v>
      </c>
      <c r="F2769" s="399" t="s">
        <v>2951</v>
      </c>
      <c r="G2769" s="399" t="s">
        <v>2221</v>
      </c>
      <c r="H2769" s="1235"/>
    </row>
    <row r="2770" spans="1:8" hidden="1">
      <c r="A2770" s="551" t="s">
        <v>2797</v>
      </c>
      <c r="B2770" s="399" t="s">
        <v>1412</v>
      </c>
      <c r="C2770" s="399" t="s">
        <v>184</v>
      </c>
      <c r="D2770" s="399">
        <v>1040</v>
      </c>
      <c r="E2770" s="399" t="s">
        <v>2952</v>
      </c>
      <c r="F2770" s="399" t="s">
        <v>2953</v>
      </c>
      <c r="G2770" s="399" t="s">
        <v>2221</v>
      </c>
      <c r="H2770" s="1235"/>
    </row>
    <row r="2771" spans="1:8" hidden="1">
      <c r="A2771" s="551" t="s">
        <v>2797</v>
      </c>
      <c r="B2771" s="399" t="s">
        <v>1412</v>
      </c>
      <c r="C2771" s="399" t="s">
        <v>184</v>
      </c>
      <c r="D2771" s="399">
        <v>1041</v>
      </c>
      <c r="E2771" s="399" t="s">
        <v>2954</v>
      </c>
      <c r="F2771" s="399" t="s">
        <v>2955</v>
      </c>
      <c r="G2771" s="399" t="s">
        <v>2221</v>
      </c>
      <c r="H2771" s="1235"/>
    </row>
    <row r="2772" spans="1:8" hidden="1">
      <c r="A2772" s="551" t="s">
        <v>2797</v>
      </c>
      <c r="B2772" s="399" t="s">
        <v>1412</v>
      </c>
      <c r="C2772" s="399" t="s">
        <v>184</v>
      </c>
      <c r="D2772" s="399">
        <v>1042</v>
      </c>
      <c r="E2772" s="399" t="s">
        <v>2956</v>
      </c>
      <c r="F2772" s="399" t="s">
        <v>2957</v>
      </c>
      <c r="G2772" s="399" t="s">
        <v>2221</v>
      </c>
      <c r="H2772" s="1235"/>
    </row>
    <row r="2773" spans="1:8" hidden="1">
      <c r="A2773" s="551" t="s">
        <v>2797</v>
      </c>
      <c r="B2773" s="399" t="s">
        <v>1412</v>
      </c>
      <c r="C2773" s="399" t="s">
        <v>184</v>
      </c>
      <c r="D2773" s="399">
        <v>1050</v>
      </c>
      <c r="E2773" s="399" t="s">
        <v>2958</v>
      </c>
      <c r="F2773" s="399" t="s">
        <v>2959</v>
      </c>
      <c r="G2773" s="399" t="s">
        <v>2221</v>
      </c>
      <c r="H2773" s="1235"/>
    </row>
    <row r="2774" spans="1:8" hidden="1">
      <c r="A2774" s="551" t="s">
        <v>2797</v>
      </c>
      <c r="B2774" s="399" t="s">
        <v>1412</v>
      </c>
      <c r="C2774" s="399" t="s">
        <v>184</v>
      </c>
      <c r="D2774" s="399">
        <v>1051</v>
      </c>
      <c r="E2774" s="399" t="s">
        <v>2960</v>
      </c>
      <c r="F2774" s="399" t="s">
        <v>2961</v>
      </c>
      <c r="G2774" s="399" t="s">
        <v>2221</v>
      </c>
      <c r="H2774" s="1235"/>
    </row>
    <row r="2775" spans="1:8" hidden="1">
      <c r="A2775" s="551" t="s">
        <v>2797</v>
      </c>
      <c r="B2775" s="399" t="s">
        <v>1412</v>
      </c>
      <c r="C2775" s="399" t="s">
        <v>184</v>
      </c>
      <c r="D2775" s="399">
        <v>1052</v>
      </c>
      <c r="E2775" s="399" t="s">
        <v>2962</v>
      </c>
      <c r="F2775" s="399" t="s">
        <v>2963</v>
      </c>
      <c r="G2775" s="399" t="s">
        <v>2221</v>
      </c>
      <c r="H2775" s="1235"/>
    </row>
    <row r="2776" spans="1:8" hidden="1">
      <c r="A2776" s="551" t="s">
        <v>2797</v>
      </c>
      <c r="B2776" s="399" t="s">
        <v>1412</v>
      </c>
      <c r="C2776" s="399" t="s">
        <v>184</v>
      </c>
      <c r="D2776" s="399">
        <v>1060</v>
      </c>
      <c r="E2776" s="399" t="s">
        <v>2964</v>
      </c>
      <c r="F2776" s="399" t="s">
        <v>2965</v>
      </c>
      <c r="G2776" s="399" t="s">
        <v>2221</v>
      </c>
      <c r="H2776" s="1235"/>
    </row>
    <row r="2777" spans="1:8" hidden="1">
      <c r="A2777" s="551" t="s">
        <v>2797</v>
      </c>
      <c r="B2777" s="399" t="s">
        <v>1412</v>
      </c>
      <c r="C2777" s="399" t="s">
        <v>184</v>
      </c>
      <c r="D2777" s="399">
        <v>1061</v>
      </c>
      <c r="E2777" s="399" t="s">
        <v>2966</v>
      </c>
      <c r="F2777" s="399" t="s">
        <v>2967</v>
      </c>
      <c r="G2777" s="399" t="s">
        <v>2221</v>
      </c>
      <c r="H2777" s="1235"/>
    </row>
    <row r="2778" spans="1:8" hidden="1">
      <c r="A2778" s="551" t="s">
        <v>2797</v>
      </c>
      <c r="B2778" s="399" t="s">
        <v>1412</v>
      </c>
      <c r="C2778" s="399" t="s">
        <v>184</v>
      </c>
      <c r="D2778" s="399">
        <v>1062</v>
      </c>
      <c r="E2778" s="399" t="s">
        <v>2968</v>
      </c>
      <c r="F2778" s="399" t="s">
        <v>2969</v>
      </c>
      <c r="G2778" s="399" t="s">
        <v>2221</v>
      </c>
      <c r="H2778" s="1235"/>
    </row>
    <row r="2779" spans="1:8" hidden="1">
      <c r="A2779" s="551" t="s">
        <v>2797</v>
      </c>
      <c r="B2779" s="399" t="s">
        <v>1412</v>
      </c>
      <c r="C2779" s="399" t="s">
        <v>184</v>
      </c>
      <c r="D2779" s="399">
        <v>1070</v>
      </c>
      <c r="E2779" s="399" t="s">
        <v>2970</v>
      </c>
      <c r="F2779" s="399" t="s">
        <v>2971</v>
      </c>
      <c r="G2779" s="399" t="s">
        <v>2221</v>
      </c>
      <c r="H2779" s="1235"/>
    </row>
    <row r="2780" spans="1:8" hidden="1">
      <c r="A2780" s="551" t="s">
        <v>2797</v>
      </c>
      <c r="B2780" s="399" t="s">
        <v>1412</v>
      </c>
      <c r="C2780" s="399" t="s">
        <v>184</v>
      </c>
      <c r="D2780" s="399">
        <v>1071</v>
      </c>
      <c r="E2780" s="399" t="s">
        <v>2972</v>
      </c>
      <c r="F2780" s="399" t="s">
        <v>2973</v>
      </c>
      <c r="G2780" s="399" t="s">
        <v>2221</v>
      </c>
      <c r="H2780" s="1235"/>
    </row>
    <row r="2781" spans="1:8" hidden="1">
      <c r="A2781" s="551" t="s">
        <v>2797</v>
      </c>
      <c r="B2781" s="399" t="s">
        <v>1412</v>
      </c>
      <c r="C2781" s="399" t="s">
        <v>184</v>
      </c>
      <c r="D2781" s="399">
        <v>1072</v>
      </c>
      <c r="E2781" s="399" t="s">
        <v>2974</v>
      </c>
      <c r="F2781" s="399" t="s">
        <v>2975</v>
      </c>
      <c r="G2781" s="399" t="s">
        <v>2221</v>
      </c>
      <c r="H2781" s="1235"/>
    </row>
    <row r="2782" spans="1:8" hidden="1">
      <c r="A2782" s="551" t="s">
        <v>2797</v>
      </c>
      <c r="B2782" s="399" t="s">
        <v>1412</v>
      </c>
      <c r="C2782" s="399" t="s">
        <v>184</v>
      </c>
      <c r="D2782" s="399">
        <v>1073</v>
      </c>
      <c r="E2782" s="399" t="s">
        <v>2976</v>
      </c>
      <c r="F2782" s="399" t="s">
        <v>2977</v>
      </c>
      <c r="G2782" s="399" t="s">
        <v>2221</v>
      </c>
      <c r="H2782" s="1235"/>
    </row>
    <row r="2783" spans="1:8" hidden="1">
      <c r="A2783" s="551" t="s">
        <v>2797</v>
      </c>
      <c r="B2783" s="399" t="s">
        <v>1412</v>
      </c>
      <c r="C2783" s="399" t="s">
        <v>184</v>
      </c>
      <c r="D2783" s="399">
        <v>1080</v>
      </c>
      <c r="E2783" s="399" t="s">
        <v>2978</v>
      </c>
      <c r="F2783" s="399" t="s">
        <v>2979</v>
      </c>
      <c r="G2783" s="399" t="s">
        <v>2221</v>
      </c>
      <c r="H2783" s="1235"/>
    </row>
    <row r="2784" spans="1:8" hidden="1">
      <c r="A2784" s="551" t="s">
        <v>2797</v>
      </c>
      <c r="B2784" s="399" t="s">
        <v>1412</v>
      </c>
      <c r="C2784" s="399" t="s">
        <v>184</v>
      </c>
      <c r="D2784" s="399">
        <v>1081</v>
      </c>
      <c r="E2784" s="399" t="s">
        <v>2980</v>
      </c>
      <c r="F2784" s="399" t="s">
        <v>2981</v>
      </c>
      <c r="G2784" s="399" t="s">
        <v>2221</v>
      </c>
      <c r="H2784" s="1235"/>
    </row>
    <row r="2785" spans="1:8" hidden="1">
      <c r="A2785" s="551" t="s">
        <v>2797</v>
      </c>
      <c r="B2785" s="399" t="s">
        <v>1412</v>
      </c>
      <c r="C2785" s="399" t="s">
        <v>184</v>
      </c>
      <c r="D2785" s="399">
        <v>1082</v>
      </c>
      <c r="E2785" s="399" t="s">
        <v>2982</v>
      </c>
      <c r="F2785" s="399" t="s">
        <v>2983</v>
      </c>
      <c r="G2785" s="399" t="s">
        <v>2221</v>
      </c>
      <c r="H2785" s="1235"/>
    </row>
    <row r="2786" spans="1:8" hidden="1">
      <c r="A2786" s="551" t="s">
        <v>2797</v>
      </c>
      <c r="B2786" s="399" t="s">
        <v>1412</v>
      </c>
      <c r="C2786" s="399" t="s">
        <v>184</v>
      </c>
      <c r="D2786" s="399">
        <v>1083</v>
      </c>
      <c r="E2786" s="399" t="s">
        <v>2984</v>
      </c>
      <c r="F2786" s="399" t="s">
        <v>2985</v>
      </c>
      <c r="G2786" s="399" t="s">
        <v>2221</v>
      </c>
      <c r="H2786" s="1235"/>
    </row>
    <row r="2787" spans="1:8" hidden="1">
      <c r="A2787" s="551" t="s">
        <v>2797</v>
      </c>
      <c r="B2787" s="399" t="s">
        <v>1412</v>
      </c>
      <c r="C2787" s="399" t="s">
        <v>184</v>
      </c>
      <c r="D2787" s="399">
        <v>1084</v>
      </c>
      <c r="E2787" s="399" t="s">
        <v>2986</v>
      </c>
      <c r="F2787" s="399" t="s">
        <v>2987</v>
      </c>
      <c r="G2787" s="399" t="s">
        <v>2221</v>
      </c>
      <c r="H2787" s="1235"/>
    </row>
    <row r="2788" spans="1:8" hidden="1">
      <c r="A2788" s="551" t="s">
        <v>2797</v>
      </c>
      <c r="B2788" s="399" t="s">
        <v>1412</v>
      </c>
      <c r="C2788" s="399" t="s">
        <v>184</v>
      </c>
      <c r="D2788" s="399">
        <v>1085</v>
      </c>
      <c r="E2788" s="399" t="s">
        <v>2988</v>
      </c>
      <c r="F2788" s="399" t="s">
        <v>2989</v>
      </c>
      <c r="G2788" s="399" t="s">
        <v>2221</v>
      </c>
      <c r="H2788" s="1235"/>
    </row>
    <row r="2789" spans="1:8" hidden="1">
      <c r="A2789" s="551" t="s">
        <v>2797</v>
      </c>
      <c r="B2789" s="399" t="s">
        <v>1412</v>
      </c>
      <c r="C2789" s="399" t="s">
        <v>184</v>
      </c>
      <c r="D2789" s="399">
        <v>1086</v>
      </c>
      <c r="E2789" s="399" t="s">
        <v>2990</v>
      </c>
      <c r="F2789" s="399" t="s">
        <v>2991</v>
      </c>
      <c r="G2789" s="399" t="s">
        <v>2221</v>
      </c>
      <c r="H2789" s="1235"/>
    </row>
    <row r="2790" spans="1:8" hidden="1">
      <c r="A2790" s="551" t="s">
        <v>2797</v>
      </c>
      <c r="B2790" s="399" t="s">
        <v>1412</v>
      </c>
      <c r="C2790" s="399" t="s">
        <v>184</v>
      </c>
      <c r="D2790" s="399">
        <v>1089</v>
      </c>
      <c r="E2790" s="399" t="s">
        <v>2992</v>
      </c>
      <c r="F2790" s="399" t="s">
        <v>2993</v>
      </c>
      <c r="G2790" s="399" t="s">
        <v>2221</v>
      </c>
      <c r="H2790" s="1235"/>
    </row>
    <row r="2791" spans="1:8" hidden="1">
      <c r="A2791" s="551" t="s">
        <v>2797</v>
      </c>
      <c r="B2791" s="399" t="s">
        <v>1412</v>
      </c>
      <c r="C2791" s="399" t="s">
        <v>184</v>
      </c>
      <c r="D2791" s="399">
        <v>1090</v>
      </c>
      <c r="E2791" s="399" t="s">
        <v>2994</v>
      </c>
      <c r="F2791" s="399" t="s">
        <v>2995</v>
      </c>
      <c r="G2791" s="399" t="s">
        <v>2221</v>
      </c>
      <c r="H2791" s="1235"/>
    </row>
    <row r="2792" spans="1:8" hidden="1">
      <c r="A2792" s="551" t="s">
        <v>2797</v>
      </c>
      <c r="B2792" s="399" t="s">
        <v>1412</v>
      </c>
      <c r="C2792" s="399" t="s">
        <v>184</v>
      </c>
      <c r="D2792" s="399">
        <v>1091</v>
      </c>
      <c r="E2792" s="399" t="s">
        <v>2996</v>
      </c>
      <c r="F2792" s="399" t="s">
        <v>2997</v>
      </c>
      <c r="G2792" s="399" t="s">
        <v>2221</v>
      </c>
      <c r="H2792" s="1235"/>
    </row>
    <row r="2793" spans="1:8" hidden="1">
      <c r="A2793" s="551" t="s">
        <v>2797</v>
      </c>
      <c r="B2793" s="399" t="s">
        <v>1412</v>
      </c>
      <c r="C2793" s="399" t="s">
        <v>184</v>
      </c>
      <c r="D2793" s="399">
        <v>1092</v>
      </c>
      <c r="E2793" s="399" t="s">
        <v>2998</v>
      </c>
      <c r="F2793" s="399" t="s">
        <v>2999</v>
      </c>
      <c r="G2793" s="399" t="s">
        <v>2221</v>
      </c>
      <c r="H2793" s="1235"/>
    </row>
    <row r="2794" spans="1:8" hidden="1">
      <c r="A2794" s="551" t="s">
        <v>2797</v>
      </c>
      <c r="B2794" s="399" t="s">
        <v>1412</v>
      </c>
      <c r="C2794" s="399" t="s">
        <v>184</v>
      </c>
      <c r="D2794" s="399">
        <v>1100</v>
      </c>
      <c r="E2794" s="399">
        <v>11</v>
      </c>
      <c r="F2794" s="399" t="s">
        <v>3000</v>
      </c>
      <c r="G2794" s="399" t="s">
        <v>2221</v>
      </c>
      <c r="H2794" s="1235"/>
    </row>
    <row r="2795" spans="1:8" hidden="1">
      <c r="A2795" s="551" t="s">
        <v>2797</v>
      </c>
      <c r="B2795" s="399" t="s">
        <v>1412</v>
      </c>
      <c r="C2795" s="399" t="s">
        <v>184</v>
      </c>
      <c r="D2795" s="399">
        <v>1101</v>
      </c>
      <c r="E2795" s="399" t="s">
        <v>3001</v>
      </c>
      <c r="F2795" s="399" t="s">
        <v>3002</v>
      </c>
      <c r="G2795" s="399" t="s">
        <v>2221</v>
      </c>
      <c r="H2795" s="1235"/>
    </row>
    <row r="2796" spans="1:8" hidden="1">
      <c r="A2796" s="551" t="s">
        <v>2797</v>
      </c>
      <c r="B2796" s="399" t="s">
        <v>1412</v>
      </c>
      <c r="C2796" s="399" t="s">
        <v>184</v>
      </c>
      <c r="D2796" s="399">
        <v>1102</v>
      </c>
      <c r="E2796" s="399" t="s">
        <v>3003</v>
      </c>
      <c r="F2796" s="399" t="s">
        <v>3004</v>
      </c>
      <c r="G2796" s="399" t="s">
        <v>2221</v>
      </c>
      <c r="H2796" s="1235"/>
    </row>
    <row r="2797" spans="1:8" hidden="1">
      <c r="A2797" s="551" t="s">
        <v>2797</v>
      </c>
      <c r="B2797" s="399" t="s">
        <v>1412</v>
      </c>
      <c r="C2797" s="399" t="s">
        <v>184</v>
      </c>
      <c r="D2797" s="399">
        <v>1103</v>
      </c>
      <c r="E2797" s="399" t="s">
        <v>3005</v>
      </c>
      <c r="F2797" s="399" t="s">
        <v>3006</v>
      </c>
      <c r="G2797" s="399" t="s">
        <v>2221</v>
      </c>
      <c r="H2797" s="1235"/>
    </row>
    <row r="2798" spans="1:8" hidden="1">
      <c r="A2798" s="551" t="s">
        <v>2797</v>
      </c>
      <c r="B2798" s="399" t="s">
        <v>1412</v>
      </c>
      <c r="C2798" s="399" t="s">
        <v>184</v>
      </c>
      <c r="D2798" s="399">
        <v>1104</v>
      </c>
      <c r="E2798" s="399" t="s">
        <v>3007</v>
      </c>
      <c r="F2798" s="399" t="s">
        <v>3008</v>
      </c>
      <c r="G2798" s="399" t="s">
        <v>2221</v>
      </c>
      <c r="H2798" s="1235"/>
    </row>
    <row r="2799" spans="1:8" hidden="1">
      <c r="A2799" s="551" t="s">
        <v>2797</v>
      </c>
      <c r="B2799" s="399" t="s">
        <v>1412</v>
      </c>
      <c r="C2799" s="399" t="s">
        <v>184</v>
      </c>
      <c r="D2799" s="399">
        <v>1105</v>
      </c>
      <c r="E2799" s="399" t="s">
        <v>3009</v>
      </c>
      <c r="F2799" s="399" t="s">
        <v>3010</v>
      </c>
      <c r="G2799" s="399" t="s">
        <v>2221</v>
      </c>
      <c r="H2799" s="1235"/>
    </row>
    <row r="2800" spans="1:8" hidden="1">
      <c r="A2800" s="551" t="s">
        <v>2797</v>
      </c>
      <c r="B2800" s="399" t="s">
        <v>1412</v>
      </c>
      <c r="C2800" s="399" t="s">
        <v>184</v>
      </c>
      <c r="D2800" s="399">
        <v>1106</v>
      </c>
      <c r="E2800" s="399" t="s">
        <v>3011</v>
      </c>
      <c r="F2800" s="399" t="s">
        <v>3012</v>
      </c>
      <c r="G2800" s="399" t="s">
        <v>2221</v>
      </c>
      <c r="H2800" s="1235"/>
    </row>
    <row r="2801" spans="1:8" hidden="1">
      <c r="A2801" s="551" t="s">
        <v>2797</v>
      </c>
      <c r="B2801" s="399" t="s">
        <v>1412</v>
      </c>
      <c r="C2801" s="399" t="s">
        <v>184</v>
      </c>
      <c r="D2801" s="399">
        <v>1107</v>
      </c>
      <c r="E2801" s="399" t="s">
        <v>3013</v>
      </c>
      <c r="F2801" s="399" t="s">
        <v>3014</v>
      </c>
      <c r="G2801" s="399" t="s">
        <v>2221</v>
      </c>
      <c r="H2801" s="1235"/>
    </row>
    <row r="2802" spans="1:8" hidden="1">
      <c r="A2802" s="551" t="s">
        <v>2797</v>
      </c>
      <c r="B2802" s="399" t="s">
        <v>1412</v>
      </c>
      <c r="C2802" s="399" t="s">
        <v>184</v>
      </c>
      <c r="D2802" s="399">
        <v>1200</v>
      </c>
      <c r="E2802" s="399">
        <v>12</v>
      </c>
      <c r="F2802" s="399" t="s">
        <v>3015</v>
      </c>
      <c r="G2802" s="399" t="s">
        <v>2221</v>
      </c>
      <c r="H2802" s="1235"/>
    </row>
    <row r="2803" spans="1:8" hidden="1">
      <c r="A2803" s="551" t="s">
        <v>2797</v>
      </c>
      <c r="B2803" s="399" t="s">
        <v>1412</v>
      </c>
      <c r="C2803" s="399" t="s">
        <v>184</v>
      </c>
      <c r="D2803" s="399">
        <v>1300</v>
      </c>
      <c r="E2803" s="399">
        <v>13</v>
      </c>
      <c r="F2803" s="399" t="s">
        <v>3016</v>
      </c>
      <c r="G2803" s="399" t="s">
        <v>2221</v>
      </c>
      <c r="H2803" s="1235"/>
    </row>
    <row r="2804" spans="1:8" hidden="1">
      <c r="A2804" s="551" t="s">
        <v>2797</v>
      </c>
      <c r="B2804" s="399" t="s">
        <v>1412</v>
      </c>
      <c r="C2804" s="399" t="s">
        <v>184</v>
      </c>
      <c r="D2804" s="399">
        <v>1310</v>
      </c>
      <c r="E2804" s="399" t="s">
        <v>3017</v>
      </c>
      <c r="F2804" s="399" t="s">
        <v>3018</v>
      </c>
      <c r="G2804" s="399" t="s">
        <v>2221</v>
      </c>
      <c r="H2804" s="1235"/>
    </row>
    <row r="2805" spans="1:8" hidden="1">
      <c r="A2805" s="551" t="s">
        <v>2797</v>
      </c>
      <c r="B2805" s="399" t="s">
        <v>1412</v>
      </c>
      <c r="C2805" s="399" t="s">
        <v>184</v>
      </c>
      <c r="D2805" s="399">
        <v>1320</v>
      </c>
      <c r="E2805" s="399" t="s">
        <v>3019</v>
      </c>
      <c r="F2805" s="399" t="s">
        <v>3020</v>
      </c>
      <c r="G2805" s="399" t="s">
        <v>2221</v>
      </c>
      <c r="H2805" s="1235"/>
    </row>
    <row r="2806" spans="1:8" hidden="1">
      <c r="A2806" s="551" t="s">
        <v>2797</v>
      </c>
      <c r="B2806" s="399" t="s">
        <v>1412</v>
      </c>
      <c r="C2806" s="399" t="s">
        <v>184</v>
      </c>
      <c r="D2806" s="399">
        <v>1330</v>
      </c>
      <c r="E2806" s="399" t="s">
        <v>3021</v>
      </c>
      <c r="F2806" s="399" t="s">
        <v>3022</v>
      </c>
      <c r="G2806" s="399" t="s">
        <v>2221</v>
      </c>
      <c r="H2806" s="1235"/>
    </row>
    <row r="2807" spans="1:8" hidden="1">
      <c r="A2807" s="551" t="s">
        <v>2797</v>
      </c>
      <c r="B2807" s="399" t="s">
        <v>1412</v>
      </c>
      <c r="C2807" s="399" t="s">
        <v>184</v>
      </c>
      <c r="D2807" s="399">
        <v>1390</v>
      </c>
      <c r="E2807" s="399" t="s">
        <v>3023</v>
      </c>
      <c r="F2807" s="399" t="s">
        <v>3024</v>
      </c>
      <c r="G2807" s="399" t="s">
        <v>2221</v>
      </c>
      <c r="H2807" s="1235"/>
    </row>
    <row r="2808" spans="1:8" hidden="1">
      <c r="A2808" s="551" t="s">
        <v>2797</v>
      </c>
      <c r="B2808" s="399" t="s">
        <v>1412</v>
      </c>
      <c r="C2808" s="399" t="s">
        <v>184</v>
      </c>
      <c r="D2808" s="399">
        <v>1391</v>
      </c>
      <c r="E2808" s="399" t="s">
        <v>3025</v>
      </c>
      <c r="F2808" s="399" t="s">
        <v>3026</v>
      </c>
      <c r="G2808" s="399" t="s">
        <v>2221</v>
      </c>
      <c r="H2808" s="1235"/>
    </row>
    <row r="2809" spans="1:8" hidden="1">
      <c r="A2809" s="551" t="s">
        <v>2797</v>
      </c>
      <c r="B2809" s="399" t="s">
        <v>1412</v>
      </c>
      <c r="C2809" s="399" t="s">
        <v>184</v>
      </c>
      <c r="D2809" s="399">
        <v>1392</v>
      </c>
      <c r="E2809" s="399" t="s">
        <v>3027</v>
      </c>
      <c r="F2809" s="399" t="s">
        <v>3028</v>
      </c>
      <c r="G2809" s="399" t="s">
        <v>2221</v>
      </c>
      <c r="H2809" s="1235"/>
    </row>
    <row r="2810" spans="1:8" hidden="1">
      <c r="A2810" s="551" t="s">
        <v>2797</v>
      </c>
      <c r="B2810" s="399" t="s">
        <v>1412</v>
      </c>
      <c r="C2810" s="399" t="s">
        <v>184</v>
      </c>
      <c r="D2810" s="399">
        <v>1393</v>
      </c>
      <c r="E2810" s="399" t="s">
        <v>3029</v>
      </c>
      <c r="F2810" s="399" t="s">
        <v>3030</v>
      </c>
      <c r="G2810" s="399" t="s">
        <v>2221</v>
      </c>
      <c r="H2810" s="1235"/>
    </row>
    <row r="2811" spans="1:8" hidden="1">
      <c r="A2811" s="551" t="s">
        <v>2797</v>
      </c>
      <c r="B2811" s="399" t="s">
        <v>1412</v>
      </c>
      <c r="C2811" s="399" t="s">
        <v>184</v>
      </c>
      <c r="D2811" s="399">
        <v>1394</v>
      </c>
      <c r="E2811" s="399" t="s">
        <v>3031</v>
      </c>
      <c r="F2811" s="399" t="s">
        <v>3032</v>
      </c>
      <c r="G2811" s="399" t="s">
        <v>2221</v>
      </c>
      <c r="H2811" s="1235"/>
    </row>
    <row r="2812" spans="1:8" hidden="1">
      <c r="A2812" s="551" t="s">
        <v>2797</v>
      </c>
      <c r="B2812" s="399" t="s">
        <v>1412</v>
      </c>
      <c r="C2812" s="399" t="s">
        <v>184</v>
      </c>
      <c r="D2812" s="399">
        <v>1395</v>
      </c>
      <c r="E2812" s="399" t="s">
        <v>3033</v>
      </c>
      <c r="F2812" s="399" t="s">
        <v>3034</v>
      </c>
      <c r="G2812" s="399" t="s">
        <v>2221</v>
      </c>
      <c r="H2812" s="1235"/>
    </row>
    <row r="2813" spans="1:8" hidden="1">
      <c r="A2813" s="551" t="s">
        <v>2797</v>
      </c>
      <c r="B2813" s="399" t="s">
        <v>1412</v>
      </c>
      <c r="C2813" s="399" t="s">
        <v>184</v>
      </c>
      <c r="D2813" s="399">
        <v>1396</v>
      </c>
      <c r="E2813" s="399" t="s">
        <v>3035</v>
      </c>
      <c r="F2813" s="399" t="s">
        <v>3036</v>
      </c>
      <c r="G2813" s="399" t="s">
        <v>2221</v>
      </c>
      <c r="H2813" s="1235"/>
    </row>
    <row r="2814" spans="1:8" hidden="1">
      <c r="A2814" s="551" t="s">
        <v>2797</v>
      </c>
      <c r="B2814" s="399" t="s">
        <v>1412</v>
      </c>
      <c r="C2814" s="399" t="s">
        <v>184</v>
      </c>
      <c r="D2814" s="399">
        <v>1399</v>
      </c>
      <c r="E2814" s="399" t="s">
        <v>3037</v>
      </c>
      <c r="F2814" s="399" t="s">
        <v>3038</v>
      </c>
      <c r="G2814" s="399" t="s">
        <v>2221</v>
      </c>
      <c r="H2814" s="1235"/>
    </row>
    <row r="2815" spans="1:8" hidden="1">
      <c r="A2815" s="551" t="s">
        <v>2797</v>
      </c>
      <c r="B2815" s="399" t="s">
        <v>1412</v>
      </c>
      <c r="C2815" s="399" t="s">
        <v>184</v>
      </c>
      <c r="D2815" s="399">
        <v>1400</v>
      </c>
      <c r="E2815" s="399">
        <v>14</v>
      </c>
      <c r="F2815" s="399" t="s">
        <v>3039</v>
      </c>
      <c r="G2815" s="399" t="s">
        <v>2221</v>
      </c>
      <c r="H2815" s="1235"/>
    </row>
    <row r="2816" spans="1:8" hidden="1">
      <c r="A2816" s="551" t="s">
        <v>2797</v>
      </c>
      <c r="B2816" s="399" t="s">
        <v>1412</v>
      </c>
      <c r="C2816" s="399" t="s">
        <v>184</v>
      </c>
      <c r="D2816" s="399">
        <v>1410</v>
      </c>
      <c r="E2816" s="399" t="s">
        <v>3040</v>
      </c>
      <c r="F2816" s="399" t="s">
        <v>3041</v>
      </c>
      <c r="G2816" s="399" t="s">
        <v>2221</v>
      </c>
      <c r="H2816" s="1235"/>
    </row>
    <row r="2817" spans="1:8" hidden="1">
      <c r="A2817" s="551" t="s">
        <v>2797</v>
      </c>
      <c r="B2817" s="399" t="s">
        <v>1412</v>
      </c>
      <c r="C2817" s="399" t="s">
        <v>184</v>
      </c>
      <c r="D2817" s="399">
        <v>1411</v>
      </c>
      <c r="E2817" s="399" t="s">
        <v>3042</v>
      </c>
      <c r="F2817" s="399" t="s">
        <v>3043</v>
      </c>
      <c r="G2817" s="399" t="s">
        <v>2221</v>
      </c>
      <c r="H2817" s="1235"/>
    </row>
    <row r="2818" spans="1:8" hidden="1">
      <c r="A2818" s="551" t="s">
        <v>2797</v>
      </c>
      <c r="B2818" s="399" t="s">
        <v>1412</v>
      </c>
      <c r="C2818" s="399" t="s">
        <v>184</v>
      </c>
      <c r="D2818" s="399">
        <v>1412</v>
      </c>
      <c r="E2818" s="399" t="s">
        <v>3044</v>
      </c>
      <c r="F2818" s="399" t="s">
        <v>3045</v>
      </c>
      <c r="G2818" s="399" t="s">
        <v>2221</v>
      </c>
      <c r="H2818" s="1235"/>
    </row>
    <row r="2819" spans="1:8" hidden="1">
      <c r="A2819" s="551" t="s">
        <v>2797</v>
      </c>
      <c r="B2819" s="399" t="s">
        <v>1412</v>
      </c>
      <c r="C2819" s="399" t="s">
        <v>184</v>
      </c>
      <c r="D2819" s="399">
        <v>1413</v>
      </c>
      <c r="E2819" s="399" t="s">
        <v>3046</v>
      </c>
      <c r="F2819" s="399" t="s">
        <v>3047</v>
      </c>
      <c r="G2819" s="399" t="s">
        <v>2221</v>
      </c>
      <c r="H2819" s="1235"/>
    </row>
    <row r="2820" spans="1:8" hidden="1">
      <c r="A2820" s="551" t="s">
        <v>2797</v>
      </c>
      <c r="B2820" s="399" t="s">
        <v>1412</v>
      </c>
      <c r="C2820" s="399" t="s">
        <v>184</v>
      </c>
      <c r="D2820" s="399">
        <v>1414</v>
      </c>
      <c r="E2820" s="399" t="s">
        <v>3048</v>
      </c>
      <c r="F2820" s="399" t="s">
        <v>3049</v>
      </c>
      <c r="G2820" s="399" t="s">
        <v>2221</v>
      </c>
      <c r="H2820" s="1235"/>
    </row>
    <row r="2821" spans="1:8" hidden="1">
      <c r="A2821" s="551" t="s">
        <v>2797</v>
      </c>
      <c r="B2821" s="399" t="s">
        <v>1412</v>
      </c>
      <c r="C2821" s="399" t="s">
        <v>184</v>
      </c>
      <c r="D2821" s="399">
        <v>1419</v>
      </c>
      <c r="E2821" s="399" t="s">
        <v>3050</v>
      </c>
      <c r="F2821" s="399" t="s">
        <v>3051</v>
      </c>
      <c r="G2821" s="399" t="s">
        <v>2221</v>
      </c>
      <c r="H2821" s="1235"/>
    </row>
    <row r="2822" spans="1:8" hidden="1">
      <c r="A2822" s="551" t="s">
        <v>2797</v>
      </c>
      <c r="B2822" s="399" t="s">
        <v>1412</v>
      </c>
      <c r="C2822" s="399" t="s">
        <v>184</v>
      </c>
      <c r="D2822" s="399">
        <v>1420</v>
      </c>
      <c r="E2822" s="399" t="s">
        <v>3052</v>
      </c>
      <c r="F2822" s="399" t="s">
        <v>3053</v>
      </c>
      <c r="G2822" s="399" t="s">
        <v>2221</v>
      </c>
      <c r="H2822" s="1235"/>
    </row>
    <row r="2823" spans="1:8" hidden="1">
      <c r="A2823" s="551" t="s">
        <v>2797</v>
      </c>
      <c r="B2823" s="399" t="s">
        <v>1412</v>
      </c>
      <c r="C2823" s="399" t="s">
        <v>184</v>
      </c>
      <c r="D2823" s="399">
        <v>1430</v>
      </c>
      <c r="E2823" s="399" t="s">
        <v>3054</v>
      </c>
      <c r="F2823" s="399" t="s">
        <v>3055</v>
      </c>
      <c r="G2823" s="399" t="s">
        <v>2221</v>
      </c>
      <c r="H2823" s="1235"/>
    </row>
    <row r="2824" spans="1:8" hidden="1">
      <c r="A2824" s="551" t="s">
        <v>2797</v>
      </c>
      <c r="B2824" s="399" t="s">
        <v>1412</v>
      </c>
      <c r="C2824" s="399" t="s">
        <v>184</v>
      </c>
      <c r="D2824" s="399">
        <v>1431</v>
      </c>
      <c r="E2824" s="399" t="s">
        <v>3056</v>
      </c>
      <c r="F2824" s="399" t="s">
        <v>3057</v>
      </c>
      <c r="G2824" s="399" t="s">
        <v>2221</v>
      </c>
      <c r="H2824" s="1235"/>
    </row>
    <row r="2825" spans="1:8" hidden="1">
      <c r="A2825" s="551" t="s">
        <v>2797</v>
      </c>
      <c r="B2825" s="399" t="s">
        <v>1412</v>
      </c>
      <c r="C2825" s="399" t="s">
        <v>184</v>
      </c>
      <c r="D2825" s="399">
        <v>1439</v>
      </c>
      <c r="E2825" s="399" t="s">
        <v>3058</v>
      </c>
      <c r="F2825" s="399" t="s">
        <v>3059</v>
      </c>
      <c r="G2825" s="399" t="s">
        <v>2221</v>
      </c>
      <c r="H2825" s="1235"/>
    </row>
    <row r="2826" spans="1:8" hidden="1">
      <c r="A2826" s="551" t="s">
        <v>2797</v>
      </c>
      <c r="B2826" s="399" t="s">
        <v>1412</v>
      </c>
      <c r="C2826" s="399" t="s">
        <v>184</v>
      </c>
      <c r="D2826" s="399">
        <v>1500</v>
      </c>
      <c r="E2826" s="399">
        <v>15</v>
      </c>
      <c r="F2826" s="399" t="s">
        <v>3060</v>
      </c>
      <c r="G2826" s="399" t="s">
        <v>2221</v>
      </c>
      <c r="H2826" s="1235"/>
    </row>
    <row r="2827" spans="1:8" hidden="1">
      <c r="A2827" s="551" t="s">
        <v>2797</v>
      </c>
      <c r="B2827" s="399" t="s">
        <v>1412</v>
      </c>
      <c r="C2827" s="399" t="s">
        <v>184</v>
      </c>
      <c r="D2827" s="399">
        <v>1510</v>
      </c>
      <c r="E2827" s="399" t="s">
        <v>3061</v>
      </c>
      <c r="F2827" s="399" t="s">
        <v>3062</v>
      </c>
      <c r="G2827" s="399" t="s">
        <v>2221</v>
      </c>
      <c r="H2827" s="1235"/>
    </row>
    <row r="2828" spans="1:8" hidden="1">
      <c r="A2828" s="551" t="s">
        <v>2797</v>
      </c>
      <c r="B2828" s="399" t="s">
        <v>1412</v>
      </c>
      <c r="C2828" s="399" t="s">
        <v>184</v>
      </c>
      <c r="D2828" s="399">
        <v>1511</v>
      </c>
      <c r="E2828" s="399" t="s">
        <v>3063</v>
      </c>
      <c r="F2828" s="399" t="s">
        <v>3064</v>
      </c>
      <c r="G2828" s="399" t="s">
        <v>2221</v>
      </c>
      <c r="H2828" s="1235"/>
    </row>
    <row r="2829" spans="1:8" hidden="1">
      <c r="A2829" s="551" t="s">
        <v>2797</v>
      </c>
      <c r="B2829" s="399" t="s">
        <v>1412</v>
      </c>
      <c r="C2829" s="399" t="s">
        <v>184</v>
      </c>
      <c r="D2829" s="399">
        <v>1512</v>
      </c>
      <c r="E2829" s="399" t="s">
        <v>3065</v>
      </c>
      <c r="F2829" s="399" t="s">
        <v>3066</v>
      </c>
      <c r="G2829" s="399" t="s">
        <v>2221</v>
      </c>
      <c r="H2829" s="1235"/>
    </row>
    <row r="2830" spans="1:8" hidden="1">
      <c r="A2830" s="551" t="s">
        <v>2797</v>
      </c>
      <c r="B2830" s="399" t="s">
        <v>1412</v>
      </c>
      <c r="C2830" s="399" t="s">
        <v>184</v>
      </c>
      <c r="D2830" s="399">
        <v>1520</v>
      </c>
      <c r="E2830" s="399" t="s">
        <v>3067</v>
      </c>
      <c r="F2830" s="399" t="s">
        <v>3068</v>
      </c>
      <c r="G2830" s="399" t="s">
        <v>2221</v>
      </c>
      <c r="H2830" s="1235"/>
    </row>
    <row r="2831" spans="1:8" hidden="1">
      <c r="A2831" s="551" t="s">
        <v>2797</v>
      </c>
      <c r="B2831" s="399" t="s">
        <v>1412</v>
      </c>
      <c r="C2831" s="399" t="s">
        <v>184</v>
      </c>
      <c r="D2831" s="399">
        <v>1600</v>
      </c>
      <c r="E2831" s="399">
        <v>16</v>
      </c>
      <c r="F2831" s="399" t="s">
        <v>3069</v>
      </c>
      <c r="G2831" s="399" t="s">
        <v>2221</v>
      </c>
      <c r="H2831" s="1235"/>
    </row>
    <row r="2832" spans="1:8" hidden="1">
      <c r="A2832" s="551" t="s">
        <v>2797</v>
      </c>
      <c r="B2832" s="399" t="s">
        <v>1412</v>
      </c>
      <c r="C2832" s="399" t="s">
        <v>184</v>
      </c>
      <c r="D2832" s="399">
        <v>1610</v>
      </c>
      <c r="E2832" s="399" t="s">
        <v>3070</v>
      </c>
      <c r="F2832" s="399" t="s">
        <v>3071</v>
      </c>
      <c r="G2832" s="399" t="s">
        <v>2221</v>
      </c>
      <c r="H2832" s="1235"/>
    </row>
    <row r="2833" spans="1:8" hidden="1">
      <c r="A2833" s="551" t="s">
        <v>2797</v>
      </c>
      <c r="B2833" s="399" t="s">
        <v>1412</v>
      </c>
      <c r="C2833" s="399" t="s">
        <v>184</v>
      </c>
      <c r="D2833" s="399">
        <v>1620</v>
      </c>
      <c r="E2833" s="399" t="s">
        <v>3072</v>
      </c>
      <c r="F2833" s="399" t="s">
        <v>3073</v>
      </c>
      <c r="G2833" s="399" t="s">
        <v>2221</v>
      </c>
      <c r="H2833" s="1235"/>
    </row>
    <row r="2834" spans="1:8" hidden="1">
      <c r="A2834" s="551" t="s">
        <v>2797</v>
      </c>
      <c r="B2834" s="399" t="s">
        <v>1412</v>
      </c>
      <c r="C2834" s="399" t="s">
        <v>184</v>
      </c>
      <c r="D2834" s="399">
        <v>1621</v>
      </c>
      <c r="E2834" s="399" t="s">
        <v>3074</v>
      </c>
      <c r="F2834" s="399" t="s">
        <v>3075</v>
      </c>
      <c r="G2834" s="399" t="s">
        <v>2221</v>
      </c>
      <c r="H2834" s="1235"/>
    </row>
    <row r="2835" spans="1:8" hidden="1">
      <c r="A2835" s="551" t="s">
        <v>2797</v>
      </c>
      <c r="B2835" s="399" t="s">
        <v>1412</v>
      </c>
      <c r="C2835" s="399" t="s">
        <v>184</v>
      </c>
      <c r="D2835" s="399">
        <v>1622</v>
      </c>
      <c r="E2835" s="399" t="s">
        <v>3076</v>
      </c>
      <c r="F2835" s="399" t="s">
        <v>3077</v>
      </c>
      <c r="G2835" s="399" t="s">
        <v>2221</v>
      </c>
      <c r="H2835" s="1235"/>
    </row>
    <row r="2836" spans="1:8" hidden="1">
      <c r="A2836" s="551" t="s">
        <v>2797</v>
      </c>
      <c r="B2836" s="399" t="s">
        <v>1412</v>
      </c>
      <c r="C2836" s="399" t="s">
        <v>184</v>
      </c>
      <c r="D2836" s="399">
        <v>1623</v>
      </c>
      <c r="E2836" s="399" t="s">
        <v>3078</v>
      </c>
      <c r="F2836" s="399" t="s">
        <v>3079</v>
      </c>
      <c r="G2836" s="399" t="s">
        <v>2221</v>
      </c>
      <c r="H2836" s="1235"/>
    </row>
    <row r="2837" spans="1:8" hidden="1">
      <c r="A2837" s="551" t="s">
        <v>2797</v>
      </c>
      <c r="B2837" s="399" t="s">
        <v>1412</v>
      </c>
      <c r="C2837" s="399" t="s">
        <v>184</v>
      </c>
      <c r="D2837" s="399">
        <v>1624</v>
      </c>
      <c r="E2837" s="399" t="s">
        <v>3080</v>
      </c>
      <c r="F2837" s="399" t="s">
        <v>3081</v>
      </c>
      <c r="G2837" s="399" t="s">
        <v>2221</v>
      </c>
      <c r="H2837" s="1235"/>
    </row>
    <row r="2838" spans="1:8" hidden="1">
      <c r="A2838" s="551" t="s">
        <v>2797</v>
      </c>
      <c r="B2838" s="399" t="s">
        <v>1412</v>
      </c>
      <c r="C2838" s="399" t="s">
        <v>184</v>
      </c>
      <c r="D2838" s="399">
        <v>1629</v>
      </c>
      <c r="E2838" s="399" t="s">
        <v>3082</v>
      </c>
      <c r="F2838" s="399" t="s">
        <v>3083</v>
      </c>
      <c r="G2838" s="399" t="s">
        <v>2221</v>
      </c>
      <c r="H2838" s="1235"/>
    </row>
    <row r="2839" spans="1:8" hidden="1">
      <c r="A2839" s="551" t="s">
        <v>2797</v>
      </c>
      <c r="B2839" s="399" t="s">
        <v>1412</v>
      </c>
      <c r="C2839" s="399" t="s">
        <v>184</v>
      </c>
      <c r="D2839" s="399">
        <v>1700</v>
      </c>
      <c r="E2839" s="399">
        <v>17</v>
      </c>
      <c r="F2839" s="399" t="s">
        <v>3084</v>
      </c>
      <c r="G2839" s="399" t="s">
        <v>2221</v>
      </c>
      <c r="H2839" s="1235"/>
    </row>
    <row r="2840" spans="1:8" hidden="1">
      <c r="A2840" s="551" t="s">
        <v>2797</v>
      </c>
      <c r="B2840" s="399" t="s">
        <v>1412</v>
      </c>
      <c r="C2840" s="399" t="s">
        <v>184</v>
      </c>
      <c r="D2840" s="399">
        <v>1710</v>
      </c>
      <c r="E2840" s="399" t="s">
        <v>3085</v>
      </c>
      <c r="F2840" s="399" t="s">
        <v>3086</v>
      </c>
      <c r="G2840" s="399" t="s">
        <v>2221</v>
      </c>
      <c r="H2840" s="1235"/>
    </row>
    <row r="2841" spans="1:8" hidden="1">
      <c r="A2841" s="551" t="s">
        <v>2797</v>
      </c>
      <c r="B2841" s="399" t="s">
        <v>1412</v>
      </c>
      <c r="C2841" s="399" t="s">
        <v>184</v>
      </c>
      <c r="D2841" s="399">
        <v>1711</v>
      </c>
      <c r="E2841" s="399" t="s">
        <v>3087</v>
      </c>
      <c r="F2841" s="399" t="s">
        <v>3088</v>
      </c>
      <c r="G2841" s="399" t="s">
        <v>2221</v>
      </c>
      <c r="H2841" s="1235"/>
    </row>
    <row r="2842" spans="1:8" hidden="1">
      <c r="A2842" s="551" t="s">
        <v>2797</v>
      </c>
      <c r="B2842" s="399" t="s">
        <v>1412</v>
      </c>
      <c r="C2842" s="399" t="s">
        <v>184</v>
      </c>
      <c r="D2842" s="399">
        <v>1712</v>
      </c>
      <c r="E2842" s="399" t="s">
        <v>3089</v>
      </c>
      <c r="F2842" s="399" t="s">
        <v>3090</v>
      </c>
      <c r="G2842" s="399" t="s">
        <v>2221</v>
      </c>
      <c r="H2842" s="1235"/>
    </row>
    <row r="2843" spans="1:8" hidden="1">
      <c r="A2843" s="551" t="s">
        <v>2797</v>
      </c>
      <c r="B2843" s="399" t="s">
        <v>1412</v>
      </c>
      <c r="C2843" s="399" t="s">
        <v>184</v>
      </c>
      <c r="D2843" s="399">
        <v>1720</v>
      </c>
      <c r="E2843" s="399" t="s">
        <v>3091</v>
      </c>
      <c r="F2843" s="399" t="s">
        <v>3092</v>
      </c>
      <c r="G2843" s="399" t="s">
        <v>2221</v>
      </c>
      <c r="H2843" s="1235"/>
    </row>
    <row r="2844" spans="1:8" hidden="1">
      <c r="A2844" s="551" t="s">
        <v>2797</v>
      </c>
      <c r="B2844" s="399" t="s">
        <v>1412</v>
      </c>
      <c r="C2844" s="399" t="s">
        <v>184</v>
      </c>
      <c r="D2844" s="399">
        <v>1721</v>
      </c>
      <c r="E2844" s="399" t="s">
        <v>3093</v>
      </c>
      <c r="F2844" s="399" t="s">
        <v>3094</v>
      </c>
      <c r="G2844" s="399" t="s">
        <v>2221</v>
      </c>
      <c r="H2844" s="1235"/>
    </row>
    <row r="2845" spans="1:8" hidden="1">
      <c r="A2845" s="551" t="s">
        <v>2797</v>
      </c>
      <c r="B2845" s="399" t="s">
        <v>1412</v>
      </c>
      <c r="C2845" s="399" t="s">
        <v>184</v>
      </c>
      <c r="D2845" s="399">
        <v>1722</v>
      </c>
      <c r="E2845" s="399" t="s">
        <v>3095</v>
      </c>
      <c r="F2845" s="399" t="s">
        <v>3096</v>
      </c>
      <c r="G2845" s="399" t="s">
        <v>2221</v>
      </c>
      <c r="H2845" s="1235"/>
    </row>
    <row r="2846" spans="1:8" hidden="1">
      <c r="A2846" s="551" t="s">
        <v>2797</v>
      </c>
      <c r="B2846" s="399" t="s">
        <v>1412</v>
      </c>
      <c r="C2846" s="399" t="s">
        <v>184</v>
      </c>
      <c r="D2846" s="399">
        <v>1723</v>
      </c>
      <c r="E2846" s="399" t="s">
        <v>3097</v>
      </c>
      <c r="F2846" s="399" t="s">
        <v>3098</v>
      </c>
      <c r="G2846" s="399" t="s">
        <v>2221</v>
      </c>
      <c r="H2846" s="1235"/>
    </row>
    <row r="2847" spans="1:8" hidden="1">
      <c r="A2847" s="551" t="s">
        <v>2797</v>
      </c>
      <c r="B2847" s="399" t="s">
        <v>1412</v>
      </c>
      <c r="C2847" s="399" t="s">
        <v>184</v>
      </c>
      <c r="D2847" s="399">
        <v>1724</v>
      </c>
      <c r="E2847" s="399" t="s">
        <v>3099</v>
      </c>
      <c r="F2847" s="399" t="s">
        <v>3100</v>
      </c>
      <c r="G2847" s="399" t="s">
        <v>2221</v>
      </c>
      <c r="H2847" s="1235"/>
    </row>
    <row r="2848" spans="1:8" hidden="1">
      <c r="A2848" s="551" t="s">
        <v>2797</v>
      </c>
      <c r="B2848" s="399" t="s">
        <v>1412</v>
      </c>
      <c r="C2848" s="399" t="s">
        <v>184</v>
      </c>
      <c r="D2848" s="399">
        <v>1729</v>
      </c>
      <c r="E2848" s="399" t="s">
        <v>3101</v>
      </c>
      <c r="F2848" s="399" t="s">
        <v>3102</v>
      </c>
      <c r="G2848" s="399" t="s">
        <v>2221</v>
      </c>
      <c r="H2848" s="1235"/>
    </row>
    <row r="2849" spans="1:8" hidden="1">
      <c r="A2849" s="551" t="s">
        <v>2797</v>
      </c>
      <c r="B2849" s="399" t="s">
        <v>1412</v>
      </c>
      <c r="C2849" s="399" t="s">
        <v>184</v>
      </c>
      <c r="D2849" s="399">
        <v>1800</v>
      </c>
      <c r="E2849" s="399">
        <v>18</v>
      </c>
      <c r="F2849" s="399" t="s">
        <v>3103</v>
      </c>
      <c r="G2849" s="399" t="s">
        <v>2221</v>
      </c>
      <c r="H2849" s="1235"/>
    </row>
    <row r="2850" spans="1:8" hidden="1">
      <c r="A2850" s="551" t="s">
        <v>2797</v>
      </c>
      <c r="B2850" s="399" t="s">
        <v>1412</v>
      </c>
      <c r="C2850" s="399" t="s">
        <v>184</v>
      </c>
      <c r="D2850" s="399">
        <v>1810</v>
      </c>
      <c r="E2850" s="399" t="s">
        <v>3104</v>
      </c>
      <c r="F2850" s="399" t="s">
        <v>3105</v>
      </c>
      <c r="G2850" s="399" t="s">
        <v>2221</v>
      </c>
      <c r="H2850" s="1235"/>
    </row>
    <row r="2851" spans="1:8" hidden="1">
      <c r="A2851" s="551" t="s">
        <v>2797</v>
      </c>
      <c r="B2851" s="399" t="s">
        <v>1412</v>
      </c>
      <c r="C2851" s="399" t="s">
        <v>184</v>
      </c>
      <c r="D2851" s="399">
        <v>1811</v>
      </c>
      <c r="E2851" s="399" t="s">
        <v>3106</v>
      </c>
      <c r="F2851" s="399" t="s">
        <v>3107</v>
      </c>
      <c r="G2851" s="399" t="s">
        <v>2221</v>
      </c>
      <c r="H2851" s="1235"/>
    </row>
    <row r="2852" spans="1:8" hidden="1">
      <c r="A2852" s="551" t="s">
        <v>2797</v>
      </c>
      <c r="B2852" s="399" t="s">
        <v>1412</v>
      </c>
      <c r="C2852" s="399" t="s">
        <v>184</v>
      </c>
      <c r="D2852" s="399">
        <v>1812</v>
      </c>
      <c r="E2852" s="399" t="s">
        <v>3108</v>
      </c>
      <c r="F2852" s="399" t="s">
        <v>3109</v>
      </c>
      <c r="G2852" s="399" t="s">
        <v>2221</v>
      </c>
      <c r="H2852" s="1235"/>
    </row>
    <row r="2853" spans="1:8" hidden="1">
      <c r="A2853" s="551" t="s">
        <v>2797</v>
      </c>
      <c r="B2853" s="399" t="s">
        <v>1412</v>
      </c>
      <c r="C2853" s="399" t="s">
        <v>184</v>
      </c>
      <c r="D2853" s="399">
        <v>1813</v>
      </c>
      <c r="E2853" s="399" t="s">
        <v>3110</v>
      </c>
      <c r="F2853" s="399" t="s">
        <v>3111</v>
      </c>
      <c r="G2853" s="399" t="s">
        <v>2221</v>
      </c>
      <c r="H2853" s="1235"/>
    </row>
    <row r="2854" spans="1:8" hidden="1">
      <c r="A2854" s="551" t="s">
        <v>2797</v>
      </c>
      <c r="B2854" s="399" t="s">
        <v>1412</v>
      </c>
      <c r="C2854" s="399" t="s">
        <v>184</v>
      </c>
      <c r="D2854" s="399">
        <v>1814</v>
      </c>
      <c r="E2854" s="399" t="s">
        <v>3112</v>
      </c>
      <c r="F2854" s="399" t="s">
        <v>3113</v>
      </c>
      <c r="G2854" s="399" t="s">
        <v>2221</v>
      </c>
      <c r="H2854" s="1235"/>
    </row>
    <row r="2855" spans="1:8" hidden="1">
      <c r="A2855" s="551" t="s">
        <v>2797</v>
      </c>
      <c r="B2855" s="399" t="s">
        <v>1412</v>
      </c>
      <c r="C2855" s="399" t="s">
        <v>184</v>
      </c>
      <c r="D2855" s="399">
        <v>1820</v>
      </c>
      <c r="E2855" s="399" t="s">
        <v>3114</v>
      </c>
      <c r="F2855" s="399" t="s">
        <v>3115</v>
      </c>
      <c r="G2855" s="399" t="s">
        <v>2221</v>
      </c>
      <c r="H2855" s="1235"/>
    </row>
    <row r="2856" spans="1:8" hidden="1">
      <c r="A2856" s="551" t="s">
        <v>2797</v>
      </c>
      <c r="B2856" s="399" t="s">
        <v>1412</v>
      </c>
      <c r="C2856" s="399" t="s">
        <v>184</v>
      </c>
      <c r="D2856" s="399">
        <v>1900</v>
      </c>
      <c r="E2856" s="399">
        <v>19</v>
      </c>
      <c r="F2856" s="399" t="s">
        <v>3116</v>
      </c>
      <c r="G2856" s="399" t="s">
        <v>2221</v>
      </c>
      <c r="H2856" s="1235"/>
    </row>
    <row r="2857" spans="1:8" hidden="1">
      <c r="A2857" s="551" t="s">
        <v>2797</v>
      </c>
      <c r="B2857" s="399" t="s">
        <v>1412</v>
      </c>
      <c r="C2857" s="399" t="s">
        <v>184</v>
      </c>
      <c r="D2857" s="399">
        <v>1910</v>
      </c>
      <c r="E2857" s="399" t="s">
        <v>3117</v>
      </c>
      <c r="F2857" s="399" t="s">
        <v>3118</v>
      </c>
      <c r="G2857" s="399" t="s">
        <v>2221</v>
      </c>
      <c r="H2857" s="1235"/>
    </row>
    <row r="2858" spans="1:8" hidden="1">
      <c r="A2858" s="551" t="s">
        <v>2797</v>
      </c>
      <c r="B2858" s="399" t="s">
        <v>1412</v>
      </c>
      <c r="C2858" s="399" t="s">
        <v>184</v>
      </c>
      <c r="D2858" s="399">
        <v>1920</v>
      </c>
      <c r="E2858" s="399" t="s">
        <v>3119</v>
      </c>
      <c r="F2858" s="399" t="s">
        <v>3120</v>
      </c>
      <c r="G2858" s="399" t="s">
        <v>2221</v>
      </c>
      <c r="H2858" s="1235"/>
    </row>
    <row r="2859" spans="1:8" hidden="1">
      <c r="A2859" s="551" t="s">
        <v>2797</v>
      </c>
      <c r="B2859" s="399" t="s">
        <v>1412</v>
      </c>
      <c r="C2859" s="399" t="s">
        <v>184</v>
      </c>
      <c r="D2859" s="399">
        <v>2000</v>
      </c>
      <c r="E2859" s="399">
        <v>20</v>
      </c>
      <c r="F2859" s="399" t="s">
        <v>3121</v>
      </c>
      <c r="G2859" s="399" t="s">
        <v>2221</v>
      </c>
      <c r="H2859" s="1235"/>
    </row>
    <row r="2860" spans="1:8" hidden="1">
      <c r="A2860" s="551" t="s">
        <v>2797</v>
      </c>
      <c r="B2860" s="399" t="s">
        <v>1412</v>
      </c>
      <c r="C2860" s="399" t="s">
        <v>184</v>
      </c>
      <c r="D2860" s="399">
        <v>2010</v>
      </c>
      <c r="E2860" s="399" t="s">
        <v>3122</v>
      </c>
      <c r="F2860" s="399" t="s">
        <v>3123</v>
      </c>
      <c r="G2860" s="399" t="s">
        <v>2221</v>
      </c>
      <c r="H2860" s="1235"/>
    </row>
    <row r="2861" spans="1:8" hidden="1">
      <c r="A2861" s="551" t="s">
        <v>2797</v>
      </c>
      <c r="B2861" s="399" t="s">
        <v>1412</v>
      </c>
      <c r="C2861" s="399" t="s">
        <v>184</v>
      </c>
      <c r="D2861" s="399">
        <v>2011</v>
      </c>
      <c r="E2861" s="399" t="s">
        <v>3124</v>
      </c>
      <c r="F2861" s="399" t="s">
        <v>3125</v>
      </c>
      <c r="G2861" s="399" t="s">
        <v>2221</v>
      </c>
      <c r="H2861" s="1235"/>
    </row>
    <row r="2862" spans="1:8" hidden="1">
      <c r="A2862" s="551" t="s">
        <v>2797</v>
      </c>
      <c r="B2862" s="399" t="s">
        <v>1412</v>
      </c>
      <c r="C2862" s="399" t="s">
        <v>184</v>
      </c>
      <c r="D2862" s="399">
        <v>2012</v>
      </c>
      <c r="E2862" s="399" t="s">
        <v>3126</v>
      </c>
      <c r="F2862" s="399" t="s">
        <v>3127</v>
      </c>
      <c r="G2862" s="399" t="s">
        <v>2221</v>
      </c>
      <c r="H2862" s="1235"/>
    </row>
    <row r="2863" spans="1:8" hidden="1">
      <c r="A2863" s="551" t="s">
        <v>2797</v>
      </c>
      <c r="B2863" s="399" t="s">
        <v>1412</v>
      </c>
      <c r="C2863" s="399" t="s">
        <v>184</v>
      </c>
      <c r="D2863" s="399">
        <v>2013</v>
      </c>
      <c r="E2863" s="399" t="s">
        <v>3128</v>
      </c>
      <c r="F2863" s="399" t="s">
        <v>3129</v>
      </c>
      <c r="G2863" s="399" t="s">
        <v>2221</v>
      </c>
      <c r="H2863" s="1235"/>
    </row>
    <row r="2864" spans="1:8" hidden="1">
      <c r="A2864" s="551" t="s">
        <v>2797</v>
      </c>
      <c r="B2864" s="399" t="s">
        <v>1412</v>
      </c>
      <c r="C2864" s="399" t="s">
        <v>184</v>
      </c>
      <c r="D2864" s="399">
        <v>2014</v>
      </c>
      <c r="E2864" s="399" t="s">
        <v>3130</v>
      </c>
      <c r="F2864" s="399" t="s">
        <v>3131</v>
      </c>
      <c r="G2864" s="399" t="s">
        <v>2221</v>
      </c>
      <c r="H2864" s="1235"/>
    </row>
    <row r="2865" spans="1:8" hidden="1">
      <c r="A2865" s="551" t="s">
        <v>2797</v>
      </c>
      <c r="B2865" s="399" t="s">
        <v>1412</v>
      </c>
      <c r="C2865" s="399" t="s">
        <v>184</v>
      </c>
      <c r="D2865" s="399">
        <v>2015</v>
      </c>
      <c r="E2865" s="399" t="s">
        <v>3132</v>
      </c>
      <c r="F2865" s="399" t="s">
        <v>3133</v>
      </c>
      <c r="G2865" s="399" t="s">
        <v>2221</v>
      </c>
      <c r="H2865" s="1235"/>
    </row>
    <row r="2866" spans="1:8" hidden="1">
      <c r="A2866" s="551" t="s">
        <v>2797</v>
      </c>
      <c r="B2866" s="399" t="s">
        <v>1412</v>
      </c>
      <c r="C2866" s="399" t="s">
        <v>184</v>
      </c>
      <c r="D2866" s="399">
        <v>2016</v>
      </c>
      <c r="E2866" s="399" t="s">
        <v>3134</v>
      </c>
      <c r="F2866" s="399" t="s">
        <v>3135</v>
      </c>
      <c r="G2866" s="399" t="s">
        <v>2221</v>
      </c>
      <c r="H2866" s="1235"/>
    </row>
    <row r="2867" spans="1:8" hidden="1">
      <c r="A2867" s="551" t="s">
        <v>2797</v>
      </c>
      <c r="B2867" s="399" t="s">
        <v>1412</v>
      </c>
      <c r="C2867" s="399" t="s">
        <v>184</v>
      </c>
      <c r="D2867" s="399">
        <v>2017</v>
      </c>
      <c r="E2867" s="399" t="s">
        <v>3136</v>
      </c>
      <c r="F2867" s="399" t="s">
        <v>3137</v>
      </c>
      <c r="G2867" s="399" t="s">
        <v>2221</v>
      </c>
      <c r="H2867" s="1235"/>
    </row>
    <row r="2868" spans="1:8" hidden="1">
      <c r="A2868" s="551" t="s">
        <v>2797</v>
      </c>
      <c r="B2868" s="399" t="s">
        <v>1412</v>
      </c>
      <c r="C2868" s="399" t="s">
        <v>184</v>
      </c>
      <c r="D2868" s="399">
        <v>2020</v>
      </c>
      <c r="E2868" s="399" t="s">
        <v>3138</v>
      </c>
      <c r="F2868" s="399" t="s">
        <v>3139</v>
      </c>
      <c r="G2868" s="399" t="s">
        <v>2221</v>
      </c>
      <c r="H2868" s="1235"/>
    </row>
    <row r="2869" spans="1:8" hidden="1">
      <c r="A2869" s="551" t="s">
        <v>2797</v>
      </c>
      <c r="B2869" s="399" t="s">
        <v>1412</v>
      </c>
      <c r="C2869" s="399" t="s">
        <v>184</v>
      </c>
      <c r="D2869" s="399">
        <v>2030</v>
      </c>
      <c r="E2869" s="399" t="s">
        <v>3140</v>
      </c>
      <c r="F2869" s="399" t="s">
        <v>3141</v>
      </c>
      <c r="G2869" s="399" t="s">
        <v>2221</v>
      </c>
      <c r="H2869" s="1235"/>
    </row>
    <row r="2870" spans="1:8" hidden="1">
      <c r="A2870" s="551" t="s">
        <v>2797</v>
      </c>
      <c r="B2870" s="399" t="s">
        <v>1412</v>
      </c>
      <c r="C2870" s="399" t="s">
        <v>184</v>
      </c>
      <c r="D2870" s="399">
        <v>2040</v>
      </c>
      <c r="E2870" s="399" t="s">
        <v>3142</v>
      </c>
      <c r="F2870" s="399" t="s">
        <v>3143</v>
      </c>
      <c r="G2870" s="399" t="s">
        <v>2221</v>
      </c>
      <c r="H2870" s="1235"/>
    </row>
    <row r="2871" spans="1:8" hidden="1">
      <c r="A2871" s="551" t="s">
        <v>2797</v>
      </c>
      <c r="B2871" s="399" t="s">
        <v>1412</v>
      </c>
      <c r="C2871" s="399" t="s">
        <v>184</v>
      </c>
      <c r="D2871" s="399">
        <v>2041</v>
      </c>
      <c r="E2871" s="399" t="s">
        <v>3144</v>
      </c>
      <c r="F2871" s="399" t="s">
        <v>3145</v>
      </c>
      <c r="G2871" s="399" t="s">
        <v>2221</v>
      </c>
      <c r="H2871" s="1235"/>
    </row>
    <row r="2872" spans="1:8" hidden="1">
      <c r="A2872" s="551" t="s">
        <v>2797</v>
      </c>
      <c r="B2872" s="399" t="s">
        <v>1412</v>
      </c>
      <c r="C2872" s="399" t="s">
        <v>184</v>
      </c>
      <c r="D2872" s="399">
        <v>2042</v>
      </c>
      <c r="E2872" s="399" t="s">
        <v>3146</v>
      </c>
      <c r="F2872" s="399" t="s">
        <v>3147</v>
      </c>
      <c r="G2872" s="399" t="s">
        <v>2221</v>
      </c>
      <c r="H2872" s="1235"/>
    </row>
    <row r="2873" spans="1:8" hidden="1">
      <c r="A2873" s="551" t="s">
        <v>2797</v>
      </c>
      <c r="B2873" s="399" t="s">
        <v>1412</v>
      </c>
      <c r="C2873" s="399" t="s">
        <v>184</v>
      </c>
      <c r="D2873" s="399">
        <v>2050</v>
      </c>
      <c r="E2873" s="399" t="s">
        <v>3148</v>
      </c>
      <c r="F2873" s="399" t="s">
        <v>3149</v>
      </c>
      <c r="G2873" s="399" t="s">
        <v>2221</v>
      </c>
      <c r="H2873" s="1235"/>
    </row>
    <row r="2874" spans="1:8" hidden="1">
      <c r="A2874" s="551" t="s">
        <v>2797</v>
      </c>
      <c r="B2874" s="399" t="s">
        <v>1412</v>
      </c>
      <c r="C2874" s="399" t="s">
        <v>184</v>
      </c>
      <c r="D2874" s="399">
        <v>2051</v>
      </c>
      <c r="E2874" s="399" t="s">
        <v>3150</v>
      </c>
      <c r="F2874" s="399" t="s">
        <v>3151</v>
      </c>
      <c r="G2874" s="399" t="s">
        <v>2221</v>
      </c>
      <c r="H2874" s="1235"/>
    </row>
    <row r="2875" spans="1:8" hidden="1">
      <c r="A2875" s="551" t="s">
        <v>2797</v>
      </c>
      <c r="B2875" s="399" t="s">
        <v>1412</v>
      </c>
      <c r="C2875" s="399" t="s">
        <v>184</v>
      </c>
      <c r="D2875" s="399">
        <v>2052</v>
      </c>
      <c r="E2875" s="399" t="s">
        <v>3152</v>
      </c>
      <c r="F2875" s="399" t="s">
        <v>3153</v>
      </c>
      <c r="G2875" s="399" t="s">
        <v>2221</v>
      </c>
      <c r="H2875" s="1235"/>
    </row>
    <row r="2876" spans="1:8" hidden="1">
      <c r="A2876" s="551" t="s">
        <v>2797</v>
      </c>
      <c r="B2876" s="399" t="s">
        <v>1412</v>
      </c>
      <c r="C2876" s="399" t="s">
        <v>184</v>
      </c>
      <c r="D2876" s="399">
        <v>2053</v>
      </c>
      <c r="E2876" s="399" t="s">
        <v>3154</v>
      </c>
      <c r="F2876" s="399" t="s">
        <v>3155</v>
      </c>
      <c r="G2876" s="399" t="s">
        <v>2221</v>
      </c>
      <c r="H2876" s="1235"/>
    </row>
    <row r="2877" spans="1:8" hidden="1">
      <c r="A2877" s="551" t="s">
        <v>2797</v>
      </c>
      <c r="B2877" s="399" t="s">
        <v>1412</v>
      </c>
      <c r="C2877" s="399" t="s">
        <v>184</v>
      </c>
      <c r="D2877" s="399">
        <v>2059</v>
      </c>
      <c r="E2877" s="399" t="s">
        <v>3156</v>
      </c>
      <c r="F2877" s="399" t="s">
        <v>3157</v>
      </c>
      <c r="G2877" s="399" t="s">
        <v>2221</v>
      </c>
      <c r="H2877" s="1235"/>
    </row>
    <row r="2878" spans="1:8" hidden="1">
      <c r="A2878" s="551" t="s">
        <v>2797</v>
      </c>
      <c r="B2878" s="399" t="s">
        <v>1412</v>
      </c>
      <c r="C2878" s="399" t="s">
        <v>184</v>
      </c>
      <c r="D2878" s="399">
        <v>2060</v>
      </c>
      <c r="E2878" s="399" t="s">
        <v>3158</v>
      </c>
      <c r="F2878" s="399" t="s">
        <v>3159</v>
      </c>
      <c r="G2878" s="399" t="s">
        <v>2221</v>
      </c>
      <c r="H2878" s="1235"/>
    </row>
    <row r="2879" spans="1:8" hidden="1">
      <c r="A2879" s="551" t="s">
        <v>2797</v>
      </c>
      <c r="B2879" s="399" t="s">
        <v>1412</v>
      </c>
      <c r="C2879" s="399" t="s">
        <v>184</v>
      </c>
      <c r="D2879" s="399">
        <v>2100</v>
      </c>
      <c r="E2879" s="399">
        <v>21</v>
      </c>
      <c r="F2879" s="399" t="s">
        <v>3160</v>
      </c>
      <c r="G2879" s="399" t="s">
        <v>2221</v>
      </c>
      <c r="H2879" s="1235"/>
    </row>
    <row r="2880" spans="1:8" hidden="1">
      <c r="A2880" s="551" t="s">
        <v>2797</v>
      </c>
      <c r="B2880" s="399" t="s">
        <v>1412</v>
      </c>
      <c r="C2880" s="399" t="s">
        <v>184</v>
      </c>
      <c r="D2880" s="399">
        <v>2110</v>
      </c>
      <c r="E2880" s="399" t="s">
        <v>3161</v>
      </c>
      <c r="F2880" s="399" t="s">
        <v>3162</v>
      </c>
      <c r="G2880" s="399" t="s">
        <v>2221</v>
      </c>
      <c r="H2880" s="1235"/>
    </row>
    <row r="2881" spans="1:8" hidden="1">
      <c r="A2881" s="551" t="s">
        <v>2797</v>
      </c>
      <c r="B2881" s="399" t="s">
        <v>1412</v>
      </c>
      <c r="C2881" s="399" t="s">
        <v>184</v>
      </c>
      <c r="D2881" s="399">
        <v>2120</v>
      </c>
      <c r="E2881" s="399" t="s">
        <v>3163</v>
      </c>
      <c r="F2881" s="399" t="s">
        <v>3164</v>
      </c>
      <c r="G2881" s="399" t="s">
        <v>2221</v>
      </c>
      <c r="H2881" s="1235"/>
    </row>
    <row r="2882" spans="1:8" hidden="1">
      <c r="A2882" s="551" t="s">
        <v>2797</v>
      </c>
      <c r="B2882" s="399" t="s">
        <v>1412</v>
      </c>
      <c r="C2882" s="399" t="s">
        <v>184</v>
      </c>
      <c r="D2882" s="399">
        <v>2200</v>
      </c>
      <c r="E2882" s="399">
        <v>22</v>
      </c>
      <c r="F2882" s="399" t="s">
        <v>3165</v>
      </c>
      <c r="G2882" s="399" t="s">
        <v>2221</v>
      </c>
      <c r="H2882" s="1235"/>
    </row>
    <row r="2883" spans="1:8" hidden="1">
      <c r="A2883" s="551" t="s">
        <v>2797</v>
      </c>
      <c r="B2883" s="399" t="s">
        <v>1412</v>
      </c>
      <c r="C2883" s="399" t="s">
        <v>184</v>
      </c>
      <c r="D2883" s="399">
        <v>2210</v>
      </c>
      <c r="E2883" s="399" t="s">
        <v>3166</v>
      </c>
      <c r="F2883" s="399" t="s">
        <v>3167</v>
      </c>
      <c r="G2883" s="399" t="s">
        <v>2221</v>
      </c>
      <c r="H2883" s="1235"/>
    </row>
    <row r="2884" spans="1:8" hidden="1">
      <c r="A2884" s="551" t="s">
        <v>2797</v>
      </c>
      <c r="B2884" s="399" t="s">
        <v>1412</v>
      </c>
      <c r="C2884" s="399" t="s">
        <v>184</v>
      </c>
      <c r="D2884" s="399">
        <v>2211</v>
      </c>
      <c r="E2884" s="399" t="s">
        <v>3168</v>
      </c>
      <c r="F2884" s="399" t="s">
        <v>3169</v>
      </c>
      <c r="G2884" s="399" t="s">
        <v>2221</v>
      </c>
      <c r="H2884" s="1235"/>
    </row>
    <row r="2885" spans="1:8" hidden="1">
      <c r="A2885" s="551" t="s">
        <v>2797</v>
      </c>
      <c r="B2885" s="399" t="s">
        <v>1412</v>
      </c>
      <c r="C2885" s="399" t="s">
        <v>184</v>
      </c>
      <c r="D2885" s="399">
        <v>2219</v>
      </c>
      <c r="E2885" s="399" t="s">
        <v>3170</v>
      </c>
      <c r="F2885" s="399" t="s">
        <v>3171</v>
      </c>
      <c r="G2885" s="399" t="s">
        <v>2221</v>
      </c>
      <c r="H2885" s="1235"/>
    </row>
    <row r="2886" spans="1:8" hidden="1">
      <c r="A2886" s="551" t="s">
        <v>2797</v>
      </c>
      <c r="B2886" s="399" t="s">
        <v>1412</v>
      </c>
      <c r="C2886" s="399" t="s">
        <v>184</v>
      </c>
      <c r="D2886" s="399">
        <v>2220</v>
      </c>
      <c r="E2886" s="399" t="s">
        <v>3172</v>
      </c>
      <c r="F2886" s="399" t="s">
        <v>3173</v>
      </c>
      <c r="G2886" s="399" t="s">
        <v>2221</v>
      </c>
      <c r="H2886" s="1235"/>
    </row>
    <row r="2887" spans="1:8" hidden="1">
      <c r="A2887" s="551" t="s">
        <v>2797</v>
      </c>
      <c r="B2887" s="399" t="s">
        <v>1412</v>
      </c>
      <c r="C2887" s="399" t="s">
        <v>184</v>
      </c>
      <c r="D2887" s="399">
        <v>2221</v>
      </c>
      <c r="E2887" s="399" t="s">
        <v>3174</v>
      </c>
      <c r="F2887" s="399" t="s">
        <v>3175</v>
      </c>
      <c r="G2887" s="399" t="s">
        <v>2221</v>
      </c>
      <c r="H2887" s="1235"/>
    </row>
    <row r="2888" spans="1:8" hidden="1">
      <c r="A2888" s="551" t="s">
        <v>2797</v>
      </c>
      <c r="B2888" s="399" t="s">
        <v>1412</v>
      </c>
      <c r="C2888" s="399" t="s">
        <v>184</v>
      </c>
      <c r="D2888" s="399">
        <v>2222</v>
      </c>
      <c r="E2888" s="399" t="s">
        <v>3176</v>
      </c>
      <c r="F2888" s="399" t="s">
        <v>3177</v>
      </c>
      <c r="G2888" s="399" t="s">
        <v>2221</v>
      </c>
      <c r="H2888" s="1235"/>
    </row>
    <row r="2889" spans="1:8" hidden="1">
      <c r="A2889" s="551" t="s">
        <v>2797</v>
      </c>
      <c r="B2889" s="399" t="s">
        <v>1412</v>
      </c>
      <c r="C2889" s="399" t="s">
        <v>184</v>
      </c>
      <c r="D2889" s="399">
        <v>2223</v>
      </c>
      <c r="E2889" s="399" t="s">
        <v>3178</v>
      </c>
      <c r="F2889" s="399" t="s">
        <v>3179</v>
      </c>
      <c r="G2889" s="399" t="s">
        <v>2221</v>
      </c>
      <c r="H2889" s="1235"/>
    </row>
    <row r="2890" spans="1:8" hidden="1">
      <c r="A2890" s="551" t="s">
        <v>2797</v>
      </c>
      <c r="B2890" s="399" t="s">
        <v>1412</v>
      </c>
      <c r="C2890" s="399" t="s">
        <v>184</v>
      </c>
      <c r="D2890" s="399">
        <v>2229</v>
      </c>
      <c r="E2890" s="399" t="s">
        <v>3180</v>
      </c>
      <c r="F2890" s="399" t="s">
        <v>3181</v>
      </c>
      <c r="G2890" s="399" t="s">
        <v>2221</v>
      </c>
      <c r="H2890" s="1235"/>
    </row>
    <row r="2891" spans="1:8" hidden="1">
      <c r="A2891" s="551" t="s">
        <v>2797</v>
      </c>
      <c r="B2891" s="399" t="s">
        <v>1412</v>
      </c>
      <c r="C2891" s="399" t="s">
        <v>184</v>
      </c>
      <c r="D2891" s="399">
        <v>2300</v>
      </c>
      <c r="E2891" s="399">
        <v>23</v>
      </c>
      <c r="F2891" s="399" t="s">
        <v>3182</v>
      </c>
      <c r="G2891" s="399" t="s">
        <v>2221</v>
      </c>
      <c r="H2891" s="1235"/>
    </row>
    <row r="2892" spans="1:8" hidden="1">
      <c r="A2892" s="551" t="s">
        <v>2797</v>
      </c>
      <c r="B2892" s="399" t="s">
        <v>1412</v>
      </c>
      <c r="C2892" s="399" t="s">
        <v>184</v>
      </c>
      <c r="D2892" s="399">
        <v>2310</v>
      </c>
      <c r="E2892" s="399" t="s">
        <v>3183</v>
      </c>
      <c r="F2892" s="399" t="s">
        <v>3184</v>
      </c>
      <c r="G2892" s="399" t="s">
        <v>2221</v>
      </c>
      <c r="H2892" s="1235"/>
    </row>
    <row r="2893" spans="1:8" hidden="1">
      <c r="A2893" s="551" t="s">
        <v>2797</v>
      </c>
      <c r="B2893" s="399" t="s">
        <v>1412</v>
      </c>
      <c r="C2893" s="399" t="s">
        <v>184</v>
      </c>
      <c r="D2893" s="399">
        <v>2311</v>
      </c>
      <c r="E2893" s="399" t="s">
        <v>3185</v>
      </c>
      <c r="F2893" s="399" t="s">
        <v>3186</v>
      </c>
      <c r="G2893" s="399" t="s">
        <v>2221</v>
      </c>
      <c r="H2893" s="1235"/>
    </row>
    <row r="2894" spans="1:8" hidden="1">
      <c r="A2894" s="551" t="s">
        <v>2797</v>
      </c>
      <c r="B2894" s="399" t="s">
        <v>1412</v>
      </c>
      <c r="C2894" s="399" t="s">
        <v>184</v>
      </c>
      <c r="D2894" s="399">
        <v>2312</v>
      </c>
      <c r="E2894" s="399" t="s">
        <v>3187</v>
      </c>
      <c r="F2894" s="399" t="s">
        <v>3188</v>
      </c>
      <c r="G2894" s="399" t="s">
        <v>2221</v>
      </c>
      <c r="H2894" s="1235"/>
    </row>
    <row r="2895" spans="1:8" hidden="1">
      <c r="A2895" s="551" t="s">
        <v>2797</v>
      </c>
      <c r="B2895" s="399" t="s">
        <v>1412</v>
      </c>
      <c r="C2895" s="399" t="s">
        <v>184</v>
      </c>
      <c r="D2895" s="399">
        <v>2313</v>
      </c>
      <c r="E2895" s="399" t="s">
        <v>3189</v>
      </c>
      <c r="F2895" s="399" t="s">
        <v>3190</v>
      </c>
      <c r="G2895" s="399" t="s">
        <v>2221</v>
      </c>
      <c r="H2895" s="1235"/>
    </row>
    <row r="2896" spans="1:8" hidden="1">
      <c r="A2896" s="551" t="s">
        <v>2797</v>
      </c>
      <c r="B2896" s="399" t="s">
        <v>1412</v>
      </c>
      <c r="C2896" s="399" t="s">
        <v>184</v>
      </c>
      <c r="D2896" s="399">
        <v>2314</v>
      </c>
      <c r="E2896" s="399" t="s">
        <v>3191</v>
      </c>
      <c r="F2896" s="399" t="s">
        <v>3192</v>
      </c>
      <c r="G2896" s="399" t="s">
        <v>2221</v>
      </c>
      <c r="H2896" s="1235"/>
    </row>
    <row r="2897" spans="1:8" hidden="1">
      <c r="A2897" s="551" t="s">
        <v>2797</v>
      </c>
      <c r="B2897" s="399" t="s">
        <v>1412</v>
      </c>
      <c r="C2897" s="399" t="s">
        <v>184</v>
      </c>
      <c r="D2897" s="399">
        <v>2319</v>
      </c>
      <c r="E2897" s="399" t="s">
        <v>3193</v>
      </c>
      <c r="F2897" s="399" t="s">
        <v>3194</v>
      </c>
      <c r="G2897" s="399" t="s">
        <v>2221</v>
      </c>
      <c r="H2897" s="1235"/>
    </row>
    <row r="2898" spans="1:8" hidden="1">
      <c r="A2898" s="551" t="s">
        <v>2797</v>
      </c>
      <c r="B2898" s="399" t="s">
        <v>1412</v>
      </c>
      <c r="C2898" s="399" t="s">
        <v>184</v>
      </c>
      <c r="D2898" s="399">
        <v>2320</v>
      </c>
      <c r="E2898" s="399" t="s">
        <v>3195</v>
      </c>
      <c r="F2898" s="399" t="s">
        <v>3196</v>
      </c>
      <c r="G2898" s="399" t="s">
        <v>2221</v>
      </c>
      <c r="H2898" s="1235"/>
    </row>
    <row r="2899" spans="1:8" hidden="1">
      <c r="A2899" s="551" t="s">
        <v>2797</v>
      </c>
      <c r="B2899" s="399" t="s">
        <v>1412</v>
      </c>
      <c r="C2899" s="399" t="s">
        <v>184</v>
      </c>
      <c r="D2899" s="399">
        <v>2330</v>
      </c>
      <c r="E2899" s="399" t="s">
        <v>3197</v>
      </c>
      <c r="F2899" s="399" t="s">
        <v>3198</v>
      </c>
      <c r="G2899" s="399" t="s">
        <v>2221</v>
      </c>
      <c r="H2899" s="1235"/>
    </row>
    <row r="2900" spans="1:8" hidden="1">
      <c r="A2900" s="551" t="s">
        <v>2797</v>
      </c>
      <c r="B2900" s="399" t="s">
        <v>1412</v>
      </c>
      <c r="C2900" s="399" t="s">
        <v>184</v>
      </c>
      <c r="D2900" s="399">
        <v>2331</v>
      </c>
      <c r="E2900" s="399" t="s">
        <v>3199</v>
      </c>
      <c r="F2900" s="399" t="s">
        <v>3200</v>
      </c>
      <c r="G2900" s="399" t="s">
        <v>2221</v>
      </c>
      <c r="H2900" s="1235"/>
    </row>
    <row r="2901" spans="1:8" hidden="1">
      <c r="A2901" s="551" t="s">
        <v>2797</v>
      </c>
      <c r="B2901" s="399" t="s">
        <v>1412</v>
      </c>
      <c r="C2901" s="399" t="s">
        <v>184</v>
      </c>
      <c r="D2901" s="399">
        <v>2332</v>
      </c>
      <c r="E2901" s="399" t="s">
        <v>3201</v>
      </c>
      <c r="F2901" s="399" t="s">
        <v>3202</v>
      </c>
      <c r="G2901" s="399" t="s">
        <v>2221</v>
      </c>
      <c r="H2901" s="1235"/>
    </row>
    <row r="2902" spans="1:8" hidden="1">
      <c r="A2902" s="551" t="s">
        <v>2797</v>
      </c>
      <c r="B2902" s="399" t="s">
        <v>1412</v>
      </c>
      <c r="C2902" s="399" t="s">
        <v>184</v>
      </c>
      <c r="D2902" s="399">
        <v>2340</v>
      </c>
      <c r="E2902" s="399" t="s">
        <v>3203</v>
      </c>
      <c r="F2902" s="399" t="s">
        <v>3204</v>
      </c>
      <c r="G2902" s="399" t="s">
        <v>2221</v>
      </c>
      <c r="H2902" s="1235"/>
    </row>
    <row r="2903" spans="1:8" hidden="1">
      <c r="A2903" s="551" t="s">
        <v>2797</v>
      </c>
      <c r="B2903" s="399" t="s">
        <v>1412</v>
      </c>
      <c r="C2903" s="399" t="s">
        <v>184</v>
      </c>
      <c r="D2903" s="399">
        <v>2341</v>
      </c>
      <c r="E2903" s="399" t="s">
        <v>3205</v>
      </c>
      <c r="F2903" s="399" t="s">
        <v>3206</v>
      </c>
      <c r="G2903" s="399" t="s">
        <v>2221</v>
      </c>
      <c r="H2903" s="1235"/>
    </row>
    <row r="2904" spans="1:8" hidden="1">
      <c r="A2904" s="551" t="s">
        <v>2797</v>
      </c>
      <c r="B2904" s="399" t="s">
        <v>1412</v>
      </c>
      <c r="C2904" s="399" t="s">
        <v>184</v>
      </c>
      <c r="D2904" s="399">
        <v>2342</v>
      </c>
      <c r="E2904" s="399" t="s">
        <v>3207</v>
      </c>
      <c r="F2904" s="399" t="s">
        <v>3208</v>
      </c>
      <c r="G2904" s="399" t="s">
        <v>2221</v>
      </c>
      <c r="H2904" s="1235"/>
    </row>
    <row r="2905" spans="1:8" hidden="1">
      <c r="A2905" s="551" t="s">
        <v>2797</v>
      </c>
      <c r="B2905" s="399" t="s">
        <v>1412</v>
      </c>
      <c r="C2905" s="399" t="s">
        <v>184</v>
      </c>
      <c r="D2905" s="399">
        <v>2343</v>
      </c>
      <c r="E2905" s="399" t="s">
        <v>3209</v>
      </c>
      <c r="F2905" s="399" t="s">
        <v>3210</v>
      </c>
      <c r="G2905" s="399" t="s">
        <v>2221</v>
      </c>
      <c r="H2905" s="1235"/>
    </row>
    <row r="2906" spans="1:8" hidden="1">
      <c r="A2906" s="551" t="s">
        <v>2797</v>
      </c>
      <c r="B2906" s="399" t="s">
        <v>1412</v>
      </c>
      <c r="C2906" s="399" t="s">
        <v>184</v>
      </c>
      <c r="D2906" s="399">
        <v>2344</v>
      </c>
      <c r="E2906" s="399" t="s">
        <v>3211</v>
      </c>
      <c r="F2906" s="399" t="s">
        <v>3212</v>
      </c>
      <c r="G2906" s="399" t="s">
        <v>2221</v>
      </c>
      <c r="H2906" s="1235"/>
    </row>
    <row r="2907" spans="1:8" hidden="1">
      <c r="A2907" s="551" t="s">
        <v>2797</v>
      </c>
      <c r="B2907" s="399" t="s">
        <v>1412</v>
      </c>
      <c r="C2907" s="399" t="s">
        <v>184</v>
      </c>
      <c r="D2907" s="399">
        <v>2349</v>
      </c>
      <c r="E2907" s="399" t="s">
        <v>3213</v>
      </c>
      <c r="F2907" s="399" t="s">
        <v>3214</v>
      </c>
      <c r="G2907" s="399" t="s">
        <v>2221</v>
      </c>
      <c r="H2907" s="1235"/>
    </row>
    <row r="2908" spans="1:8" hidden="1">
      <c r="A2908" s="551" t="s">
        <v>2797</v>
      </c>
      <c r="B2908" s="399" t="s">
        <v>1412</v>
      </c>
      <c r="C2908" s="399" t="s">
        <v>184</v>
      </c>
      <c r="D2908" s="399">
        <v>2350</v>
      </c>
      <c r="E2908" s="399" t="s">
        <v>3215</v>
      </c>
      <c r="F2908" s="399" t="s">
        <v>3216</v>
      </c>
      <c r="G2908" s="399" t="s">
        <v>2221</v>
      </c>
      <c r="H2908" s="1235"/>
    </row>
    <row r="2909" spans="1:8" hidden="1">
      <c r="A2909" s="551" t="s">
        <v>2797</v>
      </c>
      <c r="B2909" s="399" t="s">
        <v>1412</v>
      </c>
      <c r="C2909" s="399" t="s">
        <v>184</v>
      </c>
      <c r="D2909" s="399">
        <v>2351</v>
      </c>
      <c r="E2909" s="399" t="s">
        <v>3217</v>
      </c>
      <c r="F2909" s="399" t="s">
        <v>3218</v>
      </c>
      <c r="G2909" s="399" t="s">
        <v>2221</v>
      </c>
      <c r="H2909" s="1235"/>
    </row>
    <row r="2910" spans="1:8" hidden="1">
      <c r="A2910" s="551" t="s">
        <v>2797</v>
      </c>
      <c r="B2910" s="399" t="s">
        <v>1412</v>
      </c>
      <c r="C2910" s="399" t="s">
        <v>184</v>
      </c>
      <c r="D2910" s="399">
        <v>2352</v>
      </c>
      <c r="E2910" s="399" t="s">
        <v>3219</v>
      </c>
      <c r="F2910" s="399" t="s">
        <v>3220</v>
      </c>
      <c r="G2910" s="399" t="s">
        <v>2221</v>
      </c>
      <c r="H2910" s="1235"/>
    </row>
    <row r="2911" spans="1:8" hidden="1">
      <c r="A2911" s="551" t="s">
        <v>2797</v>
      </c>
      <c r="B2911" s="399" t="s">
        <v>1412</v>
      </c>
      <c r="C2911" s="399" t="s">
        <v>184</v>
      </c>
      <c r="D2911" s="399">
        <v>2360</v>
      </c>
      <c r="E2911" s="399" t="s">
        <v>3221</v>
      </c>
      <c r="F2911" s="399" t="s">
        <v>3222</v>
      </c>
      <c r="G2911" s="399" t="s">
        <v>2221</v>
      </c>
      <c r="H2911" s="1235"/>
    </row>
    <row r="2912" spans="1:8" hidden="1">
      <c r="A2912" s="551" t="s">
        <v>2797</v>
      </c>
      <c r="B2912" s="399" t="s">
        <v>1412</v>
      </c>
      <c r="C2912" s="399" t="s">
        <v>184</v>
      </c>
      <c r="D2912" s="399">
        <v>2361</v>
      </c>
      <c r="E2912" s="399" t="s">
        <v>3223</v>
      </c>
      <c r="F2912" s="399" t="s">
        <v>3224</v>
      </c>
      <c r="G2912" s="399" t="s">
        <v>2221</v>
      </c>
      <c r="H2912" s="1235"/>
    </row>
    <row r="2913" spans="1:8" hidden="1">
      <c r="A2913" s="551" t="s">
        <v>2797</v>
      </c>
      <c r="B2913" s="399" t="s">
        <v>1412</v>
      </c>
      <c r="C2913" s="399" t="s">
        <v>184</v>
      </c>
      <c r="D2913" s="399">
        <v>2362</v>
      </c>
      <c r="E2913" s="399" t="s">
        <v>3225</v>
      </c>
      <c r="F2913" s="399" t="s">
        <v>3226</v>
      </c>
      <c r="G2913" s="399" t="s">
        <v>2221</v>
      </c>
      <c r="H2913" s="1235"/>
    </row>
    <row r="2914" spans="1:8" hidden="1">
      <c r="A2914" s="551" t="s">
        <v>2797</v>
      </c>
      <c r="B2914" s="399" t="s">
        <v>1412</v>
      </c>
      <c r="C2914" s="399" t="s">
        <v>184</v>
      </c>
      <c r="D2914" s="399">
        <v>2363</v>
      </c>
      <c r="E2914" s="399" t="s">
        <v>3227</v>
      </c>
      <c r="F2914" s="399" t="s">
        <v>3228</v>
      </c>
      <c r="G2914" s="399" t="s">
        <v>2221</v>
      </c>
      <c r="H2914" s="1235"/>
    </row>
    <row r="2915" spans="1:8" hidden="1">
      <c r="A2915" s="551" t="s">
        <v>2797</v>
      </c>
      <c r="B2915" s="399" t="s">
        <v>1412</v>
      </c>
      <c r="C2915" s="399" t="s">
        <v>184</v>
      </c>
      <c r="D2915" s="399">
        <v>2364</v>
      </c>
      <c r="E2915" s="399" t="s">
        <v>3229</v>
      </c>
      <c r="F2915" s="399" t="s">
        <v>3230</v>
      </c>
      <c r="G2915" s="399" t="s">
        <v>2221</v>
      </c>
      <c r="H2915" s="1235"/>
    </row>
    <row r="2916" spans="1:8" hidden="1">
      <c r="A2916" s="551" t="s">
        <v>2797</v>
      </c>
      <c r="B2916" s="399" t="s">
        <v>1412</v>
      </c>
      <c r="C2916" s="399" t="s">
        <v>184</v>
      </c>
      <c r="D2916" s="399">
        <v>2365</v>
      </c>
      <c r="E2916" s="399" t="s">
        <v>3231</v>
      </c>
      <c r="F2916" s="399" t="s">
        <v>3232</v>
      </c>
      <c r="G2916" s="399" t="s">
        <v>2221</v>
      </c>
      <c r="H2916" s="1235"/>
    </row>
    <row r="2917" spans="1:8" hidden="1">
      <c r="A2917" s="551" t="s">
        <v>2797</v>
      </c>
      <c r="B2917" s="399" t="s">
        <v>1412</v>
      </c>
      <c r="C2917" s="399" t="s">
        <v>184</v>
      </c>
      <c r="D2917" s="399">
        <v>2369</v>
      </c>
      <c r="E2917" s="399" t="s">
        <v>3233</v>
      </c>
      <c r="F2917" s="399" t="s">
        <v>3234</v>
      </c>
      <c r="G2917" s="399" t="s">
        <v>2221</v>
      </c>
      <c r="H2917" s="1235"/>
    </row>
    <row r="2918" spans="1:8" hidden="1">
      <c r="A2918" s="551" t="s">
        <v>2797</v>
      </c>
      <c r="B2918" s="399" t="s">
        <v>1412</v>
      </c>
      <c r="C2918" s="399" t="s">
        <v>184</v>
      </c>
      <c r="D2918" s="399">
        <v>2370</v>
      </c>
      <c r="E2918" s="399" t="s">
        <v>3235</v>
      </c>
      <c r="F2918" s="399" t="s">
        <v>3236</v>
      </c>
      <c r="G2918" s="399" t="s">
        <v>2221</v>
      </c>
      <c r="H2918" s="1235"/>
    </row>
    <row r="2919" spans="1:8" hidden="1">
      <c r="A2919" s="551" t="s">
        <v>2797</v>
      </c>
      <c r="B2919" s="399" t="s">
        <v>1412</v>
      </c>
      <c r="C2919" s="399" t="s">
        <v>184</v>
      </c>
      <c r="D2919" s="399">
        <v>2390</v>
      </c>
      <c r="E2919" s="399" t="s">
        <v>3237</v>
      </c>
      <c r="F2919" s="399" t="s">
        <v>3238</v>
      </c>
      <c r="G2919" s="399" t="s">
        <v>2221</v>
      </c>
      <c r="H2919" s="1235"/>
    </row>
    <row r="2920" spans="1:8" hidden="1">
      <c r="A2920" s="551" t="s">
        <v>2797</v>
      </c>
      <c r="B2920" s="399" t="s">
        <v>1412</v>
      </c>
      <c r="C2920" s="399" t="s">
        <v>184</v>
      </c>
      <c r="D2920" s="399">
        <v>2391</v>
      </c>
      <c r="E2920" s="399" t="s">
        <v>3239</v>
      </c>
      <c r="F2920" s="399" t="s">
        <v>3240</v>
      </c>
      <c r="G2920" s="399" t="s">
        <v>2221</v>
      </c>
      <c r="H2920" s="1235"/>
    </row>
    <row r="2921" spans="1:8" hidden="1">
      <c r="A2921" s="551" t="s">
        <v>2797</v>
      </c>
      <c r="B2921" s="399" t="s">
        <v>1412</v>
      </c>
      <c r="C2921" s="399" t="s">
        <v>184</v>
      </c>
      <c r="D2921" s="399">
        <v>2399</v>
      </c>
      <c r="E2921" s="399" t="s">
        <v>3241</v>
      </c>
      <c r="F2921" s="399" t="s">
        <v>3242</v>
      </c>
      <c r="G2921" s="399" t="s">
        <v>2221</v>
      </c>
      <c r="H2921" s="1235"/>
    </row>
    <row r="2922" spans="1:8" hidden="1">
      <c r="A2922" s="551" t="s">
        <v>2797</v>
      </c>
      <c r="B2922" s="399" t="s">
        <v>1412</v>
      </c>
      <c r="C2922" s="399" t="s">
        <v>184</v>
      </c>
      <c r="D2922" s="399">
        <v>2400</v>
      </c>
      <c r="E2922" s="399">
        <v>24</v>
      </c>
      <c r="F2922" s="399" t="s">
        <v>3243</v>
      </c>
      <c r="G2922" s="399" t="s">
        <v>2221</v>
      </c>
      <c r="H2922" s="1235"/>
    </row>
    <row r="2923" spans="1:8" hidden="1">
      <c r="A2923" s="551" t="s">
        <v>2797</v>
      </c>
      <c r="B2923" s="399" t="s">
        <v>1412</v>
      </c>
      <c r="C2923" s="399" t="s">
        <v>184</v>
      </c>
      <c r="D2923" s="399">
        <v>2410</v>
      </c>
      <c r="E2923" s="399" t="s">
        <v>3244</v>
      </c>
      <c r="F2923" s="399" t="s">
        <v>3245</v>
      </c>
      <c r="G2923" s="399" t="s">
        <v>2221</v>
      </c>
      <c r="H2923" s="1235"/>
    </row>
    <row r="2924" spans="1:8" hidden="1">
      <c r="A2924" s="551" t="s">
        <v>2797</v>
      </c>
      <c r="B2924" s="399" t="s">
        <v>1412</v>
      </c>
      <c r="C2924" s="399" t="s">
        <v>184</v>
      </c>
      <c r="D2924" s="399">
        <v>2420</v>
      </c>
      <c r="E2924" s="399" t="s">
        <v>3246</v>
      </c>
      <c r="F2924" s="399" t="s">
        <v>3247</v>
      </c>
      <c r="G2924" s="399" t="s">
        <v>2221</v>
      </c>
      <c r="H2924" s="1235"/>
    </row>
    <row r="2925" spans="1:8" hidden="1">
      <c r="A2925" s="551" t="s">
        <v>2797</v>
      </c>
      <c r="B2925" s="399" t="s">
        <v>1412</v>
      </c>
      <c r="C2925" s="399" t="s">
        <v>184</v>
      </c>
      <c r="D2925" s="399">
        <v>2430</v>
      </c>
      <c r="E2925" s="399" t="s">
        <v>3248</v>
      </c>
      <c r="F2925" s="399" t="s">
        <v>3249</v>
      </c>
      <c r="G2925" s="399" t="s">
        <v>2221</v>
      </c>
      <c r="H2925" s="1235"/>
    </row>
    <row r="2926" spans="1:8" hidden="1">
      <c r="A2926" s="551" t="s">
        <v>2797</v>
      </c>
      <c r="B2926" s="399" t="s">
        <v>1412</v>
      </c>
      <c r="C2926" s="399" t="s">
        <v>184</v>
      </c>
      <c r="D2926" s="399">
        <v>2431</v>
      </c>
      <c r="E2926" s="399" t="s">
        <v>3250</v>
      </c>
      <c r="F2926" s="399" t="s">
        <v>3251</v>
      </c>
      <c r="G2926" s="399" t="s">
        <v>2221</v>
      </c>
      <c r="H2926" s="1235"/>
    </row>
    <row r="2927" spans="1:8" hidden="1">
      <c r="A2927" s="551" t="s">
        <v>2797</v>
      </c>
      <c r="B2927" s="399" t="s">
        <v>1412</v>
      </c>
      <c r="C2927" s="399" t="s">
        <v>184</v>
      </c>
      <c r="D2927" s="399">
        <v>2432</v>
      </c>
      <c r="E2927" s="399" t="s">
        <v>3252</v>
      </c>
      <c r="F2927" s="399" t="s">
        <v>3253</v>
      </c>
      <c r="G2927" s="399" t="s">
        <v>2221</v>
      </c>
      <c r="H2927" s="1235"/>
    </row>
    <row r="2928" spans="1:8" hidden="1">
      <c r="A2928" s="551" t="s">
        <v>2797</v>
      </c>
      <c r="B2928" s="399" t="s">
        <v>1412</v>
      </c>
      <c r="C2928" s="399" t="s">
        <v>184</v>
      </c>
      <c r="D2928" s="399">
        <v>2433</v>
      </c>
      <c r="E2928" s="399" t="s">
        <v>3254</v>
      </c>
      <c r="F2928" s="399" t="s">
        <v>3255</v>
      </c>
      <c r="G2928" s="399" t="s">
        <v>2221</v>
      </c>
      <c r="H2928" s="1235"/>
    </row>
    <row r="2929" spans="1:8" hidden="1">
      <c r="A2929" s="551" t="s">
        <v>2797</v>
      </c>
      <c r="B2929" s="399" t="s">
        <v>1412</v>
      </c>
      <c r="C2929" s="399" t="s">
        <v>184</v>
      </c>
      <c r="D2929" s="399">
        <v>2434</v>
      </c>
      <c r="E2929" s="399" t="s">
        <v>3256</v>
      </c>
      <c r="F2929" s="399" t="s">
        <v>3257</v>
      </c>
      <c r="G2929" s="399" t="s">
        <v>2221</v>
      </c>
      <c r="H2929" s="1235"/>
    </row>
    <row r="2930" spans="1:8" hidden="1">
      <c r="A2930" s="551" t="s">
        <v>2797</v>
      </c>
      <c r="B2930" s="399" t="s">
        <v>1412</v>
      </c>
      <c r="C2930" s="399" t="s">
        <v>184</v>
      </c>
      <c r="D2930" s="399">
        <v>2440</v>
      </c>
      <c r="E2930" s="399" t="s">
        <v>3258</v>
      </c>
      <c r="F2930" s="399" t="s">
        <v>3259</v>
      </c>
      <c r="G2930" s="399" t="s">
        <v>2221</v>
      </c>
      <c r="H2930" s="1235"/>
    </row>
    <row r="2931" spans="1:8" hidden="1">
      <c r="A2931" s="551" t="s">
        <v>2797</v>
      </c>
      <c r="B2931" s="399" t="s">
        <v>1412</v>
      </c>
      <c r="C2931" s="399" t="s">
        <v>184</v>
      </c>
      <c r="D2931" s="399">
        <v>2441</v>
      </c>
      <c r="E2931" s="399" t="s">
        <v>3260</v>
      </c>
      <c r="F2931" s="399" t="s">
        <v>3261</v>
      </c>
      <c r="G2931" s="399" t="s">
        <v>2221</v>
      </c>
      <c r="H2931" s="1235"/>
    </row>
    <row r="2932" spans="1:8" hidden="1">
      <c r="A2932" s="551" t="s">
        <v>2797</v>
      </c>
      <c r="B2932" s="399" t="s">
        <v>1412</v>
      </c>
      <c r="C2932" s="399" t="s">
        <v>184</v>
      </c>
      <c r="D2932" s="399">
        <v>2442</v>
      </c>
      <c r="E2932" s="399" t="s">
        <v>3262</v>
      </c>
      <c r="F2932" s="399" t="s">
        <v>3263</v>
      </c>
      <c r="G2932" s="399" t="s">
        <v>2221</v>
      </c>
      <c r="H2932" s="1235"/>
    </row>
    <row r="2933" spans="1:8" hidden="1">
      <c r="A2933" s="551" t="s">
        <v>2797</v>
      </c>
      <c r="B2933" s="399" t="s">
        <v>1412</v>
      </c>
      <c r="C2933" s="399" t="s">
        <v>184</v>
      </c>
      <c r="D2933" s="399">
        <v>2443</v>
      </c>
      <c r="E2933" s="399" t="s">
        <v>3264</v>
      </c>
      <c r="F2933" s="399" t="s">
        <v>3265</v>
      </c>
      <c r="G2933" s="399" t="s">
        <v>2221</v>
      </c>
      <c r="H2933" s="1235"/>
    </row>
    <row r="2934" spans="1:8" hidden="1">
      <c r="A2934" s="551" t="s">
        <v>2797</v>
      </c>
      <c r="B2934" s="399" t="s">
        <v>1412</v>
      </c>
      <c r="C2934" s="399" t="s">
        <v>184</v>
      </c>
      <c r="D2934" s="399">
        <v>2444</v>
      </c>
      <c r="E2934" s="399" t="s">
        <v>3266</v>
      </c>
      <c r="F2934" s="399" t="s">
        <v>3267</v>
      </c>
      <c r="G2934" s="399" t="s">
        <v>2221</v>
      </c>
      <c r="H2934" s="1235"/>
    </row>
    <row r="2935" spans="1:8" hidden="1">
      <c r="A2935" s="551" t="s">
        <v>2797</v>
      </c>
      <c r="B2935" s="399" t="s">
        <v>1412</v>
      </c>
      <c r="C2935" s="399" t="s">
        <v>184</v>
      </c>
      <c r="D2935" s="399">
        <v>2445</v>
      </c>
      <c r="E2935" s="399" t="s">
        <v>3268</v>
      </c>
      <c r="F2935" s="399" t="s">
        <v>3269</v>
      </c>
      <c r="G2935" s="399" t="s">
        <v>2221</v>
      </c>
      <c r="H2935" s="1235"/>
    </row>
    <row r="2936" spans="1:8" hidden="1">
      <c r="A2936" s="551" t="s">
        <v>2797</v>
      </c>
      <c r="B2936" s="399" t="s">
        <v>1412</v>
      </c>
      <c r="C2936" s="399" t="s">
        <v>184</v>
      </c>
      <c r="D2936" s="399">
        <v>2446</v>
      </c>
      <c r="E2936" s="399" t="s">
        <v>3270</v>
      </c>
      <c r="F2936" s="399" t="s">
        <v>3271</v>
      </c>
      <c r="G2936" s="399" t="s">
        <v>2221</v>
      </c>
      <c r="H2936" s="1235"/>
    </row>
    <row r="2937" spans="1:8" hidden="1">
      <c r="A2937" s="551" t="s">
        <v>2797</v>
      </c>
      <c r="B2937" s="399" t="s">
        <v>1412</v>
      </c>
      <c r="C2937" s="399" t="s">
        <v>184</v>
      </c>
      <c r="D2937" s="399">
        <v>2450</v>
      </c>
      <c r="E2937" s="399" t="s">
        <v>3272</v>
      </c>
      <c r="F2937" s="399" t="s">
        <v>3273</v>
      </c>
      <c r="G2937" s="399" t="s">
        <v>2221</v>
      </c>
      <c r="H2937" s="1235"/>
    </row>
    <row r="2938" spans="1:8" hidden="1">
      <c r="A2938" s="551" t="s">
        <v>2797</v>
      </c>
      <c r="B2938" s="399" t="s">
        <v>1412</v>
      </c>
      <c r="C2938" s="399" t="s">
        <v>184</v>
      </c>
      <c r="D2938" s="399">
        <v>2451</v>
      </c>
      <c r="E2938" s="399" t="s">
        <v>3274</v>
      </c>
      <c r="F2938" s="399" t="s">
        <v>3275</v>
      </c>
      <c r="G2938" s="399" t="s">
        <v>2221</v>
      </c>
      <c r="H2938" s="1235"/>
    </row>
    <row r="2939" spans="1:8" hidden="1">
      <c r="A2939" s="551" t="s">
        <v>2797</v>
      </c>
      <c r="B2939" s="399" t="s">
        <v>1412</v>
      </c>
      <c r="C2939" s="399" t="s">
        <v>184</v>
      </c>
      <c r="D2939" s="399">
        <v>2452</v>
      </c>
      <c r="E2939" s="399" t="s">
        <v>3276</v>
      </c>
      <c r="F2939" s="399" t="s">
        <v>3277</v>
      </c>
      <c r="G2939" s="399" t="s">
        <v>2221</v>
      </c>
      <c r="H2939" s="1235"/>
    </row>
    <row r="2940" spans="1:8" hidden="1">
      <c r="A2940" s="551" t="s">
        <v>2797</v>
      </c>
      <c r="B2940" s="399" t="s">
        <v>1412</v>
      </c>
      <c r="C2940" s="399" t="s">
        <v>184</v>
      </c>
      <c r="D2940" s="399">
        <v>2453</v>
      </c>
      <c r="E2940" s="399" t="s">
        <v>3278</v>
      </c>
      <c r="F2940" s="399" t="s">
        <v>3279</v>
      </c>
      <c r="G2940" s="399" t="s">
        <v>2221</v>
      </c>
      <c r="H2940" s="1235"/>
    </row>
    <row r="2941" spans="1:8" hidden="1">
      <c r="A2941" s="551" t="s">
        <v>2797</v>
      </c>
      <c r="B2941" s="399" t="s">
        <v>1412</v>
      </c>
      <c r="C2941" s="399" t="s">
        <v>184</v>
      </c>
      <c r="D2941" s="399">
        <v>2454</v>
      </c>
      <c r="E2941" s="399" t="s">
        <v>3280</v>
      </c>
      <c r="F2941" s="399" t="s">
        <v>3281</v>
      </c>
      <c r="G2941" s="399" t="s">
        <v>2221</v>
      </c>
      <c r="H2941" s="1235"/>
    </row>
    <row r="2942" spans="1:8" hidden="1">
      <c r="A2942" s="551" t="s">
        <v>2797</v>
      </c>
      <c r="B2942" s="399" t="s">
        <v>1412</v>
      </c>
      <c r="C2942" s="399" t="s">
        <v>184</v>
      </c>
      <c r="D2942" s="399">
        <v>2500</v>
      </c>
      <c r="E2942" s="399">
        <v>25</v>
      </c>
      <c r="F2942" s="399" t="s">
        <v>3282</v>
      </c>
      <c r="G2942" s="399" t="s">
        <v>2221</v>
      </c>
      <c r="H2942" s="1235"/>
    </row>
    <row r="2943" spans="1:8" hidden="1">
      <c r="A2943" s="551" t="s">
        <v>2797</v>
      </c>
      <c r="B2943" s="399" t="s">
        <v>1412</v>
      </c>
      <c r="C2943" s="399" t="s">
        <v>184</v>
      </c>
      <c r="D2943" s="399">
        <v>2510</v>
      </c>
      <c r="E2943" s="399" t="s">
        <v>3283</v>
      </c>
      <c r="F2943" s="399" t="s">
        <v>3284</v>
      </c>
      <c r="G2943" s="399" t="s">
        <v>2221</v>
      </c>
      <c r="H2943" s="1235"/>
    </row>
    <row r="2944" spans="1:8" hidden="1">
      <c r="A2944" s="551" t="s">
        <v>2797</v>
      </c>
      <c r="B2944" s="399" t="s">
        <v>1412</v>
      </c>
      <c r="C2944" s="399" t="s">
        <v>184</v>
      </c>
      <c r="D2944" s="399">
        <v>2511</v>
      </c>
      <c r="E2944" s="399" t="s">
        <v>3285</v>
      </c>
      <c r="F2944" s="399" t="s">
        <v>3286</v>
      </c>
      <c r="G2944" s="399" t="s">
        <v>2221</v>
      </c>
      <c r="H2944" s="1235"/>
    </row>
    <row r="2945" spans="1:8" hidden="1">
      <c r="A2945" s="551" t="s">
        <v>2797</v>
      </c>
      <c r="B2945" s="399" t="s">
        <v>1412</v>
      </c>
      <c r="C2945" s="399" t="s">
        <v>184</v>
      </c>
      <c r="D2945" s="399">
        <v>2512</v>
      </c>
      <c r="E2945" s="399" t="s">
        <v>3287</v>
      </c>
      <c r="F2945" s="399" t="s">
        <v>3288</v>
      </c>
      <c r="G2945" s="399" t="s">
        <v>2221</v>
      </c>
      <c r="H2945" s="1235"/>
    </row>
    <row r="2946" spans="1:8" hidden="1">
      <c r="A2946" s="551" t="s">
        <v>2797</v>
      </c>
      <c r="B2946" s="399" t="s">
        <v>1412</v>
      </c>
      <c r="C2946" s="399" t="s">
        <v>184</v>
      </c>
      <c r="D2946" s="399">
        <v>2520</v>
      </c>
      <c r="E2946" s="399" t="s">
        <v>3289</v>
      </c>
      <c r="F2946" s="399" t="s">
        <v>3290</v>
      </c>
      <c r="G2946" s="399" t="s">
        <v>2221</v>
      </c>
      <c r="H2946" s="1235"/>
    </row>
    <row r="2947" spans="1:8" hidden="1">
      <c r="A2947" s="551" t="s">
        <v>2797</v>
      </c>
      <c r="B2947" s="399" t="s">
        <v>1412</v>
      </c>
      <c r="C2947" s="399" t="s">
        <v>184</v>
      </c>
      <c r="D2947" s="399">
        <v>2521</v>
      </c>
      <c r="E2947" s="399" t="s">
        <v>3291</v>
      </c>
      <c r="F2947" s="399" t="s">
        <v>3292</v>
      </c>
      <c r="G2947" s="399" t="s">
        <v>2221</v>
      </c>
      <c r="H2947" s="1235"/>
    </row>
    <row r="2948" spans="1:8" hidden="1">
      <c r="A2948" s="551" t="s">
        <v>2797</v>
      </c>
      <c r="B2948" s="399" t="s">
        <v>1412</v>
      </c>
      <c r="C2948" s="399" t="s">
        <v>184</v>
      </c>
      <c r="D2948" s="399">
        <v>2529</v>
      </c>
      <c r="E2948" s="399" t="s">
        <v>3293</v>
      </c>
      <c r="F2948" s="399" t="s">
        <v>3294</v>
      </c>
      <c r="G2948" s="399" t="s">
        <v>2221</v>
      </c>
      <c r="H2948" s="1235"/>
    </row>
    <row r="2949" spans="1:8" hidden="1">
      <c r="A2949" s="551" t="s">
        <v>2797</v>
      </c>
      <c r="B2949" s="399" t="s">
        <v>1412</v>
      </c>
      <c r="C2949" s="399" t="s">
        <v>184</v>
      </c>
      <c r="D2949" s="399">
        <v>2530</v>
      </c>
      <c r="E2949" s="399" t="s">
        <v>3295</v>
      </c>
      <c r="F2949" s="399" t="s">
        <v>3296</v>
      </c>
      <c r="G2949" s="399" t="s">
        <v>2221</v>
      </c>
      <c r="H2949" s="1235"/>
    </row>
    <row r="2950" spans="1:8" hidden="1">
      <c r="A2950" s="551" t="s">
        <v>2797</v>
      </c>
      <c r="B2950" s="399" t="s">
        <v>1412</v>
      </c>
      <c r="C2950" s="399" t="s">
        <v>184</v>
      </c>
      <c r="D2950" s="399">
        <v>2540</v>
      </c>
      <c r="E2950" s="399" t="s">
        <v>3297</v>
      </c>
      <c r="F2950" s="399" t="s">
        <v>3298</v>
      </c>
      <c r="G2950" s="399" t="s">
        <v>2221</v>
      </c>
      <c r="H2950" s="1235"/>
    </row>
    <row r="2951" spans="1:8" hidden="1">
      <c r="A2951" s="551" t="s">
        <v>2797</v>
      </c>
      <c r="B2951" s="399" t="s">
        <v>1412</v>
      </c>
      <c r="C2951" s="399" t="s">
        <v>184</v>
      </c>
      <c r="D2951" s="399">
        <v>2550</v>
      </c>
      <c r="E2951" s="399" t="s">
        <v>3299</v>
      </c>
      <c r="F2951" s="399" t="s">
        <v>3300</v>
      </c>
      <c r="G2951" s="399" t="s">
        <v>2221</v>
      </c>
      <c r="H2951" s="1235"/>
    </row>
    <row r="2952" spans="1:8" hidden="1">
      <c r="A2952" s="551" t="s">
        <v>2797</v>
      </c>
      <c r="B2952" s="399" t="s">
        <v>1412</v>
      </c>
      <c r="C2952" s="399" t="s">
        <v>184</v>
      </c>
      <c r="D2952" s="399">
        <v>2560</v>
      </c>
      <c r="E2952" s="399" t="s">
        <v>3301</v>
      </c>
      <c r="F2952" s="399" t="s">
        <v>3302</v>
      </c>
      <c r="G2952" s="399" t="s">
        <v>2221</v>
      </c>
      <c r="H2952" s="1235"/>
    </row>
    <row r="2953" spans="1:8" hidden="1">
      <c r="A2953" s="551" t="s">
        <v>2797</v>
      </c>
      <c r="B2953" s="399" t="s">
        <v>1412</v>
      </c>
      <c r="C2953" s="399" t="s">
        <v>184</v>
      </c>
      <c r="D2953" s="399">
        <v>2561</v>
      </c>
      <c r="E2953" s="399" t="s">
        <v>3303</v>
      </c>
      <c r="F2953" s="399" t="s">
        <v>3304</v>
      </c>
      <c r="G2953" s="399" t="s">
        <v>2221</v>
      </c>
      <c r="H2953" s="1235"/>
    </row>
    <row r="2954" spans="1:8" hidden="1">
      <c r="A2954" s="551" t="s">
        <v>2797</v>
      </c>
      <c r="B2954" s="399" t="s">
        <v>1412</v>
      </c>
      <c r="C2954" s="399" t="s">
        <v>184</v>
      </c>
      <c r="D2954" s="399">
        <v>2562</v>
      </c>
      <c r="E2954" s="399" t="s">
        <v>3305</v>
      </c>
      <c r="F2954" s="399" t="s">
        <v>3306</v>
      </c>
      <c r="G2954" s="399" t="s">
        <v>2221</v>
      </c>
      <c r="H2954" s="1235"/>
    </row>
    <row r="2955" spans="1:8" hidden="1">
      <c r="A2955" s="551" t="s">
        <v>2797</v>
      </c>
      <c r="B2955" s="399" t="s">
        <v>1412</v>
      </c>
      <c r="C2955" s="399" t="s">
        <v>184</v>
      </c>
      <c r="D2955" s="399">
        <v>2570</v>
      </c>
      <c r="E2955" s="399" t="s">
        <v>3307</v>
      </c>
      <c r="F2955" s="399" t="s">
        <v>3308</v>
      </c>
      <c r="G2955" s="399" t="s">
        <v>2221</v>
      </c>
      <c r="H2955" s="1235"/>
    </row>
    <row r="2956" spans="1:8" hidden="1">
      <c r="A2956" s="551" t="s">
        <v>2797</v>
      </c>
      <c r="B2956" s="399" t="s">
        <v>1412</v>
      </c>
      <c r="C2956" s="399" t="s">
        <v>184</v>
      </c>
      <c r="D2956" s="399">
        <v>2571</v>
      </c>
      <c r="E2956" s="399" t="s">
        <v>3309</v>
      </c>
      <c r="F2956" s="399" t="s">
        <v>3310</v>
      </c>
      <c r="G2956" s="399" t="s">
        <v>2221</v>
      </c>
      <c r="H2956" s="1235"/>
    </row>
    <row r="2957" spans="1:8" hidden="1">
      <c r="A2957" s="551" t="s">
        <v>2797</v>
      </c>
      <c r="B2957" s="399" t="s">
        <v>1412</v>
      </c>
      <c r="C2957" s="399" t="s">
        <v>184</v>
      </c>
      <c r="D2957" s="399">
        <v>2572</v>
      </c>
      <c r="E2957" s="399" t="s">
        <v>3311</v>
      </c>
      <c r="F2957" s="399" t="s">
        <v>3312</v>
      </c>
      <c r="G2957" s="399" t="s">
        <v>2221</v>
      </c>
      <c r="H2957" s="1235"/>
    </row>
    <row r="2958" spans="1:8" hidden="1">
      <c r="A2958" s="551" t="s">
        <v>2797</v>
      </c>
      <c r="B2958" s="399" t="s">
        <v>1412</v>
      </c>
      <c r="C2958" s="399" t="s">
        <v>184</v>
      </c>
      <c r="D2958" s="399">
        <v>2573</v>
      </c>
      <c r="E2958" s="399" t="s">
        <v>3313</v>
      </c>
      <c r="F2958" s="399" t="s">
        <v>3314</v>
      </c>
      <c r="G2958" s="399" t="s">
        <v>2221</v>
      </c>
      <c r="H2958" s="1235"/>
    </row>
    <row r="2959" spans="1:8" hidden="1">
      <c r="A2959" s="551" t="s">
        <v>2797</v>
      </c>
      <c r="B2959" s="399" t="s">
        <v>1412</v>
      </c>
      <c r="C2959" s="399" t="s">
        <v>184</v>
      </c>
      <c r="D2959" s="399">
        <v>2590</v>
      </c>
      <c r="E2959" s="399" t="s">
        <v>3315</v>
      </c>
      <c r="F2959" s="399" t="s">
        <v>3316</v>
      </c>
      <c r="G2959" s="399" t="s">
        <v>2221</v>
      </c>
      <c r="H2959" s="1235"/>
    </row>
    <row r="2960" spans="1:8" hidden="1">
      <c r="A2960" s="551" t="s">
        <v>2797</v>
      </c>
      <c r="B2960" s="399" t="s">
        <v>1412</v>
      </c>
      <c r="C2960" s="399" t="s">
        <v>184</v>
      </c>
      <c r="D2960" s="399">
        <v>2591</v>
      </c>
      <c r="E2960" s="399" t="s">
        <v>3317</v>
      </c>
      <c r="F2960" s="399" t="s">
        <v>3318</v>
      </c>
      <c r="G2960" s="399" t="s">
        <v>2221</v>
      </c>
      <c r="H2960" s="1235"/>
    </row>
    <row r="2961" spans="1:8" hidden="1">
      <c r="A2961" s="551" t="s">
        <v>2797</v>
      </c>
      <c r="B2961" s="399" t="s">
        <v>1412</v>
      </c>
      <c r="C2961" s="399" t="s">
        <v>184</v>
      </c>
      <c r="D2961" s="399">
        <v>2592</v>
      </c>
      <c r="E2961" s="399" t="s">
        <v>3319</v>
      </c>
      <c r="F2961" s="399" t="s">
        <v>3320</v>
      </c>
      <c r="G2961" s="399" t="s">
        <v>2221</v>
      </c>
      <c r="H2961" s="1235"/>
    </row>
    <row r="2962" spans="1:8" hidden="1">
      <c r="A2962" s="551" t="s">
        <v>2797</v>
      </c>
      <c r="B2962" s="399" t="s">
        <v>1412</v>
      </c>
      <c r="C2962" s="399" t="s">
        <v>184</v>
      </c>
      <c r="D2962" s="399">
        <v>2593</v>
      </c>
      <c r="E2962" s="399" t="s">
        <v>3321</v>
      </c>
      <c r="F2962" s="399" t="s">
        <v>3322</v>
      </c>
      <c r="G2962" s="399" t="s">
        <v>2221</v>
      </c>
      <c r="H2962" s="1235"/>
    </row>
    <row r="2963" spans="1:8" hidden="1">
      <c r="A2963" s="551" t="s">
        <v>2797</v>
      </c>
      <c r="B2963" s="399" t="s">
        <v>1412</v>
      </c>
      <c r="C2963" s="399" t="s">
        <v>184</v>
      </c>
      <c r="D2963" s="399">
        <v>2594</v>
      </c>
      <c r="E2963" s="399" t="s">
        <v>3323</v>
      </c>
      <c r="F2963" s="399" t="s">
        <v>3324</v>
      </c>
      <c r="G2963" s="399" t="s">
        <v>2221</v>
      </c>
      <c r="H2963" s="1235"/>
    </row>
    <row r="2964" spans="1:8" hidden="1">
      <c r="A2964" s="551" t="s">
        <v>2797</v>
      </c>
      <c r="B2964" s="399" t="s">
        <v>1412</v>
      </c>
      <c r="C2964" s="399" t="s">
        <v>184</v>
      </c>
      <c r="D2964" s="399">
        <v>2599</v>
      </c>
      <c r="E2964" s="399">
        <v>26</v>
      </c>
      <c r="F2964" s="399" t="s">
        <v>3325</v>
      </c>
      <c r="G2964" s="399" t="s">
        <v>2221</v>
      </c>
      <c r="H2964" s="1235"/>
    </row>
    <row r="2965" spans="1:8" hidden="1">
      <c r="A2965" s="551" t="s">
        <v>2797</v>
      </c>
      <c r="B2965" s="399" t="s">
        <v>1412</v>
      </c>
      <c r="C2965" s="399" t="s">
        <v>184</v>
      </c>
      <c r="D2965" s="399">
        <v>2600</v>
      </c>
      <c r="E2965" s="399" t="s">
        <v>3326</v>
      </c>
      <c r="F2965" s="399" t="s">
        <v>3327</v>
      </c>
      <c r="G2965" s="399" t="s">
        <v>2221</v>
      </c>
      <c r="H2965" s="1235"/>
    </row>
    <row r="2966" spans="1:8" hidden="1">
      <c r="A2966" s="551" t="s">
        <v>2797</v>
      </c>
      <c r="B2966" s="399" t="s">
        <v>1412</v>
      </c>
      <c r="C2966" s="399" t="s">
        <v>184</v>
      </c>
      <c r="D2966" s="399">
        <v>2610</v>
      </c>
      <c r="E2966" s="399" t="s">
        <v>3328</v>
      </c>
      <c r="F2966" s="399" t="s">
        <v>3329</v>
      </c>
      <c r="G2966" s="399" t="s">
        <v>2221</v>
      </c>
      <c r="H2966" s="1235"/>
    </row>
    <row r="2967" spans="1:8" hidden="1">
      <c r="A2967" s="551" t="s">
        <v>2797</v>
      </c>
      <c r="B2967" s="399" t="s">
        <v>1412</v>
      </c>
      <c r="C2967" s="399" t="s">
        <v>184</v>
      </c>
      <c r="D2967" s="399">
        <v>2611</v>
      </c>
      <c r="E2967" s="399" t="s">
        <v>3330</v>
      </c>
      <c r="F2967" s="399" t="s">
        <v>3331</v>
      </c>
      <c r="G2967" s="399" t="s">
        <v>2221</v>
      </c>
      <c r="H2967" s="1235"/>
    </row>
    <row r="2968" spans="1:8" hidden="1">
      <c r="A2968" s="551" t="s">
        <v>2797</v>
      </c>
      <c r="B2968" s="399" t="s">
        <v>1412</v>
      </c>
      <c r="C2968" s="399" t="s">
        <v>184</v>
      </c>
      <c r="D2968" s="399">
        <v>2612</v>
      </c>
      <c r="E2968" s="399" t="s">
        <v>3332</v>
      </c>
      <c r="F2968" s="399" t="s">
        <v>3333</v>
      </c>
      <c r="G2968" s="399" t="s">
        <v>2221</v>
      </c>
      <c r="H2968" s="1235"/>
    </row>
    <row r="2969" spans="1:8" hidden="1">
      <c r="A2969" s="551" t="s">
        <v>2797</v>
      </c>
      <c r="B2969" s="399" t="s">
        <v>1412</v>
      </c>
      <c r="C2969" s="399" t="s">
        <v>184</v>
      </c>
      <c r="D2969" s="399">
        <v>2620</v>
      </c>
      <c r="E2969" s="399" t="s">
        <v>3334</v>
      </c>
      <c r="F2969" s="399" t="s">
        <v>3335</v>
      </c>
      <c r="G2969" s="399" t="s">
        <v>2221</v>
      </c>
      <c r="H2969" s="1235"/>
    </row>
    <row r="2970" spans="1:8" hidden="1">
      <c r="A2970" s="551" t="s">
        <v>2797</v>
      </c>
      <c r="B2970" s="399" t="s">
        <v>1412</v>
      </c>
      <c r="C2970" s="399" t="s">
        <v>184</v>
      </c>
      <c r="D2970" s="399">
        <v>2630</v>
      </c>
      <c r="E2970" s="399" t="s">
        <v>3336</v>
      </c>
      <c r="F2970" s="399" t="s">
        <v>3337</v>
      </c>
      <c r="G2970" s="399" t="s">
        <v>2221</v>
      </c>
      <c r="H2970" s="1235"/>
    </row>
    <row r="2971" spans="1:8" hidden="1">
      <c r="A2971" s="551" t="s">
        <v>2797</v>
      </c>
      <c r="B2971" s="399" t="s">
        <v>1412</v>
      </c>
      <c r="C2971" s="399" t="s">
        <v>184</v>
      </c>
      <c r="D2971" s="399">
        <v>2640</v>
      </c>
      <c r="E2971" s="399" t="s">
        <v>3338</v>
      </c>
      <c r="F2971" s="399" t="s">
        <v>3339</v>
      </c>
      <c r="G2971" s="399" t="s">
        <v>2221</v>
      </c>
      <c r="H2971" s="1235"/>
    </row>
    <row r="2972" spans="1:8" hidden="1">
      <c r="A2972" s="551" t="s">
        <v>2797</v>
      </c>
      <c r="B2972" s="399" t="s">
        <v>1412</v>
      </c>
      <c r="C2972" s="399" t="s">
        <v>184</v>
      </c>
      <c r="D2972" s="399">
        <v>2650</v>
      </c>
      <c r="E2972" s="399" t="s">
        <v>3340</v>
      </c>
      <c r="F2972" s="399" t="s">
        <v>3341</v>
      </c>
      <c r="G2972" s="399" t="s">
        <v>2221</v>
      </c>
      <c r="H2972" s="1235"/>
    </row>
    <row r="2973" spans="1:8" hidden="1">
      <c r="A2973" s="551" t="s">
        <v>2797</v>
      </c>
      <c r="B2973" s="399" t="s">
        <v>1412</v>
      </c>
      <c r="C2973" s="399" t="s">
        <v>184</v>
      </c>
      <c r="D2973" s="399">
        <v>2651</v>
      </c>
      <c r="E2973" s="399" t="s">
        <v>3342</v>
      </c>
      <c r="F2973" s="399" t="s">
        <v>3343</v>
      </c>
      <c r="G2973" s="399" t="s">
        <v>2221</v>
      </c>
      <c r="H2973" s="1235"/>
    </row>
    <row r="2974" spans="1:8" hidden="1">
      <c r="A2974" s="551" t="s">
        <v>2797</v>
      </c>
      <c r="B2974" s="399" t="s">
        <v>1412</v>
      </c>
      <c r="C2974" s="399" t="s">
        <v>184</v>
      </c>
      <c r="D2974" s="399">
        <v>2652</v>
      </c>
      <c r="E2974" s="399" t="s">
        <v>3344</v>
      </c>
      <c r="F2974" s="399" t="s">
        <v>3345</v>
      </c>
      <c r="G2974" s="399" t="s">
        <v>2221</v>
      </c>
      <c r="H2974" s="1235"/>
    </row>
    <row r="2975" spans="1:8" hidden="1">
      <c r="A2975" s="551" t="s">
        <v>2797</v>
      </c>
      <c r="B2975" s="399" t="s">
        <v>1412</v>
      </c>
      <c r="C2975" s="399" t="s">
        <v>184</v>
      </c>
      <c r="D2975" s="399">
        <v>2660</v>
      </c>
      <c r="E2975" s="399" t="s">
        <v>3346</v>
      </c>
      <c r="F2975" s="399" t="s">
        <v>3347</v>
      </c>
      <c r="G2975" s="399" t="s">
        <v>2221</v>
      </c>
      <c r="H2975" s="1235"/>
    </row>
    <row r="2976" spans="1:8" hidden="1">
      <c r="A2976" s="551" t="s">
        <v>2797</v>
      </c>
      <c r="B2976" s="399" t="s">
        <v>1412</v>
      </c>
      <c r="C2976" s="399" t="s">
        <v>184</v>
      </c>
      <c r="D2976" s="399">
        <v>2670</v>
      </c>
      <c r="E2976" s="399" t="s">
        <v>3348</v>
      </c>
      <c r="F2976" s="399" t="s">
        <v>3349</v>
      </c>
      <c r="G2976" s="399" t="s">
        <v>2221</v>
      </c>
      <c r="H2976" s="1235"/>
    </row>
    <row r="2977" spans="1:8" hidden="1">
      <c r="A2977" s="551" t="s">
        <v>2797</v>
      </c>
      <c r="B2977" s="399" t="s">
        <v>1412</v>
      </c>
      <c r="C2977" s="399" t="s">
        <v>184</v>
      </c>
      <c r="D2977" s="399">
        <v>2680</v>
      </c>
      <c r="E2977" s="399" t="s">
        <v>3350</v>
      </c>
      <c r="F2977" s="399" t="s">
        <v>3351</v>
      </c>
      <c r="G2977" s="399" t="s">
        <v>2221</v>
      </c>
      <c r="H2977" s="1235"/>
    </row>
    <row r="2978" spans="1:8" hidden="1">
      <c r="A2978" s="551" t="s">
        <v>2797</v>
      </c>
      <c r="B2978" s="399" t="s">
        <v>1412</v>
      </c>
      <c r="C2978" s="399" t="s">
        <v>184</v>
      </c>
      <c r="D2978" s="399">
        <v>2700</v>
      </c>
      <c r="E2978" s="399">
        <v>27</v>
      </c>
      <c r="F2978" s="399" t="s">
        <v>3352</v>
      </c>
      <c r="G2978" s="399" t="s">
        <v>2221</v>
      </c>
      <c r="H2978" s="1235"/>
    </row>
    <row r="2979" spans="1:8" hidden="1">
      <c r="A2979" s="551" t="s">
        <v>2797</v>
      </c>
      <c r="B2979" s="399" t="s">
        <v>1412</v>
      </c>
      <c r="C2979" s="399" t="s">
        <v>184</v>
      </c>
      <c r="D2979" s="399">
        <v>2710</v>
      </c>
      <c r="E2979" s="399" t="s">
        <v>3353</v>
      </c>
      <c r="F2979" s="399" t="s">
        <v>3354</v>
      </c>
      <c r="G2979" s="399" t="s">
        <v>2221</v>
      </c>
      <c r="H2979" s="1235"/>
    </row>
    <row r="2980" spans="1:8" hidden="1">
      <c r="A2980" s="551" t="s">
        <v>2797</v>
      </c>
      <c r="B2980" s="399" t="s">
        <v>1412</v>
      </c>
      <c r="C2980" s="399" t="s">
        <v>184</v>
      </c>
      <c r="D2980" s="399">
        <v>2711</v>
      </c>
      <c r="E2980" s="399" t="s">
        <v>3355</v>
      </c>
      <c r="F2980" s="399" t="s">
        <v>3356</v>
      </c>
      <c r="G2980" s="399" t="s">
        <v>2221</v>
      </c>
      <c r="H2980" s="1235"/>
    </row>
    <row r="2981" spans="1:8" hidden="1">
      <c r="A2981" s="551" t="s">
        <v>2797</v>
      </c>
      <c r="B2981" s="399" t="s">
        <v>1412</v>
      </c>
      <c r="C2981" s="399" t="s">
        <v>184</v>
      </c>
      <c r="D2981" s="399">
        <v>2712</v>
      </c>
      <c r="E2981" s="399" t="s">
        <v>3357</v>
      </c>
      <c r="F2981" s="399" t="s">
        <v>3358</v>
      </c>
      <c r="G2981" s="399" t="s">
        <v>2221</v>
      </c>
      <c r="H2981" s="1235"/>
    </row>
    <row r="2982" spans="1:8" hidden="1">
      <c r="A2982" s="551" t="s">
        <v>2797</v>
      </c>
      <c r="B2982" s="399" t="s">
        <v>1412</v>
      </c>
      <c r="C2982" s="399" t="s">
        <v>184</v>
      </c>
      <c r="D2982" s="399">
        <v>2720</v>
      </c>
      <c r="E2982" s="399" t="s">
        <v>3359</v>
      </c>
      <c r="F2982" s="399" t="s">
        <v>3360</v>
      </c>
      <c r="G2982" s="399" t="s">
        <v>2221</v>
      </c>
      <c r="H2982" s="1235"/>
    </row>
    <row r="2983" spans="1:8" hidden="1">
      <c r="A2983" s="551" t="s">
        <v>2797</v>
      </c>
      <c r="B2983" s="399" t="s">
        <v>1412</v>
      </c>
      <c r="C2983" s="399" t="s">
        <v>184</v>
      </c>
      <c r="D2983" s="399">
        <v>2730</v>
      </c>
      <c r="E2983" s="399" t="s">
        <v>3361</v>
      </c>
      <c r="F2983" s="399" t="s">
        <v>3362</v>
      </c>
      <c r="G2983" s="399" t="s">
        <v>2221</v>
      </c>
      <c r="H2983" s="1235"/>
    </row>
    <row r="2984" spans="1:8" hidden="1">
      <c r="A2984" s="551" t="s">
        <v>2797</v>
      </c>
      <c r="B2984" s="399" t="s">
        <v>1412</v>
      </c>
      <c r="C2984" s="399" t="s">
        <v>184</v>
      </c>
      <c r="D2984" s="399">
        <v>2731</v>
      </c>
      <c r="E2984" s="399" t="s">
        <v>3363</v>
      </c>
      <c r="F2984" s="399" t="s">
        <v>3364</v>
      </c>
      <c r="G2984" s="399" t="s">
        <v>2221</v>
      </c>
      <c r="H2984" s="1235"/>
    </row>
    <row r="2985" spans="1:8" hidden="1">
      <c r="A2985" s="551" t="s">
        <v>2797</v>
      </c>
      <c r="B2985" s="399" t="s">
        <v>1412</v>
      </c>
      <c r="C2985" s="399" t="s">
        <v>184</v>
      </c>
      <c r="D2985" s="399">
        <v>2732</v>
      </c>
      <c r="E2985" s="399" t="s">
        <v>3365</v>
      </c>
      <c r="F2985" s="399" t="s">
        <v>3366</v>
      </c>
      <c r="G2985" s="399" t="s">
        <v>2221</v>
      </c>
      <c r="H2985" s="1235"/>
    </row>
    <row r="2986" spans="1:8" hidden="1">
      <c r="A2986" s="551" t="s">
        <v>2797</v>
      </c>
      <c r="B2986" s="399" t="s">
        <v>1412</v>
      </c>
      <c r="C2986" s="399" t="s">
        <v>184</v>
      </c>
      <c r="D2986" s="399">
        <v>2733</v>
      </c>
      <c r="E2986" s="399" t="s">
        <v>3367</v>
      </c>
      <c r="F2986" s="399" t="s">
        <v>3368</v>
      </c>
      <c r="G2986" s="399" t="s">
        <v>2221</v>
      </c>
      <c r="H2986" s="1235"/>
    </row>
    <row r="2987" spans="1:8" hidden="1">
      <c r="A2987" s="551" t="s">
        <v>2797</v>
      </c>
      <c r="B2987" s="399" t="s">
        <v>1412</v>
      </c>
      <c r="C2987" s="399" t="s">
        <v>184</v>
      </c>
      <c r="D2987" s="399">
        <v>2740</v>
      </c>
      <c r="E2987" s="399" t="s">
        <v>3369</v>
      </c>
      <c r="F2987" s="399" t="s">
        <v>3370</v>
      </c>
      <c r="G2987" s="399" t="s">
        <v>2221</v>
      </c>
      <c r="H2987" s="1235"/>
    </row>
    <row r="2988" spans="1:8" hidden="1">
      <c r="A2988" s="551" t="s">
        <v>2797</v>
      </c>
      <c r="B2988" s="399" t="s">
        <v>1412</v>
      </c>
      <c r="C2988" s="399" t="s">
        <v>184</v>
      </c>
      <c r="D2988" s="399">
        <v>2750</v>
      </c>
      <c r="E2988" s="399" t="s">
        <v>3371</v>
      </c>
      <c r="F2988" s="399" t="s">
        <v>3372</v>
      </c>
      <c r="G2988" s="399" t="s">
        <v>2221</v>
      </c>
      <c r="H2988" s="1235"/>
    </row>
    <row r="2989" spans="1:8" hidden="1">
      <c r="A2989" s="551" t="s">
        <v>2797</v>
      </c>
      <c r="B2989" s="399" t="s">
        <v>1412</v>
      </c>
      <c r="C2989" s="399" t="s">
        <v>184</v>
      </c>
      <c r="D2989" s="399">
        <v>2751</v>
      </c>
      <c r="E2989" s="399" t="s">
        <v>3373</v>
      </c>
      <c r="F2989" s="399" t="s">
        <v>3374</v>
      </c>
      <c r="G2989" s="399" t="s">
        <v>2221</v>
      </c>
      <c r="H2989" s="1235"/>
    </row>
    <row r="2990" spans="1:8" hidden="1">
      <c r="A2990" s="551" t="s">
        <v>2797</v>
      </c>
      <c r="B2990" s="399" t="s">
        <v>1412</v>
      </c>
      <c r="C2990" s="399" t="s">
        <v>184</v>
      </c>
      <c r="D2990" s="399">
        <v>2752</v>
      </c>
      <c r="E2990" s="399" t="s">
        <v>3375</v>
      </c>
      <c r="F2990" s="399" t="s">
        <v>3376</v>
      </c>
      <c r="G2990" s="399" t="s">
        <v>2221</v>
      </c>
      <c r="H2990" s="1235"/>
    </row>
    <row r="2991" spans="1:8" hidden="1">
      <c r="A2991" s="551" t="s">
        <v>2797</v>
      </c>
      <c r="B2991" s="399" t="s">
        <v>1412</v>
      </c>
      <c r="C2991" s="399" t="s">
        <v>184</v>
      </c>
      <c r="D2991" s="399">
        <v>2790</v>
      </c>
      <c r="E2991" s="399" t="s">
        <v>3377</v>
      </c>
      <c r="F2991" s="399" t="s">
        <v>3378</v>
      </c>
      <c r="G2991" s="399" t="s">
        <v>2221</v>
      </c>
      <c r="H2991" s="1235"/>
    </row>
    <row r="2992" spans="1:8" hidden="1">
      <c r="A2992" s="551" t="s">
        <v>2797</v>
      </c>
      <c r="B2992" s="399" t="s">
        <v>1412</v>
      </c>
      <c r="C2992" s="399" t="s">
        <v>184</v>
      </c>
      <c r="D2992" s="399">
        <v>2800</v>
      </c>
      <c r="E2992" s="399">
        <v>28</v>
      </c>
      <c r="F2992" s="399" t="s">
        <v>3379</v>
      </c>
      <c r="G2992" s="399" t="s">
        <v>2221</v>
      </c>
      <c r="H2992" s="1235"/>
    </row>
    <row r="2993" spans="1:8" hidden="1">
      <c r="A2993" s="551" t="s">
        <v>2797</v>
      </c>
      <c r="B2993" s="399" t="s">
        <v>1412</v>
      </c>
      <c r="C2993" s="399" t="s">
        <v>184</v>
      </c>
      <c r="D2993" s="399">
        <v>2810</v>
      </c>
      <c r="E2993" s="399" t="s">
        <v>3380</v>
      </c>
      <c r="F2993" s="399" t="s">
        <v>3381</v>
      </c>
      <c r="G2993" s="399" t="s">
        <v>2221</v>
      </c>
      <c r="H2993" s="1235"/>
    </row>
    <row r="2994" spans="1:8" hidden="1">
      <c r="A2994" s="551" t="s">
        <v>2797</v>
      </c>
      <c r="B2994" s="399" t="s">
        <v>1412</v>
      </c>
      <c r="C2994" s="399" t="s">
        <v>184</v>
      </c>
      <c r="D2994" s="399">
        <v>2811</v>
      </c>
      <c r="E2994" s="399" t="s">
        <v>3382</v>
      </c>
      <c r="F2994" s="399" t="s">
        <v>3383</v>
      </c>
      <c r="G2994" s="399" t="s">
        <v>2221</v>
      </c>
      <c r="H2994" s="1235"/>
    </row>
    <row r="2995" spans="1:8" hidden="1">
      <c r="A2995" s="551" t="s">
        <v>2797</v>
      </c>
      <c r="B2995" s="399" t="s">
        <v>1412</v>
      </c>
      <c r="C2995" s="399" t="s">
        <v>184</v>
      </c>
      <c r="D2995" s="399">
        <v>2812</v>
      </c>
      <c r="E2995" s="399" t="s">
        <v>3384</v>
      </c>
      <c r="F2995" s="399" t="s">
        <v>3385</v>
      </c>
      <c r="G2995" s="399" t="s">
        <v>2221</v>
      </c>
      <c r="H2995" s="1235"/>
    </row>
    <row r="2996" spans="1:8" hidden="1">
      <c r="A2996" s="551" t="s">
        <v>2797</v>
      </c>
      <c r="B2996" s="399" t="s">
        <v>1412</v>
      </c>
      <c r="C2996" s="399" t="s">
        <v>184</v>
      </c>
      <c r="D2996" s="399">
        <v>2813</v>
      </c>
      <c r="E2996" s="399" t="s">
        <v>3386</v>
      </c>
      <c r="F2996" s="399" t="s">
        <v>3387</v>
      </c>
      <c r="G2996" s="399" t="s">
        <v>2221</v>
      </c>
      <c r="H2996" s="1235"/>
    </row>
    <row r="2997" spans="1:8" hidden="1">
      <c r="A2997" s="551" t="s">
        <v>2797</v>
      </c>
      <c r="B2997" s="399" t="s">
        <v>1412</v>
      </c>
      <c r="C2997" s="399" t="s">
        <v>184</v>
      </c>
      <c r="D2997" s="399">
        <v>2814</v>
      </c>
      <c r="E2997" s="399" t="s">
        <v>3388</v>
      </c>
      <c r="F2997" s="399" t="s">
        <v>3389</v>
      </c>
      <c r="G2997" s="399" t="s">
        <v>2221</v>
      </c>
      <c r="H2997" s="1235"/>
    </row>
    <row r="2998" spans="1:8" hidden="1">
      <c r="A2998" s="551" t="s">
        <v>2797</v>
      </c>
      <c r="B2998" s="399" t="s">
        <v>1412</v>
      </c>
      <c r="C2998" s="399" t="s">
        <v>184</v>
      </c>
      <c r="D2998" s="399">
        <v>2815</v>
      </c>
      <c r="E2998" s="399" t="s">
        <v>3390</v>
      </c>
      <c r="F2998" s="399" t="s">
        <v>3391</v>
      </c>
      <c r="G2998" s="399" t="s">
        <v>2221</v>
      </c>
      <c r="H2998" s="1235"/>
    </row>
    <row r="2999" spans="1:8" hidden="1">
      <c r="A2999" s="551" t="s">
        <v>2797</v>
      </c>
      <c r="B2999" s="399" t="s">
        <v>1412</v>
      </c>
      <c r="C2999" s="399" t="s">
        <v>184</v>
      </c>
      <c r="D2999" s="399">
        <v>2820</v>
      </c>
      <c r="E2999" s="399" t="s">
        <v>3392</v>
      </c>
      <c r="F2999" s="399" t="s">
        <v>3393</v>
      </c>
      <c r="G2999" s="399" t="s">
        <v>2221</v>
      </c>
      <c r="H2999" s="1235"/>
    </row>
    <row r="3000" spans="1:8" hidden="1">
      <c r="A3000" s="551" t="s">
        <v>2797</v>
      </c>
      <c r="B3000" s="399" t="s">
        <v>1412</v>
      </c>
      <c r="C3000" s="399" t="s">
        <v>184</v>
      </c>
      <c r="D3000" s="399">
        <v>2821</v>
      </c>
      <c r="E3000" s="399" t="s">
        <v>3394</v>
      </c>
      <c r="F3000" s="399" t="s">
        <v>3395</v>
      </c>
      <c r="G3000" s="399" t="s">
        <v>2221</v>
      </c>
      <c r="H3000" s="1235"/>
    </row>
    <row r="3001" spans="1:8" hidden="1">
      <c r="A3001" s="551" t="s">
        <v>2797</v>
      </c>
      <c r="B3001" s="399" t="s">
        <v>1412</v>
      </c>
      <c r="C3001" s="399" t="s">
        <v>184</v>
      </c>
      <c r="D3001" s="399">
        <v>2822</v>
      </c>
      <c r="E3001" s="399" t="s">
        <v>3396</v>
      </c>
      <c r="F3001" s="399" t="s">
        <v>3397</v>
      </c>
      <c r="G3001" s="399" t="s">
        <v>2221</v>
      </c>
      <c r="H3001" s="1235"/>
    </row>
    <row r="3002" spans="1:8" hidden="1">
      <c r="A3002" s="551" t="s">
        <v>2797</v>
      </c>
      <c r="B3002" s="399" t="s">
        <v>1412</v>
      </c>
      <c r="C3002" s="399" t="s">
        <v>184</v>
      </c>
      <c r="D3002" s="399">
        <v>2823</v>
      </c>
      <c r="E3002" s="399" t="s">
        <v>3398</v>
      </c>
      <c r="F3002" s="399" t="s">
        <v>3399</v>
      </c>
      <c r="G3002" s="399" t="s">
        <v>2221</v>
      </c>
      <c r="H3002" s="1235"/>
    </row>
    <row r="3003" spans="1:8" hidden="1">
      <c r="A3003" s="551" t="s">
        <v>2797</v>
      </c>
      <c r="B3003" s="399" t="s">
        <v>1412</v>
      </c>
      <c r="C3003" s="399" t="s">
        <v>184</v>
      </c>
      <c r="D3003" s="399">
        <v>2824</v>
      </c>
      <c r="E3003" s="399" t="s">
        <v>3400</v>
      </c>
      <c r="F3003" s="399" t="s">
        <v>3401</v>
      </c>
      <c r="G3003" s="399" t="s">
        <v>2221</v>
      </c>
      <c r="H3003" s="1235"/>
    </row>
    <row r="3004" spans="1:8" hidden="1">
      <c r="A3004" s="551" t="s">
        <v>2797</v>
      </c>
      <c r="B3004" s="399" t="s">
        <v>1412</v>
      </c>
      <c r="C3004" s="399" t="s">
        <v>184</v>
      </c>
      <c r="D3004" s="399">
        <v>2825</v>
      </c>
      <c r="E3004" s="399" t="s">
        <v>3402</v>
      </c>
      <c r="F3004" s="399" t="s">
        <v>3403</v>
      </c>
      <c r="G3004" s="399" t="s">
        <v>2221</v>
      </c>
      <c r="H3004" s="1235"/>
    </row>
    <row r="3005" spans="1:8" hidden="1">
      <c r="A3005" s="551" t="s">
        <v>2797</v>
      </c>
      <c r="B3005" s="399" t="s">
        <v>1412</v>
      </c>
      <c r="C3005" s="399" t="s">
        <v>184</v>
      </c>
      <c r="D3005" s="399">
        <v>2829</v>
      </c>
      <c r="E3005" s="399" t="s">
        <v>3404</v>
      </c>
      <c r="F3005" s="399" t="s">
        <v>3405</v>
      </c>
      <c r="G3005" s="399" t="s">
        <v>2221</v>
      </c>
      <c r="H3005" s="1235"/>
    </row>
    <row r="3006" spans="1:8" hidden="1">
      <c r="A3006" s="551" t="s">
        <v>2797</v>
      </c>
      <c r="B3006" s="399" t="s">
        <v>1412</v>
      </c>
      <c r="C3006" s="399" t="s">
        <v>184</v>
      </c>
      <c r="D3006" s="399">
        <v>2830</v>
      </c>
      <c r="E3006" s="399" t="s">
        <v>3406</v>
      </c>
      <c r="F3006" s="399" t="s">
        <v>3407</v>
      </c>
      <c r="G3006" s="399" t="s">
        <v>2221</v>
      </c>
      <c r="H3006" s="1235"/>
    </row>
    <row r="3007" spans="1:8" hidden="1">
      <c r="A3007" s="551" t="s">
        <v>2797</v>
      </c>
      <c r="B3007" s="399" t="s">
        <v>1412</v>
      </c>
      <c r="C3007" s="399" t="s">
        <v>184</v>
      </c>
      <c r="D3007" s="399">
        <v>2840</v>
      </c>
      <c r="E3007" s="399" t="s">
        <v>3408</v>
      </c>
      <c r="F3007" s="399" t="s">
        <v>3409</v>
      </c>
      <c r="G3007" s="399" t="s">
        <v>2221</v>
      </c>
      <c r="H3007" s="1235"/>
    </row>
    <row r="3008" spans="1:8" hidden="1">
      <c r="A3008" s="551" t="s">
        <v>2797</v>
      </c>
      <c r="B3008" s="399" t="s">
        <v>1412</v>
      </c>
      <c r="C3008" s="399" t="s">
        <v>184</v>
      </c>
      <c r="D3008" s="399">
        <v>2841</v>
      </c>
      <c r="E3008" s="399" t="s">
        <v>3410</v>
      </c>
      <c r="F3008" s="399" t="s">
        <v>3411</v>
      </c>
      <c r="G3008" s="399" t="s">
        <v>2221</v>
      </c>
      <c r="H3008" s="1235"/>
    </row>
    <row r="3009" spans="1:8" hidden="1">
      <c r="A3009" s="551" t="s">
        <v>2797</v>
      </c>
      <c r="B3009" s="399" t="s">
        <v>1412</v>
      </c>
      <c r="C3009" s="399" t="s">
        <v>184</v>
      </c>
      <c r="D3009" s="399">
        <v>2849</v>
      </c>
      <c r="E3009" s="399" t="s">
        <v>3412</v>
      </c>
      <c r="F3009" s="399" t="s">
        <v>3413</v>
      </c>
      <c r="G3009" s="399" t="s">
        <v>2221</v>
      </c>
      <c r="H3009" s="1235"/>
    </row>
    <row r="3010" spans="1:8" hidden="1">
      <c r="A3010" s="551" t="s">
        <v>2797</v>
      </c>
      <c r="B3010" s="399" t="s">
        <v>1412</v>
      </c>
      <c r="C3010" s="399" t="s">
        <v>184</v>
      </c>
      <c r="D3010" s="399">
        <v>2890</v>
      </c>
      <c r="E3010" s="399" t="s">
        <v>3414</v>
      </c>
      <c r="F3010" s="399" t="s">
        <v>3415</v>
      </c>
      <c r="G3010" s="399" t="s">
        <v>2221</v>
      </c>
      <c r="H3010" s="1235"/>
    </row>
    <row r="3011" spans="1:8" hidden="1">
      <c r="A3011" s="551" t="s">
        <v>2797</v>
      </c>
      <c r="B3011" s="399" t="s">
        <v>1412</v>
      </c>
      <c r="C3011" s="399" t="s">
        <v>184</v>
      </c>
      <c r="D3011" s="399">
        <v>2891</v>
      </c>
      <c r="E3011" s="399" t="s">
        <v>3416</v>
      </c>
      <c r="F3011" s="399" t="s">
        <v>3417</v>
      </c>
      <c r="G3011" s="399" t="s">
        <v>2221</v>
      </c>
      <c r="H3011" s="1235"/>
    </row>
    <row r="3012" spans="1:8" hidden="1">
      <c r="A3012" s="551" t="s">
        <v>2797</v>
      </c>
      <c r="B3012" s="399" t="s">
        <v>1412</v>
      </c>
      <c r="C3012" s="399" t="s">
        <v>184</v>
      </c>
      <c r="D3012" s="399">
        <v>2892</v>
      </c>
      <c r="E3012" s="399" t="s">
        <v>3418</v>
      </c>
      <c r="F3012" s="399" t="s">
        <v>3419</v>
      </c>
      <c r="G3012" s="399" t="s">
        <v>2221</v>
      </c>
      <c r="H3012" s="1235"/>
    </row>
    <row r="3013" spans="1:8" hidden="1">
      <c r="A3013" s="551" t="s">
        <v>2797</v>
      </c>
      <c r="B3013" s="399" t="s">
        <v>1412</v>
      </c>
      <c r="C3013" s="399" t="s">
        <v>184</v>
      </c>
      <c r="D3013" s="399">
        <v>2893</v>
      </c>
      <c r="E3013" s="399" t="s">
        <v>3420</v>
      </c>
      <c r="F3013" s="399" t="s">
        <v>3421</v>
      </c>
      <c r="G3013" s="399" t="s">
        <v>2221</v>
      </c>
      <c r="H3013" s="1235"/>
    </row>
    <row r="3014" spans="1:8" hidden="1">
      <c r="A3014" s="551" t="s">
        <v>2797</v>
      </c>
      <c r="B3014" s="399" t="s">
        <v>1412</v>
      </c>
      <c r="C3014" s="399" t="s">
        <v>184</v>
      </c>
      <c r="D3014" s="399">
        <v>2894</v>
      </c>
      <c r="E3014" s="399" t="s">
        <v>3422</v>
      </c>
      <c r="F3014" s="399" t="s">
        <v>3423</v>
      </c>
      <c r="G3014" s="399" t="s">
        <v>2221</v>
      </c>
      <c r="H3014" s="1235"/>
    </row>
    <row r="3015" spans="1:8" hidden="1">
      <c r="A3015" s="551" t="s">
        <v>2797</v>
      </c>
      <c r="B3015" s="399" t="s">
        <v>1412</v>
      </c>
      <c r="C3015" s="399" t="s">
        <v>184</v>
      </c>
      <c r="D3015" s="399">
        <v>2895</v>
      </c>
      <c r="E3015" s="399" t="s">
        <v>3424</v>
      </c>
      <c r="F3015" s="399" t="s">
        <v>3425</v>
      </c>
      <c r="G3015" s="399" t="s">
        <v>2221</v>
      </c>
      <c r="H3015" s="1235"/>
    </row>
    <row r="3016" spans="1:8" hidden="1">
      <c r="A3016" s="551" t="s">
        <v>2797</v>
      </c>
      <c r="B3016" s="399" t="s">
        <v>1412</v>
      </c>
      <c r="C3016" s="399" t="s">
        <v>184</v>
      </c>
      <c r="D3016" s="399">
        <v>2896</v>
      </c>
      <c r="E3016" s="399" t="s">
        <v>3426</v>
      </c>
      <c r="F3016" s="399" t="s">
        <v>3427</v>
      </c>
      <c r="G3016" s="399" t="s">
        <v>2221</v>
      </c>
      <c r="H3016" s="1235"/>
    </row>
    <row r="3017" spans="1:8" hidden="1">
      <c r="A3017" s="551" t="s">
        <v>2797</v>
      </c>
      <c r="B3017" s="399" t="s">
        <v>1412</v>
      </c>
      <c r="C3017" s="399" t="s">
        <v>184</v>
      </c>
      <c r="D3017" s="399">
        <v>2899</v>
      </c>
      <c r="E3017" s="399" t="s">
        <v>3428</v>
      </c>
      <c r="F3017" s="399" t="s">
        <v>3429</v>
      </c>
      <c r="G3017" s="399" t="s">
        <v>2221</v>
      </c>
      <c r="H3017" s="1235"/>
    </row>
    <row r="3018" spans="1:8" hidden="1">
      <c r="A3018" s="551" t="s">
        <v>2797</v>
      </c>
      <c r="B3018" s="399" t="s">
        <v>1412</v>
      </c>
      <c r="C3018" s="399" t="s">
        <v>184</v>
      </c>
      <c r="D3018" s="399">
        <v>2900</v>
      </c>
      <c r="E3018" s="399">
        <v>29</v>
      </c>
      <c r="F3018" s="399" t="s">
        <v>3430</v>
      </c>
      <c r="G3018" s="399" t="s">
        <v>2221</v>
      </c>
      <c r="H3018" s="1235"/>
    </row>
    <row r="3019" spans="1:8" hidden="1">
      <c r="A3019" s="551" t="s">
        <v>2797</v>
      </c>
      <c r="B3019" s="399" t="s">
        <v>1412</v>
      </c>
      <c r="C3019" s="399" t="s">
        <v>184</v>
      </c>
      <c r="D3019" s="399">
        <v>2910</v>
      </c>
      <c r="E3019" s="399" t="s">
        <v>3431</v>
      </c>
      <c r="F3019" s="399" t="s">
        <v>3432</v>
      </c>
      <c r="G3019" s="399" t="s">
        <v>2221</v>
      </c>
      <c r="H3019" s="1235"/>
    </row>
    <row r="3020" spans="1:8" hidden="1">
      <c r="A3020" s="551" t="s">
        <v>2797</v>
      </c>
      <c r="B3020" s="399" t="s">
        <v>1412</v>
      </c>
      <c r="C3020" s="399" t="s">
        <v>184</v>
      </c>
      <c r="D3020" s="399">
        <v>2920</v>
      </c>
      <c r="E3020" s="399" t="s">
        <v>3433</v>
      </c>
      <c r="F3020" s="399" t="s">
        <v>3434</v>
      </c>
      <c r="G3020" s="399" t="s">
        <v>2221</v>
      </c>
      <c r="H3020" s="1235"/>
    </row>
    <row r="3021" spans="1:8" hidden="1">
      <c r="A3021" s="551" t="s">
        <v>2797</v>
      </c>
      <c r="B3021" s="399" t="s">
        <v>1412</v>
      </c>
      <c r="C3021" s="399" t="s">
        <v>184</v>
      </c>
      <c r="D3021" s="399">
        <v>2930</v>
      </c>
      <c r="E3021" s="399" t="s">
        <v>3435</v>
      </c>
      <c r="F3021" s="399" t="s">
        <v>3436</v>
      </c>
      <c r="G3021" s="399" t="s">
        <v>2221</v>
      </c>
      <c r="H3021" s="1235"/>
    </row>
    <row r="3022" spans="1:8" hidden="1">
      <c r="A3022" s="551" t="s">
        <v>2797</v>
      </c>
      <c r="B3022" s="399" t="s">
        <v>1412</v>
      </c>
      <c r="C3022" s="399" t="s">
        <v>184</v>
      </c>
      <c r="D3022" s="399">
        <v>2931</v>
      </c>
      <c r="E3022" s="399" t="s">
        <v>3437</v>
      </c>
      <c r="F3022" s="399" t="s">
        <v>3438</v>
      </c>
      <c r="G3022" s="399" t="s">
        <v>2221</v>
      </c>
      <c r="H3022" s="1235"/>
    </row>
    <row r="3023" spans="1:8" hidden="1">
      <c r="A3023" s="551" t="s">
        <v>2797</v>
      </c>
      <c r="B3023" s="399" t="s">
        <v>1412</v>
      </c>
      <c r="C3023" s="399" t="s">
        <v>184</v>
      </c>
      <c r="D3023" s="399">
        <v>2932</v>
      </c>
      <c r="E3023" s="399" t="s">
        <v>3439</v>
      </c>
      <c r="F3023" s="399" t="s">
        <v>3440</v>
      </c>
      <c r="G3023" s="399" t="s">
        <v>2221</v>
      </c>
      <c r="H3023" s="1235"/>
    </row>
    <row r="3024" spans="1:8" hidden="1">
      <c r="A3024" s="551" t="s">
        <v>2797</v>
      </c>
      <c r="B3024" s="399" t="s">
        <v>1412</v>
      </c>
      <c r="C3024" s="399" t="s">
        <v>184</v>
      </c>
      <c r="D3024" s="399">
        <v>3000</v>
      </c>
      <c r="E3024" s="399">
        <v>30</v>
      </c>
      <c r="F3024" s="399" t="s">
        <v>3441</v>
      </c>
      <c r="G3024" s="399" t="s">
        <v>2221</v>
      </c>
      <c r="H3024" s="1235"/>
    </row>
    <row r="3025" spans="1:8" hidden="1">
      <c r="A3025" s="551" t="s">
        <v>2797</v>
      </c>
      <c r="B3025" s="399" t="s">
        <v>1412</v>
      </c>
      <c r="C3025" s="399" t="s">
        <v>184</v>
      </c>
      <c r="D3025" s="399">
        <v>3010</v>
      </c>
      <c r="E3025" s="399" t="s">
        <v>3442</v>
      </c>
      <c r="F3025" s="399" t="s">
        <v>3443</v>
      </c>
      <c r="G3025" s="399" t="s">
        <v>2221</v>
      </c>
      <c r="H3025" s="1235"/>
    </row>
    <row r="3026" spans="1:8" hidden="1">
      <c r="A3026" s="551" t="s">
        <v>2797</v>
      </c>
      <c r="B3026" s="399" t="s">
        <v>1412</v>
      </c>
      <c r="C3026" s="399" t="s">
        <v>184</v>
      </c>
      <c r="D3026" s="399">
        <v>3011</v>
      </c>
      <c r="E3026" s="399" t="s">
        <v>3444</v>
      </c>
      <c r="F3026" s="399" t="s">
        <v>3445</v>
      </c>
      <c r="G3026" s="399" t="s">
        <v>2221</v>
      </c>
      <c r="H3026" s="1235"/>
    </row>
    <row r="3027" spans="1:8" hidden="1">
      <c r="A3027" s="551" t="s">
        <v>2797</v>
      </c>
      <c r="B3027" s="399" t="s">
        <v>1412</v>
      </c>
      <c r="C3027" s="399" t="s">
        <v>184</v>
      </c>
      <c r="D3027" s="399">
        <v>3012</v>
      </c>
      <c r="E3027" s="399" t="s">
        <v>3446</v>
      </c>
      <c r="F3027" s="399" t="s">
        <v>3447</v>
      </c>
      <c r="G3027" s="399" t="s">
        <v>2221</v>
      </c>
      <c r="H3027" s="1235"/>
    </row>
    <row r="3028" spans="1:8" hidden="1">
      <c r="A3028" s="551" t="s">
        <v>2797</v>
      </c>
      <c r="B3028" s="399" t="s">
        <v>1412</v>
      </c>
      <c r="C3028" s="399" t="s">
        <v>184</v>
      </c>
      <c r="D3028" s="399">
        <v>3020</v>
      </c>
      <c r="E3028" s="399" t="s">
        <v>3448</v>
      </c>
      <c r="F3028" s="399" t="s">
        <v>3449</v>
      </c>
      <c r="G3028" s="399" t="s">
        <v>2221</v>
      </c>
      <c r="H3028" s="1235"/>
    </row>
    <row r="3029" spans="1:8" hidden="1">
      <c r="A3029" s="551" t="s">
        <v>2797</v>
      </c>
      <c r="B3029" s="399" t="s">
        <v>1412</v>
      </c>
      <c r="C3029" s="399" t="s">
        <v>184</v>
      </c>
      <c r="D3029" s="399">
        <v>3030</v>
      </c>
      <c r="E3029" s="399" t="s">
        <v>3450</v>
      </c>
      <c r="F3029" s="399" t="s">
        <v>3451</v>
      </c>
      <c r="G3029" s="399" t="s">
        <v>2221</v>
      </c>
      <c r="H3029" s="1235"/>
    </row>
    <row r="3030" spans="1:8" hidden="1">
      <c r="A3030" s="551" t="s">
        <v>2797</v>
      </c>
      <c r="B3030" s="399" t="s">
        <v>1412</v>
      </c>
      <c r="C3030" s="399" t="s">
        <v>184</v>
      </c>
      <c r="D3030" s="399">
        <v>3040</v>
      </c>
      <c r="E3030" s="399" t="s">
        <v>3452</v>
      </c>
      <c r="F3030" s="399" t="s">
        <v>3453</v>
      </c>
      <c r="G3030" s="399" t="s">
        <v>2221</v>
      </c>
      <c r="H3030" s="1235"/>
    </row>
    <row r="3031" spans="1:8" hidden="1">
      <c r="A3031" s="551" t="s">
        <v>2797</v>
      </c>
      <c r="B3031" s="399" t="s">
        <v>1412</v>
      </c>
      <c r="C3031" s="399" t="s">
        <v>184</v>
      </c>
      <c r="D3031" s="399">
        <v>3090</v>
      </c>
      <c r="E3031" s="399" t="s">
        <v>3454</v>
      </c>
      <c r="F3031" s="399" t="s">
        <v>3455</v>
      </c>
      <c r="G3031" s="399" t="s">
        <v>2221</v>
      </c>
      <c r="H3031" s="1235"/>
    </row>
    <row r="3032" spans="1:8" hidden="1">
      <c r="A3032" s="551" t="s">
        <v>2797</v>
      </c>
      <c r="B3032" s="399" t="s">
        <v>1412</v>
      </c>
      <c r="C3032" s="399" t="s">
        <v>184</v>
      </c>
      <c r="D3032" s="399">
        <v>3091</v>
      </c>
      <c r="E3032" s="399" t="s">
        <v>3456</v>
      </c>
      <c r="F3032" s="399" t="s">
        <v>3457</v>
      </c>
      <c r="G3032" s="399" t="s">
        <v>2221</v>
      </c>
      <c r="H3032" s="1235"/>
    </row>
    <row r="3033" spans="1:8" hidden="1">
      <c r="A3033" s="551" t="s">
        <v>2797</v>
      </c>
      <c r="B3033" s="399" t="s">
        <v>1412</v>
      </c>
      <c r="C3033" s="399" t="s">
        <v>184</v>
      </c>
      <c r="D3033" s="399">
        <v>3092</v>
      </c>
      <c r="E3033" s="399" t="s">
        <v>3458</v>
      </c>
      <c r="F3033" s="399" t="s">
        <v>3459</v>
      </c>
      <c r="G3033" s="399" t="s">
        <v>2221</v>
      </c>
      <c r="H3033" s="1235"/>
    </row>
    <row r="3034" spans="1:8" hidden="1">
      <c r="A3034" s="551" t="s">
        <v>2797</v>
      </c>
      <c r="B3034" s="399" t="s">
        <v>1412</v>
      </c>
      <c r="C3034" s="399" t="s">
        <v>184</v>
      </c>
      <c r="D3034" s="399">
        <v>3099</v>
      </c>
      <c r="E3034" s="399" t="s">
        <v>3460</v>
      </c>
      <c r="F3034" s="399" t="s">
        <v>3461</v>
      </c>
      <c r="G3034" s="399" t="s">
        <v>2221</v>
      </c>
      <c r="H3034" s="1235"/>
    </row>
    <row r="3035" spans="1:8" hidden="1">
      <c r="A3035" s="551" t="s">
        <v>2797</v>
      </c>
      <c r="B3035" s="399" t="s">
        <v>1412</v>
      </c>
      <c r="C3035" s="399" t="s">
        <v>184</v>
      </c>
      <c r="D3035" s="399">
        <v>3100</v>
      </c>
      <c r="E3035" s="399">
        <v>31</v>
      </c>
      <c r="F3035" s="399" t="s">
        <v>3462</v>
      </c>
      <c r="G3035" s="399" t="s">
        <v>2221</v>
      </c>
      <c r="H3035" s="1235"/>
    </row>
    <row r="3036" spans="1:8" hidden="1">
      <c r="A3036" s="551" t="s">
        <v>2797</v>
      </c>
      <c r="B3036" s="399" t="s">
        <v>1412</v>
      </c>
      <c r="C3036" s="399" t="s">
        <v>184</v>
      </c>
      <c r="D3036" s="399">
        <v>3101</v>
      </c>
      <c r="E3036" s="399" t="s">
        <v>3463</v>
      </c>
      <c r="F3036" s="399" t="s">
        <v>3464</v>
      </c>
      <c r="G3036" s="399" t="s">
        <v>2221</v>
      </c>
      <c r="H3036" s="1235"/>
    </row>
    <row r="3037" spans="1:8" hidden="1">
      <c r="A3037" s="551" t="s">
        <v>2797</v>
      </c>
      <c r="B3037" s="399" t="s">
        <v>1412</v>
      </c>
      <c r="C3037" s="399" t="s">
        <v>184</v>
      </c>
      <c r="D3037" s="399">
        <v>3102</v>
      </c>
      <c r="E3037" s="399" t="s">
        <v>3465</v>
      </c>
      <c r="F3037" s="399" t="s">
        <v>3466</v>
      </c>
      <c r="G3037" s="399" t="s">
        <v>2221</v>
      </c>
      <c r="H3037" s="1235"/>
    </row>
    <row r="3038" spans="1:8" hidden="1">
      <c r="A3038" s="551" t="s">
        <v>2797</v>
      </c>
      <c r="B3038" s="399" t="s">
        <v>1412</v>
      </c>
      <c r="C3038" s="399" t="s">
        <v>184</v>
      </c>
      <c r="D3038" s="399">
        <v>3103</v>
      </c>
      <c r="E3038" s="399" t="s">
        <v>3467</v>
      </c>
      <c r="F3038" s="399" t="s">
        <v>3468</v>
      </c>
      <c r="G3038" s="399" t="s">
        <v>2221</v>
      </c>
      <c r="H3038" s="1235"/>
    </row>
    <row r="3039" spans="1:8" hidden="1">
      <c r="A3039" s="551" t="s">
        <v>2797</v>
      </c>
      <c r="B3039" s="399" t="s">
        <v>1412</v>
      </c>
      <c r="C3039" s="399" t="s">
        <v>184</v>
      </c>
      <c r="D3039" s="399">
        <v>3109</v>
      </c>
      <c r="E3039" s="399" t="s">
        <v>3469</v>
      </c>
      <c r="F3039" s="399" t="s">
        <v>3470</v>
      </c>
      <c r="G3039" s="399" t="s">
        <v>2221</v>
      </c>
      <c r="H3039" s="1235"/>
    </row>
    <row r="3040" spans="1:8" hidden="1">
      <c r="A3040" s="551" t="s">
        <v>2797</v>
      </c>
      <c r="B3040" s="399" t="s">
        <v>1412</v>
      </c>
      <c r="C3040" s="399" t="s">
        <v>184</v>
      </c>
      <c r="D3040" s="399">
        <v>3200</v>
      </c>
      <c r="E3040" s="399">
        <v>32</v>
      </c>
      <c r="F3040" s="399" t="s">
        <v>3471</v>
      </c>
      <c r="G3040" s="399" t="s">
        <v>2221</v>
      </c>
      <c r="H3040" s="1235"/>
    </row>
    <row r="3041" spans="1:8" hidden="1">
      <c r="A3041" s="551" t="s">
        <v>2797</v>
      </c>
      <c r="B3041" s="399" t="s">
        <v>1412</v>
      </c>
      <c r="C3041" s="399" t="s">
        <v>184</v>
      </c>
      <c r="D3041" s="399">
        <v>3210</v>
      </c>
      <c r="E3041" s="399" t="s">
        <v>3472</v>
      </c>
      <c r="F3041" s="399" t="s">
        <v>3473</v>
      </c>
      <c r="G3041" s="399" t="s">
        <v>2221</v>
      </c>
      <c r="H3041" s="1235"/>
    </row>
    <row r="3042" spans="1:8" hidden="1">
      <c r="A3042" s="551" t="s">
        <v>2797</v>
      </c>
      <c r="B3042" s="399" t="s">
        <v>1412</v>
      </c>
      <c r="C3042" s="399" t="s">
        <v>184</v>
      </c>
      <c r="D3042" s="399">
        <v>3211</v>
      </c>
      <c r="E3042" s="399" t="s">
        <v>3474</v>
      </c>
      <c r="F3042" s="399" t="s">
        <v>3475</v>
      </c>
      <c r="G3042" s="399" t="s">
        <v>2221</v>
      </c>
      <c r="H3042" s="1235"/>
    </row>
    <row r="3043" spans="1:8" hidden="1">
      <c r="A3043" s="551" t="s">
        <v>2797</v>
      </c>
      <c r="B3043" s="399" t="s">
        <v>1412</v>
      </c>
      <c r="C3043" s="399" t="s">
        <v>184</v>
      </c>
      <c r="D3043" s="399">
        <v>3212</v>
      </c>
      <c r="E3043" s="399" t="s">
        <v>3476</v>
      </c>
      <c r="F3043" s="399" t="s">
        <v>3477</v>
      </c>
      <c r="G3043" s="399" t="s">
        <v>2221</v>
      </c>
      <c r="H3043" s="1235"/>
    </row>
    <row r="3044" spans="1:8" hidden="1">
      <c r="A3044" s="551" t="s">
        <v>2797</v>
      </c>
      <c r="B3044" s="399" t="s">
        <v>1412</v>
      </c>
      <c r="C3044" s="399" t="s">
        <v>184</v>
      </c>
      <c r="D3044" s="399">
        <v>3213</v>
      </c>
      <c r="E3044" s="399" t="s">
        <v>3478</v>
      </c>
      <c r="F3044" s="399" t="s">
        <v>3479</v>
      </c>
      <c r="G3044" s="399" t="s">
        <v>2221</v>
      </c>
      <c r="H3044" s="1235"/>
    </row>
    <row r="3045" spans="1:8" hidden="1">
      <c r="A3045" s="551" t="s">
        <v>2797</v>
      </c>
      <c r="B3045" s="399" t="s">
        <v>1412</v>
      </c>
      <c r="C3045" s="399" t="s">
        <v>184</v>
      </c>
      <c r="D3045" s="399">
        <v>3220</v>
      </c>
      <c r="E3045" s="399" t="s">
        <v>3480</v>
      </c>
      <c r="F3045" s="399" t="s">
        <v>3481</v>
      </c>
      <c r="G3045" s="399" t="s">
        <v>2221</v>
      </c>
      <c r="H3045" s="1235"/>
    </row>
    <row r="3046" spans="1:8" hidden="1">
      <c r="A3046" s="551" t="s">
        <v>2797</v>
      </c>
      <c r="B3046" s="399" t="s">
        <v>1412</v>
      </c>
      <c r="C3046" s="399" t="s">
        <v>184</v>
      </c>
      <c r="D3046" s="399">
        <v>3230</v>
      </c>
      <c r="E3046" s="399" t="s">
        <v>3482</v>
      </c>
      <c r="F3046" s="399" t="s">
        <v>3483</v>
      </c>
      <c r="G3046" s="399" t="s">
        <v>2221</v>
      </c>
      <c r="H3046" s="1235"/>
    </row>
    <row r="3047" spans="1:8" hidden="1">
      <c r="A3047" s="551" t="s">
        <v>2797</v>
      </c>
      <c r="B3047" s="399" t="s">
        <v>1412</v>
      </c>
      <c r="C3047" s="399" t="s">
        <v>184</v>
      </c>
      <c r="D3047" s="399">
        <v>3240</v>
      </c>
      <c r="E3047" s="399" t="s">
        <v>3484</v>
      </c>
      <c r="F3047" s="399" t="s">
        <v>3485</v>
      </c>
      <c r="G3047" s="399" t="s">
        <v>2221</v>
      </c>
      <c r="H3047" s="1235"/>
    </row>
    <row r="3048" spans="1:8" hidden="1">
      <c r="A3048" s="551" t="s">
        <v>2797</v>
      </c>
      <c r="B3048" s="399" t="s">
        <v>1412</v>
      </c>
      <c r="C3048" s="399" t="s">
        <v>184</v>
      </c>
      <c r="D3048" s="399">
        <v>3250</v>
      </c>
      <c r="E3048" s="399" t="s">
        <v>3486</v>
      </c>
      <c r="F3048" s="399" t="s">
        <v>3487</v>
      </c>
      <c r="G3048" s="399" t="s">
        <v>2221</v>
      </c>
      <c r="H3048" s="1235"/>
    </row>
    <row r="3049" spans="1:8" hidden="1">
      <c r="A3049" s="551" t="s">
        <v>2797</v>
      </c>
      <c r="B3049" s="399" t="s">
        <v>1412</v>
      </c>
      <c r="C3049" s="399" t="s">
        <v>184</v>
      </c>
      <c r="D3049" s="399">
        <v>3290</v>
      </c>
      <c r="E3049" s="399" t="s">
        <v>3488</v>
      </c>
      <c r="F3049" s="399" t="s">
        <v>3489</v>
      </c>
      <c r="G3049" s="399" t="s">
        <v>2221</v>
      </c>
      <c r="H3049" s="1235"/>
    </row>
    <row r="3050" spans="1:8" hidden="1">
      <c r="A3050" s="551" t="s">
        <v>2797</v>
      </c>
      <c r="B3050" s="399" t="s">
        <v>1412</v>
      </c>
      <c r="C3050" s="399" t="s">
        <v>184</v>
      </c>
      <c r="D3050" s="399">
        <v>3291</v>
      </c>
      <c r="E3050" s="399" t="s">
        <v>3490</v>
      </c>
      <c r="F3050" s="399" t="s">
        <v>3491</v>
      </c>
      <c r="G3050" s="399" t="s">
        <v>2221</v>
      </c>
      <c r="H3050" s="1235"/>
    </row>
    <row r="3051" spans="1:8" hidden="1">
      <c r="A3051" s="551" t="s">
        <v>2797</v>
      </c>
      <c r="B3051" s="399" t="s">
        <v>1412</v>
      </c>
      <c r="C3051" s="399" t="s">
        <v>184</v>
      </c>
      <c r="D3051" s="399">
        <v>3299</v>
      </c>
      <c r="E3051" s="399" t="s">
        <v>3492</v>
      </c>
      <c r="F3051" s="399" t="s">
        <v>3493</v>
      </c>
      <c r="G3051" s="399" t="s">
        <v>2221</v>
      </c>
      <c r="H3051" s="1235"/>
    </row>
    <row r="3052" spans="1:8" hidden="1">
      <c r="A3052" s="551" t="s">
        <v>2797</v>
      </c>
      <c r="B3052" s="399" t="s">
        <v>1412</v>
      </c>
      <c r="C3052" s="399" t="s">
        <v>184</v>
      </c>
      <c r="D3052" s="399">
        <v>3300</v>
      </c>
      <c r="E3052" s="399">
        <v>33</v>
      </c>
      <c r="F3052" s="399" t="s">
        <v>3494</v>
      </c>
      <c r="G3052" s="399" t="s">
        <v>2221</v>
      </c>
      <c r="H3052" s="1235"/>
    </row>
    <row r="3053" spans="1:8" hidden="1">
      <c r="A3053" s="551" t="s">
        <v>2797</v>
      </c>
      <c r="B3053" s="399" t="s">
        <v>1412</v>
      </c>
      <c r="C3053" s="399" t="s">
        <v>184</v>
      </c>
      <c r="D3053" s="399">
        <v>3310</v>
      </c>
      <c r="E3053" s="399" t="s">
        <v>3495</v>
      </c>
      <c r="F3053" s="399" t="s">
        <v>3496</v>
      </c>
      <c r="G3053" s="399" t="s">
        <v>2221</v>
      </c>
      <c r="H3053" s="1235"/>
    </row>
    <row r="3054" spans="1:8" hidden="1">
      <c r="A3054" s="551" t="s">
        <v>2797</v>
      </c>
      <c r="B3054" s="399" t="s">
        <v>1412</v>
      </c>
      <c r="C3054" s="399" t="s">
        <v>184</v>
      </c>
      <c r="D3054" s="399">
        <v>3311</v>
      </c>
      <c r="E3054" s="399" t="s">
        <v>3497</v>
      </c>
      <c r="F3054" s="399" t="s">
        <v>3498</v>
      </c>
      <c r="G3054" s="399" t="s">
        <v>2221</v>
      </c>
      <c r="H3054" s="1235"/>
    </row>
    <row r="3055" spans="1:8" hidden="1">
      <c r="A3055" s="551" t="s">
        <v>2797</v>
      </c>
      <c r="B3055" s="399" t="s">
        <v>1412</v>
      </c>
      <c r="C3055" s="399" t="s">
        <v>184</v>
      </c>
      <c r="D3055" s="399">
        <v>3312</v>
      </c>
      <c r="E3055" s="399" t="s">
        <v>3499</v>
      </c>
      <c r="F3055" s="399" t="s">
        <v>3500</v>
      </c>
      <c r="G3055" s="399" t="s">
        <v>2221</v>
      </c>
      <c r="H3055" s="1235"/>
    </row>
    <row r="3056" spans="1:8" hidden="1">
      <c r="A3056" s="551" t="s">
        <v>2797</v>
      </c>
      <c r="B3056" s="399" t="s">
        <v>1412</v>
      </c>
      <c r="C3056" s="399" t="s">
        <v>184</v>
      </c>
      <c r="D3056" s="399">
        <v>3313</v>
      </c>
      <c r="E3056" s="399" t="s">
        <v>3501</v>
      </c>
      <c r="F3056" s="399" t="s">
        <v>3502</v>
      </c>
      <c r="G3056" s="399" t="s">
        <v>2221</v>
      </c>
      <c r="H3056" s="1235"/>
    </row>
    <row r="3057" spans="1:8" hidden="1">
      <c r="A3057" s="551" t="s">
        <v>2797</v>
      </c>
      <c r="B3057" s="399" t="s">
        <v>1412</v>
      </c>
      <c r="C3057" s="399" t="s">
        <v>184</v>
      </c>
      <c r="D3057" s="399">
        <v>3314</v>
      </c>
      <c r="E3057" s="399" t="s">
        <v>3503</v>
      </c>
      <c r="F3057" s="399" t="s">
        <v>3504</v>
      </c>
      <c r="G3057" s="399" t="s">
        <v>2221</v>
      </c>
      <c r="H3057" s="1235"/>
    </row>
    <row r="3058" spans="1:8" hidden="1">
      <c r="A3058" s="551" t="s">
        <v>2797</v>
      </c>
      <c r="B3058" s="399" t="s">
        <v>1412</v>
      </c>
      <c r="C3058" s="399" t="s">
        <v>184</v>
      </c>
      <c r="D3058" s="399">
        <v>3315</v>
      </c>
      <c r="E3058" s="399" t="s">
        <v>3505</v>
      </c>
      <c r="F3058" s="399" t="s">
        <v>3506</v>
      </c>
      <c r="G3058" s="399" t="s">
        <v>2221</v>
      </c>
      <c r="H3058" s="1235"/>
    </row>
    <row r="3059" spans="1:8" hidden="1">
      <c r="A3059" s="551" t="s">
        <v>2797</v>
      </c>
      <c r="B3059" s="399" t="s">
        <v>1412</v>
      </c>
      <c r="C3059" s="399" t="s">
        <v>184</v>
      </c>
      <c r="D3059" s="399">
        <v>3316</v>
      </c>
      <c r="E3059" s="399" t="s">
        <v>3507</v>
      </c>
      <c r="F3059" s="399" t="s">
        <v>3508</v>
      </c>
      <c r="G3059" s="399" t="s">
        <v>2221</v>
      </c>
      <c r="H3059" s="1235"/>
    </row>
    <row r="3060" spans="1:8" hidden="1">
      <c r="A3060" s="551" t="s">
        <v>2797</v>
      </c>
      <c r="B3060" s="399" t="s">
        <v>1412</v>
      </c>
      <c r="C3060" s="399" t="s">
        <v>184</v>
      </c>
      <c r="D3060" s="399">
        <v>3317</v>
      </c>
      <c r="E3060" s="399" t="s">
        <v>3509</v>
      </c>
      <c r="F3060" s="399" t="s">
        <v>3510</v>
      </c>
      <c r="G3060" s="399" t="s">
        <v>2221</v>
      </c>
      <c r="H3060" s="1235"/>
    </row>
    <row r="3061" spans="1:8" hidden="1">
      <c r="A3061" s="551" t="s">
        <v>2797</v>
      </c>
      <c r="B3061" s="399" t="s">
        <v>1412</v>
      </c>
      <c r="C3061" s="399" t="s">
        <v>184</v>
      </c>
      <c r="D3061" s="399">
        <v>3319</v>
      </c>
      <c r="E3061" s="399" t="s">
        <v>3511</v>
      </c>
      <c r="F3061" s="399" t="s">
        <v>3512</v>
      </c>
      <c r="G3061" s="399" t="s">
        <v>2221</v>
      </c>
      <c r="H3061" s="1235"/>
    </row>
    <row r="3062" spans="1:8" hidden="1">
      <c r="A3062" s="551" t="s">
        <v>2797</v>
      </c>
      <c r="B3062" s="399" t="s">
        <v>1412</v>
      </c>
      <c r="C3062" s="399" t="s">
        <v>184</v>
      </c>
      <c r="D3062" s="399">
        <v>3320</v>
      </c>
      <c r="E3062" s="399" t="s">
        <v>3513</v>
      </c>
      <c r="F3062" s="399" t="s">
        <v>3514</v>
      </c>
      <c r="G3062" s="399" t="s">
        <v>2221</v>
      </c>
      <c r="H3062" s="1235"/>
    </row>
    <row r="3063" spans="1:8" hidden="1">
      <c r="A3063" s="551" t="s">
        <v>2797</v>
      </c>
      <c r="B3063" s="399" t="s">
        <v>1412</v>
      </c>
      <c r="C3063" s="399" t="s">
        <v>184</v>
      </c>
      <c r="D3063" s="399">
        <v>3500</v>
      </c>
      <c r="E3063" s="399">
        <v>35</v>
      </c>
      <c r="F3063" s="399" t="s">
        <v>3515</v>
      </c>
      <c r="G3063" s="399" t="s">
        <v>2221</v>
      </c>
      <c r="H3063" s="1235"/>
    </row>
    <row r="3064" spans="1:8" hidden="1">
      <c r="A3064" s="551" t="s">
        <v>2797</v>
      </c>
      <c r="B3064" s="399" t="s">
        <v>1412</v>
      </c>
      <c r="C3064" s="399" t="s">
        <v>184</v>
      </c>
      <c r="D3064" s="399">
        <v>3510</v>
      </c>
      <c r="E3064" s="399" t="s">
        <v>3516</v>
      </c>
      <c r="F3064" s="399" t="s">
        <v>3517</v>
      </c>
      <c r="G3064" s="399" t="s">
        <v>2221</v>
      </c>
      <c r="H3064" s="1235"/>
    </row>
    <row r="3065" spans="1:8" hidden="1">
      <c r="A3065" s="551" t="s">
        <v>2797</v>
      </c>
      <c r="B3065" s="399" t="s">
        <v>1412</v>
      </c>
      <c r="C3065" s="399" t="s">
        <v>184</v>
      </c>
      <c r="D3065" s="399">
        <v>3511</v>
      </c>
      <c r="E3065" s="399" t="s">
        <v>3518</v>
      </c>
      <c r="F3065" s="399" t="s">
        <v>3519</v>
      </c>
      <c r="G3065" s="399" t="s">
        <v>2221</v>
      </c>
      <c r="H3065" s="1235"/>
    </row>
    <row r="3066" spans="1:8" hidden="1">
      <c r="A3066" s="551" t="s">
        <v>2797</v>
      </c>
      <c r="B3066" s="399" t="s">
        <v>1412</v>
      </c>
      <c r="C3066" s="399" t="s">
        <v>184</v>
      </c>
      <c r="D3066" s="399">
        <v>3512</v>
      </c>
      <c r="E3066" s="399" t="s">
        <v>3520</v>
      </c>
      <c r="F3066" s="399" t="s">
        <v>3521</v>
      </c>
      <c r="G3066" s="399" t="s">
        <v>2221</v>
      </c>
      <c r="H3066" s="1235"/>
    </row>
    <row r="3067" spans="1:8" hidden="1">
      <c r="A3067" s="551" t="s">
        <v>2797</v>
      </c>
      <c r="B3067" s="399" t="s">
        <v>1412</v>
      </c>
      <c r="C3067" s="399" t="s">
        <v>184</v>
      </c>
      <c r="D3067" s="399">
        <v>3513</v>
      </c>
      <c r="E3067" s="399" t="s">
        <v>3522</v>
      </c>
      <c r="F3067" s="399" t="s">
        <v>3523</v>
      </c>
      <c r="G3067" s="399" t="s">
        <v>2221</v>
      </c>
      <c r="H3067" s="1235"/>
    </row>
    <row r="3068" spans="1:8" hidden="1">
      <c r="A3068" s="551" t="s">
        <v>2797</v>
      </c>
      <c r="B3068" s="399" t="s">
        <v>1412</v>
      </c>
      <c r="C3068" s="399" t="s">
        <v>184</v>
      </c>
      <c r="D3068" s="399">
        <v>3514</v>
      </c>
      <c r="E3068" s="399" t="s">
        <v>3524</v>
      </c>
      <c r="F3068" s="399" t="s">
        <v>3525</v>
      </c>
      <c r="G3068" s="399" t="s">
        <v>2221</v>
      </c>
      <c r="H3068" s="1235"/>
    </row>
    <row r="3069" spans="1:8" hidden="1">
      <c r="A3069" s="551" t="s">
        <v>2797</v>
      </c>
      <c r="B3069" s="399" t="s">
        <v>1412</v>
      </c>
      <c r="C3069" s="399" t="s">
        <v>184</v>
      </c>
      <c r="D3069" s="399">
        <v>3520</v>
      </c>
      <c r="E3069" s="399" t="s">
        <v>3526</v>
      </c>
      <c r="F3069" s="399" t="s">
        <v>3527</v>
      </c>
      <c r="G3069" s="399" t="s">
        <v>2221</v>
      </c>
      <c r="H3069" s="1235"/>
    </row>
    <row r="3070" spans="1:8" hidden="1">
      <c r="A3070" s="551" t="s">
        <v>2797</v>
      </c>
      <c r="B3070" s="399" t="s">
        <v>1412</v>
      </c>
      <c r="C3070" s="399" t="s">
        <v>184</v>
      </c>
      <c r="D3070" s="399">
        <v>3521</v>
      </c>
      <c r="E3070" s="399" t="s">
        <v>3528</v>
      </c>
      <c r="F3070" s="399" t="s">
        <v>3529</v>
      </c>
      <c r="G3070" s="399" t="s">
        <v>2221</v>
      </c>
      <c r="H3070" s="1235"/>
    </row>
    <row r="3071" spans="1:8" hidden="1">
      <c r="A3071" s="551" t="s">
        <v>2797</v>
      </c>
      <c r="B3071" s="399" t="s">
        <v>1412</v>
      </c>
      <c r="C3071" s="399" t="s">
        <v>184</v>
      </c>
      <c r="D3071" s="399">
        <v>3522</v>
      </c>
      <c r="E3071" s="399" t="s">
        <v>3530</v>
      </c>
      <c r="F3071" s="399" t="s">
        <v>3531</v>
      </c>
      <c r="G3071" s="399" t="s">
        <v>2221</v>
      </c>
      <c r="H3071" s="1235"/>
    </row>
    <row r="3072" spans="1:8" hidden="1">
      <c r="A3072" s="551" t="s">
        <v>2797</v>
      </c>
      <c r="B3072" s="399" t="s">
        <v>1412</v>
      </c>
      <c r="C3072" s="399" t="s">
        <v>184</v>
      </c>
      <c r="D3072" s="399">
        <v>3523</v>
      </c>
      <c r="E3072" s="399" t="s">
        <v>3532</v>
      </c>
      <c r="F3072" s="399" t="s">
        <v>3533</v>
      </c>
      <c r="G3072" s="399" t="s">
        <v>2221</v>
      </c>
      <c r="H3072" s="1235"/>
    </row>
    <row r="3073" spans="1:8" hidden="1">
      <c r="A3073" s="551" t="s">
        <v>2797</v>
      </c>
      <c r="B3073" s="399" t="s">
        <v>1412</v>
      </c>
      <c r="C3073" s="399" t="s">
        <v>184</v>
      </c>
      <c r="D3073" s="399">
        <v>3530</v>
      </c>
      <c r="E3073" s="399" t="s">
        <v>3534</v>
      </c>
      <c r="F3073" s="399" t="s">
        <v>3535</v>
      </c>
      <c r="G3073" s="399" t="s">
        <v>2221</v>
      </c>
      <c r="H3073" s="1235"/>
    </row>
    <row r="3074" spans="1:8" hidden="1">
      <c r="A3074" s="551" t="s">
        <v>2797</v>
      </c>
      <c r="B3074" s="399" t="s">
        <v>1412</v>
      </c>
      <c r="C3074" s="399" t="s">
        <v>184</v>
      </c>
      <c r="D3074" s="399">
        <v>3600</v>
      </c>
      <c r="E3074" s="399">
        <v>36</v>
      </c>
      <c r="F3074" s="399" t="s">
        <v>3536</v>
      </c>
      <c r="G3074" s="399" t="s">
        <v>2221</v>
      </c>
      <c r="H3074" s="1235"/>
    </row>
    <row r="3075" spans="1:8" hidden="1">
      <c r="A3075" s="551" t="s">
        <v>2797</v>
      </c>
      <c r="B3075" s="399" t="s">
        <v>1412</v>
      </c>
      <c r="C3075" s="399" t="s">
        <v>184</v>
      </c>
      <c r="D3075" s="399">
        <v>3700</v>
      </c>
      <c r="E3075" s="399">
        <v>37</v>
      </c>
      <c r="F3075" s="399" t="s">
        <v>3537</v>
      </c>
      <c r="G3075" s="399" t="s">
        <v>2221</v>
      </c>
      <c r="H3075" s="1235"/>
    </row>
    <row r="3076" spans="1:8" hidden="1">
      <c r="A3076" s="551" t="s">
        <v>2797</v>
      </c>
      <c r="B3076" s="399" t="s">
        <v>1412</v>
      </c>
      <c r="C3076" s="399" t="s">
        <v>184</v>
      </c>
      <c r="D3076" s="399">
        <v>3800</v>
      </c>
      <c r="E3076" s="399">
        <v>38</v>
      </c>
      <c r="F3076" s="399" t="s">
        <v>3538</v>
      </c>
      <c r="G3076" s="399" t="s">
        <v>2221</v>
      </c>
      <c r="H3076" s="1235"/>
    </row>
    <row r="3077" spans="1:8" hidden="1">
      <c r="A3077" s="551" t="s">
        <v>2797</v>
      </c>
      <c r="B3077" s="399" t="s">
        <v>1412</v>
      </c>
      <c r="C3077" s="399" t="s">
        <v>184</v>
      </c>
      <c r="D3077" s="399">
        <v>3810</v>
      </c>
      <c r="E3077" s="399" t="s">
        <v>3539</v>
      </c>
      <c r="F3077" s="399" t="s">
        <v>3540</v>
      </c>
      <c r="G3077" s="399" t="s">
        <v>2221</v>
      </c>
      <c r="H3077" s="1235"/>
    </row>
    <row r="3078" spans="1:8" hidden="1">
      <c r="A3078" s="551" t="s">
        <v>2797</v>
      </c>
      <c r="B3078" s="399" t="s">
        <v>1412</v>
      </c>
      <c r="C3078" s="399" t="s">
        <v>184</v>
      </c>
      <c r="D3078" s="399">
        <v>3811</v>
      </c>
      <c r="E3078" s="399" t="s">
        <v>3541</v>
      </c>
      <c r="F3078" s="399" t="s">
        <v>3542</v>
      </c>
      <c r="G3078" s="399" t="s">
        <v>2221</v>
      </c>
      <c r="H3078" s="1235"/>
    </row>
    <row r="3079" spans="1:8" hidden="1">
      <c r="A3079" s="551" t="s">
        <v>2797</v>
      </c>
      <c r="B3079" s="399" t="s">
        <v>1412</v>
      </c>
      <c r="C3079" s="399" t="s">
        <v>184</v>
      </c>
      <c r="D3079" s="399">
        <v>3812</v>
      </c>
      <c r="E3079" s="399" t="s">
        <v>3543</v>
      </c>
      <c r="F3079" s="399" t="s">
        <v>3544</v>
      </c>
      <c r="G3079" s="399" t="s">
        <v>2221</v>
      </c>
      <c r="H3079" s="1235"/>
    </row>
    <row r="3080" spans="1:8" hidden="1">
      <c r="A3080" s="551" t="s">
        <v>2797</v>
      </c>
      <c r="B3080" s="399" t="s">
        <v>1412</v>
      </c>
      <c r="C3080" s="399" t="s">
        <v>184</v>
      </c>
      <c r="D3080" s="399">
        <v>3820</v>
      </c>
      <c r="E3080" s="399" t="s">
        <v>3545</v>
      </c>
      <c r="F3080" s="399" t="s">
        <v>3546</v>
      </c>
      <c r="G3080" s="399" t="s">
        <v>2221</v>
      </c>
      <c r="H3080" s="1235"/>
    </row>
    <row r="3081" spans="1:8" hidden="1">
      <c r="A3081" s="551" t="s">
        <v>2797</v>
      </c>
      <c r="B3081" s="399" t="s">
        <v>1412</v>
      </c>
      <c r="C3081" s="399" t="s">
        <v>184</v>
      </c>
      <c r="D3081" s="399">
        <v>3821</v>
      </c>
      <c r="E3081" s="399" t="s">
        <v>3547</v>
      </c>
      <c r="F3081" s="399" t="s">
        <v>3548</v>
      </c>
      <c r="G3081" s="399" t="s">
        <v>2221</v>
      </c>
      <c r="H3081" s="1235"/>
    </row>
    <row r="3082" spans="1:8" hidden="1">
      <c r="A3082" s="551" t="s">
        <v>2797</v>
      </c>
      <c r="B3082" s="399" t="s">
        <v>1412</v>
      </c>
      <c r="C3082" s="399" t="s">
        <v>184</v>
      </c>
      <c r="D3082" s="399">
        <v>3822</v>
      </c>
      <c r="E3082" s="399" t="s">
        <v>3549</v>
      </c>
      <c r="F3082" s="399" t="s">
        <v>3550</v>
      </c>
      <c r="G3082" s="399" t="s">
        <v>2221</v>
      </c>
      <c r="H3082" s="1235"/>
    </row>
    <row r="3083" spans="1:8" hidden="1">
      <c r="A3083" s="551" t="s">
        <v>2797</v>
      </c>
      <c r="B3083" s="399" t="s">
        <v>1412</v>
      </c>
      <c r="C3083" s="399" t="s">
        <v>184</v>
      </c>
      <c r="D3083" s="399">
        <v>3830</v>
      </c>
      <c r="E3083" s="399" t="s">
        <v>3551</v>
      </c>
      <c r="F3083" s="399" t="s">
        <v>3552</v>
      </c>
      <c r="G3083" s="399" t="s">
        <v>2221</v>
      </c>
      <c r="H3083" s="1235"/>
    </row>
    <row r="3084" spans="1:8" hidden="1">
      <c r="A3084" s="551" t="s">
        <v>2797</v>
      </c>
      <c r="B3084" s="399" t="s">
        <v>1412</v>
      </c>
      <c r="C3084" s="399" t="s">
        <v>184</v>
      </c>
      <c r="D3084" s="399">
        <v>3831</v>
      </c>
      <c r="E3084" s="399" t="s">
        <v>3553</v>
      </c>
      <c r="F3084" s="399" t="s">
        <v>3554</v>
      </c>
      <c r="G3084" s="399" t="s">
        <v>2221</v>
      </c>
      <c r="H3084" s="1235"/>
    </row>
    <row r="3085" spans="1:8" hidden="1">
      <c r="A3085" s="551" t="s">
        <v>2797</v>
      </c>
      <c r="B3085" s="399" t="s">
        <v>1412</v>
      </c>
      <c r="C3085" s="399" t="s">
        <v>184</v>
      </c>
      <c r="D3085" s="399">
        <v>3832</v>
      </c>
      <c r="E3085" s="399" t="s">
        <v>3555</v>
      </c>
      <c r="F3085" s="399" t="s">
        <v>3556</v>
      </c>
      <c r="G3085" s="399" t="s">
        <v>2221</v>
      </c>
      <c r="H3085" s="1235"/>
    </row>
    <row r="3086" spans="1:8" hidden="1">
      <c r="A3086" s="551" t="s">
        <v>2797</v>
      </c>
      <c r="B3086" s="399" t="s">
        <v>1412</v>
      </c>
      <c r="C3086" s="399" t="s">
        <v>184</v>
      </c>
      <c r="D3086" s="399">
        <v>3900</v>
      </c>
      <c r="E3086" s="399">
        <v>39</v>
      </c>
      <c r="F3086" s="399" t="s">
        <v>3557</v>
      </c>
      <c r="G3086" s="399" t="s">
        <v>2221</v>
      </c>
      <c r="H3086" s="1235"/>
    </row>
    <row r="3087" spans="1:8" hidden="1">
      <c r="A3087" s="551" t="s">
        <v>2797</v>
      </c>
      <c r="B3087" s="399" t="s">
        <v>1412</v>
      </c>
      <c r="C3087" s="399" t="s">
        <v>184</v>
      </c>
      <c r="D3087" s="399">
        <v>4100</v>
      </c>
      <c r="E3087" s="399">
        <v>41</v>
      </c>
      <c r="F3087" s="399" t="s">
        <v>3558</v>
      </c>
      <c r="G3087" s="399" t="s">
        <v>2221</v>
      </c>
      <c r="H3087" s="1235"/>
    </row>
    <row r="3088" spans="1:8" hidden="1">
      <c r="A3088" s="551" t="s">
        <v>2797</v>
      </c>
      <c r="B3088" s="399" t="s">
        <v>1412</v>
      </c>
      <c r="C3088" s="399" t="s">
        <v>184</v>
      </c>
      <c r="D3088" s="399">
        <v>4110</v>
      </c>
      <c r="E3088" s="399" t="s">
        <v>3559</v>
      </c>
      <c r="F3088" s="399" t="s">
        <v>3560</v>
      </c>
      <c r="G3088" s="399" t="s">
        <v>2221</v>
      </c>
      <c r="H3088" s="1235"/>
    </row>
    <row r="3089" spans="1:8" hidden="1">
      <c r="A3089" s="551" t="s">
        <v>2797</v>
      </c>
      <c r="B3089" s="399" t="s">
        <v>1412</v>
      </c>
      <c r="C3089" s="399" t="s">
        <v>184</v>
      </c>
      <c r="D3089" s="399">
        <v>4120</v>
      </c>
      <c r="E3089" s="399" t="s">
        <v>3561</v>
      </c>
      <c r="F3089" s="399" t="s">
        <v>3562</v>
      </c>
      <c r="G3089" s="399" t="s">
        <v>2221</v>
      </c>
      <c r="H3089" s="1235"/>
    </row>
    <row r="3090" spans="1:8" hidden="1">
      <c r="A3090" s="551" t="s">
        <v>2797</v>
      </c>
      <c r="B3090" s="399" t="s">
        <v>1412</v>
      </c>
      <c r="C3090" s="399" t="s">
        <v>184</v>
      </c>
      <c r="D3090" s="399">
        <v>4200</v>
      </c>
      <c r="E3090" s="399">
        <v>42</v>
      </c>
      <c r="F3090" s="399" t="s">
        <v>3563</v>
      </c>
      <c r="G3090" s="399" t="s">
        <v>2221</v>
      </c>
      <c r="H3090" s="1235"/>
    </row>
    <row r="3091" spans="1:8" hidden="1">
      <c r="A3091" s="551" t="s">
        <v>2797</v>
      </c>
      <c r="B3091" s="399" t="s">
        <v>1412</v>
      </c>
      <c r="C3091" s="399" t="s">
        <v>184</v>
      </c>
      <c r="D3091" s="399">
        <v>4210</v>
      </c>
      <c r="E3091" s="399" t="s">
        <v>3564</v>
      </c>
      <c r="F3091" s="399" t="s">
        <v>3565</v>
      </c>
      <c r="G3091" s="399" t="s">
        <v>2221</v>
      </c>
      <c r="H3091" s="1235"/>
    </row>
    <row r="3092" spans="1:8" hidden="1">
      <c r="A3092" s="551" t="s">
        <v>2797</v>
      </c>
      <c r="B3092" s="399" t="s">
        <v>1412</v>
      </c>
      <c r="C3092" s="399" t="s">
        <v>184</v>
      </c>
      <c r="D3092" s="399">
        <v>4211</v>
      </c>
      <c r="E3092" s="399" t="s">
        <v>3566</v>
      </c>
      <c r="F3092" s="399" t="s">
        <v>3567</v>
      </c>
      <c r="G3092" s="399" t="s">
        <v>2221</v>
      </c>
      <c r="H3092" s="1235"/>
    </row>
    <row r="3093" spans="1:8" hidden="1">
      <c r="A3093" s="551" t="s">
        <v>2797</v>
      </c>
      <c r="B3093" s="399" t="s">
        <v>1412</v>
      </c>
      <c r="C3093" s="399" t="s">
        <v>184</v>
      </c>
      <c r="D3093" s="399">
        <v>4212</v>
      </c>
      <c r="E3093" s="399" t="s">
        <v>3568</v>
      </c>
      <c r="F3093" s="399" t="s">
        <v>3569</v>
      </c>
      <c r="G3093" s="399" t="s">
        <v>2221</v>
      </c>
      <c r="H3093" s="1235"/>
    </row>
    <row r="3094" spans="1:8" hidden="1">
      <c r="A3094" s="551" t="s">
        <v>2797</v>
      </c>
      <c r="B3094" s="399" t="s">
        <v>1412</v>
      </c>
      <c r="C3094" s="399" t="s">
        <v>184</v>
      </c>
      <c r="D3094" s="399">
        <v>4213</v>
      </c>
      <c r="E3094" s="399" t="s">
        <v>3570</v>
      </c>
      <c r="F3094" s="399" t="s">
        <v>3571</v>
      </c>
      <c r="G3094" s="399" t="s">
        <v>2221</v>
      </c>
      <c r="H3094" s="1235"/>
    </row>
    <row r="3095" spans="1:8" hidden="1">
      <c r="A3095" s="551" t="s">
        <v>2797</v>
      </c>
      <c r="B3095" s="399" t="s">
        <v>1412</v>
      </c>
      <c r="C3095" s="399" t="s">
        <v>184</v>
      </c>
      <c r="D3095" s="399">
        <v>4220</v>
      </c>
      <c r="E3095" s="399" t="s">
        <v>3572</v>
      </c>
      <c r="F3095" s="399" t="s">
        <v>3573</v>
      </c>
      <c r="G3095" s="399" t="s">
        <v>2221</v>
      </c>
      <c r="H3095" s="1235"/>
    </row>
    <row r="3096" spans="1:8" hidden="1">
      <c r="A3096" s="551" t="s">
        <v>2797</v>
      </c>
      <c r="B3096" s="399" t="s">
        <v>1412</v>
      </c>
      <c r="C3096" s="399" t="s">
        <v>184</v>
      </c>
      <c r="D3096" s="399">
        <v>4221</v>
      </c>
      <c r="E3096" s="399" t="s">
        <v>3574</v>
      </c>
      <c r="F3096" s="399" t="s">
        <v>3575</v>
      </c>
      <c r="G3096" s="399" t="s">
        <v>2221</v>
      </c>
      <c r="H3096" s="1235"/>
    </row>
    <row r="3097" spans="1:8" hidden="1">
      <c r="A3097" s="551" t="s">
        <v>2797</v>
      </c>
      <c r="B3097" s="399" t="s">
        <v>1412</v>
      </c>
      <c r="C3097" s="399" t="s">
        <v>184</v>
      </c>
      <c r="D3097" s="399">
        <v>4222</v>
      </c>
      <c r="E3097" s="399" t="s">
        <v>3576</v>
      </c>
      <c r="F3097" s="399" t="s">
        <v>3577</v>
      </c>
      <c r="G3097" s="399" t="s">
        <v>2221</v>
      </c>
      <c r="H3097" s="1235"/>
    </row>
    <row r="3098" spans="1:8" hidden="1">
      <c r="A3098" s="551" t="s">
        <v>2797</v>
      </c>
      <c r="B3098" s="399" t="s">
        <v>1412</v>
      </c>
      <c r="C3098" s="399" t="s">
        <v>184</v>
      </c>
      <c r="D3098" s="399">
        <v>4290</v>
      </c>
      <c r="E3098" s="399" t="s">
        <v>3578</v>
      </c>
      <c r="F3098" s="399" t="s">
        <v>3579</v>
      </c>
      <c r="G3098" s="399" t="s">
        <v>2221</v>
      </c>
      <c r="H3098" s="1235"/>
    </row>
    <row r="3099" spans="1:8" hidden="1">
      <c r="A3099" s="551" t="s">
        <v>2797</v>
      </c>
      <c r="B3099" s="399" t="s">
        <v>1412</v>
      </c>
      <c r="C3099" s="399" t="s">
        <v>184</v>
      </c>
      <c r="D3099" s="399">
        <v>4291</v>
      </c>
      <c r="E3099" s="399" t="s">
        <v>3580</v>
      </c>
      <c r="F3099" s="399" t="s">
        <v>3581</v>
      </c>
      <c r="G3099" s="399" t="s">
        <v>2221</v>
      </c>
      <c r="H3099" s="1235"/>
    </row>
    <row r="3100" spans="1:8" hidden="1">
      <c r="A3100" s="551" t="s">
        <v>2797</v>
      </c>
      <c r="B3100" s="399" t="s">
        <v>1412</v>
      </c>
      <c r="C3100" s="399" t="s">
        <v>184</v>
      </c>
      <c r="D3100" s="399">
        <v>4299</v>
      </c>
      <c r="E3100" s="399" t="s">
        <v>3582</v>
      </c>
      <c r="F3100" s="399" t="s">
        <v>3583</v>
      </c>
      <c r="G3100" s="399" t="s">
        <v>2221</v>
      </c>
      <c r="H3100" s="1235"/>
    </row>
    <row r="3101" spans="1:8" hidden="1">
      <c r="A3101" s="551" t="s">
        <v>2797</v>
      </c>
      <c r="B3101" s="399" t="s">
        <v>1412</v>
      </c>
      <c r="C3101" s="399" t="s">
        <v>184</v>
      </c>
      <c r="D3101" s="399">
        <v>4300</v>
      </c>
      <c r="E3101" s="399">
        <v>43</v>
      </c>
      <c r="F3101" s="399" t="s">
        <v>3584</v>
      </c>
      <c r="G3101" s="399" t="s">
        <v>2221</v>
      </c>
      <c r="H3101" s="1235"/>
    </row>
    <row r="3102" spans="1:8" hidden="1">
      <c r="A3102" s="551" t="s">
        <v>2797</v>
      </c>
      <c r="B3102" s="399" t="s">
        <v>1412</v>
      </c>
      <c r="C3102" s="399" t="s">
        <v>184</v>
      </c>
      <c r="D3102" s="399">
        <v>4310</v>
      </c>
      <c r="E3102" s="399" t="s">
        <v>3585</v>
      </c>
      <c r="F3102" s="399" t="s">
        <v>3586</v>
      </c>
      <c r="G3102" s="399" t="s">
        <v>2221</v>
      </c>
      <c r="H3102" s="1235"/>
    </row>
    <row r="3103" spans="1:8" hidden="1">
      <c r="A3103" s="551" t="s">
        <v>2797</v>
      </c>
      <c r="B3103" s="399" t="s">
        <v>1412</v>
      </c>
      <c r="C3103" s="399" t="s">
        <v>184</v>
      </c>
      <c r="D3103" s="399">
        <v>4311</v>
      </c>
      <c r="E3103" s="399" t="s">
        <v>3587</v>
      </c>
      <c r="F3103" s="399" t="s">
        <v>3588</v>
      </c>
      <c r="G3103" s="399" t="s">
        <v>2221</v>
      </c>
      <c r="H3103" s="1235"/>
    </row>
    <row r="3104" spans="1:8" hidden="1">
      <c r="A3104" s="551" t="s">
        <v>2797</v>
      </c>
      <c r="B3104" s="399" t="s">
        <v>1412</v>
      </c>
      <c r="C3104" s="399" t="s">
        <v>184</v>
      </c>
      <c r="D3104" s="399">
        <v>4312</v>
      </c>
      <c r="E3104" s="399" t="s">
        <v>3589</v>
      </c>
      <c r="F3104" s="399" t="s">
        <v>3590</v>
      </c>
      <c r="G3104" s="399" t="s">
        <v>2221</v>
      </c>
      <c r="H3104" s="1235"/>
    </row>
    <row r="3105" spans="1:8" hidden="1">
      <c r="A3105" s="551" t="s">
        <v>2797</v>
      </c>
      <c r="B3105" s="399" t="s">
        <v>1412</v>
      </c>
      <c r="C3105" s="399" t="s">
        <v>184</v>
      </c>
      <c r="D3105" s="399">
        <v>4313</v>
      </c>
      <c r="E3105" s="399" t="s">
        <v>3591</v>
      </c>
      <c r="F3105" s="399" t="s">
        <v>3592</v>
      </c>
      <c r="G3105" s="399" t="s">
        <v>2221</v>
      </c>
      <c r="H3105" s="1235"/>
    </row>
    <row r="3106" spans="1:8" hidden="1">
      <c r="A3106" s="551" t="s">
        <v>2797</v>
      </c>
      <c r="B3106" s="399" t="s">
        <v>1412</v>
      </c>
      <c r="C3106" s="399" t="s">
        <v>184</v>
      </c>
      <c r="D3106" s="399">
        <v>4320</v>
      </c>
      <c r="E3106" s="399" t="s">
        <v>3593</v>
      </c>
      <c r="F3106" s="399" t="s">
        <v>3594</v>
      </c>
      <c r="G3106" s="399" t="s">
        <v>2221</v>
      </c>
      <c r="H3106" s="1235"/>
    </row>
    <row r="3107" spans="1:8" hidden="1">
      <c r="A3107" s="551" t="s">
        <v>2797</v>
      </c>
      <c r="B3107" s="399" t="s">
        <v>1412</v>
      </c>
      <c r="C3107" s="399" t="s">
        <v>184</v>
      </c>
      <c r="D3107" s="399">
        <v>4321</v>
      </c>
      <c r="E3107" s="399" t="s">
        <v>3595</v>
      </c>
      <c r="F3107" s="399" t="s">
        <v>3596</v>
      </c>
      <c r="G3107" s="399" t="s">
        <v>2221</v>
      </c>
      <c r="H3107" s="1235"/>
    </row>
    <row r="3108" spans="1:8" hidden="1">
      <c r="A3108" s="551" t="s">
        <v>2797</v>
      </c>
      <c r="B3108" s="399" t="s">
        <v>1412</v>
      </c>
      <c r="C3108" s="399" t="s">
        <v>184</v>
      </c>
      <c r="D3108" s="399">
        <v>4322</v>
      </c>
      <c r="E3108" s="399" t="s">
        <v>3597</v>
      </c>
      <c r="F3108" s="399" t="s">
        <v>3598</v>
      </c>
      <c r="G3108" s="399" t="s">
        <v>2221</v>
      </c>
      <c r="H3108" s="1235"/>
    </row>
    <row r="3109" spans="1:8" hidden="1">
      <c r="A3109" s="551" t="s">
        <v>2797</v>
      </c>
      <c r="B3109" s="399" t="s">
        <v>1412</v>
      </c>
      <c r="C3109" s="399" t="s">
        <v>184</v>
      </c>
      <c r="D3109" s="399">
        <v>4329</v>
      </c>
      <c r="E3109" s="399" t="s">
        <v>3599</v>
      </c>
      <c r="F3109" s="399" t="s">
        <v>3600</v>
      </c>
      <c r="G3109" s="399" t="s">
        <v>2221</v>
      </c>
      <c r="H3109" s="1235"/>
    </row>
    <row r="3110" spans="1:8" hidden="1">
      <c r="A3110" s="551" t="s">
        <v>2797</v>
      </c>
      <c r="B3110" s="399" t="s">
        <v>1412</v>
      </c>
      <c r="C3110" s="399" t="s">
        <v>184</v>
      </c>
      <c r="D3110" s="399">
        <v>4330</v>
      </c>
      <c r="E3110" s="399" t="s">
        <v>3601</v>
      </c>
      <c r="F3110" s="399" t="s">
        <v>3602</v>
      </c>
      <c r="G3110" s="399" t="s">
        <v>2221</v>
      </c>
      <c r="H3110" s="1235"/>
    </row>
    <row r="3111" spans="1:8" hidden="1">
      <c r="A3111" s="551" t="s">
        <v>2797</v>
      </c>
      <c r="B3111" s="399" t="s">
        <v>1412</v>
      </c>
      <c r="C3111" s="399" t="s">
        <v>184</v>
      </c>
      <c r="D3111" s="399">
        <v>4331</v>
      </c>
      <c r="E3111" s="399" t="s">
        <v>3603</v>
      </c>
      <c r="F3111" s="399" t="s">
        <v>3604</v>
      </c>
      <c r="G3111" s="399" t="s">
        <v>2221</v>
      </c>
      <c r="H3111" s="1235"/>
    </row>
    <row r="3112" spans="1:8" hidden="1">
      <c r="A3112" s="551" t="s">
        <v>2797</v>
      </c>
      <c r="B3112" s="399" t="s">
        <v>1412</v>
      </c>
      <c r="C3112" s="399" t="s">
        <v>184</v>
      </c>
      <c r="D3112" s="399">
        <v>4332</v>
      </c>
      <c r="E3112" s="399" t="s">
        <v>3605</v>
      </c>
      <c r="F3112" s="399" t="s">
        <v>3606</v>
      </c>
      <c r="G3112" s="399" t="s">
        <v>2221</v>
      </c>
      <c r="H3112" s="1235"/>
    </row>
    <row r="3113" spans="1:8" hidden="1">
      <c r="A3113" s="551" t="s">
        <v>2797</v>
      </c>
      <c r="B3113" s="399" t="s">
        <v>1412</v>
      </c>
      <c r="C3113" s="399" t="s">
        <v>184</v>
      </c>
      <c r="D3113" s="399">
        <v>4333</v>
      </c>
      <c r="E3113" s="399" t="s">
        <v>3607</v>
      </c>
      <c r="F3113" s="399" t="s">
        <v>3608</v>
      </c>
      <c r="G3113" s="399" t="s">
        <v>2221</v>
      </c>
      <c r="H3113" s="1235"/>
    </row>
    <row r="3114" spans="1:8" hidden="1">
      <c r="A3114" s="551" t="s">
        <v>2797</v>
      </c>
      <c r="B3114" s="399" t="s">
        <v>1412</v>
      </c>
      <c r="C3114" s="399" t="s">
        <v>184</v>
      </c>
      <c r="D3114" s="399">
        <v>4334</v>
      </c>
      <c r="E3114" s="399" t="s">
        <v>3609</v>
      </c>
      <c r="F3114" s="399" t="s">
        <v>3610</v>
      </c>
      <c r="G3114" s="399" t="s">
        <v>2221</v>
      </c>
      <c r="H3114" s="1235"/>
    </row>
    <row r="3115" spans="1:8" hidden="1">
      <c r="A3115" s="551" t="s">
        <v>2797</v>
      </c>
      <c r="B3115" s="399" t="s">
        <v>1412</v>
      </c>
      <c r="C3115" s="399" t="s">
        <v>184</v>
      </c>
      <c r="D3115" s="399">
        <v>4339</v>
      </c>
      <c r="E3115" s="399" t="s">
        <v>3611</v>
      </c>
      <c r="F3115" s="399" t="s">
        <v>3612</v>
      </c>
      <c r="G3115" s="399" t="s">
        <v>2221</v>
      </c>
      <c r="H3115" s="1235"/>
    </row>
    <row r="3116" spans="1:8" hidden="1">
      <c r="A3116" s="551" t="s">
        <v>2797</v>
      </c>
      <c r="B3116" s="399" t="s">
        <v>1412</v>
      </c>
      <c r="C3116" s="399" t="s">
        <v>184</v>
      </c>
      <c r="D3116" s="399">
        <v>4390</v>
      </c>
      <c r="E3116" s="399" t="s">
        <v>3613</v>
      </c>
      <c r="F3116" s="399" t="s">
        <v>3614</v>
      </c>
      <c r="G3116" s="399" t="s">
        <v>2221</v>
      </c>
      <c r="H3116" s="1235"/>
    </row>
    <row r="3117" spans="1:8" hidden="1">
      <c r="A3117" s="551" t="s">
        <v>2797</v>
      </c>
      <c r="B3117" s="399" t="s">
        <v>1412</v>
      </c>
      <c r="C3117" s="399" t="s">
        <v>184</v>
      </c>
      <c r="D3117" s="399">
        <v>4391</v>
      </c>
      <c r="E3117" s="399" t="s">
        <v>3615</v>
      </c>
      <c r="F3117" s="399" t="s">
        <v>3616</v>
      </c>
      <c r="G3117" s="399" t="s">
        <v>2221</v>
      </c>
      <c r="H3117" s="1235"/>
    </row>
    <row r="3118" spans="1:8" hidden="1">
      <c r="A3118" s="551" t="s">
        <v>2797</v>
      </c>
      <c r="B3118" s="399" t="s">
        <v>1412</v>
      </c>
      <c r="C3118" s="399" t="s">
        <v>184</v>
      </c>
      <c r="D3118" s="399">
        <v>4399</v>
      </c>
      <c r="E3118" s="399" t="s">
        <v>3617</v>
      </c>
      <c r="F3118" s="399" t="s">
        <v>3618</v>
      </c>
      <c r="G3118" s="399" t="s">
        <v>2221</v>
      </c>
      <c r="H3118" s="1235"/>
    </row>
    <row r="3119" spans="1:8" hidden="1">
      <c r="A3119" s="551" t="s">
        <v>2797</v>
      </c>
      <c r="B3119" s="399" t="s">
        <v>1412</v>
      </c>
      <c r="C3119" s="399" t="s">
        <v>184</v>
      </c>
      <c r="D3119" s="399">
        <v>4500</v>
      </c>
      <c r="E3119" s="399">
        <v>45</v>
      </c>
      <c r="F3119" s="399" t="s">
        <v>3619</v>
      </c>
      <c r="G3119" s="399" t="s">
        <v>2221</v>
      </c>
      <c r="H3119" s="1235"/>
    </row>
    <row r="3120" spans="1:8" hidden="1">
      <c r="A3120" s="551" t="s">
        <v>2797</v>
      </c>
      <c r="B3120" s="399" t="s">
        <v>1412</v>
      </c>
      <c r="C3120" s="399" t="s">
        <v>184</v>
      </c>
      <c r="D3120" s="399">
        <v>4510</v>
      </c>
      <c r="E3120" s="399" t="s">
        <v>3620</v>
      </c>
      <c r="F3120" s="399" t="s">
        <v>3621</v>
      </c>
      <c r="G3120" s="399" t="s">
        <v>2221</v>
      </c>
      <c r="H3120" s="1235"/>
    </row>
    <row r="3121" spans="1:8" hidden="1">
      <c r="A3121" s="551" t="s">
        <v>2797</v>
      </c>
      <c r="B3121" s="399" t="s">
        <v>1412</v>
      </c>
      <c r="C3121" s="399" t="s">
        <v>184</v>
      </c>
      <c r="D3121" s="399">
        <v>4511</v>
      </c>
      <c r="E3121" s="399" t="s">
        <v>3622</v>
      </c>
      <c r="F3121" s="399" t="s">
        <v>3623</v>
      </c>
      <c r="G3121" s="399" t="s">
        <v>2221</v>
      </c>
      <c r="H3121" s="1235"/>
    </row>
    <row r="3122" spans="1:8" hidden="1">
      <c r="A3122" s="551" t="s">
        <v>2797</v>
      </c>
      <c r="B3122" s="399" t="s">
        <v>1412</v>
      </c>
      <c r="C3122" s="399" t="s">
        <v>184</v>
      </c>
      <c r="D3122" s="399">
        <v>4519</v>
      </c>
      <c r="E3122" s="399" t="s">
        <v>3624</v>
      </c>
      <c r="F3122" s="399" t="s">
        <v>3625</v>
      </c>
      <c r="G3122" s="399" t="s">
        <v>2221</v>
      </c>
      <c r="H3122" s="1235"/>
    </row>
    <row r="3123" spans="1:8" hidden="1">
      <c r="A3123" s="551" t="s">
        <v>2797</v>
      </c>
      <c r="B3123" s="399" t="s">
        <v>1412</v>
      </c>
      <c r="C3123" s="399" t="s">
        <v>184</v>
      </c>
      <c r="D3123" s="399">
        <v>4520</v>
      </c>
      <c r="E3123" s="399" t="s">
        <v>3626</v>
      </c>
      <c r="F3123" s="399" t="s">
        <v>3627</v>
      </c>
      <c r="G3123" s="399" t="s">
        <v>2221</v>
      </c>
      <c r="H3123" s="1235"/>
    </row>
    <row r="3124" spans="1:8" hidden="1">
      <c r="A3124" s="551" t="s">
        <v>2797</v>
      </c>
      <c r="B3124" s="399" t="s">
        <v>1412</v>
      </c>
      <c r="C3124" s="399" t="s">
        <v>184</v>
      </c>
      <c r="D3124" s="399">
        <v>4530</v>
      </c>
      <c r="E3124" s="399" t="s">
        <v>3628</v>
      </c>
      <c r="F3124" s="399" t="s">
        <v>3629</v>
      </c>
      <c r="G3124" s="399" t="s">
        <v>2221</v>
      </c>
      <c r="H3124" s="1235"/>
    </row>
    <row r="3125" spans="1:8" hidden="1">
      <c r="A3125" s="551" t="s">
        <v>2797</v>
      </c>
      <c r="B3125" s="399" t="s">
        <v>1412</v>
      </c>
      <c r="C3125" s="399" t="s">
        <v>184</v>
      </c>
      <c r="D3125" s="399">
        <v>4531</v>
      </c>
      <c r="E3125" s="399" t="s">
        <v>3630</v>
      </c>
      <c r="F3125" s="399" t="s">
        <v>3631</v>
      </c>
      <c r="G3125" s="399" t="s">
        <v>2221</v>
      </c>
      <c r="H3125" s="1235"/>
    </row>
    <row r="3126" spans="1:8" hidden="1">
      <c r="A3126" s="551" t="s">
        <v>2797</v>
      </c>
      <c r="B3126" s="399" t="s">
        <v>1412</v>
      </c>
      <c r="C3126" s="399" t="s">
        <v>184</v>
      </c>
      <c r="D3126" s="399">
        <v>4532</v>
      </c>
      <c r="E3126" s="399" t="s">
        <v>3632</v>
      </c>
      <c r="F3126" s="399" t="s">
        <v>3633</v>
      </c>
      <c r="G3126" s="399" t="s">
        <v>2221</v>
      </c>
      <c r="H3126" s="1235"/>
    </row>
    <row r="3127" spans="1:8" hidden="1">
      <c r="A3127" s="551" t="s">
        <v>2797</v>
      </c>
      <c r="B3127" s="399" t="s">
        <v>1412</v>
      </c>
      <c r="C3127" s="399" t="s">
        <v>184</v>
      </c>
      <c r="D3127" s="399">
        <v>4540</v>
      </c>
      <c r="E3127" s="399" t="s">
        <v>3634</v>
      </c>
      <c r="F3127" s="399" t="s">
        <v>3635</v>
      </c>
      <c r="G3127" s="399" t="s">
        <v>2221</v>
      </c>
      <c r="H3127" s="1235"/>
    </row>
    <row r="3128" spans="1:8" hidden="1">
      <c r="A3128" s="551" t="s">
        <v>2797</v>
      </c>
      <c r="B3128" s="399" t="s">
        <v>1412</v>
      </c>
      <c r="C3128" s="399" t="s">
        <v>184</v>
      </c>
      <c r="D3128" s="399">
        <v>4600</v>
      </c>
      <c r="E3128" s="399">
        <v>46</v>
      </c>
      <c r="F3128" s="399" t="s">
        <v>3636</v>
      </c>
      <c r="G3128" s="399" t="s">
        <v>2221</v>
      </c>
      <c r="H3128" s="1235"/>
    </row>
    <row r="3129" spans="1:8" hidden="1">
      <c r="A3129" s="551" t="s">
        <v>2797</v>
      </c>
      <c r="B3129" s="399" t="s">
        <v>1412</v>
      </c>
      <c r="C3129" s="399" t="s">
        <v>184</v>
      </c>
      <c r="D3129" s="399">
        <v>4610</v>
      </c>
      <c r="E3129" s="399" t="s">
        <v>3637</v>
      </c>
      <c r="F3129" s="399" t="s">
        <v>3638</v>
      </c>
      <c r="G3129" s="399" t="s">
        <v>2221</v>
      </c>
      <c r="H3129" s="1235"/>
    </row>
    <row r="3130" spans="1:8" hidden="1">
      <c r="A3130" s="551" t="s">
        <v>2797</v>
      </c>
      <c r="B3130" s="399" t="s">
        <v>1412</v>
      </c>
      <c r="C3130" s="399" t="s">
        <v>184</v>
      </c>
      <c r="D3130" s="399">
        <v>4611</v>
      </c>
      <c r="E3130" s="399" t="s">
        <v>3639</v>
      </c>
      <c r="F3130" s="399" t="s">
        <v>3640</v>
      </c>
      <c r="G3130" s="399" t="s">
        <v>2221</v>
      </c>
      <c r="H3130" s="1235"/>
    </row>
    <row r="3131" spans="1:8" hidden="1">
      <c r="A3131" s="551" t="s">
        <v>2797</v>
      </c>
      <c r="B3131" s="399" t="s">
        <v>1412</v>
      </c>
      <c r="C3131" s="399" t="s">
        <v>184</v>
      </c>
      <c r="D3131" s="399">
        <v>4612</v>
      </c>
      <c r="E3131" s="399" t="s">
        <v>3641</v>
      </c>
      <c r="F3131" s="399" t="s">
        <v>3642</v>
      </c>
      <c r="G3131" s="399" t="s">
        <v>2221</v>
      </c>
      <c r="H3131" s="1235"/>
    </row>
    <row r="3132" spans="1:8" hidden="1">
      <c r="A3132" s="551" t="s">
        <v>2797</v>
      </c>
      <c r="B3132" s="399" t="s">
        <v>1412</v>
      </c>
      <c r="C3132" s="399" t="s">
        <v>184</v>
      </c>
      <c r="D3132" s="399">
        <v>4613</v>
      </c>
      <c r="E3132" s="399" t="s">
        <v>3643</v>
      </c>
      <c r="F3132" s="399" t="s">
        <v>3644</v>
      </c>
      <c r="G3132" s="399" t="s">
        <v>2221</v>
      </c>
      <c r="H3132" s="1235"/>
    </row>
    <row r="3133" spans="1:8" hidden="1">
      <c r="A3133" s="551" t="s">
        <v>2797</v>
      </c>
      <c r="B3133" s="399" t="s">
        <v>1412</v>
      </c>
      <c r="C3133" s="399" t="s">
        <v>184</v>
      </c>
      <c r="D3133" s="399">
        <v>4614</v>
      </c>
      <c r="E3133" s="399" t="s">
        <v>3645</v>
      </c>
      <c r="F3133" s="399" t="s">
        <v>3646</v>
      </c>
      <c r="G3133" s="399" t="s">
        <v>2221</v>
      </c>
      <c r="H3133" s="1235"/>
    </row>
    <row r="3134" spans="1:8" hidden="1">
      <c r="A3134" s="551" t="s">
        <v>2797</v>
      </c>
      <c r="B3134" s="399" t="s">
        <v>1412</v>
      </c>
      <c r="C3134" s="399" t="s">
        <v>184</v>
      </c>
      <c r="D3134" s="399">
        <v>4615</v>
      </c>
      <c r="E3134" s="399" t="s">
        <v>3647</v>
      </c>
      <c r="F3134" s="399" t="s">
        <v>3648</v>
      </c>
      <c r="G3134" s="399" t="s">
        <v>2221</v>
      </c>
      <c r="H3134" s="1235"/>
    </row>
    <row r="3135" spans="1:8" hidden="1">
      <c r="A3135" s="551" t="s">
        <v>2797</v>
      </c>
      <c r="B3135" s="399" t="s">
        <v>1412</v>
      </c>
      <c r="C3135" s="399" t="s">
        <v>184</v>
      </c>
      <c r="D3135" s="399">
        <v>4616</v>
      </c>
      <c r="E3135" s="399" t="s">
        <v>3649</v>
      </c>
      <c r="F3135" s="399" t="s">
        <v>3650</v>
      </c>
      <c r="G3135" s="399" t="s">
        <v>2221</v>
      </c>
      <c r="H3135" s="1235"/>
    </row>
    <row r="3136" spans="1:8" hidden="1">
      <c r="A3136" s="551" t="s">
        <v>2797</v>
      </c>
      <c r="B3136" s="399" t="s">
        <v>1412</v>
      </c>
      <c r="C3136" s="399" t="s">
        <v>184</v>
      </c>
      <c r="D3136" s="399">
        <v>4617</v>
      </c>
      <c r="E3136" s="399" t="s">
        <v>3651</v>
      </c>
      <c r="F3136" s="399" t="s">
        <v>3652</v>
      </c>
      <c r="G3136" s="399" t="s">
        <v>2221</v>
      </c>
      <c r="H3136" s="1235"/>
    </row>
    <row r="3137" spans="1:8" hidden="1">
      <c r="A3137" s="551" t="s">
        <v>2797</v>
      </c>
      <c r="B3137" s="399" t="s">
        <v>1412</v>
      </c>
      <c r="C3137" s="399" t="s">
        <v>184</v>
      </c>
      <c r="D3137" s="399">
        <v>4618</v>
      </c>
      <c r="E3137" s="399" t="s">
        <v>3653</v>
      </c>
      <c r="F3137" s="399" t="s">
        <v>3654</v>
      </c>
      <c r="G3137" s="399" t="s">
        <v>2221</v>
      </c>
      <c r="H3137" s="1235"/>
    </row>
    <row r="3138" spans="1:8" hidden="1">
      <c r="A3138" s="551" t="s">
        <v>2797</v>
      </c>
      <c r="B3138" s="399" t="s">
        <v>1412</v>
      </c>
      <c r="C3138" s="399" t="s">
        <v>184</v>
      </c>
      <c r="D3138" s="399">
        <v>4619</v>
      </c>
      <c r="E3138" s="399" t="s">
        <v>3655</v>
      </c>
      <c r="F3138" s="399" t="s">
        <v>3656</v>
      </c>
      <c r="G3138" s="399" t="s">
        <v>2221</v>
      </c>
      <c r="H3138" s="1235"/>
    </row>
    <row r="3139" spans="1:8" hidden="1">
      <c r="A3139" s="551" t="s">
        <v>2797</v>
      </c>
      <c r="B3139" s="399" t="s">
        <v>1412</v>
      </c>
      <c r="C3139" s="399" t="s">
        <v>184</v>
      </c>
      <c r="D3139" s="399">
        <v>4620</v>
      </c>
      <c r="E3139" s="399" t="s">
        <v>3657</v>
      </c>
      <c r="F3139" s="399" t="s">
        <v>3658</v>
      </c>
      <c r="G3139" s="399" t="s">
        <v>2221</v>
      </c>
      <c r="H3139" s="1235"/>
    </row>
    <row r="3140" spans="1:8" hidden="1">
      <c r="A3140" s="551" t="s">
        <v>2797</v>
      </c>
      <c r="B3140" s="399" t="s">
        <v>1412</v>
      </c>
      <c r="C3140" s="399" t="s">
        <v>184</v>
      </c>
      <c r="D3140" s="399">
        <v>4621</v>
      </c>
      <c r="E3140" s="399" t="s">
        <v>3659</v>
      </c>
      <c r="F3140" s="399" t="s">
        <v>3660</v>
      </c>
      <c r="G3140" s="399" t="s">
        <v>2221</v>
      </c>
      <c r="H3140" s="1235"/>
    </row>
    <row r="3141" spans="1:8" hidden="1">
      <c r="A3141" s="551" t="s">
        <v>2797</v>
      </c>
      <c r="B3141" s="399" t="s">
        <v>1412</v>
      </c>
      <c r="C3141" s="399" t="s">
        <v>184</v>
      </c>
      <c r="D3141" s="399">
        <v>4622</v>
      </c>
      <c r="E3141" s="399" t="s">
        <v>3661</v>
      </c>
      <c r="F3141" s="399" t="s">
        <v>3662</v>
      </c>
      <c r="G3141" s="399" t="s">
        <v>2221</v>
      </c>
      <c r="H3141" s="1235"/>
    </row>
    <row r="3142" spans="1:8" hidden="1">
      <c r="A3142" s="551" t="s">
        <v>2797</v>
      </c>
      <c r="B3142" s="399" t="s">
        <v>1412</v>
      </c>
      <c r="C3142" s="399" t="s">
        <v>184</v>
      </c>
      <c r="D3142" s="399">
        <v>4623</v>
      </c>
      <c r="E3142" s="399" t="s">
        <v>3663</v>
      </c>
      <c r="F3142" s="399" t="s">
        <v>3664</v>
      </c>
      <c r="G3142" s="399" t="s">
        <v>2221</v>
      </c>
      <c r="H3142" s="1235"/>
    </row>
    <row r="3143" spans="1:8" hidden="1">
      <c r="A3143" s="551" t="s">
        <v>2797</v>
      </c>
      <c r="B3143" s="399" t="s">
        <v>1412</v>
      </c>
      <c r="C3143" s="399" t="s">
        <v>184</v>
      </c>
      <c r="D3143" s="399">
        <v>4624</v>
      </c>
      <c r="E3143" s="399" t="s">
        <v>3665</v>
      </c>
      <c r="F3143" s="399" t="s">
        <v>3666</v>
      </c>
      <c r="G3143" s="399" t="s">
        <v>2221</v>
      </c>
      <c r="H3143" s="1235"/>
    </row>
    <row r="3144" spans="1:8" hidden="1">
      <c r="A3144" s="551" t="s">
        <v>2797</v>
      </c>
      <c r="B3144" s="399" t="s">
        <v>1412</v>
      </c>
      <c r="C3144" s="399" t="s">
        <v>184</v>
      </c>
      <c r="D3144" s="399">
        <v>4630</v>
      </c>
      <c r="E3144" s="399" t="s">
        <v>3667</v>
      </c>
      <c r="F3144" s="399" t="s">
        <v>3668</v>
      </c>
      <c r="G3144" s="399" t="s">
        <v>2221</v>
      </c>
      <c r="H3144" s="1235"/>
    </row>
    <row r="3145" spans="1:8" hidden="1">
      <c r="A3145" s="551" t="s">
        <v>2797</v>
      </c>
      <c r="B3145" s="399" t="s">
        <v>1412</v>
      </c>
      <c r="C3145" s="399" t="s">
        <v>184</v>
      </c>
      <c r="D3145" s="399">
        <v>4631</v>
      </c>
      <c r="E3145" s="399" t="s">
        <v>3669</v>
      </c>
      <c r="F3145" s="399" t="s">
        <v>3670</v>
      </c>
      <c r="G3145" s="399" t="s">
        <v>2221</v>
      </c>
      <c r="H3145" s="1235"/>
    </row>
    <row r="3146" spans="1:8" hidden="1">
      <c r="A3146" s="551" t="s">
        <v>2797</v>
      </c>
      <c r="B3146" s="399" t="s">
        <v>1412</v>
      </c>
      <c r="C3146" s="399" t="s">
        <v>184</v>
      </c>
      <c r="D3146" s="399">
        <v>4632</v>
      </c>
      <c r="E3146" s="399" t="s">
        <v>3671</v>
      </c>
      <c r="F3146" s="399" t="s">
        <v>3672</v>
      </c>
      <c r="G3146" s="399" t="s">
        <v>2221</v>
      </c>
      <c r="H3146" s="1235"/>
    </row>
    <row r="3147" spans="1:8" hidden="1">
      <c r="A3147" s="551" t="s">
        <v>2797</v>
      </c>
      <c r="B3147" s="399" t="s">
        <v>1412</v>
      </c>
      <c r="C3147" s="399" t="s">
        <v>184</v>
      </c>
      <c r="D3147" s="399">
        <v>4633</v>
      </c>
      <c r="E3147" s="399" t="s">
        <v>3673</v>
      </c>
      <c r="F3147" s="399" t="s">
        <v>3674</v>
      </c>
      <c r="G3147" s="399" t="s">
        <v>2221</v>
      </c>
      <c r="H3147" s="1235"/>
    </row>
    <row r="3148" spans="1:8" hidden="1">
      <c r="A3148" s="551" t="s">
        <v>2797</v>
      </c>
      <c r="B3148" s="399" t="s">
        <v>1412</v>
      </c>
      <c r="C3148" s="399" t="s">
        <v>184</v>
      </c>
      <c r="D3148" s="399">
        <v>4634</v>
      </c>
      <c r="E3148" s="399" t="s">
        <v>3675</v>
      </c>
      <c r="F3148" s="399" t="s">
        <v>3676</v>
      </c>
      <c r="G3148" s="399" t="s">
        <v>2221</v>
      </c>
      <c r="H3148" s="1235"/>
    </row>
    <row r="3149" spans="1:8" hidden="1">
      <c r="A3149" s="551" t="s">
        <v>2797</v>
      </c>
      <c r="B3149" s="399" t="s">
        <v>1412</v>
      </c>
      <c r="C3149" s="399" t="s">
        <v>184</v>
      </c>
      <c r="D3149" s="399">
        <v>4635</v>
      </c>
      <c r="E3149" s="399" t="s">
        <v>3677</v>
      </c>
      <c r="F3149" s="399" t="s">
        <v>3678</v>
      </c>
      <c r="G3149" s="399" t="s">
        <v>2221</v>
      </c>
      <c r="H3149" s="1235"/>
    </row>
    <row r="3150" spans="1:8" hidden="1">
      <c r="A3150" s="551" t="s">
        <v>2797</v>
      </c>
      <c r="B3150" s="399" t="s">
        <v>1412</v>
      </c>
      <c r="C3150" s="399" t="s">
        <v>184</v>
      </c>
      <c r="D3150" s="399">
        <v>4636</v>
      </c>
      <c r="E3150" s="399" t="s">
        <v>3679</v>
      </c>
      <c r="F3150" s="399" t="s">
        <v>3680</v>
      </c>
      <c r="G3150" s="399" t="s">
        <v>2221</v>
      </c>
      <c r="H3150" s="1235"/>
    </row>
    <row r="3151" spans="1:8" hidden="1">
      <c r="A3151" s="551" t="s">
        <v>2797</v>
      </c>
      <c r="B3151" s="399" t="s">
        <v>1412</v>
      </c>
      <c r="C3151" s="399" t="s">
        <v>184</v>
      </c>
      <c r="D3151" s="399">
        <v>4637</v>
      </c>
      <c r="E3151" s="399" t="s">
        <v>3681</v>
      </c>
      <c r="F3151" s="399" t="s">
        <v>3682</v>
      </c>
      <c r="G3151" s="399" t="s">
        <v>2221</v>
      </c>
      <c r="H3151" s="1235"/>
    </row>
    <row r="3152" spans="1:8" hidden="1">
      <c r="A3152" s="551" t="s">
        <v>2797</v>
      </c>
      <c r="B3152" s="399" t="s">
        <v>1412</v>
      </c>
      <c r="C3152" s="399" t="s">
        <v>184</v>
      </c>
      <c r="D3152" s="399">
        <v>4638</v>
      </c>
      <c r="E3152" s="399" t="s">
        <v>3683</v>
      </c>
      <c r="F3152" s="399" t="s">
        <v>3684</v>
      </c>
      <c r="G3152" s="399" t="s">
        <v>2221</v>
      </c>
      <c r="H3152" s="1235"/>
    </row>
    <row r="3153" spans="1:8" hidden="1">
      <c r="A3153" s="551" t="s">
        <v>2797</v>
      </c>
      <c r="B3153" s="399" t="s">
        <v>1412</v>
      </c>
      <c r="C3153" s="399" t="s">
        <v>184</v>
      </c>
      <c r="D3153" s="399">
        <v>4639</v>
      </c>
      <c r="E3153" s="399" t="s">
        <v>3685</v>
      </c>
      <c r="F3153" s="399" t="s">
        <v>3686</v>
      </c>
      <c r="G3153" s="399" t="s">
        <v>2221</v>
      </c>
      <c r="H3153" s="1235"/>
    </row>
    <row r="3154" spans="1:8" hidden="1">
      <c r="A3154" s="551" t="s">
        <v>2797</v>
      </c>
      <c r="B3154" s="399" t="s">
        <v>1412</v>
      </c>
      <c r="C3154" s="399" t="s">
        <v>184</v>
      </c>
      <c r="D3154" s="399">
        <v>4640</v>
      </c>
      <c r="E3154" s="399" t="s">
        <v>3687</v>
      </c>
      <c r="F3154" s="399" t="s">
        <v>3688</v>
      </c>
      <c r="G3154" s="399" t="s">
        <v>2221</v>
      </c>
      <c r="H3154" s="1235"/>
    </row>
    <row r="3155" spans="1:8" hidden="1">
      <c r="A3155" s="551" t="s">
        <v>2797</v>
      </c>
      <c r="B3155" s="399" t="s">
        <v>1412</v>
      </c>
      <c r="C3155" s="399" t="s">
        <v>184</v>
      </c>
      <c r="D3155" s="399">
        <v>4641</v>
      </c>
      <c r="E3155" s="399" t="s">
        <v>3689</v>
      </c>
      <c r="F3155" s="399" t="s">
        <v>3690</v>
      </c>
      <c r="G3155" s="399" t="s">
        <v>2221</v>
      </c>
      <c r="H3155" s="1235"/>
    </row>
    <row r="3156" spans="1:8" hidden="1">
      <c r="A3156" s="551" t="s">
        <v>2797</v>
      </c>
      <c r="B3156" s="399" t="s">
        <v>1412</v>
      </c>
      <c r="C3156" s="399" t="s">
        <v>184</v>
      </c>
      <c r="D3156" s="399">
        <v>4642</v>
      </c>
      <c r="E3156" s="399" t="s">
        <v>3691</v>
      </c>
      <c r="F3156" s="399" t="s">
        <v>3692</v>
      </c>
      <c r="G3156" s="399" t="s">
        <v>2221</v>
      </c>
      <c r="H3156" s="1235"/>
    </row>
    <row r="3157" spans="1:8" hidden="1">
      <c r="A3157" s="551" t="s">
        <v>2797</v>
      </c>
      <c r="B3157" s="399" t="s">
        <v>1412</v>
      </c>
      <c r="C3157" s="399" t="s">
        <v>184</v>
      </c>
      <c r="D3157" s="399">
        <v>4643</v>
      </c>
      <c r="E3157" s="399" t="s">
        <v>3693</v>
      </c>
      <c r="F3157" s="399" t="s">
        <v>3694</v>
      </c>
      <c r="G3157" s="399" t="s">
        <v>2221</v>
      </c>
      <c r="H3157" s="1235"/>
    </row>
    <row r="3158" spans="1:8" hidden="1">
      <c r="A3158" s="551" t="s">
        <v>2797</v>
      </c>
      <c r="B3158" s="399" t="s">
        <v>1412</v>
      </c>
      <c r="C3158" s="399" t="s">
        <v>184</v>
      </c>
      <c r="D3158" s="399">
        <v>4644</v>
      </c>
      <c r="E3158" s="399" t="s">
        <v>3695</v>
      </c>
      <c r="F3158" s="399" t="s">
        <v>3696</v>
      </c>
      <c r="G3158" s="399" t="s">
        <v>2221</v>
      </c>
      <c r="H3158" s="1235"/>
    </row>
    <row r="3159" spans="1:8" hidden="1">
      <c r="A3159" s="551" t="s">
        <v>2797</v>
      </c>
      <c r="B3159" s="399" t="s">
        <v>1412</v>
      </c>
      <c r="C3159" s="399" t="s">
        <v>184</v>
      </c>
      <c r="D3159" s="399">
        <v>4645</v>
      </c>
      <c r="E3159" s="399" t="s">
        <v>3697</v>
      </c>
      <c r="F3159" s="399" t="s">
        <v>3698</v>
      </c>
      <c r="G3159" s="399" t="s">
        <v>2221</v>
      </c>
      <c r="H3159" s="1235"/>
    </row>
    <row r="3160" spans="1:8" hidden="1">
      <c r="A3160" s="551" t="s">
        <v>2797</v>
      </c>
      <c r="B3160" s="399" t="s">
        <v>1412</v>
      </c>
      <c r="C3160" s="399" t="s">
        <v>184</v>
      </c>
      <c r="D3160" s="399">
        <v>4646</v>
      </c>
      <c r="E3160" s="399" t="s">
        <v>3699</v>
      </c>
      <c r="F3160" s="399" t="s">
        <v>3700</v>
      </c>
      <c r="G3160" s="399" t="s">
        <v>2221</v>
      </c>
      <c r="H3160" s="1235"/>
    </row>
    <row r="3161" spans="1:8" hidden="1">
      <c r="A3161" s="551" t="s">
        <v>2797</v>
      </c>
      <c r="B3161" s="399" t="s">
        <v>1412</v>
      </c>
      <c r="C3161" s="399" t="s">
        <v>184</v>
      </c>
      <c r="D3161" s="399">
        <v>4647</v>
      </c>
      <c r="E3161" s="399" t="s">
        <v>3701</v>
      </c>
      <c r="F3161" s="399" t="s">
        <v>3702</v>
      </c>
      <c r="G3161" s="399" t="s">
        <v>2221</v>
      </c>
      <c r="H3161" s="1235"/>
    </row>
    <row r="3162" spans="1:8" hidden="1">
      <c r="A3162" s="551" t="s">
        <v>2797</v>
      </c>
      <c r="B3162" s="399" t="s">
        <v>1412</v>
      </c>
      <c r="C3162" s="399" t="s">
        <v>184</v>
      </c>
      <c r="D3162" s="399">
        <v>4648</v>
      </c>
      <c r="E3162" s="399" t="s">
        <v>3703</v>
      </c>
      <c r="F3162" s="399" t="s">
        <v>3704</v>
      </c>
      <c r="G3162" s="399" t="s">
        <v>2221</v>
      </c>
      <c r="H3162" s="1235"/>
    </row>
    <row r="3163" spans="1:8" hidden="1">
      <c r="A3163" s="551" t="s">
        <v>2797</v>
      </c>
      <c r="B3163" s="399" t="s">
        <v>1412</v>
      </c>
      <c r="C3163" s="399" t="s">
        <v>184</v>
      </c>
      <c r="D3163" s="399">
        <v>4649</v>
      </c>
      <c r="E3163" s="399" t="s">
        <v>3705</v>
      </c>
      <c r="F3163" s="399" t="s">
        <v>3706</v>
      </c>
      <c r="G3163" s="399" t="s">
        <v>2221</v>
      </c>
      <c r="H3163" s="1235"/>
    </row>
    <row r="3164" spans="1:8" hidden="1">
      <c r="A3164" s="551" t="s">
        <v>2797</v>
      </c>
      <c r="B3164" s="399" t="s">
        <v>1412</v>
      </c>
      <c r="C3164" s="399" t="s">
        <v>184</v>
      </c>
      <c r="D3164" s="399">
        <v>4650</v>
      </c>
      <c r="E3164" s="399" t="s">
        <v>3707</v>
      </c>
      <c r="F3164" s="399" t="s">
        <v>3708</v>
      </c>
      <c r="G3164" s="399" t="s">
        <v>2221</v>
      </c>
      <c r="H3164" s="1235"/>
    </row>
    <row r="3165" spans="1:8" hidden="1">
      <c r="A3165" s="551" t="s">
        <v>2797</v>
      </c>
      <c r="B3165" s="399" t="s">
        <v>1412</v>
      </c>
      <c r="C3165" s="399" t="s">
        <v>184</v>
      </c>
      <c r="D3165" s="399">
        <v>4651</v>
      </c>
      <c r="E3165" s="399" t="s">
        <v>3709</v>
      </c>
      <c r="F3165" s="399" t="s">
        <v>3710</v>
      </c>
      <c r="G3165" s="399" t="s">
        <v>2221</v>
      </c>
      <c r="H3165" s="1235"/>
    </row>
    <row r="3166" spans="1:8" hidden="1">
      <c r="A3166" s="551" t="s">
        <v>2797</v>
      </c>
      <c r="B3166" s="399" t="s">
        <v>1412</v>
      </c>
      <c r="C3166" s="399" t="s">
        <v>184</v>
      </c>
      <c r="D3166" s="399">
        <v>4652</v>
      </c>
      <c r="E3166" s="399" t="s">
        <v>3711</v>
      </c>
      <c r="F3166" s="399" t="s">
        <v>3712</v>
      </c>
      <c r="G3166" s="399" t="s">
        <v>2221</v>
      </c>
      <c r="H3166" s="1235"/>
    </row>
    <row r="3167" spans="1:8" hidden="1">
      <c r="A3167" s="551" t="s">
        <v>2797</v>
      </c>
      <c r="B3167" s="399" t="s">
        <v>1412</v>
      </c>
      <c r="C3167" s="399" t="s">
        <v>184</v>
      </c>
      <c r="D3167" s="399">
        <v>4660</v>
      </c>
      <c r="E3167" s="399" t="s">
        <v>3713</v>
      </c>
      <c r="F3167" s="399" t="s">
        <v>3714</v>
      </c>
      <c r="G3167" s="399" t="s">
        <v>2221</v>
      </c>
      <c r="H3167" s="1235"/>
    </row>
    <row r="3168" spans="1:8" hidden="1">
      <c r="A3168" s="551" t="s">
        <v>2797</v>
      </c>
      <c r="B3168" s="399" t="s">
        <v>1412</v>
      </c>
      <c r="C3168" s="399" t="s">
        <v>184</v>
      </c>
      <c r="D3168" s="399">
        <v>4661</v>
      </c>
      <c r="E3168" s="399" t="s">
        <v>3715</v>
      </c>
      <c r="F3168" s="399" t="s">
        <v>3716</v>
      </c>
      <c r="G3168" s="399" t="s">
        <v>2221</v>
      </c>
      <c r="H3168" s="1235"/>
    </row>
    <row r="3169" spans="1:8" hidden="1">
      <c r="A3169" s="551" t="s">
        <v>2797</v>
      </c>
      <c r="B3169" s="399" t="s">
        <v>1412</v>
      </c>
      <c r="C3169" s="399" t="s">
        <v>184</v>
      </c>
      <c r="D3169" s="399">
        <v>4662</v>
      </c>
      <c r="E3169" s="399" t="s">
        <v>3717</v>
      </c>
      <c r="F3169" s="399" t="s">
        <v>3718</v>
      </c>
      <c r="G3169" s="399" t="s">
        <v>2221</v>
      </c>
      <c r="H3169" s="1235"/>
    </row>
    <row r="3170" spans="1:8" hidden="1">
      <c r="A3170" s="551" t="s">
        <v>2797</v>
      </c>
      <c r="B3170" s="399" t="s">
        <v>1412</v>
      </c>
      <c r="C3170" s="399" t="s">
        <v>184</v>
      </c>
      <c r="D3170" s="399">
        <v>4663</v>
      </c>
      <c r="E3170" s="399" t="s">
        <v>3719</v>
      </c>
      <c r="F3170" s="399" t="s">
        <v>3720</v>
      </c>
      <c r="G3170" s="399" t="s">
        <v>2221</v>
      </c>
      <c r="H3170" s="1235"/>
    </row>
    <row r="3171" spans="1:8" hidden="1">
      <c r="A3171" s="551" t="s">
        <v>2797</v>
      </c>
      <c r="B3171" s="399" t="s">
        <v>1412</v>
      </c>
      <c r="C3171" s="399" t="s">
        <v>184</v>
      </c>
      <c r="D3171" s="399">
        <v>4664</v>
      </c>
      <c r="E3171" s="399" t="s">
        <v>3721</v>
      </c>
      <c r="F3171" s="399" t="s">
        <v>3722</v>
      </c>
      <c r="G3171" s="399" t="s">
        <v>2221</v>
      </c>
      <c r="H3171" s="1235"/>
    </row>
    <row r="3172" spans="1:8" hidden="1">
      <c r="A3172" s="551" t="s">
        <v>2797</v>
      </c>
      <c r="B3172" s="399" t="s">
        <v>1412</v>
      </c>
      <c r="C3172" s="399" t="s">
        <v>184</v>
      </c>
      <c r="D3172" s="399">
        <v>4665</v>
      </c>
      <c r="E3172" s="399" t="s">
        <v>3723</v>
      </c>
      <c r="F3172" s="399" t="s">
        <v>3724</v>
      </c>
      <c r="G3172" s="399" t="s">
        <v>2221</v>
      </c>
      <c r="H3172" s="1235"/>
    </row>
    <row r="3173" spans="1:8" hidden="1">
      <c r="A3173" s="551" t="s">
        <v>2797</v>
      </c>
      <c r="B3173" s="399" t="s">
        <v>1412</v>
      </c>
      <c r="C3173" s="399" t="s">
        <v>184</v>
      </c>
      <c r="D3173" s="399">
        <v>4666</v>
      </c>
      <c r="E3173" s="399" t="s">
        <v>3725</v>
      </c>
      <c r="F3173" s="399" t="s">
        <v>3726</v>
      </c>
      <c r="G3173" s="399" t="s">
        <v>2221</v>
      </c>
      <c r="H3173" s="1235"/>
    </row>
    <row r="3174" spans="1:8" hidden="1">
      <c r="A3174" s="551" t="s">
        <v>2797</v>
      </c>
      <c r="B3174" s="399" t="s">
        <v>1412</v>
      </c>
      <c r="C3174" s="399" t="s">
        <v>184</v>
      </c>
      <c r="D3174" s="399">
        <v>4669</v>
      </c>
      <c r="E3174" s="399" t="s">
        <v>3727</v>
      </c>
      <c r="F3174" s="399" t="s">
        <v>3728</v>
      </c>
      <c r="G3174" s="399" t="s">
        <v>2221</v>
      </c>
      <c r="H3174" s="1235"/>
    </row>
    <row r="3175" spans="1:8" hidden="1">
      <c r="A3175" s="551" t="s">
        <v>2797</v>
      </c>
      <c r="B3175" s="399" t="s">
        <v>1412</v>
      </c>
      <c r="C3175" s="399" t="s">
        <v>184</v>
      </c>
      <c r="D3175" s="399">
        <v>4670</v>
      </c>
      <c r="E3175" s="399" t="s">
        <v>3729</v>
      </c>
      <c r="F3175" s="399" t="s">
        <v>3730</v>
      </c>
      <c r="G3175" s="399" t="s">
        <v>2221</v>
      </c>
      <c r="H3175" s="1235"/>
    </row>
    <row r="3176" spans="1:8" hidden="1">
      <c r="A3176" s="551" t="s">
        <v>2797</v>
      </c>
      <c r="B3176" s="399" t="s">
        <v>1412</v>
      </c>
      <c r="C3176" s="399" t="s">
        <v>184</v>
      </c>
      <c r="D3176" s="399">
        <v>4671</v>
      </c>
      <c r="E3176" s="399" t="s">
        <v>3731</v>
      </c>
      <c r="F3176" s="399" t="s">
        <v>3732</v>
      </c>
      <c r="G3176" s="399" t="s">
        <v>2221</v>
      </c>
      <c r="H3176" s="1235"/>
    </row>
    <row r="3177" spans="1:8" hidden="1">
      <c r="A3177" s="551" t="s">
        <v>2797</v>
      </c>
      <c r="B3177" s="399" t="s">
        <v>1412</v>
      </c>
      <c r="C3177" s="399" t="s">
        <v>184</v>
      </c>
      <c r="D3177" s="399">
        <v>4672</v>
      </c>
      <c r="E3177" s="399" t="s">
        <v>3733</v>
      </c>
      <c r="F3177" s="399" t="s">
        <v>3734</v>
      </c>
      <c r="G3177" s="399" t="s">
        <v>2221</v>
      </c>
      <c r="H3177" s="1235"/>
    </row>
    <row r="3178" spans="1:8" hidden="1">
      <c r="A3178" s="551" t="s">
        <v>2797</v>
      </c>
      <c r="B3178" s="399" t="s">
        <v>1412</v>
      </c>
      <c r="C3178" s="399" t="s">
        <v>184</v>
      </c>
      <c r="D3178" s="399">
        <v>4673</v>
      </c>
      <c r="E3178" s="399" t="s">
        <v>3735</v>
      </c>
      <c r="F3178" s="399" t="s">
        <v>3736</v>
      </c>
      <c r="G3178" s="399" t="s">
        <v>2221</v>
      </c>
      <c r="H3178" s="1235"/>
    </row>
    <row r="3179" spans="1:8" hidden="1">
      <c r="A3179" s="551" t="s">
        <v>2797</v>
      </c>
      <c r="B3179" s="399" t="s">
        <v>1412</v>
      </c>
      <c r="C3179" s="399" t="s">
        <v>184</v>
      </c>
      <c r="D3179" s="399">
        <v>4674</v>
      </c>
      <c r="E3179" s="399" t="s">
        <v>3737</v>
      </c>
      <c r="F3179" s="399" t="s">
        <v>3738</v>
      </c>
      <c r="G3179" s="399" t="s">
        <v>2221</v>
      </c>
      <c r="H3179" s="1235"/>
    </row>
    <row r="3180" spans="1:8" hidden="1">
      <c r="A3180" s="551" t="s">
        <v>2797</v>
      </c>
      <c r="B3180" s="399" t="s">
        <v>1412</v>
      </c>
      <c r="C3180" s="399" t="s">
        <v>184</v>
      </c>
      <c r="D3180" s="399">
        <v>4675</v>
      </c>
      <c r="E3180" s="399" t="s">
        <v>3739</v>
      </c>
      <c r="F3180" s="399" t="s">
        <v>3740</v>
      </c>
      <c r="G3180" s="399" t="s">
        <v>2221</v>
      </c>
      <c r="H3180" s="1235"/>
    </row>
    <row r="3181" spans="1:8" hidden="1">
      <c r="A3181" s="551" t="s">
        <v>2797</v>
      </c>
      <c r="B3181" s="399" t="s">
        <v>1412</v>
      </c>
      <c r="C3181" s="399" t="s">
        <v>184</v>
      </c>
      <c r="D3181" s="399">
        <v>4676</v>
      </c>
      <c r="E3181" s="399" t="s">
        <v>3741</v>
      </c>
      <c r="F3181" s="399" t="s">
        <v>3742</v>
      </c>
      <c r="G3181" s="399" t="s">
        <v>2221</v>
      </c>
      <c r="H3181" s="1235"/>
    </row>
    <row r="3182" spans="1:8" hidden="1">
      <c r="A3182" s="551" t="s">
        <v>2797</v>
      </c>
      <c r="B3182" s="399" t="s">
        <v>1412</v>
      </c>
      <c r="C3182" s="399" t="s">
        <v>184</v>
      </c>
      <c r="D3182" s="399">
        <v>4677</v>
      </c>
      <c r="E3182" s="399" t="s">
        <v>3743</v>
      </c>
      <c r="F3182" s="399" t="s">
        <v>3744</v>
      </c>
      <c r="G3182" s="399" t="s">
        <v>2221</v>
      </c>
      <c r="H3182" s="1235"/>
    </row>
    <row r="3183" spans="1:8" hidden="1">
      <c r="A3183" s="551" t="s">
        <v>2797</v>
      </c>
      <c r="B3183" s="399" t="s">
        <v>1412</v>
      </c>
      <c r="C3183" s="399" t="s">
        <v>184</v>
      </c>
      <c r="D3183" s="399">
        <v>4690</v>
      </c>
      <c r="E3183" s="399" t="s">
        <v>3745</v>
      </c>
      <c r="F3183" s="399" t="s">
        <v>3746</v>
      </c>
      <c r="G3183" s="399" t="s">
        <v>2221</v>
      </c>
      <c r="H3183" s="1235"/>
    </row>
    <row r="3184" spans="1:8" hidden="1">
      <c r="A3184" s="551" t="s">
        <v>2797</v>
      </c>
      <c r="B3184" s="399" t="s">
        <v>1412</v>
      </c>
      <c r="C3184" s="399" t="s">
        <v>184</v>
      </c>
      <c r="D3184" s="399">
        <v>4700</v>
      </c>
      <c r="E3184" s="399">
        <v>47</v>
      </c>
      <c r="F3184" s="399" t="s">
        <v>3747</v>
      </c>
      <c r="G3184" s="399" t="s">
        <v>2221</v>
      </c>
      <c r="H3184" s="1235"/>
    </row>
    <row r="3185" spans="1:8" hidden="1">
      <c r="A3185" s="551" t="s">
        <v>2797</v>
      </c>
      <c r="B3185" s="399" t="s">
        <v>1412</v>
      </c>
      <c r="C3185" s="399" t="s">
        <v>184</v>
      </c>
      <c r="D3185" s="399">
        <v>4710</v>
      </c>
      <c r="E3185" s="399" t="s">
        <v>3748</v>
      </c>
      <c r="F3185" s="399" t="s">
        <v>3749</v>
      </c>
      <c r="G3185" s="399" t="s">
        <v>2221</v>
      </c>
      <c r="H3185" s="1235"/>
    </row>
    <row r="3186" spans="1:8" hidden="1">
      <c r="A3186" s="551" t="s">
        <v>2797</v>
      </c>
      <c r="B3186" s="399" t="s">
        <v>1412</v>
      </c>
      <c r="C3186" s="399" t="s">
        <v>184</v>
      </c>
      <c r="D3186" s="399">
        <v>4711</v>
      </c>
      <c r="E3186" s="399" t="s">
        <v>3750</v>
      </c>
      <c r="F3186" s="399" t="s">
        <v>3751</v>
      </c>
      <c r="G3186" s="399" t="s">
        <v>2221</v>
      </c>
      <c r="H3186" s="1235"/>
    </row>
    <row r="3187" spans="1:8" hidden="1">
      <c r="A3187" s="551" t="s">
        <v>2797</v>
      </c>
      <c r="B3187" s="399" t="s">
        <v>1412</v>
      </c>
      <c r="C3187" s="399" t="s">
        <v>184</v>
      </c>
      <c r="D3187" s="399">
        <v>4719</v>
      </c>
      <c r="E3187" s="399" t="s">
        <v>3752</v>
      </c>
      <c r="F3187" s="399" t="s">
        <v>3753</v>
      </c>
      <c r="G3187" s="399" t="s">
        <v>2221</v>
      </c>
      <c r="H3187" s="1235"/>
    </row>
    <row r="3188" spans="1:8" hidden="1">
      <c r="A3188" s="551" t="s">
        <v>2797</v>
      </c>
      <c r="B3188" s="399" t="s">
        <v>1412</v>
      </c>
      <c r="C3188" s="399" t="s">
        <v>184</v>
      </c>
      <c r="D3188" s="399">
        <v>4720</v>
      </c>
      <c r="E3188" s="399" t="s">
        <v>3754</v>
      </c>
      <c r="F3188" s="399" t="s">
        <v>3755</v>
      </c>
      <c r="G3188" s="399" t="s">
        <v>2221</v>
      </c>
      <c r="H3188" s="1235"/>
    </row>
    <row r="3189" spans="1:8" hidden="1">
      <c r="A3189" s="551" t="s">
        <v>2797</v>
      </c>
      <c r="B3189" s="399" t="s">
        <v>1412</v>
      </c>
      <c r="C3189" s="399" t="s">
        <v>184</v>
      </c>
      <c r="D3189" s="399">
        <v>4721</v>
      </c>
      <c r="E3189" s="399" t="s">
        <v>3756</v>
      </c>
      <c r="F3189" s="399" t="s">
        <v>3757</v>
      </c>
      <c r="G3189" s="399" t="s">
        <v>2221</v>
      </c>
      <c r="H3189" s="1235"/>
    </row>
    <row r="3190" spans="1:8" hidden="1">
      <c r="A3190" s="551" t="s">
        <v>2797</v>
      </c>
      <c r="B3190" s="399" t="s">
        <v>1412</v>
      </c>
      <c r="C3190" s="399" t="s">
        <v>184</v>
      </c>
      <c r="D3190" s="399">
        <v>4722</v>
      </c>
      <c r="E3190" s="399" t="s">
        <v>3758</v>
      </c>
      <c r="F3190" s="399" t="s">
        <v>3759</v>
      </c>
      <c r="G3190" s="399" t="s">
        <v>2221</v>
      </c>
      <c r="H3190" s="1235"/>
    </row>
    <row r="3191" spans="1:8" hidden="1">
      <c r="A3191" s="551" t="s">
        <v>2797</v>
      </c>
      <c r="B3191" s="399" t="s">
        <v>1412</v>
      </c>
      <c r="C3191" s="399" t="s">
        <v>184</v>
      </c>
      <c r="D3191" s="399">
        <v>4723</v>
      </c>
      <c r="E3191" s="399" t="s">
        <v>3760</v>
      </c>
      <c r="F3191" s="399" t="s">
        <v>3761</v>
      </c>
      <c r="G3191" s="399" t="s">
        <v>2221</v>
      </c>
      <c r="H3191" s="1235"/>
    </row>
    <row r="3192" spans="1:8" hidden="1">
      <c r="A3192" s="551" t="s">
        <v>2797</v>
      </c>
      <c r="B3192" s="399" t="s">
        <v>1412</v>
      </c>
      <c r="C3192" s="399" t="s">
        <v>184</v>
      </c>
      <c r="D3192" s="399">
        <v>4724</v>
      </c>
      <c r="E3192" s="399" t="s">
        <v>3762</v>
      </c>
      <c r="F3192" s="399" t="s">
        <v>3763</v>
      </c>
      <c r="G3192" s="399" t="s">
        <v>2221</v>
      </c>
      <c r="H3192" s="1235"/>
    </row>
    <row r="3193" spans="1:8" hidden="1">
      <c r="A3193" s="551" t="s">
        <v>2797</v>
      </c>
      <c r="B3193" s="399" t="s">
        <v>1412</v>
      </c>
      <c r="C3193" s="399" t="s">
        <v>184</v>
      </c>
      <c r="D3193" s="399">
        <v>4725</v>
      </c>
      <c r="E3193" s="399" t="s">
        <v>3764</v>
      </c>
      <c r="F3193" s="399" t="s">
        <v>3765</v>
      </c>
      <c r="G3193" s="399" t="s">
        <v>2221</v>
      </c>
      <c r="H3193" s="1235"/>
    </row>
    <row r="3194" spans="1:8" hidden="1">
      <c r="A3194" s="551" t="s">
        <v>2797</v>
      </c>
      <c r="B3194" s="399" t="s">
        <v>1412</v>
      </c>
      <c r="C3194" s="399" t="s">
        <v>184</v>
      </c>
      <c r="D3194" s="399">
        <v>4726</v>
      </c>
      <c r="E3194" s="399" t="s">
        <v>3766</v>
      </c>
      <c r="F3194" s="399" t="s">
        <v>3767</v>
      </c>
      <c r="G3194" s="399" t="s">
        <v>2221</v>
      </c>
      <c r="H3194" s="1235"/>
    </row>
    <row r="3195" spans="1:8" hidden="1">
      <c r="A3195" s="551" t="s">
        <v>2797</v>
      </c>
      <c r="B3195" s="399" t="s">
        <v>1412</v>
      </c>
      <c r="C3195" s="399" t="s">
        <v>184</v>
      </c>
      <c r="D3195" s="399">
        <v>4729</v>
      </c>
      <c r="E3195" s="399" t="s">
        <v>3768</v>
      </c>
      <c r="F3195" s="399" t="s">
        <v>3769</v>
      </c>
      <c r="G3195" s="399" t="s">
        <v>2221</v>
      </c>
      <c r="H3195" s="1235"/>
    </row>
    <row r="3196" spans="1:8" hidden="1">
      <c r="A3196" s="551" t="s">
        <v>2797</v>
      </c>
      <c r="B3196" s="399" t="s">
        <v>1412</v>
      </c>
      <c r="C3196" s="399" t="s">
        <v>184</v>
      </c>
      <c r="D3196" s="399">
        <v>4730</v>
      </c>
      <c r="E3196" s="399" t="s">
        <v>3770</v>
      </c>
      <c r="F3196" s="399" t="s">
        <v>3771</v>
      </c>
      <c r="G3196" s="399" t="s">
        <v>2221</v>
      </c>
      <c r="H3196" s="1235"/>
    </row>
    <row r="3197" spans="1:8" hidden="1">
      <c r="A3197" s="551" t="s">
        <v>2797</v>
      </c>
      <c r="B3197" s="399" t="s">
        <v>1412</v>
      </c>
      <c r="C3197" s="399" t="s">
        <v>184</v>
      </c>
      <c r="D3197" s="399">
        <v>4740</v>
      </c>
      <c r="E3197" s="399" t="s">
        <v>3772</v>
      </c>
      <c r="F3197" s="399" t="s">
        <v>3773</v>
      </c>
      <c r="G3197" s="399" t="s">
        <v>2221</v>
      </c>
      <c r="H3197" s="1235"/>
    </row>
    <row r="3198" spans="1:8" hidden="1">
      <c r="A3198" s="551" t="s">
        <v>2797</v>
      </c>
      <c r="B3198" s="399" t="s">
        <v>1412</v>
      </c>
      <c r="C3198" s="399" t="s">
        <v>184</v>
      </c>
      <c r="D3198" s="399">
        <v>4741</v>
      </c>
      <c r="E3198" s="399" t="s">
        <v>3774</v>
      </c>
      <c r="F3198" s="399" t="s">
        <v>3775</v>
      </c>
      <c r="G3198" s="399" t="s">
        <v>2221</v>
      </c>
      <c r="H3198" s="1235"/>
    </row>
    <row r="3199" spans="1:8" hidden="1">
      <c r="A3199" s="551" t="s">
        <v>2797</v>
      </c>
      <c r="B3199" s="399" t="s">
        <v>1412</v>
      </c>
      <c r="C3199" s="399" t="s">
        <v>184</v>
      </c>
      <c r="D3199" s="399">
        <v>4742</v>
      </c>
      <c r="E3199" s="399" t="s">
        <v>3776</v>
      </c>
      <c r="F3199" s="399" t="s">
        <v>3777</v>
      </c>
      <c r="G3199" s="399" t="s">
        <v>2221</v>
      </c>
      <c r="H3199" s="1235"/>
    </row>
    <row r="3200" spans="1:8" hidden="1">
      <c r="A3200" s="551" t="s">
        <v>2797</v>
      </c>
      <c r="B3200" s="399" t="s">
        <v>1412</v>
      </c>
      <c r="C3200" s="399" t="s">
        <v>184</v>
      </c>
      <c r="D3200" s="399">
        <v>4743</v>
      </c>
      <c r="E3200" s="399" t="s">
        <v>3778</v>
      </c>
      <c r="F3200" s="399" t="s">
        <v>3779</v>
      </c>
      <c r="G3200" s="399" t="s">
        <v>2221</v>
      </c>
      <c r="H3200" s="1235"/>
    </row>
    <row r="3201" spans="1:8" hidden="1">
      <c r="A3201" s="551" t="s">
        <v>2797</v>
      </c>
      <c r="B3201" s="399" t="s">
        <v>1412</v>
      </c>
      <c r="C3201" s="399" t="s">
        <v>184</v>
      </c>
      <c r="D3201" s="399">
        <v>4750</v>
      </c>
      <c r="E3201" s="399" t="s">
        <v>3780</v>
      </c>
      <c r="F3201" s="399" t="s">
        <v>3781</v>
      </c>
      <c r="G3201" s="399" t="s">
        <v>2221</v>
      </c>
      <c r="H3201" s="1235"/>
    </row>
    <row r="3202" spans="1:8" hidden="1">
      <c r="A3202" s="551" t="s">
        <v>2797</v>
      </c>
      <c r="B3202" s="399" t="s">
        <v>1412</v>
      </c>
      <c r="C3202" s="399" t="s">
        <v>184</v>
      </c>
      <c r="D3202" s="399">
        <v>4751</v>
      </c>
      <c r="E3202" s="399" t="s">
        <v>3782</v>
      </c>
      <c r="F3202" s="399" t="s">
        <v>3783</v>
      </c>
      <c r="G3202" s="399" t="s">
        <v>2221</v>
      </c>
      <c r="H3202" s="1235"/>
    </row>
    <row r="3203" spans="1:8" hidden="1">
      <c r="A3203" s="551" t="s">
        <v>2797</v>
      </c>
      <c r="B3203" s="399" t="s">
        <v>1412</v>
      </c>
      <c r="C3203" s="399" t="s">
        <v>184</v>
      </c>
      <c r="D3203" s="399">
        <v>4752</v>
      </c>
      <c r="E3203" s="399" t="s">
        <v>3784</v>
      </c>
      <c r="F3203" s="399" t="s">
        <v>3785</v>
      </c>
      <c r="G3203" s="399" t="s">
        <v>2221</v>
      </c>
      <c r="H3203" s="1235"/>
    </row>
    <row r="3204" spans="1:8" hidden="1">
      <c r="A3204" s="551" t="s">
        <v>2797</v>
      </c>
      <c r="B3204" s="399" t="s">
        <v>1412</v>
      </c>
      <c r="C3204" s="399" t="s">
        <v>184</v>
      </c>
      <c r="D3204" s="399">
        <v>4753</v>
      </c>
      <c r="E3204" s="399" t="s">
        <v>3786</v>
      </c>
      <c r="F3204" s="399" t="s">
        <v>3787</v>
      </c>
      <c r="G3204" s="399" t="s">
        <v>2221</v>
      </c>
      <c r="H3204" s="1235"/>
    </row>
    <row r="3205" spans="1:8" hidden="1">
      <c r="A3205" s="551" t="s">
        <v>2797</v>
      </c>
      <c r="B3205" s="399" t="s">
        <v>1412</v>
      </c>
      <c r="C3205" s="399" t="s">
        <v>184</v>
      </c>
      <c r="D3205" s="399">
        <v>4754</v>
      </c>
      <c r="E3205" s="399" t="s">
        <v>3788</v>
      </c>
      <c r="F3205" s="399" t="s">
        <v>3789</v>
      </c>
      <c r="G3205" s="399" t="s">
        <v>2221</v>
      </c>
      <c r="H3205" s="1235"/>
    </row>
    <row r="3206" spans="1:8" hidden="1">
      <c r="A3206" s="551" t="s">
        <v>2797</v>
      </c>
      <c r="B3206" s="399" t="s">
        <v>1412</v>
      </c>
      <c r="C3206" s="399" t="s">
        <v>184</v>
      </c>
      <c r="D3206" s="399">
        <v>4759</v>
      </c>
      <c r="E3206" s="399" t="s">
        <v>3790</v>
      </c>
      <c r="F3206" s="399" t="s">
        <v>3791</v>
      </c>
      <c r="G3206" s="399" t="s">
        <v>2221</v>
      </c>
      <c r="H3206" s="1235"/>
    </row>
    <row r="3207" spans="1:8" hidden="1">
      <c r="A3207" s="551" t="s">
        <v>2797</v>
      </c>
      <c r="B3207" s="399" t="s">
        <v>1412</v>
      </c>
      <c r="C3207" s="399" t="s">
        <v>184</v>
      </c>
      <c r="D3207" s="399">
        <v>4760</v>
      </c>
      <c r="E3207" s="399" t="s">
        <v>3792</v>
      </c>
      <c r="F3207" s="399" t="s">
        <v>3793</v>
      </c>
      <c r="G3207" s="399" t="s">
        <v>2221</v>
      </c>
      <c r="H3207" s="1235"/>
    </row>
    <row r="3208" spans="1:8" hidden="1">
      <c r="A3208" s="551" t="s">
        <v>2797</v>
      </c>
      <c r="B3208" s="399" t="s">
        <v>1412</v>
      </c>
      <c r="C3208" s="399" t="s">
        <v>184</v>
      </c>
      <c r="D3208" s="399">
        <v>4761</v>
      </c>
      <c r="E3208" s="399" t="s">
        <v>3794</v>
      </c>
      <c r="F3208" s="399" t="s">
        <v>3795</v>
      </c>
      <c r="G3208" s="399" t="s">
        <v>2221</v>
      </c>
      <c r="H3208" s="1235"/>
    </row>
    <row r="3209" spans="1:8" hidden="1">
      <c r="A3209" s="551" t="s">
        <v>2797</v>
      </c>
      <c r="B3209" s="399" t="s">
        <v>1412</v>
      </c>
      <c r="C3209" s="399" t="s">
        <v>184</v>
      </c>
      <c r="D3209" s="399">
        <v>4762</v>
      </c>
      <c r="E3209" s="399" t="s">
        <v>3796</v>
      </c>
      <c r="F3209" s="399" t="s">
        <v>3797</v>
      </c>
      <c r="G3209" s="399" t="s">
        <v>2221</v>
      </c>
      <c r="H3209" s="1235"/>
    </row>
    <row r="3210" spans="1:8" hidden="1">
      <c r="A3210" s="551" t="s">
        <v>2797</v>
      </c>
      <c r="B3210" s="399" t="s">
        <v>1412</v>
      </c>
      <c r="C3210" s="399" t="s">
        <v>184</v>
      </c>
      <c r="D3210" s="399">
        <v>4763</v>
      </c>
      <c r="E3210" s="399" t="s">
        <v>3798</v>
      </c>
      <c r="F3210" s="399" t="s">
        <v>3799</v>
      </c>
      <c r="G3210" s="399" t="s">
        <v>2221</v>
      </c>
      <c r="H3210" s="1235"/>
    </row>
    <row r="3211" spans="1:8" hidden="1">
      <c r="A3211" s="551" t="s">
        <v>2797</v>
      </c>
      <c r="B3211" s="399" t="s">
        <v>1412</v>
      </c>
      <c r="C3211" s="399" t="s">
        <v>184</v>
      </c>
      <c r="D3211" s="399">
        <v>4764</v>
      </c>
      <c r="E3211" s="399" t="s">
        <v>3800</v>
      </c>
      <c r="F3211" s="399" t="s">
        <v>3801</v>
      </c>
      <c r="G3211" s="399" t="s">
        <v>2221</v>
      </c>
      <c r="H3211" s="1235"/>
    </row>
    <row r="3212" spans="1:8" hidden="1">
      <c r="A3212" s="551" t="s">
        <v>2797</v>
      </c>
      <c r="B3212" s="399" t="s">
        <v>1412</v>
      </c>
      <c r="C3212" s="399" t="s">
        <v>184</v>
      </c>
      <c r="D3212" s="399">
        <v>4765</v>
      </c>
      <c r="E3212" s="399" t="s">
        <v>3802</v>
      </c>
      <c r="F3212" s="399" t="s">
        <v>3803</v>
      </c>
      <c r="G3212" s="399" t="s">
        <v>2221</v>
      </c>
      <c r="H3212" s="1235"/>
    </row>
    <row r="3213" spans="1:8" hidden="1">
      <c r="A3213" s="551" t="s">
        <v>2797</v>
      </c>
      <c r="B3213" s="399" t="s">
        <v>1412</v>
      </c>
      <c r="C3213" s="399" t="s">
        <v>184</v>
      </c>
      <c r="D3213" s="399">
        <v>4770</v>
      </c>
      <c r="E3213" s="399" t="s">
        <v>3804</v>
      </c>
      <c r="F3213" s="399" t="s">
        <v>3805</v>
      </c>
      <c r="G3213" s="399" t="s">
        <v>2221</v>
      </c>
      <c r="H3213" s="1235"/>
    </row>
    <row r="3214" spans="1:8" hidden="1">
      <c r="A3214" s="551" t="s">
        <v>2797</v>
      </c>
      <c r="B3214" s="399" t="s">
        <v>1412</v>
      </c>
      <c r="C3214" s="399" t="s">
        <v>184</v>
      </c>
      <c r="D3214" s="399">
        <v>4771</v>
      </c>
      <c r="E3214" s="399" t="s">
        <v>3806</v>
      </c>
      <c r="F3214" s="399" t="s">
        <v>3807</v>
      </c>
      <c r="G3214" s="399" t="s">
        <v>2221</v>
      </c>
      <c r="H3214" s="1235"/>
    </row>
    <row r="3215" spans="1:8" hidden="1">
      <c r="A3215" s="551" t="s">
        <v>2797</v>
      </c>
      <c r="B3215" s="399" t="s">
        <v>1412</v>
      </c>
      <c r="C3215" s="399" t="s">
        <v>184</v>
      </c>
      <c r="D3215" s="399">
        <v>4772</v>
      </c>
      <c r="E3215" s="399" t="s">
        <v>3808</v>
      </c>
      <c r="F3215" s="399" t="s">
        <v>3809</v>
      </c>
      <c r="G3215" s="399" t="s">
        <v>2221</v>
      </c>
      <c r="H3215" s="1235"/>
    </row>
    <row r="3216" spans="1:8" hidden="1">
      <c r="A3216" s="551" t="s">
        <v>2797</v>
      </c>
      <c r="B3216" s="399" t="s">
        <v>1412</v>
      </c>
      <c r="C3216" s="399" t="s">
        <v>184</v>
      </c>
      <c r="D3216" s="399">
        <v>4773</v>
      </c>
      <c r="E3216" s="399" t="s">
        <v>3810</v>
      </c>
      <c r="F3216" s="399" t="s">
        <v>3811</v>
      </c>
      <c r="G3216" s="399" t="s">
        <v>2221</v>
      </c>
      <c r="H3216" s="1235"/>
    </row>
    <row r="3217" spans="1:8" hidden="1">
      <c r="A3217" s="551" t="s">
        <v>2797</v>
      </c>
      <c r="B3217" s="399" t="s">
        <v>1412</v>
      </c>
      <c r="C3217" s="399" t="s">
        <v>184</v>
      </c>
      <c r="D3217" s="399">
        <v>4774</v>
      </c>
      <c r="E3217" s="399" t="s">
        <v>3812</v>
      </c>
      <c r="F3217" s="399" t="s">
        <v>3813</v>
      </c>
      <c r="G3217" s="399" t="s">
        <v>2221</v>
      </c>
      <c r="H3217" s="1235"/>
    </row>
    <row r="3218" spans="1:8" hidden="1">
      <c r="A3218" s="551" t="s">
        <v>2797</v>
      </c>
      <c r="B3218" s="399" t="s">
        <v>1412</v>
      </c>
      <c r="C3218" s="399" t="s">
        <v>184</v>
      </c>
      <c r="D3218" s="399">
        <v>4775</v>
      </c>
      <c r="E3218" s="399" t="s">
        <v>3814</v>
      </c>
      <c r="F3218" s="399" t="s">
        <v>3815</v>
      </c>
      <c r="G3218" s="399" t="s">
        <v>2221</v>
      </c>
      <c r="H3218" s="1235"/>
    </row>
    <row r="3219" spans="1:8" hidden="1">
      <c r="A3219" s="551" t="s">
        <v>2797</v>
      </c>
      <c r="B3219" s="399" t="s">
        <v>1412</v>
      </c>
      <c r="C3219" s="399" t="s">
        <v>184</v>
      </c>
      <c r="D3219" s="399">
        <v>4776</v>
      </c>
      <c r="E3219" s="399" t="s">
        <v>3816</v>
      </c>
      <c r="F3219" s="399" t="s">
        <v>3817</v>
      </c>
      <c r="G3219" s="399" t="s">
        <v>2221</v>
      </c>
      <c r="H3219" s="1235"/>
    </row>
    <row r="3220" spans="1:8" hidden="1">
      <c r="A3220" s="551" t="s">
        <v>2797</v>
      </c>
      <c r="B3220" s="399" t="s">
        <v>1412</v>
      </c>
      <c r="C3220" s="399" t="s">
        <v>184</v>
      </c>
      <c r="D3220" s="399">
        <v>4777</v>
      </c>
      <c r="E3220" s="399" t="s">
        <v>3818</v>
      </c>
      <c r="F3220" s="399" t="s">
        <v>3819</v>
      </c>
      <c r="G3220" s="399" t="s">
        <v>2221</v>
      </c>
      <c r="H3220" s="1235"/>
    </row>
    <row r="3221" spans="1:8" hidden="1">
      <c r="A3221" s="551" t="s">
        <v>2797</v>
      </c>
      <c r="B3221" s="399" t="s">
        <v>1412</v>
      </c>
      <c r="C3221" s="399" t="s">
        <v>184</v>
      </c>
      <c r="D3221" s="399">
        <v>4778</v>
      </c>
      <c r="E3221" s="399" t="s">
        <v>3820</v>
      </c>
      <c r="F3221" s="399" t="s">
        <v>3821</v>
      </c>
      <c r="G3221" s="399" t="s">
        <v>2221</v>
      </c>
      <c r="H3221" s="1235"/>
    </row>
    <row r="3222" spans="1:8" hidden="1">
      <c r="A3222" s="551" t="s">
        <v>2797</v>
      </c>
      <c r="B3222" s="399" t="s">
        <v>1412</v>
      </c>
      <c r="C3222" s="399" t="s">
        <v>184</v>
      </c>
      <c r="D3222" s="399">
        <v>4779</v>
      </c>
      <c r="E3222" s="399" t="s">
        <v>3822</v>
      </c>
      <c r="F3222" s="399" t="s">
        <v>3823</v>
      </c>
      <c r="G3222" s="399" t="s">
        <v>2221</v>
      </c>
      <c r="H3222" s="1235"/>
    </row>
    <row r="3223" spans="1:8" hidden="1">
      <c r="A3223" s="551" t="s">
        <v>2797</v>
      </c>
      <c r="B3223" s="399" t="s">
        <v>1412</v>
      </c>
      <c r="C3223" s="399" t="s">
        <v>184</v>
      </c>
      <c r="D3223" s="399">
        <v>4780</v>
      </c>
      <c r="E3223" s="399" t="s">
        <v>3824</v>
      </c>
      <c r="F3223" s="399" t="s">
        <v>3825</v>
      </c>
      <c r="G3223" s="399" t="s">
        <v>2221</v>
      </c>
      <c r="H3223" s="1235"/>
    </row>
    <row r="3224" spans="1:8" hidden="1">
      <c r="A3224" s="551" t="s">
        <v>2797</v>
      </c>
      <c r="B3224" s="399" t="s">
        <v>1412</v>
      </c>
      <c r="C3224" s="399" t="s">
        <v>184</v>
      </c>
      <c r="D3224" s="399">
        <v>4781</v>
      </c>
      <c r="E3224" s="399" t="s">
        <v>3826</v>
      </c>
      <c r="F3224" s="399" t="s">
        <v>3827</v>
      </c>
      <c r="G3224" s="399" t="s">
        <v>2221</v>
      </c>
      <c r="H3224" s="1235"/>
    </row>
    <row r="3225" spans="1:8" hidden="1">
      <c r="A3225" s="551" t="s">
        <v>2797</v>
      </c>
      <c r="B3225" s="399" t="s">
        <v>1412</v>
      </c>
      <c r="C3225" s="399" t="s">
        <v>184</v>
      </c>
      <c r="D3225" s="399">
        <v>4782</v>
      </c>
      <c r="E3225" s="399" t="s">
        <v>3828</v>
      </c>
      <c r="F3225" s="399" t="s">
        <v>3829</v>
      </c>
      <c r="G3225" s="399" t="s">
        <v>2221</v>
      </c>
      <c r="H3225" s="1235"/>
    </row>
    <row r="3226" spans="1:8" hidden="1">
      <c r="A3226" s="551" t="s">
        <v>2797</v>
      </c>
      <c r="B3226" s="399" t="s">
        <v>1412</v>
      </c>
      <c r="C3226" s="399" t="s">
        <v>184</v>
      </c>
      <c r="D3226" s="399">
        <v>4789</v>
      </c>
      <c r="E3226" s="399" t="s">
        <v>3830</v>
      </c>
      <c r="F3226" s="399" t="s">
        <v>3831</v>
      </c>
      <c r="G3226" s="399" t="s">
        <v>2221</v>
      </c>
      <c r="H3226" s="1235"/>
    </row>
    <row r="3227" spans="1:8" hidden="1">
      <c r="A3227" s="551" t="s">
        <v>2797</v>
      </c>
      <c r="B3227" s="399" t="s">
        <v>1412</v>
      </c>
      <c r="C3227" s="399" t="s">
        <v>184</v>
      </c>
      <c r="D3227" s="399">
        <v>4790</v>
      </c>
      <c r="E3227" s="399" t="s">
        <v>3832</v>
      </c>
      <c r="F3227" s="399" t="s">
        <v>3833</v>
      </c>
      <c r="G3227" s="399" t="s">
        <v>2221</v>
      </c>
      <c r="H3227" s="1235"/>
    </row>
    <row r="3228" spans="1:8" hidden="1">
      <c r="A3228" s="551" t="s">
        <v>2797</v>
      </c>
      <c r="B3228" s="399" t="s">
        <v>1412</v>
      </c>
      <c r="C3228" s="399" t="s">
        <v>184</v>
      </c>
      <c r="D3228" s="399">
        <v>4791</v>
      </c>
      <c r="E3228" s="399" t="s">
        <v>3834</v>
      </c>
      <c r="F3228" s="399" t="s">
        <v>3835</v>
      </c>
      <c r="G3228" s="399" t="s">
        <v>2221</v>
      </c>
      <c r="H3228" s="1235"/>
    </row>
    <row r="3229" spans="1:8" hidden="1">
      <c r="A3229" s="551" t="s">
        <v>2797</v>
      </c>
      <c r="B3229" s="399" t="s">
        <v>1412</v>
      </c>
      <c r="C3229" s="399" t="s">
        <v>184</v>
      </c>
      <c r="D3229" s="399">
        <v>4799</v>
      </c>
      <c r="E3229" s="399" t="s">
        <v>3836</v>
      </c>
      <c r="F3229" s="399" t="s">
        <v>3837</v>
      </c>
      <c r="G3229" s="399" t="s">
        <v>2221</v>
      </c>
      <c r="H3229" s="1235"/>
    </row>
    <row r="3230" spans="1:8" hidden="1">
      <c r="A3230" s="551" t="s">
        <v>2797</v>
      </c>
      <c r="B3230" s="399" t="s">
        <v>1412</v>
      </c>
      <c r="C3230" s="399" t="s">
        <v>184</v>
      </c>
      <c r="D3230" s="399">
        <v>4900</v>
      </c>
      <c r="E3230" s="399">
        <v>49</v>
      </c>
      <c r="F3230" s="399" t="s">
        <v>3838</v>
      </c>
      <c r="G3230" s="399" t="s">
        <v>2221</v>
      </c>
      <c r="H3230" s="1235"/>
    </row>
    <row r="3231" spans="1:8" hidden="1">
      <c r="A3231" s="551" t="s">
        <v>2797</v>
      </c>
      <c r="B3231" s="399" t="s">
        <v>1412</v>
      </c>
      <c r="C3231" s="399" t="s">
        <v>184</v>
      </c>
      <c r="D3231" s="399">
        <v>4910</v>
      </c>
      <c r="E3231" s="399" t="s">
        <v>3839</v>
      </c>
      <c r="F3231" s="399" t="s">
        <v>3840</v>
      </c>
      <c r="G3231" s="399" t="s">
        <v>2221</v>
      </c>
      <c r="H3231" s="1235"/>
    </row>
    <row r="3232" spans="1:8" hidden="1">
      <c r="A3232" s="551" t="s">
        <v>2797</v>
      </c>
      <c r="B3232" s="399" t="s">
        <v>1412</v>
      </c>
      <c r="C3232" s="399" t="s">
        <v>184</v>
      </c>
      <c r="D3232" s="399">
        <v>4920</v>
      </c>
      <c r="E3232" s="399" t="s">
        <v>3841</v>
      </c>
      <c r="F3232" s="399" t="s">
        <v>3842</v>
      </c>
      <c r="G3232" s="399" t="s">
        <v>2221</v>
      </c>
      <c r="H3232" s="1235"/>
    </row>
    <row r="3233" spans="1:8" hidden="1">
      <c r="A3233" s="551" t="s">
        <v>2797</v>
      </c>
      <c r="B3233" s="399" t="s">
        <v>1412</v>
      </c>
      <c r="C3233" s="399" t="s">
        <v>184</v>
      </c>
      <c r="D3233" s="399">
        <v>4930</v>
      </c>
      <c r="E3233" s="399" t="s">
        <v>3843</v>
      </c>
      <c r="F3233" s="399" t="s">
        <v>3844</v>
      </c>
      <c r="G3233" s="399" t="s">
        <v>2221</v>
      </c>
      <c r="H3233" s="1235"/>
    </row>
    <row r="3234" spans="1:8" hidden="1">
      <c r="A3234" s="551" t="s">
        <v>2797</v>
      </c>
      <c r="B3234" s="399" t="s">
        <v>1412</v>
      </c>
      <c r="C3234" s="399" t="s">
        <v>184</v>
      </c>
      <c r="D3234" s="399">
        <v>4931</v>
      </c>
      <c r="E3234" s="399" t="s">
        <v>3845</v>
      </c>
      <c r="F3234" s="399" t="s">
        <v>3846</v>
      </c>
      <c r="G3234" s="399" t="s">
        <v>2221</v>
      </c>
      <c r="H3234" s="1235"/>
    </row>
    <row r="3235" spans="1:8" hidden="1">
      <c r="A3235" s="551" t="s">
        <v>2797</v>
      </c>
      <c r="B3235" s="399" t="s">
        <v>1412</v>
      </c>
      <c r="C3235" s="399" t="s">
        <v>184</v>
      </c>
      <c r="D3235" s="399">
        <v>4932</v>
      </c>
      <c r="E3235" s="399" t="s">
        <v>3847</v>
      </c>
      <c r="F3235" s="399" t="s">
        <v>3848</v>
      </c>
      <c r="G3235" s="399" t="s">
        <v>2221</v>
      </c>
      <c r="H3235" s="1235"/>
    </row>
    <row r="3236" spans="1:8" hidden="1">
      <c r="A3236" s="551" t="s">
        <v>2797</v>
      </c>
      <c r="B3236" s="399" t="s">
        <v>1412</v>
      </c>
      <c r="C3236" s="399" t="s">
        <v>184</v>
      </c>
      <c r="D3236" s="399">
        <v>4939</v>
      </c>
      <c r="E3236" s="399" t="s">
        <v>3849</v>
      </c>
      <c r="F3236" s="399" t="s">
        <v>3850</v>
      </c>
      <c r="G3236" s="399" t="s">
        <v>2221</v>
      </c>
      <c r="H3236" s="1235"/>
    </row>
    <row r="3237" spans="1:8" hidden="1">
      <c r="A3237" s="551" t="s">
        <v>2797</v>
      </c>
      <c r="B3237" s="399" t="s">
        <v>1412</v>
      </c>
      <c r="C3237" s="399" t="s">
        <v>184</v>
      </c>
      <c r="D3237" s="399">
        <v>4940</v>
      </c>
      <c r="E3237" s="399" t="s">
        <v>3851</v>
      </c>
      <c r="F3237" s="399" t="s">
        <v>3852</v>
      </c>
      <c r="G3237" s="399" t="s">
        <v>2221</v>
      </c>
      <c r="H3237" s="1235"/>
    </row>
    <row r="3238" spans="1:8" hidden="1">
      <c r="A3238" s="551" t="s">
        <v>2797</v>
      </c>
      <c r="B3238" s="399" t="s">
        <v>1412</v>
      </c>
      <c r="C3238" s="399" t="s">
        <v>184</v>
      </c>
      <c r="D3238" s="399">
        <v>4941</v>
      </c>
      <c r="E3238" s="399" t="s">
        <v>3853</v>
      </c>
      <c r="F3238" s="399" t="s">
        <v>3854</v>
      </c>
      <c r="G3238" s="399" t="s">
        <v>2221</v>
      </c>
      <c r="H3238" s="1235"/>
    </row>
    <row r="3239" spans="1:8" hidden="1">
      <c r="A3239" s="551" t="s">
        <v>2797</v>
      </c>
      <c r="B3239" s="399" t="s">
        <v>1412</v>
      </c>
      <c r="C3239" s="399" t="s">
        <v>184</v>
      </c>
      <c r="D3239" s="399">
        <v>4942</v>
      </c>
      <c r="E3239" s="399" t="s">
        <v>3855</v>
      </c>
      <c r="F3239" s="399" t="s">
        <v>3856</v>
      </c>
      <c r="G3239" s="399" t="s">
        <v>2221</v>
      </c>
      <c r="H3239" s="1235"/>
    </row>
    <row r="3240" spans="1:8" hidden="1">
      <c r="A3240" s="551" t="s">
        <v>2797</v>
      </c>
      <c r="B3240" s="399" t="s">
        <v>1412</v>
      </c>
      <c r="C3240" s="399" t="s">
        <v>184</v>
      </c>
      <c r="D3240" s="399">
        <v>4950</v>
      </c>
      <c r="E3240" s="399" t="s">
        <v>3857</v>
      </c>
      <c r="F3240" s="399" t="s">
        <v>3858</v>
      </c>
      <c r="G3240" s="399" t="s">
        <v>2221</v>
      </c>
      <c r="H3240" s="1235"/>
    </row>
    <row r="3241" spans="1:8" hidden="1">
      <c r="A3241" s="551" t="s">
        <v>2797</v>
      </c>
      <c r="B3241" s="399" t="s">
        <v>1412</v>
      </c>
      <c r="C3241" s="399" t="s">
        <v>184</v>
      </c>
      <c r="D3241" s="399">
        <v>5000</v>
      </c>
      <c r="E3241" s="399">
        <v>50</v>
      </c>
      <c r="F3241" s="399" t="s">
        <v>3859</v>
      </c>
      <c r="G3241" s="399" t="s">
        <v>2221</v>
      </c>
      <c r="H3241" s="1235"/>
    </row>
    <row r="3242" spans="1:8" hidden="1">
      <c r="A3242" s="551" t="s">
        <v>2797</v>
      </c>
      <c r="B3242" s="399" t="s">
        <v>1412</v>
      </c>
      <c r="C3242" s="399" t="s">
        <v>184</v>
      </c>
      <c r="D3242" s="399">
        <v>5010</v>
      </c>
      <c r="E3242" s="399" t="s">
        <v>3860</v>
      </c>
      <c r="F3242" s="399" t="s">
        <v>3861</v>
      </c>
      <c r="G3242" s="399" t="s">
        <v>2221</v>
      </c>
      <c r="H3242" s="1235"/>
    </row>
    <row r="3243" spans="1:8" hidden="1">
      <c r="A3243" s="551" t="s">
        <v>2797</v>
      </c>
      <c r="B3243" s="399" t="s">
        <v>1412</v>
      </c>
      <c r="C3243" s="399" t="s">
        <v>184</v>
      </c>
      <c r="D3243" s="399">
        <v>5020</v>
      </c>
      <c r="E3243" s="399" t="s">
        <v>3862</v>
      </c>
      <c r="F3243" s="399" t="s">
        <v>3863</v>
      </c>
      <c r="G3243" s="399" t="s">
        <v>2221</v>
      </c>
      <c r="H3243" s="1235"/>
    </row>
    <row r="3244" spans="1:8" hidden="1">
      <c r="A3244" s="551" t="s">
        <v>2797</v>
      </c>
      <c r="B3244" s="399" t="s">
        <v>1412</v>
      </c>
      <c r="C3244" s="399" t="s">
        <v>184</v>
      </c>
      <c r="D3244" s="399">
        <v>5030</v>
      </c>
      <c r="E3244" s="399" t="s">
        <v>3864</v>
      </c>
      <c r="F3244" s="399" t="s">
        <v>3865</v>
      </c>
      <c r="G3244" s="399" t="s">
        <v>2221</v>
      </c>
      <c r="H3244" s="1235"/>
    </row>
    <row r="3245" spans="1:8" hidden="1">
      <c r="A3245" s="551" t="s">
        <v>2797</v>
      </c>
      <c r="B3245" s="399" t="s">
        <v>1412</v>
      </c>
      <c r="C3245" s="399" t="s">
        <v>184</v>
      </c>
      <c r="D3245" s="399">
        <v>5040</v>
      </c>
      <c r="E3245" s="399" t="s">
        <v>3866</v>
      </c>
      <c r="F3245" s="399" t="s">
        <v>3867</v>
      </c>
      <c r="G3245" s="399" t="s">
        <v>2221</v>
      </c>
      <c r="H3245" s="1235"/>
    </row>
    <row r="3246" spans="1:8" hidden="1">
      <c r="A3246" s="551" t="s">
        <v>2797</v>
      </c>
      <c r="B3246" s="399" t="s">
        <v>1412</v>
      </c>
      <c r="C3246" s="399" t="s">
        <v>184</v>
      </c>
      <c r="D3246" s="399">
        <v>5100</v>
      </c>
      <c r="E3246" s="399">
        <v>51</v>
      </c>
      <c r="F3246" s="399" t="s">
        <v>3868</v>
      </c>
      <c r="G3246" s="399" t="s">
        <v>2221</v>
      </c>
      <c r="H3246" s="1235"/>
    </row>
    <row r="3247" spans="1:8" hidden="1">
      <c r="A3247" s="551" t="s">
        <v>2797</v>
      </c>
      <c r="B3247" s="399" t="s">
        <v>1412</v>
      </c>
      <c r="C3247" s="399" t="s">
        <v>184</v>
      </c>
      <c r="D3247" s="399">
        <v>5110</v>
      </c>
      <c r="E3247" s="399" t="s">
        <v>3869</v>
      </c>
      <c r="F3247" s="399" t="s">
        <v>3870</v>
      </c>
      <c r="G3247" s="399" t="s">
        <v>2221</v>
      </c>
      <c r="H3247" s="1235"/>
    </row>
    <row r="3248" spans="1:8" hidden="1">
      <c r="A3248" s="551" t="s">
        <v>2797</v>
      </c>
      <c r="B3248" s="399" t="s">
        <v>1412</v>
      </c>
      <c r="C3248" s="399" t="s">
        <v>184</v>
      </c>
      <c r="D3248" s="399">
        <v>5120</v>
      </c>
      <c r="E3248" s="399" t="s">
        <v>3871</v>
      </c>
      <c r="F3248" s="399" t="s">
        <v>3872</v>
      </c>
      <c r="G3248" s="399" t="s">
        <v>2221</v>
      </c>
      <c r="H3248" s="1235"/>
    </row>
    <row r="3249" spans="1:8" hidden="1">
      <c r="A3249" s="551" t="s">
        <v>2797</v>
      </c>
      <c r="B3249" s="399" t="s">
        <v>1412</v>
      </c>
      <c r="C3249" s="399" t="s">
        <v>184</v>
      </c>
      <c r="D3249" s="399">
        <v>5121</v>
      </c>
      <c r="E3249" s="399" t="s">
        <v>3873</v>
      </c>
      <c r="F3249" s="399" t="s">
        <v>3874</v>
      </c>
      <c r="G3249" s="399" t="s">
        <v>2221</v>
      </c>
      <c r="H3249" s="1235"/>
    </row>
    <row r="3250" spans="1:8" hidden="1">
      <c r="A3250" s="551" t="s">
        <v>2797</v>
      </c>
      <c r="B3250" s="399" t="s">
        <v>1412</v>
      </c>
      <c r="C3250" s="399" t="s">
        <v>184</v>
      </c>
      <c r="D3250" s="399">
        <v>5122</v>
      </c>
      <c r="E3250" s="399" t="s">
        <v>3875</v>
      </c>
      <c r="F3250" s="399" t="s">
        <v>3876</v>
      </c>
      <c r="G3250" s="399" t="s">
        <v>2221</v>
      </c>
      <c r="H3250" s="1235"/>
    </row>
    <row r="3251" spans="1:8" hidden="1">
      <c r="A3251" s="551" t="s">
        <v>2797</v>
      </c>
      <c r="B3251" s="399" t="s">
        <v>1412</v>
      </c>
      <c r="C3251" s="399" t="s">
        <v>184</v>
      </c>
      <c r="D3251" s="399">
        <v>5200</v>
      </c>
      <c r="E3251" s="399">
        <v>52</v>
      </c>
      <c r="F3251" s="399" t="s">
        <v>3877</v>
      </c>
      <c r="G3251" s="399" t="s">
        <v>2221</v>
      </c>
      <c r="H3251" s="1235"/>
    </row>
    <row r="3252" spans="1:8" hidden="1">
      <c r="A3252" s="551" t="s">
        <v>2797</v>
      </c>
      <c r="B3252" s="399" t="s">
        <v>1412</v>
      </c>
      <c r="C3252" s="399" t="s">
        <v>184</v>
      </c>
      <c r="D3252" s="399">
        <v>5210</v>
      </c>
      <c r="E3252" s="399" t="s">
        <v>3878</v>
      </c>
      <c r="F3252" s="399" t="s">
        <v>3879</v>
      </c>
      <c r="G3252" s="399" t="s">
        <v>2221</v>
      </c>
      <c r="H3252" s="1235"/>
    </row>
    <row r="3253" spans="1:8" hidden="1">
      <c r="A3253" s="551" t="s">
        <v>2797</v>
      </c>
      <c r="B3253" s="399" t="s">
        <v>1412</v>
      </c>
      <c r="C3253" s="399" t="s">
        <v>184</v>
      </c>
      <c r="D3253" s="399">
        <v>5220</v>
      </c>
      <c r="E3253" s="399" t="s">
        <v>3880</v>
      </c>
      <c r="F3253" s="399" t="s">
        <v>3881</v>
      </c>
      <c r="G3253" s="399" t="s">
        <v>2221</v>
      </c>
      <c r="H3253" s="1235"/>
    </row>
    <row r="3254" spans="1:8" hidden="1">
      <c r="A3254" s="551" t="s">
        <v>2797</v>
      </c>
      <c r="B3254" s="399" t="s">
        <v>1412</v>
      </c>
      <c r="C3254" s="399" t="s">
        <v>184</v>
      </c>
      <c r="D3254" s="399">
        <v>5221</v>
      </c>
      <c r="E3254" s="399" t="s">
        <v>3882</v>
      </c>
      <c r="F3254" s="399" t="s">
        <v>3883</v>
      </c>
      <c r="G3254" s="399" t="s">
        <v>2221</v>
      </c>
      <c r="H3254" s="1235"/>
    </row>
    <row r="3255" spans="1:8" hidden="1">
      <c r="A3255" s="551" t="s">
        <v>2797</v>
      </c>
      <c r="B3255" s="399" t="s">
        <v>1412</v>
      </c>
      <c r="C3255" s="399" t="s">
        <v>184</v>
      </c>
      <c r="D3255" s="399">
        <v>5222</v>
      </c>
      <c r="E3255" s="399" t="s">
        <v>3884</v>
      </c>
      <c r="F3255" s="399" t="s">
        <v>3885</v>
      </c>
      <c r="G3255" s="399" t="s">
        <v>2221</v>
      </c>
      <c r="H3255" s="1235"/>
    </row>
    <row r="3256" spans="1:8" hidden="1">
      <c r="A3256" s="551" t="s">
        <v>2797</v>
      </c>
      <c r="B3256" s="399" t="s">
        <v>1412</v>
      </c>
      <c r="C3256" s="399" t="s">
        <v>184</v>
      </c>
      <c r="D3256" s="399">
        <v>5223</v>
      </c>
      <c r="E3256" s="399" t="s">
        <v>3886</v>
      </c>
      <c r="F3256" s="399" t="s">
        <v>3887</v>
      </c>
      <c r="G3256" s="399" t="s">
        <v>2221</v>
      </c>
      <c r="H3256" s="1235"/>
    </row>
    <row r="3257" spans="1:8" hidden="1">
      <c r="A3257" s="551" t="s">
        <v>2797</v>
      </c>
      <c r="B3257" s="399" t="s">
        <v>1412</v>
      </c>
      <c r="C3257" s="399" t="s">
        <v>184</v>
      </c>
      <c r="D3257" s="399">
        <v>5224</v>
      </c>
      <c r="E3257" s="399" t="s">
        <v>3888</v>
      </c>
      <c r="F3257" s="399" t="s">
        <v>3889</v>
      </c>
      <c r="G3257" s="399" t="s">
        <v>2221</v>
      </c>
      <c r="H3257" s="1235"/>
    </row>
    <row r="3258" spans="1:8" hidden="1">
      <c r="A3258" s="551" t="s">
        <v>2797</v>
      </c>
      <c r="B3258" s="399" t="s">
        <v>1412</v>
      </c>
      <c r="C3258" s="399" t="s">
        <v>184</v>
      </c>
      <c r="D3258" s="399">
        <v>5229</v>
      </c>
      <c r="E3258" s="399" t="s">
        <v>3890</v>
      </c>
      <c r="F3258" s="399" t="s">
        <v>3891</v>
      </c>
      <c r="G3258" s="399" t="s">
        <v>2221</v>
      </c>
      <c r="H3258" s="1235"/>
    </row>
    <row r="3259" spans="1:8" hidden="1">
      <c r="A3259" s="551" t="s">
        <v>2797</v>
      </c>
      <c r="B3259" s="399" t="s">
        <v>1412</v>
      </c>
      <c r="C3259" s="399" t="s">
        <v>184</v>
      </c>
      <c r="D3259" s="399">
        <v>5300</v>
      </c>
      <c r="E3259" s="399">
        <v>53</v>
      </c>
      <c r="F3259" s="399" t="s">
        <v>3892</v>
      </c>
      <c r="G3259" s="399" t="s">
        <v>2221</v>
      </c>
      <c r="H3259" s="1235"/>
    </row>
    <row r="3260" spans="1:8" hidden="1">
      <c r="A3260" s="551" t="s">
        <v>2797</v>
      </c>
      <c r="B3260" s="399" t="s">
        <v>1412</v>
      </c>
      <c r="C3260" s="399" t="s">
        <v>184</v>
      </c>
      <c r="D3260" s="399">
        <v>5310</v>
      </c>
      <c r="E3260" s="399" t="s">
        <v>3893</v>
      </c>
      <c r="F3260" s="399" t="s">
        <v>3894</v>
      </c>
      <c r="G3260" s="399" t="s">
        <v>2221</v>
      </c>
      <c r="H3260" s="1235"/>
    </row>
    <row r="3261" spans="1:8" hidden="1">
      <c r="A3261" s="551" t="s">
        <v>2797</v>
      </c>
      <c r="B3261" s="399" t="s">
        <v>1412</v>
      </c>
      <c r="C3261" s="399" t="s">
        <v>184</v>
      </c>
      <c r="D3261" s="399">
        <v>5320</v>
      </c>
      <c r="E3261" s="399" t="s">
        <v>3895</v>
      </c>
      <c r="F3261" s="399" t="s">
        <v>3896</v>
      </c>
      <c r="G3261" s="399" t="s">
        <v>2221</v>
      </c>
      <c r="H3261" s="1235"/>
    </row>
    <row r="3262" spans="1:8" hidden="1">
      <c r="A3262" s="551" t="s">
        <v>2797</v>
      </c>
      <c r="B3262" s="399" t="s">
        <v>1412</v>
      </c>
      <c r="C3262" s="399" t="s">
        <v>184</v>
      </c>
      <c r="D3262" s="399">
        <v>5500</v>
      </c>
      <c r="E3262" s="399">
        <v>55</v>
      </c>
      <c r="F3262" s="399" t="s">
        <v>3897</v>
      </c>
      <c r="G3262" s="399" t="s">
        <v>2221</v>
      </c>
      <c r="H3262" s="1235"/>
    </row>
    <row r="3263" spans="1:8" hidden="1">
      <c r="A3263" s="551" t="s">
        <v>2797</v>
      </c>
      <c r="B3263" s="399" t="s">
        <v>1412</v>
      </c>
      <c r="C3263" s="399" t="s">
        <v>184</v>
      </c>
      <c r="D3263" s="399">
        <v>5510</v>
      </c>
      <c r="E3263" s="399" t="s">
        <v>3898</v>
      </c>
      <c r="F3263" s="399" t="s">
        <v>3899</v>
      </c>
      <c r="G3263" s="399" t="s">
        <v>2221</v>
      </c>
      <c r="H3263" s="1235"/>
    </row>
    <row r="3264" spans="1:8" hidden="1">
      <c r="A3264" s="551" t="s">
        <v>2797</v>
      </c>
      <c r="B3264" s="399" t="s">
        <v>1412</v>
      </c>
      <c r="C3264" s="399" t="s">
        <v>184</v>
      </c>
      <c r="D3264" s="399">
        <v>5511</v>
      </c>
      <c r="E3264" s="399" t="s">
        <v>3898</v>
      </c>
      <c r="F3264" s="399" t="s">
        <v>3899</v>
      </c>
      <c r="G3264" s="399" t="s">
        <v>2221</v>
      </c>
      <c r="H3264" s="1235"/>
    </row>
    <row r="3265" spans="1:8" hidden="1">
      <c r="A3265" s="551" t="s">
        <v>2797</v>
      </c>
      <c r="B3265" s="399" t="s">
        <v>1412</v>
      </c>
      <c r="C3265" s="399" t="s">
        <v>184</v>
      </c>
      <c r="D3265" s="399">
        <v>5512</v>
      </c>
      <c r="E3265" s="399" t="s">
        <v>3898</v>
      </c>
      <c r="F3265" s="399" t="s">
        <v>3899</v>
      </c>
      <c r="G3265" s="399" t="s">
        <v>2221</v>
      </c>
      <c r="H3265" s="1235"/>
    </row>
    <row r="3266" spans="1:8" hidden="1">
      <c r="A3266" s="551" t="s">
        <v>2797</v>
      </c>
      <c r="B3266" s="399" t="s">
        <v>1412</v>
      </c>
      <c r="C3266" s="399" t="s">
        <v>184</v>
      </c>
      <c r="D3266" s="399">
        <v>5520</v>
      </c>
      <c r="E3266" s="399" t="s">
        <v>3900</v>
      </c>
      <c r="F3266" s="399" t="s">
        <v>3901</v>
      </c>
      <c r="G3266" s="399" t="s">
        <v>2221</v>
      </c>
      <c r="H3266" s="1235"/>
    </row>
    <row r="3267" spans="1:8" hidden="1">
      <c r="A3267" s="551" t="s">
        <v>2797</v>
      </c>
      <c r="B3267" s="399" t="s">
        <v>1412</v>
      </c>
      <c r="C3267" s="399" t="s">
        <v>184</v>
      </c>
      <c r="D3267" s="399">
        <v>5530</v>
      </c>
      <c r="E3267" s="399" t="s">
        <v>3902</v>
      </c>
      <c r="F3267" s="399" t="s">
        <v>3903</v>
      </c>
      <c r="G3267" s="399" t="s">
        <v>2221</v>
      </c>
      <c r="H3267" s="1235"/>
    </row>
    <row r="3268" spans="1:8" hidden="1">
      <c r="A3268" s="551" t="s">
        <v>2797</v>
      </c>
      <c r="B3268" s="399" t="s">
        <v>1412</v>
      </c>
      <c r="C3268" s="399" t="s">
        <v>184</v>
      </c>
      <c r="D3268" s="399">
        <v>5590</v>
      </c>
      <c r="E3268" s="399" t="s">
        <v>3904</v>
      </c>
      <c r="F3268" s="399" t="s">
        <v>3905</v>
      </c>
      <c r="G3268" s="399" t="s">
        <v>2221</v>
      </c>
      <c r="H3268" s="1235"/>
    </row>
    <row r="3269" spans="1:8" hidden="1">
      <c r="A3269" s="551" t="s">
        <v>2797</v>
      </c>
      <c r="B3269" s="399" t="s">
        <v>1412</v>
      </c>
      <c r="C3269" s="399" t="s">
        <v>184</v>
      </c>
      <c r="D3269" s="399">
        <v>5600</v>
      </c>
      <c r="E3269" s="399">
        <v>56</v>
      </c>
      <c r="F3269" s="399" t="s">
        <v>3906</v>
      </c>
      <c r="G3269" s="399" t="s">
        <v>2221</v>
      </c>
      <c r="H3269" s="1235"/>
    </row>
    <row r="3270" spans="1:8" hidden="1">
      <c r="A3270" s="551" t="s">
        <v>2797</v>
      </c>
      <c r="B3270" s="399" t="s">
        <v>1412</v>
      </c>
      <c r="C3270" s="399" t="s">
        <v>184</v>
      </c>
      <c r="D3270" s="399">
        <v>5610</v>
      </c>
      <c r="E3270" s="399" t="s">
        <v>3907</v>
      </c>
      <c r="F3270" s="399" t="s">
        <v>3908</v>
      </c>
      <c r="G3270" s="399" t="s">
        <v>2221</v>
      </c>
      <c r="H3270" s="1235"/>
    </row>
    <row r="3271" spans="1:8" hidden="1">
      <c r="A3271" s="551" t="s">
        <v>2797</v>
      </c>
      <c r="B3271" s="399" t="s">
        <v>1412</v>
      </c>
      <c r="C3271" s="399" t="s">
        <v>184</v>
      </c>
      <c r="D3271" s="399">
        <v>5620</v>
      </c>
      <c r="E3271" s="399" t="s">
        <v>3909</v>
      </c>
      <c r="F3271" s="399" t="s">
        <v>3910</v>
      </c>
      <c r="G3271" s="399" t="s">
        <v>2221</v>
      </c>
      <c r="H3271" s="1235"/>
    </row>
    <row r="3272" spans="1:8" hidden="1">
      <c r="A3272" s="551" t="s">
        <v>2797</v>
      </c>
      <c r="B3272" s="399" t="s">
        <v>1412</v>
      </c>
      <c r="C3272" s="399" t="s">
        <v>184</v>
      </c>
      <c r="D3272" s="399">
        <v>5621</v>
      </c>
      <c r="E3272" s="399" t="s">
        <v>3911</v>
      </c>
      <c r="F3272" s="399" t="s">
        <v>3912</v>
      </c>
      <c r="G3272" s="399" t="s">
        <v>2221</v>
      </c>
      <c r="H3272" s="1235"/>
    </row>
    <row r="3273" spans="1:8" hidden="1">
      <c r="A3273" s="551" t="s">
        <v>2797</v>
      </c>
      <c r="B3273" s="399" t="s">
        <v>1412</v>
      </c>
      <c r="C3273" s="399" t="s">
        <v>184</v>
      </c>
      <c r="D3273" s="399">
        <v>5629</v>
      </c>
      <c r="E3273" s="399" t="s">
        <v>3913</v>
      </c>
      <c r="F3273" s="399" t="s">
        <v>3914</v>
      </c>
      <c r="G3273" s="399" t="s">
        <v>2221</v>
      </c>
      <c r="H3273" s="1235"/>
    </row>
    <row r="3274" spans="1:8" hidden="1">
      <c r="A3274" s="551" t="s">
        <v>2797</v>
      </c>
      <c r="B3274" s="399" t="s">
        <v>1412</v>
      </c>
      <c r="C3274" s="399" t="s">
        <v>184</v>
      </c>
      <c r="D3274" s="399">
        <v>5630</v>
      </c>
      <c r="E3274" s="399" t="s">
        <v>3915</v>
      </c>
      <c r="F3274" s="399" t="s">
        <v>3916</v>
      </c>
      <c r="G3274" s="399" t="s">
        <v>2221</v>
      </c>
      <c r="H3274" s="1235"/>
    </row>
    <row r="3275" spans="1:8" hidden="1">
      <c r="A3275" s="551" t="s">
        <v>2797</v>
      </c>
      <c r="B3275" s="399" t="s">
        <v>1412</v>
      </c>
      <c r="C3275" s="399" t="s">
        <v>184</v>
      </c>
      <c r="D3275" s="399">
        <v>5800</v>
      </c>
      <c r="E3275" s="399">
        <v>58</v>
      </c>
      <c r="F3275" s="399" t="s">
        <v>3917</v>
      </c>
      <c r="G3275" s="399" t="s">
        <v>2221</v>
      </c>
      <c r="H3275" s="1235"/>
    </row>
    <row r="3276" spans="1:8" hidden="1">
      <c r="A3276" s="551" t="s">
        <v>2797</v>
      </c>
      <c r="B3276" s="399" t="s">
        <v>1412</v>
      </c>
      <c r="C3276" s="399" t="s">
        <v>184</v>
      </c>
      <c r="D3276" s="399">
        <v>5810</v>
      </c>
      <c r="E3276" s="399" t="s">
        <v>3918</v>
      </c>
      <c r="F3276" s="399" t="s">
        <v>3919</v>
      </c>
      <c r="G3276" s="399" t="s">
        <v>2221</v>
      </c>
      <c r="H3276" s="1235"/>
    </row>
    <row r="3277" spans="1:8" hidden="1">
      <c r="A3277" s="551" t="s">
        <v>2797</v>
      </c>
      <c r="B3277" s="399" t="s">
        <v>1412</v>
      </c>
      <c r="C3277" s="399" t="s">
        <v>184</v>
      </c>
      <c r="D3277" s="399">
        <v>5811</v>
      </c>
      <c r="E3277" s="399" t="s">
        <v>3920</v>
      </c>
      <c r="F3277" s="399" t="s">
        <v>3921</v>
      </c>
      <c r="G3277" s="399" t="s">
        <v>2221</v>
      </c>
      <c r="H3277" s="1235"/>
    </row>
    <row r="3278" spans="1:8" hidden="1">
      <c r="A3278" s="551" t="s">
        <v>2797</v>
      </c>
      <c r="B3278" s="399" t="s">
        <v>1412</v>
      </c>
      <c r="C3278" s="399" t="s">
        <v>184</v>
      </c>
      <c r="D3278" s="399">
        <v>5812</v>
      </c>
      <c r="E3278" s="399" t="s">
        <v>3922</v>
      </c>
      <c r="F3278" s="399" t="s">
        <v>3923</v>
      </c>
      <c r="G3278" s="399" t="s">
        <v>2221</v>
      </c>
      <c r="H3278" s="1235"/>
    </row>
    <row r="3279" spans="1:8" hidden="1">
      <c r="A3279" s="551" t="s">
        <v>2797</v>
      </c>
      <c r="B3279" s="399" t="s">
        <v>1412</v>
      </c>
      <c r="C3279" s="399" t="s">
        <v>184</v>
      </c>
      <c r="D3279" s="399">
        <v>5813</v>
      </c>
      <c r="E3279" s="399" t="s">
        <v>3924</v>
      </c>
      <c r="F3279" s="399" t="s">
        <v>3925</v>
      </c>
      <c r="G3279" s="399" t="s">
        <v>2221</v>
      </c>
      <c r="H3279" s="1235"/>
    </row>
    <row r="3280" spans="1:8" hidden="1">
      <c r="A3280" s="551" t="s">
        <v>2797</v>
      </c>
      <c r="B3280" s="399" t="s">
        <v>1412</v>
      </c>
      <c r="C3280" s="399" t="s">
        <v>184</v>
      </c>
      <c r="D3280" s="399">
        <v>5814</v>
      </c>
      <c r="E3280" s="399" t="s">
        <v>3926</v>
      </c>
      <c r="F3280" s="399" t="s">
        <v>3927</v>
      </c>
      <c r="G3280" s="399" t="s">
        <v>2221</v>
      </c>
      <c r="H3280" s="1235"/>
    </row>
    <row r="3281" spans="1:8" hidden="1">
      <c r="A3281" s="551" t="s">
        <v>2797</v>
      </c>
      <c r="B3281" s="399" t="s">
        <v>1412</v>
      </c>
      <c r="C3281" s="399" t="s">
        <v>184</v>
      </c>
      <c r="D3281" s="399">
        <v>5819</v>
      </c>
      <c r="E3281" s="399" t="s">
        <v>3928</v>
      </c>
      <c r="F3281" s="399" t="s">
        <v>3929</v>
      </c>
      <c r="G3281" s="399" t="s">
        <v>2221</v>
      </c>
      <c r="H3281" s="1235"/>
    </row>
    <row r="3282" spans="1:8" hidden="1">
      <c r="A3282" s="551" t="s">
        <v>2797</v>
      </c>
      <c r="B3282" s="399" t="s">
        <v>1412</v>
      </c>
      <c r="C3282" s="399" t="s">
        <v>184</v>
      </c>
      <c r="D3282" s="399">
        <v>5820</v>
      </c>
      <c r="E3282" s="399" t="s">
        <v>3930</v>
      </c>
      <c r="F3282" s="399" t="s">
        <v>3931</v>
      </c>
      <c r="G3282" s="399" t="s">
        <v>2221</v>
      </c>
      <c r="H3282" s="1235"/>
    </row>
    <row r="3283" spans="1:8" hidden="1">
      <c r="A3283" s="551" t="s">
        <v>2797</v>
      </c>
      <c r="B3283" s="399" t="s">
        <v>1412</v>
      </c>
      <c r="C3283" s="399" t="s">
        <v>184</v>
      </c>
      <c r="D3283" s="399">
        <v>5821</v>
      </c>
      <c r="E3283" s="399" t="s">
        <v>3932</v>
      </c>
      <c r="F3283" s="399" t="s">
        <v>3933</v>
      </c>
      <c r="G3283" s="399" t="s">
        <v>2221</v>
      </c>
      <c r="H3283" s="1235"/>
    </row>
    <row r="3284" spans="1:8" hidden="1">
      <c r="A3284" s="551" t="s">
        <v>2797</v>
      </c>
      <c r="B3284" s="399" t="s">
        <v>1412</v>
      </c>
      <c r="C3284" s="399" t="s">
        <v>184</v>
      </c>
      <c r="D3284" s="399">
        <v>5829</v>
      </c>
      <c r="E3284" s="399" t="s">
        <v>3934</v>
      </c>
      <c r="F3284" s="399" t="s">
        <v>3935</v>
      </c>
      <c r="G3284" s="399" t="s">
        <v>2221</v>
      </c>
      <c r="H3284" s="1235"/>
    </row>
    <row r="3285" spans="1:8" hidden="1">
      <c r="A3285" s="551" t="s">
        <v>2797</v>
      </c>
      <c r="B3285" s="399" t="s">
        <v>1412</v>
      </c>
      <c r="C3285" s="399" t="s">
        <v>184</v>
      </c>
      <c r="D3285" s="399">
        <v>5900</v>
      </c>
      <c r="E3285" s="399">
        <v>59</v>
      </c>
      <c r="F3285" s="399" t="s">
        <v>3936</v>
      </c>
      <c r="G3285" s="399" t="s">
        <v>2221</v>
      </c>
      <c r="H3285" s="1235"/>
    </row>
    <row r="3286" spans="1:8" hidden="1">
      <c r="A3286" s="551" t="s">
        <v>2797</v>
      </c>
      <c r="B3286" s="399" t="s">
        <v>1412</v>
      </c>
      <c r="C3286" s="399" t="s">
        <v>184</v>
      </c>
      <c r="D3286" s="399">
        <v>5910</v>
      </c>
      <c r="E3286" s="399" t="s">
        <v>3937</v>
      </c>
      <c r="F3286" s="399" t="s">
        <v>3938</v>
      </c>
      <c r="G3286" s="399" t="s">
        <v>2221</v>
      </c>
      <c r="H3286" s="1235"/>
    </row>
    <row r="3287" spans="1:8" hidden="1">
      <c r="A3287" s="551" t="s">
        <v>2797</v>
      </c>
      <c r="B3287" s="399" t="s">
        <v>1412</v>
      </c>
      <c r="C3287" s="399" t="s">
        <v>184</v>
      </c>
      <c r="D3287" s="399">
        <v>5911</v>
      </c>
      <c r="E3287" s="399" t="s">
        <v>3939</v>
      </c>
      <c r="F3287" s="399" t="s">
        <v>3940</v>
      </c>
      <c r="G3287" s="399" t="s">
        <v>2221</v>
      </c>
      <c r="H3287" s="1235"/>
    </row>
    <row r="3288" spans="1:8" hidden="1">
      <c r="A3288" s="551" t="s">
        <v>2797</v>
      </c>
      <c r="B3288" s="399" t="s">
        <v>1412</v>
      </c>
      <c r="C3288" s="399" t="s">
        <v>184</v>
      </c>
      <c r="D3288" s="399">
        <v>5912</v>
      </c>
      <c r="E3288" s="399" t="s">
        <v>3941</v>
      </c>
      <c r="F3288" s="399" t="s">
        <v>3942</v>
      </c>
      <c r="G3288" s="399" t="s">
        <v>2221</v>
      </c>
      <c r="H3288" s="1235"/>
    </row>
    <row r="3289" spans="1:8" hidden="1">
      <c r="A3289" s="551" t="s">
        <v>2797</v>
      </c>
      <c r="B3289" s="399" t="s">
        <v>1412</v>
      </c>
      <c r="C3289" s="399" t="s">
        <v>184</v>
      </c>
      <c r="D3289" s="399">
        <v>5913</v>
      </c>
      <c r="E3289" s="399" t="s">
        <v>3943</v>
      </c>
      <c r="F3289" s="399" t="s">
        <v>3944</v>
      </c>
      <c r="G3289" s="399" t="s">
        <v>2221</v>
      </c>
      <c r="H3289" s="1235"/>
    </row>
    <row r="3290" spans="1:8" hidden="1">
      <c r="A3290" s="551" t="s">
        <v>2797</v>
      </c>
      <c r="B3290" s="399" t="s">
        <v>1412</v>
      </c>
      <c r="C3290" s="399" t="s">
        <v>184</v>
      </c>
      <c r="D3290" s="399">
        <v>5914</v>
      </c>
      <c r="E3290" s="399" t="s">
        <v>3945</v>
      </c>
      <c r="F3290" s="399" t="s">
        <v>3946</v>
      </c>
      <c r="G3290" s="399" t="s">
        <v>2221</v>
      </c>
      <c r="H3290" s="1235"/>
    </row>
    <row r="3291" spans="1:8" hidden="1">
      <c r="A3291" s="551" t="s">
        <v>2797</v>
      </c>
      <c r="B3291" s="399" t="s">
        <v>1412</v>
      </c>
      <c r="C3291" s="399" t="s">
        <v>184</v>
      </c>
      <c r="D3291" s="399">
        <v>5920</v>
      </c>
      <c r="E3291" s="399" t="s">
        <v>3947</v>
      </c>
      <c r="F3291" s="399" t="s">
        <v>3948</v>
      </c>
      <c r="G3291" s="399" t="s">
        <v>2221</v>
      </c>
      <c r="H3291" s="1235"/>
    </row>
    <row r="3292" spans="1:8" hidden="1">
      <c r="A3292" s="551" t="s">
        <v>2797</v>
      </c>
      <c r="B3292" s="399" t="s">
        <v>1412</v>
      </c>
      <c r="C3292" s="399" t="s">
        <v>184</v>
      </c>
      <c r="D3292" s="399">
        <v>6000</v>
      </c>
      <c r="E3292" s="399">
        <v>60</v>
      </c>
      <c r="F3292" s="399" t="s">
        <v>3949</v>
      </c>
      <c r="G3292" s="399" t="s">
        <v>2221</v>
      </c>
      <c r="H3292" s="1235"/>
    </row>
    <row r="3293" spans="1:8" hidden="1">
      <c r="A3293" s="551" t="s">
        <v>2797</v>
      </c>
      <c r="B3293" s="399" t="s">
        <v>1412</v>
      </c>
      <c r="C3293" s="399" t="s">
        <v>184</v>
      </c>
      <c r="D3293" s="399">
        <v>6010</v>
      </c>
      <c r="E3293" s="399" t="s">
        <v>3950</v>
      </c>
      <c r="F3293" s="399" t="s">
        <v>3951</v>
      </c>
      <c r="G3293" s="399" t="s">
        <v>2221</v>
      </c>
      <c r="H3293" s="1235"/>
    </row>
    <row r="3294" spans="1:8" hidden="1">
      <c r="A3294" s="551" t="s">
        <v>2797</v>
      </c>
      <c r="B3294" s="399" t="s">
        <v>1412</v>
      </c>
      <c r="C3294" s="399" t="s">
        <v>184</v>
      </c>
      <c r="D3294" s="399">
        <v>6020</v>
      </c>
      <c r="E3294" s="399" t="s">
        <v>3952</v>
      </c>
      <c r="F3294" s="399" t="s">
        <v>3953</v>
      </c>
      <c r="G3294" s="399" t="s">
        <v>2221</v>
      </c>
      <c r="H3294" s="1235"/>
    </row>
    <row r="3295" spans="1:8" hidden="1">
      <c r="A3295" s="551" t="s">
        <v>2797</v>
      </c>
      <c r="B3295" s="399" t="s">
        <v>1412</v>
      </c>
      <c r="C3295" s="399" t="s">
        <v>184</v>
      </c>
      <c r="D3295" s="399">
        <v>6100</v>
      </c>
      <c r="E3295" s="399">
        <v>61</v>
      </c>
      <c r="F3295" s="399" t="s">
        <v>3954</v>
      </c>
      <c r="G3295" s="399" t="s">
        <v>2221</v>
      </c>
      <c r="H3295" s="1235"/>
    </row>
    <row r="3296" spans="1:8" hidden="1">
      <c r="A3296" s="551" t="s">
        <v>2797</v>
      </c>
      <c r="B3296" s="399" t="s">
        <v>1412</v>
      </c>
      <c r="C3296" s="399" t="s">
        <v>184</v>
      </c>
      <c r="D3296" s="399">
        <v>6110</v>
      </c>
      <c r="E3296" s="399" t="s">
        <v>3955</v>
      </c>
      <c r="F3296" s="399" t="s">
        <v>3956</v>
      </c>
      <c r="G3296" s="399" t="s">
        <v>2221</v>
      </c>
      <c r="H3296" s="1235"/>
    </row>
    <row r="3297" spans="1:8" hidden="1">
      <c r="A3297" s="551" t="s">
        <v>2797</v>
      </c>
      <c r="B3297" s="399" t="s">
        <v>1412</v>
      </c>
      <c r="C3297" s="399" t="s">
        <v>184</v>
      </c>
      <c r="D3297" s="399">
        <v>6120</v>
      </c>
      <c r="E3297" s="399" t="s">
        <v>3957</v>
      </c>
      <c r="F3297" s="399" t="s">
        <v>3958</v>
      </c>
      <c r="G3297" s="399" t="s">
        <v>2221</v>
      </c>
      <c r="H3297" s="1235"/>
    </row>
    <row r="3298" spans="1:8" hidden="1">
      <c r="A3298" s="551" t="s">
        <v>2797</v>
      </c>
      <c r="B3298" s="399" t="s">
        <v>1412</v>
      </c>
      <c r="C3298" s="399" t="s">
        <v>184</v>
      </c>
      <c r="D3298" s="399">
        <v>6130</v>
      </c>
      <c r="E3298" s="399" t="s">
        <v>3959</v>
      </c>
      <c r="F3298" s="399" t="s">
        <v>3960</v>
      </c>
      <c r="G3298" s="399" t="s">
        <v>2221</v>
      </c>
      <c r="H3298" s="1235"/>
    </row>
    <row r="3299" spans="1:8" hidden="1">
      <c r="A3299" s="551" t="s">
        <v>2797</v>
      </c>
      <c r="B3299" s="399" t="s">
        <v>1412</v>
      </c>
      <c r="C3299" s="399" t="s">
        <v>184</v>
      </c>
      <c r="D3299" s="399">
        <v>6190</v>
      </c>
      <c r="E3299" s="399" t="s">
        <v>3961</v>
      </c>
      <c r="F3299" s="399" t="s">
        <v>3962</v>
      </c>
      <c r="G3299" s="399" t="s">
        <v>2221</v>
      </c>
      <c r="H3299" s="1235"/>
    </row>
    <row r="3300" spans="1:8" hidden="1">
      <c r="A3300" s="551" t="s">
        <v>2797</v>
      </c>
      <c r="B3300" s="399" t="s">
        <v>1412</v>
      </c>
      <c r="C3300" s="399" t="s">
        <v>184</v>
      </c>
      <c r="D3300" s="399">
        <v>6200</v>
      </c>
      <c r="E3300" s="399">
        <v>62</v>
      </c>
      <c r="F3300" s="399" t="s">
        <v>3963</v>
      </c>
      <c r="G3300" s="399" t="s">
        <v>2221</v>
      </c>
      <c r="H3300" s="1235"/>
    </row>
    <row r="3301" spans="1:8" hidden="1">
      <c r="A3301" s="551" t="s">
        <v>2797</v>
      </c>
      <c r="B3301" s="399" t="s">
        <v>1412</v>
      </c>
      <c r="C3301" s="399" t="s">
        <v>184</v>
      </c>
      <c r="D3301" s="399">
        <v>6201</v>
      </c>
      <c r="E3301" s="399" t="s">
        <v>3964</v>
      </c>
      <c r="F3301" s="399" t="s">
        <v>3965</v>
      </c>
      <c r="G3301" s="399" t="s">
        <v>2221</v>
      </c>
      <c r="H3301" s="1235"/>
    </row>
    <row r="3302" spans="1:8" hidden="1">
      <c r="A3302" s="551" t="s">
        <v>2797</v>
      </c>
      <c r="B3302" s="399" t="s">
        <v>1412</v>
      </c>
      <c r="C3302" s="399" t="s">
        <v>184</v>
      </c>
      <c r="D3302" s="399">
        <v>6202</v>
      </c>
      <c r="E3302" s="399" t="s">
        <v>3966</v>
      </c>
      <c r="F3302" s="399" t="s">
        <v>3967</v>
      </c>
      <c r="G3302" s="399" t="s">
        <v>2221</v>
      </c>
      <c r="H3302" s="1235"/>
    </row>
    <row r="3303" spans="1:8" hidden="1">
      <c r="A3303" s="551" t="s">
        <v>2797</v>
      </c>
      <c r="B3303" s="399" t="s">
        <v>1412</v>
      </c>
      <c r="C3303" s="399" t="s">
        <v>184</v>
      </c>
      <c r="D3303" s="399">
        <v>6203</v>
      </c>
      <c r="E3303" s="399" t="s">
        <v>3968</v>
      </c>
      <c r="F3303" s="399" t="s">
        <v>3969</v>
      </c>
      <c r="G3303" s="399" t="s">
        <v>2221</v>
      </c>
      <c r="H3303" s="1235"/>
    </row>
    <row r="3304" spans="1:8" hidden="1">
      <c r="A3304" s="551" t="s">
        <v>2797</v>
      </c>
      <c r="B3304" s="399" t="s">
        <v>1412</v>
      </c>
      <c r="C3304" s="399" t="s">
        <v>184</v>
      </c>
      <c r="D3304" s="399">
        <v>6209</v>
      </c>
      <c r="E3304" s="399" t="s">
        <v>3970</v>
      </c>
      <c r="F3304" s="399" t="s">
        <v>3971</v>
      </c>
      <c r="G3304" s="399" t="s">
        <v>2221</v>
      </c>
      <c r="H3304" s="1235"/>
    </row>
    <row r="3305" spans="1:8" hidden="1">
      <c r="A3305" s="551" t="s">
        <v>2797</v>
      </c>
      <c r="B3305" s="399" t="s">
        <v>1412</v>
      </c>
      <c r="C3305" s="399" t="s">
        <v>184</v>
      </c>
      <c r="D3305" s="399">
        <v>6300</v>
      </c>
      <c r="E3305" s="399">
        <v>63</v>
      </c>
      <c r="F3305" s="399" t="s">
        <v>3972</v>
      </c>
      <c r="G3305" s="399" t="s">
        <v>2221</v>
      </c>
      <c r="H3305" s="1235"/>
    </row>
    <row r="3306" spans="1:8" hidden="1">
      <c r="A3306" s="551" t="s">
        <v>2797</v>
      </c>
      <c r="B3306" s="399" t="s">
        <v>1412</v>
      </c>
      <c r="C3306" s="399" t="s">
        <v>184</v>
      </c>
      <c r="D3306" s="399">
        <v>6310</v>
      </c>
      <c r="E3306" s="399" t="s">
        <v>3973</v>
      </c>
      <c r="F3306" s="399" t="s">
        <v>3974</v>
      </c>
      <c r="G3306" s="399" t="s">
        <v>2221</v>
      </c>
      <c r="H3306" s="1235"/>
    </row>
    <row r="3307" spans="1:8" hidden="1">
      <c r="A3307" s="551" t="s">
        <v>2797</v>
      </c>
      <c r="B3307" s="399" t="s">
        <v>1412</v>
      </c>
      <c r="C3307" s="399" t="s">
        <v>184</v>
      </c>
      <c r="D3307" s="399">
        <v>6311</v>
      </c>
      <c r="E3307" s="399" t="s">
        <v>3975</v>
      </c>
      <c r="F3307" s="399" t="s">
        <v>3976</v>
      </c>
      <c r="G3307" s="399" t="s">
        <v>2221</v>
      </c>
      <c r="H3307" s="1235"/>
    </row>
    <row r="3308" spans="1:8" hidden="1">
      <c r="A3308" s="551" t="s">
        <v>2797</v>
      </c>
      <c r="B3308" s="399" t="s">
        <v>1412</v>
      </c>
      <c r="C3308" s="399" t="s">
        <v>184</v>
      </c>
      <c r="D3308" s="399">
        <v>6312</v>
      </c>
      <c r="E3308" s="399" t="s">
        <v>3977</v>
      </c>
      <c r="F3308" s="399" t="s">
        <v>3978</v>
      </c>
      <c r="G3308" s="399" t="s">
        <v>2221</v>
      </c>
      <c r="H3308" s="1235"/>
    </row>
    <row r="3309" spans="1:8" hidden="1">
      <c r="A3309" s="551" t="s">
        <v>2797</v>
      </c>
      <c r="B3309" s="399" t="s">
        <v>1412</v>
      </c>
      <c r="C3309" s="399" t="s">
        <v>184</v>
      </c>
      <c r="D3309" s="399">
        <v>6390</v>
      </c>
      <c r="E3309" s="399" t="s">
        <v>3979</v>
      </c>
      <c r="F3309" s="399" t="s">
        <v>3980</v>
      </c>
      <c r="G3309" s="399" t="s">
        <v>2221</v>
      </c>
      <c r="H3309" s="1235"/>
    </row>
    <row r="3310" spans="1:8" hidden="1">
      <c r="A3310" s="551" t="s">
        <v>2797</v>
      </c>
      <c r="B3310" s="399" t="s">
        <v>1412</v>
      </c>
      <c r="C3310" s="399" t="s">
        <v>184</v>
      </c>
      <c r="D3310" s="399">
        <v>6391</v>
      </c>
      <c r="E3310" s="399" t="s">
        <v>3981</v>
      </c>
      <c r="F3310" s="399" t="s">
        <v>3982</v>
      </c>
      <c r="G3310" s="399" t="s">
        <v>2221</v>
      </c>
      <c r="H3310" s="1235"/>
    </row>
    <row r="3311" spans="1:8" hidden="1">
      <c r="A3311" s="551" t="s">
        <v>2797</v>
      </c>
      <c r="B3311" s="399" t="s">
        <v>1412</v>
      </c>
      <c r="C3311" s="399" t="s">
        <v>184</v>
      </c>
      <c r="D3311" s="399">
        <v>6399</v>
      </c>
      <c r="E3311" s="399" t="s">
        <v>3983</v>
      </c>
      <c r="F3311" s="399" t="s">
        <v>3984</v>
      </c>
      <c r="G3311" s="399" t="s">
        <v>2221</v>
      </c>
      <c r="H3311" s="1235"/>
    </row>
    <row r="3312" spans="1:8" hidden="1">
      <c r="A3312" s="551" t="s">
        <v>2797</v>
      </c>
      <c r="B3312" s="399" t="s">
        <v>1412</v>
      </c>
      <c r="C3312" s="399" t="s">
        <v>184</v>
      </c>
      <c r="D3312" s="399">
        <v>6400</v>
      </c>
      <c r="E3312" s="399">
        <v>64</v>
      </c>
      <c r="F3312" s="399" t="s">
        <v>3985</v>
      </c>
      <c r="G3312" s="399" t="s">
        <v>2221</v>
      </c>
      <c r="H3312" s="1235"/>
    </row>
    <row r="3313" spans="1:8" hidden="1">
      <c r="A3313" s="551" t="s">
        <v>2797</v>
      </c>
      <c r="B3313" s="399" t="s">
        <v>1412</v>
      </c>
      <c r="C3313" s="399" t="s">
        <v>184</v>
      </c>
      <c r="D3313" s="399">
        <v>6410</v>
      </c>
      <c r="E3313" s="399" t="s">
        <v>3986</v>
      </c>
      <c r="F3313" s="399" t="s">
        <v>3987</v>
      </c>
      <c r="G3313" s="399" t="s">
        <v>2221</v>
      </c>
      <c r="H3313" s="1235"/>
    </row>
    <row r="3314" spans="1:8" hidden="1">
      <c r="A3314" s="551" t="s">
        <v>2797</v>
      </c>
      <c r="B3314" s="399" t="s">
        <v>1412</v>
      </c>
      <c r="C3314" s="399" t="s">
        <v>184</v>
      </c>
      <c r="D3314" s="399">
        <v>6411</v>
      </c>
      <c r="E3314" s="399" t="s">
        <v>3988</v>
      </c>
      <c r="F3314" s="399" t="s">
        <v>3989</v>
      </c>
      <c r="G3314" s="399" t="s">
        <v>2221</v>
      </c>
      <c r="H3314" s="1235"/>
    </row>
    <row r="3315" spans="1:8" hidden="1">
      <c r="A3315" s="551" t="s">
        <v>2797</v>
      </c>
      <c r="B3315" s="399" t="s">
        <v>1412</v>
      </c>
      <c r="C3315" s="399" t="s">
        <v>184</v>
      </c>
      <c r="D3315" s="399">
        <v>6419</v>
      </c>
      <c r="E3315" s="399" t="s">
        <v>3990</v>
      </c>
      <c r="F3315" s="399" t="s">
        <v>3991</v>
      </c>
      <c r="G3315" s="399" t="s">
        <v>2221</v>
      </c>
      <c r="H3315" s="1235"/>
    </row>
    <row r="3316" spans="1:8" hidden="1">
      <c r="A3316" s="551" t="s">
        <v>2797</v>
      </c>
      <c r="B3316" s="399" t="s">
        <v>1412</v>
      </c>
      <c r="C3316" s="399" t="s">
        <v>184</v>
      </c>
      <c r="D3316" s="399">
        <v>6420</v>
      </c>
      <c r="E3316" s="399" t="s">
        <v>3992</v>
      </c>
      <c r="F3316" s="399" t="s">
        <v>3993</v>
      </c>
      <c r="G3316" s="399" t="s">
        <v>2221</v>
      </c>
      <c r="H3316" s="1235"/>
    </row>
    <row r="3317" spans="1:8" hidden="1">
      <c r="A3317" s="551" t="s">
        <v>2797</v>
      </c>
      <c r="B3317" s="399" t="s">
        <v>1412</v>
      </c>
      <c r="C3317" s="399" t="s">
        <v>184</v>
      </c>
      <c r="D3317" s="399">
        <v>6430</v>
      </c>
      <c r="E3317" s="399" t="s">
        <v>3994</v>
      </c>
      <c r="F3317" s="399" t="s">
        <v>3995</v>
      </c>
      <c r="G3317" s="399" t="s">
        <v>2221</v>
      </c>
      <c r="H3317" s="1235"/>
    </row>
    <row r="3318" spans="1:8" hidden="1">
      <c r="A3318" s="551" t="s">
        <v>2797</v>
      </c>
      <c r="B3318" s="399" t="s">
        <v>1412</v>
      </c>
      <c r="C3318" s="399" t="s">
        <v>184</v>
      </c>
      <c r="D3318" s="399">
        <v>6490</v>
      </c>
      <c r="E3318" s="399" t="s">
        <v>3996</v>
      </c>
      <c r="F3318" s="399" t="s">
        <v>3997</v>
      </c>
      <c r="G3318" s="399" t="s">
        <v>2221</v>
      </c>
      <c r="H3318" s="1235"/>
    </row>
    <row r="3319" spans="1:8" hidden="1">
      <c r="A3319" s="551" t="s">
        <v>2797</v>
      </c>
      <c r="B3319" s="399" t="s">
        <v>1412</v>
      </c>
      <c r="C3319" s="399" t="s">
        <v>184</v>
      </c>
      <c r="D3319" s="399">
        <v>6491</v>
      </c>
      <c r="E3319" s="399" t="s">
        <v>3998</v>
      </c>
      <c r="F3319" s="399" t="s">
        <v>3999</v>
      </c>
      <c r="G3319" s="399" t="s">
        <v>2221</v>
      </c>
      <c r="H3319" s="1235"/>
    </row>
    <row r="3320" spans="1:8" hidden="1">
      <c r="A3320" s="551" t="s">
        <v>2797</v>
      </c>
      <c r="B3320" s="399" t="s">
        <v>1412</v>
      </c>
      <c r="C3320" s="399" t="s">
        <v>184</v>
      </c>
      <c r="D3320" s="399">
        <v>6492</v>
      </c>
      <c r="E3320" s="399" t="s">
        <v>4000</v>
      </c>
      <c r="F3320" s="399" t="s">
        <v>4001</v>
      </c>
      <c r="G3320" s="399" t="s">
        <v>2221</v>
      </c>
      <c r="H3320" s="1235"/>
    </row>
    <row r="3321" spans="1:8" hidden="1">
      <c r="A3321" s="551" t="s">
        <v>2797</v>
      </c>
      <c r="B3321" s="399" t="s">
        <v>1412</v>
      </c>
      <c r="C3321" s="399" t="s">
        <v>184</v>
      </c>
      <c r="D3321" s="399">
        <v>6499</v>
      </c>
      <c r="E3321" s="399" t="s">
        <v>4002</v>
      </c>
      <c r="F3321" s="399" t="s">
        <v>4003</v>
      </c>
      <c r="G3321" s="399" t="s">
        <v>2221</v>
      </c>
      <c r="H3321" s="1235"/>
    </row>
    <row r="3322" spans="1:8" hidden="1">
      <c r="A3322" s="551" t="s">
        <v>2797</v>
      </c>
      <c r="B3322" s="399" t="s">
        <v>1412</v>
      </c>
      <c r="C3322" s="399" t="s">
        <v>184</v>
      </c>
      <c r="D3322" s="399">
        <v>6500</v>
      </c>
      <c r="E3322" s="399">
        <v>65</v>
      </c>
      <c r="F3322" s="399" t="s">
        <v>4004</v>
      </c>
      <c r="G3322" s="399" t="s">
        <v>2221</v>
      </c>
      <c r="H3322" s="1235"/>
    </row>
    <row r="3323" spans="1:8" hidden="1">
      <c r="A3323" s="551" t="s">
        <v>2797</v>
      </c>
      <c r="B3323" s="399" t="s">
        <v>1412</v>
      </c>
      <c r="C3323" s="399" t="s">
        <v>184</v>
      </c>
      <c r="D3323" s="399">
        <v>6510</v>
      </c>
      <c r="E3323" s="399" t="s">
        <v>4005</v>
      </c>
      <c r="F3323" s="399" t="s">
        <v>4006</v>
      </c>
      <c r="G3323" s="399" t="s">
        <v>2221</v>
      </c>
      <c r="H3323" s="1235"/>
    </row>
    <row r="3324" spans="1:8" hidden="1">
      <c r="A3324" s="551" t="s">
        <v>2797</v>
      </c>
      <c r="B3324" s="399" t="s">
        <v>1412</v>
      </c>
      <c r="C3324" s="399" t="s">
        <v>184</v>
      </c>
      <c r="D3324" s="399">
        <v>6511</v>
      </c>
      <c r="E3324" s="399" t="s">
        <v>4007</v>
      </c>
      <c r="F3324" s="399" t="s">
        <v>4008</v>
      </c>
      <c r="G3324" s="399" t="s">
        <v>2221</v>
      </c>
      <c r="H3324" s="1235"/>
    </row>
    <row r="3325" spans="1:8" hidden="1">
      <c r="A3325" s="551" t="s">
        <v>2797</v>
      </c>
      <c r="B3325" s="399" t="s">
        <v>1412</v>
      </c>
      <c r="C3325" s="399" t="s">
        <v>184</v>
      </c>
      <c r="D3325" s="399">
        <v>6512</v>
      </c>
      <c r="E3325" s="399" t="s">
        <v>4009</v>
      </c>
      <c r="F3325" s="399" t="s">
        <v>4010</v>
      </c>
      <c r="G3325" s="399" t="s">
        <v>2221</v>
      </c>
      <c r="H3325" s="1235"/>
    </row>
    <row r="3326" spans="1:8" hidden="1">
      <c r="A3326" s="551" t="s">
        <v>2797</v>
      </c>
      <c r="B3326" s="399" t="s">
        <v>1412</v>
      </c>
      <c r="C3326" s="399" t="s">
        <v>184</v>
      </c>
      <c r="D3326" s="399">
        <v>6520</v>
      </c>
      <c r="E3326" s="399" t="s">
        <v>4011</v>
      </c>
      <c r="F3326" s="399" t="s">
        <v>4012</v>
      </c>
      <c r="G3326" s="399" t="s">
        <v>2221</v>
      </c>
      <c r="H3326" s="1235"/>
    </row>
    <row r="3327" spans="1:8" hidden="1">
      <c r="A3327" s="551" t="s">
        <v>2797</v>
      </c>
      <c r="B3327" s="399" t="s">
        <v>1412</v>
      </c>
      <c r="C3327" s="399" t="s">
        <v>184</v>
      </c>
      <c r="D3327" s="399">
        <v>6530</v>
      </c>
      <c r="E3327" s="399" t="s">
        <v>4013</v>
      </c>
      <c r="F3327" s="399" t="s">
        <v>4014</v>
      </c>
      <c r="G3327" s="399" t="s">
        <v>2221</v>
      </c>
      <c r="H3327" s="1235"/>
    </row>
    <row r="3328" spans="1:8" hidden="1">
      <c r="A3328" s="551" t="s">
        <v>2797</v>
      </c>
      <c r="B3328" s="399" t="s">
        <v>1412</v>
      </c>
      <c r="C3328" s="399" t="s">
        <v>184</v>
      </c>
      <c r="D3328" s="399">
        <v>6600</v>
      </c>
      <c r="E3328" s="399">
        <v>66</v>
      </c>
      <c r="F3328" s="399" t="s">
        <v>4015</v>
      </c>
      <c r="G3328" s="399" t="s">
        <v>2221</v>
      </c>
      <c r="H3328" s="1235"/>
    </row>
    <row r="3329" spans="1:8" hidden="1">
      <c r="A3329" s="551" t="s">
        <v>2797</v>
      </c>
      <c r="B3329" s="399" t="s">
        <v>1412</v>
      </c>
      <c r="C3329" s="399" t="s">
        <v>184</v>
      </c>
      <c r="D3329" s="399">
        <v>6610</v>
      </c>
      <c r="E3329" s="399" t="s">
        <v>4016</v>
      </c>
      <c r="F3329" s="399" t="s">
        <v>4017</v>
      </c>
      <c r="G3329" s="399" t="s">
        <v>2221</v>
      </c>
      <c r="H3329" s="1235"/>
    </row>
    <row r="3330" spans="1:8" hidden="1">
      <c r="A3330" s="551" t="s">
        <v>2797</v>
      </c>
      <c r="B3330" s="399" t="s">
        <v>1412</v>
      </c>
      <c r="C3330" s="399" t="s">
        <v>184</v>
      </c>
      <c r="D3330" s="399">
        <v>6611</v>
      </c>
      <c r="E3330" s="399" t="s">
        <v>4018</v>
      </c>
      <c r="F3330" s="399" t="s">
        <v>4019</v>
      </c>
      <c r="G3330" s="399" t="s">
        <v>2221</v>
      </c>
      <c r="H3330" s="1235"/>
    </row>
    <row r="3331" spans="1:8" hidden="1">
      <c r="A3331" s="551" t="s">
        <v>2797</v>
      </c>
      <c r="B3331" s="399" t="s">
        <v>1412</v>
      </c>
      <c r="C3331" s="399" t="s">
        <v>184</v>
      </c>
      <c r="D3331" s="399">
        <v>6612</v>
      </c>
      <c r="E3331" s="399" t="s">
        <v>4020</v>
      </c>
      <c r="F3331" s="399" t="s">
        <v>4021</v>
      </c>
      <c r="G3331" s="399" t="s">
        <v>2221</v>
      </c>
      <c r="H3331" s="1235"/>
    </row>
    <row r="3332" spans="1:8" hidden="1">
      <c r="A3332" s="551" t="s">
        <v>2797</v>
      </c>
      <c r="B3332" s="399" t="s">
        <v>1412</v>
      </c>
      <c r="C3332" s="399" t="s">
        <v>184</v>
      </c>
      <c r="D3332" s="399">
        <v>6619</v>
      </c>
      <c r="E3332" s="399" t="s">
        <v>4022</v>
      </c>
      <c r="F3332" s="399" t="s">
        <v>4023</v>
      </c>
      <c r="G3332" s="399" t="s">
        <v>2221</v>
      </c>
      <c r="H3332" s="1235"/>
    </row>
    <row r="3333" spans="1:8" hidden="1">
      <c r="A3333" s="551" t="s">
        <v>2797</v>
      </c>
      <c r="B3333" s="399" t="s">
        <v>1412</v>
      </c>
      <c r="C3333" s="399" t="s">
        <v>184</v>
      </c>
      <c r="D3333" s="399">
        <v>6620</v>
      </c>
      <c r="E3333" s="399" t="s">
        <v>4024</v>
      </c>
      <c r="F3333" s="399" t="s">
        <v>4025</v>
      </c>
      <c r="G3333" s="399" t="s">
        <v>2221</v>
      </c>
      <c r="H3333" s="1235"/>
    </row>
    <row r="3334" spans="1:8" hidden="1">
      <c r="A3334" s="551" t="s">
        <v>2797</v>
      </c>
      <c r="B3334" s="399" t="s">
        <v>1412</v>
      </c>
      <c r="C3334" s="399" t="s">
        <v>184</v>
      </c>
      <c r="D3334" s="399">
        <v>6621</v>
      </c>
      <c r="E3334" s="399" t="s">
        <v>4026</v>
      </c>
      <c r="F3334" s="399" t="s">
        <v>4027</v>
      </c>
      <c r="G3334" s="399" t="s">
        <v>2221</v>
      </c>
      <c r="H3334" s="1235"/>
    </row>
    <row r="3335" spans="1:8" hidden="1">
      <c r="A3335" s="551" t="s">
        <v>2797</v>
      </c>
      <c r="B3335" s="399" t="s">
        <v>1412</v>
      </c>
      <c r="C3335" s="399" t="s">
        <v>184</v>
      </c>
      <c r="D3335" s="399">
        <v>6622</v>
      </c>
      <c r="E3335" s="399" t="s">
        <v>4028</v>
      </c>
      <c r="F3335" s="399" t="s">
        <v>4029</v>
      </c>
      <c r="G3335" s="399" t="s">
        <v>2221</v>
      </c>
      <c r="H3335" s="1235"/>
    </row>
    <row r="3336" spans="1:8" hidden="1">
      <c r="A3336" s="551" t="s">
        <v>2797</v>
      </c>
      <c r="B3336" s="399" t="s">
        <v>1412</v>
      </c>
      <c r="C3336" s="399" t="s">
        <v>184</v>
      </c>
      <c r="D3336" s="399">
        <v>6629</v>
      </c>
      <c r="E3336" s="399" t="s">
        <v>4030</v>
      </c>
      <c r="F3336" s="399" t="s">
        <v>4031</v>
      </c>
      <c r="G3336" s="399" t="s">
        <v>2221</v>
      </c>
      <c r="H3336" s="1235"/>
    </row>
    <row r="3337" spans="1:8" hidden="1">
      <c r="A3337" s="551" t="s">
        <v>2797</v>
      </c>
      <c r="B3337" s="399" t="s">
        <v>1412</v>
      </c>
      <c r="C3337" s="399" t="s">
        <v>184</v>
      </c>
      <c r="D3337" s="399">
        <v>6630</v>
      </c>
      <c r="E3337" s="399" t="s">
        <v>4032</v>
      </c>
      <c r="F3337" s="399" t="s">
        <v>4033</v>
      </c>
      <c r="G3337" s="399" t="s">
        <v>2221</v>
      </c>
      <c r="H3337" s="1235"/>
    </row>
    <row r="3338" spans="1:8" hidden="1">
      <c r="A3338" s="551" t="s">
        <v>2797</v>
      </c>
      <c r="B3338" s="399" t="s">
        <v>1412</v>
      </c>
      <c r="C3338" s="399" t="s">
        <v>184</v>
      </c>
      <c r="D3338" s="399">
        <v>6800</v>
      </c>
      <c r="E3338" s="399">
        <v>68</v>
      </c>
      <c r="F3338" s="399" t="s">
        <v>4034</v>
      </c>
      <c r="G3338" s="399" t="s">
        <v>2221</v>
      </c>
      <c r="H3338" s="1235"/>
    </row>
    <row r="3339" spans="1:8" hidden="1">
      <c r="A3339" s="551" t="s">
        <v>2797</v>
      </c>
      <c r="B3339" s="399" t="s">
        <v>1412</v>
      </c>
      <c r="C3339" s="399" t="s">
        <v>184</v>
      </c>
      <c r="D3339" s="399">
        <v>6810</v>
      </c>
      <c r="E3339" s="399" t="s">
        <v>4035</v>
      </c>
      <c r="F3339" s="399" t="s">
        <v>4036</v>
      </c>
      <c r="G3339" s="399" t="s">
        <v>2221</v>
      </c>
      <c r="H3339" s="1235"/>
    </row>
    <row r="3340" spans="1:8" hidden="1">
      <c r="A3340" s="551" t="s">
        <v>2797</v>
      </c>
      <c r="B3340" s="399" t="s">
        <v>1412</v>
      </c>
      <c r="C3340" s="399" t="s">
        <v>184</v>
      </c>
      <c r="D3340" s="399">
        <v>6820</v>
      </c>
      <c r="E3340" s="399" t="s">
        <v>4037</v>
      </c>
      <c r="F3340" s="399" t="s">
        <v>4038</v>
      </c>
      <c r="G3340" s="399" t="s">
        <v>2221</v>
      </c>
      <c r="H3340" s="1235"/>
    </row>
    <row r="3341" spans="1:8" hidden="1">
      <c r="A3341" s="551" t="s">
        <v>2797</v>
      </c>
      <c r="B3341" s="399" t="s">
        <v>1412</v>
      </c>
      <c r="C3341" s="399" t="s">
        <v>184</v>
      </c>
      <c r="D3341" s="399">
        <v>6830</v>
      </c>
      <c r="E3341" s="399" t="s">
        <v>4039</v>
      </c>
      <c r="F3341" s="399" t="s">
        <v>4040</v>
      </c>
      <c r="G3341" s="399" t="s">
        <v>2221</v>
      </c>
      <c r="H3341" s="1235"/>
    </row>
    <row r="3342" spans="1:8" hidden="1">
      <c r="A3342" s="551" t="s">
        <v>2797</v>
      </c>
      <c r="B3342" s="399" t="s">
        <v>1412</v>
      </c>
      <c r="C3342" s="399" t="s">
        <v>184</v>
      </c>
      <c r="D3342" s="399">
        <v>6831</v>
      </c>
      <c r="E3342" s="399" t="s">
        <v>4041</v>
      </c>
      <c r="F3342" s="399" t="s">
        <v>4042</v>
      </c>
      <c r="G3342" s="399" t="s">
        <v>2221</v>
      </c>
      <c r="H3342" s="1235"/>
    </row>
    <row r="3343" spans="1:8" hidden="1">
      <c r="A3343" s="551" t="s">
        <v>2797</v>
      </c>
      <c r="B3343" s="399" t="s">
        <v>1412</v>
      </c>
      <c r="C3343" s="399" t="s">
        <v>184</v>
      </c>
      <c r="D3343" s="399">
        <v>6832</v>
      </c>
      <c r="E3343" s="399" t="s">
        <v>4043</v>
      </c>
      <c r="F3343" s="399" t="s">
        <v>4044</v>
      </c>
      <c r="G3343" s="399" t="s">
        <v>2221</v>
      </c>
      <c r="H3343" s="1235"/>
    </row>
    <row r="3344" spans="1:8" hidden="1">
      <c r="A3344" s="551" t="s">
        <v>2797</v>
      </c>
      <c r="B3344" s="399" t="s">
        <v>1412</v>
      </c>
      <c r="C3344" s="399" t="s">
        <v>184</v>
      </c>
      <c r="D3344" s="399">
        <v>6900</v>
      </c>
      <c r="E3344" s="399">
        <v>69</v>
      </c>
      <c r="F3344" s="399" t="s">
        <v>4045</v>
      </c>
      <c r="G3344" s="399" t="s">
        <v>2221</v>
      </c>
      <c r="H3344" s="1235"/>
    </row>
    <row r="3345" spans="1:8" hidden="1">
      <c r="A3345" s="551" t="s">
        <v>2797</v>
      </c>
      <c r="B3345" s="399" t="s">
        <v>1412</v>
      </c>
      <c r="C3345" s="399" t="s">
        <v>184</v>
      </c>
      <c r="D3345" s="399">
        <v>6910</v>
      </c>
      <c r="E3345" s="399" t="s">
        <v>4046</v>
      </c>
      <c r="F3345" s="399" t="s">
        <v>4047</v>
      </c>
      <c r="G3345" s="399" t="s">
        <v>2221</v>
      </c>
      <c r="H3345" s="1235"/>
    </row>
    <row r="3346" spans="1:8" hidden="1">
      <c r="A3346" s="551" t="s">
        <v>2797</v>
      </c>
      <c r="B3346" s="399" t="s">
        <v>1412</v>
      </c>
      <c r="C3346" s="399" t="s">
        <v>184</v>
      </c>
      <c r="D3346" s="399">
        <v>6920</v>
      </c>
      <c r="E3346" s="399" t="s">
        <v>4048</v>
      </c>
      <c r="F3346" s="399" t="s">
        <v>4049</v>
      </c>
      <c r="G3346" s="399" t="s">
        <v>2221</v>
      </c>
      <c r="H3346" s="1235"/>
    </row>
    <row r="3347" spans="1:8" hidden="1">
      <c r="A3347" s="551" t="s">
        <v>2797</v>
      </c>
      <c r="B3347" s="399" t="s">
        <v>1412</v>
      </c>
      <c r="C3347" s="399" t="s">
        <v>184</v>
      </c>
      <c r="D3347" s="399">
        <v>7000</v>
      </c>
      <c r="E3347" s="399">
        <v>70</v>
      </c>
      <c r="F3347" s="399" t="s">
        <v>4050</v>
      </c>
      <c r="G3347" s="399" t="s">
        <v>2221</v>
      </c>
      <c r="H3347" s="1235"/>
    </row>
    <row r="3348" spans="1:8" hidden="1">
      <c r="A3348" s="551" t="s">
        <v>2797</v>
      </c>
      <c r="B3348" s="399" t="s">
        <v>1412</v>
      </c>
      <c r="C3348" s="399" t="s">
        <v>184</v>
      </c>
      <c r="D3348" s="399">
        <v>7010</v>
      </c>
      <c r="E3348" s="399" t="s">
        <v>4051</v>
      </c>
      <c r="F3348" s="399" t="s">
        <v>4052</v>
      </c>
      <c r="G3348" s="399" t="s">
        <v>2221</v>
      </c>
      <c r="H3348" s="1235"/>
    </row>
    <row r="3349" spans="1:8" hidden="1">
      <c r="A3349" s="551" t="s">
        <v>2797</v>
      </c>
      <c r="B3349" s="399" t="s">
        <v>1412</v>
      </c>
      <c r="C3349" s="399" t="s">
        <v>184</v>
      </c>
      <c r="D3349" s="399">
        <v>7020</v>
      </c>
      <c r="E3349" s="399" t="s">
        <v>4053</v>
      </c>
      <c r="F3349" s="399" t="s">
        <v>4054</v>
      </c>
      <c r="G3349" s="399" t="s">
        <v>2221</v>
      </c>
      <c r="H3349" s="1235"/>
    </row>
    <row r="3350" spans="1:8" hidden="1">
      <c r="A3350" s="551" t="s">
        <v>2797</v>
      </c>
      <c r="B3350" s="399" t="s">
        <v>1412</v>
      </c>
      <c r="C3350" s="399" t="s">
        <v>184</v>
      </c>
      <c r="D3350" s="399">
        <v>7021</v>
      </c>
      <c r="E3350" s="399" t="s">
        <v>4055</v>
      </c>
      <c r="F3350" s="399" t="s">
        <v>4056</v>
      </c>
      <c r="G3350" s="399" t="s">
        <v>2221</v>
      </c>
      <c r="H3350" s="1235"/>
    </row>
    <row r="3351" spans="1:8" hidden="1">
      <c r="A3351" s="551" t="s">
        <v>2797</v>
      </c>
      <c r="B3351" s="399" t="s">
        <v>1412</v>
      </c>
      <c r="C3351" s="399" t="s">
        <v>184</v>
      </c>
      <c r="D3351" s="399">
        <v>7022</v>
      </c>
      <c r="E3351" s="399" t="s">
        <v>4057</v>
      </c>
      <c r="F3351" s="399" t="s">
        <v>4058</v>
      </c>
      <c r="G3351" s="399" t="s">
        <v>2221</v>
      </c>
      <c r="H3351" s="1235"/>
    </row>
    <row r="3352" spans="1:8" hidden="1">
      <c r="A3352" s="551" t="s">
        <v>2797</v>
      </c>
      <c r="B3352" s="399" t="s">
        <v>1412</v>
      </c>
      <c r="C3352" s="399" t="s">
        <v>184</v>
      </c>
      <c r="D3352" s="399">
        <v>7100</v>
      </c>
      <c r="E3352" s="399">
        <v>71</v>
      </c>
      <c r="F3352" s="399" t="s">
        <v>4059</v>
      </c>
      <c r="G3352" s="399" t="s">
        <v>2221</v>
      </c>
      <c r="H3352" s="1235"/>
    </row>
    <row r="3353" spans="1:8" hidden="1">
      <c r="A3353" s="551" t="s">
        <v>2797</v>
      </c>
      <c r="B3353" s="399" t="s">
        <v>1412</v>
      </c>
      <c r="C3353" s="399" t="s">
        <v>184</v>
      </c>
      <c r="D3353" s="399">
        <v>7110</v>
      </c>
      <c r="E3353" s="399" t="s">
        <v>4060</v>
      </c>
      <c r="F3353" s="399" t="s">
        <v>4061</v>
      </c>
      <c r="G3353" s="399" t="s">
        <v>2221</v>
      </c>
      <c r="H3353" s="1235"/>
    </row>
    <row r="3354" spans="1:8" hidden="1">
      <c r="A3354" s="551" t="s">
        <v>2797</v>
      </c>
      <c r="B3354" s="399" t="s">
        <v>1412</v>
      </c>
      <c r="C3354" s="399" t="s">
        <v>184</v>
      </c>
      <c r="D3354" s="399">
        <v>7111</v>
      </c>
      <c r="E3354" s="399" t="s">
        <v>4062</v>
      </c>
      <c r="F3354" s="399" t="s">
        <v>4063</v>
      </c>
      <c r="G3354" s="399" t="s">
        <v>2221</v>
      </c>
      <c r="H3354" s="1235"/>
    </row>
    <row r="3355" spans="1:8" hidden="1">
      <c r="A3355" s="551" t="s">
        <v>2797</v>
      </c>
      <c r="B3355" s="399" t="s">
        <v>1412</v>
      </c>
      <c r="C3355" s="399" t="s">
        <v>184</v>
      </c>
      <c r="D3355" s="399">
        <v>7112</v>
      </c>
      <c r="E3355" s="399" t="s">
        <v>4064</v>
      </c>
      <c r="F3355" s="399" t="s">
        <v>4065</v>
      </c>
      <c r="G3355" s="399" t="s">
        <v>2221</v>
      </c>
      <c r="H3355" s="1235"/>
    </row>
    <row r="3356" spans="1:8" hidden="1">
      <c r="A3356" s="551" t="s">
        <v>2797</v>
      </c>
      <c r="B3356" s="399" t="s">
        <v>1412</v>
      </c>
      <c r="C3356" s="399" t="s">
        <v>184</v>
      </c>
      <c r="D3356" s="399">
        <v>7120</v>
      </c>
      <c r="E3356" s="399" t="s">
        <v>4066</v>
      </c>
      <c r="F3356" s="399" t="s">
        <v>4067</v>
      </c>
      <c r="G3356" s="399" t="s">
        <v>2221</v>
      </c>
      <c r="H3356" s="1235"/>
    </row>
    <row r="3357" spans="1:8" hidden="1">
      <c r="A3357" s="551" t="s">
        <v>2797</v>
      </c>
      <c r="B3357" s="399" t="s">
        <v>1412</v>
      </c>
      <c r="C3357" s="399" t="s">
        <v>184</v>
      </c>
      <c r="D3357" s="399">
        <v>7200</v>
      </c>
      <c r="E3357" s="399">
        <v>72</v>
      </c>
      <c r="F3357" s="399" t="s">
        <v>4068</v>
      </c>
      <c r="G3357" s="399" t="s">
        <v>2221</v>
      </c>
      <c r="H3357" s="1235"/>
    </row>
    <row r="3358" spans="1:8" hidden="1">
      <c r="A3358" s="551" t="s">
        <v>2797</v>
      </c>
      <c r="B3358" s="399" t="s">
        <v>1412</v>
      </c>
      <c r="C3358" s="399" t="s">
        <v>184</v>
      </c>
      <c r="D3358" s="399">
        <v>7210</v>
      </c>
      <c r="E3358" s="399" t="s">
        <v>4069</v>
      </c>
      <c r="F3358" s="399" t="s">
        <v>4070</v>
      </c>
      <c r="G3358" s="399" t="s">
        <v>2221</v>
      </c>
      <c r="H3358" s="1235"/>
    </row>
    <row r="3359" spans="1:8" hidden="1">
      <c r="A3359" s="551" t="s">
        <v>2797</v>
      </c>
      <c r="B3359" s="399" t="s">
        <v>1412</v>
      </c>
      <c r="C3359" s="399" t="s">
        <v>184</v>
      </c>
      <c r="D3359" s="399">
        <v>7211</v>
      </c>
      <c r="E3359" s="399" t="s">
        <v>4071</v>
      </c>
      <c r="F3359" s="399" t="s">
        <v>4072</v>
      </c>
      <c r="G3359" s="399" t="s">
        <v>2221</v>
      </c>
      <c r="H3359" s="1235"/>
    </row>
    <row r="3360" spans="1:8" hidden="1">
      <c r="A3360" s="551" t="s">
        <v>2797</v>
      </c>
      <c r="B3360" s="399" t="s">
        <v>1412</v>
      </c>
      <c r="C3360" s="399" t="s">
        <v>184</v>
      </c>
      <c r="D3360" s="399">
        <v>7219</v>
      </c>
      <c r="E3360" s="399" t="s">
        <v>4073</v>
      </c>
      <c r="F3360" s="399" t="s">
        <v>4074</v>
      </c>
      <c r="G3360" s="399" t="s">
        <v>2221</v>
      </c>
      <c r="H3360" s="1235"/>
    </row>
    <row r="3361" spans="1:8" hidden="1">
      <c r="A3361" s="551" t="s">
        <v>2797</v>
      </c>
      <c r="B3361" s="399" t="s">
        <v>1412</v>
      </c>
      <c r="C3361" s="399" t="s">
        <v>184</v>
      </c>
      <c r="D3361" s="399">
        <v>7220</v>
      </c>
      <c r="E3361" s="399" t="s">
        <v>4075</v>
      </c>
      <c r="F3361" s="399" t="s">
        <v>4076</v>
      </c>
      <c r="G3361" s="399" t="s">
        <v>2221</v>
      </c>
      <c r="H3361" s="1235"/>
    </row>
    <row r="3362" spans="1:8" hidden="1">
      <c r="A3362" s="551" t="s">
        <v>2797</v>
      </c>
      <c r="B3362" s="399" t="s">
        <v>1412</v>
      </c>
      <c r="C3362" s="399" t="s">
        <v>184</v>
      </c>
      <c r="D3362" s="399">
        <v>7300</v>
      </c>
      <c r="E3362" s="399">
        <v>73</v>
      </c>
      <c r="F3362" s="399" t="s">
        <v>4077</v>
      </c>
      <c r="G3362" s="399" t="s">
        <v>2221</v>
      </c>
      <c r="H3362" s="1235"/>
    </row>
    <row r="3363" spans="1:8" hidden="1">
      <c r="A3363" s="551" t="s">
        <v>2797</v>
      </c>
      <c r="B3363" s="399" t="s">
        <v>1412</v>
      </c>
      <c r="C3363" s="399" t="s">
        <v>184</v>
      </c>
      <c r="D3363" s="399">
        <v>7310</v>
      </c>
      <c r="E3363" s="399" t="s">
        <v>4078</v>
      </c>
      <c r="F3363" s="399" t="s">
        <v>4079</v>
      </c>
      <c r="G3363" s="399" t="s">
        <v>2221</v>
      </c>
      <c r="H3363" s="1235"/>
    </row>
    <row r="3364" spans="1:8" hidden="1">
      <c r="A3364" s="551" t="s">
        <v>2797</v>
      </c>
      <c r="B3364" s="399" t="s">
        <v>1412</v>
      </c>
      <c r="C3364" s="399" t="s">
        <v>184</v>
      </c>
      <c r="D3364" s="399">
        <v>7311</v>
      </c>
      <c r="E3364" s="399" t="s">
        <v>4080</v>
      </c>
      <c r="F3364" s="399" t="s">
        <v>4081</v>
      </c>
      <c r="G3364" s="399" t="s">
        <v>2221</v>
      </c>
      <c r="H3364" s="1235"/>
    </row>
    <row r="3365" spans="1:8" hidden="1">
      <c r="A3365" s="551" t="s">
        <v>2797</v>
      </c>
      <c r="B3365" s="399" t="s">
        <v>1412</v>
      </c>
      <c r="C3365" s="399" t="s">
        <v>184</v>
      </c>
      <c r="D3365" s="399">
        <v>7312</v>
      </c>
      <c r="E3365" s="399" t="s">
        <v>4082</v>
      </c>
      <c r="F3365" s="399" t="s">
        <v>4083</v>
      </c>
      <c r="G3365" s="399" t="s">
        <v>2221</v>
      </c>
      <c r="H3365" s="1235"/>
    </row>
    <row r="3366" spans="1:8" hidden="1">
      <c r="A3366" s="551" t="s">
        <v>2797</v>
      </c>
      <c r="B3366" s="399" t="s">
        <v>1412</v>
      </c>
      <c r="C3366" s="399" t="s">
        <v>184</v>
      </c>
      <c r="D3366" s="399">
        <v>7320</v>
      </c>
      <c r="E3366" s="399" t="s">
        <v>4084</v>
      </c>
      <c r="F3366" s="399" t="s">
        <v>4085</v>
      </c>
      <c r="G3366" s="399" t="s">
        <v>2221</v>
      </c>
      <c r="H3366" s="1235"/>
    </row>
    <row r="3367" spans="1:8" hidden="1">
      <c r="A3367" s="551" t="s">
        <v>2797</v>
      </c>
      <c r="B3367" s="399" t="s">
        <v>1412</v>
      </c>
      <c r="C3367" s="399" t="s">
        <v>184</v>
      </c>
      <c r="D3367" s="399">
        <v>7400</v>
      </c>
      <c r="E3367" s="399">
        <v>74</v>
      </c>
      <c r="F3367" s="399" t="s">
        <v>4086</v>
      </c>
      <c r="G3367" s="399" t="s">
        <v>2221</v>
      </c>
      <c r="H3367" s="1235"/>
    </row>
    <row r="3368" spans="1:8" hidden="1">
      <c r="A3368" s="551" t="s">
        <v>2797</v>
      </c>
      <c r="B3368" s="399" t="s">
        <v>1412</v>
      </c>
      <c r="C3368" s="399" t="s">
        <v>184</v>
      </c>
      <c r="D3368" s="399">
        <v>7410</v>
      </c>
      <c r="E3368" s="399" t="s">
        <v>4087</v>
      </c>
      <c r="F3368" s="399" t="s">
        <v>4088</v>
      </c>
      <c r="G3368" s="399" t="s">
        <v>2221</v>
      </c>
      <c r="H3368" s="1235"/>
    </row>
    <row r="3369" spans="1:8" hidden="1">
      <c r="A3369" s="551" t="s">
        <v>2797</v>
      </c>
      <c r="B3369" s="399" t="s">
        <v>1412</v>
      </c>
      <c r="C3369" s="399" t="s">
        <v>184</v>
      </c>
      <c r="D3369" s="399">
        <v>7420</v>
      </c>
      <c r="E3369" s="399" t="s">
        <v>4089</v>
      </c>
      <c r="F3369" s="399" t="s">
        <v>4090</v>
      </c>
      <c r="G3369" s="399" t="s">
        <v>2221</v>
      </c>
      <c r="H3369" s="1235"/>
    </row>
    <row r="3370" spans="1:8" hidden="1">
      <c r="A3370" s="551" t="s">
        <v>2797</v>
      </c>
      <c r="B3370" s="399" t="s">
        <v>1412</v>
      </c>
      <c r="C3370" s="399" t="s">
        <v>184</v>
      </c>
      <c r="D3370" s="399">
        <v>7430</v>
      </c>
      <c r="E3370" s="399" t="s">
        <v>4091</v>
      </c>
      <c r="F3370" s="399" t="s">
        <v>4092</v>
      </c>
      <c r="G3370" s="399" t="s">
        <v>2221</v>
      </c>
      <c r="H3370" s="1235"/>
    </row>
    <row r="3371" spans="1:8" hidden="1">
      <c r="A3371" s="551" t="s">
        <v>2797</v>
      </c>
      <c r="B3371" s="399" t="s">
        <v>1412</v>
      </c>
      <c r="C3371" s="399" t="s">
        <v>184</v>
      </c>
      <c r="D3371" s="399">
        <v>7490</v>
      </c>
      <c r="E3371" s="399" t="s">
        <v>4093</v>
      </c>
      <c r="F3371" s="399" t="s">
        <v>4094</v>
      </c>
      <c r="G3371" s="399" t="s">
        <v>2221</v>
      </c>
      <c r="H3371" s="1235"/>
    </row>
    <row r="3372" spans="1:8" hidden="1">
      <c r="A3372" s="551" t="s">
        <v>2797</v>
      </c>
      <c r="B3372" s="399" t="s">
        <v>1412</v>
      </c>
      <c r="C3372" s="399" t="s">
        <v>184</v>
      </c>
      <c r="D3372" s="399">
        <v>7500</v>
      </c>
      <c r="E3372" s="399">
        <v>75</v>
      </c>
      <c r="F3372" s="399" t="s">
        <v>4095</v>
      </c>
      <c r="G3372" s="399" t="s">
        <v>2221</v>
      </c>
      <c r="H3372" s="1235"/>
    </row>
    <row r="3373" spans="1:8" hidden="1">
      <c r="A3373" s="551" t="s">
        <v>2797</v>
      </c>
      <c r="B3373" s="399" t="s">
        <v>1412</v>
      </c>
      <c r="C3373" s="399" t="s">
        <v>184</v>
      </c>
      <c r="D3373" s="399">
        <v>7700</v>
      </c>
      <c r="E3373" s="399">
        <v>77</v>
      </c>
      <c r="F3373" s="399" t="s">
        <v>4096</v>
      </c>
      <c r="G3373" s="399" t="s">
        <v>2221</v>
      </c>
      <c r="H3373" s="1235"/>
    </row>
    <row r="3374" spans="1:8" hidden="1">
      <c r="A3374" s="551" t="s">
        <v>2797</v>
      </c>
      <c r="B3374" s="399" t="s">
        <v>1412</v>
      </c>
      <c r="C3374" s="399" t="s">
        <v>184</v>
      </c>
      <c r="D3374" s="399">
        <v>7710</v>
      </c>
      <c r="E3374" s="399" t="s">
        <v>4097</v>
      </c>
      <c r="F3374" s="399" t="s">
        <v>4098</v>
      </c>
      <c r="G3374" s="399" t="s">
        <v>2221</v>
      </c>
      <c r="H3374" s="1235"/>
    </row>
    <row r="3375" spans="1:8" hidden="1">
      <c r="A3375" s="551" t="s">
        <v>2797</v>
      </c>
      <c r="B3375" s="399" t="s">
        <v>1412</v>
      </c>
      <c r="C3375" s="399" t="s">
        <v>184</v>
      </c>
      <c r="D3375" s="399">
        <v>7711</v>
      </c>
      <c r="E3375" s="399" t="s">
        <v>4099</v>
      </c>
      <c r="F3375" s="399" t="s">
        <v>4100</v>
      </c>
      <c r="G3375" s="399" t="s">
        <v>2221</v>
      </c>
      <c r="H3375" s="1235"/>
    </row>
    <row r="3376" spans="1:8" hidden="1">
      <c r="A3376" s="551" t="s">
        <v>2797</v>
      </c>
      <c r="B3376" s="399" t="s">
        <v>1412</v>
      </c>
      <c r="C3376" s="399" t="s">
        <v>184</v>
      </c>
      <c r="D3376" s="399">
        <v>7712</v>
      </c>
      <c r="E3376" s="399" t="s">
        <v>4101</v>
      </c>
      <c r="F3376" s="399" t="s">
        <v>4102</v>
      </c>
      <c r="G3376" s="399" t="s">
        <v>2221</v>
      </c>
      <c r="H3376" s="1235"/>
    </row>
    <row r="3377" spans="1:8" hidden="1">
      <c r="A3377" s="551" t="s">
        <v>2797</v>
      </c>
      <c r="B3377" s="399" t="s">
        <v>1412</v>
      </c>
      <c r="C3377" s="399" t="s">
        <v>184</v>
      </c>
      <c r="D3377" s="399">
        <v>7720</v>
      </c>
      <c r="E3377" s="399" t="s">
        <v>4103</v>
      </c>
      <c r="F3377" s="399" t="s">
        <v>4104</v>
      </c>
      <c r="G3377" s="399" t="s">
        <v>2221</v>
      </c>
      <c r="H3377" s="1235"/>
    </row>
    <row r="3378" spans="1:8" hidden="1">
      <c r="A3378" s="551" t="s">
        <v>2797</v>
      </c>
      <c r="B3378" s="399" t="s">
        <v>1412</v>
      </c>
      <c r="C3378" s="399" t="s">
        <v>184</v>
      </c>
      <c r="D3378" s="399">
        <v>7721</v>
      </c>
      <c r="E3378" s="399" t="s">
        <v>4105</v>
      </c>
      <c r="F3378" s="399" t="s">
        <v>4106</v>
      </c>
      <c r="G3378" s="399" t="s">
        <v>2221</v>
      </c>
      <c r="H3378" s="1235"/>
    </row>
    <row r="3379" spans="1:8" hidden="1">
      <c r="A3379" s="551" t="s">
        <v>2797</v>
      </c>
      <c r="B3379" s="399" t="s">
        <v>1412</v>
      </c>
      <c r="C3379" s="399" t="s">
        <v>184</v>
      </c>
      <c r="D3379" s="399">
        <v>7722</v>
      </c>
      <c r="E3379" s="399" t="s">
        <v>4107</v>
      </c>
      <c r="F3379" s="399" t="s">
        <v>4108</v>
      </c>
      <c r="G3379" s="399" t="s">
        <v>2221</v>
      </c>
      <c r="H3379" s="1235"/>
    </row>
    <row r="3380" spans="1:8" hidden="1">
      <c r="A3380" s="551" t="s">
        <v>2797</v>
      </c>
      <c r="B3380" s="399" t="s">
        <v>1412</v>
      </c>
      <c r="C3380" s="399" t="s">
        <v>184</v>
      </c>
      <c r="D3380" s="399">
        <v>7729</v>
      </c>
      <c r="E3380" s="399" t="s">
        <v>4109</v>
      </c>
      <c r="F3380" s="399" t="s">
        <v>4110</v>
      </c>
      <c r="G3380" s="399" t="s">
        <v>2221</v>
      </c>
      <c r="H3380" s="1235"/>
    </row>
    <row r="3381" spans="1:8" hidden="1">
      <c r="A3381" s="551" t="s">
        <v>2797</v>
      </c>
      <c r="B3381" s="399" t="s">
        <v>1412</v>
      </c>
      <c r="C3381" s="399" t="s">
        <v>184</v>
      </c>
      <c r="D3381" s="399">
        <v>7730</v>
      </c>
      <c r="E3381" s="399" t="s">
        <v>4111</v>
      </c>
      <c r="F3381" s="399" t="s">
        <v>4112</v>
      </c>
      <c r="G3381" s="399" t="s">
        <v>2221</v>
      </c>
      <c r="H3381" s="1235"/>
    </row>
    <row r="3382" spans="1:8" hidden="1">
      <c r="A3382" s="551" t="s">
        <v>2797</v>
      </c>
      <c r="B3382" s="399" t="s">
        <v>1412</v>
      </c>
      <c r="C3382" s="399" t="s">
        <v>184</v>
      </c>
      <c r="D3382" s="399">
        <v>7731</v>
      </c>
      <c r="E3382" s="399" t="s">
        <v>4113</v>
      </c>
      <c r="F3382" s="399" t="s">
        <v>4114</v>
      </c>
      <c r="G3382" s="399" t="s">
        <v>2221</v>
      </c>
      <c r="H3382" s="1235"/>
    </row>
    <row r="3383" spans="1:8" hidden="1">
      <c r="A3383" s="551" t="s">
        <v>2797</v>
      </c>
      <c r="B3383" s="399" t="s">
        <v>1412</v>
      </c>
      <c r="C3383" s="399" t="s">
        <v>184</v>
      </c>
      <c r="D3383" s="399">
        <v>7732</v>
      </c>
      <c r="E3383" s="399" t="s">
        <v>4115</v>
      </c>
      <c r="F3383" s="399" t="s">
        <v>4116</v>
      </c>
      <c r="G3383" s="399" t="s">
        <v>2221</v>
      </c>
      <c r="H3383" s="1235"/>
    </row>
    <row r="3384" spans="1:8" hidden="1">
      <c r="A3384" s="551" t="s">
        <v>2797</v>
      </c>
      <c r="B3384" s="399" t="s">
        <v>1412</v>
      </c>
      <c r="C3384" s="399" t="s">
        <v>184</v>
      </c>
      <c r="D3384" s="399">
        <v>7733</v>
      </c>
      <c r="E3384" s="399" t="s">
        <v>4117</v>
      </c>
      <c r="F3384" s="399" t="s">
        <v>4118</v>
      </c>
      <c r="G3384" s="399" t="s">
        <v>2221</v>
      </c>
      <c r="H3384" s="1235"/>
    </row>
    <row r="3385" spans="1:8" hidden="1">
      <c r="A3385" s="551" t="s">
        <v>2797</v>
      </c>
      <c r="B3385" s="399" t="s">
        <v>1412</v>
      </c>
      <c r="C3385" s="399" t="s">
        <v>184</v>
      </c>
      <c r="D3385" s="399">
        <v>7734</v>
      </c>
      <c r="E3385" s="399" t="s">
        <v>4119</v>
      </c>
      <c r="F3385" s="399" t="s">
        <v>4120</v>
      </c>
      <c r="G3385" s="399" t="s">
        <v>2221</v>
      </c>
      <c r="H3385" s="1235"/>
    </row>
    <row r="3386" spans="1:8" hidden="1">
      <c r="A3386" s="551" t="s">
        <v>2797</v>
      </c>
      <c r="B3386" s="399" t="s">
        <v>1412</v>
      </c>
      <c r="C3386" s="399" t="s">
        <v>184</v>
      </c>
      <c r="D3386" s="399">
        <v>7735</v>
      </c>
      <c r="E3386" s="399" t="s">
        <v>4121</v>
      </c>
      <c r="F3386" s="399" t="s">
        <v>4122</v>
      </c>
      <c r="G3386" s="399" t="s">
        <v>2221</v>
      </c>
      <c r="H3386" s="1235"/>
    </row>
    <row r="3387" spans="1:8" hidden="1">
      <c r="A3387" s="551" t="s">
        <v>2797</v>
      </c>
      <c r="B3387" s="399" t="s">
        <v>1412</v>
      </c>
      <c r="C3387" s="399" t="s">
        <v>184</v>
      </c>
      <c r="D3387" s="399">
        <v>7739</v>
      </c>
      <c r="E3387" s="399" t="s">
        <v>4123</v>
      </c>
      <c r="F3387" s="399" t="s">
        <v>4124</v>
      </c>
      <c r="G3387" s="399" t="s">
        <v>2221</v>
      </c>
      <c r="H3387" s="1235"/>
    </row>
    <row r="3388" spans="1:8" hidden="1">
      <c r="A3388" s="551" t="s">
        <v>2797</v>
      </c>
      <c r="B3388" s="399" t="s">
        <v>1412</v>
      </c>
      <c r="C3388" s="399" t="s">
        <v>184</v>
      </c>
      <c r="D3388" s="399">
        <v>7740</v>
      </c>
      <c r="E3388" s="399" t="s">
        <v>4125</v>
      </c>
      <c r="F3388" s="399" t="s">
        <v>4126</v>
      </c>
      <c r="G3388" s="399" t="s">
        <v>2221</v>
      </c>
      <c r="H3388" s="1235"/>
    </row>
    <row r="3389" spans="1:8" hidden="1">
      <c r="A3389" s="551" t="s">
        <v>2797</v>
      </c>
      <c r="B3389" s="399" t="s">
        <v>1412</v>
      </c>
      <c r="C3389" s="399" t="s">
        <v>184</v>
      </c>
      <c r="D3389" s="399">
        <v>7800</v>
      </c>
      <c r="E3389" s="399">
        <v>78</v>
      </c>
      <c r="F3389" s="399" t="s">
        <v>4127</v>
      </c>
      <c r="G3389" s="399" t="s">
        <v>2221</v>
      </c>
      <c r="H3389" s="1235"/>
    </row>
    <row r="3390" spans="1:8" hidden="1">
      <c r="A3390" s="551" t="s">
        <v>2797</v>
      </c>
      <c r="B3390" s="399" t="s">
        <v>1412</v>
      </c>
      <c r="C3390" s="399" t="s">
        <v>184</v>
      </c>
      <c r="D3390" s="399">
        <v>7810</v>
      </c>
      <c r="E3390" s="399" t="s">
        <v>4128</v>
      </c>
      <c r="F3390" s="399" t="s">
        <v>4129</v>
      </c>
      <c r="G3390" s="399" t="s">
        <v>2221</v>
      </c>
      <c r="H3390" s="1235"/>
    </row>
    <row r="3391" spans="1:8" hidden="1">
      <c r="A3391" s="551" t="s">
        <v>2797</v>
      </c>
      <c r="B3391" s="399" t="s">
        <v>1412</v>
      </c>
      <c r="C3391" s="399" t="s">
        <v>184</v>
      </c>
      <c r="D3391" s="399">
        <v>7820</v>
      </c>
      <c r="E3391" s="399" t="s">
        <v>4130</v>
      </c>
      <c r="F3391" s="399" t="s">
        <v>4131</v>
      </c>
      <c r="G3391" s="399" t="s">
        <v>2221</v>
      </c>
      <c r="H3391" s="1235"/>
    </row>
    <row r="3392" spans="1:8" hidden="1">
      <c r="A3392" s="551" t="s">
        <v>2797</v>
      </c>
      <c r="B3392" s="399" t="s">
        <v>1412</v>
      </c>
      <c r="C3392" s="399" t="s">
        <v>184</v>
      </c>
      <c r="D3392" s="399">
        <v>7830</v>
      </c>
      <c r="E3392" s="399" t="s">
        <v>4132</v>
      </c>
      <c r="F3392" s="399" t="s">
        <v>4133</v>
      </c>
      <c r="G3392" s="399" t="s">
        <v>2221</v>
      </c>
      <c r="H3392" s="1235"/>
    </row>
    <row r="3393" spans="1:8" hidden="1">
      <c r="A3393" s="551" t="s">
        <v>2797</v>
      </c>
      <c r="B3393" s="399" t="s">
        <v>1412</v>
      </c>
      <c r="C3393" s="399" t="s">
        <v>184</v>
      </c>
      <c r="D3393" s="399">
        <v>7900</v>
      </c>
      <c r="E3393" s="399">
        <v>79</v>
      </c>
      <c r="F3393" s="399" t="s">
        <v>4134</v>
      </c>
      <c r="G3393" s="399" t="s">
        <v>2221</v>
      </c>
      <c r="H3393" s="1235"/>
    </row>
    <row r="3394" spans="1:8" hidden="1">
      <c r="A3394" s="551" t="s">
        <v>2797</v>
      </c>
      <c r="B3394" s="399" t="s">
        <v>1412</v>
      </c>
      <c r="C3394" s="399" t="s">
        <v>184</v>
      </c>
      <c r="D3394" s="399">
        <v>7910</v>
      </c>
      <c r="E3394" s="399" t="s">
        <v>4135</v>
      </c>
      <c r="F3394" s="399" t="s">
        <v>4136</v>
      </c>
      <c r="G3394" s="399" t="s">
        <v>2221</v>
      </c>
      <c r="H3394" s="1235"/>
    </row>
    <row r="3395" spans="1:8" hidden="1">
      <c r="A3395" s="551" t="s">
        <v>2797</v>
      </c>
      <c r="B3395" s="399" t="s">
        <v>1412</v>
      </c>
      <c r="C3395" s="399" t="s">
        <v>184</v>
      </c>
      <c r="D3395" s="399">
        <v>7911</v>
      </c>
      <c r="E3395" s="399" t="s">
        <v>4137</v>
      </c>
      <c r="F3395" s="399" t="s">
        <v>4138</v>
      </c>
      <c r="G3395" s="399" t="s">
        <v>2221</v>
      </c>
      <c r="H3395" s="1235"/>
    </row>
    <row r="3396" spans="1:8" hidden="1">
      <c r="A3396" s="551" t="s">
        <v>2797</v>
      </c>
      <c r="B3396" s="399" t="s">
        <v>1412</v>
      </c>
      <c r="C3396" s="399" t="s">
        <v>184</v>
      </c>
      <c r="D3396" s="399">
        <v>7912</v>
      </c>
      <c r="E3396" s="399" t="s">
        <v>4139</v>
      </c>
      <c r="F3396" s="399" t="s">
        <v>4140</v>
      </c>
      <c r="G3396" s="399" t="s">
        <v>2221</v>
      </c>
      <c r="H3396" s="1235"/>
    </row>
    <row r="3397" spans="1:8" hidden="1">
      <c r="A3397" s="551" t="s">
        <v>2797</v>
      </c>
      <c r="B3397" s="399" t="s">
        <v>1412</v>
      </c>
      <c r="C3397" s="399" t="s">
        <v>184</v>
      </c>
      <c r="D3397" s="399">
        <v>7990</v>
      </c>
      <c r="E3397" s="399" t="s">
        <v>4141</v>
      </c>
      <c r="F3397" s="399" t="s">
        <v>4142</v>
      </c>
      <c r="G3397" s="399" t="s">
        <v>2221</v>
      </c>
      <c r="H3397" s="1235"/>
    </row>
    <row r="3398" spans="1:8" hidden="1">
      <c r="A3398" s="551" t="s">
        <v>2797</v>
      </c>
      <c r="B3398" s="399" t="s">
        <v>1412</v>
      </c>
      <c r="C3398" s="399" t="s">
        <v>184</v>
      </c>
      <c r="D3398" s="399">
        <v>8000</v>
      </c>
      <c r="E3398" s="399">
        <v>80</v>
      </c>
      <c r="F3398" s="399" t="s">
        <v>4143</v>
      </c>
      <c r="G3398" s="399" t="s">
        <v>2221</v>
      </c>
      <c r="H3398" s="1235"/>
    </row>
    <row r="3399" spans="1:8" hidden="1">
      <c r="A3399" s="551" t="s">
        <v>2797</v>
      </c>
      <c r="B3399" s="399" t="s">
        <v>1412</v>
      </c>
      <c r="C3399" s="399" t="s">
        <v>184</v>
      </c>
      <c r="D3399" s="399">
        <v>8010</v>
      </c>
      <c r="E3399" s="399" t="s">
        <v>4144</v>
      </c>
      <c r="F3399" s="399" t="s">
        <v>4145</v>
      </c>
      <c r="G3399" s="399" t="s">
        <v>2221</v>
      </c>
      <c r="H3399" s="1235"/>
    </row>
    <row r="3400" spans="1:8" hidden="1">
      <c r="A3400" s="551" t="s">
        <v>2797</v>
      </c>
      <c r="B3400" s="399" t="s">
        <v>1412</v>
      </c>
      <c r="C3400" s="399" t="s">
        <v>184</v>
      </c>
      <c r="D3400" s="399">
        <v>8020</v>
      </c>
      <c r="E3400" s="399" t="s">
        <v>4146</v>
      </c>
      <c r="F3400" s="399" t="s">
        <v>4147</v>
      </c>
      <c r="G3400" s="399" t="s">
        <v>2221</v>
      </c>
      <c r="H3400" s="1235"/>
    </row>
    <row r="3401" spans="1:8" hidden="1">
      <c r="A3401" s="551" t="s">
        <v>2797</v>
      </c>
      <c r="B3401" s="399" t="s">
        <v>1412</v>
      </c>
      <c r="C3401" s="399" t="s">
        <v>184</v>
      </c>
      <c r="D3401" s="399">
        <v>8030</v>
      </c>
      <c r="E3401" s="399" t="s">
        <v>4148</v>
      </c>
      <c r="F3401" s="399" t="s">
        <v>4149</v>
      </c>
      <c r="G3401" s="399" t="s">
        <v>2221</v>
      </c>
      <c r="H3401" s="1235"/>
    </row>
    <row r="3402" spans="1:8" hidden="1">
      <c r="A3402" s="551" t="s">
        <v>2797</v>
      </c>
      <c r="B3402" s="399" t="s">
        <v>1412</v>
      </c>
      <c r="C3402" s="399" t="s">
        <v>184</v>
      </c>
      <c r="D3402" s="399">
        <v>8100</v>
      </c>
      <c r="E3402" s="399">
        <v>81</v>
      </c>
      <c r="F3402" s="399" t="s">
        <v>4150</v>
      </c>
      <c r="G3402" s="399" t="s">
        <v>2221</v>
      </c>
      <c r="H3402" s="1235"/>
    </row>
    <row r="3403" spans="1:8" hidden="1">
      <c r="A3403" s="551" t="s">
        <v>2797</v>
      </c>
      <c r="B3403" s="399" t="s">
        <v>1412</v>
      </c>
      <c r="C3403" s="399" t="s">
        <v>184</v>
      </c>
      <c r="D3403" s="399">
        <v>8110</v>
      </c>
      <c r="E3403" s="399" t="s">
        <v>4151</v>
      </c>
      <c r="F3403" s="399" t="s">
        <v>4152</v>
      </c>
      <c r="G3403" s="399" t="s">
        <v>2221</v>
      </c>
      <c r="H3403" s="1235"/>
    </row>
    <row r="3404" spans="1:8" hidden="1">
      <c r="A3404" s="551" t="s">
        <v>2797</v>
      </c>
      <c r="B3404" s="399" t="s">
        <v>1412</v>
      </c>
      <c r="C3404" s="399" t="s">
        <v>184</v>
      </c>
      <c r="D3404" s="399">
        <v>8120</v>
      </c>
      <c r="E3404" s="399" t="s">
        <v>4153</v>
      </c>
      <c r="F3404" s="399" t="s">
        <v>4154</v>
      </c>
      <c r="G3404" s="399" t="s">
        <v>2221</v>
      </c>
      <c r="H3404" s="1235"/>
    </row>
    <row r="3405" spans="1:8" hidden="1">
      <c r="A3405" s="551" t="s">
        <v>2797</v>
      </c>
      <c r="B3405" s="399" t="s">
        <v>1412</v>
      </c>
      <c r="C3405" s="399" t="s">
        <v>184</v>
      </c>
      <c r="D3405" s="399">
        <v>8121</v>
      </c>
      <c r="E3405" s="399" t="s">
        <v>4155</v>
      </c>
      <c r="F3405" s="399" t="s">
        <v>4156</v>
      </c>
      <c r="G3405" s="399" t="s">
        <v>2221</v>
      </c>
      <c r="H3405" s="1235"/>
    </row>
    <row r="3406" spans="1:8" hidden="1">
      <c r="A3406" s="551" t="s">
        <v>2797</v>
      </c>
      <c r="B3406" s="399" t="s">
        <v>1412</v>
      </c>
      <c r="C3406" s="399" t="s">
        <v>184</v>
      </c>
      <c r="D3406" s="399">
        <v>8122</v>
      </c>
      <c r="E3406" s="399" t="s">
        <v>4157</v>
      </c>
      <c r="F3406" s="399" t="s">
        <v>4158</v>
      </c>
      <c r="G3406" s="399" t="s">
        <v>2221</v>
      </c>
      <c r="H3406" s="1235"/>
    </row>
    <row r="3407" spans="1:8" hidden="1">
      <c r="A3407" s="551" t="s">
        <v>2797</v>
      </c>
      <c r="B3407" s="399" t="s">
        <v>1412</v>
      </c>
      <c r="C3407" s="399" t="s">
        <v>184</v>
      </c>
      <c r="D3407" s="399">
        <v>8129</v>
      </c>
      <c r="E3407" s="399" t="s">
        <v>4159</v>
      </c>
      <c r="F3407" s="399" t="s">
        <v>4160</v>
      </c>
      <c r="G3407" s="399" t="s">
        <v>2221</v>
      </c>
      <c r="H3407" s="1235"/>
    </row>
    <row r="3408" spans="1:8" hidden="1">
      <c r="A3408" s="551" t="s">
        <v>2797</v>
      </c>
      <c r="B3408" s="399" t="s">
        <v>1412</v>
      </c>
      <c r="C3408" s="399" t="s">
        <v>184</v>
      </c>
      <c r="D3408" s="399">
        <v>8130</v>
      </c>
      <c r="E3408" s="399" t="s">
        <v>4161</v>
      </c>
      <c r="F3408" s="399" t="s">
        <v>4162</v>
      </c>
      <c r="G3408" s="399" t="s">
        <v>2221</v>
      </c>
      <c r="H3408" s="1235"/>
    </row>
    <row r="3409" spans="1:8" hidden="1">
      <c r="A3409" s="551" t="s">
        <v>2797</v>
      </c>
      <c r="B3409" s="399" t="s">
        <v>1412</v>
      </c>
      <c r="C3409" s="399" t="s">
        <v>184</v>
      </c>
      <c r="D3409" s="399">
        <v>8200</v>
      </c>
      <c r="E3409" s="399">
        <v>82</v>
      </c>
      <c r="F3409" s="399" t="s">
        <v>4163</v>
      </c>
      <c r="G3409" s="399" t="s">
        <v>2221</v>
      </c>
      <c r="H3409" s="1235"/>
    </row>
    <row r="3410" spans="1:8" hidden="1">
      <c r="A3410" s="551" t="s">
        <v>2797</v>
      </c>
      <c r="B3410" s="399" t="s">
        <v>1412</v>
      </c>
      <c r="C3410" s="399" t="s">
        <v>184</v>
      </c>
      <c r="D3410" s="399">
        <v>8210</v>
      </c>
      <c r="E3410" s="399" t="s">
        <v>4164</v>
      </c>
      <c r="F3410" s="399" t="s">
        <v>4165</v>
      </c>
      <c r="G3410" s="399" t="s">
        <v>2221</v>
      </c>
      <c r="H3410" s="1235"/>
    </row>
    <row r="3411" spans="1:8" hidden="1">
      <c r="A3411" s="551" t="s">
        <v>2797</v>
      </c>
      <c r="B3411" s="399" t="s">
        <v>1412</v>
      </c>
      <c r="C3411" s="399" t="s">
        <v>184</v>
      </c>
      <c r="D3411" s="399">
        <v>8211</v>
      </c>
      <c r="E3411" s="399" t="s">
        <v>4166</v>
      </c>
      <c r="F3411" s="399" t="s">
        <v>4167</v>
      </c>
      <c r="G3411" s="399" t="s">
        <v>2221</v>
      </c>
      <c r="H3411" s="1235"/>
    </row>
    <row r="3412" spans="1:8" hidden="1">
      <c r="A3412" s="551" t="s">
        <v>2797</v>
      </c>
      <c r="B3412" s="399" t="s">
        <v>1412</v>
      </c>
      <c r="C3412" s="399" t="s">
        <v>184</v>
      </c>
      <c r="D3412" s="399">
        <v>8219</v>
      </c>
      <c r="E3412" s="399" t="s">
        <v>4168</v>
      </c>
      <c r="F3412" s="399" t="s">
        <v>4169</v>
      </c>
      <c r="G3412" s="399" t="s">
        <v>2221</v>
      </c>
      <c r="H3412" s="1235"/>
    </row>
    <row r="3413" spans="1:8" hidden="1">
      <c r="A3413" s="551" t="s">
        <v>2797</v>
      </c>
      <c r="B3413" s="399" t="s">
        <v>1412</v>
      </c>
      <c r="C3413" s="399" t="s">
        <v>184</v>
      </c>
      <c r="D3413" s="399">
        <v>8220</v>
      </c>
      <c r="E3413" s="399" t="s">
        <v>4170</v>
      </c>
      <c r="F3413" s="399" t="s">
        <v>4171</v>
      </c>
      <c r="G3413" s="399" t="s">
        <v>2221</v>
      </c>
      <c r="H3413" s="1235"/>
    </row>
    <row r="3414" spans="1:8" hidden="1">
      <c r="A3414" s="551" t="s">
        <v>2797</v>
      </c>
      <c r="B3414" s="399" t="s">
        <v>1412</v>
      </c>
      <c r="C3414" s="399" t="s">
        <v>184</v>
      </c>
      <c r="D3414" s="399">
        <v>8230</v>
      </c>
      <c r="E3414" s="399" t="s">
        <v>4172</v>
      </c>
      <c r="F3414" s="399" t="s">
        <v>4173</v>
      </c>
      <c r="G3414" s="399" t="s">
        <v>2221</v>
      </c>
      <c r="H3414" s="1235"/>
    </row>
    <row r="3415" spans="1:8" hidden="1">
      <c r="A3415" s="551" t="s">
        <v>2797</v>
      </c>
      <c r="B3415" s="399" t="s">
        <v>1412</v>
      </c>
      <c r="C3415" s="399" t="s">
        <v>184</v>
      </c>
      <c r="D3415" s="399">
        <v>8290</v>
      </c>
      <c r="E3415" s="399" t="s">
        <v>4174</v>
      </c>
      <c r="F3415" s="399" t="s">
        <v>4175</v>
      </c>
      <c r="G3415" s="399" t="s">
        <v>2221</v>
      </c>
      <c r="H3415" s="1235"/>
    </row>
    <row r="3416" spans="1:8" hidden="1">
      <c r="A3416" s="551" t="s">
        <v>2797</v>
      </c>
      <c r="B3416" s="399" t="s">
        <v>1412</v>
      </c>
      <c r="C3416" s="399" t="s">
        <v>184</v>
      </c>
      <c r="D3416" s="399">
        <v>8291</v>
      </c>
      <c r="E3416" s="399" t="s">
        <v>4176</v>
      </c>
      <c r="F3416" s="399" t="s">
        <v>4177</v>
      </c>
      <c r="G3416" s="399" t="s">
        <v>2221</v>
      </c>
      <c r="H3416" s="1235"/>
    </row>
    <row r="3417" spans="1:8" hidden="1">
      <c r="A3417" s="551" t="s">
        <v>2797</v>
      </c>
      <c r="B3417" s="399" t="s">
        <v>1412</v>
      </c>
      <c r="C3417" s="399" t="s">
        <v>184</v>
      </c>
      <c r="D3417" s="399">
        <v>8292</v>
      </c>
      <c r="E3417" s="399" t="s">
        <v>4178</v>
      </c>
      <c r="F3417" s="399" t="s">
        <v>4179</v>
      </c>
      <c r="G3417" s="399" t="s">
        <v>2221</v>
      </c>
      <c r="H3417" s="1235"/>
    </row>
    <row r="3418" spans="1:8" hidden="1">
      <c r="A3418" s="551" t="s">
        <v>2797</v>
      </c>
      <c r="B3418" s="399" t="s">
        <v>1412</v>
      </c>
      <c r="C3418" s="399" t="s">
        <v>184</v>
      </c>
      <c r="D3418" s="399">
        <v>8299</v>
      </c>
      <c r="E3418" s="399" t="s">
        <v>4180</v>
      </c>
      <c r="F3418" s="399" t="s">
        <v>4181</v>
      </c>
      <c r="G3418" s="399" t="s">
        <v>2221</v>
      </c>
      <c r="H3418" s="1235"/>
    </row>
    <row r="3419" spans="1:8" hidden="1">
      <c r="A3419" s="551" t="s">
        <v>2797</v>
      </c>
      <c r="B3419" s="399" t="s">
        <v>1412</v>
      </c>
      <c r="C3419" s="399" t="s">
        <v>184</v>
      </c>
      <c r="D3419" s="399">
        <v>8400</v>
      </c>
      <c r="E3419" s="399">
        <v>84</v>
      </c>
      <c r="F3419" s="399" t="s">
        <v>4182</v>
      </c>
      <c r="G3419" s="399" t="s">
        <v>2221</v>
      </c>
      <c r="H3419" s="1235"/>
    </row>
    <row r="3420" spans="1:8" hidden="1">
      <c r="A3420" s="551" t="s">
        <v>2797</v>
      </c>
      <c r="B3420" s="399" t="s">
        <v>1412</v>
      </c>
      <c r="C3420" s="399" t="s">
        <v>184</v>
      </c>
      <c r="D3420" s="399">
        <v>8410</v>
      </c>
      <c r="E3420" s="399" t="s">
        <v>4183</v>
      </c>
      <c r="F3420" s="399" t="s">
        <v>4184</v>
      </c>
      <c r="G3420" s="399" t="s">
        <v>2221</v>
      </c>
      <c r="H3420" s="1235"/>
    </row>
    <row r="3421" spans="1:8" hidden="1">
      <c r="A3421" s="551" t="s">
        <v>2797</v>
      </c>
      <c r="B3421" s="399" t="s">
        <v>1412</v>
      </c>
      <c r="C3421" s="399" t="s">
        <v>184</v>
      </c>
      <c r="D3421" s="399">
        <v>8411</v>
      </c>
      <c r="E3421" s="399" t="s">
        <v>4185</v>
      </c>
      <c r="F3421" s="399" t="s">
        <v>4186</v>
      </c>
      <c r="G3421" s="399" t="s">
        <v>2221</v>
      </c>
      <c r="H3421" s="1235"/>
    </row>
    <row r="3422" spans="1:8" hidden="1">
      <c r="A3422" s="551" t="s">
        <v>2797</v>
      </c>
      <c r="B3422" s="399" t="s">
        <v>1412</v>
      </c>
      <c r="C3422" s="399" t="s">
        <v>184</v>
      </c>
      <c r="D3422" s="399">
        <v>8412</v>
      </c>
      <c r="E3422" s="399" t="s">
        <v>4187</v>
      </c>
      <c r="F3422" s="399" t="s">
        <v>4188</v>
      </c>
      <c r="G3422" s="399" t="s">
        <v>2221</v>
      </c>
      <c r="H3422" s="1235"/>
    </row>
    <row r="3423" spans="1:8" hidden="1">
      <c r="A3423" s="551" t="s">
        <v>2797</v>
      </c>
      <c r="B3423" s="399" t="s">
        <v>1412</v>
      </c>
      <c r="C3423" s="399" t="s">
        <v>184</v>
      </c>
      <c r="D3423" s="399">
        <v>8413</v>
      </c>
      <c r="E3423" s="399" t="s">
        <v>4189</v>
      </c>
      <c r="F3423" s="399" t="s">
        <v>4190</v>
      </c>
      <c r="G3423" s="399" t="s">
        <v>2221</v>
      </c>
      <c r="H3423" s="1235"/>
    </row>
    <row r="3424" spans="1:8" hidden="1">
      <c r="A3424" s="551" t="s">
        <v>2797</v>
      </c>
      <c r="B3424" s="399" t="s">
        <v>1412</v>
      </c>
      <c r="C3424" s="399" t="s">
        <v>184</v>
      </c>
      <c r="D3424" s="399">
        <v>8420</v>
      </c>
      <c r="E3424" s="399" t="s">
        <v>4191</v>
      </c>
      <c r="F3424" s="399" t="s">
        <v>4192</v>
      </c>
      <c r="G3424" s="399" t="s">
        <v>2221</v>
      </c>
      <c r="H3424" s="1235"/>
    </row>
    <row r="3425" spans="1:8" hidden="1">
      <c r="A3425" s="551" t="s">
        <v>2797</v>
      </c>
      <c r="B3425" s="399" t="s">
        <v>1412</v>
      </c>
      <c r="C3425" s="399" t="s">
        <v>184</v>
      </c>
      <c r="D3425" s="399">
        <v>8421</v>
      </c>
      <c r="E3425" s="399" t="s">
        <v>4193</v>
      </c>
      <c r="F3425" s="399" t="s">
        <v>4194</v>
      </c>
      <c r="G3425" s="399" t="s">
        <v>2221</v>
      </c>
      <c r="H3425" s="1235"/>
    </row>
    <row r="3426" spans="1:8" hidden="1">
      <c r="A3426" s="551" t="s">
        <v>2797</v>
      </c>
      <c r="B3426" s="399" t="s">
        <v>1412</v>
      </c>
      <c r="C3426" s="399" t="s">
        <v>184</v>
      </c>
      <c r="D3426" s="399">
        <v>8422</v>
      </c>
      <c r="E3426" s="399" t="s">
        <v>4195</v>
      </c>
      <c r="F3426" s="399" t="s">
        <v>4196</v>
      </c>
      <c r="G3426" s="399" t="s">
        <v>2221</v>
      </c>
      <c r="H3426" s="1235"/>
    </row>
    <row r="3427" spans="1:8" hidden="1">
      <c r="A3427" s="551" t="s">
        <v>2797</v>
      </c>
      <c r="B3427" s="399" t="s">
        <v>1412</v>
      </c>
      <c r="C3427" s="399" t="s">
        <v>184</v>
      </c>
      <c r="D3427" s="399">
        <v>8423</v>
      </c>
      <c r="E3427" s="399" t="s">
        <v>4197</v>
      </c>
      <c r="F3427" s="399" t="s">
        <v>4198</v>
      </c>
      <c r="G3427" s="399" t="s">
        <v>2221</v>
      </c>
      <c r="H3427" s="1235"/>
    </row>
    <row r="3428" spans="1:8" hidden="1">
      <c r="A3428" s="551" t="s">
        <v>2797</v>
      </c>
      <c r="B3428" s="399" t="s">
        <v>1412</v>
      </c>
      <c r="C3428" s="399" t="s">
        <v>184</v>
      </c>
      <c r="D3428" s="399">
        <v>8424</v>
      </c>
      <c r="E3428" s="399" t="s">
        <v>4199</v>
      </c>
      <c r="F3428" s="399" t="s">
        <v>4200</v>
      </c>
      <c r="G3428" s="399" t="s">
        <v>2221</v>
      </c>
      <c r="H3428" s="1235"/>
    </row>
    <row r="3429" spans="1:8" hidden="1">
      <c r="A3429" s="551" t="s">
        <v>2797</v>
      </c>
      <c r="B3429" s="399" t="s">
        <v>1412</v>
      </c>
      <c r="C3429" s="399" t="s">
        <v>184</v>
      </c>
      <c r="D3429" s="399">
        <v>8425</v>
      </c>
      <c r="E3429" s="399" t="s">
        <v>4201</v>
      </c>
      <c r="F3429" s="399" t="s">
        <v>4202</v>
      </c>
      <c r="G3429" s="399" t="s">
        <v>2221</v>
      </c>
      <c r="H3429" s="1235"/>
    </row>
    <row r="3430" spans="1:8" hidden="1">
      <c r="A3430" s="551" t="s">
        <v>2797</v>
      </c>
      <c r="B3430" s="399" t="s">
        <v>1412</v>
      </c>
      <c r="C3430" s="399" t="s">
        <v>184</v>
      </c>
      <c r="D3430" s="399">
        <v>8430</v>
      </c>
      <c r="E3430" s="399" t="s">
        <v>4203</v>
      </c>
      <c r="F3430" s="399" t="s">
        <v>4204</v>
      </c>
      <c r="G3430" s="399" t="s">
        <v>2221</v>
      </c>
      <c r="H3430" s="1235"/>
    </row>
    <row r="3431" spans="1:8" hidden="1">
      <c r="A3431" s="551" t="s">
        <v>2797</v>
      </c>
      <c r="B3431" s="399" t="s">
        <v>1412</v>
      </c>
      <c r="C3431" s="399" t="s">
        <v>184</v>
      </c>
      <c r="D3431" s="399">
        <v>8500</v>
      </c>
      <c r="E3431" s="399">
        <v>85</v>
      </c>
      <c r="F3431" s="399" t="s">
        <v>4205</v>
      </c>
      <c r="G3431" s="399" t="s">
        <v>2221</v>
      </c>
      <c r="H3431" s="1235"/>
    </row>
    <row r="3432" spans="1:8" hidden="1">
      <c r="A3432" s="551" t="s">
        <v>2797</v>
      </c>
      <c r="B3432" s="399" t="s">
        <v>1412</v>
      </c>
      <c r="C3432" s="399" t="s">
        <v>184</v>
      </c>
      <c r="D3432" s="399">
        <v>8510</v>
      </c>
      <c r="E3432" s="399" t="s">
        <v>4206</v>
      </c>
      <c r="F3432" s="399" t="s">
        <v>4207</v>
      </c>
      <c r="G3432" s="399" t="s">
        <v>2221</v>
      </c>
      <c r="H3432" s="1235"/>
    </row>
    <row r="3433" spans="1:8" hidden="1">
      <c r="A3433" s="551" t="s">
        <v>2797</v>
      </c>
      <c r="B3433" s="399" t="s">
        <v>1412</v>
      </c>
      <c r="C3433" s="399" t="s">
        <v>184</v>
      </c>
      <c r="D3433" s="399">
        <v>8520</v>
      </c>
      <c r="E3433" s="399" t="s">
        <v>4208</v>
      </c>
      <c r="F3433" s="399" t="s">
        <v>4209</v>
      </c>
      <c r="G3433" s="399" t="s">
        <v>2221</v>
      </c>
      <c r="H3433" s="1235"/>
    </row>
    <row r="3434" spans="1:8" hidden="1">
      <c r="A3434" s="551" t="s">
        <v>2797</v>
      </c>
      <c r="B3434" s="399" t="s">
        <v>1412</v>
      </c>
      <c r="C3434" s="399" t="s">
        <v>184</v>
      </c>
      <c r="D3434" s="399">
        <v>8530</v>
      </c>
      <c r="E3434" s="399" t="s">
        <v>4210</v>
      </c>
      <c r="F3434" s="399" t="s">
        <v>4211</v>
      </c>
      <c r="G3434" s="399" t="s">
        <v>2221</v>
      </c>
      <c r="H3434" s="1235"/>
    </row>
    <row r="3435" spans="1:8" hidden="1">
      <c r="A3435" s="551" t="s">
        <v>2797</v>
      </c>
      <c r="B3435" s="399" t="s">
        <v>1412</v>
      </c>
      <c r="C3435" s="399" t="s">
        <v>184</v>
      </c>
      <c r="D3435" s="399">
        <v>8531</v>
      </c>
      <c r="E3435" s="399" t="s">
        <v>4212</v>
      </c>
      <c r="F3435" s="399" t="s">
        <v>4213</v>
      </c>
      <c r="G3435" s="399" t="s">
        <v>2221</v>
      </c>
      <c r="H3435" s="1235"/>
    </row>
    <row r="3436" spans="1:8" hidden="1">
      <c r="A3436" s="551" t="s">
        <v>2797</v>
      </c>
      <c r="B3436" s="399" t="s">
        <v>1412</v>
      </c>
      <c r="C3436" s="399" t="s">
        <v>184</v>
      </c>
      <c r="D3436" s="399">
        <v>8532</v>
      </c>
      <c r="E3436" s="399" t="s">
        <v>4214</v>
      </c>
      <c r="F3436" s="399" t="s">
        <v>4215</v>
      </c>
      <c r="G3436" s="399" t="s">
        <v>2221</v>
      </c>
      <c r="H3436" s="1235"/>
    </row>
    <row r="3437" spans="1:8" hidden="1">
      <c r="A3437" s="551" t="s">
        <v>2797</v>
      </c>
      <c r="B3437" s="399" t="s">
        <v>1412</v>
      </c>
      <c r="C3437" s="399" t="s">
        <v>184</v>
      </c>
      <c r="D3437" s="399">
        <v>8540</v>
      </c>
      <c r="E3437" s="399" t="s">
        <v>4216</v>
      </c>
      <c r="F3437" s="399" t="s">
        <v>4217</v>
      </c>
      <c r="G3437" s="399" t="s">
        <v>2221</v>
      </c>
      <c r="H3437" s="1235"/>
    </row>
    <row r="3438" spans="1:8" hidden="1">
      <c r="A3438" s="551" t="s">
        <v>2797</v>
      </c>
      <c r="B3438" s="399" t="s">
        <v>1412</v>
      </c>
      <c r="C3438" s="399" t="s">
        <v>184</v>
      </c>
      <c r="D3438" s="399">
        <v>8541</v>
      </c>
      <c r="E3438" s="399" t="s">
        <v>4218</v>
      </c>
      <c r="F3438" s="399" t="s">
        <v>4219</v>
      </c>
      <c r="G3438" s="399" t="s">
        <v>2221</v>
      </c>
      <c r="H3438" s="1235"/>
    </row>
    <row r="3439" spans="1:8" hidden="1">
      <c r="A3439" s="551" t="s">
        <v>2797</v>
      </c>
      <c r="B3439" s="399" t="s">
        <v>1412</v>
      </c>
      <c r="C3439" s="399" t="s">
        <v>184</v>
      </c>
      <c r="D3439" s="399">
        <v>8542</v>
      </c>
      <c r="E3439" s="399" t="s">
        <v>4220</v>
      </c>
      <c r="F3439" s="399" t="s">
        <v>4221</v>
      </c>
      <c r="G3439" s="399" t="s">
        <v>2221</v>
      </c>
      <c r="H3439" s="1235"/>
    </row>
    <row r="3440" spans="1:8" hidden="1">
      <c r="A3440" s="551" t="s">
        <v>2797</v>
      </c>
      <c r="B3440" s="399" t="s">
        <v>1412</v>
      </c>
      <c r="C3440" s="399" t="s">
        <v>184</v>
      </c>
      <c r="D3440" s="399">
        <v>8550</v>
      </c>
      <c r="E3440" s="399" t="s">
        <v>4222</v>
      </c>
      <c r="F3440" s="399" t="s">
        <v>4223</v>
      </c>
      <c r="G3440" s="399" t="s">
        <v>2221</v>
      </c>
      <c r="H3440" s="1235"/>
    </row>
    <row r="3441" spans="1:8" hidden="1">
      <c r="A3441" s="551" t="s">
        <v>2797</v>
      </c>
      <c r="B3441" s="399" t="s">
        <v>1412</v>
      </c>
      <c r="C3441" s="399" t="s">
        <v>184</v>
      </c>
      <c r="D3441" s="399">
        <v>8551</v>
      </c>
      <c r="E3441" s="399" t="s">
        <v>4224</v>
      </c>
      <c r="F3441" s="399" t="s">
        <v>4225</v>
      </c>
      <c r="G3441" s="399" t="s">
        <v>2221</v>
      </c>
      <c r="H3441" s="1235"/>
    </row>
    <row r="3442" spans="1:8" hidden="1">
      <c r="A3442" s="551" t="s">
        <v>2797</v>
      </c>
      <c r="B3442" s="399" t="s">
        <v>1412</v>
      </c>
      <c r="C3442" s="399" t="s">
        <v>184</v>
      </c>
      <c r="D3442" s="399">
        <v>8552</v>
      </c>
      <c r="E3442" s="399" t="s">
        <v>4226</v>
      </c>
      <c r="F3442" s="399" t="s">
        <v>4227</v>
      </c>
      <c r="G3442" s="399" t="s">
        <v>2221</v>
      </c>
      <c r="H3442" s="1235"/>
    </row>
    <row r="3443" spans="1:8" hidden="1">
      <c r="A3443" s="551" t="s">
        <v>2797</v>
      </c>
      <c r="B3443" s="399" t="s">
        <v>1412</v>
      </c>
      <c r="C3443" s="399" t="s">
        <v>184</v>
      </c>
      <c r="D3443" s="399">
        <v>8553</v>
      </c>
      <c r="E3443" s="399" t="s">
        <v>4228</v>
      </c>
      <c r="F3443" s="399" t="s">
        <v>4229</v>
      </c>
      <c r="G3443" s="399" t="s">
        <v>2221</v>
      </c>
      <c r="H3443" s="1235"/>
    </row>
    <row r="3444" spans="1:8" hidden="1">
      <c r="A3444" s="551" t="s">
        <v>2797</v>
      </c>
      <c r="B3444" s="399" t="s">
        <v>1412</v>
      </c>
      <c r="C3444" s="399" t="s">
        <v>184</v>
      </c>
      <c r="D3444" s="399">
        <v>8559</v>
      </c>
      <c r="E3444" s="399" t="s">
        <v>4230</v>
      </c>
      <c r="F3444" s="399" t="s">
        <v>4231</v>
      </c>
      <c r="G3444" s="399" t="s">
        <v>2221</v>
      </c>
      <c r="H3444" s="1235"/>
    </row>
    <row r="3445" spans="1:8" hidden="1">
      <c r="A3445" s="551" t="s">
        <v>2797</v>
      </c>
      <c r="B3445" s="399" t="s">
        <v>1412</v>
      </c>
      <c r="C3445" s="399" t="s">
        <v>184</v>
      </c>
      <c r="D3445" s="399">
        <v>8560</v>
      </c>
      <c r="E3445" s="399" t="s">
        <v>4232</v>
      </c>
      <c r="F3445" s="399" t="s">
        <v>4233</v>
      </c>
      <c r="G3445" s="399" t="s">
        <v>2221</v>
      </c>
      <c r="H3445" s="1235"/>
    </row>
    <row r="3446" spans="1:8" hidden="1">
      <c r="A3446" s="551" t="s">
        <v>2797</v>
      </c>
      <c r="B3446" s="399" t="s">
        <v>1412</v>
      </c>
      <c r="C3446" s="399" t="s">
        <v>184</v>
      </c>
      <c r="D3446" s="399">
        <v>8600</v>
      </c>
      <c r="E3446" s="399">
        <v>86</v>
      </c>
      <c r="F3446" s="399" t="s">
        <v>4234</v>
      </c>
      <c r="G3446" s="399" t="s">
        <v>2221</v>
      </c>
      <c r="H3446" s="1235"/>
    </row>
    <row r="3447" spans="1:8" hidden="1">
      <c r="A3447" s="551" t="s">
        <v>2797</v>
      </c>
      <c r="B3447" s="399" t="s">
        <v>1412</v>
      </c>
      <c r="C3447" s="399" t="s">
        <v>184</v>
      </c>
      <c r="D3447" s="399">
        <v>8610</v>
      </c>
      <c r="E3447" s="399" t="s">
        <v>4235</v>
      </c>
      <c r="F3447" s="399" t="s">
        <v>4236</v>
      </c>
      <c r="G3447" s="399" t="s">
        <v>2221</v>
      </c>
      <c r="H3447" s="1235"/>
    </row>
    <row r="3448" spans="1:8" hidden="1">
      <c r="A3448" s="551" t="s">
        <v>2797</v>
      </c>
      <c r="B3448" s="399" t="s">
        <v>1412</v>
      </c>
      <c r="C3448" s="399" t="s">
        <v>184</v>
      </c>
      <c r="D3448" s="399">
        <v>8620</v>
      </c>
      <c r="E3448" s="399" t="s">
        <v>4237</v>
      </c>
      <c r="F3448" s="399" t="s">
        <v>4238</v>
      </c>
      <c r="G3448" s="399" t="s">
        <v>2221</v>
      </c>
      <c r="H3448" s="1235"/>
    </row>
    <row r="3449" spans="1:8" hidden="1">
      <c r="A3449" s="551" t="s">
        <v>2797</v>
      </c>
      <c r="B3449" s="399" t="s">
        <v>1412</v>
      </c>
      <c r="C3449" s="399" t="s">
        <v>184</v>
      </c>
      <c r="D3449" s="399">
        <v>8621</v>
      </c>
      <c r="E3449" s="399" t="s">
        <v>4239</v>
      </c>
      <c r="F3449" s="399" t="s">
        <v>4240</v>
      </c>
      <c r="G3449" s="399" t="s">
        <v>2221</v>
      </c>
      <c r="H3449" s="1235"/>
    </row>
    <row r="3450" spans="1:8" hidden="1">
      <c r="A3450" s="551" t="s">
        <v>2797</v>
      </c>
      <c r="B3450" s="399" t="s">
        <v>1412</v>
      </c>
      <c r="C3450" s="399" t="s">
        <v>184</v>
      </c>
      <c r="D3450" s="399">
        <v>8622</v>
      </c>
      <c r="E3450" s="399" t="s">
        <v>4241</v>
      </c>
      <c r="F3450" s="399" t="s">
        <v>4242</v>
      </c>
      <c r="G3450" s="399" t="s">
        <v>2221</v>
      </c>
      <c r="H3450" s="1235"/>
    </row>
    <row r="3451" spans="1:8" hidden="1">
      <c r="A3451" s="551" t="s">
        <v>2797</v>
      </c>
      <c r="B3451" s="399" t="s">
        <v>1412</v>
      </c>
      <c r="C3451" s="399" t="s">
        <v>184</v>
      </c>
      <c r="D3451" s="399">
        <v>8623</v>
      </c>
      <c r="E3451" s="399" t="s">
        <v>4243</v>
      </c>
      <c r="F3451" s="399" t="s">
        <v>4244</v>
      </c>
      <c r="G3451" s="399" t="s">
        <v>2221</v>
      </c>
      <c r="H3451" s="1235"/>
    </row>
    <row r="3452" spans="1:8" hidden="1">
      <c r="A3452" s="551" t="s">
        <v>2797</v>
      </c>
      <c r="B3452" s="399" t="s">
        <v>1412</v>
      </c>
      <c r="C3452" s="399" t="s">
        <v>184</v>
      </c>
      <c r="D3452" s="399">
        <v>8690</v>
      </c>
      <c r="E3452" s="399" t="s">
        <v>4245</v>
      </c>
      <c r="F3452" s="399" t="s">
        <v>4246</v>
      </c>
      <c r="G3452" s="399" t="s">
        <v>2221</v>
      </c>
      <c r="H3452" s="1235"/>
    </row>
    <row r="3453" spans="1:8" hidden="1">
      <c r="A3453" s="551" t="s">
        <v>2797</v>
      </c>
      <c r="B3453" s="399" t="s">
        <v>1412</v>
      </c>
      <c r="C3453" s="399" t="s">
        <v>184</v>
      </c>
      <c r="D3453" s="399">
        <v>8700</v>
      </c>
      <c r="E3453" s="399">
        <v>87</v>
      </c>
      <c r="F3453" s="399" t="s">
        <v>4247</v>
      </c>
      <c r="G3453" s="399" t="s">
        <v>2221</v>
      </c>
      <c r="H3453" s="1235"/>
    </row>
    <row r="3454" spans="1:8" hidden="1">
      <c r="A3454" s="551" t="s">
        <v>2797</v>
      </c>
      <c r="B3454" s="399" t="s">
        <v>1412</v>
      </c>
      <c r="C3454" s="399" t="s">
        <v>184</v>
      </c>
      <c r="D3454" s="399">
        <v>8710</v>
      </c>
      <c r="E3454" s="399" t="s">
        <v>4248</v>
      </c>
      <c r="F3454" s="399" t="s">
        <v>4249</v>
      </c>
      <c r="G3454" s="399" t="s">
        <v>2221</v>
      </c>
      <c r="H3454" s="1235"/>
    </row>
    <row r="3455" spans="1:8" hidden="1">
      <c r="A3455" s="551" t="s">
        <v>2797</v>
      </c>
      <c r="B3455" s="399" t="s">
        <v>1412</v>
      </c>
      <c r="C3455" s="399" t="s">
        <v>184</v>
      </c>
      <c r="D3455" s="399">
        <v>8720</v>
      </c>
      <c r="E3455" s="399" t="s">
        <v>4250</v>
      </c>
      <c r="F3455" s="399" t="s">
        <v>4251</v>
      </c>
      <c r="G3455" s="399" t="s">
        <v>2221</v>
      </c>
      <c r="H3455" s="1235"/>
    </row>
    <row r="3456" spans="1:8" hidden="1">
      <c r="A3456" s="551" t="s">
        <v>2797</v>
      </c>
      <c r="B3456" s="399" t="s">
        <v>1412</v>
      </c>
      <c r="C3456" s="399" t="s">
        <v>184</v>
      </c>
      <c r="D3456" s="399">
        <v>8730</v>
      </c>
      <c r="E3456" s="399" t="s">
        <v>4252</v>
      </c>
      <c r="F3456" s="399" t="s">
        <v>4253</v>
      </c>
      <c r="G3456" s="399" t="s">
        <v>2221</v>
      </c>
      <c r="H3456" s="1235"/>
    </row>
    <row r="3457" spans="1:8" hidden="1">
      <c r="A3457" s="551" t="s">
        <v>2797</v>
      </c>
      <c r="B3457" s="399" t="s">
        <v>1412</v>
      </c>
      <c r="C3457" s="399" t="s">
        <v>184</v>
      </c>
      <c r="D3457" s="399">
        <v>8790</v>
      </c>
      <c r="E3457" s="399" t="s">
        <v>4254</v>
      </c>
      <c r="F3457" s="399" t="s">
        <v>4255</v>
      </c>
      <c r="G3457" s="399" t="s">
        <v>2221</v>
      </c>
      <c r="H3457" s="1235"/>
    </row>
    <row r="3458" spans="1:8" hidden="1">
      <c r="A3458" s="551" t="s">
        <v>2797</v>
      </c>
      <c r="B3458" s="399" t="s">
        <v>1412</v>
      </c>
      <c r="C3458" s="399" t="s">
        <v>184</v>
      </c>
      <c r="D3458" s="399">
        <v>8800</v>
      </c>
      <c r="E3458" s="399">
        <v>88</v>
      </c>
      <c r="F3458" s="399" t="s">
        <v>4256</v>
      </c>
      <c r="G3458" s="399" t="s">
        <v>2221</v>
      </c>
      <c r="H3458" s="1235"/>
    </row>
    <row r="3459" spans="1:8" hidden="1">
      <c r="A3459" s="551" t="s">
        <v>2797</v>
      </c>
      <c r="B3459" s="399" t="s">
        <v>1412</v>
      </c>
      <c r="C3459" s="399" t="s">
        <v>184</v>
      </c>
      <c r="D3459" s="399">
        <v>8810</v>
      </c>
      <c r="E3459" s="399" t="s">
        <v>4257</v>
      </c>
      <c r="F3459" s="399" t="s">
        <v>4258</v>
      </c>
      <c r="G3459" s="399" t="s">
        <v>2221</v>
      </c>
      <c r="H3459" s="1235"/>
    </row>
    <row r="3460" spans="1:8" hidden="1">
      <c r="A3460" s="551" t="s">
        <v>2797</v>
      </c>
      <c r="B3460" s="399" t="s">
        <v>1412</v>
      </c>
      <c r="C3460" s="399" t="s">
        <v>184</v>
      </c>
      <c r="D3460" s="399">
        <v>8890</v>
      </c>
      <c r="E3460" s="399" t="s">
        <v>4259</v>
      </c>
      <c r="F3460" s="399" t="s">
        <v>4260</v>
      </c>
      <c r="G3460" s="399" t="s">
        <v>2221</v>
      </c>
      <c r="H3460" s="1235"/>
    </row>
    <row r="3461" spans="1:8" hidden="1">
      <c r="A3461" s="551" t="s">
        <v>2797</v>
      </c>
      <c r="B3461" s="399" t="s">
        <v>1412</v>
      </c>
      <c r="C3461" s="399" t="s">
        <v>184</v>
      </c>
      <c r="D3461" s="399">
        <v>8891</v>
      </c>
      <c r="E3461" s="399" t="s">
        <v>4261</v>
      </c>
      <c r="F3461" s="399" t="s">
        <v>4262</v>
      </c>
      <c r="G3461" s="399" t="s">
        <v>2221</v>
      </c>
      <c r="H3461" s="1235"/>
    </row>
    <row r="3462" spans="1:8" hidden="1">
      <c r="A3462" s="551" t="s">
        <v>2797</v>
      </c>
      <c r="B3462" s="399" t="s">
        <v>1412</v>
      </c>
      <c r="C3462" s="399" t="s">
        <v>184</v>
      </c>
      <c r="D3462" s="399">
        <v>8899</v>
      </c>
      <c r="E3462" s="399" t="s">
        <v>4263</v>
      </c>
      <c r="F3462" s="399" t="s">
        <v>4264</v>
      </c>
      <c r="G3462" s="399" t="s">
        <v>2221</v>
      </c>
      <c r="H3462" s="1235"/>
    </row>
    <row r="3463" spans="1:8" hidden="1">
      <c r="A3463" s="551" t="s">
        <v>2797</v>
      </c>
      <c r="B3463" s="399" t="s">
        <v>1412</v>
      </c>
      <c r="C3463" s="399" t="s">
        <v>184</v>
      </c>
      <c r="D3463" s="399">
        <v>9000</v>
      </c>
      <c r="E3463" s="399">
        <v>90</v>
      </c>
      <c r="F3463" s="399" t="s">
        <v>4265</v>
      </c>
      <c r="G3463" s="399" t="s">
        <v>2221</v>
      </c>
      <c r="H3463" s="1235"/>
    </row>
    <row r="3464" spans="1:8" hidden="1">
      <c r="A3464" s="551" t="s">
        <v>2797</v>
      </c>
      <c r="B3464" s="399" t="s">
        <v>1412</v>
      </c>
      <c r="C3464" s="399" t="s">
        <v>184</v>
      </c>
      <c r="D3464" s="399">
        <v>9001</v>
      </c>
      <c r="E3464" s="399" t="s">
        <v>4266</v>
      </c>
      <c r="F3464" s="399" t="s">
        <v>4267</v>
      </c>
      <c r="G3464" s="399" t="s">
        <v>2221</v>
      </c>
      <c r="H3464" s="1235"/>
    </row>
    <row r="3465" spans="1:8" hidden="1">
      <c r="A3465" s="551" t="s">
        <v>2797</v>
      </c>
      <c r="B3465" s="399" t="s">
        <v>1412</v>
      </c>
      <c r="C3465" s="399" t="s">
        <v>184</v>
      </c>
      <c r="D3465" s="399">
        <v>9002</v>
      </c>
      <c r="E3465" s="399" t="s">
        <v>4268</v>
      </c>
      <c r="F3465" s="399" t="s">
        <v>4269</v>
      </c>
      <c r="G3465" s="399" t="s">
        <v>2221</v>
      </c>
      <c r="H3465" s="1235"/>
    </row>
    <row r="3466" spans="1:8" hidden="1">
      <c r="A3466" s="551" t="s">
        <v>2797</v>
      </c>
      <c r="B3466" s="399" t="s">
        <v>1412</v>
      </c>
      <c r="C3466" s="399" t="s">
        <v>184</v>
      </c>
      <c r="D3466" s="399">
        <v>9003</v>
      </c>
      <c r="E3466" s="399" t="s">
        <v>4270</v>
      </c>
      <c r="F3466" s="399" t="s">
        <v>4271</v>
      </c>
      <c r="G3466" s="399" t="s">
        <v>2221</v>
      </c>
      <c r="H3466" s="1235"/>
    </row>
    <row r="3467" spans="1:8" hidden="1">
      <c r="A3467" s="551" t="s">
        <v>2797</v>
      </c>
      <c r="B3467" s="399" t="s">
        <v>1412</v>
      </c>
      <c r="C3467" s="399" t="s">
        <v>184</v>
      </c>
      <c r="D3467" s="399">
        <v>9004</v>
      </c>
      <c r="E3467" s="399" t="s">
        <v>4272</v>
      </c>
      <c r="F3467" s="399" t="s">
        <v>4273</v>
      </c>
      <c r="G3467" s="399" t="s">
        <v>2221</v>
      </c>
      <c r="H3467" s="1235"/>
    </row>
    <row r="3468" spans="1:8" hidden="1">
      <c r="A3468" s="551" t="s">
        <v>2797</v>
      </c>
      <c r="B3468" s="399" t="s">
        <v>1412</v>
      </c>
      <c r="C3468" s="399" t="s">
        <v>184</v>
      </c>
      <c r="D3468" s="399">
        <v>9100</v>
      </c>
      <c r="E3468" s="399">
        <v>91</v>
      </c>
      <c r="F3468" s="399" t="s">
        <v>4274</v>
      </c>
      <c r="G3468" s="399" t="s">
        <v>2221</v>
      </c>
      <c r="H3468" s="1235"/>
    </row>
    <row r="3469" spans="1:8" hidden="1">
      <c r="A3469" s="551" t="s">
        <v>2797</v>
      </c>
      <c r="B3469" s="399" t="s">
        <v>1412</v>
      </c>
      <c r="C3469" s="399" t="s">
        <v>184</v>
      </c>
      <c r="D3469" s="399">
        <v>9101</v>
      </c>
      <c r="E3469" s="399" t="s">
        <v>4275</v>
      </c>
      <c r="F3469" s="399" t="s">
        <v>4276</v>
      </c>
      <c r="G3469" s="399" t="s">
        <v>2221</v>
      </c>
      <c r="H3469" s="1235"/>
    </row>
    <row r="3470" spans="1:8" hidden="1">
      <c r="A3470" s="551" t="s">
        <v>2797</v>
      </c>
      <c r="B3470" s="399" t="s">
        <v>1412</v>
      </c>
      <c r="C3470" s="399" t="s">
        <v>184</v>
      </c>
      <c r="D3470" s="399">
        <v>9102</v>
      </c>
      <c r="E3470" s="399" t="s">
        <v>4277</v>
      </c>
      <c r="F3470" s="399" t="s">
        <v>4278</v>
      </c>
      <c r="G3470" s="399" t="s">
        <v>2221</v>
      </c>
      <c r="H3470" s="1235"/>
    </row>
    <row r="3471" spans="1:8" hidden="1">
      <c r="A3471" s="551" t="s">
        <v>2797</v>
      </c>
      <c r="B3471" s="399" t="s">
        <v>1412</v>
      </c>
      <c r="C3471" s="399" t="s">
        <v>184</v>
      </c>
      <c r="D3471" s="399">
        <v>9103</v>
      </c>
      <c r="E3471" s="399" t="s">
        <v>4279</v>
      </c>
      <c r="F3471" s="399" t="s">
        <v>4280</v>
      </c>
      <c r="G3471" s="399" t="s">
        <v>2221</v>
      </c>
      <c r="H3471" s="1235"/>
    </row>
    <row r="3472" spans="1:8" hidden="1">
      <c r="A3472" s="551" t="s">
        <v>2797</v>
      </c>
      <c r="B3472" s="399" t="s">
        <v>1412</v>
      </c>
      <c r="C3472" s="399" t="s">
        <v>184</v>
      </c>
      <c r="D3472" s="399">
        <v>9104</v>
      </c>
      <c r="E3472" s="399" t="s">
        <v>4281</v>
      </c>
      <c r="F3472" s="399" t="s">
        <v>4282</v>
      </c>
      <c r="G3472" s="399" t="s">
        <v>2221</v>
      </c>
      <c r="H3472" s="1235"/>
    </row>
    <row r="3473" spans="1:8" hidden="1">
      <c r="A3473" s="551" t="s">
        <v>2797</v>
      </c>
      <c r="B3473" s="399" t="s">
        <v>1412</v>
      </c>
      <c r="C3473" s="399" t="s">
        <v>184</v>
      </c>
      <c r="D3473" s="399">
        <v>9200</v>
      </c>
      <c r="E3473" s="399">
        <v>92</v>
      </c>
      <c r="F3473" s="399" t="s">
        <v>4283</v>
      </c>
      <c r="G3473" s="399" t="s">
        <v>2221</v>
      </c>
      <c r="H3473" s="1235"/>
    </row>
    <row r="3474" spans="1:8" hidden="1">
      <c r="A3474" s="551" t="s">
        <v>2797</v>
      </c>
      <c r="B3474" s="399" t="s">
        <v>1412</v>
      </c>
      <c r="C3474" s="399" t="s">
        <v>184</v>
      </c>
      <c r="D3474" s="399">
        <v>9300</v>
      </c>
      <c r="E3474" s="399">
        <v>93</v>
      </c>
      <c r="F3474" s="399" t="s">
        <v>4284</v>
      </c>
      <c r="G3474" s="399" t="s">
        <v>2221</v>
      </c>
      <c r="H3474" s="1235"/>
    </row>
    <row r="3475" spans="1:8" hidden="1">
      <c r="A3475" s="551" t="s">
        <v>2797</v>
      </c>
      <c r="B3475" s="399" t="s">
        <v>1412</v>
      </c>
      <c r="C3475" s="399" t="s">
        <v>184</v>
      </c>
      <c r="D3475" s="399">
        <v>9310</v>
      </c>
      <c r="E3475" s="399" t="s">
        <v>4285</v>
      </c>
      <c r="F3475" s="399" t="s">
        <v>4286</v>
      </c>
      <c r="G3475" s="399" t="s">
        <v>2221</v>
      </c>
      <c r="H3475" s="1235"/>
    </row>
    <row r="3476" spans="1:8" hidden="1">
      <c r="A3476" s="551" t="s">
        <v>2797</v>
      </c>
      <c r="B3476" s="399" t="s">
        <v>1412</v>
      </c>
      <c r="C3476" s="399" t="s">
        <v>184</v>
      </c>
      <c r="D3476" s="399">
        <v>9311</v>
      </c>
      <c r="E3476" s="399" t="s">
        <v>4287</v>
      </c>
      <c r="F3476" s="399" t="s">
        <v>4288</v>
      </c>
      <c r="G3476" s="399" t="s">
        <v>2221</v>
      </c>
      <c r="H3476" s="1235"/>
    </row>
    <row r="3477" spans="1:8" hidden="1">
      <c r="A3477" s="551" t="s">
        <v>2797</v>
      </c>
      <c r="B3477" s="399" t="s">
        <v>1412</v>
      </c>
      <c r="C3477" s="399" t="s">
        <v>184</v>
      </c>
      <c r="D3477" s="399">
        <v>9312</v>
      </c>
      <c r="E3477" s="399" t="s">
        <v>4289</v>
      </c>
      <c r="F3477" s="399" t="s">
        <v>4290</v>
      </c>
      <c r="G3477" s="399" t="s">
        <v>2221</v>
      </c>
      <c r="H3477" s="1235"/>
    </row>
    <row r="3478" spans="1:8" hidden="1">
      <c r="A3478" s="551" t="s">
        <v>2797</v>
      </c>
      <c r="B3478" s="399" t="s">
        <v>1412</v>
      </c>
      <c r="C3478" s="399" t="s">
        <v>184</v>
      </c>
      <c r="D3478" s="399">
        <v>9313</v>
      </c>
      <c r="E3478" s="399" t="s">
        <v>4291</v>
      </c>
      <c r="F3478" s="399" t="s">
        <v>4292</v>
      </c>
      <c r="G3478" s="399" t="s">
        <v>2221</v>
      </c>
      <c r="H3478" s="1235"/>
    </row>
    <row r="3479" spans="1:8" hidden="1">
      <c r="A3479" s="551" t="s">
        <v>2797</v>
      </c>
      <c r="B3479" s="399" t="s">
        <v>1412</v>
      </c>
      <c r="C3479" s="399" t="s">
        <v>184</v>
      </c>
      <c r="D3479" s="399">
        <v>9319</v>
      </c>
      <c r="E3479" s="399" t="s">
        <v>4293</v>
      </c>
      <c r="F3479" s="399" t="s">
        <v>4294</v>
      </c>
      <c r="G3479" s="399" t="s">
        <v>2221</v>
      </c>
      <c r="H3479" s="1235"/>
    </row>
    <row r="3480" spans="1:8" hidden="1">
      <c r="A3480" s="551" t="s">
        <v>2797</v>
      </c>
      <c r="B3480" s="399" t="s">
        <v>1412</v>
      </c>
      <c r="C3480" s="399" t="s">
        <v>184</v>
      </c>
      <c r="D3480" s="399">
        <v>9320</v>
      </c>
      <c r="E3480" s="399" t="s">
        <v>4295</v>
      </c>
      <c r="F3480" s="399" t="s">
        <v>4296</v>
      </c>
      <c r="G3480" s="399" t="s">
        <v>2221</v>
      </c>
      <c r="H3480" s="1235"/>
    </row>
    <row r="3481" spans="1:8" hidden="1">
      <c r="A3481" s="551" t="s">
        <v>2797</v>
      </c>
      <c r="B3481" s="399" t="s">
        <v>1412</v>
      </c>
      <c r="C3481" s="399" t="s">
        <v>184</v>
      </c>
      <c r="D3481" s="399">
        <v>9321</v>
      </c>
      <c r="E3481" s="399" t="s">
        <v>4297</v>
      </c>
      <c r="F3481" s="399" t="s">
        <v>4298</v>
      </c>
      <c r="G3481" s="399" t="s">
        <v>2221</v>
      </c>
      <c r="H3481" s="1235"/>
    </row>
    <row r="3482" spans="1:8" hidden="1">
      <c r="A3482" s="551" t="s">
        <v>2797</v>
      </c>
      <c r="B3482" s="399" t="s">
        <v>1412</v>
      </c>
      <c r="C3482" s="399" t="s">
        <v>184</v>
      </c>
      <c r="D3482" s="399">
        <v>9329</v>
      </c>
      <c r="E3482" s="399" t="s">
        <v>4299</v>
      </c>
      <c r="F3482" s="399" t="s">
        <v>4300</v>
      </c>
      <c r="G3482" s="399" t="s">
        <v>2221</v>
      </c>
      <c r="H3482" s="1235"/>
    </row>
    <row r="3483" spans="1:8" hidden="1">
      <c r="A3483" s="551" t="s">
        <v>2797</v>
      </c>
      <c r="B3483" s="399" t="s">
        <v>1412</v>
      </c>
      <c r="C3483" s="399" t="s">
        <v>184</v>
      </c>
      <c r="D3483" s="399">
        <v>9400</v>
      </c>
      <c r="E3483" s="399">
        <v>94</v>
      </c>
      <c r="F3483" s="399" t="s">
        <v>4301</v>
      </c>
      <c r="G3483" s="399" t="s">
        <v>2221</v>
      </c>
      <c r="H3483" s="1235"/>
    </row>
    <row r="3484" spans="1:8" hidden="1">
      <c r="A3484" s="551" t="s">
        <v>2797</v>
      </c>
      <c r="B3484" s="399" t="s">
        <v>1412</v>
      </c>
      <c r="C3484" s="399" t="s">
        <v>184</v>
      </c>
      <c r="D3484" s="399">
        <v>9410</v>
      </c>
      <c r="E3484" s="399" t="s">
        <v>4302</v>
      </c>
      <c r="F3484" s="399" t="s">
        <v>4303</v>
      </c>
      <c r="G3484" s="399" t="s">
        <v>2221</v>
      </c>
      <c r="H3484" s="1235"/>
    </row>
    <row r="3485" spans="1:8" hidden="1">
      <c r="A3485" s="551" t="s">
        <v>2797</v>
      </c>
      <c r="B3485" s="399" t="s">
        <v>1412</v>
      </c>
      <c r="C3485" s="399" t="s">
        <v>184</v>
      </c>
      <c r="D3485" s="399">
        <v>9411</v>
      </c>
      <c r="E3485" s="399" t="s">
        <v>4304</v>
      </c>
      <c r="F3485" s="399" t="s">
        <v>4305</v>
      </c>
      <c r="G3485" s="399" t="s">
        <v>2221</v>
      </c>
      <c r="H3485" s="1235"/>
    </row>
    <row r="3486" spans="1:8" hidden="1">
      <c r="A3486" s="551" t="s">
        <v>2797</v>
      </c>
      <c r="B3486" s="399" t="s">
        <v>1412</v>
      </c>
      <c r="C3486" s="399" t="s">
        <v>184</v>
      </c>
      <c r="D3486" s="399">
        <v>9412</v>
      </c>
      <c r="E3486" s="399" t="s">
        <v>4306</v>
      </c>
      <c r="F3486" s="399" t="s">
        <v>4307</v>
      </c>
      <c r="G3486" s="399" t="s">
        <v>2221</v>
      </c>
      <c r="H3486" s="1235"/>
    </row>
    <row r="3487" spans="1:8" hidden="1">
      <c r="A3487" s="551" t="s">
        <v>2797</v>
      </c>
      <c r="B3487" s="399" t="s">
        <v>1412</v>
      </c>
      <c r="C3487" s="399" t="s">
        <v>184</v>
      </c>
      <c r="D3487" s="399">
        <v>9420</v>
      </c>
      <c r="E3487" s="399" t="s">
        <v>4308</v>
      </c>
      <c r="F3487" s="399" t="s">
        <v>4309</v>
      </c>
      <c r="G3487" s="399" t="s">
        <v>2221</v>
      </c>
      <c r="H3487" s="1235"/>
    </row>
    <row r="3488" spans="1:8" hidden="1">
      <c r="A3488" s="551" t="s">
        <v>2797</v>
      </c>
      <c r="B3488" s="399" t="s">
        <v>1412</v>
      </c>
      <c r="C3488" s="399" t="s">
        <v>184</v>
      </c>
      <c r="D3488" s="399">
        <v>9490</v>
      </c>
      <c r="E3488" s="399" t="s">
        <v>4310</v>
      </c>
      <c r="F3488" s="399" t="s">
        <v>4311</v>
      </c>
      <c r="G3488" s="399" t="s">
        <v>2221</v>
      </c>
      <c r="H3488" s="1235"/>
    </row>
    <row r="3489" spans="1:8" hidden="1">
      <c r="A3489" s="551" t="s">
        <v>2797</v>
      </c>
      <c r="B3489" s="399" t="s">
        <v>1412</v>
      </c>
      <c r="C3489" s="399" t="s">
        <v>184</v>
      </c>
      <c r="D3489" s="399">
        <v>9491</v>
      </c>
      <c r="E3489" s="399" t="s">
        <v>4312</v>
      </c>
      <c r="F3489" s="399" t="s">
        <v>4313</v>
      </c>
      <c r="G3489" s="399" t="s">
        <v>2221</v>
      </c>
      <c r="H3489" s="1235"/>
    </row>
    <row r="3490" spans="1:8" hidden="1">
      <c r="A3490" s="551" t="s">
        <v>2797</v>
      </c>
      <c r="B3490" s="399" t="s">
        <v>1412</v>
      </c>
      <c r="C3490" s="399" t="s">
        <v>184</v>
      </c>
      <c r="D3490" s="399">
        <v>9492</v>
      </c>
      <c r="E3490" s="399" t="s">
        <v>4314</v>
      </c>
      <c r="F3490" s="399" t="s">
        <v>4315</v>
      </c>
      <c r="G3490" s="399" t="s">
        <v>2221</v>
      </c>
      <c r="H3490" s="1235"/>
    </row>
    <row r="3491" spans="1:8" hidden="1">
      <c r="A3491" s="551" t="s">
        <v>2797</v>
      </c>
      <c r="B3491" s="399" t="s">
        <v>1412</v>
      </c>
      <c r="C3491" s="399" t="s">
        <v>184</v>
      </c>
      <c r="D3491" s="399">
        <v>9499</v>
      </c>
      <c r="E3491" s="399" t="s">
        <v>4316</v>
      </c>
      <c r="F3491" s="399" t="s">
        <v>4317</v>
      </c>
      <c r="G3491" s="399" t="s">
        <v>2221</v>
      </c>
      <c r="H3491" s="1235"/>
    </row>
    <row r="3492" spans="1:8" hidden="1">
      <c r="A3492" s="551" t="s">
        <v>2797</v>
      </c>
      <c r="B3492" s="399" t="s">
        <v>1412</v>
      </c>
      <c r="C3492" s="399" t="s">
        <v>184</v>
      </c>
      <c r="D3492" s="399">
        <v>9500</v>
      </c>
      <c r="E3492" s="399">
        <v>95</v>
      </c>
      <c r="F3492" s="399" t="s">
        <v>4318</v>
      </c>
      <c r="G3492" s="399" t="s">
        <v>2221</v>
      </c>
      <c r="H3492" s="1235"/>
    </row>
    <row r="3493" spans="1:8" hidden="1">
      <c r="A3493" s="551" t="s">
        <v>2797</v>
      </c>
      <c r="B3493" s="399" t="s">
        <v>1412</v>
      </c>
      <c r="C3493" s="399" t="s">
        <v>184</v>
      </c>
      <c r="D3493" s="399">
        <v>9510</v>
      </c>
      <c r="E3493" s="399" t="s">
        <v>4319</v>
      </c>
      <c r="F3493" s="399" t="s">
        <v>4320</v>
      </c>
      <c r="G3493" s="399" t="s">
        <v>2221</v>
      </c>
      <c r="H3493" s="1235"/>
    </row>
    <row r="3494" spans="1:8" hidden="1">
      <c r="A3494" s="551" t="s">
        <v>2797</v>
      </c>
      <c r="B3494" s="399" t="s">
        <v>1412</v>
      </c>
      <c r="C3494" s="399" t="s">
        <v>184</v>
      </c>
      <c r="D3494" s="399">
        <v>9511</v>
      </c>
      <c r="E3494" s="399" t="s">
        <v>4321</v>
      </c>
      <c r="F3494" s="399" t="s">
        <v>4322</v>
      </c>
      <c r="G3494" s="399" t="s">
        <v>2221</v>
      </c>
      <c r="H3494" s="1235"/>
    </row>
    <row r="3495" spans="1:8" hidden="1">
      <c r="A3495" s="551" t="s">
        <v>2797</v>
      </c>
      <c r="B3495" s="399" t="s">
        <v>1412</v>
      </c>
      <c r="C3495" s="399" t="s">
        <v>184</v>
      </c>
      <c r="D3495" s="399">
        <v>9512</v>
      </c>
      <c r="E3495" s="399" t="s">
        <v>4323</v>
      </c>
      <c r="F3495" s="399" t="s">
        <v>4324</v>
      </c>
      <c r="G3495" s="399" t="s">
        <v>2221</v>
      </c>
      <c r="H3495" s="1235"/>
    </row>
    <row r="3496" spans="1:8" hidden="1">
      <c r="A3496" s="551" t="s">
        <v>2797</v>
      </c>
      <c r="B3496" s="399" t="s">
        <v>1412</v>
      </c>
      <c r="C3496" s="399" t="s">
        <v>184</v>
      </c>
      <c r="D3496" s="399">
        <v>9520</v>
      </c>
      <c r="E3496" s="399" t="s">
        <v>4325</v>
      </c>
      <c r="F3496" s="399" t="s">
        <v>4326</v>
      </c>
      <c r="G3496" s="399" t="s">
        <v>2221</v>
      </c>
      <c r="H3496" s="1235"/>
    </row>
    <row r="3497" spans="1:8" hidden="1">
      <c r="A3497" s="551" t="s">
        <v>2797</v>
      </c>
      <c r="B3497" s="399" t="s">
        <v>1412</v>
      </c>
      <c r="C3497" s="399" t="s">
        <v>184</v>
      </c>
      <c r="D3497" s="399">
        <v>9521</v>
      </c>
      <c r="E3497" s="399" t="s">
        <v>4327</v>
      </c>
      <c r="F3497" s="399" t="s">
        <v>4328</v>
      </c>
      <c r="G3497" s="399" t="s">
        <v>2221</v>
      </c>
      <c r="H3497" s="1235"/>
    </row>
    <row r="3498" spans="1:8" hidden="1">
      <c r="A3498" s="551" t="s">
        <v>2797</v>
      </c>
      <c r="B3498" s="399" t="s">
        <v>1412</v>
      </c>
      <c r="C3498" s="399" t="s">
        <v>184</v>
      </c>
      <c r="D3498" s="399">
        <v>9522</v>
      </c>
      <c r="E3498" s="399" t="s">
        <v>4329</v>
      </c>
      <c r="F3498" s="399" t="s">
        <v>4330</v>
      </c>
      <c r="G3498" s="399" t="s">
        <v>2221</v>
      </c>
      <c r="H3498" s="1235"/>
    </row>
    <row r="3499" spans="1:8" hidden="1">
      <c r="A3499" s="551" t="s">
        <v>2797</v>
      </c>
      <c r="B3499" s="399" t="s">
        <v>1412</v>
      </c>
      <c r="C3499" s="399" t="s">
        <v>184</v>
      </c>
      <c r="D3499" s="399">
        <v>9523</v>
      </c>
      <c r="E3499" s="399" t="s">
        <v>4331</v>
      </c>
      <c r="F3499" s="399" t="s">
        <v>4332</v>
      </c>
      <c r="G3499" s="399" t="s">
        <v>2221</v>
      </c>
      <c r="H3499" s="1235"/>
    </row>
    <row r="3500" spans="1:8" hidden="1">
      <c r="A3500" s="551" t="s">
        <v>2797</v>
      </c>
      <c r="B3500" s="399" t="s">
        <v>1412</v>
      </c>
      <c r="C3500" s="399" t="s">
        <v>184</v>
      </c>
      <c r="D3500" s="399">
        <v>9524</v>
      </c>
      <c r="E3500" s="399" t="s">
        <v>4333</v>
      </c>
      <c r="F3500" s="399" t="s">
        <v>4334</v>
      </c>
      <c r="G3500" s="399" t="s">
        <v>2221</v>
      </c>
      <c r="H3500" s="1235"/>
    </row>
    <row r="3501" spans="1:8" hidden="1">
      <c r="A3501" s="551" t="s">
        <v>2797</v>
      </c>
      <c r="B3501" s="399" t="s">
        <v>1412</v>
      </c>
      <c r="C3501" s="399" t="s">
        <v>184</v>
      </c>
      <c r="D3501" s="399">
        <v>9525</v>
      </c>
      <c r="E3501" s="399" t="s">
        <v>4335</v>
      </c>
      <c r="F3501" s="399" t="s">
        <v>4336</v>
      </c>
      <c r="G3501" s="399" t="s">
        <v>2221</v>
      </c>
      <c r="H3501" s="1235"/>
    </row>
    <row r="3502" spans="1:8" hidden="1">
      <c r="A3502" s="551" t="s">
        <v>2797</v>
      </c>
      <c r="B3502" s="399" t="s">
        <v>1412</v>
      </c>
      <c r="C3502" s="399" t="s">
        <v>184</v>
      </c>
      <c r="D3502" s="399">
        <v>9529</v>
      </c>
      <c r="E3502" s="399" t="s">
        <v>4337</v>
      </c>
      <c r="F3502" s="399" t="s">
        <v>4338</v>
      </c>
      <c r="G3502" s="399" t="s">
        <v>2221</v>
      </c>
      <c r="H3502" s="1235"/>
    </row>
    <row r="3503" spans="1:8" hidden="1">
      <c r="A3503" s="551" t="s">
        <v>2797</v>
      </c>
      <c r="B3503" s="399" t="s">
        <v>1412</v>
      </c>
      <c r="C3503" s="399" t="s">
        <v>184</v>
      </c>
      <c r="D3503" s="399">
        <v>9600</v>
      </c>
      <c r="E3503" s="399">
        <v>96</v>
      </c>
      <c r="F3503" s="399" t="s">
        <v>4339</v>
      </c>
      <c r="G3503" s="399" t="s">
        <v>2221</v>
      </c>
      <c r="H3503" s="1235"/>
    </row>
    <row r="3504" spans="1:8" hidden="1">
      <c r="A3504" s="551" t="s">
        <v>2797</v>
      </c>
      <c r="B3504" s="399" t="s">
        <v>1412</v>
      </c>
      <c r="C3504" s="399" t="s">
        <v>184</v>
      </c>
      <c r="D3504" s="399">
        <v>9601</v>
      </c>
      <c r="E3504" s="399" t="s">
        <v>4340</v>
      </c>
      <c r="F3504" s="399" t="s">
        <v>4341</v>
      </c>
      <c r="G3504" s="399" t="s">
        <v>2221</v>
      </c>
      <c r="H3504" s="1235"/>
    </row>
    <row r="3505" spans="1:8" hidden="1">
      <c r="A3505" s="551" t="s">
        <v>2797</v>
      </c>
      <c r="B3505" s="399" t="s">
        <v>1412</v>
      </c>
      <c r="C3505" s="399" t="s">
        <v>184</v>
      </c>
      <c r="D3505" s="399">
        <v>9602</v>
      </c>
      <c r="E3505" s="399" t="s">
        <v>4342</v>
      </c>
      <c r="F3505" s="399" t="s">
        <v>4343</v>
      </c>
      <c r="G3505" s="399" t="s">
        <v>2221</v>
      </c>
      <c r="H3505" s="1235"/>
    </row>
    <row r="3506" spans="1:8" hidden="1">
      <c r="A3506" s="551" t="s">
        <v>2797</v>
      </c>
      <c r="B3506" s="399" t="s">
        <v>1412</v>
      </c>
      <c r="C3506" s="399" t="s">
        <v>184</v>
      </c>
      <c r="D3506" s="399">
        <v>9603</v>
      </c>
      <c r="E3506" s="399" t="s">
        <v>4344</v>
      </c>
      <c r="F3506" s="399" t="s">
        <v>4345</v>
      </c>
      <c r="G3506" s="399" t="s">
        <v>2221</v>
      </c>
      <c r="H3506" s="1235"/>
    </row>
    <row r="3507" spans="1:8" hidden="1">
      <c r="A3507" s="551" t="s">
        <v>2797</v>
      </c>
      <c r="B3507" s="399" t="s">
        <v>1412</v>
      </c>
      <c r="C3507" s="399" t="s">
        <v>184</v>
      </c>
      <c r="D3507" s="399">
        <v>9604</v>
      </c>
      <c r="E3507" s="399" t="s">
        <v>4346</v>
      </c>
      <c r="F3507" s="399" t="s">
        <v>4347</v>
      </c>
      <c r="G3507" s="399" t="s">
        <v>2221</v>
      </c>
      <c r="H3507" s="1235"/>
    </row>
    <row r="3508" spans="1:8" hidden="1">
      <c r="A3508" s="551" t="s">
        <v>2797</v>
      </c>
      <c r="B3508" s="399" t="s">
        <v>1412</v>
      </c>
      <c r="C3508" s="399" t="s">
        <v>184</v>
      </c>
      <c r="D3508" s="399">
        <v>9609</v>
      </c>
      <c r="E3508" s="399" t="s">
        <v>4348</v>
      </c>
      <c r="F3508" s="399" t="s">
        <v>4349</v>
      </c>
      <c r="G3508" s="399" t="s">
        <v>2221</v>
      </c>
      <c r="H3508" s="1235"/>
    </row>
    <row r="3509" spans="1:8" hidden="1">
      <c r="A3509" s="551" t="s">
        <v>2797</v>
      </c>
      <c r="B3509" s="399" t="s">
        <v>1412</v>
      </c>
      <c r="C3509" s="399" t="s">
        <v>184</v>
      </c>
      <c r="D3509" s="399">
        <v>9700</v>
      </c>
      <c r="E3509" s="399">
        <v>97</v>
      </c>
      <c r="F3509" s="399" t="s">
        <v>4350</v>
      </c>
      <c r="G3509" s="399" t="s">
        <v>2221</v>
      </c>
      <c r="H3509" s="1235"/>
    </row>
    <row r="3510" spans="1:8" hidden="1">
      <c r="A3510" s="551" t="s">
        <v>2797</v>
      </c>
      <c r="B3510" s="399" t="s">
        <v>1412</v>
      </c>
      <c r="C3510" s="399" t="s">
        <v>184</v>
      </c>
      <c r="D3510" s="399">
        <v>9800</v>
      </c>
      <c r="E3510" s="399">
        <v>98</v>
      </c>
      <c r="F3510" s="399" t="s">
        <v>4351</v>
      </c>
      <c r="G3510" s="399" t="s">
        <v>2221</v>
      </c>
      <c r="H3510" s="1235"/>
    </row>
    <row r="3511" spans="1:8" hidden="1">
      <c r="A3511" s="551" t="s">
        <v>2797</v>
      </c>
      <c r="B3511" s="399" t="s">
        <v>1412</v>
      </c>
      <c r="C3511" s="399" t="s">
        <v>184</v>
      </c>
      <c r="D3511" s="399">
        <v>9810</v>
      </c>
      <c r="E3511" s="399" t="s">
        <v>4352</v>
      </c>
      <c r="F3511" s="399" t="s">
        <v>4353</v>
      </c>
      <c r="G3511" s="399" t="s">
        <v>2221</v>
      </c>
      <c r="H3511" s="1235"/>
    </row>
    <row r="3512" spans="1:8" hidden="1">
      <c r="A3512" s="551" t="s">
        <v>2797</v>
      </c>
      <c r="B3512" s="399" t="s">
        <v>1412</v>
      </c>
      <c r="C3512" s="399" t="s">
        <v>184</v>
      </c>
      <c r="D3512" s="399">
        <v>9820</v>
      </c>
      <c r="E3512" s="399" t="s">
        <v>4354</v>
      </c>
      <c r="F3512" s="399" t="s">
        <v>4355</v>
      </c>
      <c r="G3512" s="399" t="s">
        <v>2221</v>
      </c>
      <c r="H3512" s="1235"/>
    </row>
    <row r="3513" spans="1:8" hidden="1">
      <c r="A3513" s="552" t="s">
        <v>2797</v>
      </c>
      <c r="B3513" s="404" t="s">
        <v>1412</v>
      </c>
      <c r="C3513" s="404" t="s">
        <v>184</v>
      </c>
      <c r="D3513" s="404">
        <v>9900</v>
      </c>
      <c r="E3513" s="404">
        <v>99</v>
      </c>
      <c r="F3513" s="404" t="s">
        <v>4356</v>
      </c>
      <c r="G3513" s="404" t="s">
        <v>2221</v>
      </c>
      <c r="H3513" s="1236"/>
    </row>
    <row r="3514" spans="1:8" hidden="1">
      <c r="A3514" s="521" t="s">
        <v>2797</v>
      </c>
      <c r="B3514" s="407" t="s">
        <v>1424</v>
      </c>
      <c r="C3514" s="407" t="s">
        <v>187</v>
      </c>
      <c r="D3514" s="407">
        <v>1</v>
      </c>
      <c r="E3514" s="407" t="s">
        <v>4357</v>
      </c>
      <c r="F3514" s="407" t="s">
        <v>4357</v>
      </c>
      <c r="G3514" s="407" t="s">
        <v>2221</v>
      </c>
      <c r="H3514" s="1240" t="s">
        <v>4358</v>
      </c>
    </row>
    <row r="3515" spans="1:8" hidden="1">
      <c r="A3515" s="522" t="s">
        <v>2797</v>
      </c>
      <c r="B3515" s="400" t="s">
        <v>1424</v>
      </c>
      <c r="C3515" s="400" t="s">
        <v>187</v>
      </c>
      <c r="D3515" s="400">
        <v>2</v>
      </c>
      <c r="E3515" s="400" t="s">
        <v>4359</v>
      </c>
      <c r="F3515" s="400" t="s">
        <v>4359</v>
      </c>
      <c r="G3515" s="400" t="s">
        <v>2221</v>
      </c>
      <c r="H3515" s="1238"/>
    </row>
    <row r="3516" spans="1:8" hidden="1">
      <c r="A3516" s="522" t="s">
        <v>2797</v>
      </c>
      <c r="B3516" s="400" t="s">
        <v>1424</v>
      </c>
      <c r="C3516" s="400" t="s">
        <v>187</v>
      </c>
      <c r="D3516" s="400">
        <v>3</v>
      </c>
      <c r="E3516" s="400" t="s">
        <v>4360</v>
      </c>
      <c r="F3516" s="400" t="s">
        <v>4361</v>
      </c>
      <c r="G3516" s="400" t="s">
        <v>2221</v>
      </c>
      <c r="H3516" s="1238"/>
    </row>
    <row r="3517" spans="1:8" hidden="1">
      <c r="A3517" s="523" t="s">
        <v>2797</v>
      </c>
      <c r="B3517" s="405" t="s">
        <v>1424</v>
      </c>
      <c r="C3517" s="405" t="s">
        <v>187</v>
      </c>
      <c r="D3517" s="405">
        <v>4</v>
      </c>
      <c r="E3517" s="405" t="s">
        <v>4362</v>
      </c>
      <c r="F3517" s="405" t="s">
        <v>4362</v>
      </c>
      <c r="G3517" s="405" t="s">
        <v>2221</v>
      </c>
      <c r="H3517" s="1238"/>
    </row>
    <row r="3518" spans="1:8" hidden="1">
      <c r="A3518" s="513" t="s">
        <v>2797</v>
      </c>
      <c r="B3518" s="408" t="s">
        <v>1447</v>
      </c>
      <c r="C3518" s="408" t="s">
        <v>185</v>
      </c>
      <c r="D3518" s="408">
        <v>0</v>
      </c>
      <c r="E3518" s="408" t="s">
        <v>4363</v>
      </c>
      <c r="F3518" s="408" t="s">
        <v>4363</v>
      </c>
      <c r="G3518" s="408" t="s">
        <v>2221</v>
      </c>
      <c r="H3518" s="1231" t="s">
        <v>4364</v>
      </c>
    </row>
    <row r="3519" spans="1:8" hidden="1">
      <c r="A3519" s="514" t="s">
        <v>2797</v>
      </c>
      <c r="B3519" s="399" t="s">
        <v>1447</v>
      </c>
      <c r="C3519" s="399" t="s">
        <v>185</v>
      </c>
      <c r="D3519" s="399">
        <v>1</v>
      </c>
      <c r="E3519" s="399" t="s">
        <v>4365</v>
      </c>
      <c r="F3519" s="399" t="s">
        <v>4366</v>
      </c>
      <c r="G3519" s="399" t="s">
        <v>2221</v>
      </c>
      <c r="H3519" s="1232"/>
    </row>
    <row r="3520" spans="1:8" hidden="1">
      <c r="A3520" s="514" t="s">
        <v>2797</v>
      </c>
      <c r="B3520" s="399" t="s">
        <v>1447</v>
      </c>
      <c r="C3520" s="399" t="s">
        <v>185</v>
      </c>
      <c r="D3520" s="399">
        <v>2</v>
      </c>
      <c r="E3520" s="399" t="s">
        <v>4367</v>
      </c>
      <c r="F3520" s="399" t="s">
        <v>4367</v>
      </c>
      <c r="G3520" s="399" t="s">
        <v>2221</v>
      </c>
      <c r="H3520" s="1232"/>
    </row>
    <row r="3521" spans="1:8" hidden="1">
      <c r="A3521" s="524" t="s">
        <v>2797</v>
      </c>
      <c r="B3521" s="404" t="s">
        <v>1447</v>
      </c>
      <c r="C3521" s="404" t="s">
        <v>185</v>
      </c>
      <c r="D3521" s="404">
        <v>3</v>
      </c>
      <c r="E3521" s="404" t="s">
        <v>4368</v>
      </c>
      <c r="F3521" s="404" t="s">
        <v>4368</v>
      </c>
      <c r="G3521" s="404" t="s">
        <v>2221</v>
      </c>
      <c r="H3521" s="1232"/>
    </row>
    <row r="3522" spans="1:8" hidden="1">
      <c r="A3522" s="513" t="s">
        <v>2797</v>
      </c>
      <c r="B3522" s="408" t="s">
        <v>1493</v>
      </c>
      <c r="C3522" s="408" t="s">
        <v>182</v>
      </c>
      <c r="D3522" s="408">
        <v>1</v>
      </c>
      <c r="E3522" s="408" t="s">
        <v>4369</v>
      </c>
      <c r="F3522" s="408" t="s">
        <v>4369</v>
      </c>
      <c r="G3522" s="408" t="s">
        <v>2221</v>
      </c>
      <c r="H3522" s="1231" t="s">
        <v>4370</v>
      </c>
    </row>
    <row r="3523" spans="1:8" hidden="1">
      <c r="A3523" s="514" t="s">
        <v>2797</v>
      </c>
      <c r="B3523" s="399" t="s">
        <v>1493</v>
      </c>
      <c r="C3523" s="399" t="s">
        <v>182</v>
      </c>
      <c r="D3523" s="399">
        <v>2</v>
      </c>
      <c r="E3523" s="399" t="s">
        <v>4371</v>
      </c>
      <c r="F3523" s="399" t="s">
        <v>4371</v>
      </c>
      <c r="G3523" s="399" t="s">
        <v>2221</v>
      </c>
      <c r="H3523" s="1232"/>
    </row>
    <row r="3524" spans="1:8" hidden="1">
      <c r="A3524" s="514" t="s">
        <v>2797</v>
      </c>
      <c r="B3524" s="399" t="s">
        <v>1493</v>
      </c>
      <c r="C3524" s="399" t="s">
        <v>182</v>
      </c>
      <c r="D3524" s="399">
        <v>3</v>
      </c>
      <c r="E3524" s="399" t="s">
        <v>4371</v>
      </c>
      <c r="F3524" s="399" t="s">
        <v>4371</v>
      </c>
      <c r="G3524" s="399" t="s">
        <v>2221</v>
      </c>
      <c r="H3524" s="1232"/>
    </row>
    <row r="3525" spans="1:8" hidden="1">
      <c r="A3525" s="514" t="s">
        <v>2797</v>
      </c>
      <c r="B3525" s="399" t="s">
        <v>1493</v>
      </c>
      <c r="C3525" s="399" t="s">
        <v>182</v>
      </c>
      <c r="D3525" s="399">
        <v>4</v>
      </c>
      <c r="E3525" s="399" t="s">
        <v>4371</v>
      </c>
      <c r="F3525" s="399" t="s">
        <v>4371</v>
      </c>
      <c r="G3525" s="399" t="s">
        <v>2221</v>
      </c>
      <c r="H3525" s="1232"/>
    </row>
    <row r="3526" spans="1:8" hidden="1">
      <c r="A3526" s="524" t="s">
        <v>2797</v>
      </c>
      <c r="B3526" s="404" t="s">
        <v>1493</v>
      </c>
      <c r="C3526" s="404" t="s">
        <v>182</v>
      </c>
      <c r="D3526" s="405" t="s">
        <v>2233</v>
      </c>
      <c r="E3526" s="405" t="s">
        <v>4372</v>
      </c>
      <c r="F3526" s="405" t="s">
        <v>2233</v>
      </c>
      <c r="G3526" s="405" t="s">
        <v>2254</v>
      </c>
      <c r="H3526" s="1232"/>
    </row>
    <row r="3527" spans="1:8" hidden="1">
      <c r="A3527" s="674" t="s">
        <v>4373</v>
      </c>
      <c r="B3527" s="408" t="s">
        <v>1555</v>
      </c>
      <c r="C3527" s="408" t="s">
        <v>119</v>
      </c>
      <c r="D3527" s="408">
        <v>20</v>
      </c>
      <c r="E3527" s="408" t="s">
        <v>4374</v>
      </c>
      <c r="F3527" s="408" t="s">
        <v>4375</v>
      </c>
      <c r="G3527" s="408" t="s">
        <v>2221</v>
      </c>
      <c r="H3527" s="1231" t="s">
        <v>4376</v>
      </c>
    </row>
    <row r="3528" spans="1:8" hidden="1">
      <c r="A3528" s="676" t="s">
        <v>4373</v>
      </c>
      <c r="B3528" s="399" t="s">
        <v>1555</v>
      </c>
      <c r="C3528" s="399" t="s">
        <v>119</v>
      </c>
      <c r="D3528" s="399">
        <v>784</v>
      </c>
      <c r="E3528" s="399" t="s">
        <v>4377</v>
      </c>
      <c r="F3528" s="399" t="s">
        <v>4378</v>
      </c>
      <c r="G3528" s="399" t="s">
        <v>2221</v>
      </c>
      <c r="H3528" s="1232"/>
    </row>
    <row r="3529" spans="1:8" hidden="1">
      <c r="A3529" s="676" t="s">
        <v>4373</v>
      </c>
      <c r="B3529" s="399" t="s">
        <v>1555</v>
      </c>
      <c r="C3529" s="399" t="s">
        <v>119</v>
      </c>
      <c r="D3529" s="399">
        <v>4</v>
      </c>
      <c r="E3529" s="399" t="s">
        <v>4379</v>
      </c>
      <c r="F3529" s="399" t="s">
        <v>4380</v>
      </c>
      <c r="G3529" s="399" t="s">
        <v>2221</v>
      </c>
      <c r="H3529" s="1232"/>
    </row>
    <row r="3530" spans="1:8" hidden="1">
      <c r="A3530" s="676" t="s">
        <v>4373</v>
      </c>
      <c r="B3530" s="399" t="s">
        <v>1555</v>
      </c>
      <c r="C3530" s="399" t="s">
        <v>119</v>
      </c>
      <c r="D3530" s="399">
        <v>28</v>
      </c>
      <c r="E3530" s="399" t="s">
        <v>4381</v>
      </c>
      <c r="F3530" s="399" t="s">
        <v>4382</v>
      </c>
      <c r="G3530" s="399" t="s">
        <v>2221</v>
      </c>
      <c r="H3530" s="1232"/>
    </row>
    <row r="3531" spans="1:8" hidden="1">
      <c r="A3531" s="676" t="s">
        <v>4373</v>
      </c>
      <c r="B3531" s="399" t="s">
        <v>1555</v>
      </c>
      <c r="C3531" s="399" t="s">
        <v>119</v>
      </c>
      <c r="D3531" s="399">
        <v>660</v>
      </c>
      <c r="E3531" s="399" t="s">
        <v>4383</v>
      </c>
      <c r="F3531" s="399" t="s">
        <v>4384</v>
      </c>
      <c r="G3531" s="399" t="s">
        <v>2221</v>
      </c>
      <c r="H3531" s="1232"/>
    </row>
    <row r="3532" spans="1:8" hidden="1">
      <c r="A3532" s="676" t="s">
        <v>4373</v>
      </c>
      <c r="B3532" s="399" t="s">
        <v>1555</v>
      </c>
      <c r="C3532" s="399" t="s">
        <v>119</v>
      </c>
      <c r="D3532" s="399">
        <v>8</v>
      </c>
      <c r="E3532" s="399" t="s">
        <v>4385</v>
      </c>
      <c r="F3532" s="399" t="s">
        <v>4386</v>
      </c>
      <c r="G3532" s="399" t="s">
        <v>2221</v>
      </c>
      <c r="H3532" s="1232"/>
    </row>
    <row r="3533" spans="1:8" hidden="1">
      <c r="A3533" s="676" t="s">
        <v>4373</v>
      </c>
      <c r="B3533" s="399" t="s">
        <v>1555</v>
      </c>
      <c r="C3533" s="399" t="s">
        <v>119</v>
      </c>
      <c r="D3533" s="399">
        <v>51</v>
      </c>
      <c r="E3533" s="399" t="s">
        <v>4387</v>
      </c>
      <c r="F3533" s="399" t="s">
        <v>4388</v>
      </c>
      <c r="G3533" s="399" t="s">
        <v>2221</v>
      </c>
      <c r="H3533" s="1232"/>
    </row>
    <row r="3534" spans="1:8" hidden="1">
      <c r="A3534" s="676" t="s">
        <v>4373</v>
      </c>
      <c r="B3534" s="399" t="s">
        <v>1555</v>
      </c>
      <c r="C3534" s="399" t="s">
        <v>119</v>
      </c>
      <c r="D3534" s="399">
        <v>24</v>
      </c>
      <c r="E3534" s="399" t="s">
        <v>4389</v>
      </c>
      <c r="F3534" s="399" t="s">
        <v>4390</v>
      </c>
      <c r="G3534" s="399" t="s">
        <v>2221</v>
      </c>
      <c r="H3534" s="1232"/>
    </row>
    <row r="3535" spans="1:8" hidden="1">
      <c r="A3535" s="676" t="s">
        <v>4373</v>
      </c>
      <c r="B3535" s="399" t="s">
        <v>1555</v>
      </c>
      <c r="C3535" s="399" t="s">
        <v>119</v>
      </c>
      <c r="D3535" s="399">
        <v>10</v>
      </c>
      <c r="E3535" s="399" t="s">
        <v>4391</v>
      </c>
      <c r="F3535" s="399" t="s">
        <v>4392</v>
      </c>
      <c r="G3535" s="399" t="s">
        <v>2221</v>
      </c>
      <c r="H3535" s="1232"/>
    </row>
    <row r="3536" spans="1:8" hidden="1">
      <c r="A3536" s="676" t="s">
        <v>4373</v>
      </c>
      <c r="B3536" s="399" t="s">
        <v>1555</v>
      </c>
      <c r="C3536" s="399" t="s">
        <v>119</v>
      </c>
      <c r="D3536" s="399">
        <v>32</v>
      </c>
      <c r="E3536" s="399" t="s">
        <v>4393</v>
      </c>
      <c r="F3536" s="399" t="s">
        <v>4394</v>
      </c>
      <c r="G3536" s="399" t="s">
        <v>2221</v>
      </c>
      <c r="H3536" s="1232"/>
    </row>
    <row r="3537" spans="1:8" hidden="1">
      <c r="A3537" s="676" t="s">
        <v>4373</v>
      </c>
      <c r="B3537" s="399" t="s">
        <v>1555</v>
      </c>
      <c r="C3537" s="399" t="s">
        <v>119</v>
      </c>
      <c r="D3537" s="399">
        <v>16</v>
      </c>
      <c r="E3537" s="399" t="s">
        <v>4395</v>
      </c>
      <c r="F3537" s="399" t="s">
        <v>4396</v>
      </c>
      <c r="G3537" s="399" t="s">
        <v>2221</v>
      </c>
      <c r="H3537" s="1232"/>
    </row>
    <row r="3538" spans="1:8" hidden="1">
      <c r="A3538" s="676" t="s">
        <v>4373</v>
      </c>
      <c r="B3538" s="399" t="s">
        <v>1555</v>
      </c>
      <c r="C3538" s="399" t="s">
        <v>119</v>
      </c>
      <c r="D3538" s="399">
        <v>40</v>
      </c>
      <c r="E3538" s="399" t="s">
        <v>4397</v>
      </c>
      <c r="F3538" s="399" t="s">
        <v>4398</v>
      </c>
      <c r="G3538" s="399" t="s">
        <v>2221</v>
      </c>
      <c r="H3538" s="1232"/>
    </row>
    <row r="3539" spans="1:8" hidden="1">
      <c r="A3539" s="676" t="s">
        <v>4373</v>
      </c>
      <c r="B3539" s="399" t="s">
        <v>1555</v>
      </c>
      <c r="C3539" s="399" t="s">
        <v>119</v>
      </c>
      <c r="D3539" s="399">
        <v>36</v>
      </c>
      <c r="E3539" s="399" t="s">
        <v>4399</v>
      </c>
      <c r="F3539" s="399" t="s">
        <v>4400</v>
      </c>
      <c r="G3539" s="399" t="s">
        <v>2221</v>
      </c>
      <c r="H3539" s="1232"/>
    </row>
    <row r="3540" spans="1:8" hidden="1">
      <c r="A3540" s="676" t="s">
        <v>4373</v>
      </c>
      <c r="B3540" s="399" t="s">
        <v>1555</v>
      </c>
      <c r="C3540" s="399" t="s">
        <v>119</v>
      </c>
      <c r="D3540" s="399">
        <v>533</v>
      </c>
      <c r="E3540" s="399" t="s">
        <v>4401</v>
      </c>
      <c r="F3540" s="399" t="s">
        <v>4402</v>
      </c>
      <c r="G3540" s="399" t="s">
        <v>2221</v>
      </c>
      <c r="H3540" s="1232"/>
    </row>
    <row r="3541" spans="1:8" hidden="1">
      <c r="A3541" s="676" t="s">
        <v>4373</v>
      </c>
      <c r="B3541" s="399" t="s">
        <v>1555</v>
      </c>
      <c r="C3541" s="399" t="s">
        <v>119</v>
      </c>
      <c r="D3541" s="399">
        <v>248</v>
      </c>
      <c r="E3541" s="399" t="s">
        <v>4403</v>
      </c>
      <c r="F3541" s="399" t="s">
        <v>4404</v>
      </c>
      <c r="G3541" s="399" t="s">
        <v>2221</v>
      </c>
      <c r="H3541" s="1232"/>
    </row>
    <row r="3542" spans="1:8" hidden="1">
      <c r="A3542" s="676" t="s">
        <v>4373</v>
      </c>
      <c r="B3542" s="399" t="s">
        <v>1555</v>
      </c>
      <c r="C3542" s="399" t="s">
        <v>119</v>
      </c>
      <c r="D3542" s="399">
        <v>31</v>
      </c>
      <c r="E3542" s="399" t="s">
        <v>4405</v>
      </c>
      <c r="F3542" s="399" t="s">
        <v>4406</v>
      </c>
      <c r="G3542" s="399" t="s">
        <v>2221</v>
      </c>
      <c r="H3542" s="1232"/>
    </row>
    <row r="3543" spans="1:8" hidden="1">
      <c r="A3543" s="676" t="s">
        <v>4373</v>
      </c>
      <c r="B3543" s="399" t="s">
        <v>1555</v>
      </c>
      <c r="C3543" s="399" t="s">
        <v>119</v>
      </c>
      <c r="D3543" s="399">
        <v>70</v>
      </c>
      <c r="E3543" s="399" t="s">
        <v>4407</v>
      </c>
      <c r="F3543" s="399" t="s">
        <v>4408</v>
      </c>
      <c r="G3543" s="399" t="s">
        <v>2221</v>
      </c>
      <c r="H3543" s="1232"/>
    </row>
    <row r="3544" spans="1:8" hidden="1">
      <c r="A3544" s="676" t="s">
        <v>4373</v>
      </c>
      <c r="B3544" s="399" t="s">
        <v>1555</v>
      </c>
      <c r="C3544" s="399" t="s">
        <v>119</v>
      </c>
      <c r="D3544" s="399">
        <v>52</v>
      </c>
      <c r="E3544" s="399" t="s">
        <v>4409</v>
      </c>
      <c r="F3544" s="399" t="s">
        <v>4410</v>
      </c>
      <c r="G3544" s="399" t="s">
        <v>2221</v>
      </c>
      <c r="H3544" s="1232"/>
    </row>
    <row r="3545" spans="1:8" hidden="1">
      <c r="A3545" s="676" t="s">
        <v>4373</v>
      </c>
      <c r="B3545" s="399" t="s">
        <v>1555</v>
      </c>
      <c r="C3545" s="399" t="s">
        <v>119</v>
      </c>
      <c r="D3545" s="399">
        <v>50</v>
      </c>
      <c r="E3545" s="399" t="s">
        <v>4411</v>
      </c>
      <c r="F3545" s="399" t="s">
        <v>4412</v>
      </c>
      <c r="G3545" s="399" t="s">
        <v>2221</v>
      </c>
      <c r="H3545" s="1232"/>
    </row>
    <row r="3546" spans="1:8" hidden="1">
      <c r="A3546" s="676" t="s">
        <v>4373</v>
      </c>
      <c r="B3546" s="399" t="s">
        <v>1555</v>
      </c>
      <c r="C3546" s="399" t="s">
        <v>119</v>
      </c>
      <c r="D3546" s="399">
        <v>56</v>
      </c>
      <c r="E3546" s="399" t="s">
        <v>4413</v>
      </c>
      <c r="F3546" s="399" t="s">
        <v>4414</v>
      </c>
      <c r="G3546" s="399" t="s">
        <v>2221</v>
      </c>
      <c r="H3546" s="1232"/>
    </row>
    <row r="3547" spans="1:8" hidden="1">
      <c r="A3547" s="676" t="s">
        <v>4373</v>
      </c>
      <c r="B3547" s="399" t="s">
        <v>1555</v>
      </c>
      <c r="C3547" s="399" t="s">
        <v>119</v>
      </c>
      <c r="D3547" s="399">
        <v>854</v>
      </c>
      <c r="E3547" s="399" t="s">
        <v>4415</v>
      </c>
      <c r="F3547" s="399" t="s">
        <v>4416</v>
      </c>
      <c r="G3547" s="399" t="s">
        <v>2221</v>
      </c>
      <c r="H3547" s="1232"/>
    </row>
    <row r="3548" spans="1:8" hidden="1">
      <c r="A3548" s="676" t="s">
        <v>4373</v>
      </c>
      <c r="B3548" s="399" t="s">
        <v>1555</v>
      </c>
      <c r="C3548" s="399" t="s">
        <v>119</v>
      </c>
      <c r="D3548" s="399">
        <v>100</v>
      </c>
      <c r="E3548" s="399" t="s">
        <v>4417</v>
      </c>
      <c r="F3548" s="399" t="s">
        <v>4418</v>
      </c>
      <c r="G3548" s="399" t="s">
        <v>2221</v>
      </c>
      <c r="H3548" s="1232"/>
    </row>
    <row r="3549" spans="1:8" hidden="1">
      <c r="A3549" s="676" t="s">
        <v>4373</v>
      </c>
      <c r="B3549" s="399" t="s">
        <v>1555</v>
      </c>
      <c r="C3549" s="399" t="s">
        <v>119</v>
      </c>
      <c r="D3549" s="399">
        <v>48</v>
      </c>
      <c r="E3549" s="399" t="s">
        <v>4419</v>
      </c>
      <c r="F3549" s="399" t="s">
        <v>4420</v>
      </c>
      <c r="G3549" s="399" t="s">
        <v>2221</v>
      </c>
      <c r="H3549" s="1232"/>
    </row>
    <row r="3550" spans="1:8" hidden="1">
      <c r="A3550" s="676" t="s">
        <v>4373</v>
      </c>
      <c r="B3550" s="399" t="s">
        <v>1555</v>
      </c>
      <c r="C3550" s="399" t="s">
        <v>119</v>
      </c>
      <c r="D3550" s="399">
        <v>108</v>
      </c>
      <c r="E3550" s="399" t="s">
        <v>4421</v>
      </c>
      <c r="F3550" s="399" t="s">
        <v>4422</v>
      </c>
      <c r="G3550" s="399" t="s">
        <v>2221</v>
      </c>
      <c r="H3550" s="1232"/>
    </row>
    <row r="3551" spans="1:8" hidden="1">
      <c r="A3551" s="676" t="s">
        <v>4373</v>
      </c>
      <c r="B3551" s="399" t="s">
        <v>1555</v>
      </c>
      <c r="C3551" s="399" t="s">
        <v>119</v>
      </c>
      <c r="D3551" s="399">
        <v>204</v>
      </c>
      <c r="E3551" s="399" t="s">
        <v>4423</v>
      </c>
      <c r="F3551" s="399" t="s">
        <v>4424</v>
      </c>
      <c r="G3551" s="399" t="s">
        <v>2221</v>
      </c>
      <c r="H3551" s="1232"/>
    </row>
    <row r="3552" spans="1:8" hidden="1">
      <c r="A3552" s="676" t="s">
        <v>4373</v>
      </c>
      <c r="B3552" s="399" t="s">
        <v>1555</v>
      </c>
      <c r="C3552" s="399" t="s">
        <v>119</v>
      </c>
      <c r="D3552" s="399">
        <v>652</v>
      </c>
      <c r="E3552" s="399" t="s">
        <v>4425</v>
      </c>
      <c r="F3552" s="399" t="s">
        <v>4426</v>
      </c>
      <c r="G3552" s="399" t="s">
        <v>2221</v>
      </c>
      <c r="H3552" s="1232"/>
    </row>
    <row r="3553" spans="1:8" hidden="1">
      <c r="A3553" s="676" t="s">
        <v>4373</v>
      </c>
      <c r="B3553" s="399" t="s">
        <v>1555</v>
      </c>
      <c r="C3553" s="399" t="s">
        <v>119</v>
      </c>
      <c r="D3553" s="399">
        <v>60</v>
      </c>
      <c r="E3553" s="399" t="s">
        <v>4427</v>
      </c>
      <c r="F3553" s="399" t="s">
        <v>4428</v>
      </c>
      <c r="G3553" s="399" t="s">
        <v>2221</v>
      </c>
      <c r="H3553" s="1232"/>
    </row>
    <row r="3554" spans="1:8" hidden="1">
      <c r="A3554" s="676" t="s">
        <v>4373</v>
      </c>
      <c r="B3554" s="399" t="s">
        <v>1555</v>
      </c>
      <c r="C3554" s="399" t="s">
        <v>119</v>
      </c>
      <c r="D3554" s="399">
        <v>96</v>
      </c>
      <c r="E3554" s="399" t="s">
        <v>4429</v>
      </c>
      <c r="F3554" s="399" t="s">
        <v>4430</v>
      </c>
      <c r="G3554" s="399" t="s">
        <v>2221</v>
      </c>
      <c r="H3554" s="1232"/>
    </row>
    <row r="3555" spans="1:8" hidden="1">
      <c r="A3555" s="676" t="s">
        <v>4373</v>
      </c>
      <c r="B3555" s="399" t="s">
        <v>1555</v>
      </c>
      <c r="C3555" s="399" t="s">
        <v>119</v>
      </c>
      <c r="D3555" s="399">
        <v>68</v>
      </c>
      <c r="E3555" s="399" t="s">
        <v>4431</v>
      </c>
      <c r="F3555" s="399" t="s">
        <v>4432</v>
      </c>
      <c r="G3555" s="399" t="s">
        <v>2221</v>
      </c>
      <c r="H3555" s="1232"/>
    </row>
    <row r="3556" spans="1:8" hidden="1">
      <c r="A3556" s="676" t="s">
        <v>4373</v>
      </c>
      <c r="B3556" s="399" t="s">
        <v>1555</v>
      </c>
      <c r="C3556" s="399" t="s">
        <v>119</v>
      </c>
      <c r="D3556" s="399">
        <v>535</v>
      </c>
      <c r="E3556" s="399" t="s">
        <v>4433</v>
      </c>
      <c r="F3556" s="399" t="s">
        <v>4434</v>
      </c>
      <c r="G3556" s="399" t="s">
        <v>2221</v>
      </c>
      <c r="H3556" s="1232"/>
    </row>
    <row r="3557" spans="1:8" hidden="1">
      <c r="A3557" s="676" t="s">
        <v>4373</v>
      </c>
      <c r="B3557" s="399" t="s">
        <v>1555</v>
      </c>
      <c r="C3557" s="399" t="s">
        <v>119</v>
      </c>
      <c r="D3557" s="399">
        <v>76</v>
      </c>
      <c r="E3557" s="399" t="s">
        <v>4435</v>
      </c>
      <c r="F3557" s="399" t="s">
        <v>4436</v>
      </c>
      <c r="G3557" s="399" t="s">
        <v>2221</v>
      </c>
      <c r="H3557" s="1232"/>
    </row>
    <row r="3558" spans="1:8" hidden="1">
      <c r="A3558" s="676" t="s">
        <v>4373</v>
      </c>
      <c r="B3558" s="399" t="s">
        <v>1555</v>
      </c>
      <c r="C3558" s="399" t="s">
        <v>119</v>
      </c>
      <c r="D3558" s="399">
        <v>44</v>
      </c>
      <c r="E3558" s="399" t="s">
        <v>4437</v>
      </c>
      <c r="F3558" s="399" t="s">
        <v>4438</v>
      </c>
      <c r="G3558" s="399" t="s">
        <v>2221</v>
      </c>
      <c r="H3558" s="1232"/>
    </row>
    <row r="3559" spans="1:8" hidden="1">
      <c r="A3559" s="676" t="s">
        <v>4373</v>
      </c>
      <c r="B3559" s="399" t="s">
        <v>1555</v>
      </c>
      <c r="C3559" s="399" t="s">
        <v>119</v>
      </c>
      <c r="D3559" s="399">
        <v>64</v>
      </c>
      <c r="E3559" s="399" t="s">
        <v>4439</v>
      </c>
      <c r="F3559" s="399" t="s">
        <v>4440</v>
      </c>
      <c r="G3559" s="399" t="s">
        <v>2221</v>
      </c>
      <c r="H3559" s="1232"/>
    </row>
    <row r="3560" spans="1:8" hidden="1">
      <c r="A3560" s="676" t="s">
        <v>4373</v>
      </c>
      <c r="B3560" s="399" t="s">
        <v>1555</v>
      </c>
      <c r="C3560" s="399" t="s">
        <v>119</v>
      </c>
      <c r="D3560" s="399">
        <v>74</v>
      </c>
      <c r="E3560" s="399" t="s">
        <v>4441</v>
      </c>
      <c r="F3560" s="399" t="s">
        <v>4442</v>
      </c>
      <c r="G3560" s="399" t="s">
        <v>2221</v>
      </c>
      <c r="H3560" s="1232"/>
    </row>
    <row r="3561" spans="1:8" hidden="1">
      <c r="A3561" s="676" t="s">
        <v>4373</v>
      </c>
      <c r="B3561" s="399" t="s">
        <v>1555</v>
      </c>
      <c r="C3561" s="399" t="s">
        <v>119</v>
      </c>
      <c r="D3561" s="399">
        <v>72</v>
      </c>
      <c r="E3561" s="399" t="s">
        <v>4443</v>
      </c>
      <c r="F3561" s="399" t="s">
        <v>4444</v>
      </c>
      <c r="G3561" s="399" t="s">
        <v>2221</v>
      </c>
      <c r="H3561" s="1232"/>
    </row>
    <row r="3562" spans="1:8" hidden="1">
      <c r="A3562" s="676" t="s">
        <v>4373</v>
      </c>
      <c r="B3562" s="399" t="s">
        <v>1555</v>
      </c>
      <c r="C3562" s="399" t="s">
        <v>119</v>
      </c>
      <c r="D3562" s="399">
        <v>112</v>
      </c>
      <c r="E3562" s="399" t="s">
        <v>4445</v>
      </c>
      <c r="F3562" s="399" t="s">
        <v>4446</v>
      </c>
      <c r="G3562" s="399" t="s">
        <v>2221</v>
      </c>
      <c r="H3562" s="1232"/>
    </row>
    <row r="3563" spans="1:8" hidden="1">
      <c r="A3563" s="676" t="s">
        <v>4373</v>
      </c>
      <c r="B3563" s="399" t="s">
        <v>1555</v>
      </c>
      <c r="C3563" s="399" t="s">
        <v>119</v>
      </c>
      <c r="D3563" s="399">
        <v>84</v>
      </c>
      <c r="E3563" s="399" t="s">
        <v>4447</v>
      </c>
      <c r="F3563" s="399" t="s">
        <v>4448</v>
      </c>
      <c r="G3563" s="399" t="s">
        <v>2221</v>
      </c>
      <c r="H3563" s="1232"/>
    </row>
    <row r="3564" spans="1:8" hidden="1">
      <c r="A3564" s="676" t="s">
        <v>4373</v>
      </c>
      <c r="B3564" s="399" t="s">
        <v>1555</v>
      </c>
      <c r="C3564" s="399" t="s">
        <v>119</v>
      </c>
      <c r="D3564" s="399">
        <v>124</v>
      </c>
      <c r="E3564" s="399" t="s">
        <v>4449</v>
      </c>
      <c r="F3564" s="399" t="s">
        <v>4450</v>
      </c>
      <c r="G3564" s="399" t="s">
        <v>2221</v>
      </c>
      <c r="H3564" s="1232"/>
    </row>
    <row r="3565" spans="1:8" hidden="1">
      <c r="A3565" s="676" t="s">
        <v>4373</v>
      </c>
      <c r="B3565" s="399" t="s">
        <v>1555</v>
      </c>
      <c r="C3565" s="399" t="s">
        <v>119</v>
      </c>
      <c r="D3565" s="399">
        <v>166</v>
      </c>
      <c r="E3565" s="399" t="s">
        <v>4451</v>
      </c>
      <c r="F3565" s="399" t="s">
        <v>4452</v>
      </c>
      <c r="G3565" s="399" t="s">
        <v>2221</v>
      </c>
      <c r="H3565" s="1232"/>
    </row>
    <row r="3566" spans="1:8" hidden="1">
      <c r="A3566" s="676" t="s">
        <v>4373</v>
      </c>
      <c r="B3566" s="399" t="s">
        <v>1555</v>
      </c>
      <c r="C3566" s="399" t="s">
        <v>119</v>
      </c>
      <c r="D3566" s="399">
        <v>180</v>
      </c>
      <c r="E3566" s="399" t="s">
        <v>4453</v>
      </c>
      <c r="F3566" s="399" t="s">
        <v>4454</v>
      </c>
      <c r="G3566" s="399" t="s">
        <v>2221</v>
      </c>
      <c r="H3566" s="1232"/>
    </row>
    <row r="3567" spans="1:8" hidden="1">
      <c r="A3567" s="676" t="s">
        <v>4373</v>
      </c>
      <c r="B3567" s="399" t="s">
        <v>1555</v>
      </c>
      <c r="C3567" s="399" t="s">
        <v>119</v>
      </c>
      <c r="D3567" s="399">
        <v>140</v>
      </c>
      <c r="E3567" s="399" t="s">
        <v>4455</v>
      </c>
      <c r="F3567" s="399" t="s">
        <v>4456</v>
      </c>
      <c r="G3567" s="399" t="s">
        <v>2221</v>
      </c>
      <c r="H3567" s="1232"/>
    </row>
    <row r="3568" spans="1:8" hidden="1">
      <c r="A3568" s="676" t="s">
        <v>4373</v>
      </c>
      <c r="B3568" s="399" t="s">
        <v>1555</v>
      </c>
      <c r="C3568" s="399" t="s">
        <v>119</v>
      </c>
      <c r="D3568" s="399">
        <v>178</v>
      </c>
      <c r="E3568" s="399" t="s">
        <v>4457</v>
      </c>
      <c r="F3568" s="399" t="s">
        <v>4458</v>
      </c>
      <c r="G3568" s="399" t="s">
        <v>2221</v>
      </c>
      <c r="H3568" s="1232"/>
    </row>
    <row r="3569" spans="1:8" hidden="1">
      <c r="A3569" s="676" t="s">
        <v>4373</v>
      </c>
      <c r="B3569" s="399" t="s">
        <v>1555</v>
      </c>
      <c r="C3569" s="399" t="s">
        <v>119</v>
      </c>
      <c r="D3569" s="399">
        <v>756</v>
      </c>
      <c r="E3569" s="399" t="s">
        <v>4459</v>
      </c>
      <c r="F3569" s="399" t="s">
        <v>4460</v>
      </c>
      <c r="G3569" s="399" t="s">
        <v>2221</v>
      </c>
      <c r="H3569" s="1232"/>
    </row>
    <row r="3570" spans="1:8" hidden="1">
      <c r="A3570" s="676" t="s">
        <v>4373</v>
      </c>
      <c r="B3570" s="399" t="s">
        <v>1555</v>
      </c>
      <c r="C3570" s="399" t="s">
        <v>119</v>
      </c>
      <c r="D3570" s="399">
        <v>384</v>
      </c>
      <c r="E3570" s="399" t="s">
        <v>4461</v>
      </c>
      <c r="F3570" s="399" t="s">
        <v>4462</v>
      </c>
      <c r="G3570" s="399" t="s">
        <v>2221</v>
      </c>
      <c r="H3570" s="1232"/>
    </row>
    <row r="3571" spans="1:8" hidden="1">
      <c r="A3571" s="676" t="s">
        <v>4373</v>
      </c>
      <c r="B3571" s="399" t="s">
        <v>1555</v>
      </c>
      <c r="C3571" s="399" t="s">
        <v>119</v>
      </c>
      <c r="D3571" s="399">
        <v>184</v>
      </c>
      <c r="E3571" s="399" t="s">
        <v>4463</v>
      </c>
      <c r="F3571" s="399" t="s">
        <v>4464</v>
      </c>
      <c r="G3571" s="399" t="s">
        <v>2221</v>
      </c>
      <c r="H3571" s="1232"/>
    </row>
    <row r="3572" spans="1:8" hidden="1">
      <c r="A3572" s="676" t="s">
        <v>4373</v>
      </c>
      <c r="B3572" s="399" t="s">
        <v>1555</v>
      </c>
      <c r="C3572" s="399" t="s">
        <v>119</v>
      </c>
      <c r="D3572" s="399">
        <v>152</v>
      </c>
      <c r="E3572" s="399" t="s">
        <v>4465</v>
      </c>
      <c r="F3572" s="399" t="s">
        <v>4466</v>
      </c>
      <c r="G3572" s="399" t="s">
        <v>2221</v>
      </c>
      <c r="H3572" s="1232"/>
    </row>
    <row r="3573" spans="1:8" hidden="1">
      <c r="A3573" s="676" t="s">
        <v>4373</v>
      </c>
      <c r="B3573" s="399" t="s">
        <v>1555</v>
      </c>
      <c r="C3573" s="399" t="s">
        <v>119</v>
      </c>
      <c r="D3573" s="399">
        <v>120</v>
      </c>
      <c r="E3573" s="399" t="s">
        <v>4467</v>
      </c>
      <c r="F3573" s="399" t="s">
        <v>4468</v>
      </c>
      <c r="G3573" s="399" t="s">
        <v>2221</v>
      </c>
      <c r="H3573" s="1232"/>
    </row>
    <row r="3574" spans="1:8" hidden="1">
      <c r="A3574" s="676" t="s">
        <v>4373</v>
      </c>
      <c r="B3574" s="399" t="s">
        <v>1555</v>
      </c>
      <c r="C3574" s="399" t="s">
        <v>119</v>
      </c>
      <c r="D3574" s="399">
        <v>156</v>
      </c>
      <c r="E3574" s="399" t="s">
        <v>4469</v>
      </c>
      <c r="F3574" s="399" t="s">
        <v>4470</v>
      </c>
      <c r="G3574" s="399" t="s">
        <v>2221</v>
      </c>
      <c r="H3574" s="1232"/>
    </row>
    <row r="3575" spans="1:8" hidden="1">
      <c r="A3575" s="676" t="s">
        <v>4373</v>
      </c>
      <c r="B3575" s="399" t="s">
        <v>1555</v>
      </c>
      <c r="C3575" s="399" t="s">
        <v>119</v>
      </c>
      <c r="D3575" s="399">
        <v>170</v>
      </c>
      <c r="E3575" s="399" t="s">
        <v>4471</v>
      </c>
      <c r="F3575" s="399" t="s">
        <v>4472</v>
      </c>
      <c r="G3575" s="399" t="s">
        <v>2221</v>
      </c>
      <c r="H3575" s="1232"/>
    </row>
    <row r="3576" spans="1:8" hidden="1">
      <c r="A3576" s="676" t="s">
        <v>4373</v>
      </c>
      <c r="B3576" s="399" t="s">
        <v>1555</v>
      </c>
      <c r="C3576" s="399" t="s">
        <v>119</v>
      </c>
      <c r="D3576" s="399">
        <v>188</v>
      </c>
      <c r="E3576" s="399" t="s">
        <v>4473</v>
      </c>
      <c r="F3576" s="399" t="s">
        <v>4474</v>
      </c>
      <c r="G3576" s="399" t="s">
        <v>2221</v>
      </c>
      <c r="H3576" s="1232"/>
    </row>
    <row r="3577" spans="1:8" hidden="1">
      <c r="A3577" s="676" t="s">
        <v>4373</v>
      </c>
      <c r="B3577" s="399" t="s">
        <v>1555</v>
      </c>
      <c r="C3577" s="399" t="s">
        <v>119</v>
      </c>
      <c r="D3577" s="399">
        <v>192</v>
      </c>
      <c r="E3577" s="399" t="s">
        <v>4475</v>
      </c>
      <c r="F3577" s="399" t="s">
        <v>4476</v>
      </c>
      <c r="G3577" s="399" t="s">
        <v>2221</v>
      </c>
      <c r="H3577" s="1232"/>
    </row>
    <row r="3578" spans="1:8" hidden="1">
      <c r="A3578" s="676" t="s">
        <v>4373</v>
      </c>
      <c r="B3578" s="399" t="s">
        <v>1555</v>
      </c>
      <c r="C3578" s="399" t="s">
        <v>119</v>
      </c>
      <c r="D3578" s="399">
        <v>132</v>
      </c>
      <c r="E3578" s="399" t="s">
        <v>4477</v>
      </c>
      <c r="F3578" s="399" t="s">
        <v>4478</v>
      </c>
      <c r="G3578" s="399" t="s">
        <v>2221</v>
      </c>
      <c r="H3578" s="1232"/>
    </row>
    <row r="3579" spans="1:8" hidden="1">
      <c r="A3579" s="676" t="s">
        <v>4373</v>
      </c>
      <c r="B3579" s="399" t="s">
        <v>1555</v>
      </c>
      <c r="C3579" s="399" t="s">
        <v>119</v>
      </c>
      <c r="D3579" s="399">
        <v>531</v>
      </c>
      <c r="E3579" s="399" t="s">
        <v>4479</v>
      </c>
      <c r="F3579" s="399" t="s">
        <v>4480</v>
      </c>
      <c r="G3579" s="399" t="s">
        <v>2221</v>
      </c>
      <c r="H3579" s="1232"/>
    </row>
    <row r="3580" spans="1:8" hidden="1">
      <c r="A3580" s="676" t="s">
        <v>4373</v>
      </c>
      <c r="B3580" s="399" t="s">
        <v>1555</v>
      </c>
      <c r="C3580" s="399" t="s">
        <v>119</v>
      </c>
      <c r="D3580" s="399">
        <v>162</v>
      </c>
      <c r="E3580" s="399" t="s">
        <v>4481</v>
      </c>
      <c r="F3580" s="399" t="s">
        <v>4482</v>
      </c>
      <c r="G3580" s="399" t="s">
        <v>2221</v>
      </c>
      <c r="H3580" s="1232"/>
    </row>
    <row r="3581" spans="1:8" hidden="1">
      <c r="A3581" s="676" t="s">
        <v>4373</v>
      </c>
      <c r="B3581" s="399" t="s">
        <v>1555</v>
      </c>
      <c r="C3581" s="399" t="s">
        <v>119</v>
      </c>
      <c r="D3581" s="399">
        <v>196</v>
      </c>
      <c r="E3581" s="399" t="s">
        <v>4483</v>
      </c>
      <c r="F3581" s="399" t="s">
        <v>4484</v>
      </c>
      <c r="G3581" s="399" t="s">
        <v>2221</v>
      </c>
      <c r="H3581" s="1232"/>
    </row>
    <row r="3582" spans="1:8" hidden="1">
      <c r="A3582" s="676" t="s">
        <v>4373</v>
      </c>
      <c r="B3582" s="399" t="s">
        <v>1555</v>
      </c>
      <c r="C3582" s="399" t="s">
        <v>119</v>
      </c>
      <c r="D3582" s="399">
        <v>203</v>
      </c>
      <c r="E3582" s="399" t="s">
        <v>4485</v>
      </c>
      <c r="F3582" s="399" t="s">
        <v>4486</v>
      </c>
      <c r="G3582" s="399" t="s">
        <v>2221</v>
      </c>
      <c r="H3582" s="1232"/>
    </row>
    <row r="3583" spans="1:8" hidden="1">
      <c r="A3583" s="676" t="s">
        <v>4373</v>
      </c>
      <c r="B3583" s="399" t="s">
        <v>1555</v>
      </c>
      <c r="C3583" s="399" t="s">
        <v>119</v>
      </c>
      <c r="D3583" s="399">
        <v>276</v>
      </c>
      <c r="E3583" s="399" t="s">
        <v>4487</v>
      </c>
      <c r="F3583" s="399" t="s">
        <v>4488</v>
      </c>
      <c r="G3583" s="399" t="s">
        <v>2221</v>
      </c>
      <c r="H3583" s="1232"/>
    </row>
    <row r="3584" spans="1:8" hidden="1">
      <c r="A3584" s="676" t="s">
        <v>4373</v>
      </c>
      <c r="B3584" s="399" t="s">
        <v>1555</v>
      </c>
      <c r="C3584" s="399" t="s">
        <v>119</v>
      </c>
      <c r="D3584" s="399">
        <v>262</v>
      </c>
      <c r="E3584" s="399" t="s">
        <v>4489</v>
      </c>
      <c r="F3584" s="399" t="s">
        <v>4490</v>
      </c>
      <c r="G3584" s="399" t="s">
        <v>2221</v>
      </c>
      <c r="H3584" s="1232"/>
    </row>
    <row r="3585" spans="1:8" hidden="1">
      <c r="A3585" s="676" t="s">
        <v>4373</v>
      </c>
      <c r="B3585" s="399" t="s">
        <v>1555</v>
      </c>
      <c r="C3585" s="399" t="s">
        <v>119</v>
      </c>
      <c r="D3585" s="399">
        <v>208</v>
      </c>
      <c r="E3585" s="399" t="s">
        <v>4491</v>
      </c>
      <c r="F3585" s="399" t="s">
        <v>4492</v>
      </c>
      <c r="G3585" s="399" t="s">
        <v>2221</v>
      </c>
      <c r="H3585" s="1232"/>
    </row>
    <row r="3586" spans="1:8" hidden="1">
      <c r="A3586" s="676" t="s">
        <v>4373</v>
      </c>
      <c r="B3586" s="399" t="s">
        <v>1555</v>
      </c>
      <c r="C3586" s="399" t="s">
        <v>119</v>
      </c>
      <c r="D3586" s="399">
        <v>212</v>
      </c>
      <c r="E3586" s="399" t="s">
        <v>4493</v>
      </c>
      <c r="F3586" s="399" t="s">
        <v>4494</v>
      </c>
      <c r="G3586" s="399" t="s">
        <v>2221</v>
      </c>
      <c r="H3586" s="1232"/>
    </row>
    <row r="3587" spans="1:8" hidden="1">
      <c r="A3587" s="676" t="s">
        <v>4373</v>
      </c>
      <c r="B3587" s="399" t="s">
        <v>1555</v>
      </c>
      <c r="C3587" s="399" t="s">
        <v>119</v>
      </c>
      <c r="D3587" s="399">
        <v>214</v>
      </c>
      <c r="E3587" s="399" t="s">
        <v>4495</v>
      </c>
      <c r="F3587" s="399" t="s">
        <v>4496</v>
      </c>
      <c r="G3587" s="399" t="s">
        <v>2221</v>
      </c>
      <c r="H3587" s="1232"/>
    </row>
    <row r="3588" spans="1:8" hidden="1">
      <c r="A3588" s="676" t="s">
        <v>4373</v>
      </c>
      <c r="B3588" s="399" t="s">
        <v>1555</v>
      </c>
      <c r="C3588" s="399" t="s">
        <v>119</v>
      </c>
      <c r="D3588" s="399">
        <v>12</v>
      </c>
      <c r="E3588" s="399" t="s">
        <v>4497</v>
      </c>
      <c r="F3588" s="399" t="s">
        <v>4498</v>
      </c>
      <c r="G3588" s="399" t="s">
        <v>2221</v>
      </c>
      <c r="H3588" s="1232"/>
    </row>
    <row r="3589" spans="1:8" hidden="1">
      <c r="A3589" s="676" t="s">
        <v>4373</v>
      </c>
      <c r="B3589" s="399" t="s">
        <v>1555</v>
      </c>
      <c r="C3589" s="399" t="s">
        <v>119</v>
      </c>
      <c r="D3589" s="399">
        <v>218</v>
      </c>
      <c r="E3589" s="399" t="s">
        <v>4499</v>
      </c>
      <c r="F3589" s="399" t="s">
        <v>4500</v>
      </c>
      <c r="G3589" s="399" t="s">
        <v>2221</v>
      </c>
      <c r="H3589" s="1232"/>
    </row>
    <row r="3590" spans="1:8" hidden="1">
      <c r="A3590" s="676" t="s">
        <v>4373</v>
      </c>
      <c r="B3590" s="399" t="s">
        <v>1555</v>
      </c>
      <c r="C3590" s="399" t="s">
        <v>119</v>
      </c>
      <c r="D3590" s="399">
        <v>233</v>
      </c>
      <c r="E3590" s="399" t="s">
        <v>4501</v>
      </c>
      <c r="F3590" s="399" t="s">
        <v>4502</v>
      </c>
      <c r="G3590" s="399" t="s">
        <v>2221</v>
      </c>
      <c r="H3590" s="1232"/>
    </row>
    <row r="3591" spans="1:8" hidden="1">
      <c r="A3591" s="676" t="s">
        <v>4373</v>
      </c>
      <c r="B3591" s="399" t="s">
        <v>1555</v>
      </c>
      <c r="C3591" s="399" t="s">
        <v>119</v>
      </c>
      <c r="D3591" s="399">
        <v>818</v>
      </c>
      <c r="E3591" s="399" t="s">
        <v>4503</v>
      </c>
      <c r="F3591" s="399" t="s">
        <v>4504</v>
      </c>
      <c r="G3591" s="399" t="s">
        <v>2221</v>
      </c>
      <c r="H3591" s="1232"/>
    </row>
    <row r="3592" spans="1:8" hidden="1">
      <c r="A3592" s="676" t="s">
        <v>4373</v>
      </c>
      <c r="B3592" s="399" t="s">
        <v>1555</v>
      </c>
      <c r="C3592" s="399" t="s">
        <v>119</v>
      </c>
      <c r="D3592" s="399">
        <v>732</v>
      </c>
      <c r="E3592" s="399" t="s">
        <v>4505</v>
      </c>
      <c r="F3592" s="399" t="s">
        <v>4506</v>
      </c>
      <c r="G3592" s="399" t="s">
        <v>2221</v>
      </c>
      <c r="H3592" s="1232"/>
    </row>
    <row r="3593" spans="1:8" hidden="1">
      <c r="A3593" s="676" t="s">
        <v>4373</v>
      </c>
      <c r="B3593" s="399" t="s">
        <v>1555</v>
      </c>
      <c r="C3593" s="399" t="s">
        <v>119</v>
      </c>
      <c r="D3593" s="399">
        <v>232</v>
      </c>
      <c r="E3593" s="399" t="s">
        <v>4507</v>
      </c>
      <c r="F3593" s="399" t="s">
        <v>4508</v>
      </c>
      <c r="G3593" s="399" t="s">
        <v>2221</v>
      </c>
      <c r="H3593" s="1232"/>
    </row>
    <row r="3594" spans="1:8" hidden="1">
      <c r="A3594" s="676" t="s">
        <v>4373</v>
      </c>
      <c r="B3594" s="399" t="s">
        <v>1555</v>
      </c>
      <c r="C3594" s="399" t="s">
        <v>119</v>
      </c>
      <c r="D3594" s="399">
        <v>724</v>
      </c>
      <c r="E3594" s="399" t="s">
        <v>4509</v>
      </c>
      <c r="F3594" s="399" t="s">
        <v>4510</v>
      </c>
      <c r="G3594" s="399" t="s">
        <v>2221</v>
      </c>
      <c r="H3594" s="1232"/>
    </row>
    <row r="3595" spans="1:8" hidden="1">
      <c r="A3595" s="676" t="s">
        <v>4373</v>
      </c>
      <c r="B3595" s="399" t="s">
        <v>1555</v>
      </c>
      <c r="C3595" s="399" t="s">
        <v>119</v>
      </c>
      <c r="D3595" s="399">
        <v>231</v>
      </c>
      <c r="E3595" s="399" t="s">
        <v>4511</v>
      </c>
      <c r="F3595" s="399" t="s">
        <v>4512</v>
      </c>
      <c r="G3595" s="399" t="s">
        <v>2221</v>
      </c>
      <c r="H3595" s="1232"/>
    </row>
    <row r="3596" spans="1:8" hidden="1">
      <c r="A3596" s="676" t="s">
        <v>4373</v>
      </c>
      <c r="B3596" s="399" t="s">
        <v>1555</v>
      </c>
      <c r="C3596" s="399" t="s">
        <v>119</v>
      </c>
      <c r="D3596" s="399">
        <v>246</v>
      </c>
      <c r="E3596" s="399" t="s">
        <v>4513</v>
      </c>
      <c r="F3596" s="399" t="s">
        <v>4514</v>
      </c>
      <c r="G3596" s="399" t="s">
        <v>2221</v>
      </c>
      <c r="H3596" s="1232"/>
    </row>
    <row r="3597" spans="1:8" hidden="1">
      <c r="A3597" s="676" t="s">
        <v>4373</v>
      </c>
      <c r="B3597" s="399" t="s">
        <v>1555</v>
      </c>
      <c r="C3597" s="399" t="s">
        <v>119</v>
      </c>
      <c r="D3597" s="399">
        <v>242</v>
      </c>
      <c r="E3597" s="399" t="s">
        <v>4515</v>
      </c>
      <c r="F3597" s="399" t="s">
        <v>4516</v>
      </c>
      <c r="G3597" s="399" t="s">
        <v>2221</v>
      </c>
      <c r="H3597" s="1232"/>
    </row>
    <row r="3598" spans="1:8" hidden="1">
      <c r="A3598" s="676" t="s">
        <v>4373</v>
      </c>
      <c r="B3598" s="399" t="s">
        <v>1555</v>
      </c>
      <c r="C3598" s="399" t="s">
        <v>119</v>
      </c>
      <c r="D3598" s="399">
        <v>238</v>
      </c>
      <c r="E3598" s="399" t="s">
        <v>4517</v>
      </c>
      <c r="F3598" s="399" t="s">
        <v>4518</v>
      </c>
      <c r="G3598" s="399" t="s">
        <v>2221</v>
      </c>
      <c r="H3598" s="1232"/>
    </row>
    <row r="3599" spans="1:8" hidden="1">
      <c r="A3599" s="676" t="s">
        <v>4373</v>
      </c>
      <c r="B3599" s="399" t="s">
        <v>1555</v>
      </c>
      <c r="C3599" s="399" t="s">
        <v>119</v>
      </c>
      <c r="D3599" s="399">
        <v>583</v>
      </c>
      <c r="E3599" s="399" t="s">
        <v>4519</v>
      </c>
      <c r="F3599" s="399" t="s">
        <v>4520</v>
      </c>
      <c r="G3599" s="399" t="s">
        <v>2221</v>
      </c>
      <c r="H3599" s="1232"/>
    </row>
    <row r="3600" spans="1:8" hidden="1">
      <c r="A3600" s="676" t="s">
        <v>4373</v>
      </c>
      <c r="B3600" s="399" t="s">
        <v>1555</v>
      </c>
      <c r="C3600" s="399" t="s">
        <v>119</v>
      </c>
      <c r="D3600" s="399">
        <v>234</v>
      </c>
      <c r="E3600" s="399" t="s">
        <v>4521</v>
      </c>
      <c r="F3600" s="399" t="s">
        <v>4522</v>
      </c>
      <c r="G3600" s="399" t="s">
        <v>2221</v>
      </c>
      <c r="H3600" s="1232"/>
    </row>
    <row r="3601" spans="1:8" hidden="1">
      <c r="A3601" s="676" t="s">
        <v>4373</v>
      </c>
      <c r="B3601" s="399" t="s">
        <v>1555</v>
      </c>
      <c r="C3601" s="399" t="s">
        <v>119</v>
      </c>
      <c r="D3601" s="399">
        <v>250</v>
      </c>
      <c r="E3601" s="399" t="s">
        <v>4523</v>
      </c>
      <c r="F3601" s="399" t="s">
        <v>4524</v>
      </c>
      <c r="G3601" s="399" t="s">
        <v>2221</v>
      </c>
      <c r="H3601" s="1232"/>
    </row>
    <row r="3602" spans="1:8" hidden="1">
      <c r="A3602" s="676" t="s">
        <v>4373</v>
      </c>
      <c r="B3602" s="399" t="s">
        <v>1555</v>
      </c>
      <c r="C3602" s="399" t="s">
        <v>119</v>
      </c>
      <c r="D3602" s="399">
        <v>266</v>
      </c>
      <c r="E3602" s="399" t="s">
        <v>4525</v>
      </c>
      <c r="F3602" s="399" t="s">
        <v>4526</v>
      </c>
      <c r="G3602" s="399" t="s">
        <v>2221</v>
      </c>
      <c r="H3602" s="1232"/>
    </row>
    <row r="3603" spans="1:8" hidden="1">
      <c r="A3603" s="676" t="s">
        <v>4373</v>
      </c>
      <c r="B3603" s="399" t="s">
        <v>1555</v>
      </c>
      <c r="C3603" s="399" t="s">
        <v>119</v>
      </c>
      <c r="D3603" s="399">
        <v>826</v>
      </c>
      <c r="E3603" s="399" t="s">
        <v>4527</v>
      </c>
      <c r="F3603" s="399" t="s">
        <v>4528</v>
      </c>
      <c r="G3603" s="399" t="s">
        <v>2221</v>
      </c>
      <c r="H3603" s="1232"/>
    </row>
    <row r="3604" spans="1:8" hidden="1">
      <c r="A3604" s="676" t="s">
        <v>4373</v>
      </c>
      <c r="B3604" s="399" t="s">
        <v>1555</v>
      </c>
      <c r="C3604" s="399" t="s">
        <v>119</v>
      </c>
      <c r="D3604" s="399">
        <v>308</v>
      </c>
      <c r="E3604" s="399" t="s">
        <v>4529</v>
      </c>
      <c r="F3604" s="399" t="s">
        <v>4530</v>
      </c>
      <c r="G3604" s="399" t="s">
        <v>2221</v>
      </c>
      <c r="H3604" s="1232"/>
    </row>
    <row r="3605" spans="1:8" hidden="1">
      <c r="A3605" s="676" t="s">
        <v>4373</v>
      </c>
      <c r="B3605" s="399" t="s">
        <v>1555</v>
      </c>
      <c r="C3605" s="399" t="s">
        <v>119</v>
      </c>
      <c r="D3605" s="399">
        <v>268</v>
      </c>
      <c r="E3605" s="399" t="s">
        <v>4531</v>
      </c>
      <c r="F3605" s="399" t="s">
        <v>4532</v>
      </c>
      <c r="G3605" s="399" t="s">
        <v>2221</v>
      </c>
      <c r="H3605" s="1232"/>
    </row>
    <row r="3606" spans="1:8" hidden="1">
      <c r="A3606" s="676" t="s">
        <v>4373</v>
      </c>
      <c r="B3606" s="399" t="s">
        <v>1555</v>
      </c>
      <c r="C3606" s="399" t="s">
        <v>119</v>
      </c>
      <c r="D3606" s="399">
        <v>831</v>
      </c>
      <c r="E3606" s="399" t="s">
        <v>4533</v>
      </c>
      <c r="F3606" s="399" t="s">
        <v>4534</v>
      </c>
      <c r="G3606" s="399" t="s">
        <v>2221</v>
      </c>
      <c r="H3606" s="1232"/>
    </row>
    <row r="3607" spans="1:8" hidden="1">
      <c r="A3607" s="676" t="s">
        <v>4373</v>
      </c>
      <c r="B3607" s="399" t="s">
        <v>1555</v>
      </c>
      <c r="C3607" s="399" t="s">
        <v>119</v>
      </c>
      <c r="D3607" s="399">
        <v>288</v>
      </c>
      <c r="E3607" s="399" t="s">
        <v>4535</v>
      </c>
      <c r="F3607" s="399" t="s">
        <v>4536</v>
      </c>
      <c r="G3607" s="399" t="s">
        <v>2221</v>
      </c>
      <c r="H3607" s="1232"/>
    </row>
    <row r="3608" spans="1:8" hidden="1">
      <c r="A3608" s="676" t="s">
        <v>4373</v>
      </c>
      <c r="B3608" s="399" t="s">
        <v>1555</v>
      </c>
      <c r="C3608" s="399" t="s">
        <v>119</v>
      </c>
      <c r="D3608" s="399">
        <v>292</v>
      </c>
      <c r="E3608" s="399" t="s">
        <v>4537</v>
      </c>
      <c r="F3608" s="399" t="s">
        <v>4538</v>
      </c>
      <c r="G3608" s="399" t="s">
        <v>2221</v>
      </c>
      <c r="H3608" s="1232"/>
    </row>
    <row r="3609" spans="1:8" hidden="1">
      <c r="A3609" s="676" t="s">
        <v>4373</v>
      </c>
      <c r="B3609" s="399" t="s">
        <v>1555</v>
      </c>
      <c r="C3609" s="399" t="s">
        <v>119</v>
      </c>
      <c r="D3609" s="399">
        <v>304</v>
      </c>
      <c r="E3609" s="399" t="s">
        <v>4539</v>
      </c>
      <c r="F3609" s="399" t="s">
        <v>4540</v>
      </c>
      <c r="G3609" s="399" t="s">
        <v>2221</v>
      </c>
      <c r="H3609" s="1232"/>
    </row>
    <row r="3610" spans="1:8" hidden="1">
      <c r="A3610" s="676" t="s">
        <v>4373</v>
      </c>
      <c r="B3610" s="399" t="s">
        <v>1555</v>
      </c>
      <c r="C3610" s="399" t="s">
        <v>119</v>
      </c>
      <c r="D3610" s="399">
        <v>270</v>
      </c>
      <c r="E3610" s="399" t="s">
        <v>4541</v>
      </c>
      <c r="F3610" s="399" t="s">
        <v>4542</v>
      </c>
      <c r="G3610" s="399" t="s">
        <v>2221</v>
      </c>
      <c r="H3610" s="1232"/>
    </row>
    <row r="3611" spans="1:8" hidden="1">
      <c r="A3611" s="676" t="s">
        <v>4373</v>
      </c>
      <c r="B3611" s="399" t="s">
        <v>1555</v>
      </c>
      <c r="C3611" s="399" t="s">
        <v>119</v>
      </c>
      <c r="D3611" s="399">
        <v>324</v>
      </c>
      <c r="E3611" s="399" t="s">
        <v>4543</v>
      </c>
      <c r="F3611" s="399" t="s">
        <v>4544</v>
      </c>
      <c r="G3611" s="399" t="s">
        <v>2221</v>
      </c>
      <c r="H3611" s="1232"/>
    </row>
    <row r="3612" spans="1:8" hidden="1">
      <c r="A3612" s="676" t="s">
        <v>4373</v>
      </c>
      <c r="B3612" s="399" t="s">
        <v>1555</v>
      </c>
      <c r="C3612" s="399" t="s">
        <v>119</v>
      </c>
      <c r="D3612" s="399">
        <v>226</v>
      </c>
      <c r="E3612" s="399" t="s">
        <v>4545</v>
      </c>
      <c r="F3612" s="399" t="s">
        <v>4546</v>
      </c>
      <c r="G3612" s="399" t="s">
        <v>2221</v>
      </c>
      <c r="H3612" s="1232"/>
    </row>
    <row r="3613" spans="1:8" hidden="1">
      <c r="A3613" s="676" t="s">
        <v>4373</v>
      </c>
      <c r="B3613" s="399" t="s">
        <v>1555</v>
      </c>
      <c r="C3613" s="399" t="s">
        <v>119</v>
      </c>
      <c r="D3613" s="399">
        <v>300</v>
      </c>
      <c r="E3613" s="399" t="s">
        <v>4547</v>
      </c>
      <c r="F3613" s="399" t="s">
        <v>4548</v>
      </c>
      <c r="G3613" s="399" t="s">
        <v>2221</v>
      </c>
      <c r="H3613" s="1232"/>
    </row>
    <row r="3614" spans="1:8" hidden="1">
      <c r="A3614" s="676" t="s">
        <v>4373</v>
      </c>
      <c r="B3614" s="399" t="s">
        <v>1555</v>
      </c>
      <c r="C3614" s="399" t="s">
        <v>119</v>
      </c>
      <c r="D3614" s="399">
        <v>239</v>
      </c>
      <c r="E3614" s="399" t="s">
        <v>4549</v>
      </c>
      <c r="F3614" s="399" t="s">
        <v>4550</v>
      </c>
      <c r="G3614" s="399" t="s">
        <v>2221</v>
      </c>
      <c r="H3614" s="1232"/>
    </row>
    <row r="3615" spans="1:8" hidden="1">
      <c r="A3615" s="676" t="s">
        <v>4373</v>
      </c>
      <c r="B3615" s="399" t="s">
        <v>1555</v>
      </c>
      <c r="C3615" s="399" t="s">
        <v>119</v>
      </c>
      <c r="D3615" s="399">
        <v>320</v>
      </c>
      <c r="E3615" s="399" t="s">
        <v>4551</v>
      </c>
      <c r="F3615" s="399" t="s">
        <v>4552</v>
      </c>
      <c r="G3615" s="399" t="s">
        <v>2221</v>
      </c>
      <c r="H3615" s="1232"/>
    </row>
    <row r="3616" spans="1:8" hidden="1">
      <c r="A3616" s="676" t="s">
        <v>4373</v>
      </c>
      <c r="B3616" s="399" t="s">
        <v>1555</v>
      </c>
      <c r="C3616" s="399" t="s">
        <v>119</v>
      </c>
      <c r="D3616" s="399">
        <v>316</v>
      </c>
      <c r="E3616" s="399" t="s">
        <v>4553</v>
      </c>
      <c r="F3616" s="399" t="s">
        <v>4554</v>
      </c>
      <c r="G3616" s="399" t="s">
        <v>2221</v>
      </c>
      <c r="H3616" s="1232"/>
    </row>
    <row r="3617" spans="1:8" hidden="1">
      <c r="A3617" s="676" t="s">
        <v>4373</v>
      </c>
      <c r="B3617" s="399" t="s">
        <v>1555</v>
      </c>
      <c r="C3617" s="399" t="s">
        <v>119</v>
      </c>
      <c r="D3617" s="399">
        <v>624</v>
      </c>
      <c r="E3617" s="399" t="s">
        <v>4555</v>
      </c>
      <c r="F3617" s="399" t="s">
        <v>4556</v>
      </c>
      <c r="G3617" s="399" t="s">
        <v>2221</v>
      </c>
      <c r="H3617" s="1232"/>
    </row>
    <row r="3618" spans="1:8" hidden="1">
      <c r="A3618" s="676" t="s">
        <v>4373</v>
      </c>
      <c r="B3618" s="399" t="s">
        <v>1555</v>
      </c>
      <c r="C3618" s="399" t="s">
        <v>119</v>
      </c>
      <c r="D3618" s="399">
        <v>328</v>
      </c>
      <c r="E3618" s="399" t="s">
        <v>4557</v>
      </c>
      <c r="F3618" s="399" t="s">
        <v>4558</v>
      </c>
      <c r="G3618" s="399" t="s">
        <v>2221</v>
      </c>
      <c r="H3618" s="1232"/>
    </row>
    <row r="3619" spans="1:8" hidden="1">
      <c r="A3619" s="676" t="s">
        <v>4373</v>
      </c>
      <c r="B3619" s="399" t="s">
        <v>1555</v>
      </c>
      <c r="C3619" s="399" t="s">
        <v>119</v>
      </c>
      <c r="D3619" s="399">
        <v>344</v>
      </c>
      <c r="E3619" s="399" t="s">
        <v>4559</v>
      </c>
      <c r="F3619" s="399" t="s">
        <v>4560</v>
      </c>
      <c r="G3619" s="399" t="s">
        <v>2221</v>
      </c>
      <c r="H3619" s="1232"/>
    </row>
    <row r="3620" spans="1:8" hidden="1">
      <c r="A3620" s="676" t="s">
        <v>4373</v>
      </c>
      <c r="B3620" s="399" t="s">
        <v>1555</v>
      </c>
      <c r="C3620" s="399" t="s">
        <v>119</v>
      </c>
      <c r="D3620" s="399">
        <v>334</v>
      </c>
      <c r="E3620" s="399" t="s">
        <v>4561</v>
      </c>
      <c r="F3620" s="399" t="s">
        <v>4562</v>
      </c>
      <c r="G3620" s="399" t="s">
        <v>2221</v>
      </c>
      <c r="H3620" s="1232"/>
    </row>
    <row r="3621" spans="1:8" hidden="1">
      <c r="A3621" s="676" t="s">
        <v>4373</v>
      </c>
      <c r="B3621" s="399" t="s">
        <v>1555</v>
      </c>
      <c r="C3621" s="399" t="s">
        <v>119</v>
      </c>
      <c r="D3621" s="399">
        <v>340</v>
      </c>
      <c r="E3621" s="399" t="s">
        <v>4563</v>
      </c>
      <c r="F3621" s="399" t="s">
        <v>4564</v>
      </c>
      <c r="G3621" s="399" t="s">
        <v>2221</v>
      </c>
      <c r="H3621" s="1232"/>
    </row>
    <row r="3622" spans="1:8" hidden="1">
      <c r="A3622" s="676" t="s">
        <v>4373</v>
      </c>
      <c r="B3622" s="399" t="s">
        <v>1555</v>
      </c>
      <c r="C3622" s="399" t="s">
        <v>119</v>
      </c>
      <c r="D3622" s="399">
        <v>191</v>
      </c>
      <c r="E3622" s="399" t="s">
        <v>4565</v>
      </c>
      <c r="F3622" s="399" t="s">
        <v>4566</v>
      </c>
      <c r="G3622" s="399" t="s">
        <v>2221</v>
      </c>
      <c r="H3622" s="1232"/>
    </row>
    <row r="3623" spans="1:8" hidden="1">
      <c r="A3623" s="676" t="s">
        <v>4373</v>
      </c>
      <c r="B3623" s="399" t="s">
        <v>1555</v>
      </c>
      <c r="C3623" s="399" t="s">
        <v>119</v>
      </c>
      <c r="D3623" s="399">
        <v>332</v>
      </c>
      <c r="E3623" s="399" t="s">
        <v>4567</v>
      </c>
      <c r="F3623" s="399" t="s">
        <v>4568</v>
      </c>
      <c r="G3623" s="399" t="s">
        <v>2221</v>
      </c>
      <c r="H3623" s="1232"/>
    </row>
    <row r="3624" spans="1:8" hidden="1">
      <c r="A3624" s="676" t="s">
        <v>4373</v>
      </c>
      <c r="B3624" s="399" t="s">
        <v>1555</v>
      </c>
      <c r="C3624" s="399" t="s">
        <v>119</v>
      </c>
      <c r="D3624" s="399">
        <v>348</v>
      </c>
      <c r="E3624" s="399" t="s">
        <v>4569</v>
      </c>
      <c r="F3624" s="399" t="s">
        <v>4570</v>
      </c>
      <c r="G3624" s="399" t="s">
        <v>2221</v>
      </c>
      <c r="H3624" s="1232"/>
    </row>
    <row r="3625" spans="1:8" hidden="1">
      <c r="A3625" s="676" t="s">
        <v>4373</v>
      </c>
      <c r="B3625" s="399" t="s">
        <v>1555</v>
      </c>
      <c r="C3625" s="399" t="s">
        <v>119</v>
      </c>
      <c r="D3625" s="399">
        <v>360</v>
      </c>
      <c r="E3625" s="399" t="s">
        <v>238</v>
      </c>
      <c r="F3625" s="399" t="s">
        <v>4571</v>
      </c>
      <c r="G3625" s="399" t="s">
        <v>2221</v>
      </c>
      <c r="H3625" s="1232"/>
    </row>
    <row r="3626" spans="1:8" hidden="1">
      <c r="A3626" s="676" t="s">
        <v>4373</v>
      </c>
      <c r="B3626" s="399" t="s">
        <v>1555</v>
      </c>
      <c r="C3626" s="399" t="s">
        <v>119</v>
      </c>
      <c r="D3626" s="399">
        <v>372</v>
      </c>
      <c r="E3626" s="399" t="s">
        <v>4572</v>
      </c>
      <c r="F3626" s="399" t="s">
        <v>4573</v>
      </c>
      <c r="G3626" s="399" t="s">
        <v>2221</v>
      </c>
      <c r="H3626" s="1232"/>
    </row>
    <row r="3627" spans="1:8" hidden="1">
      <c r="A3627" s="676" t="s">
        <v>4373</v>
      </c>
      <c r="B3627" s="399" t="s">
        <v>1555</v>
      </c>
      <c r="C3627" s="399" t="s">
        <v>119</v>
      </c>
      <c r="D3627" s="399">
        <v>376</v>
      </c>
      <c r="E3627" s="399" t="s">
        <v>4574</v>
      </c>
      <c r="F3627" s="399" t="s">
        <v>4575</v>
      </c>
      <c r="G3627" s="399" t="s">
        <v>2221</v>
      </c>
      <c r="H3627" s="1232"/>
    </row>
    <row r="3628" spans="1:8" hidden="1">
      <c r="A3628" s="676" t="s">
        <v>4373</v>
      </c>
      <c r="B3628" s="399" t="s">
        <v>1555</v>
      </c>
      <c r="C3628" s="399" t="s">
        <v>119</v>
      </c>
      <c r="D3628" s="399">
        <v>833</v>
      </c>
      <c r="E3628" s="399" t="s">
        <v>4576</v>
      </c>
      <c r="F3628" s="399" t="s">
        <v>4577</v>
      </c>
      <c r="G3628" s="399" t="s">
        <v>2221</v>
      </c>
      <c r="H3628" s="1232"/>
    </row>
    <row r="3629" spans="1:8" hidden="1">
      <c r="A3629" s="676" t="s">
        <v>4373</v>
      </c>
      <c r="B3629" s="399" t="s">
        <v>1555</v>
      </c>
      <c r="C3629" s="399" t="s">
        <v>119</v>
      </c>
      <c r="D3629" s="399">
        <v>356</v>
      </c>
      <c r="E3629" s="399" t="s">
        <v>4578</v>
      </c>
      <c r="F3629" s="399" t="s">
        <v>4579</v>
      </c>
      <c r="G3629" s="399" t="s">
        <v>2221</v>
      </c>
      <c r="H3629" s="1232"/>
    </row>
    <row r="3630" spans="1:8" hidden="1">
      <c r="A3630" s="676" t="s">
        <v>4373</v>
      </c>
      <c r="B3630" s="399" t="s">
        <v>1555</v>
      </c>
      <c r="C3630" s="399" t="s">
        <v>119</v>
      </c>
      <c r="D3630" s="399">
        <v>86</v>
      </c>
      <c r="E3630" s="399" t="s">
        <v>4580</v>
      </c>
      <c r="F3630" s="399" t="s">
        <v>4581</v>
      </c>
      <c r="G3630" s="399" t="s">
        <v>2221</v>
      </c>
      <c r="H3630" s="1232"/>
    </row>
    <row r="3631" spans="1:8" hidden="1">
      <c r="A3631" s="676" t="s">
        <v>4373</v>
      </c>
      <c r="B3631" s="399" t="s">
        <v>1555</v>
      </c>
      <c r="C3631" s="399" t="s">
        <v>119</v>
      </c>
      <c r="D3631" s="399">
        <v>368</v>
      </c>
      <c r="E3631" s="399" t="s">
        <v>4582</v>
      </c>
      <c r="F3631" s="399" t="s">
        <v>4583</v>
      </c>
      <c r="G3631" s="399" t="s">
        <v>2221</v>
      </c>
      <c r="H3631" s="1232"/>
    </row>
    <row r="3632" spans="1:8" hidden="1">
      <c r="A3632" s="676" t="s">
        <v>4373</v>
      </c>
      <c r="B3632" s="399" t="s">
        <v>1555</v>
      </c>
      <c r="C3632" s="399" t="s">
        <v>119</v>
      </c>
      <c r="D3632" s="399">
        <v>364</v>
      </c>
      <c r="E3632" s="399" t="s">
        <v>4584</v>
      </c>
      <c r="F3632" s="399" t="s">
        <v>4585</v>
      </c>
      <c r="G3632" s="399" t="s">
        <v>2221</v>
      </c>
      <c r="H3632" s="1232"/>
    </row>
    <row r="3633" spans="1:8" hidden="1">
      <c r="A3633" s="676" t="s">
        <v>4373</v>
      </c>
      <c r="B3633" s="399" t="s">
        <v>1555</v>
      </c>
      <c r="C3633" s="399" t="s">
        <v>119</v>
      </c>
      <c r="D3633" s="399">
        <v>352</v>
      </c>
      <c r="E3633" s="399" t="s">
        <v>4586</v>
      </c>
      <c r="F3633" s="399" t="s">
        <v>4587</v>
      </c>
      <c r="G3633" s="399" t="s">
        <v>2221</v>
      </c>
      <c r="H3633" s="1232"/>
    </row>
    <row r="3634" spans="1:8" hidden="1">
      <c r="A3634" s="676" t="s">
        <v>4373</v>
      </c>
      <c r="B3634" s="399" t="s">
        <v>1555</v>
      </c>
      <c r="C3634" s="399" t="s">
        <v>119</v>
      </c>
      <c r="D3634" s="399">
        <v>380</v>
      </c>
      <c r="E3634" s="399" t="s">
        <v>4588</v>
      </c>
      <c r="F3634" s="399" t="s">
        <v>4589</v>
      </c>
      <c r="G3634" s="399" t="s">
        <v>2221</v>
      </c>
      <c r="H3634" s="1232"/>
    </row>
    <row r="3635" spans="1:8" hidden="1">
      <c r="A3635" s="676" t="s">
        <v>4373</v>
      </c>
      <c r="B3635" s="399" t="s">
        <v>1555</v>
      </c>
      <c r="C3635" s="399" t="s">
        <v>119</v>
      </c>
      <c r="D3635" s="399">
        <v>832</v>
      </c>
      <c r="E3635" s="399" t="s">
        <v>4590</v>
      </c>
      <c r="F3635" s="399" t="s">
        <v>4591</v>
      </c>
      <c r="G3635" s="399" t="s">
        <v>2221</v>
      </c>
      <c r="H3635" s="1232"/>
    </row>
    <row r="3636" spans="1:8" hidden="1">
      <c r="A3636" s="676" t="s">
        <v>4373</v>
      </c>
      <c r="B3636" s="399" t="s">
        <v>1555</v>
      </c>
      <c r="C3636" s="399" t="s">
        <v>119</v>
      </c>
      <c r="D3636" s="399">
        <v>388</v>
      </c>
      <c r="E3636" s="399" t="s">
        <v>4592</v>
      </c>
      <c r="F3636" s="399" t="s">
        <v>4593</v>
      </c>
      <c r="G3636" s="399" t="s">
        <v>2221</v>
      </c>
      <c r="H3636" s="1232"/>
    </row>
    <row r="3637" spans="1:8" hidden="1">
      <c r="A3637" s="676" t="s">
        <v>4373</v>
      </c>
      <c r="B3637" s="399" t="s">
        <v>1555</v>
      </c>
      <c r="C3637" s="399" t="s">
        <v>119</v>
      </c>
      <c r="D3637" s="399">
        <v>400</v>
      </c>
      <c r="E3637" s="399" t="s">
        <v>4594</v>
      </c>
      <c r="F3637" s="399" t="s">
        <v>4595</v>
      </c>
      <c r="G3637" s="399" t="s">
        <v>2221</v>
      </c>
      <c r="H3637" s="1232"/>
    </row>
    <row r="3638" spans="1:8" hidden="1">
      <c r="A3638" s="676" t="s">
        <v>4373</v>
      </c>
      <c r="B3638" s="399" t="s">
        <v>1555</v>
      </c>
      <c r="C3638" s="399" t="s">
        <v>119</v>
      </c>
      <c r="D3638" s="399">
        <v>392</v>
      </c>
      <c r="E3638" s="399" t="s">
        <v>4596</v>
      </c>
      <c r="F3638" s="399" t="s">
        <v>4597</v>
      </c>
      <c r="G3638" s="399" t="s">
        <v>2221</v>
      </c>
      <c r="H3638" s="1232"/>
    </row>
    <row r="3639" spans="1:8" hidden="1">
      <c r="A3639" s="676" t="s">
        <v>4373</v>
      </c>
      <c r="B3639" s="399" t="s">
        <v>1555</v>
      </c>
      <c r="C3639" s="399" t="s">
        <v>119</v>
      </c>
      <c r="D3639" s="399">
        <v>404</v>
      </c>
      <c r="E3639" s="399" t="s">
        <v>4598</v>
      </c>
      <c r="F3639" s="399" t="s">
        <v>4599</v>
      </c>
      <c r="G3639" s="399" t="s">
        <v>2221</v>
      </c>
      <c r="H3639" s="1232"/>
    </row>
    <row r="3640" spans="1:8" hidden="1">
      <c r="A3640" s="676" t="s">
        <v>4373</v>
      </c>
      <c r="B3640" s="399" t="s">
        <v>1555</v>
      </c>
      <c r="C3640" s="399" t="s">
        <v>119</v>
      </c>
      <c r="D3640" s="399">
        <v>417</v>
      </c>
      <c r="E3640" s="399" t="s">
        <v>4600</v>
      </c>
      <c r="F3640" s="399" t="s">
        <v>4601</v>
      </c>
      <c r="G3640" s="399" t="s">
        <v>2221</v>
      </c>
      <c r="H3640" s="1232"/>
    </row>
    <row r="3641" spans="1:8" hidden="1">
      <c r="A3641" s="676" t="s">
        <v>4373</v>
      </c>
      <c r="B3641" s="399" t="s">
        <v>1555</v>
      </c>
      <c r="C3641" s="399" t="s">
        <v>119</v>
      </c>
      <c r="D3641" s="399">
        <v>116</v>
      </c>
      <c r="E3641" s="399" t="s">
        <v>4602</v>
      </c>
      <c r="F3641" s="399" t="s">
        <v>4603</v>
      </c>
      <c r="G3641" s="399" t="s">
        <v>2221</v>
      </c>
      <c r="H3641" s="1232"/>
    </row>
    <row r="3642" spans="1:8" hidden="1">
      <c r="A3642" s="676" t="s">
        <v>4373</v>
      </c>
      <c r="B3642" s="399" t="s">
        <v>1555</v>
      </c>
      <c r="C3642" s="399" t="s">
        <v>119</v>
      </c>
      <c r="D3642" s="399">
        <v>296</v>
      </c>
      <c r="E3642" s="399" t="s">
        <v>4604</v>
      </c>
      <c r="F3642" s="399" t="s">
        <v>4605</v>
      </c>
      <c r="G3642" s="399" t="s">
        <v>2221</v>
      </c>
      <c r="H3642" s="1232"/>
    </row>
    <row r="3643" spans="1:8" hidden="1">
      <c r="A3643" s="676" t="s">
        <v>4373</v>
      </c>
      <c r="B3643" s="399" t="s">
        <v>1555</v>
      </c>
      <c r="C3643" s="399" t="s">
        <v>119</v>
      </c>
      <c r="D3643" s="399">
        <v>174</v>
      </c>
      <c r="E3643" s="399" t="s">
        <v>4606</v>
      </c>
      <c r="F3643" s="399" t="s">
        <v>4607</v>
      </c>
      <c r="G3643" s="399" t="s">
        <v>2221</v>
      </c>
      <c r="H3643" s="1232"/>
    </row>
    <row r="3644" spans="1:8" hidden="1">
      <c r="A3644" s="676" t="s">
        <v>4373</v>
      </c>
      <c r="B3644" s="399" t="s">
        <v>1555</v>
      </c>
      <c r="C3644" s="399" t="s">
        <v>119</v>
      </c>
      <c r="D3644" s="399">
        <v>659</v>
      </c>
      <c r="E3644" s="399" t="s">
        <v>4608</v>
      </c>
      <c r="F3644" s="399" t="s">
        <v>4609</v>
      </c>
      <c r="G3644" s="399" t="s">
        <v>2221</v>
      </c>
      <c r="H3644" s="1232"/>
    </row>
    <row r="3645" spans="1:8" hidden="1">
      <c r="A3645" s="676" t="s">
        <v>4373</v>
      </c>
      <c r="B3645" s="399" t="s">
        <v>1555</v>
      </c>
      <c r="C3645" s="399" t="s">
        <v>119</v>
      </c>
      <c r="D3645" s="399">
        <v>408</v>
      </c>
      <c r="E3645" s="399" t="s">
        <v>4610</v>
      </c>
      <c r="F3645" s="399" t="s">
        <v>4611</v>
      </c>
      <c r="G3645" s="399" t="s">
        <v>2221</v>
      </c>
      <c r="H3645" s="1232"/>
    </row>
    <row r="3646" spans="1:8" hidden="1">
      <c r="A3646" s="676" t="s">
        <v>4373</v>
      </c>
      <c r="B3646" s="399" t="s">
        <v>1555</v>
      </c>
      <c r="C3646" s="399" t="s">
        <v>119</v>
      </c>
      <c r="D3646" s="399">
        <v>410</v>
      </c>
      <c r="E3646" s="399" t="s">
        <v>4612</v>
      </c>
      <c r="F3646" s="399" t="s">
        <v>4613</v>
      </c>
      <c r="G3646" s="399" t="s">
        <v>2221</v>
      </c>
      <c r="H3646" s="1232"/>
    </row>
    <row r="3647" spans="1:8" hidden="1">
      <c r="A3647" s="676" t="s">
        <v>4373</v>
      </c>
      <c r="B3647" s="399" t="s">
        <v>1555</v>
      </c>
      <c r="C3647" s="399" t="s">
        <v>119</v>
      </c>
      <c r="D3647" s="399">
        <v>414</v>
      </c>
      <c r="E3647" s="399" t="s">
        <v>4614</v>
      </c>
      <c r="F3647" s="399" t="s">
        <v>4615</v>
      </c>
      <c r="G3647" s="399" t="s">
        <v>2221</v>
      </c>
      <c r="H3647" s="1232"/>
    </row>
    <row r="3648" spans="1:8" hidden="1">
      <c r="A3648" s="676" t="s">
        <v>4373</v>
      </c>
      <c r="B3648" s="399" t="s">
        <v>1555</v>
      </c>
      <c r="C3648" s="399" t="s">
        <v>119</v>
      </c>
      <c r="D3648" s="399">
        <v>136</v>
      </c>
      <c r="E3648" s="399" t="s">
        <v>4616</v>
      </c>
      <c r="F3648" s="399" t="s">
        <v>4617</v>
      </c>
      <c r="G3648" s="399" t="s">
        <v>2221</v>
      </c>
      <c r="H3648" s="1232"/>
    </row>
    <row r="3649" spans="1:8" hidden="1">
      <c r="A3649" s="676" t="s">
        <v>4373</v>
      </c>
      <c r="B3649" s="399" t="s">
        <v>1555</v>
      </c>
      <c r="C3649" s="399" t="s">
        <v>119</v>
      </c>
      <c r="D3649" s="399">
        <v>398</v>
      </c>
      <c r="E3649" s="399" t="s">
        <v>4618</v>
      </c>
      <c r="F3649" s="399" t="s">
        <v>4619</v>
      </c>
      <c r="G3649" s="399" t="s">
        <v>2221</v>
      </c>
      <c r="H3649" s="1232"/>
    </row>
    <row r="3650" spans="1:8" hidden="1">
      <c r="A3650" s="676" t="s">
        <v>4373</v>
      </c>
      <c r="B3650" s="399" t="s">
        <v>1555</v>
      </c>
      <c r="C3650" s="399" t="s">
        <v>119</v>
      </c>
      <c r="D3650" s="399">
        <v>418</v>
      </c>
      <c r="E3650" s="399" t="s">
        <v>4620</v>
      </c>
      <c r="F3650" s="399" t="s">
        <v>4621</v>
      </c>
      <c r="G3650" s="399" t="s">
        <v>2221</v>
      </c>
      <c r="H3650" s="1232"/>
    </row>
    <row r="3651" spans="1:8" hidden="1">
      <c r="A3651" s="676" t="s">
        <v>4373</v>
      </c>
      <c r="B3651" s="399" t="s">
        <v>1555</v>
      </c>
      <c r="C3651" s="399" t="s">
        <v>119</v>
      </c>
      <c r="D3651" s="399">
        <v>422</v>
      </c>
      <c r="E3651" s="399" t="s">
        <v>4622</v>
      </c>
      <c r="F3651" s="399" t="s">
        <v>4623</v>
      </c>
      <c r="G3651" s="399" t="s">
        <v>2221</v>
      </c>
      <c r="H3651" s="1232"/>
    </row>
    <row r="3652" spans="1:8" hidden="1">
      <c r="A3652" s="676" t="s">
        <v>4373</v>
      </c>
      <c r="B3652" s="399" t="s">
        <v>1555</v>
      </c>
      <c r="C3652" s="399" t="s">
        <v>119</v>
      </c>
      <c r="D3652" s="399">
        <v>662</v>
      </c>
      <c r="E3652" s="399" t="s">
        <v>4624</v>
      </c>
      <c r="F3652" s="399" t="s">
        <v>4625</v>
      </c>
      <c r="G3652" s="399" t="s">
        <v>2221</v>
      </c>
      <c r="H3652" s="1232"/>
    </row>
    <row r="3653" spans="1:8" hidden="1">
      <c r="A3653" s="676" t="s">
        <v>4373</v>
      </c>
      <c r="B3653" s="399" t="s">
        <v>1555</v>
      </c>
      <c r="C3653" s="399" t="s">
        <v>119</v>
      </c>
      <c r="D3653" s="399">
        <v>438</v>
      </c>
      <c r="E3653" s="399" t="s">
        <v>4626</v>
      </c>
      <c r="F3653" s="399" t="s">
        <v>4627</v>
      </c>
      <c r="G3653" s="399" t="s">
        <v>2221</v>
      </c>
      <c r="H3653" s="1232"/>
    </row>
    <row r="3654" spans="1:8" hidden="1">
      <c r="A3654" s="676" t="s">
        <v>4373</v>
      </c>
      <c r="B3654" s="399" t="s">
        <v>1555</v>
      </c>
      <c r="C3654" s="399" t="s">
        <v>119</v>
      </c>
      <c r="D3654" s="399">
        <v>144</v>
      </c>
      <c r="E3654" s="399" t="s">
        <v>4628</v>
      </c>
      <c r="F3654" s="399" t="s">
        <v>4629</v>
      </c>
      <c r="G3654" s="399" t="s">
        <v>2221</v>
      </c>
      <c r="H3654" s="1232"/>
    </row>
    <row r="3655" spans="1:8" hidden="1">
      <c r="A3655" s="676" t="s">
        <v>4373</v>
      </c>
      <c r="B3655" s="399" t="s">
        <v>1555</v>
      </c>
      <c r="C3655" s="399" t="s">
        <v>119</v>
      </c>
      <c r="D3655" s="399">
        <v>430</v>
      </c>
      <c r="E3655" s="399" t="s">
        <v>4630</v>
      </c>
      <c r="F3655" s="399" t="s">
        <v>4631</v>
      </c>
      <c r="G3655" s="399" t="s">
        <v>2221</v>
      </c>
      <c r="H3655" s="1232"/>
    </row>
    <row r="3656" spans="1:8" hidden="1">
      <c r="A3656" s="676" t="s">
        <v>4373</v>
      </c>
      <c r="B3656" s="399" t="s">
        <v>1555</v>
      </c>
      <c r="C3656" s="399" t="s">
        <v>119</v>
      </c>
      <c r="D3656" s="399">
        <v>426</v>
      </c>
      <c r="E3656" s="399" t="s">
        <v>4632</v>
      </c>
      <c r="F3656" s="399" t="s">
        <v>4633</v>
      </c>
      <c r="G3656" s="399" t="s">
        <v>2221</v>
      </c>
      <c r="H3656" s="1232"/>
    </row>
    <row r="3657" spans="1:8" hidden="1">
      <c r="A3657" s="676" t="s">
        <v>4373</v>
      </c>
      <c r="B3657" s="399" t="s">
        <v>1555</v>
      </c>
      <c r="C3657" s="399" t="s">
        <v>119</v>
      </c>
      <c r="D3657" s="399">
        <v>440</v>
      </c>
      <c r="E3657" s="399" t="s">
        <v>4634</v>
      </c>
      <c r="F3657" s="399" t="s">
        <v>4635</v>
      </c>
      <c r="G3657" s="399" t="s">
        <v>2221</v>
      </c>
      <c r="H3657" s="1232"/>
    </row>
    <row r="3658" spans="1:8" hidden="1">
      <c r="A3658" s="676" t="s">
        <v>4373</v>
      </c>
      <c r="B3658" s="399" t="s">
        <v>1555</v>
      </c>
      <c r="C3658" s="399" t="s">
        <v>119</v>
      </c>
      <c r="D3658" s="399">
        <v>442</v>
      </c>
      <c r="E3658" s="399" t="s">
        <v>4636</v>
      </c>
      <c r="F3658" s="399" t="s">
        <v>4637</v>
      </c>
      <c r="G3658" s="399" t="s">
        <v>2221</v>
      </c>
      <c r="H3658" s="1232"/>
    </row>
    <row r="3659" spans="1:8" hidden="1">
      <c r="A3659" s="676" t="s">
        <v>4373</v>
      </c>
      <c r="B3659" s="399" t="s">
        <v>1555</v>
      </c>
      <c r="C3659" s="399" t="s">
        <v>119</v>
      </c>
      <c r="D3659" s="399">
        <v>428</v>
      </c>
      <c r="E3659" s="399" t="s">
        <v>4638</v>
      </c>
      <c r="F3659" s="399" t="s">
        <v>4639</v>
      </c>
      <c r="G3659" s="399" t="s">
        <v>2221</v>
      </c>
      <c r="H3659" s="1232"/>
    </row>
    <row r="3660" spans="1:8" hidden="1">
      <c r="A3660" s="676" t="s">
        <v>4373</v>
      </c>
      <c r="B3660" s="399" t="s">
        <v>1555</v>
      </c>
      <c r="C3660" s="399" t="s">
        <v>119</v>
      </c>
      <c r="D3660" s="399">
        <v>434</v>
      </c>
      <c r="E3660" s="399" t="s">
        <v>4640</v>
      </c>
      <c r="F3660" s="399" t="s">
        <v>4641</v>
      </c>
      <c r="G3660" s="399" t="s">
        <v>2221</v>
      </c>
      <c r="H3660" s="1232"/>
    </row>
    <row r="3661" spans="1:8" hidden="1">
      <c r="A3661" s="676" t="s">
        <v>4373</v>
      </c>
      <c r="B3661" s="399" t="s">
        <v>1555</v>
      </c>
      <c r="C3661" s="399" t="s">
        <v>119</v>
      </c>
      <c r="D3661" s="399">
        <v>504</v>
      </c>
      <c r="E3661" s="399" t="s">
        <v>4642</v>
      </c>
      <c r="F3661" s="399" t="s">
        <v>4643</v>
      </c>
      <c r="G3661" s="399" t="s">
        <v>2221</v>
      </c>
      <c r="H3661" s="1232"/>
    </row>
    <row r="3662" spans="1:8" hidden="1">
      <c r="A3662" s="676" t="s">
        <v>4373</v>
      </c>
      <c r="B3662" s="399" t="s">
        <v>1555</v>
      </c>
      <c r="C3662" s="399" t="s">
        <v>119</v>
      </c>
      <c r="D3662" s="399">
        <v>498</v>
      </c>
      <c r="E3662" s="399" t="s">
        <v>4644</v>
      </c>
      <c r="F3662" s="399" t="s">
        <v>4645</v>
      </c>
      <c r="G3662" s="399" t="s">
        <v>2221</v>
      </c>
      <c r="H3662" s="1232"/>
    </row>
    <row r="3663" spans="1:8" hidden="1">
      <c r="A3663" s="676" t="s">
        <v>4373</v>
      </c>
      <c r="B3663" s="399" t="s">
        <v>1555</v>
      </c>
      <c r="C3663" s="399" t="s">
        <v>119</v>
      </c>
      <c r="D3663" s="399">
        <v>499</v>
      </c>
      <c r="E3663" s="399" t="s">
        <v>4646</v>
      </c>
      <c r="F3663" s="399" t="s">
        <v>4647</v>
      </c>
      <c r="G3663" s="399" t="s">
        <v>2221</v>
      </c>
      <c r="H3663" s="1232"/>
    </row>
    <row r="3664" spans="1:8" hidden="1">
      <c r="A3664" s="676" t="s">
        <v>4373</v>
      </c>
      <c r="B3664" s="399" t="s">
        <v>1555</v>
      </c>
      <c r="C3664" s="399" t="s">
        <v>119</v>
      </c>
      <c r="D3664" s="399">
        <v>663</v>
      </c>
      <c r="E3664" s="399" t="s">
        <v>4648</v>
      </c>
      <c r="F3664" s="399" t="s">
        <v>4649</v>
      </c>
      <c r="G3664" s="399" t="s">
        <v>2221</v>
      </c>
      <c r="H3664" s="1232"/>
    </row>
    <row r="3665" spans="1:8" hidden="1">
      <c r="A3665" s="676" t="s">
        <v>4373</v>
      </c>
      <c r="B3665" s="399" t="s">
        <v>1555</v>
      </c>
      <c r="C3665" s="399" t="s">
        <v>119</v>
      </c>
      <c r="D3665" s="399">
        <v>450</v>
      </c>
      <c r="E3665" s="399" t="s">
        <v>4650</v>
      </c>
      <c r="F3665" s="399" t="s">
        <v>4651</v>
      </c>
      <c r="G3665" s="399" t="s">
        <v>2221</v>
      </c>
      <c r="H3665" s="1232"/>
    </row>
    <row r="3666" spans="1:8" hidden="1">
      <c r="A3666" s="676" t="s">
        <v>4373</v>
      </c>
      <c r="B3666" s="399" t="s">
        <v>1555</v>
      </c>
      <c r="C3666" s="399" t="s">
        <v>119</v>
      </c>
      <c r="D3666" s="399">
        <v>584</v>
      </c>
      <c r="E3666" s="399" t="s">
        <v>4652</v>
      </c>
      <c r="F3666" s="399" t="s">
        <v>4653</v>
      </c>
      <c r="G3666" s="399" t="s">
        <v>2221</v>
      </c>
      <c r="H3666" s="1232"/>
    </row>
    <row r="3667" spans="1:8" hidden="1">
      <c r="A3667" s="676" t="s">
        <v>4373</v>
      </c>
      <c r="B3667" s="399" t="s">
        <v>1555</v>
      </c>
      <c r="C3667" s="399" t="s">
        <v>119</v>
      </c>
      <c r="D3667" s="399">
        <v>807</v>
      </c>
      <c r="E3667" s="399" t="s">
        <v>4654</v>
      </c>
      <c r="F3667" s="399" t="s">
        <v>4655</v>
      </c>
      <c r="G3667" s="399" t="s">
        <v>2221</v>
      </c>
      <c r="H3667" s="1232"/>
    </row>
    <row r="3668" spans="1:8" hidden="1">
      <c r="A3668" s="676" t="s">
        <v>4373</v>
      </c>
      <c r="B3668" s="399" t="s">
        <v>1555</v>
      </c>
      <c r="C3668" s="399" t="s">
        <v>119</v>
      </c>
      <c r="D3668" s="399">
        <v>466</v>
      </c>
      <c r="E3668" s="399" t="s">
        <v>4656</v>
      </c>
      <c r="F3668" s="399" t="s">
        <v>4657</v>
      </c>
      <c r="G3668" s="399" t="s">
        <v>2221</v>
      </c>
      <c r="H3668" s="1232"/>
    </row>
    <row r="3669" spans="1:8" hidden="1">
      <c r="A3669" s="676" t="s">
        <v>4373</v>
      </c>
      <c r="B3669" s="399" t="s">
        <v>1555</v>
      </c>
      <c r="C3669" s="399" t="s">
        <v>119</v>
      </c>
      <c r="D3669" s="399">
        <v>104</v>
      </c>
      <c r="E3669" s="399" t="s">
        <v>4658</v>
      </c>
      <c r="F3669" s="399" t="s">
        <v>4659</v>
      </c>
      <c r="G3669" s="399" t="s">
        <v>2221</v>
      </c>
      <c r="H3669" s="1232"/>
    </row>
    <row r="3670" spans="1:8" hidden="1">
      <c r="A3670" s="676" t="s">
        <v>4373</v>
      </c>
      <c r="B3670" s="399" t="s">
        <v>1555</v>
      </c>
      <c r="C3670" s="399" t="s">
        <v>119</v>
      </c>
      <c r="D3670" s="399">
        <v>496</v>
      </c>
      <c r="E3670" s="399" t="s">
        <v>4660</v>
      </c>
      <c r="F3670" s="399" t="s">
        <v>4661</v>
      </c>
      <c r="G3670" s="399" t="s">
        <v>2221</v>
      </c>
      <c r="H3670" s="1232"/>
    </row>
    <row r="3671" spans="1:8" hidden="1">
      <c r="A3671" s="676" t="s">
        <v>4373</v>
      </c>
      <c r="B3671" s="399" t="s">
        <v>1555</v>
      </c>
      <c r="C3671" s="399" t="s">
        <v>119</v>
      </c>
      <c r="D3671" s="399">
        <v>446</v>
      </c>
      <c r="E3671" s="399" t="s">
        <v>4662</v>
      </c>
      <c r="F3671" s="399" t="s">
        <v>4663</v>
      </c>
      <c r="G3671" s="399" t="s">
        <v>2221</v>
      </c>
      <c r="H3671" s="1232"/>
    </row>
    <row r="3672" spans="1:8" hidden="1">
      <c r="A3672" s="676" t="s">
        <v>4373</v>
      </c>
      <c r="B3672" s="399" t="s">
        <v>1555</v>
      </c>
      <c r="C3672" s="399" t="s">
        <v>119</v>
      </c>
      <c r="D3672" s="399">
        <v>580</v>
      </c>
      <c r="E3672" s="399" t="s">
        <v>4664</v>
      </c>
      <c r="F3672" s="399" t="s">
        <v>4665</v>
      </c>
      <c r="G3672" s="399" t="s">
        <v>2221</v>
      </c>
      <c r="H3672" s="1232"/>
    </row>
    <row r="3673" spans="1:8" hidden="1">
      <c r="A3673" s="676" t="s">
        <v>4373</v>
      </c>
      <c r="B3673" s="399" t="s">
        <v>1555</v>
      </c>
      <c r="C3673" s="399" t="s">
        <v>119</v>
      </c>
      <c r="D3673" s="399">
        <v>478</v>
      </c>
      <c r="E3673" s="399" t="s">
        <v>4666</v>
      </c>
      <c r="F3673" s="399" t="s">
        <v>4667</v>
      </c>
      <c r="G3673" s="399" t="s">
        <v>2221</v>
      </c>
      <c r="H3673" s="1232"/>
    </row>
    <row r="3674" spans="1:8" hidden="1">
      <c r="A3674" s="676" t="s">
        <v>4373</v>
      </c>
      <c r="B3674" s="399" t="s">
        <v>1555</v>
      </c>
      <c r="C3674" s="399" t="s">
        <v>119</v>
      </c>
      <c r="D3674" s="399">
        <v>500</v>
      </c>
      <c r="E3674" s="399" t="s">
        <v>4668</v>
      </c>
      <c r="F3674" s="399" t="s">
        <v>4669</v>
      </c>
      <c r="G3674" s="399" t="s">
        <v>2221</v>
      </c>
      <c r="H3674" s="1232"/>
    </row>
    <row r="3675" spans="1:8" hidden="1">
      <c r="A3675" s="676" t="s">
        <v>4373</v>
      </c>
      <c r="B3675" s="399" t="s">
        <v>1555</v>
      </c>
      <c r="C3675" s="399" t="s">
        <v>119</v>
      </c>
      <c r="D3675" s="399">
        <v>470</v>
      </c>
      <c r="E3675" s="399" t="s">
        <v>4670</v>
      </c>
      <c r="F3675" s="399" t="s">
        <v>4671</v>
      </c>
      <c r="G3675" s="399" t="s">
        <v>2221</v>
      </c>
      <c r="H3675" s="1232"/>
    </row>
    <row r="3676" spans="1:8" hidden="1">
      <c r="A3676" s="676" t="s">
        <v>4373</v>
      </c>
      <c r="B3676" s="399" t="s">
        <v>1555</v>
      </c>
      <c r="C3676" s="399" t="s">
        <v>119</v>
      </c>
      <c r="D3676" s="399">
        <v>480</v>
      </c>
      <c r="E3676" s="399" t="s">
        <v>4672</v>
      </c>
      <c r="F3676" s="399" t="s">
        <v>4673</v>
      </c>
      <c r="G3676" s="399" t="s">
        <v>2221</v>
      </c>
      <c r="H3676" s="1232"/>
    </row>
    <row r="3677" spans="1:8" hidden="1">
      <c r="A3677" s="676" t="s">
        <v>4373</v>
      </c>
      <c r="B3677" s="399" t="s">
        <v>1555</v>
      </c>
      <c r="C3677" s="399" t="s">
        <v>119</v>
      </c>
      <c r="D3677" s="399">
        <v>462</v>
      </c>
      <c r="E3677" s="399" t="s">
        <v>4674</v>
      </c>
      <c r="F3677" s="399" t="s">
        <v>4675</v>
      </c>
      <c r="G3677" s="399" t="s">
        <v>2221</v>
      </c>
      <c r="H3677" s="1232"/>
    </row>
    <row r="3678" spans="1:8" hidden="1">
      <c r="A3678" s="676" t="s">
        <v>4373</v>
      </c>
      <c r="B3678" s="399" t="s">
        <v>1555</v>
      </c>
      <c r="C3678" s="399" t="s">
        <v>119</v>
      </c>
      <c r="D3678" s="399">
        <v>454</v>
      </c>
      <c r="E3678" s="399" t="s">
        <v>4676</v>
      </c>
      <c r="F3678" s="399" t="s">
        <v>4677</v>
      </c>
      <c r="G3678" s="399" t="s">
        <v>2221</v>
      </c>
      <c r="H3678" s="1232"/>
    </row>
    <row r="3679" spans="1:8" hidden="1">
      <c r="A3679" s="676" t="s">
        <v>4373</v>
      </c>
      <c r="B3679" s="399" t="s">
        <v>1555</v>
      </c>
      <c r="C3679" s="399" t="s">
        <v>119</v>
      </c>
      <c r="D3679" s="399">
        <v>484</v>
      </c>
      <c r="E3679" s="399" t="s">
        <v>4678</v>
      </c>
      <c r="F3679" s="399" t="s">
        <v>4679</v>
      </c>
      <c r="G3679" s="399" t="s">
        <v>2221</v>
      </c>
      <c r="H3679" s="1232"/>
    </row>
    <row r="3680" spans="1:8" hidden="1">
      <c r="A3680" s="676" t="s">
        <v>4373</v>
      </c>
      <c r="B3680" s="399" t="s">
        <v>1555</v>
      </c>
      <c r="C3680" s="399" t="s">
        <v>119</v>
      </c>
      <c r="D3680" s="399">
        <v>458</v>
      </c>
      <c r="E3680" s="399" t="s">
        <v>4680</v>
      </c>
      <c r="F3680" s="399" t="s">
        <v>4681</v>
      </c>
      <c r="G3680" s="399" t="s">
        <v>2221</v>
      </c>
      <c r="H3680" s="1232"/>
    </row>
    <row r="3681" spans="1:8" hidden="1">
      <c r="A3681" s="676" t="s">
        <v>4373</v>
      </c>
      <c r="B3681" s="399" t="s">
        <v>1555</v>
      </c>
      <c r="C3681" s="399" t="s">
        <v>119</v>
      </c>
      <c r="D3681" s="399">
        <v>508</v>
      </c>
      <c r="E3681" s="399" t="s">
        <v>4682</v>
      </c>
      <c r="F3681" s="399" t="s">
        <v>4683</v>
      </c>
      <c r="G3681" s="399" t="s">
        <v>2221</v>
      </c>
      <c r="H3681" s="1232"/>
    </row>
    <row r="3682" spans="1:8" hidden="1">
      <c r="A3682" s="676" t="s">
        <v>4373</v>
      </c>
      <c r="B3682" s="399" t="s">
        <v>1555</v>
      </c>
      <c r="C3682" s="399" t="s">
        <v>119</v>
      </c>
      <c r="D3682" s="399">
        <v>516</v>
      </c>
      <c r="E3682" s="399" t="s">
        <v>4684</v>
      </c>
      <c r="F3682" s="399" t="s">
        <v>4685</v>
      </c>
      <c r="G3682" s="399" t="s">
        <v>2221</v>
      </c>
      <c r="H3682" s="1232"/>
    </row>
    <row r="3683" spans="1:8" hidden="1">
      <c r="A3683" s="676" t="s">
        <v>4373</v>
      </c>
      <c r="B3683" s="399" t="s">
        <v>1555</v>
      </c>
      <c r="C3683" s="399" t="s">
        <v>119</v>
      </c>
      <c r="D3683" s="399">
        <v>540</v>
      </c>
      <c r="E3683" s="399" t="s">
        <v>4686</v>
      </c>
      <c r="F3683" s="399" t="s">
        <v>4687</v>
      </c>
      <c r="G3683" s="399" t="s">
        <v>2221</v>
      </c>
      <c r="H3683" s="1232"/>
    </row>
    <row r="3684" spans="1:8" hidden="1">
      <c r="A3684" s="676" t="s">
        <v>4373</v>
      </c>
      <c r="B3684" s="399" t="s">
        <v>1555</v>
      </c>
      <c r="C3684" s="399" t="s">
        <v>119</v>
      </c>
      <c r="D3684" s="399">
        <v>562</v>
      </c>
      <c r="E3684" s="399" t="s">
        <v>4688</v>
      </c>
      <c r="F3684" s="399" t="s">
        <v>4689</v>
      </c>
      <c r="G3684" s="399" t="s">
        <v>2221</v>
      </c>
      <c r="H3684" s="1232"/>
    </row>
    <row r="3685" spans="1:8" hidden="1">
      <c r="A3685" s="676" t="s">
        <v>4373</v>
      </c>
      <c r="B3685" s="399" t="s">
        <v>1555</v>
      </c>
      <c r="C3685" s="399" t="s">
        <v>119</v>
      </c>
      <c r="D3685" s="399">
        <v>574</v>
      </c>
      <c r="E3685" s="399" t="s">
        <v>4690</v>
      </c>
      <c r="F3685" s="399" t="s">
        <v>4691</v>
      </c>
      <c r="G3685" s="399" t="s">
        <v>2221</v>
      </c>
      <c r="H3685" s="1232"/>
    </row>
    <row r="3686" spans="1:8" hidden="1">
      <c r="A3686" s="676" t="s">
        <v>4373</v>
      </c>
      <c r="B3686" s="399" t="s">
        <v>1555</v>
      </c>
      <c r="C3686" s="399" t="s">
        <v>119</v>
      </c>
      <c r="D3686" s="399">
        <v>566</v>
      </c>
      <c r="E3686" s="399" t="s">
        <v>4692</v>
      </c>
      <c r="F3686" s="399" t="s">
        <v>4693</v>
      </c>
      <c r="G3686" s="399" t="s">
        <v>2221</v>
      </c>
      <c r="H3686" s="1232"/>
    </row>
    <row r="3687" spans="1:8" hidden="1">
      <c r="A3687" s="676" t="s">
        <v>4373</v>
      </c>
      <c r="B3687" s="399" t="s">
        <v>1555</v>
      </c>
      <c r="C3687" s="399" t="s">
        <v>119</v>
      </c>
      <c r="D3687" s="399">
        <v>558</v>
      </c>
      <c r="E3687" s="399" t="s">
        <v>4694</v>
      </c>
      <c r="F3687" s="399" t="s">
        <v>4695</v>
      </c>
      <c r="G3687" s="399" t="s">
        <v>2221</v>
      </c>
      <c r="H3687" s="1232"/>
    </row>
    <row r="3688" spans="1:8" hidden="1">
      <c r="A3688" s="676" t="s">
        <v>4373</v>
      </c>
      <c r="B3688" s="399" t="s">
        <v>1555</v>
      </c>
      <c r="C3688" s="399" t="s">
        <v>119</v>
      </c>
      <c r="D3688" s="399">
        <v>528</v>
      </c>
      <c r="E3688" s="399" t="s">
        <v>4696</v>
      </c>
      <c r="F3688" s="399" t="s">
        <v>4697</v>
      </c>
      <c r="G3688" s="399" t="s">
        <v>2221</v>
      </c>
      <c r="H3688" s="1232"/>
    </row>
    <row r="3689" spans="1:8" hidden="1">
      <c r="A3689" s="676" t="s">
        <v>4373</v>
      </c>
      <c r="B3689" s="399" t="s">
        <v>1555</v>
      </c>
      <c r="C3689" s="399" t="s">
        <v>119</v>
      </c>
      <c r="D3689" s="399">
        <v>578</v>
      </c>
      <c r="E3689" s="399" t="s">
        <v>4698</v>
      </c>
      <c r="F3689" s="399" t="s">
        <v>4699</v>
      </c>
      <c r="G3689" s="399" t="s">
        <v>2221</v>
      </c>
      <c r="H3689" s="1232"/>
    </row>
    <row r="3690" spans="1:8" hidden="1">
      <c r="A3690" s="676" t="s">
        <v>4373</v>
      </c>
      <c r="B3690" s="399" t="s">
        <v>1555</v>
      </c>
      <c r="C3690" s="399" t="s">
        <v>119</v>
      </c>
      <c r="D3690" s="399">
        <v>524</v>
      </c>
      <c r="E3690" s="399" t="s">
        <v>4700</v>
      </c>
      <c r="F3690" s="399" t="s">
        <v>4701</v>
      </c>
      <c r="G3690" s="399" t="s">
        <v>2221</v>
      </c>
      <c r="H3690" s="1232"/>
    </row>
    <row r="3691" spans="1:8" hidden="1">
      <c r="A3691" s="676" t="s">
        <v>4373</v>
      </c>
      <c r="B3691" s="399" t="s">
        <v>1555</v>
      </c>
      <c r="C3691" s="399" t="s">
        <v>119</v>
      </c>
      <c r="D3691" s="399">
        <v>520</v>
      </c>
      <c r="E3691" s="399" t="s">
        <v>4702</v>
      </c>
      <c r="F3691" s="399" t="s">
        <v>4703</v>
      </c>
      <c r="G3691" s="399" t="s">
        <v>2221</v>
      </c>
      <c r="H3691" s="1232"/>
    </row>
    <row r="3692" spans="1:8" hidden="1">
      <c r="A3692" s="676" t="s">
        <v>4373</v>
      </c>
      <c r="B3692" s="399" t="s">
        <v>1555</v>
      </c>
      <c r="C3692" s="399" t="s">
        <v>119</v>
      </c>
      <c r="D3692" s="399">
        <v>570</v>
      </c>
      <c r="E3692" s="399" t="s">
        <v>4704</v>
      </c>
      <c r="F3692" s="399" t="s">
        <v>4705</v>
      </c>
      <c r="G3692" s="399" t="s">
        <v>2221</v>
      </c>
      <c r="H3692" s="1232"/>
    </row>
    <row r="3693" spans="1:8" hidden="1">
      <c r="A3693" s="676" t="s">
        <v>4373</v>
      </c>
      <c r="B3693" s="399" t="s">
        <v>1555</v>
      </c>
      <c r="C3693" s="399" t="s">
        <v>119</v>
      </c>
      <c r="D3693" s="399">
        <v>554</v>
      </c>
      <c r="E3693" s="399" t="s">
        <v>4706</v>
      </c>
      <c r="F3693" s="399" t="s">
        <v>4707</v>
      </c>
      <c r="G3693" s="399" t="s">
        <v>2221</v>
      </c>
      <c r="H3693" s="1232"/>
    </row>
    <row r="3694" spans="1:8" hidden="1">
      <c r="A3694" s="676" t="s">
        <v>4373</v>
      </c>
      <c r="B3694" s="399" t="s">
        <v>1555</v>
      </c>
      <c r="C3694" s="399" t="s">
        <v>119</v>
      </c>
      <c r="D3694" s="399">
        <v>512</v>
      </c>
      <c r="E3694" s="399" t="s">
        <v>4708</v>
      </c>
      <c r="F3694" s="399" t="s">
        <v>4709</v>
      </c>
      <c r="G3694" s="399" t="s">
        <v>2221</v>
      </c>
      <c r="H3694" s="1232"/>
    </row>
    <row r="3695" spans="1:8" hidden="1">
      <c r="A3695" s="676" t="s">
        <v>4373</v>
      </c>
      <c r="B3695" s="399" t="s">
        <v>1555</v>
      </c>
      <c r="C3695" s="399" t="s">
        <v>119</v>
      </c>
      <c r="D3695" s="399">
        <v>591</v>
      </c>
      <c r="E3695" s="399" t="s">
        <v>4710</v>
      </c>
      <c r="F3695" s="399" t="s">
        <v>4711</v>
      </c>
      <c r="G3695" s="399" t="s">
        <v>2221</v>
      </c>
      <c r="H3695" s="1232"/>
    </row>
    <row r="3696" spans="1:8" hidden="1">
      <c r="A3696" s="676" t="s">
        <v>4373</v>
      </c>
      <c r="B3696" s="399" t="s">
        <v>1555</v>
      </c>
      <c r="C3696" s="399" t="s">
        <v>119</v>
      </c>
      <c r="D3696" s="399">
        <v>604</v>
      </c>
      <c r="E3696" s="399" t="s">
        <v>4712</v>
      </c>
      <c r="F3696" s="399" t="s">
        <v>4713</v>
      </c>
      <c r="G3696" s="399" t="s">
        <v>2221</v>
      </c>
      <c r="H3696" s="1232"/>
    </row>
    <row r="3697" spans="1:8" hidden="1">
      <c r="A3697" s="676" t="s">
        <v>4373</v>
      </c>
      <c r="B3697" s="399" t="s">
        <v>1555</v>
      </c>
      <c r="C3697" s="399" t="s">
        <v>119</v>
      </c>
      <c r="D3697" s="399">
        <v>258</v>
      </c>
      <c r="E3697" s="399" t="s">
        <v>4714</v>
      </c>
      <c r="F3697" s="399" t="s">
        <v>4715</v>
      </c>
      <c r="G3697" s="399" t="s">
        <v>2221</v>
      </c>
      <c r="H3697" s="1232"/>
    </row>
    <row r="3698" spans="1:8" hidden="1">
      <c r="A3698" s="676" t="s">
        <v>4373</v>
      </c>
      <c r="B3698" s="399" t="s">
        <v>1555</v>
      </c>
      <c r="C3698" s="399" t="s">
        <v>119</v>
      </c>
      <c r="D3698" s="399">
        <v>598</v>
      </c>
      <c r="E3698" s="399" t="s">
        <v>4716</v>
      </c>
      <c r="F3698" s="399" t="s">
        <v>4717</v>
      </c>
      <c r="G3698" s="399" t="s">
        <v>2221</v>
      </c>
      <c r="H3698" s="1232"/>
    </row>
    <row r="3699" spans="1:8" hidden="1">
      <c r="A3699" s="676" t="s">
        <v>4373</v>
      </c>
      <c r="B3699" s="399" t="s">
        <v>1555</v>
      </c>
      <c r="C3699" s="399" t="s">
        <v>119</v>
      </c>
      <c r="D3699" s="399">
        <v>608</v>
      </c>
      <c r="E3699" s="399" t="s">
        <v>4718</v>
      </c>
      <c r="F3699" s="399" t="s">
        <v>4719</v>
      </c>
      <c r="G3699" s="399" t="s">
        <v>2221</v>
      </c>
      <c r="H3699" s="1232"/>
    </row>
    <row r="3700" spans="1:8" hidden="1">
      <c r="A3700" s="676" t="s">
        <v>4373</v>
      </c>
      <c r="B3700" s="399" t="s">
        <v>1555</v>
      </c>
      <c r="C3700" s="399" t="s">
        <v>119</v>
      </c>
      <c r="D3700" s="399">
        <v>586</v>
      </c>
      <c r="E3700" s="399" t="s">
        <v>4720</v>
      </c>
      <c r="F3700" s="399" t="s">
        <v>4721</v>
      </c>
      <c r="G3700" s="399" t="s">
        <v>2221</v>
      </c>
      <c r="H3700" s="1232"/>
    </row>
    <row r="3701" spans="1:8" hidden="1">
      <c r="A3701" s="676" t="s">
        <v>4373</v>
      </c>
      <c r="B3701" s="399" t="s">
        <v>1555</v>
      </c>
      <c r="C3701" s="399" t="s">
        <v>119</v>
      </c>
      <c r="D3701" s="399">
        <v>616</v>
      </c>
      <c r="E3701" s="399" t="s">
        <v>4722</v>
      </c>
      <c r="F3701" s="399" t="s">
        <v>4723</v>
      </c>
      <c r="G3701" s="399" t="s">
        <v>2221</v>
      </c>
      <c r="H3701" s="1232"/>
    </row>
    <row r="3702" spans="1:8" hidden="1">
      <c r="A3702" s="676" t="s">
        <v>4373</v>
      </c>
      <c r="B3702" s="399" t="s">
        <v>1555</v>
      </c>
      <c r="C3702" s="399" t="s">
        <v>119</v>
      </c>
      <c r="D3702" s="399">
        <v>612</v>
      </c>
      <c r="E3702" s="399" t="s">
        <v>4724</v>
      </c>
      <c r="F3702" s="399" t="s">
        <v>4725</v>
      </c>
      <c r="G3702" s="399" t="s">
        <v>2221</v>
      </c>
      <c r="H3702" s="1232"/>
    </row>
    <row r="3703" spans="1:8" hidden="1">
      <c r="A3703" s="676" t="s">
        <v>4373</v>
      </c>
      <c r="B3703" s="399" t="s">
        <v>1555</v>
      </c>
      <c r="C3703" s="399" t="s">
        <v>119</v>
      </c>
      <c r="D3703" s="399">
        <v>630</v>
      </c>
      <c r="E3703" s="399" t="s">
        <v>4726</v>
      </c>
      <c r="F3703" s="399" t="s">
        <v>4727</v>
      </c>
      <c r="G3703" s="399" t="s">
        <v>2221</v>
      </c>
      <c r="H3703" s="1232"/>
    </row>
    <row r="3704" spans="1:8" hidden="1">
      <c r="A3704" s="676" t="s">
        <v>4373</v>
      </c>
      <c r="B3704" s="399" t="s">
        <v>1555</v>
      </c>
      <c r="C3704" s="399" t="s">
        <v>119</v>
      </c>
      <c r="D3704" s="399">
        <v>275</v>
      </c>
      <c r="E3704" s="399" t="s">
        <v>4728</v>
      </c>
      <c r="F3704" s="399" t="s">
        <v>4729</v>
      </c>
      <c r="G3704" s="399" t="s">
        <v>2221</v>
      </c>
      <c r="H3704" s="1232"/>
    </row>
    <row r="3705" spans="1:8" hidden="1">
      <c r="A3705" s="676" t="s">
        <v>4373</v>
      </c>
      <c r="B3705" s="399" t="s">
        <v>1555</v>
      </c>
      <c r="C3705" s="399" t="s">
        <v>119</v>
      </c>
      <c r="D3705" s="399">
        <v>620</v>
      </c>
      <c r="E3705" s="399" t="s">
        <v>4730</v>
      </c>
      <c r="F3705" s="399" t="s">
        <v>4731</v>
      </c>
      <c r="G3705" s="399" t="s">
        <v>2221</v>
      </c>
      <c r="H3705" s="1232"/>
    </row>
    <row r="3706" spans="1:8" hidden="1">
      <c r="A3706" s="676" t="s">
        <v>4373</v>
      </c>
      <c r="B3706" s="399" t="s">
        <v>1555</v>
      </c>
      <c r="C3706" s="399" t="s">
        <v>119</v>
      </c>
      <c r="D3706" s="399">
        <v>585</v>
      </c>
      <c r="E3706" s="399" t="s">
        <v>4732</v>
      </c>
      <c r="F3706" s="399" t="s">
        <v>4733</v>
      </c>
      <c r="G3706" s="399" t="s">
        <v>2221</v>
      </c>
      <c r="H3706" s="1232"/>
    </row>
    <row r="3707" spans="1:8" hidden="1">
      <c r="A3707" s="676" t="s">
        <v>4373</v>
      </c>
      <c r="B3707" s="399" t="s">
        <v>1555</v>
      </c>
      <c r="C3707" s="399" t="s">
        <v>119</v>
      </c>
      <c r="D3707" s="399">
        <v>600</v>
      </c>
      <c r="E3707" s="399" t="s">
        <v>4734</v>
      </c>
      <c r="F3707" s="399" t="s">
        <v>4735</v>
      </c>
      <c r="G3707" s="399" t="s">
        <v>2221</v>
      </c>
      <c r="H3707" s="1232"/>
    </row>
    <row r="3708" spans="1:8" hidden="1">
      <c r="A3708" s="676" t="s">
        <v>4373</v>
      </c>
      <c r="B3708" s="399" t="s">
        <v>1555</v>
      </c>
      <c r="C3708" s="399" t="s">
        <v>119</v>
      </c>
      <c r="D3708" s="399">
        <v>634</v>
      </c>
      <c r="E3708" s="399" t="s">
        <v>4736</v>
      </c>
      <c r="F3708" s="399" t="s">
        <v>4737</v>
      </c>
      <c r="G3708" s="399" t="s">
        <v>2221</v>
      </c>
      <c r="H3708" s="1232"/>
    </row>
    <row r="3709" spans="1:8" hidden="1">
      <c r="A3709" s="676" t="s">
        <v>4373</v>
      </c>
      <c r="B3709" s="399" t="s">
        <v>1555</v>
      </c>
      <c r="C3709" s="399" t="s">
        <v>119</v>
      </c>
      <c r="D3709" s="399">
        <v>642</v>
      </c>
      <c r="E3709" s="399" t="s">
        <v>4738</v>
      </c>
      <c r="F3709" s="399" t="s">
        <v>4739</v>
      </c>
      <c r="G3709" s="399" t="s">
        <v>2221</v>
      </c>
      <c r="H3709" s="1232"/>
    </row>
    <row r="3710" spans="1:8" hidden="1">
      <c r="A3710" s="676" t="s">
        <v>4373</v>
      </c>
      <c r="B3710" s="399" t="s">
        <v>1555</v>
      </c>
      <c r="C3710" s="399" t="s">
        <v>119</v>
      </c>
      <c r="D3710" s="399">
        <v>688</v>
      </c>
      <c r="E3710" s="399" t="s">
        <v>4740</v>
      </c>
      <c r="F3710" s="399" t="s">
        <v>4741</v>
      </c>
      <c r="G3710" s="399" t="s">
        <v>2221</v>
      </c>
      <c r="H3710" s="1232"/>
    </row>
    <row r="3711" spans="1:8" hidden="1">
      <c r="A3711" s="676" t="s">
        <v>4373</v>
      </c>
      <c r="B3711" s="399" t="s">
        <v>1555</v>
      </c>
      <c r="C3711" s="399" t="s">
        <v>119</v>
      </c>
      <c r="D3711" s="399">
        <v>643</v>
      </c>
      <c r="E3711" s="399" t="s">
        <v>4742</v>
      </c>
      <c r="F3711" s="399" t="s">
        <v>4743</v>
      </c>
      <c r="G3711" s="399" t="s">
        <v>2221</v>
      </c>
      <c r="H3711" s="1232"/>
    </row>
    <row r="3712" spans="1:8" hidden="1">
      <c r="A3712" s="676" t="s">
        <v>4373</v>
      </c>
      <c r="B3712" s="399" t="s">
        <v>1555</v>
      </c>
      <c r="C3712" s="399" t="s">
        <v>119</v>
      </c>
      <c r="D3712" s="399">
        <v>646</v>
      </c>
      <c r="E3712" s="399" t="s">
        <v>4744</v>
      </c>
      <c r="F3712" s="399" t="s">
        <v>4745</v>
      </c>
      <c r="G3712" s="399" t="s">
        <v>2221</v>
      </c>
      <c r="H3712" s="1232"/>
    </row>
    <row r="3713" spans="1:8" hidden="1">
      <c r="A3713" s="676" t="s">
        <v>4373</v>
      </c>
      <c r="B3713" s="399" t="s">
        <v>1555</v>
      </c>
      <c r="C3713" s="399" t="s">
        <v>119</v>
      </c>
      <c r="D3713" s="399">
        <v>682</v>
      </c>
      <c r="E3713" s="399" t="s">
        <v>4746</v>
      </c>
      <c r="F3713" s="399" t="s">
        <v>4747</v>
      </c>
      <c r="G3713" s="399" t="s">
        <v>2221</v>
      </c>
      <c r="H3713" s="1232"/>
    </row>
    <row r="3714" spans="1:8" hidden="1">
      <c r="A3714" s="676" t="s">
        <v>4373</v>
      </c>
      <c r="B3714" s="399" t="s">
        <v>1555</v>
      </c>
      <c r="C3714" s="399" t="s">
        <v>119</v>
      </c>
      <c r="D3714" s="399">
        <v>90</v>
      </c>
      <c r="E3714" s="399" t="s">
        <v>4748</v>
      </c>
      <c r="F3714" s="399" t="s">
        <v>4749</v>
      </c>
      <c r="G3714" s="399" t="s">
        <v>2221</v>
      </c>
      <c r="H3714" s="1232"/>
    </row>
    <row r="3715" spans="1:8" hidden="1">
      <c r="A3715" s="676" t="s">
        <v>4373</v>
      </c>
      <c r="B3715" s="399" t="s">
        <v>1555</v>
      </c>
      <c r="C3715" s="399" t="s">
        <v>119</v>
      </c>
      <c r="D3715" s="399">
        <v>690</v>
      </c>
      <c r="E3715" s="399" t="s">
        <v>4750</v>
      </c>
      <c r="F3715" s="399" t="s">
        <v>4751</v>
      </c>
      <c r="G3715" s="399" t="s">
        <v>2221</v>
      </c>
      <c r="H3715" s="1232"/>
    </row>
    <row r="3716" spans="1:8" hidden="1">
      <c r="A3716" s="676" t="s">
        <v>4373</v>
      </c>
      <c r="B3716" s="399" t="s">
        <v>1555</v>
      </c>
      <c r="C3716" s="399" t="s">
        <v>119</v>
      </c>
      <c r="D3716" s="399">
        <v>729</v>
      </c>
      <c r="E3716" s="399" t="s">
        <v>4752</v>
      </c>
      <c r="F3716" s="399" t="s">
        <v>4753</v>
      </c>
      <c r="G3716" s="399" t="s">
        <v>2221</v>
      </c>
      <c r="H3716" s="1232"/>
    </row>
    <row r="3717" spans="1:8" hidden="1">
      <c r="A3717" s="676" t="s">
        <v>4373</v>
      </c>
      <c r="B3717" s="399" t="s">
        <v>1555</v>
      </c>
      <c r="C3717" s="399" t="s">
        <v>119</v>
      </c>
      <c r="D3717" s="399">
        <v>752</v>
      </c>
      <c r="E3717" s="399" t="s">
        <v>4754</v>
      </c>
      <c r="F3717" s="399" t="s">
        <v>4755</v>
      </c>
      <c r="G3717" s="399" t="s">
        <v>2221</v>
      </c>
      <c r="H3717" s="1232"/>
    </row>
    <row r="3718" spans="1:8" hidden="1">
      <c r="A3718" s="676" t="s">
        <v>4373</v>
      </c>
      <c r="B3718" s="399" t="s">
        <v>1555</v>
      </c>
      <c r="C3718" s="399" t="s">
        <v>119</v>
      </c>
      <c r="D3718" s="399">
        <v>702</v>
      </c>
      <c r="E3718" s="399" t="s">
        <v>4756</v>
      </c>
      <c r="F3718" s="399" t="s">
        <v>4757</v>
      </c>
      <c r="G3718" s="399" t="s">
        <v>2221</v>
      </c>
      <c r="H3718" s="1232"/>
    </row>
    <row r="3719" spans="1:8" hidden="1">
      <c r="A3719" s="676" t="s">
        <v>4373</v>
      </c>
      <c r="B3719" s="399" t="s">
        <v>1555</v>
      </c>
      <c r="C3719" s="399" t="s">
        <v>119</v>
      </c>
      <c r="D3719" s="399">
        <v>654</v>
      </c>
      <c r="E3719" s="399" t="s">
        <v>4758</v>
      </c>
      <c r="F3719" s="399" t="s">
        <v>4759</v>
      </c>
      <c r="G3719" s="399" t="s">
        <v>2221</v>
      </c>
      <c r="H3719" s="1232"/>
    </row>
    <row r="3720" spans="1:8" hidden="1">
      <c r="A3720" s="676" t="s">
        <v>4373</v>
      </c>
      <c r="B3720" s="399" t="s">
        <v>1555</v>
      </c>
      <c r="C3720" s="399" t="s">
        <v>119</v>
      </c>
      <c r="D3720" s="399">
        <v>705</v>
      </c>
      <c r="E3720" s="399" t="s">
        <v>4760</v>
      </c>
      <c r="F3720" s="399" t="s">
        <v>4761</v>
      </c>
      <c r="G3720" s="399" t="s">
        <v>2221</v>
      </c>
      <c r="H3720" s="1232"/>
    </row>
    <row r="3721" spans="1:8" hidden="1">
      <c r="A3721" s="676" t="s">
        <v>4373</v>
      </c>
      <c r="B3721" s="399" t="s">
        <v>1555</v>
      </c>
      <c r="C3721" s="399" t="s">
        <v>119</v>
      </c>
      <c r="D3721" s="399">
        <v>744</v>
      </c>
      <c r="E3721" s="399" t="s">
        <v>4762</v>
      </c>
      <c r="F3721" s="399" t="s">
        <v>4763</v>
      </c>
      <c r="G3721" s="399" t="s">
        <v>2221</v>
      </c>
      <c r="H3721" s="1232"/>
    </row>
    <row r="3722" spans="1:8" hidden="1">
      <c r="A3722" s="676" t="s">
        <v>4373</v>
      </c>
      <c r="B3722" s="399" t="s">
        <v>1555</v>
      </c>
      <c r="C3722" s="399" t="s">
        <v>119</v>
      </c>
      <c r="D3722" s="399">
        <v>703</v>
      </c>
      <c r="E3722" s="399" t="s">
        <v>4764</v>
      </c>
      <c r="F3722" s="399" t="s">
        <v>4765</v>
      </c>
      <c r="G3722" s="399" t="s">
        <v>2221</v>
      </c>
      <c r="H3722" s="1232"/>
    </row>
    <row r="3723" spans="1:8" hidden="1">
      <c r="A3723" s="676" t="s">
        <v>4373</v>
      </c>
      <c r="B3723" s="399" t="s">
        <v>1555</v>
      </c>
      <c r="C3723" s="399" t="s">
        <v>119</v>
      </c>
      <c r="D3723" s="399">
        <v>694</v>
      </c>
      <c r="E3723" s="399" t="s">
        <v>4766</v>
      </c>
      <c r="F3723" s="399" t="s">
        <v>4767</v>
      </c>
      <c r="G3723" s="399" t="s">
        <v>2221</v>
      </c>
      <c r="H3723" s="1232"/>
    </row>
    <row r="3724" spans="1:8" hidden="1">
      <c r="A3724" s="676" t="s">
        <v>4373</v>
      </c>
      <c r="B3724" s="399" t="s">
        <v>1555</v>
      </c>
      <c r="C3724" s="399" t="s">
        <v>119</v>
      </c>
      <c r="D3724" s="399">
        <v>674</v>
      </c>
      <c r="E3724" s="399" t="s">
        <v>4768</v>
      </c>
      <c r="F3724" s="399" t="s">
        <v>4769</v>
      </c>
      <c r="G3724" s="399" t="s">
        <v>2221</v>
      </c>
      <c r="H3724" s="1232"/>
    </row>
    <row r="3725" spans="1:8" hidden="1">
      <c r="A3725" s="676" t="s">
        <v>4373</v>
      </c>
      <c r="B3725" s="399" t="s">
        <v>1555</v>
      </c>
      <c r="C3725" s="399" t="s">
        <v>119</v>
      </c>
      <c r="D3725" s="399">
        <v>686</v>
      </c>
      <c r="E3725" s="399" t="s">
        <v>4770</v>
      </c>
      <c r="F3725" s="399" t="s">
        <v>4771</v>
      </c>
      <c r="G3725" s="399" t="s">
        <v>2221</v>
      </c>
      <c r="H3725" s="1232"/>
    </row>
    <row r="3726" spans="1:8" hidden="1">
      <c r="A3726" s="676" t="s">
        <v>4373</v>
      </c>
      <c r="B3726" s="399" t="s">
        <v>1555</v>
      </c>
      <c r="C3726" s="399" t="s">
        <v>119</v>
      </c>
      <c r="D3726" s="399">
        <v>706</v>
      </c>
      <c r="E3726" s="399" t="s">
        <v>4772</v>
      </c>
      <c r="F3726" s="399" t="s">
        <v>4773</v>
      </c>
      <c r="G3726" s="399" t="s">
        <v>2221</v>
      </c>
      <c r="H3726" s="1232"/>
    </row>
    <row r="3727" spans="1:8" hidden="1">
      <c r="A3727" s="676" t="s">
        <v>4373</v>
      </c>
      <c r="B3727" s="399" t="s">
        <v>1555</v>
      </c>
      <c r="C3727" s="399" t="s">
        <v>119</v>
      </c>
      <c r="D3727" s="399">
        <v>740</v>
      </c>
      <c r="E3727" s="399" t="s">
        <v>4774</v>
      </c>
      <c r="F3727" s="399" t="s">
        <v>4775</v>
      </c>
      <c r="G3727" s="399" t="s">
        <v>2221</v>
      </c>
      <c r="H3727" s="1232"/>
    </row>
    <row r="3728" spans="1:8" hidden="1">
      <c r="A3728" s="676" t="s">
        <v>4373</v>
      </c>
      <c r="B3728" s="399" t="s">
        <v>1555</v>
      </c>
      <c r="C3728" s="399" t="s">
        <v>119</v>
      </c>
      <c r="D3728" s="399">
        <v>728</v>
      </c>
      <c r="E3728" s="399" t="s">
        <v>4776</v>
      </c>
      <c r="F3728" s="399" t="s">
        <v>4777</v>
      </c>
      <c r="G3728" s="399" t="s">
        <v>2221</v>
      </c>
      <c r="H3728" s="1232"/>
    </row>
    <row r="3729" spans="1:8" hidden="1">
      <c r="A3729" s="676" t="s">
        <v>4373</v>
      </c>
      <c r="B3729" s="399" t="s">
        <v>1555</v>
      </c>
      <c r="C3729" s="399" t="s">
        <v>119</v>
      </c>
      <c r="D3729" s="399">
        <v>678</v>
      </c>
      <c r="E3729" s="399" t="s">
        <v>4778</v>
      </c>
      <c r="F3729" s="399" t="s">
        <v>4779</v>
      </c>
      <c r="G3729" s="399" t="s">
        <v>2221</v>
      </c>
      <c r="H3729" s="1232"/>
    </row>
    <row r="3730" spans="1:8" hidden="1">
      <c r="A3730" s="676" t="s">
        <v>4373</v>
      </c>
      <c r="B3730" s="399" t="s">
        <v>1555</v>
      </c>
      <c r="C3730" s="399" t="s">
        <v>119</v>
      </c>
      <c r="D3730" s="399">
        <v>222</v>
      </c>
      <c r="E3730" s="399" t="s">
        <v>4780</v>
      </c>
      <c r="F3730" s="399" t="s">
        <v>4781</v>
      </c>
      <c r="G3730" s="399" t="s">
        <v>2221</v>
      </c>
      <c r="H3730" s="1232"/>
    </row>
    <row r="3731" spans="1:8" hidden="1">
      <c r="A3731" s="676" t="s">
        <v>4373</v>
      </c>
      <c r="B3731" s="399" t="s">
        <v>1555</v>
      </c>
      <c r="C3731" s="399" t="s">
        <v>119</v>
      </c>
      <c r="D3731" s="399">
        <v>534</v>
      </c>
      <c r="E3731" s="399" t="s">
        <v>4782</v>
      </c>
      <c r="F3731" s="399" t="s">
        <v>4783</v>
      </c>
      <c r="G3731" s="399" t="s">
        <v>2221</v>
      </c>
      <c r="H3731" s="1232"/>
    </row>
    <row r="3732" spans="1:8" hidden="1">
      <c r="A3732" s="676" t="s">
        <v>4373</v>
      </c>
      <c r="B3732" s="399" t="s">
        <v>1555</v>
      </c>
      <c r="C3732" s="399" t="s">
        <v>119</v>
      </c>
      <c r="D3732" s="399">
        <v>760</v>
      </c>
      <c r="E3732" s="399" t="s">
        <v>4784</v>
      </c>
      <c r="F3732" s="399" t="s">
        <v>4785</v>
      </c>
      <c r="G3732" s="399" t="s">
        <v>2221</v>
      </c>
      <c r="H3732" s="1232"/>
    </row>
    <row r="3733" spans="1:8" hidden="1">
      <c r="A3733" s="676" t="s">
        <v>4373</v>
      </c>
      <c r="B3733" s="399" t="s">
        <v>1555</v>
      </c>
      <c r="C3733" s="399" t="s">
        <v>119</v>
      </c>
      <c r="D3733" s="399">
        <v>748</v>
      </c>
      <c r="E3733" s="399" t="s">
        <v>4786</v>
      </c>
      <c r="F3733" s="399" t="s">
        <v>4787</v>
      </c>
      <c r="G3733" s="399" t="s">
        <v>2221</v>
      </c>
      <c r="H3733" s="1232"/>
    </row>
    <row r="3734" spans="1:8" hidden="1">
      <c r="A3734" s="676" t="s">
        <v>4373</v>
      </c>
      <c r="B3734" s="399" t="s">
        <v>1555</v>
      </c>
      <c r="C3734" s="399" t="s">
        <v>119</v>
      </c>
      <c r="D3734" s="399">
        <v>796</v>
      </c>
      <c r="E3734" s="399" t="s">
        <v>4788</v>
      </c>
      <c r="F3734" s="399" t="s">
        <v>4789</v>
      </c>
      <c r="G3734" s="399" t="s">
        <v>2221</v>
      </c>
      <c r="H3734" s="1232"/>
    </row>
    <row r="3735" spans="1:8" hidden="1">
      <c r="A3735" s="676" t="s">
        <v>4373</v>
      </c>
      <c r="B3735" s="399" t="s">
        <v>1555</v>
      </c>
      <c r="C3735" s="399" t="s">
        <v>119</v>
      </c>
      <c r="D3735" s="399">
        <v>148</v>
      </c>
      <c r="E3735" s="399" t="s">
        <v>4790</v>
      </c>
      <c r="F3735" s="399" t="s">
        <v>4791</v>
      </c>
      <c r="G3735" s="399" t="s">
        <v>2221</v>
      </c>
      <c r="H3735" s="1232"/>
    </row>
    <row r="3736" spans="1:8" hidden="1">
      <c r="A3736" s="676" t="s">
        <v>4373</v>
      </c>
      <c r="B3736" s="399" t="s">
        <v>1555</v>
      </c>
      <c r="C3736" s="399" t="s">
        <v>119</v>
      </c>
      <c r="D3736" s="399">
        <v>260</v>
      </c>
      <c r="E3736" s="399" t="s">
        <v>4792</v>
      </c>
      <c r="F3736" s="399" t="s">
        <v>4793</v>
      </c>
      <c r="G3736" s="399" t="s">
        <v>2221</v>
      </c>
      <c r="H3736" s="1232"/>
    </row>
    <row r="3737" spans="1:8" hidden="1">
      <c r="A3737" s="676" t="s">
        <v>4373</v>
      </c>
      <c r="B3737" s="399" t="s">
        <v>1555</v>
      </c>
      <c r="C3737" s="399" t="s">
        <v>119</v>
      </c>
      <c r="D3737" s="399">
        <v>768</v>
      </c>
      <c r="E3737" s="399" t="s">
        <v>4794</v>
      </c>
      <c r="F3737" s="399" t="s">
        <v>4795</v>
      </c>
      <c r="G3737" s="399" t="s">
        <v>2221</v>
      </c>
      <c r="H3737" s="1232"/>
    </row>
    <row r="3738" spans="1:8" hidden="1">
      <c r="A3738" s="676" t="s">
        <v>4373</v>
      </c>
      <c r="B3738" s="399" t="s">
        <v>1555</v>
      </c>
      <c r="C3738" s="399" t="s">
        <v>119</v>
      </c>
      <c r="D3738" s="399">
        <v>764</v>
      </c>
      <c r="E3738" s="399" t="s">
        <v>4796</v>
      </c>
      <c r="F3738" s="399" t="s">
        <v>4797</v>
      </c>
      <c r="G3738" s="399" t="s">
        <v>2221</v>
      </c>
      <c r="H3738" s="1232"/>
    </row>
    <row r="3739" spans="1:8" hidden="1">
      <c r="A3739" s="676" t="s">
        <v>4373</v>
      </c>
      <c r="B3739" s="399" t="s">
        <v>1555</v>
      </c>
      <c r="C3739" s="399" t="s">
        <v>119</v>
      </c>
      <c r="D3739" s="399">
        <v>762</v>
      </c>
      <c r="E3739" s="399" t="s">
        <v>4798</v>
      </c>
      <c r="F3739" s="399" t="s">
        <v>4799</v>
      </c>
      <c r="G3739" s="399" t="s">
        <v>2221</v>
      </c>
      <c r="H3739" s="1232"/>
    </row>
    <row r="3740" spans="1:8" hidden="1">
      <c r="A3740" s="676" t="s">
        <v>4373</v>
      </c>
      <c r="B3740" s="399" t="s">
        <v>1555</v>
      </c>
      <c r="C3740" s="399" t="s">
        <v>119</v>
      </c>
      <c r="D3740" s="399">
        <v>772</v>
      </c>
      <c r="E3740" s="399" t="s">
        <v>4800</v>
      </c>
      <c r="F3740" s="399" t="s">
        <v>4801</v>
      </c>
      <c r="G3740" s="399" t="s">
        <v>2221</v>
      </c>
      <c r="H3740" s="1232"/>
    </row>
    <row r="3741" spans="1:8" hidden="1">
      <c r="A3741" s="676" t="s">
        <v>4373</v>
      </c>
      <c r="B3741" s="399" t="s">
        <v>1555</v>
      </c>
      <c r="C3741" s="399" t="s">
        <v>119</v>
      </c>
      <c r="D3741" s="399">
        <v>626</v>
      </c>
      <c r="E3741" s="399" t="s">
        <v>4802</v>
      </c>
      <c r="F3741" s="399" t="s">
        <v>4803</v>
      </c>
      <c r="G3741" s="399" t="s">
        <v>2221</v>
      </c>
      <c r="H3741" s="1232"/>
    </row>
    <row r="3742" spans="1:8" hidden="1">
      <c r="A3742" s="676" t="s">
        <v>4373</v>
      </c>
      <c r="B3742" s="399" t="s">
        <v>1555</v>
      </c>
      <c r="C3742" s="399" t="s">
        <v>119</v>
      </c>
      <c r="D3742" s="399">
        <v>795</v>
      </c>
      <c r="E3742" s="399" t="s">
        <v>4804</v>
      </c>
      <c r="F3742" s="399" t="s">
        <v>4805</v>
      </c>
      <c r="G3742" s="399" t="s">
        <v>2221</v>
      </c>
      <c r="H3742" s="1232"/>
    </row>
    <row r="3743" spans="1:8" hidden="1">
      <c r="A3743" s="676" t="s">
        <v>4373</v>
      </c>
      <c r="B3743" s="399" t="s">
        <v>1555</v>
      </c>
      <c r="C3743" s="399" t="s">
        <v>119</v>
      </c>
      <c r="D3743" s="399">
        <v>788</v>
      </c>
      <c r="E3743" s="399" t="s">
        <v>4806</v>
      </c>
      <c r="F3743" s="399" t="s">
        <v>4807</v>
      </c>
      <c r="G3743" s="399" t="s">
        <v>2221</v>
      </c>
      <c r="H3743" s="1232"/>
    </row>
    <row r="3744" spans="1:8" hidden="1">
      <c r="A3744" s="676" t="s">
        <v>4373</v>
      </c>
      <c r="B3744" s="399" t="s">
        <v>1555</v>
      </c>
      <c r="C3744" s="399" t="s">
        <v>119</v>
      </c>
      <c r="D3744" s="399">
        <v>776</v>
      </c>
      <c r="E3744" s="399" t="s">
        <v>4808</v>
      </c>
      <c r="F3744" s="399" t="s">
        <v>4809</v>
      </c>
      <c r="G3744" s="399" t="s">
        <v>2221</v>
      </c>
      <c r="H3744" s="1232"/>
    </row>
    <row r="3745" spans="1:8" hidden="1">
      <c r="A3745" s="676" t="s">
        <v>4373</v>
      </c>
      <c r="B3745" s="399" t="s">
        <v>1555</v>
      </c>
      <c r="C3745" s="399" t="s">
        <v>119</v>
      </c>
      <c r="D3745" s="399">
        <v>792</v>
      </c>
      <c r="E3745" s="399" t="s">
        <v>4810</v>
      </c>
      <c r="F3745" s="399" t="s">
        <v>4811</v>
      </c>
      <c r="G3745" s="399" t="s">
        <v>2221</v>
      </c>
      <c r="H3745" s="1232"/>
    </row>
    <row r="3746" spans="1:8" hidden="1">
      <c r="A3746" s="676" t="s">
        <v>4373</v>
      </c>
      <c r="B3746" s="399" t="s">
        <v>1555</v>
      </c>
      <c r="C3746" s="399" t="s">
        <v>119</v>
      </c>
      <c r="D3746" s="399">
        <v>780</v>
      </c>
      <c r="E3746" s="399" t="s">
        <v>4812</v>
      </c>
      <c r="F3746" s="399" t="s">
        <v>4813</v>
      </c>
      <c r="G3746" s="399" t="s">
        <v>2221</v>
      </c>
      <c r="H3746" s="1232"/>
    </row>
    <row r="3747" spans="1:8" hidden="1">
      <c r="A3747" s="676" t="s">
        <v>4373</v>
      </c>
      <c r="B3747" s="399" t="s">
        <v>1555</v>
      </c>
      <c r="C3747" s="399" t="s">
        <v>119</v>
      </c>
      <c r="D3747" s="399">
        <v>798</v>
      </c>
      <c r="E3747" s="399" t="s">
        <v>4814</v>
      </c>
      <c r="F3747" s="399" t="s">
        <v>4815</v>
      </c>
      <c r="G3747" s="399" t="s">
        <v>2221</v>
      </c>
      <c r="H3747" s="1232"/>
    </row>
    <row r="3748" spans="1:8" hidden="1">
      <c r="A3748" s="676" t="s">
        <v>4373</v>
      </c>
      <c r="B3748" s="399" t="s">
        <v>1555</v>
      </c>
      <c r="C3748" s="399" t="s">
        <v>119</v>
      </c>
      <c r="D3748" s="399">
        <v>158</v>
      </c>
      <c r="E3748" s="399" t="s">
        <v>4816</v>
      </c>
      <c r="F3748" s="399" t="s">
        <v>4817</v>
      </c>
      <c r="G3748" s="399" t="s">
        <v>2221</v>
      </c>
      <c r="H3748" s="1232"/>
    </row>
    <row r="3749" spans="1:8" hidden="1">
      <c r="A3749" s="676" t="s">
        <v>4373</v>
      </c>
      <c r="B3749" s="399" t="s">
        <v>1555</v>
      </c>
      <c r="C3749" s="399" t="s">
        <v>119</v>
      </c>
      <c r="D3749" s="399">
        <v>834</v>
      </c>
      <c r="E3749" s="399" t="s">
        <v>4818</v>
      </c>
      <c r="F3749" s="399" t="s">
        <v>4819</v>
      </c>
      <c r="G3749" s="399" t="s">
        <v>2221</v>
      </c>
      <c r="H3749" s="1232"/>
    </row>
    <row r="3750" spans="1:8" hidden="1">
      <c r="A3750" s="676" t="s">
        <v>4373</v>
      </c>
      <c r="B3750" s="399" t="s">
        <v>1555</v>
      </c>
      <c r="C3750" s="399" t="s">
        <v>119</v>
      </c>
      <c r="D3750" s="399">
        <v>804</v>
      </c>
      <c r="E3750" s="399" t="s">
        <v>4820</v>
      </c>
      <c r="F3750" s="399" t="s">
        <v>4821</v>
      </c>
      <c r="G3750" s="399" t="s">
        <v>2221</v>
      </c>
      <c r="H3750" s="1232"/>
    </row>
    <row r="3751" spans="1:8" hidden="1">
      <c r="A3751" s="676" t="s">
        <v>4373</v>
      </c>
      <c r="B3751" s="399" t="s">
        <v>1555</v>
      </c>
      <c r="C3751" s="399" t="s">
        <v>119</v>
      </c>
      <c r="D3751" s="399">
        <v>800</v>
      </c>
      <c r="E3751" s="399" t="s">
        <v>4822</v>
      </c>
      <c r="F3751" s="399" t="s">
        <v>4823</v>
      </c>
      <c r="G3751" s="399" t="s">
        <v>2221</v>
      </c>
      <c r="H3751" s="1232"/>
    </row>
    <row r="3752" spans="1:8" hidden="1">
      <c r="A3752" s="676" t="s">
        <v>4373</v>
      </c>
      <c r="B3752" s="399" t="s">
        <v>1555</v>
      </c>
      <c r="C3752" s="399" t="s">
        <v>119</v>
      </c>
      <c r="D3752" s="399">
        <v>581</v>
      </c>
      <c r="E3752" s="399" t="s">
        <v>4824</v>
      </c>
      <c r="F3752" s="399" t="s">
        <v>4825</v>
      </c>
      <c r="G3752" s="399" t="s">
        <v>2221</v>
      </c>
      <c r="H3752" s="1232"/>
    </row>
    <row r="3753" spans="1:8" hidden="1">
      <c r="A3753" s="676" t="s">
        <v>4373</v>
      </c>
      <c r="B3753" s="399" t="s">
        <v>1555</v>
      </c>
      <c r="C3753" s="399" t="s">
        <v>119</v>
      </c>
      <c r="D3753" s="399">
        <v>840</v>
      </c>
      <c r="E3753" s="399" t="s">
        <v>4826</v>
      </c>
      <c r="F3753" s="399" t="s">
        <v>4827</v>
      </c>
      <c r="G3753" s="399" t="s">
        <v>2221</v>
      </c>
      <c r="H3753" s="1232"/>
    </row>
    <row r="3754" spans="1:8" hidden="1">
      <c r="A3754" s="676" t="s">
        <v>4373</v>
      </c>
      <c r="B3754" s="399" t="s">
        <v>1555</v>
      </c>
      <c r="C3754" s="399" t="s">
        <v>119</v>
      </c>
      <c r="D3754" s="399">
        <v>858</v>
      </c>
      <c r="E3754" s="399" t="s">
        <v>4828</v>
      </c>
      <c r="F3754" s="399" t="s">
        <v>4829</v>
      </c>
      <c r="G3754" s="399" t="s">
        <v>2221</v>
      </c>
      <c r="H3754" s="1232"/>
    </row>
    <row r="3755" spans="1:8" hidden="1">
      <c r="A3755" s="676" t="s">
        <v>4373</v>
      </c>
      <c r="B3755" s="399" t="s">
        <v>1555</v>
      </c>
      <c r="C3755" s="399" t="s">
        <v>119</v>
      </c>
      <c r="D3755" s="399">
        <v>860</v>
      </c>
      <c r="E3755" s="399" t="s">
        <v>4830</v>
      </c>
      <c r="F3755" s="399" t="s">
        <v>4831</v>
      </c>
      <c r="G3755" s="399" t="s">
        <v>2221</v>
      </c>
      <c r="H3755" s="1232"/>
    </row>
    <row r="3756" spans="1:8" hidden="1">
      <c r="A3756" s="676" t="s">
        <v>4373</v>
      </c>
      <c r="B3756" s="399" t="s">
        <v>1555</v>
      </c>
      <c r="C3756" s="399" t="s">
        <v>119</v>
      </c>
      <c r="D3756" s="399">
        <v>336</v>
      </c>
      <c r="E3756" s="399" t="s">
        <v>4832</v>
      </c>
      <c r="F3756" s="399" t="s">
        <v>4833</v>
      </c>
      <c r="G3756" s="399" t="s">
        <v>2221</v>
      </c>
      <c r="H3756" s="1232"/>
    </row>
    <row r="3757" spans="1:8" hidden="1">
      <c r="A3757" s="676" t="s">
        <v>4373</v>
      </c>
      <c r="B3757" s="399" t="s">
        <v>1555</v>
      </c>
      <c r="C3757" s="399" t="s">
        <v>119</v>
      </c>
      <c r="D3757" s="399">
        <v>670</v>
      </c>
      <c r="E3757" s="399" t="s">
        <v>4834</v>
      </c>
      <c r="F3757" s="399" t="s">
        <v>4835</v>
      </c>
      <c r="G3757" s="399" t="s">
        <v>2221</v>
      </c>
      <c r="H3757" s="1232"/>
    </row>
    <row r="3758" spans="1:8" hidden="1">
      <c r="A3758" s="676" t="s">
        <v>4373</v>
      </c>
      <c r="B3758" s="399" t="s">
        <v>1555</v>
      </c>
      <c r="C3758" s="399" t="s">
        <v>119</v>
      </c>
      <c r="D3758" s="399">
        <v>862</v>
      </c>
      <c r="E3758" s="399" t="s">
        <v>4836</v>
      </c>
      <c r="F3758" s="399" t="s">
        <v>4837</v>
      </c>
      <c r="G3758" s="399" t="s">
        <v>2221</v>
      </c>
      <c r="H3758" s="1232"/>
    </row>
    <row r="3759" spans="1:8" hidden="1">
      <c r="A3759" s="676" t="s">
        <v>4373</v>
      </c>
      <c r="B3759" s="399" t="s">
        <v>1555</v>
      </c>
      <c r="C3759" s="399" t="s">
        <v>119</v>
      </c>
      <c r="D3759" s="399">
        <v>92</v>
      </c>
      <c r="E3759" s="399" t="s">
        <v>4838</v>
      </c>
      <c r="F3759" s="399" t="s">
        <v>4839</v>
      </c>
      <c r="G3759" s="399" t="s">
        <v>2221</v>
      </c>
      <c r="H3759" s="1232"/>
    </row>
    <row r="3760" spans="1:8" hidden="1">
      <c r="A3760" s="676" t="s">
        <v>4373</v>
      </c>
      <c r="B3760" s="399" t="s">
        <v>1555</v>
      </c>
      <c r="C3760" s="399" t="s">
        <v>119</v>
      </c>
      <c r="D3760" s="399">
        <v>850</v>
      </c>
      <c r="E3760" s="399" t="s">
        <v>4840</v>
      </c>
      <c r="F3760" s="399" t="s">
        <v>4841</v>
      </c>
      <c r="G3760" s="399" t="s">
        <v>2221</v>
      </c>
      <c r="H3760" s="1232"/>
    </row>
    <row r="3761" spans="1:8" hidden="1">
      <c r="A3761" s="676" t="s">
        <v>4373</v>
      </c>
      <c r="B3761" s="399" t="s">
        <v>1555</v>
      </c>
      <c r="C3761" s="399" t="s">
        <v>119</v>
      </c>
      <c r="D3761" s="399">
        <v>704</v>
      </c>
      <c r="E3761" s="399" t="s">
        <v>4842</v>
      </c>
      <c r="F3761" s="399" t="s">
        <v>4843</v>
      </c>
      <c r="G3761" s="399" t="s">
        <v>2221</v>
      </c>
      <c r="H3761" s="1232"/>
    </row>
    <row r="3762" spans="1:8" hidden="1">
      <c r="A3762" s="676" t="s">
        <v>4373</v>
      </c>
      <c r="B3762" s="399" t="s">
        <v>1555</v>
      </c>
      <c r="C3762" s="399" t="s">
        <v>119</v>
      </c>
      <c r="D3762" s="399">
        <v>548</v>
      </c>
      <c r="E3762" s="399" t="s">
        <v>4844</v>
      </c>
      <c r="F3762" s="399" t="s">
        <v>4845</v>
      </c>
      <c r="G3762" s="399" t="s">
        <v>2221</v>
      </c>
      <c r="H3762" s="1232"/>
    </row>
    <row r="3763" spans="1:8" hidden="1">
      <c r="A3763" s="676" t="s">
        <v>4373</v>
      </c>
      <c r="B3763" s="399" t="s">
        <v>1555</v>
      </c>
      <c r="C3763" s="399" t="s">
        <v>119</v>
      </c>
      <c r="D3763" s="399">
        <v>876</v>
      </c>
      <c r="E3763" s="399" t="s">
        <v>4846</v>
      </c>
      <c r="F3763" s="399" t="s">
        <v>4847</v>
      </c>
      <c r="G3763" s="399" t="s">
        <v>2221</v>
      </c>
      <c r="H3763" s="1232"/>
    </row>
    <row r="3764" spans="1:8" hidden="1">
      <c r="A3764" s="676" t="s">
        <v>4373</v>
      </c>
      <c r="B3764" s="399" t="s">
        <v>1555</v>
      </c>
      <c r="C3764" s="399" t="s">
        <v>119</v>
      </c>
      <c r="D3764" s="399">
        <v>882</v>
      </c>
      <c r="E3764" s="399" t="s">
        <v>4848</v>
      </c>
      <c r="F3764" s="399" t="s">
        <v>4849</v>
      </c>
      <c r="G3764" s="399" t="s">
        <v>2221</v>
      </c>
      <c r="H3764" s="1232"/>
    </row>
    <row r="3765" spans="1:8" hidden="1">
      <c r="A3765" s="676" t="s">
        <v>4373</v>
      </c>
      <c r="B3765" s="399" t="s">
        <v>1555</v>
      </c>
      <c r="C3765" s="399" t="s">
        <v>119</v>
      </c>
      <c r="D3765" s="399">
        <v>887</v>
      </c>
      <c r="E3765" s="399" t="s">
        <v>4850</v>
      </c>
      <c r="F3765" s="399" t="s">
        <v>4851</v>
      </c>
      <c r="G3765" s="399" t="s">
        <v>2221</v>
      </c>
      <c r="H3765" s="1232"/>
    </row>
    <row r="3766" spans="1:8" hidden="1">
      <c r="A3766" s="676" t="s">
        <v>4373</v>
      </c>
      <c r="B3766" s="399" t="s">
        <v>1555</v>
      </c>
      <c r="C3766" s="399" t="s">
        <v>119</v>
      </c>
      <c r="D3766" s="399">
        <v>710</v>
      </c>
      <c r="E3766" s="399" t="s">
        <v>4852</v>
      </c>
      <c r="F3766" s="399" t="s">
        <v>4853</v>
      </c>
      <c r="G3766" s="399" t="s">
        <v>2221</v>
      </c>
      <c r="H3766" s="1232"/>
    </row>
    <row r="3767" spans="1:8" hidden="1">
      <c r="A3767" s="676" t="s">
        <v>4373</v>
      </c>
      <c r="B3767" s="399" t="s">
        <v>1555</v>
      </c>
      <c r="C3767" s="399" t="s">
        <v>119</v>
      </c>
      <c r="D3767" s="399">
        <v>894</v>
      </c>
      <c r="E3767" s="399" t="s">
        <v>4854</v>
      </c>
      <c r="F3767" s="399" t="s">
        <v>4855</v>
      </c>
      <c r="G3767" s="399" t="s">
        <v>2221</v>
      </c>
      <c r="H3767" s="1232"/>
    </row>
    <row r="3768" spans="1:8" hidden="1">
      <c r="A3768" s="676" t="s">
        <v>4373</v>
      </c>
      <c r="B3768" s="399" t="s">
        <v>1555</v>
      </c>
      <c r="C3768" s="399" t="s">
        <v>119</v>
      </c>
      <c r="D3768" s="399">
        <v>716</v>
      </c>
      <c r="E3768" s="399" t="s">
        <v>4856</v>
      </c>
      <c r="F3768" s="399" t="s">
        <v>4857</v>
      </c>
      <c r="G3768" s="399" t="s">
        <v>2221</v>
      </c>
      <c r="H3768" s="1232"/>
    </row>
    <row r="3769" spans="1:8" hidden="1">
      <c r="A3769" s="676" t="s">
        <v>4373</v>
      </c>
      <c r="B3769" s="399" t="s">
        <v>1555</v>
      </c>
      <c r="C3769" s="399" t="s">
        <v>119</v>
      </c>
      <c r="D3769" s="400">
        <v>254</v>
      </c>
      <c r="E3769" s="400" t="s">
        <v>4858</v>
      </c>
      <c r="F3769" s="400" t="s">
        <v>4859</v>
      </c>
      <c r="G3769" s="400" t="s">
        <v>4860</v>
      </c>
      <c r="H3769" s="1232"/>
    </row>
    <row r="3770" spans="1:8" hidden="1">
      <c r="A3770" s="676" t="s">
        <v>4373</v>
      </c>
      <c r="B3770" s="399" t="s">
        <v>1555</v>
      </c>
      <c r="C3770" s="399" t="s">
        <v>119</v>
      </c>
      <c r="D3770" s="400">
        <v>312</v>
      </c>
      <c r="E3770" s="400" t="s">
        <v>4861</v>
      </c>
      <c r="F3770" s="400" t="s">
        <v>4862</v>
      </c>
      <c r="G3770" s="400" t="s">
        <v>4860</v>
      </c>
      <c r="H3770" s="1232"/>
    </row>
    <row r="3771" spans="1:8" hidden="1">
      <c r="A3771" s="676" t="s">
        <v>4373</v>
      </c>
      <c r="B3771" s="399" t="s">
        <v>1555</v>
      </c>
      <c r="C3771" s="399" t="s">
        <v>119</v>
      </c>
      <c r="D3771" s="400">
        <v>492</v>
      </c>
      <c r="E3771" s="400" t="s">
        <v>4863</v>
      </c>
      <c r="F3771" s="400" t="s">
        <v>4864</v>
      </c>
      <c r="G3771" s="400" t="s">
        <v>4860</v>
      </c>
      <c r="H3771" s="1232"/>
    </row>
    <row r="3772" spans="1:8" hidden="1">
      <c r="A3772" s="676" t="s">
        <v>4373</v>
      </c>
      <c r="B3772" s="399" t="s">
        <v>1555</v>
      </c>
      <c r="C3772" s="399" t="s">
        <v>119</v>
      </c>
      <c r="D3772" s="400">
        <v>474</v>
      </c>
      <c r="E3772" s="400" t="s">
        <v>4865</v>
      </c>
      <c r="F3772" s="400" t="s">
        <v>4866</v>
      </c>
      <c r="G3772" s="400" t="s">
        <v>4860</v>
      </c>
      <c r="H3772" s="1232"/>
    </row>
    <row r="3773" spans="1:8" hidden="1">
      <c r="A3773" s="676" t="s">
        <v>4373</v>
      </c>
      <c r="B3773" s="399" t="s">
        <v>1555</v>
      </c>
      <c r="C3773" s="399" t="s">
        <v>119</v>
      </c>
      <c r="D3773" s="400">
        <v>666</v>
      </c>
      <c r="E3773" s="400" t="s">
        <v>4867</v>
      </c>
      <c r="F3773" s="400" t="s">
        <v>4868</v>
      </c>
      <c r="G3773" s="400" t="s">
        <v>4860</v>
      </c>
      <c r="H3773" s="1232"/>
    </row>
    <row r="3774" spans="1:8" hidden="1">
      <c r="A3774" s="676" t="s">
        <v>4373</v>
      </c>
      <c r="B3774" s="399" t="s">
        <v>1555</v>
      </c>
      <c r="C3774" s="399" t="s">
        <v>119</v>
      </c>
      <c r="D3774" s="400">
        <v>638</v>
      </c>
      <c r="E3774" s="400" t="s">
        <v>4869</v>
      </c>
      <c r="F3774" s="400" t="s">
        <v>4870</v>
      </c>
      <c r="G3774" s="400" t="s">
        <v>4860</v>
      </c>
      <c r="H3774" s="1232"/>
    </row>
    <row r="3775" spans="1:8" hidden="1">
      <c r="A3775" s="676" t="s">
        <v>4373</v>
      </c>
      <c r="B3775" s="399" t="s">
        <v>1555</v>
      </c>
      <c r="C3775" s="399" t="s">
        <v>119</v>
      </c>
      <c r="D3775" s="400">
        <v>175</v>
      </c>
      <c r="E3775" s="400" t="s">
        <v>4871</v>
      </c>
      <c r="F3775" s="400" t="s">
        <v>4872</v>
      </c>
      <c r="G3775" s="400" t="s">
        <v>4860</v>
      </c>
      <c r="H3775" s="1232"/>
    </row>
    <row r="3776" spans="1:8" hidden="1">
      <c r="A3776" s="676" t="s">
        <v>4373</v>
      </c>
      <c r="B3776" s="399" t="s">
        <v>1555</v>
      </c>
      <c r="C3776" s="399" t="s">
        <v>119</v>
      </c>
      <c r="D3776" s="400">
        <v>0</v>
      </c>
      <c r="E3776" s="400" t="s">
        <v>4873</v>
      </c>
      <c r="F3776" s="400" t="s">
        <v>4874</v>
      </c>
      <c r="G3776" s="400" t="s">
        <v>4860</v>
      </c>
      <c r="H3776" s="1232"/>
    </row>
    <row r="3777" spans="1:8" hidden="1">
      <c r="A3777" s="676" t="s">
        <v>4373</v>
      </c>
      <c r="B3777" s="399" t="s">
        <v>1555</v>
      </c>
      <c r="C3777" s="399" t="s">
        <v>119</v>
      </c>
      <c r="D3777" s="400" t="s">
        <v>2288</v>
      </c>
      <c r="E3777" s="400" t="s">
        <v>4875</v>
      </c>
      <c r="F3777" s="400" t="s">
        <v>4876</v>
      </c>
      <c r="G3777" s="400" t="s">
        <v>4877</v>
      </c>
      <c r="H3777" s="1232"/>
    </row>
    <row r="3778" spans="1:8" hidden="1">
      <c r="A3778" s="676" t="s">
        <v>4373</v>
      </c>
      <c r="B3778" s="399" t="s">
        <v>1555</v>
      </c>
      <c r="C3778" s="399" t="s">
        <v>119</v>
      </c>
      <c r="D3778" s="400" t="s">
        <v>2288</v>
      </c>
      <c r="E3778" s="400" t="s">
        <v>4878</v>
      </c>
      <c r="F3778" s="400" t="s">
        <v>4879</v>
      </c>
      <c r="G3778" s="400" t="s">
        <v>4877</v>
      </c>
      <c r="H3778" s="1232"/>
    </row>
    <row r="3779" spans="1:8" hidden="1">
      <c r="A3779" s="676" t="s">
        <v>4373</v>
      </c>
      <c r="B3779" s="399" t="s">
        <v>1555</v>
      </c>
      <c r="C3779" s="399" t="s">
        <v>119</v>
      </c>
      <c r="D3779" s="400" t="s">
        <v>2233</v>
      </c>
      <c r="E3779" s="400" t="s">
        <v>4880</v>
      </c>
      <c r="F3779" s="400" t="s">
        <v>4881</v>
      </c>
      <c r="G3779" s="400" t="s">
        <v>4882</v>
      </c>
      <c r="H3779" s="1232"/>
    </row>
    <row r="3780" spans="1:8" hidden="1">
      <c r="A3780" s="676" t="s">
        <v>4373</v>
      </c>
      <c r="B3780" s="399" t="s">
        <v>1555</v>
      </c>
      <c r="C3780" s="399" t="s">
        <v>119</v>
      </c>
      <c r="D3780" s="400" t="s">
        <v>2233</v>
      </c>
      <c r="E3780" s="400" t="s">
        <v>4883</v>
      </c>
      <c r="F3780" s="400" t="s">
        <v>4884</v>
      </c>
      <c r="G3780" s="400" t="s">
        <v>4885</v>
      </c>
      <c r="H3780" s="1232"/>
    </row>
    <row r="3781" spans="1:8" hidden="1">
      <c r="A3781" s="676" t="s">
        <v>4373</v>
      </c>
      <c r="B3781" s="399" t="s">
        <v>1555</v>
      </c>
      <c r="C3781" s="399" t="s">
        <v>119</v>
      </c>
      <c r="D3781" s="400" t="s">
        <v>2233</v>
      </c>
      <c r="E3781" s="400" t="s">
        <v>4886</v>
      </c>
      <c r="F3781" s="400" t="s">
        <v>4887</v>
      </c>
      <c r="G3781" s="400" t="s">
        <v>4888</v>
      </c>
      <c r="H3781" s="1232"/>
    </row>
    <row r="3782" spans="1:8" hidden="1">
      <c r="A3782" s="676" t="s">
        <v>4373</v>
      </c>
      <c r="B3782" s="399" t="s">
        <v>1555</v>
      </c>
      <c r="C3782" s="399" t="s">
        <v>119</v>
      </c>
      <c r="D3782" s="400" t="s">
        <v>2233</v>
      </c>
      <c r="E3782" s="400" t="s">
        <v>4889</v>
      </c>
      <c r="F3782" s="400" t="s">
        <v>4890</v>
      </c>
      <c r="G3782" s="400" t="s">
        <v>4888</v>
      </c>
      <c r="H3782" s="1232"/>
    </row>
    <row r="3783" spans="1:8" hidden="1">
      <c r="A3783" s="676" t="s">
        <v>4373</v>
      </c>
      <c r="B3783" s="399" t="s">
        <v>1555</v>
      </c>
      <c r="C3783" s="399" t="s">
        <v>119</v>
      </c>
      <c r="D3783" s="400" t="s">
        <v>2233</v>
      </c>
      <c r="E3783" s="400" t="s">
        <v>4891</v>
      </c>
      <c r="F3783" s="400" t="s">
        <v>4892</v>
      </c>
      <c r="G3783" s="400" t="s">
        <v>4888</v>
      </c>
      <c r="H3783" s="1232"/>
    </row>
    <row r="3784" spans="1:8" hidden="1">
      <c r="A3784" s="676" t="s">
        <v>4373</v>
      </c>
      <c r="B3784" s="399" t="s">
        <v>1555</v>
      </c>
      <c r="C3784" s="399" t="s">
        <v>119</v>
      </c>
      <c r="D3784" s="400" t="s">
        <v>2233</v>
      </c>
      <c r="E3784" s="400" t="s">
        <v>4893</v>
      </c>
      <c r="F3784" s="400" t="s">
        <v>4894</v>
      </c>
      <c r="G3784" s="400" t="s">
        <v>4888</v>
      </c>
      <c r="H3784" s="1232"/>
    </row>
    <row r="3785" spans="1:8" hidden="1">
      <c r="A3785" s="676" t="s">
        <v>4373</v>
      </c>
      <c r="B3785" s="399" t="s">
        <v>1555</v>
      </c>
      <c r="C3785" s="399" t="s">
        <v>119</v>
      </c>
      <c r="D3785" s="400" t="s">
        <v>2233</v>
      </c>
      <c r="E3785" s="400" t="s">
        <v>4895</v>
      </c>
      <c r="F3785" s="400" t="s">
        <v>4896</v>
      </c>
      <c r="G3785" s="400" t="s">
        <v>4888</v>
      </c>
      <c r="H3785" s="1232"/>
    </row>
    <row r="3786" spans="1:8" hidden="1">
      <c r="A3786" s="676" t="s">
        <v>4373</v>
      </c>
      <c r="B3786" s="399" t="s">
        <v>1555</v>
      </c>
      <c r="C3786" s="399" t="s">
        <v>119</v>
      </c>
      <c r="D3786" s="400" t="s">
        <v>2233</v>
      </c>
      <c r="E3786" s="400" t="s">
        <v>4897</v>
      </c>
      <c r="F3786" s="400" t="s">
        <v>4898</v>
      </c>
      <c r="G3786" s="400" t="s">
        <v>4888</v>
      </c>
      <c r="H3786" s="1232"/>
    </row>
    <row r="3787" spans="1:8" hidden="1">
      <c r="A3787" s="676" t="s">
        <v>4373</v>
      </c>
      <c r="B3787" s="399" t="s">
        <v>1555</v>
      </c>
      <c r="C3787" s="399" t="s">
        <v>119</v>
      </c>
      <c r="D3787" s="400" t="s">
        <v>2233</v>
      </c>
      <c r="E3787" s="400" t="s">
        <v>4899</v>
      </c>
      <c r="F3787" s="400" t="s">
        <v>4900</v>
      </c>
      <c r="G3787" s="400" t="s">
        <v>4888</v>
      </c>
      <c r="H3787" s="1232"/>
    </row>
    <row r="3788" spans="1:8" hidden="1">
      <c r="A3788" s="676" t="s">
        <v>4373</v>
      </c>
      <c r="B3788" s="399" t="s">
        <v>1555</v>
      </c>
      <c r="C3788" s="399" t="s">
        <v>119</v>
      </c>
      <c r="D3788" s="400" t="s">
        <v>2233</v>
      </c>
      <c r="E3788" s="400" t="s">
        <v>4901</v>
      </c>
      <c r="F3788" s="400" t="s">
        <v>4902</v>
      </c>
      <c r="G3788" s="400" t="s">
        <v>4888</v>
      </c>
      <c r="H3788" s="1232"/>
    </row>
    <row r="3789" spans="1:8" hidden="1">
      <c r="A3789" s="676" t="s">
        <v>4373</v>
      </c>
      <c r="B3789" s="399" t="s">
        <v>1555</v>
      </c>
      <c r="C3789" s="399" t="s">
        <v>119</v>
      </c>
      <c r="D3789" s="400" t="s">
        <v>2233</v>
      </c>
      <c r="E3789" s="400" t="s">
        <v>4903</v>
      </c>
      <c r="F3789" s="400" t="s">
        <v>4904</v>
      </c>
      <c r="G3789" s="400" t="s">
        <v>4888</v>
      </c>
      <c r="H3789" s="1232"/>
    </row>
    <row r="3790" spans="1:8" hidden="1">
      <c r="A3790" s="676" t="s">
        <v>4373</v>
      </c>
      <c r="B3790" s="399" t="s">
        <v>1555</v>
      </c>
      <c r="C3790" s="399" t="s">
        <v>119</v>
      </c>
      <c r="D3790" s="400" t="s">
        <v>2233</v>
      </c>
      <c r="E3790" s="400" t="s">
        <v>4905</v>
      </c>
      <c r="F3790" s="400" t="s">
        <v>4906</v>
      </c>
      <c r="G3790" s="400" t="s">
        <v>4888</v>
      </c>
      <c r="H3790" s="1232"/>
    </row>
    <row r="3791" spans="1:8" hidden="1">
      <c r="A3791" s="676" t="s">
        <v>4373</v>
      </c>
      <c r="B3791" s="399" t="s">
        <v>1555</v>
      </c>
      <c r="C3791" s="399" t="s">
        <v>119</v>
      </c>
      <c r="D3791" s="400" t="s">
        <v>2233</v>
      </c>
      <c r="E3791" s="400" t="s">
        <v>4907</v>
      </c>
      <c r="F3791" s="400" t="s">
        <v>4908</v>
      </c>
      <c r="G3791" s="400" t="s">
        <v>4888</v>
      </c>
      <c r="H3791" s="1232"/>
    </row>
    <row r="3792" spans="1:8" hidden="1">
      <c r="A3792" s="676" t="s">
        <v>4373</v>
      </c>
      <c r="B3792" s="399" t="s">
        <v>1555</v>
      </c>
      <c r="C3792" s="399" t="s">
        <v>119</v>
      </c>
      <c r="D3792" s="400" t="s">
        <v>2233</v>
      </c>
      <c r="E3792" s="400" t="s">
        <v>4909</v>
      </c>
      <c r="F3792" s="400" t="s">
        <v>4910</v>
      </c>
      <c r="G3792" s="400" t="s">
        <v>4888</v>
      </c>
      <c r="H3792" s="1232"/>
    </row>
    <row r="3793" spans="1:8" hidden="1">
      <c r="A3793" s="676" t="s">
        <v>4373</v>
      </c>
      <c r="B3793" s="399" t="s">
        <v>1555</v>
      </c>
      <c r="C3793" s="399" t="s">
        <v>119</v>
      </c>
      <c r="D3793" s="400" t="s">
        <v>2233</v>
      </c>
      <c r="E3793" s="400" t="s">
        <v>4911</v>
      </c>
      <c r="F3793" s="400" t="s">
        <v>4912</v>
      </c>
      <c r="G3793" s="400" t="s">
        <v>4888</v>
      </c>
      <c r="H3793" s="1232"/>
    </row>
    <row r="3794" spans="1:8" hidden="1">
      <c r="A3794" s="676" t="s">
        <v>4373</v>
      </c>
      <c r="B3794" s="399" t="s">
        <v>1555</v>
      </c>
      <c r="C3794" s="399" t="s">
        <v>119</v>
      </c>
      <c r="D3794" s="400" t="s">
        <v>2233</v>
      </c>
      <c r="E3794" s="400" t="s">
        <v>4913</v>
      </c>
      <c r="F3794" s="400" t="s">
        <v>4914</v>
      </c>
      <c r="G3794" s="400" t="s">
        <v>4888</v>
      </c>
      <c r="H3794" s="1232"/>
    </row>
    <row r="3795" spans="1:8" hidden="1">
      <c r="A3795" s="676" t="s">
        <v>4373</v>
      </c>
      <c r="B3795" s="399" t="s">
        <v>1555</v>
      </c>
      <c r="C3795" s="399" t="s">
        <v>119</v>
      </c>
      <c r="D3795" s="400" t="s">
        <v>2233</v>
      </c>
      <c r="E3795" s="400" t="s">
        <v>4915</v>
      </c>
      <c r="F3795" s="400" t="s">
        <v>4916</v>
      </c>
      <c r="G3795" s="400" t="s">
        <v>4888</v>
      </c>
      <c r="H3795" s="1232"/>
    </row>
    <row r="3796" spans="1:8" hidden="1">
      <c r="A3796" s="676" t="s">
        <v>4373</v>
      </c>
      <c r="B3796" s="399" t="s">
        <v>1555</v>
      </c>
      <c r="C3796" s="399" t="s">
        <v>119</v>
      </c>
      <c r="D3796" s="400" t="s">
        <v>2233</v>
      </c>
      <c r="E3796" s="400" t="s">
        <v>4917</v>
      </c>
      <c r="F3796" s="400" t="s">
        <v>4918</v>
      </c>
      <c r="G3796" s="400" t="s">
        <v>4888</v>
      </c>
      <c r="H3796" s="1232"/>
    </row>
    <row r="3797" spans="1:8" hidden="1">
      <c r="A3797" s="676" t="s">
        <v>4373</v>
      </c>
      <c r="B3797" s="399" t="s">
        <v>1555</v>
      </c>
      <c r="C3797" s="399" t="s">
        <v>119</v>
      </c>
      <c r="D3797" s="400" t="s">
        <v>2233</v>
      </c>
      <c r="E3797" s="400" t="s">
        <v>4919</v>
      </c>
      <c r="F3797" s="400" t="s">
        <v>4920</v>
      </c>
      <c r="G3797" s="400" t="s">
        <v>4888</v>
      </c>
      <c r="H3797" s="1232"/>
    </row>
    <row r="3798" spans="1:8" hidden="1">
      <c r="A3798" s="676" t="s">
        <v>4373</v>
      </c>
      <c r="B3798" s="399" t="s">
        <v>1555</v>
      </c>
      <c r="C3798" s="399" t="s">
        <v>119</v>
      </c>
      <c r="D3798" s="400" t="s">
        <v>2233</v>
      </c>
      <c r="E3798" s="400" t="s">
        <v>4921</v>
      </c>
      <c r="F3798" s="400" t="s">
        <v>4922</v>
      </c>
      <c r="G3798" s="400" t="s">
        <v>4888</v>
      </c>
      <c r="H3798" s="1232"/>
    </row>
    <row r="3799" spans="1:8" hidden="1">
      <c r="A3799" s="676" t="s">
        <v>4373</v>
      </c>
      <c r="B3799" s="399" t="s">
        <v>1555</v>
      </c>
      <c r="C3799" s="399" t="s">
        <v>119</v>
      </c>
      <c r="D3799" s="400" t="s">
        <v>2233</v>
      </c>
      <c r="E3799" s="400" t="s">
        <v>4923</v>
      </c>
      <c r="F3799" s="400" t="s">
        <v>4924</v>
      </c>
      <c r="G3799" s="400" t="s">
        <v>4888</v>
      </c>
      <c r="H3799" s="1232"/>
    </row>
    <row r="3800" spans="1:8" hidden="1">
      <c r="A3800" s="676" t="s">
        <v>4373</v>
      </c>
      <c r="B3800" s="399" t="s">
        <v>1555</v>
      </c>
      <c r="C3800" s="399" t="s">
        <v>119</v>
      </c>
      <c r="D3800" s="400" t="s">
        <v>2233</v>
      </c>
      <c r="E3800" s="400" t="s">
        <v>4925</v>
      </c>
      <c r="F3800" s="400" t="s">
        <v>4926</v>
      </c>
      <c r="G3800" s="400" t="s">
        <v>4888</v>
      </c>
      <c r="H3800" s="1232"/>
    </row>
    <row r="3801" spans="1:8" hidden="1">
      <c r="A3801" s="676" t="s">
        <v>4373</v>
      </c>
      <c r="B3801" s="399" t="s">
        <v>1555</v>
      </c>
      <c r="C3801" s="399" t="s">
        <v>119</v>
      </c>
      <c r="D3801" s="400" t="s">
        <v>2233</v>
      </c>
      <c r="E3801" s="400" t="s">
        <v>4927</v>
      </c>
      <c r="F3801" s="400" t="s">
        <v>4928</v>
      </c>
      <c r="G3801" s="400" t="s">
        <v>4888</v>
      </c>
      <c r="H3801" s="1232"/>
    </row>
    <row r="3802" spans="1:8" hidden="1">
      <c r="A3802" s="676" t="s">
        <v>4373</v>
      </c>
      <c r="B3802" s="399" t="s">
        <v>1555</v>
      </c>
      <c r="C3802" s="399" t="s">
        <v>119</v>
      </c>
      <c r="D3802" s="400" t="s">
        <v>2233</v>
      </c>
      <c r="E3802" s="400" t="s">
        <v>4929</v>
      </c>
      <c r="F3802" s="400" t="s">
        <v>4930</v>
      </c>
      <c r="G3802" s="400" t="s">
        <v>4888</v>
      </c>
      <c r="H3802" s="1232"/>
    </row>
    <row r="3803" spans="1:8" hidden="1">
      <c r="A3803" s="676" t="s">
        <v>4373</v>
      </c>
      <c r="B3803" s="399" t="s">
        <v>1555</v>
      </c>
      <c r="C3803" s="399" t="s">
        <v>119</v>
      </c>
      <c r="D3803" s="400" t="s">
        <v>2233</v>
      </c>
      <c r="E3803" s="400" t="s">
        <v>4931</v>
      </c>
      <c r="F3803" s="400" t="s">
        <v>4932</v>
      </c>
      <c r="G3803" s="400" t="s">
        <v>4888</v>
      </c>
      <c r="H3803" s="1232"/>
    </row>
    <row r="3804" spans="1:8" hidden="1">
      <c r="A3804" s="676" t="s">
        <v>4373</v>
      </c>
      <c r="B3804" s="399" t="s">
        <v>1555</v>
      </c>
      <c r="C3804" s="399" t="s">
        <v>119</v>
      </c>
      <c r="D3804" s="400" t="s">
        <v>2233</v>
      </c>
      <c r="E3804" s="400" t="s">
        <v>4933</v>
      </c>
      <c r="F3804" s="400" t="s">
        <v>4934</v>
      </c>
      <c r="G3804" s="400" t="s">
        <v>4888</v>
      </c>
      <c r="H3804" s="1232"/>
    </row>
    <row r="3805" spans="1:8" hidden="1">
      <c r="A3805" s="676" t="s">
        <v>4373</v>
      </c>
      <c r="B3805" s="399" t="s">
        <v>1555</v>
      </c>
      <c r="C3805" s="399" t="s">
        <v>119</v>
      </c>
      <c r="D3805" s="400" t="s">
        <v>2233</v>
      </c>
      <c r="E3805" s="400" t="s">
        <v>4935</v>
      </c>
      <c r="F3805" s="400" t="s">
        <v>4936</v>
      </c>
      <c r="G3805" s="400" t="s">
        <v>4888</v>
      </c>
      <c r="H3805" s="1232"/>
    </row>
    <row r="3806" spans="1:8" hidden="1">
      <c r="A3806" s="676" t="s">
        <v>4373</v>
      </c>
      <c r="B3806" s="399" t="s">
        <v>1555</v>
      </c>
      <c r="C3806" s="399" t="s">
        <v>119</v>
      </c>
      <c r="D3806" s="400" t="s">
        <v>2233</v>
      </c>
      <c r="E3806" s="400" t="s">
        <v>4937</v>
      </c>
      <c r="F3806" s="400" t="s">
        <v>4938</v>
      </c>
      <c r="G3806" s="400" t="s">
        <v>4888</v>
      </c>
      <c r="H3806" s="1232"/>
    </row>
    <row r="3807" spans="1:8" hidden="1">
      <c r="A3807" s="676" t="s">
        <v>4373</v>
      </c>
      <c r="B3807" s="399" t="s">
        <v>1555</v>
      </c>
      <c r="C3807" s="399" t="s">
        <v>119</v>
      </c>
      <c r="D3807" s="400" t="s">
        <v>2233</v>
      </c>
      <c r="E3807" s="400" t="s">
        <v>4939</v>
      </c>
      <c r="F3807" s="400" t="s">
        <v>4940</v>
      </c>
      <c r="G3807" s="400" t="s">
        <v>4888</v>
      </c>
      <c r="H3807" s="1232"/>
    </row>
    <row r="3808" spans="1:8" hidden="1">
      <c r="A3808" s="676" t="s">
        <v>4373</v>
      </c>
      <c r="B3808" s="399" t="s">
        <v>1555</v>
      </c>
      <c r="C3808" s="399" t="s">
        <v>119</v>
      </c>
      <c r="D3808" s="400" t="s">
        <v>2233</v>
      </c>
      <c r="E3808" s="400" t="s">
        <v>4941</v>
      </c>
      <c r="F3808" s="400" t="s">
        <v>4942</v>
      </c>
      <c r="G3808" s="400" t="s">
        <v>4888</v>
      </c>
      <c r="H3808" s="1232"/>
    </row>
    <row r="3809" spans="1:8" hidden="1">
      <c r="A3809" s="676" t="s">
        <v>4373</v>
      </c>
      <c r="B3809" s="399" t="s">
        <v>1555</v>
      </c>
      <c r="C3809" s="399" t="s">
        <v>119</v>
      </c>
      <c r="D3809" s="400" t="s">
        <v>2233</v>
      </c>
      <c r="E3809" s="400" t="s">
        <v>4943</v>
      </c>
      <c r="F3809" s="400" t="s">
        <v>4944</v>
      </c>
      <c r="G3809" s="400" t="s">
        <v>4888</v>
      </c>
      <c r="H3809" s="1232"/>
    </row>
    <row r="3810" spans="1:8" hidden="1">
      <c r="A3810" s="676" t="s">
        <v>4373</v>
      </c>
      <c r="B3810" s="399" t="s">
        <v>1555</v>
      </c>
      <c r="C3810" s="399" t="s">
        <v>119</v>
      </c>
      <c r="D3810" s="400" t="s">
        <v>2233</v>
      </c>
      <c r="E3810" s="400" t="s">
        <v>4945</v>
      </c>
      <c r="F3810" s="400" t="s">
        <v>4946</v>
      </c>
      <c r="G3810" s="400" t="s">
        <v>4888</v>
      </c>
      <c r="H3810" s="1232"/>
    </row>
    <row r="3811" spans="1:8" hidden="1">
      <c r="A3811" s="676" t="s">
        <v>4373</v>
      </c>
      <c r="B3811" s="399" t="s">
        <v>1555</v>
      </c>
      <c r="C3811" s="399" t="s">
        <v>119</v>
      </c>
      <c r="D3811" s="400" t="s">
        <v>2233</v>
      </c>
      <c r="E3811" s="400" t="s">
        <v>4947</v>
      </c>
      <c r="F3811" s="400" t="s">
        <v>4948</v>
      </c>
      <c r="G3811" s="400" t="s">
        <v>4888</v>
      </c>
      <c r="H3811" s="1232"/>
    </row>
    <row r="3812" spans="1:8" hidden="1">
      <c r="A3812" s="676" t="s">
        <v>4373</v>
      </c>
      <c r="B3812" s="399" t="s">
        <v>1555</v>
      </c>
      <c r="C3812" s="399" t="s">
        <v>119</v>
      </c>
      <c r="D3812" s="400" t="s">
        <v>2233</v>
      </c>
      <c r="E3812" s="400" t="s">
        <v>4949</v>
      </c>
      <c r="F3812" s="400" t="s">
        <v>4950</v>
      </c>
      <c r="G3812" s="400" t="s">
        <v>4888</v>
      </c>
      <c r="H3812" s="1232"/>
    </row>
    <row r="3813" spans="1:8" hidden="1">
      <c r="A3813" s="676" t="s">
        <v>4373</v>
      </c>
      <c r="B3813" s="399" t="s">
        <v>1555</v>
      </c>
      <c r="C3813" s="399" t="s">
        <v>119</v>
      </c>
      <c r="D3813" s="400" t="s">
        <v>2233</v>
      </c>
      <c r="E3813" s="400" t="s">
        <v>4951</v>
      </c>
      <c r="F3813" s="400" t="s">
        <v>4952</v>
      </c>
      <c r="G3813" s="400" t="s">
        <v>4888</v>
      </c>
      <c r="H3813" s="1232"/>
    </row>
    <row r="3814" spans="1:8" hidden="1">
      <c r="A3814" s="676" t="s">
        <v>4373</v>
      </c>
      <c r="B3814" s="399" t="s">
        <v>1555</v>
      </c>
      <c r="C3814" s="399" t="s">
        <v>119</v>
      </c>
      <c r="D3814" s="400" t="s">
        <v>2233</v>
      </c>
      <c r="E3814" s="400" t="s">
        <v>4953</v>
      </c>
      <c r="F3814" s="400" t="s">
        <v>4954</v>
      </c>
      <c r="G3814" s="400" t="s">
        <v>4888</v>
      </c>
      <c r="H3814" s="1232"/>
    </row>
    <row r="3815" spans="1:8" hidden="1">
      <c r="A3815" s="676" t="s">
        <v>4373</v>
      </c>
      <c r="B3815" s="399" t="s">
        <v>1555</v>
      </c>
      <c r="C3815" s="399" t="s">
        <v>119</v>
      </c>
      <c r="D3815" s="400" t="s">
        <v>2233</v>
      </c>
      <c r="E3815" s="400" t="s">
        <v>4955</v>
      </c>
      <c r="F3815" s="400" t="s">
        <v>4956</v>
      </c>
      <c r="G3815" s="400" t="s">
        <v>4888</v>
      </c>
      <c r="H3815" s="1232"/>
    </row>
    <row r="3816" spans="1:8" hidden="1">
      <c r="A3816" s="676" t="s">
        <v>4373</v>
      </c>
      <c r="B3816" s="399" t="s">
        <v>1555</v>
      </c>
      <c r="C3816" s="399" t="s">
        <v>119</v>
      </c>
      <c r="D3816" s="400" t="s">
        <v>2233</v>
      </c>
      <c r="E3816" s="400" t="s">
        <v>4957</v>
      </c>
      <c r="F3816" s="400" t="s">
        <v>4958</v>
      </c>
      <c r="G3816" s="400" t="s">
        <v>4888</v>
      </c>
      <c r="H3816" s="1232"/>
    </row>
    <row r="3817" spans="1:8" hidden="1">
      <c r="A3817" s="676" t="s">
        <v>4373</v>
      </c>
      <c r="B3817" s="399" t="s">
        <v>1555</v>
      </c>
      <c r="C3817" s="399" t="s">
        <v>119</v>
      </c>
      <c r="D3817" s="400" t="s">
        <v>2233</v>
      </c>
      <c r="E3817" s="400" t="s">
        <v>4959</v>
      </c>
      <c r="F3817" s="400" t="s">
        <v>4960</v>
      </c>
      <c r="G3817" s="400" t="s">
        <v>4888</v>
      </c>
      <c r="H3817" s="1232"/>
    </row>
    <row r="3818" spans="1:8" hidden="1">
      <c r="A3818" s="676" t="s">
        <v>4373</v>
      </c>
      <c r="B3818" s="399" t="s">
        <v>1555</v>
      </c>
      <c r="C3818" s="399" t="s">
        <v>119</v>
      </c>
      <c r="D3818" s="400" t="s">
        <v>2233</v>
      </c>
      <c r="E3818" s="400" t="s">
        <v>4961</v>
      </c>
      <c r="F3818" s="400" t="s">
        <v>4962</v>
      </c>
      <c r="G3818" s="400" t="s">
        <v>4888</v>
      </c>
      <c r="H3818" s="1232"/>
    </row>
    <row r="3819" spans="1:8" hidden="1">
      <c r="A3819" s="676" t="s">
        <v>4373</v>
      </c>
      <c r="B3819" s="399" t="s">
        <v>1555</v>
      </c>
      <c r="C3819" s="399" t="s">
        <v>119</v>
      </c>
      <c r="D3819" s="400" t="s">
        <v>2233</v>
      </c>
      <c r="E3819" s="400" t="s">
        <v>4963</v>
      </c>
      <c r="F3819" s="400" t="s">
        <v>4964</v>
      </c>
      <c r="G3819" s="400" t="s">
        <v>4888</v>
      </c>
      <c r="H3819" s="1232"/>
    </row>
    <row r="3820" spans="1:8" hidden="1">
      <c r="A3820" s="676" t="s">
        <v>4373</v>
      </c>
      <c r="B3820" s="399" t="s">
        <v>1555</v>
      </c>
      <c r="C3820" s="399" t="s">
        <v>119</v>
      </c>
      <c r="D3820" s="400" t="s">
        <v>2233</v>
      </c>
      <c r="E3820" s="400" t="s">
        <v>4965</v>
      </c>
      <c r="F3820" s="400" t="s">
        <v>4966</v>
      </c>
      <c r="G3820" s="400" t="s">
        <v>4888</v>
      </c>
      <c r="H3820" s="1232"/>
    </row>
    <row r="3821" spans="1:8" hidden="1">
      <c r="A3821" s="676" t="s">
        <v>4373</v>
      </c>
      <c r="B3821" s="399" t="s">
        <v>1555</v>
      </c>
      <c r="C3821" s="399" t="s">
        <v>119</v>
      </c>
      <c r="D3821" s="400" t="s">
        <v>2233</v>
      </c>
      <c r="E3821" s="400" t="s">
        <v>4967</v>
      </c>
      <c r="F3821" s="400" t="s">
        <v>4968</v>
      </c>
      <c r="G3821" s="400" t="s">
        <v>4888</v>
      </c>
      <c r="H3821" s="1232"/>
    </row>
    <row r="3822" spans="1:8" hidden="1">
      <c r="A3822" s="676" t="s">
        <v>4373</v>
      </c>
      <c r="B3822" s="399" t="s">
        <v>1555</v>
      </c>
      <c r="C3822" s="399" t="s">
        <v>119</v>
      </c>
      <c r="D3822" s="400" t="s">
        <v>2233</v>
      </c>
      <c r="E3822" s="400" t="s">
        <v>4969</v>
      </c>
      <c r="F3822" s="400" t="s">
        <v>4970</v>
      </c>
      <c r="G3822" s="400" t="s">
        <v>4888</v>
      </c>
      <c r="H3822" s="1232"/>
    </row>
    <row r="3823" spans="1:8" hidden="1">
      <c r="A3823" s="676" t="s">
        <v>4373</v>
      </c>
      <c r="B3823" s="399" t="s">
        <v>1555</v>
      </c>
      <c r="C3823" s="399" t="s">
        <v>119</v>
      </c>
      <c r="D3823" s="400" t="s">
        <v>2233</v>
      </c>
      <c r="E3823" s="400" t="s">
        <v>4971</v>
      </c>
      <c r="F3823" s="400" t="s">
        <v>4972</v>
      </c>
      <c r="G3823" s="400" t="s">
        <v>4888</v>
      </c>
      <c r="H3823" s="1232"/>
    </row>
    <row r="3824" spans="1:8" hidden="1">
      <c r="A3824" s="676" t="s">
        <v>4373</v>
      </c>
      <c r="B3824" s="399" t="s">
        <v>1555</v>
      </c>
      <c r="C3824" s="399" t="s">
        <v>119</v>
      </c>
      <c r="D3824" s="400" t="s">
        <v>2233</v>
      </c>
      <c r="E3824" s="400" t="s">
        <v>4973</v>
      </c>
      <c r="F3824" s="400" t="s">
        <v>4974</v>
      </c>
      <c r="G3824" s="400" t="s">
        <v>4888</v>
      </c>
      <c r="H3824" s="1232"/>
    </row>
    <row r="3825" spans="1:8" hidden="1">
      <c r="A3825" s="676" t="s">
        <v>4373</v>
      </c>
      <c r="B3825" s="399" t="s">
        <v>1555</v>
      </c>
      <c r="C3825" s="399" t="s">
        <v>119</v>
      </c>
      <c r="D3825" s="400" t="s">
        <v>2233</v>
      </c>
      <c r="E3825" s="400" t="s">
        <v>4975</v>
      </c>
      <c r="F3825" s="400" t="s">
        <v>4976</v>
      </c>
      <c r="G3825" s="400" t="s">
        <v>4888</v>
      </c>
      <c r="H3825" s="1232"/>
    </row>
    <row r="3826" spans="1:8" hidden="1">
      <c r="A3826" s="676" t="s">
        <v>4373</v>
      </c>
      <c r="B3826" s="399" t="s">
        <v>1555</v>
      </c>
      <c r="C3826" s="399" t="s">
        <v>119</v>
      </c>
      <c r="D3826" s="400" t="s">
        <v>2233</v>
      </c>
      <c r="E3826" s="400" t="s">
        <v>4977</v>
      </c>
      <c r="F3826" s="400" t="s">
        <v>4978</v>
      </c>
      <c r="G3826" s="400" t="s">
        <v>4888</v>
      </c>
      <c r="H3826" s="1232"/>
    </row>
    <row r="3827" spans="1:8" hidden="1">
      <c r="A3827" s="676" t="s">
        <v>4373</v>
      </c>
      <c r="B3827" s="399" t="s">
        <v>1555</v>
      </c>
      <c r="C3827" s="399" t="s">
        <v>119</v>
      </c>
      <c r="D3827" s="400" t="s">
        <v>2233</v>
      </c>
      <c r="E3827" s="400" t="s">
        <v>4979</v>
      </c>
      <c r="F3827" s="400" t="s">
        <v>4980</v>
      </c>
      <c r="G3827" s="400" t="s">
        <v>4888</v>
      </c>
      <c r="H3827" s="1232"/>
    </row>
    <row r="3828" spans="1:8" hidden="1">
      <c r="A3828" s="676" t="s">
        <v>4373</v>
      </c>
      <c r="B3828" s="399" t="s">
        <v>1555</v>
      </c>
      <c r="C3828" s="399" t="s">
        <v>119</v>
      </c>
      <c r="D3828" s="400" t="s">
        <v>2233</v>
      </c>
      <c r="E3828" s="400" t="s">
        <v>4981</v>
      </c>
      <c r="F3828" s="400" t="s">
        <v>4982</v>
      </c>
      <c r="G3828" s="400" t="s">
        <v>4888</v>
      </c>
      <c r="H3828" s="1232"/>
    </row>
    <row r="3829" spans="1:8" hidden="1">
      <c r="A3829" s="676" t="s">
        <v>4373</v>
      </c>
      <c r="B3829" s="399" t="s">
        <v>1555</v>
      </c>
      <c r="C3829" s="399" t="s">
        <v>119</v>
      </c>
      <c r="D3829" s="400" t="s">
        <v>2233</v>
      </c>
      <c r="E3829" s="400" t="s">
        <v>4983</v>
      </c>
      <c r="F3829" s="400" t="s">
        <v>4984</v>
      </c>
      <c r="G3829" s="400" t="s">
        <v>4888</v>
      </c>
      <c r="H3829" s="1232"/>
    </row>
    <row r="3830" spans="1:8" hidden="1">
      <c r="A3830" s="676" t="s">
        <v>4373</v>
      </c>
      <c r="B3830" s="399" t="s">
        <v>1555</v>
      </c>
      <c r="C3830" s="399" t="s">
        <v>119</v>
      </c>
      <c r="D3830" s="400" t="s">
        <v>2233</v>
      </c>
      <c r="E3830" s="400" t="s">
        <v>4985</v>
      </c>
      <c r="F3830" s="400" t="s">
        <v>4986</v>
      </c>
      <c r="G3830" s="400" t="s">
        <v>4888</v>
      </c>
      <c r="H3830" s="1232"/>
    </row>
    <row r="3831" spans="1:8" hidden="1">
      <c r="A3831" s="676" t="s">
        <v>4373</v>
      </c>
      <c r="B3831" s="399" t="s">
        <v>1555</v>
      </c>
      <c r="C3831" s="399" t="s">
        <v>119</v>
      </c>
      <c r="D3831" s="400" t="s">
        <v>2233</v>
      </c>
      <c r="E3831" s="400" t="s">
        <v>4987</v>
      </c>
      <c r="F3831" s="400" t="s">
        <v>4988</v>
      </c>
      <c r="G3831" s="400" t="s">
        <v>4888</v>
      </c>
      <c r="H3831" s="1232"/>
    </row>
    <row r="3832" spans="1:8" hidden="1">
      <c r="A3832" s="676" t="s">
        <v>4373</v>
      </c>
      <c r="B3832" s="399" t="s">
        <v>1555</v>
      </c>
      <c r="C3832" s="399" t="s">
        <v>119</v>
      </c>
      <c r="D3832" s="400" t="s">
        <v>2233</v>
      </c>
      <c r="E3832" s="400" t="s">
        <v>4989</v>
      </c>
      <c r="F3832" s="400" t="s">
        <v>4990</v>
      </c>
      <c r="G3832" s="400" t="s">
        <v>4888</v>
      </c>
      <c r="H3832" s="1232"/>
    </row>
    <row r="3833" spans="1:8" hidden="1">
      <c r="A3833" s="676" t="s">
        <v>4373</v>
      </c>
      <c r="B3833" s="399" t="s">
        <v>1555</v>
      </c>
      <c r="C3833" s="399" t="s">
        <v>119</v>
      </c>
      <c r="D3833" s="400" t="s">
        <v>2233</v>
      </c>
      <c r="E3833" s="400" t="s">
        <v>4991</v>
      </c>
      <c r="F3833" s="400" t="s">
        <v>4992</v>
      </c>
      <c r="G3833" s="400" t="s">
        <v>4888</v>
      </c>
      <c r="H3833" s="1232"/>
    </row>
    <row r="3834" spans="1:8" hidden="1">
      <c r="A3834" s="676" t="s">
        <v>4373</v>
      </c>
      <c r="B3834" s="399" t="s">
        <v>1555</v>
      </c>
      <c r="C3834" s="399" t="s">
        <v>119</v>
      </c>
      <c r="D3834" s="400" t="s">
        <v>2233</v>
      </c>
      <c r="E3834" s="400" t="s">
        <v>4993</v>
      </c>
      <c r="F3834" s="400" t="s">
        <v>4994</v>
      </c>
      <c r="G3834" s="400" t="s">
        <v>4888</v>
      </c>
      <c r="H3834" s="1232"/>
    </row>
    <row r="3835" spans="1:8" hidden="1">
      <c r="A3835" s="676" t="s">
        <v>4373</v>
      </c>
      <c r="B3835" s="399" t="s">
        <v>1555</v>
      </c>
      <c r="C3835" s="399" t="s">
        <v>119</v>
      </c>
      <c r="D3835" s="400" t="s">
        <v>2233</v>
      </c>
      <c r="E3835" s="400" t="s">
        <v>4995</v>
      </c>
      <c r="F3835" s="400" t="s">
        <v>4996</v>
      </c>
      <c r="G3835" s="400" t="s">
        <v>4888</v>
      </c>
      <c r="H3835" s="1232"/>
    </row>
    <row r="3836" spans="1:8" hidden="1">
      <c r="A3836" s="676" t="s">
        <v>4373</v>
      </c>
      <c r="B3836" s="399" t="s">
        <v>1555</v>
      </c>
      <c r="C3836" s="399" t="s">
        <v>119</v>
      </c>
      <c r="D3836" s="400" t="s">
        <v>2233</v>
      </c>
      <c r="E3836" s="400" t="s">
        <v>4997</v>
      </c>
      <c r="F3836" s="400" t="s">
        <v>4998</v>
      </c>
      <c r="G3836" s="400" t="s">
        <v>4888</v>
      </c>
      <c r="H3836" s="1232"/>
    </row>
    <row r="3837" spans="1:8" hidden="1">
      <c r="A3837" s="676" t="s">
        <v>4373</v>
      </c>
      <c r="B3837" s="399" t="s">
        <v>1555</v>
      </c>
      <c r="C3837" s="399" t="s">
        <v>119</v>
      </c>
      <c r="D3837" s="400" t="s">
        <v>2233</v>
      </c>
      <c r="E3837" s="400" t="s">
        <v>4999</v>
      </c>
      <c r="F3837" s="400" t="s">
        <v>5000</v>
      </c>
      <c r="G3837" s="400" t="s">
        <v>4888</v>
      </c>
      <c r="H3837" s="1232"/>
    </row>
    <row r="3838" spans="1:8" hidden="1">
      <c r="A3838" s="676" t="s">
        <v>4373</v>
      </c>
      <c r="B3838" s="399" t="s">
        <v>1555</v>
      </c>
      <c r="C3838" s="399" t="s">
        <v>119</v>
      </c>
      <c r="D3838" s="400" t="s">
        <v>2233</v>
      </c>
      <c r="E3838" s="400" t="s">
        <v>5001</v>
      </c>
      <c r="F3838" s="400" t="s">
        <v>5002</v>
      </c>
      <c r="G3838" s="400" t="s">
        <v>4888</v>
      </c>
      <c r="H3838" s="1232"/>
    </row>
    <row r="3839" spans="1:8" hidden="1">
      <c r="A3839" s="676" t="s">
        <v>4373</v>
      </c>
      <c r="B3839" s="399" t="s">
        <v>1555</v>
      </c>
      <c r="C3839" s="399" t="s">
        <v>119</v>
      </c>
      <c r="D3839" s="400" t="s">
        <v>2233</v>
      </c>
      <c r="E3839" s="400" t="s">
        <v>5003</v>
      </c>
      <c r="F3839" s="400" t="s">
        <v>5004</v>
      </c>
      <c r="G3839" s="400" t="s">
        <v>4888</v>
      </c>
      <c r="H3839" s="1232"/>
    </row>
    <row r="3840" spans="1:8" hidden="1">
      <c r="A3840" s="676" t="s">
        <v>4373</v>
      </c>
      <c r="B3840" s="399" t="s">
        <v>1555</v>
      </c>
      <c r="C3840" s="399" t="s">
        <v>119</v>
      </c>
      <c r="D3840" s="400" t="s">
        <v>2233</v>
      </c>
      <c r="E3840" s="400" t="s">
        <v>5005</v>
      </c>
      <c r="F3840" s="400" t="s">
        <v>5006</v>
      </c>
      <c r="G3840" s="400" t="s">
        <v>4888</v>
      </c>
      <c r="H3840" s="1232"/>
    </row>
    <row r="3841" spans="1:8" hidden="1">
      <c r="A3841" s="676" t="s">
        <v>4373</v>
      </c>
      <c r="B3841" s="399" t="s">
        <v>1555</v>
      </c>
      <c r="C3841" s="399" t="s">
        <v>119</v>
      </c>
      <c r="D3841" s="400" t="s">
        <v>2233</v>
      </c>
      <c r="E3841" s="400" t="s">
        <v>5007</v>
      </c>
      <c r="F3841" s="400" t="s">
        <v>5008</v>
      </c>
      <c r="G3841" s="400" t="s">
        <v>4888</v>
      </c>
      <c r="H3841" s="1232"/>
    </row>
    <row r="3842" spans="1:8" hidden="1">
      <c r="A3842" s="676" t="s">
        <v>4373</v>
      </c>
      <c r="B3842" s="399" t="s">
        <v>1555</v>
      </c>
      <c r="C3842" s="399" t="s">
        <v>119</v>
      </c>
      <c r="D3842" s="400" t="s">
        <v>2233</v>
      </c>
      <c r="E3842" s="400" t="s">
        <v>5009</v>
      </c>
      <c r="F3842" s="400" t="s">
        <v>5010</v>
      </c>
      <c r="G3842" s="400" t="s">
        <v>4888</v>
      </c>
      <c r="H3842" s="1232"/>
    </row>
    <row r="3843" spans="1:8" hidden="1">
      <c r="A3843" s="676" t="s">
        <v>4373</v>
      </c>
      <c r="B3843" s="399" t="s">
        <v>1555</v>
      </c>
      <c r="C3843" s="399" t="s">
        <v>119</v>
      </c>
      <c r="D3843" s="400" t="s">
        <v>2233</v>
      </c>
      <c r="E3843" s="400" t="s">
        <v>5011</v>
      </c>
      <c r="F3843" s="400" t="s">
        <v>5012</v>
      </c>
      <c r="G3843" s="400" t="s">
        <v>4888</v>
      </c>
      <c r="H3843" s="1232"/>
    </row>
    <row r="3844" spans="1:8" hidden="1">
      <c r="A3844" s="676" t="s">
        <v>4373</v>
      </c>
      <c r="B3844" s="399" t="s">
        <v>1555</v>
      </c>
      <c r="C3844" s="399" t="s">
        <v>119</v>
      </c>
      <c r="D3844" s="400" t="s">
        <v>2233</v>
      </c>
      <c r="E3844" s="400" t="s">
        <v>5013</v>
      </c>
      <c r="F3844" s="400" t="s">
        <v>5014</v>
      </c>
      <c r="G3844" s="400" t="s">
        <v>4888</v>
      </c>
      <c r="H3844" s="1232"/>
    </row>
    <row r="3845" spans="1:8" hidden="1">
      <c r="A3845" s="676" t="s">
        <v>4373</v>
      </c>
      <c r="B3845" s="399" t="s">
        <v>1555</v>
      </c>
      <c r="C3845" s="399" t="s">
        <v>119</v>
      </c>
      <c r="D3845" s="400" t="s">
        <v>2233</v>
      </c>
      <c r="E3845" s="400" t="s">
        <v>5015</v>
      </c>
      <c r="F3845" s="400" t="s">
        <v>5016</v>
      </c>
      <c r="G3845" s="400" t="s">
        <v>4888</v>
      </c>
      <c r="H3845" s="1232"/>
    </row>
    <row r="3846" spans="1:8" hidden="1">
      <c r="A3846" s="676" t="s">
        <v>4373</v>
      </c>
      <c r="B3846" s="399" t="s">
        <v>1555</v>
      </c>
      <c r="C3846" s="399" t="s">
        <v>119</v>
      </c>
      <c r="D3846" s="400" t="s">
        <v>2233</v>
      </c>
      <c r="E3846" s="400" t="s">
        <v>5017</v>
      </c>
      <c r="F3846" s="400" t="s">
        <v>5018</v>
      </c>
      <c r="G3846" s="400" t="s">
        <v>4888</v>
      </c>
      <c r="H3846" s="1232"/>
    </row>
    <row r="3847" spans="1:8" hidden="1">
      <c r="A3847" s="676" t="s">
        <v>4373</v>
      </c>
      <c r="B3847" s="399" t="s">
        <v>1555</v>
      </c>
      <c r="C3847" s="399" t="s">
        <v>119</v>
      </c>
      <c r="D3847" s="400" t="s">
        <v>2233</v>
      </c>
      <c r="E3847" s="400" t="s">
        <v>5019</v>
      </c>
      <c r="F3847" s="400" t="s">
        <v>5020</v>
      </c>
      <c r="G3847" s="400" t="s">
        <v>4888</v>
      </c>
      <c r="H3847" s="1232"/>
    </row>
    <row r="3848" spans="1:8" hidden="1">
      <c r="A3848" s="676" t="s">
        <v>4373</v>
      </c>
      <c r="B3848" s="399" t="s">
        <v>1555</v>
      </c>
      <c r="C3848" s="399" t="s">
        <v>119</v>
      </c>
      <c r="D3848" s="400" t="s">
        <v>2233</v>
      </c>
      <c r="E3848" s="400" t="s">
        <v>5021</v>
      </c>
      <c r="F3848" s="400" t="s">
        <v>5022</v>
      </c>
      <c r="G3848" s="400" t="s">
        <v>4888</v>
      </c>
      <c r="H3848" s="1232"/>
    </row>
    <row r="3849" spans="1:8" hidden="1">
      <c r="A3849" s="676" t="s">
        <v>4373</v>
      </c>
      <c r="B3849" s="399" t="s">
        <v>1555</v>
      </c>
      <c r="C3849" s="399" t="s">
        <v>119</v>
      </c>
      <c r="D3849" s="400" t="s">
        <v>2233</v>
      </c>
      <c r="E3849" s="400" t="s">
        <v>5023</v>
      </c>
      <c r="F3849" s="400" t="s">
        <v>5024</v>
      </c>
      <c r="G3849" s="400" t="s">
        <v>4888</v>
      </c>
      <c r="H3849" s="1232"/>
    </row>
    <row r="3850" spans="1:8" hidden="1">
      <c r="A3850" s="676" t="s">
        <v>4373</v>
      </c>
      <c r="B3850" s="399" t="s">
        <v>1555</v>
      </c>
      <c r="C3850" s="399" t="s">
        <v>119</v>
      </c>
      <c r="D3850" s="400" t="s">
        <v>2233</v>
      </c>
      <c r="E3850" s="400" t="s">
        <v>5025</v>
      </c>
      <c r="F3850" s="400" t="s">
        <v>5026</v>
      </c>
      <c r="G3850" s="400" t="s">
        <v>4888</v>
      </c>
      <c r="H3850" s="1232"/>
    </row>
    <row r="3851" spans="1:8" hidden="1">
      <c r="A3851" s="676" t="s">
        <v>4373</v>
      </c>
      <c r="B3851" s="399" t="s">
        <v>1555</v>
      </c>
      <c r="C3851" s="399" t="s">
        <v>119</v>
      </c>
      <c r="D3851" s="400" t="s">
        <v>2233</v>
      </c>
      <c r="E3851" s="400" t="s">
        <v>5027</v>
      </c>
      <c r="F3851" s="400" t="s">
        <v>5028</v>
      </c>
      <c r="G3851" s="400" t="s">
        <v>4888</v>
      </c>
      <c r="H3851" s="1232"/>
    </row>
    <row r="3852" spans="1:8" hidden="1">
      <c r="A3852" s="676" t="s">
        <v>4373</v>
      </c>
      <c r="B3852" s="399" t="s">
        <v>1555</v>
      </c>
      <c r="C3852" s="399" t="s">
        <v>119</v>
      </c>
      <c r="D3852" s="400" t="s">
        <v>2233</v>
      </c>
      <c r="E3852" s="400" t="s">
        <v>5029</v>
      </c>
      <c r="F3852" s="400" t="s">
        <v>5030</v>
      </c>
      <c r="G3852" s="400" t="s">
        <v>4888</v>
      </c>
      <c r="H3852" s="1232"/>
    </row>
    <row r="3853" spans="1:8" hidden="1">
      <c r="A3853" s="676" t="s">
        <v>4373</v>
      </c>
      <c r="B3853" s="399" t="s">
        <v>1555</v>
      </c>
      <c r="C3853" s="399" t="s">
        <v>119</v>
      </c>
      <c r="D3853" s="400" t="s">
        <v>2233</v>
      </c>
      <c r="E3853" s="400" t="s">
        <v>5031</v>
      </c>
      <c r="F3853" s="400" t="s">
        <v>5032</v>
      </c>
      <c r="G3853" s="400" t="s">
        <v>4888</v>
      </c>
      <c r="H3853" s="1232"/>
    </row>
    <row r="3854" spans="1:8" hidden="1">
      <c r="A3854" s="676" t="s">
        <v>4373</v>
      </c>
      <c r="B3854" s="399" t="s">
        <v>1555</v>
      </c>
      <c r="C3854" s="399" t="s">
        <v>119</v>
      </c>
      <c r="D3854" s="400" t="s">
        <v>2233</v>
      </c>
      <c r="E3854" s="400" t="s">
        <v>5033</v>
      </c>
      <c r="F3854" s="400" t="s">
        <v>5034</v>
      </c>
      <c r="G3854" s="400" t="s">
        <v>4888</v>
      </c>
      <c r="H3854" s="1232"/>
    </row>
    <row r="3855" spans="1:8" hidden="1">
      <c r="A3855" s="676" t="s">
        <v>4373</v>
      </c>
      <c r="B3855" s="399" t="s">
        <v>1555</v>
      </c>
      <c r="C3855" s="399" t="s">
        <v>119</v>
      </c>
      <c r="D3855" s="400" t="s">
        <v>2233</v>
      </c>
      <c r="E3855" s="400" t="s">
        <v>5035</v>
      </c>
      <c r="F3855" s="400" t="s">
        <v>5036</v>
      </c>
      <c r="G3855" s="400" t="s">
        <v>4888</v>
      </c>
      <c r="H3855" s="1232"/>
    </row>
    <row r="3856" spans="1:8" hidden="1">
      <c r="A3856" s="676" t="s">
        <v>4373</v>
      </c>
      <c r="B3856" s="399" t="s">
        <v>1555</v>
      </c>
      <c r="C3856" s="399" t="s">
        <v>119</v>
      </c>
      <c r="D3856" s="400" t="s">
        <v>2233</v>
      </c>
      <c r="E3856" s="400" t="s">
        <v>5037</v>
      </c>
      <c r="F3856" s="400" t="s">
        <v>5038</v>
      </c>
      <c r="G3856" s="400" t="s">
        <v>4888</v>
      </c>
      <c r="H3856" s="1232"/>
    </row>
    <row r="3857" spans="1:8" hidden="1">
      <c r="A3857" s="676" t="s">
        <v>4373</v>
      </c>
      <c r="B3857" s="399" t="s">
        <v>1555</v>
      </c>
      <c r="C3857" s="399" t="s">
        <v>119</v>
      </c>
      <c r="D3857" s="400" t="s">
        <v>2233</v>
      </c>
      <c r="E3857" s="400" t="s">
        <v>5039</v>
      </c>
      <c r="F3857" s="400" t="s">
        <v>5040</v>
      </c>
      <c r="G3857" s="400" t="s">
        <v>4888</v>
      </c>
      <c r="H3857" s="1232"/>
    </row>
    <row r="3858" spans="1:8" hidden="1">
      <c r="A3858" s="676" t="s">
        <v>4373</v>
      </c>
      <c r="B3858" s="399" t="s">
        <v>1555</v>
      </c>
      <c r="C3858" s="399" t="s">
        <v>119</v>
      </c>
      <c r="D3858" s="400" t="s">
        <v>2233</v>
      </c>
      <c r="E3858" s="400" t="s">
        <v>5041</v>
      </c>
      <c r="F3858" s="400" t="s">
        <v>5042</v>
      </c>
      <c r="G3858" s="400" t="s">
        <v>4888</v>
      </c>
      <c r="H3858" s="1232"/>
    </row>
    <row r="3859" spans="1:8" hidden="1">
      <c r="A3859" s="676" t="s">
        <v>4373</v>
      </c>
      <c r="B3859" s="399" t="s">
        <v>1555</v>
      </c>
      <c r="C3859" s="399" t="s">
        <v>119</v>
      </c>
      <c r="D3859" s="400" t="s">
        <v>2233</v>
      </c>
      <c r="E3859" s="400" t="s">
        <v>5043</v>
      </c>
      <c r="F3859" s="400" t="s">
        <v>5044</v>
      </c>
      <c r="G3859" s="400" t="s">
        <v>4888</v>
      </c>
      <c r="H3859" s="1232"/>
    </row>
    <row r="3860" spans="1:8" hidden="1">
      <c r="A3860" s="676" t="s">
        <v>4373</v>
      </c>
      <c r="B3860" s="399" t="s">
        <v>1555</v>
      </c>
      <c r="C3860" s="399" t="s">
        <v>119</v>
      </c>
      <c r="D3860" s="400" t="s">
        <v>2233</v>
      </c>
      <c r="E3860" s="400" t="s">
        <v>5045</v>
      </c>
      <c r="F3860" s="400" t="s">
        <v>5046</v>
      </c>
      <c r="G3860" s="400" t="s">
        <v>4888</v>
      </c>
      <c r="H3860" s="1232"/>
    </row>
    <row r="3861" spans="1:8" hidden="1">
      <c r="A3861" s="676" t="s">
        <v>4373</v>
      </c>
      <c r="B3861" s="399" t="s">
        <v>1555</v>
      </c>
      <c r="C3861" s="399" t="s">
        <v>119</v>
      </c>
      <c r="D3861" s="400" t="s">
        <v>2233</v>
      </c>
      <c r="E3861" s="400" t="s">
        <v>5047</v>
      </c>
      <c r="F3861" s="400" t="s">
        <v>5048</v>
      </c>
      <c r="G3861" s="400" t="s">
        <v>4888</v>
      </c>
      <c r="H3861" s="1232"/>
    </row>
    <row r="3862" spans="1:8" hidden="1">
      <c r="A3862" s="676" t="s">
        <v>4373</v>
      </c>
      <c r="B3862" s="399" t="s">
        <v>1555</v>
      </c>
      <c r="C3862" s="399" t="s">
        <v>119</v>
      </c>
      <c r="D3862" s="400" t="s">
        <v>2233</v>
      </c>
      <c r="E3862" s="400" t="s">
        <v>5049</v>
      </c>
      <c r="F3862" s="400" t="s">
        <v>5050</v>
      </c>
      <c r="G3862" s="400" t="s">
        <v>4888</v>
      </c>
      <c r="H3862" s="1232"/>
    </row>
    <row r="3863" spans="1:8" hidden="1">
      <c r="A3863" s="676" t="s">
        <v>4373</v>
      </c>
      <c r="B3863" s="399" t="s">
        <v>1555</v>
      </c>
      <c r="C3863" s="399" t="s">
        <v>119</v>
      </c>
      <c r="D3863" s="400" t="s">
        <v>2233</v>
      </c>
      <c r="E3863" s="400" t="s">
        <v>5051</v>
      </c>
      <c r="F3863" s="400" t="s">
        <v>5052</v>
      </c>
      <c r="G3863" s="400" t="s">
        <v>4888</v>
      </c>
      <c r="H3863" s="1232"/>
    </row>
    <row r="3864" spans="1:8" hidden="1">
      <c r="A3864" s="677" t="s">
        <v>4373</v>
      </c>
      <c r="B3864" s="410" t="s">
        <v>1555</v>
      </c>
      <c r="C3864" s="410" t="s">
        <v>119</v>
      </c>
      <c r="D3864" s="411" t="s">
        <v>2233</v>
      </c>
      <c r="E3864" s="411" t="s">
        <v>5053</v>
      </c>
      <c r="F3864" s="411" t="s">
        <v>5054</v>
      </c>
      <c r="G3864" s="411" t="s">
        <v>4888</v>
      </c>
      <c r="H3864" s="1233"/>
    </row>
    <row r="3865" spans="1:8" hidden="1">
      <c r="A3865" s="495" t="s">
        <v>5055</v>
      </c>
      <c r="B3865" s="399" t="s">
        <v>835</v>
      </c>
      <c r="C3865" s="399" t="s">
        <v>88</v>
      </c>
      <c r="D3865" s="399" t="s">
        <v>2668</v>
      </c>
      <c r="E3865" s="399" t="s">
        <v>4369</v>
      </c>
      <c r="F3865" s="399" t="s">
        <v>2670</v>
      </c>
      <c r="G3865" s="399" t="s">
        <v>2221</v>
      </c>
      <c r="H3865" s="1235" t="s">
        <v>5056</v>
      </c>
    </row>
    <row r="3866" spans="1:8" hidden="1">
      <c r="A3866" s="495" t="s">
        <v>5055</v>
      </c>
      <c r="B3866" s="399" t="s">
        <v>835</v>
      </c>
      <c r="C3866" s="399" t="s">
        <v>88</v>
      </c>
      <c r="D3866" s="399" t="s">
        <v>2288</v>
      </c>
      <c r="E3866" s="399" t="s">
        <v>5057</v>
      </c>
      <c r="F3866" s="399" t="s">
        <v>2673</v>
      </c>
      <c r="G3866" s="399" t="s">
        <v>2221</v>
      </c>
      <c r="H3866" s="1235"/>
    </row>
    <row r="3867" spans="1:8" hidden="1">
      <c r="A3867" s="495" t="s">
        <v>5055</v>
      </c>
      <c r="B3867" s="399" t="s">
        <v>835</v>
      </c>
      <c r="C3867" s="399" t="s">
        <v>88</v>
      </c>
      <c r="D3867" s="399" t="s">
        <v>2674</v>
      </c>
      <c r="E3867" s="399" t="s">
        <v>4369</v>
      </c>
      <c r="F3867" s="399" t="s">
        <v>2676</v>
      </c>
      <c r="G3867" s="399" t="s">
        <v>2221</v>
      </c>
      <c r="H3867" s="1235"/>
    </row>
    <row r="3868" spans="1:8" hidden="1">
      <c r="A3868" s="495" t="s">
        <v>5055</v>
      </c>
      <c r="B3868" s="399" t="s">
        <v>835</v>
      </c>
      <c r="C3868" s="399" t="s">
        <v>88</v>
      </c>
      <c r="D3868" s="399" t="s">
        <v>2288</v>
      </c>
      <c r="E3868" s="399" t="s">
        <v>5057</v>
      </c>
      <c r="F3868" s="399" t="s">
        <v>2678</v>
      </c>
      <c r="G3868" s="399" t="s">
        <v>2221</v>
      </c>
      <c r="H3868" s="1235"/>
    </row>
    <row r="3869" spans="1:8" hidden="1">
      <c r="A3869" s="495" t="s">
        <v>5055</v>
      </c>
      <c r="B3869" s="399" t="s">
        <v>835</v>
      </c>
      <c r="C3869" s="399" t="s">
        <v>88</v>
      </c>
      <c r="D3869" s="399" t="s">
        <v>2679</v>
      </c>
      <c r="E3869" s="399" t="s">
        <v>4369</v>
      </c>
      <c r="F3869" s="399" t="s">
        <v>2681</v>
      </c>
      <c r="G3869" s="399" t="s">
        <v>2221</v>
      </c>
      <c r="H3869" s="1235"/>
    </row>
    <row r="3870" spans="1:8" hidden="1">
      <c r="A3870" s="495" t="s">
        <v>5055</v>
      </c>
      <c r="B3870" s="399" t="s">
        <v>835</v>
      </c>
      <c r="C3870" s="399" t="s">
        <v>88</v>
      </c>
      <c r="D3870" s="399" t="s">
        <v>2288</v>
      </c>
      <c r="E3870" s="399" t="s">
        <v>5057</v>
      </c>
      <c r="F3870" s="399" t="s">
        <v>2683</v>
      </c>
      <c r="G3870" s="399" t="s">
        <v>2221</v>
      </c>
      <c r="H3870" s="1235"/>
    </row>
    <row r="3871" spans="1:8" hidden="1">
      <c r="A3871" s="495" t="s">
        <v>5055</v>
      </c>
      <c r="B3871" s="399" t="s">
        <v>835</v>
      </c>
      <c r="C3871" s="399" t="s">
        <v>88</v>
      </c>
      <c r="D3871" s="399" t="s">
        <v>2684</v>
      </c>
      <c r="E3871" s="399" t="s">
        <v>4369</v>
      </c>
      <c r="F3871" s="399" t="s">
        <v>2686</v>
      </c>
      <c r="G3871" s="399" t="s">
        <v>2221</v>
      </c>
      <c r="H3871" s="1235"/>
    </row>
    <row r="3872" spans="1:8" hidden="1">
      <c r="A3872" s="495" t="s">
        <v>5055</v>
      </c>
      <c r="B3872" s="399" t="s">
        <v>835</v>
      </c>
      <c r="C3872" s="399" t="s">
        <v>88</v>
      </c>
      <c r="D3872" s="399" t="s">
        <v>2288</v>
      </c>
      <c r="E3872" s="399" t="s">
        <v>5057</v>
      </c>
      <c r="F3872" s="399" t="s">
        <v>2688</v>
      </c>
      <c r="G3872" s="399" t="s">
        <v>2221</v>
      </c>
      <c r="H3872" s="1235"/>
    </row>
    <row r="3873" spans="1:8" hidden="1">
      <c r="A3873" s="495" t="s">
        <v>5055</v>
      </c>
      <c r="B3873" s="399" t="s">
        <v>835</v>
      </c>
      <c r="C3873" s="399" t="s">
        <v>88</v>
      </c>
      <c r="D3873" s="399" t="s">
        <v>2288</v>
      </c>
      <c r="E3873" s="399" t="s">
        <v>5057</v>
      </c>
      <c r="F3873" s="399" t="s">
        <v>2690</v>
      </c>
      <c r="G3873" s="399" t="s">
        <v>2221</v>
      </c>
      <c r="H3873" s="1235"/>
    </row>
    <row r="3874" spans="1:8" hidden="1">
      <c r="A3874" s="495" t="s">
        <v>5055</v>
      </c>
      <c r="B3874" s="399" t="s">
        <v>835</v>
      </c>
      <c r="C3874" s="399" t="s">
        <v>88</v>
      </c>
      <c r="D3874" s="399" t="s">
        <v>2288</v>
      </c>
      <c r="E3874" s="399" t="s">
        <v>5057</v>
      </c>
      <c r="F3874" s="399" t="s">
        <v>2692</v>
      </c>
      <c r="G3874" s="399" t="s">
        <v>2221</v>
      </c>
      <c r="H3874" s="1235"/>
    </row>
    <row r="3875" spans="1:8" hidden="1">
      <c r="A3875" s="495" t="s">
        <v>5055</v>
      </c>
      <c r="B3875" s="399" t="s">
        <v>835</v>
      </c>
      <c r="C3875" s="399" t="s">
        <v>88</v>
      </c>
      <c r="D3875" s="399" t="s">
        <v>2288</v>
      </c>
      <c r="E3875" s="399" t="s">
        <v>5057</v>
      </c>
      <c r="F3875" s="399" t="s">
        <v>2694</v>
      </c>
      <c r="G3875" s="399" t="s">
        <v>2695</v>
      </c>
      <c r="H3875" s="1235"/>
    </row>
    <row r="3876" spans="1:8" hidden="1">
      <c r="A3876" s="495" t="s">
        <v>5055</v>
      </c>
      <c r="B3876" s="399" t="s">
        <v>835</v>
      </c>
      <c r="C3876" s="399" t="s">
        <v>88</v>
      </c>
      <c r="D3876" s="399" t="s">
        <v>2696</v>
      </c>
      <c r="E3876" s="399" t="s">
        <v>4369</v>
      </c>
      <c r="F3876" s="399" t="s">
        <v>2698</v>
      </c>
      <c r="G3876" s="399" t="s">
        <v>2221</v>
      </c>
      <c r="H3876" s="1235"/>
    </row>
    <row r="3877" spans="1:8" hidden="1">
      <c r="A3877" s="495" t="s">
        <v>5055</v>
      </c>
      <c r="B3877" s="399" t="s">
        <v>835</v>
      </c>
      <c r="C3877" s="399" t="s">
        <v>88</v>
      </c>
      <c r="D3877" s="399" t="s">
        <v>2699</v>
      </c>
      <c r="E3877" s="399" t="s">
        <v>4369</v>
      </c>
      <c r="F3877" s="399" t="s">
        <v>2698</v>
      </c>
      <c r="G3877" s="399" t="s">
        <v>2221</v>
      </c>
      <c r="H3877" s="1235"/>
    </row>
    <row r="3878" spans="1:8" hidden="1">
      <c r="A3878" s="495" t="s">
        <v>5055</v>
      </c>
      <c r="B3878" s="399" t="s">
        <v>835</v>
      </c>
      <c r="C3878" s="399" t="s">
        <v>88</v>
      </c>
      <c r="D3878" s="399" t="s">
        <v>2288</v>
      </c>
      <c r="E3878" s="399" t="s">
        <v>5057</v>
      </c>
      <c r="F3878" s="399" t="s">
        <v>2701</v>
      </c>
      <c r="G3878" s="399" t="s">
        <v>2221</v>
      </c>
      <c r="H3878" s="1235"/>
    </row>
    <row r="3879" spans="1:8" hidden="1">
      <c r="A3879" s="495" t="s">
        <v>5055</v>
      </c>
      <c r="B3879" s="399" t="s">
        <v>835</v>
      </c>
      <c r="C3879" s="399" t="s">
        <v>88</v>
      </c>
      <c r="D3879" s="399" t="s">
        <v>2702</v>
      </c>
      <c r="E3879" s="399" t="s">
        <v>4369</v>
      </c>
      <c r="F3879" s="399" t="s">
        <v>2704</v>
      </c>
      <c r="G3879" s="399" t="s">
        <v>2221</v>
      </c>
      <c r="H3879" s="1235"/>
    </row>
    <row r="3880" spans="1:8" hidden="1">
      <c r="A3880" s="495" t="s">
        <v>5055</v>
      </c>
      <c r="B3880" s="399" t="s">
        <v>835</v>
      </c>
      <c r="C3880" s="399" t="s">
        <v>88</v>
      </c>
      <c r="D3880" s="399" t="s">
        <v>2288</v>
      </c>
      <c r="E3880" s="399" t="s">
        <v>5057</v>
      </c>
      <c r="F3880" s="399" t="s">
        <v>2706</v>
      </c>
      <c r="G3880" s="399" t="s">
        <v>2221</v>
      </c>
      <c r="H3880" s="1235"/>
    </row>
    <row r="3881" spans="1:8" hidden="1">
      <c r="A3881" s="495" t="s">
        <v>5055</v>
      </c>
      <c r="B3881" s="399" t="s">
        <v>835</v>
      </c>
      <c r="C3881" s="399" t="s">
        <v>88</v>
      </c>
      <c r="D3881" s="399" t="s">
        <v>2288</v>
      </c>
      <c r="E3881" s="399" t="s">
        <v>5057</v>
      </c>
      <c r="F3881" s="399" t="s">
        <v>2708</v>
      </c>
      <c r="G3881" s="399" t="s">
        <v>2221</v>
      </c>
      <c r="H3881" s="1235"/>
    </row>
    <row r="3882" spans="1:8" hidden="1">
      <c r="A3882" s="495" t="s">
        <v>5055</v>
      </c>
      <c r="B3882" s="399" t="s">
        <v>835</v>
      </c>
      <c r="C3882" s="399" t="s">
        <v>88</v>
      </c>
      <c r="D3882" s="399" t="s">
        <v>2288</v>
      </c>
      <c r="E3882" s="399" t="s">
        <v>5057</v>
      </c>
      <c r="F3882" s="399" t="s">
        <v>2710</v>
      </c>
      <c r="G3882" s="399" t="s">
        <v>2221</v>
      </c>
      <c r="H3882" s="1235"/>
    </row>
    <row r="3883" spans="1:8" hidden="1">
      <c r="A3883" s="495" t="s">
        <v>5055</v>
      </c>
      <c r="B3883" s="399" t="s">
        <v>835</v>
      </c>
      <c r="C3883" s="399" t="s">
        <v>88</v>
      </c>
      <c r="D3883" s="400" t="s">
        <v>2288</v>
      </c>
      <c r="E3883" s="399" t="s">
        <v>5057</v>
      </c>
      <c r="F3883" s="400" t="s">
        <v>2711</v>
      </c>
      <c r="G3883" s="400" t="s">
        <v>2695</v>
      </c>
      <c r="H3883" s="1235"/>
    </row>
    <row r="3884" spans="1:8" hidden="1">
      <c r="A3884" s="495" t="s">
        <v>5055</v>
      </c>
      <c r="B3884" s="399" t="s">
        <v>835</v>
      </c>
      <c r="C3884" s="399" t="s">
        <v>88</v>
      </c>
      <c r="D3884" s="399" t="s">
        <v>2713</v>
      </c>
      <c r="E3884" s="399" t="s">
        <v>422</v>
      </c>
      <c r="F3884" s="399" t="s">
        <v>2714</v>
      </c>
      <c r="G3884" s="399" t="s">
        <v>2221</v>
      </c>
      <c r="H3884" s="1235"/>
    </row>
    <row r="3885" spans="1:8" hidden="1">
      <c r="A3885" s="497" t="s">
        <v>5055</v>
      </c>
      <c r="B3885" s="404" t="s">
        <v>835</v>
      </c>
      <c r="C3885" s="404" t="s">
        <v>88</v>
      </c>
      <c r="D3885" s="404" t="s">
        <v>2715</v>
      </c>
      <c r="E3885" s="404" t="s">
        <v>422</v>
      </c>
      <c r="F3885" s="404" t="s">
        <v>2714</v>
      </c>
      <c r="G3885" s="404" t="s">
        <v>2221</v>
      </c>
      <c r="H3885" s="1235"/>
    </row>
    <row r="3886" spans="1:8" hidden="1">
      <c r="A3886" s="674" t="s">
        <v>5058</v>
      </c>
      <c r="B3886" s="408" t="s">
        <v>1756</v>
      </c>
      <c r="C3886" s="408" t="s">
        <v>120</v>
      </c>
      <c r="D3886" s="675" t="s">
        <v>5059</v>
      </c>
      <c r="E3886" s="675" t="s">
        <v>5060</v>
      </c>
      <c r="F3886" s="675" t="s">
        <v>2223</v>
      </c>
      <c r="G3886" s="675"/>
      <c r="H3886" s="1231" t="s">
        <v>5061</v>
      </c>
    </row>
    <row r="3887" spans="1:8" hidden="1">
      <c r="A3887" s="676" t="s">
        <v>5058</v>
      </c>
      <c r="B3887" s="399" t="s">
        <v>1756</v>
      </c>
      <c r="C3887" s="399" t="s">
        <v>120</v>
      </c>
      <c r="D3887" s="673" t="s">
        <v>5062</v>
      </c>
      <c r="E3887" s="673" t="s">
        <v>5063</v>
      </c>
      <c r="F3887" s="673" t="s">
        <v>5064</v>
      </c>
      <c r="G3887" s="673"/>
      <c r="H3887" s="1232"/>
    </row>
    <row r="3888" spans="1:8" hidden="1">
      <c r="A3888" s="676" t="s">
        <v>5058</v>
      </c>
      <c r="B3888" s="399" t="s">
        <v>1756</v>
      </c>
      <c r="C3888" s="399" t="s">
        <v>120</v>
      </c>
      <c r="D3888" s="673" t="s">
        <v>5065</v>
      </c>
      <c r="E3888" s="673" t="s">
        <v>5066</v>
      </c>
      <c r="F3888" s="673" t="s">
        <v>5067</v>
      </c>
      <c r="G3888" s="673"/>
      <c r="H3888" s="1232"/>
    </row>
    <row r="3889" spans="1:8" hidden="1">
      <c r="A3889" s="676" t="s">
        <v>5058</v>
      </c>
      <c r="B3889" s="399" t="s">
        <v>1756</v>
      </c>
      <c r="C3889" s="399" t="s">
        <v>120</v>
      </c>
      <c r="D3889" s="673" t="s">
        <v>5068</v>
      </c>
      <c r="E3889" s="673" t="s">
        <v>5066</v>
      </c>
      <c r="F3889" s="673" t="s">
        <v>5067</v>
      </c>
      <c r="G3889" s="673"/>
      <c r="H3889" s="1232"/>
    </row>
    <row r="3890" spans="1:8" hidden="1">
      <c r="A3890" s="676" t="s">
        <v>5058</v>
      </c>
      <c r="B3890" s="399" t="s">
        <v>1756</v>
      </c>
      <c r="C3890" s="399" t="s">
        <v>120</v>
      </c>
      <c r="D3890" s="673" t="s">
        <v>5069</v>
      </c>
      <c r="E3890" s="673" t="s">
        <v>5066</v>
      </c>
      <c r="F3890" s="673" t="s">
        <v>5067</v>
      </c>
      <c r="G3890" s="673"/>
      <c r="H3890" s="1232"/>
    </row>
    <row r="3891" spans="1:8" hidden="1">
      <c r="A3891" s="676" t="s">
        <v>5058</v>
      </c>
      <c r="B3891" s="399" t="s">
        <v>1756</v>
      </c>
      <c r="C3891" s="399" t="s">
        <v>120</v>
      </c>
      <c r="D3891" s="673" t="s">
        <v>5070</v>
      </c>
      <c r="E3891" s="673" t="s">
        <v>5066</v>
      </c>
      <c r="F3891" s="673" t="s">
        <v>5067</v>
      </c>
      <c r="G3891" s="673"/>
      <c r="H3891" s="1232"/>
    </row>
    <row r="3892" spans="1:8" hidden="1">
      <c r="A3892" s="676" t="s">
        <v>5058</v>
      </c>
      <c r="B3892" s="399" t="s">
        <v>1756</v>
      </c>
      <c r="C3892" s="399" t="s">
        <v>120</v>
      </c>
      <c r="D3892" s="673" t="s">
        <v>5071</v>
      </c>
      <c r="E3892" s="673" t="s">
        <v>5066</v>
      </c>
      <c r="F3892" s="673" t="s">
        <v>5067</v>
      </c>
      <c r="G3892" s="673"/>
      <c r="H3892" s="1232"/>
    </row>
    <row r="3893" spans="1:8" hidden="1">
      <c r="A3893" s="676" t="s">
        <v>5058</v>
      </c>
      <c r="B3893" s="399" t="s">
        <v>1756</v>
      </c>
      <c r="C3893" s="399" t="s">
        <v>120</v>
      </c>
      <c r="D3893" s="673" t="s">
        <v>5072</v>
      </c>
      <c r="E3893" s="673" t="s">
        <v>5073</v>
      </c>
      <c r="F3893" s="673" t="s">
        <v>5074</v>
      </c>
      <c r="G3893" s="673"/>
      <c r="H3893" s="1232"/>
    </row>
    <row r="3894" spans="1:8" hidden="1">
      <c r="A3894" s="676" t="s">
        <v>5058</v>
      </c>
      <c r="B3894" s="399" t="s">
        <v>1756</v>
      </c>
      <c r="C3894" s="399" t="s">
        <v>120</v>
      </c>
      <c r="D3894" s="673" t="s">
        <v>5075</v>
      </c>
      <c r="E3894" s="673" t="s">
        <v>5076</v>
      </c>
      <c r="F3894" s="673" t="s">
        <v>5077</v>
      </c>
      <c r="G3894" s="673"/>
      <c r="H3894" s="1232"/>
    </row>
    <row r="3895" spans="1:8" hidden="1">
      <c r="A3895" s="676" t="s">
        <v>5058</v>
      </c>
      <c r="B3895" s="399" t="s">
        <v>1756</v>
      </c>
      <c r="C3895" s="399" t="s">
        <v>120</v>
      </c>
      <c r="D3895" s="673" t="s">
        <v>5078</v>
      </c>
      <c r="E3895" s="673" t="s">
        <v>5076</v>
      </c>
      <c r="F3895" s="673" t="s">
        <v>5077</v>
      </c>
      <c r="G3895" s="673"/>
      <c r="H3895" s="1232"/>
    </row>
    <row r="3896" spans="1:8" hidden="1">
      <c r="A3896" s="676" t="s">
        <v>5058</v>
      </c>
      <c r="B3896" s="399" t="s">
        <v>1756</v>
      </c>
      <c r="C3896" s="399" t="s">
        <v>120</v>
      </c>
      <c r="D3896" s="673" t="s">
        <v>5079</v>
      </c>
      <c r="E3896" s="673" t="s">
        <v>5076</v>
      </c>
      <c r="F3896" s="673" t="s">
        <v>5077</v>
      </c>
      <c r="G3896" s="673"/>
      <c r="H3896" s="1232"/>
    </row>
    <row r="3897" spans="1:8" hidden="1">
      <c r="A3897" s="676" t="s">
        <v>5058</v>
      </c>
      <c r="B3897" s="399" t="s">
        <v>1756</v>
      </c>
      <c r="C3897" s="399" t="s">
        <v>120</v>
      </c>
      <c r="D3897" s="673" t="s">
        <v>5080</v>
      </c>
      <c r="E3897" s="673" t="s">
        <v>5076</v>
      </c>
      <c r="F3897" s="673" t="s">
        <v>5077</v>
      </c>
      <c r="G3897" s="673"/>
      <c r="H3897" s="1232"/>
    </row>
    <row r="3898" spans="1:8" hidden="1">
      <c r="A3898" s="676" t="s">
        <v>5058</v>
      </c>
      <c r="B3898" s="399" t="s">
        <v>1756</v>
      </c>
      <c r="C3898" s="399" t="s">
        <v>120</v>
      </c>
      <c r="D3898" s="673" t="s">
        <v>5081</v>
      </c>
      <c r="E3898" s="673" t="s">
        <v>5082</v>
      </c>
      <c r="F3898" s="673" t="s">
        <v>5083</v>
      </c>
      <c r="G3898" s="673"/>
      <c r="H3898" s="1232"/>
    </row>
    <row r="3899" spans="1:8" hidden="1">
      <c r="A3899" s="676" t="s">
        <v>5058</v>
      </c>
      <c r="B3899" s="399" t="s">
        <v>1756</v>
      </c>
      <c r="C3899" s="399" t="s">
        <v>120</v>
      </c>
      <c r="D3899" s="673" t="s">
        <v>5084</v>
      </c>
      <c r="E3899" s="673" t="s">
        <v>5082</v>
      </c>
      <c r="F3899" s="673" t="s">
        <v>5083</v>
      </c>
      <c r="G3899" s="673"/>
      <c r="H3899" s="1232"/>
    </row>
    <row r="3900" spans="1:8" hidden="1">
      <c r="A3900" s="676" t="s">
        <v>5058</v>
      </c>
      <c r="B3900" s="399" t="s">
        <v>1756</v>
      </c>
      <c r="C3900" s="399" t="s">
        <v>120</v>
      </c>
      <c r="D3900" s="673" t="s">
        <v>5085</v>
      </c>
      <c r="E3900" s="673" t="s">
        <v>5082</v>
      </c>
      <c r="F3900" s="673" t="s">
        <v>5083</v>
      </c>
      <c r="G3900" s="673"/>
      <c r="H3900" s="1232"/>
    </row>
    <row r="3901" spans="1:8" hidden="1">
      <c r="A3901" s="676" t="s">
        <v>5058</v>
      </c>
      <c r="B3901" s="399" t="s">
        <v>1756</v>
      </c>
      <c r="C3901" s="399" t="s">
        <v>120</v>
      </c>
      <c r="D3901" s="673" t="s">
        <v>5086</v>
      </c>
      <c r="E3901" s="673" t="s">
        <v>5082</v>
      </c>
      <c r="F3901" s="673" t="s">
        <v>5083</v>
      </c>
      <c r="G3901" s="673"/>
      <c r="H3901" s="1232"/>
    </row>
    <row r="3902" spans="1:8" hidden="1">
      <c r="A3902" s="676" t="s">
        <v>5058</v>
      </c>
      <c r="B3902" s="399" t="s">
        <v>1756</v>
      </c>
      <c r="C3902" s="399" t="s">
        <v>120</v>
      </c>
      <c r="D3902" s="673" t="s">
        <v>5087</v>
      </c>
      <c r="E3902" s="673" t="s">
        <v>5082</v>
      </c>
      <c r="F3902" s="673" t="s">
        <v>5083</v>
      </c>
      <c r="G3902" s="673"/>
      <c r="H3902" s="1232"/>
    </row>
    <row r="3903" spans="1:8" hidden="1">
      <c r="A3903" s="676" t="s">
        <v>5058</v>
      </c>
      <c r="B3903" s="399" t="s">
        <v>1756</v>
      </c>
      <c r="C3903" s="399" t="s">
        <v>120</v>
      </c>
      <c r="D3903" s="673" t="s">
        <v>5088</v>
      </c>
      <c r="E3903" s="673" t="s">
        <v>5082</v>
      </c>
      <c r="F3903" s="673" t="s">
        <v>5083</v>
      </c>
      <c r="G3903" s="673"/>
      <c r="H3903" s="1232"/>
    </row>
    <row r="3904" spans="1:8" hidden="1">
      <c r="A3904" s="676" t="s">
        <v>5058</v>
      </c>
      <c r="B3904" s="399" t="s">
        <v>1756</v>
      </c>
      <c r="C3904" s="399" t="s">
        <v>120</v>
      </c>
      <c r="D3904" s="673" t="s">
        <v>5089</v>
      </c>
      <c r="E3904" s="673" t="s">
        <v>5082</v>
      </c>
      <c r="F3904" s="673" t="s">
        <v>5083</v>
      </c>
      <c r="G3904" s="673"/>
      <c r="H3904" s="1232"/>
    </row>
    <row r="3905" spans="1:8" hidden="1">
      <c r="A3905" s="676" t="s">
        <v>5058</v>
      </c>
      <c r="B3905" s="399" t="s">
        <v>1756</v>
      </c>
      <c r="C3905" s="399" t="s">
        <v>120</v>
      </c>
      <c r="D3905" s="673" t="s">
        <v>5090</v>
      </c>
      <c r="E3905" s="673" t="s">
        <v>5082</v>
      </c>
      <c r="F3905" s="673" t="s">
        <v>5083</v>
      </c>
      <c r="G3905" s="673"/>
      <c r="H3905" s="1232"/>
    </row>
    <row r="3906" spans="1:8" hidden="1">
      <c r="A3906" s="676" t="s">
        <v>5058</v>
      </c>
      <c r="B3906" s="399" t="s">
        <v>1756</v>
      </c>
      <c r="C3906" s="399" t="s">
        <v>120</v>
      </c>
      <c r="D3906" s="673" t="s">
        <v>5091</v>
      </c>
      <c r="E3906" s="673" t="s">
        <v>5082</v>
      </c>
      <c r="F3906" s="673" t="s">
        <v>5083</v>
      </c>
      <c r="G3906" s="673"/>
      <c r="H3906" s="1232"/>
    </row>
    <row r="3907" spans="1:8" hidden="1">
      <c r="A3907" s="676" t="s">
        <v>5058</v>
      </c>
      <c r="B3907" s="399" t="s">
        <v>1756</v>
      </c>
      <c r="C3907" s="399" t="s">
        <v>120</v>
      </c>
      <c r="D3907" s="673" t="s">
        <v>5092</v>
      </c>
      <c r="E3907" s="673" t="s">
        <v>5082</v>
      </c>
      <c r="F3907" s="673" t="s">
        <v>5083</v>
      </c>
      <c r="G3907" s="673"/>
      <c r="H3907" s="1232"/>
    </row>
    <row r="3908" spans="1:8" hidden="1">
      <c r="A3908" s="676" t="s">
        <v>5058</v>
      </c>
      <c r="B3908" s="399" t="s">
        <v>1756</v>
      </c>
      <c r="C3908" s="399" t="s">
        <v>120</v>
      </c>
      <c r="D3908" s="673" t="s">
        <v>5093</v>
      </c>
      <c r="E3908" s="673" t="s">
        <v>5082</v>
      </c>
      <c r="F3908" s="673" t="s">
        <v>5083</v>
      </c>
      <c r="G3908" s="673"/>
      <c r="H3908" s="1232"/>
    </row>
    <row r="3909" spans="1:8" hidden="1">
      <c r="A3909" s="676" t="s">
        <v>5058</v>
      </c>
      <c r="B3909" s="399" t="s">
        <v>1756</v>
      </c>
      <c r="C3909" s="399" t="s">
        <v>120</v>
      </c>
      <c r="D3909" s="673" t="s">
        <v>5094</v>
      </c>
      <c r="E3909" s="673" t="s">
        <v>5082</v>
      </c>
      <c r="F3909" s="673" t="s">
        <v>5083</v>
      </c>
      <c r="G3909" s="673"/>
      <c r="H3909" s="1232"/>
    </row>
    <row r="3910" spans="1:8" hidden="1">
      <c r="A3910" s="676" t="s">
        <v>5058</v>
      </c>
      <c r="B3910" s="399" t="s">
        <v>1756</v>
      </c>
      <c r="C3910" s="399" t="s">
        <v>120</v>
      </c>
      <c r="D3910" s="673" t="s">
        <v>5095</v>
      </c>
      <c r="E3910" s="673" t="s">
        <v>5082</v>
      </c>
      <c r="F3910" s="673" t="s">
        <v>5083</v>
      </c>
      <c r="G3910" s="673"/>
      <c r="H3910" s="1232"/>
    </row>
    <row r="3911" spans="1:8" hidden="1">
      <c r="A3911" s="676" t="s">
        <v>5058</v>
      </c>
      <c r="B3911" s="399" t="s">
        <v>1756</v>
      </c>
      <c r="C3911" s="399" t="s">
        <v>120</v>
      </c>
      <c r="D3911" s="673" t="s">
        <v>5096</v>
      </c>
      <c r="E3911" s="673" t="s">
        <v>5082</v>
      </c>
      <c r="F3911" s="673" t="s">
        <v>5083</v>
      </c>
      <c r="G3911" s="673"/>
      <c r="H3911" s="1232"/>
    </row>
    <row r="3912" spans="1:8" hidden="1">
      <c r="A3912" s="676" t="s">
        <v>5058</v>
      </c>
      <c r="B3912" s="399" t="s">
        <v>1756</v>
      </c>
      <c r="C3912" s="399" t="s">
        <v>120</v>
      </c>
      <c r="D3912" s="673" t="s">
        <v>5097</v>
      </c>
      <c r="E3912" s="673" t="s">
        <v>5082</v>
      </c>
      <c r="F3912" s="673" t="s">
        <v>5083</v>
      </c>
      <c r="G3912" s="673"/>
      <c r="H3912" s="1232"/>
    </row>
    <row r="3913" spans="1:8" hidden="1">
      <c r="A3913" s="676" t="s">
        <v>5058</v>
      </c>
      <c r="B3913" s="399" t="s">
        <v>1756</v>
      </c>
      <c r="C3913" s="399" t="s">
        <v>120</v>
      </c>
      <c r="D3913" s="673" t="s">
        <v>5098</v>
      </c>
      <c r="E3913" s="673" t="s">
        <v>5082</v>
      </c>
      <c r="F3913" s="673" t="s">
        <v>5083</v>
      </c>
      <c r="G3913" s="673"/>
      <c r="H3913" s="1232"/>
    </row>
    <row r="3914" spans="1:8" hidden="1">
      <c r="A3914" s="676" t="s">
        <v>5058</v>
      </c>
      <c r="B3914" s="399" t="s">
        <v>1756</v>
      </c>
      <c r="C3914" s="399" t="s">
        <v>120</v>
      </c>
      <c r="D3914" s="673" t="s">
        <v>5099</v>
      </c>
      <c r="E3914" s="673" t="s">
        <v>5082</v>
      </c>
      <c r="F3914" s="673" t="s">
        <v>5083</v>
      </c>
      <c r="G3914" s="673"/>
      <c r="H3914" s="1232"/>
    </row>
    <row r="3915" spans="1:8" hidden="1">
      <c r="A3915" s="676" t="s">
        <v>5058</v>
      </c>
      <c r="B3915" s="399" t="s">
        <v>1756</v>
      </c>
      <c r="C3915" s="399" t="s">
        <v>120</v>
      </c>
      <c r="D3915" s="673" t="s">
        <v>5100</v>
      </c>
      <c r="E3915" s="673" t="s">
        <v>5101</v>
      </c>
      <c r="F3915" s="673" t="s">
        <v>5102</v>
      </c>
      <c r="G3915" s="673"/>
      <c r="H3915" s="1232"/>
    </row>
    <row r="3916" spans="1:8" hidden="1">
      <c r="A3916" s="676" t="s">
        <v>5058</v>
      </c>
      <c r="B3916" s="399" t="s">
        <v>1756</v>
      </c>
      <c r="C3916" s="399" t="s">
        <v>120</v>
      </c>
      <c r="D3916" s="673" t="s">
        <v>5103</v>
      </c>
      <c r="E3916" s="673" t="s">
        <v>5101</v>
      </c>
      <c r="F3916" s="673" t="s">
        <v>5102</v>
      </c>
      <c r="G3916" s="673"/>
      <c r="H3916" s="1232"/>
    </row>
    <row r="3917" spans="1:8" hidden="1">
      <c r="A3917" s="676" t="s">
        <v>5058</v>
      </c>
      <c r="B3917" s="399" t="s">
        <v>1756</v>
      </c>
      <c r="C3917" s="399" t="s">
        <v>120</v>
      </c>
      <c r="D3917" s="673" t="s">
        <v>5104</v>
      </c>
      <c r="E3917" s="673" t="s">
        <v>5101</v>
      </c>
      <c r="F3917" s="673" t="s">
        <v>5102</v>
      </c>
      <c r="G3917" s="673"/>
      <c r="H3917" s="1232"/>
    </row>
    <row r="3918" spans="1:8" hidden="1">
      <c r="A3918" s="676" t="s">
        <v>5058</v>
      </c>
      <c r="B3918" s="399" t="s">
        <v>1756</v>
      </c>
      <c r="C3918" s="399" t="s">
        <v>120</v>
      </c>
      <c r="D3918" s="673" t="s">
        <v>5105</v>
      </c>
      <c r="E3918" s="673" t="s">
        <v>5101</v>
      </c>
      <c r="F3918" s="673" t="s">
        <v>5102</v>
      </c>
      <c r="G3918" s="673"/>
      <c r="H3918" s="1232"/>
    </row>
    <row r="3919" spans="1:8" hidden="1">
      <c r="A3919" s="676" t="s">
        <v>5058</v>
      </c>
      <c r="B3919" s="399" t="s">
        <v>1756</v>
      </c>
      <c r="C3919" s="399" t="s">
        <v>120</v>
      </c>
      <c r="D3919" s="673" t="s">
        <v>5106</v>
      </c>
      <c r="E3919" s="673" t="s">
        <v>5101</v>
      </c>
      <c r="F3919" s="673" t="s">
        <v>5102</v>
      </c>
      <c r="G3919" s="673"/>
      <c r="H3919" s="1232"/>
    </row>
    <row r="3920" spans="1:8" hidden="1">
      <c r="A3920" s="676" t="s">
        <v>5058</v>
      </c>
      <c r="B3920" s="399" t="s">
        <v>1756</v>
      </c>
      <c r="C3920" s="399" t="s">
        <v>120</v>
      </c>
      <c r="D3920" s="673" t="s">
        <v>5107</v>
      </c>
      <c r="E3920" s="673" t="s">
        <v>5101</v>
      </c>
      <c r="F3920" s="673" t="s">
        <v>5102</v>
      </c>
      <c r="G3920" s="673"/>
      <c r="H3920" s="1232"/>
    </row>
    <row r="3921" spans="1:8" hidden="1">
      <c r="A3921" s="676" t="s">
        <v>5058</v>
      </c>
      <c r="B3921" s="399" t="s">
        <v>1756</v>
      </c>
      <c r="C3921" s="399" t="s">
        <v>120</v>
      </c>
      <c r="D3921" s="673" t="s">
        <v>5108</v>
      </c>
      <c r="E3921" s="673" t="s">
        <v>5101</v>
      </c>
      <c r="F3921" s="673" t="s">
        <v>5102</v>
      </c>
      <c r="G3921" s="673"/>
      <c r="H3921" s="1232"/>
    </row>
    <row r="3922" spans="1:8" hidden="1">
      <c r="A3922" s="676" t="s">
        <v>5058</v>
      </c>
      <c r="B3922" s="399" t="s">
        <v>1756</v>
      </c>
      <c r="C3922" s="399" t="s">
        <v>120</v>
      </c>
      <c r="D3922" s="673" t="s">
        <v>5109</v>
      </c>
      <c r="E3922" s="673" t="s">
        <v>5101</v>
      </c>
      <c r="F3922" s="673" t="s">
        <v>5102</v>
      </c>
      <c r="G3922" s="673"/>
      <c r="H3922" s="1232"/>
    </row>
    <row r="3923" spans="1:8" hidden="1">
      <c r="A3923" s="676" t="s">
        <v>5058</v>
      </c>
      <c r="B3923" s="399" t="s">
        <v>1756</v>
      </c>
      <c r="C3923" s="399" t="s">
        <v>120</v>
      </c>
      <c r="D3923" s="673" t="s">
        <v>5110</v>
      </c>
      <c r="E3923" s="673" t="s">
        <v>5101</v>
      </c>
      <c r="F3923" s="673" t="s">
        <v>5102</v>
      </c>
      <c r="G3923" s="673"/>
      <c r="H3923" s="1232"/>
    </row>
    <row r="3924" spans="1:8" hidden="1">
      <c r="A3924" s="676" t="s">
        <v>5058</v>
      </c>
      <c r="B3924" s="399" t="s">
        <v>1756</v>
      </c>
      <c r="C3924" s="399" t="s">
        <v>120</v>
      </c>
      <c r="D3924" s="673" t="s">
        <v>5111</v>
      </c>
      <c r="E3924" s="673" t="s">
        <v>5101</v>
      </c>
      <c r="F3924" s="673" t="s">
        <v>5102</v>
      </c>
      <c r="G3924" s="673"/>
      <c r="H3924" s="1232"/>
    </row>
    <row r="3925" spans="1:8" hidden="1">
      <c r="A3925" s="676" t="s">
        <v>5058</v>
      </c>
      <c r="B3925" s="399" t="s">
        <v>1756</v>
      </c>
      <c r="C3925" s="399" t="s">
        <v>120</v>
      </c>
      <c r="D3925" s="673" t="s">
        <v>5112</v>
      </c>
      <c r="E3925" s="673" t="s">
        <v>5101</v>
      </c>
      <c r="F3925" s="673" t="s">
        <v>5102</v>
      </c>
      <c r="G3925" s="673"/>
      <c r="H3925" s="1232"/>
    </row>
    <row r="3926" spans="1:8" hidden="1">
      <c r="A3926" s="676" t="s">
        <v>5058</v>
      </c>
      <c r="B3926" s="399" t="s">
        <v>1756</v>
      </c>
      <c r="C3926" s="399" t="s">
        <v>120</v>
      </c>
      <c r="D3926" s="673" t="s">
        <v>5113</v>
      </c>
      <c r="E3926" s="673" t="s">
        <v>5101</v>
      </c>
      <c r="F3926" s="673" t="s">
        <v>5102</v>
      </c>
      <c r="G3926" s="673"/>
      <c r="H3926" s="1232"/>
    </row>
    <row r="3927" spans="1:8" hidden="1">
      <c r="A3927" s="676" t="s">
        <v>5058</v>
      </c>
      <c r="B3927" s="399" t="s">
        <v>1756</v>
      </c>
      <c r="C3927" s="399" t="s">
        <v>120</v>
      </c>
      <c r="D3927" s="673" t="s">
        <v>5114</v>
      </c>
      <c r="E3927" s="673" t="s">
        <v>5101</v>
      </c>
      <c r="F3927" s="673" t="s">
        <v>5102</v>
      </c>
      <c r="G3927" s="673"/>
      <c r="H3927" s="1232"/>
    </row>
    <row r="3928" spans="1:8" hidden="1">
      <c r="A3928" s="676" t="s">
        <v>5058</v>
      </c>
      <c r="B3928" s="399" t="s">
        <v>1756</v>
      </c>
      <c r="C3928" s="399" t="s">
        <v>120</v>
      </c>
      <c r="D3928" s="673" t="s">
        <v>5115</v>
      </c>
      <c r="E3928" s="673" t="s">
        <v>5116</v>
      </c>
      <c r="F3928" s="673" t="s">
        <v>5117</v>
      </c>
      <c r="G3928" s="673"/>
      <c r="H3928" s="1232"/>
    </row>
    <row r="3929" spans="1:8" hidden="1">
      <c r="A3929" s="676" t="s">
        <v>5058</v>
      </c>
      <c r="B3929" s="399" t="s">
        <v>1756</v>
      </c>
      <c r="C3929" s="399" t="s">
        <v>120</v>
      </c>
      <c r="D3929" s="673" t="s">
        <v>5118</v>
      </c>
      <c r="E3929" s="673" t="s">
        <v>5116</v>
      </c>
      <c r="F3929" s="673" t="s">
        <v>5117</v>
      </c>
      <c r="G3929" s="673"/>
      <c r="H3929" s="1232"/>
    </row>
    <row r="3930" spans="1:8" hidden="1">
      <c r="A3930" s="676" t="s">
        <v>5058</v>
      </c>
      <c r="B3930" s="399" t="s">
        <v>1756</v>
      </c>
      <c r="C3930" s="399" t="s">
        <v>120</v>
      </c>
      <c r="D3930" s="673" t="s">
        <v>5119</v>
      </c>
      <c r="E3930" s="673" t="s">
        <v>5116</v>
      </c>
      <c r="F3930" s="673" t="s">
        <v>5117</v>
      </c>
      <c r="G3930" s="673"/>
      <c r="H3930" s="1232"/>
    </row>
    <row r="3931" spans="1:8" hidden="1">
      <c r="A3931" s="676" t="s">
        <v>5058</v>
      </c>
      <c r="B3931" s="399" t="s">
        <v>1756</v>
      </c>
      <c r="C3931" s="399" t="s">
        <v>120</v>
      </c>
      <c r="D3931" s="673" t="s">
        <v>5120</v>
      </c>
      <c r="E3931" s="673" t="s">
        <v>5116</v>
      </c>
      <c r="F3931" s="673" t="s">
        <v>5117</v>
      </c>
      <c r="G3931" s="673"/>
      <c r="H3931" s="1232"/>
    </row>
    <row r="3932" spans="1:8" hidden="1">
      <c r="A3932" s="676" t="s">
        <v>5058</v>
      </c>
      <c r="B3932" s="399" t="s">
        <v>1756</v>
      </c>
      <c r="C3932" s="399" t="s">
        <v>120</v>
      </c>
      <c r="D3932" s="673" t="s">
        <v>5121</v>
      </c>
      <c r="E3932" s="673" t="s">
        <v>5116</v>
      </c>
      <c r="F3932" s="673" t="s">
        <v>5117</v>
      </c>
      <c r="G3932" s="673"/>
      <c r="H3932" s="1232"/>
    </row>
    <row r="3933" spans="1:8" hidden="1">
      <c r="A3933" s="676" t="s">
        <v>5058</v>
      </c>
      <c r="B3933" s="399" t="s">
        <v>1756</v>
      </c>
      <c r="C3933" s="399" t="s">
        <v>120</v>
      </c>
      <c r="D3933" s="673" t="s">
        <v>5122</v>
      </c>
      <c r="E3933" s="673" t="s">
        <v>5116</v>
      </c>
      <c r="F3933" s="673" t="s">
        <v>5117</v>
      </c>
      <c r="G3933" s="673"/>
      <c r="H3933" s="1232"/>
    </row>
    <row r="3934" spans="1:8" hidden="1">
      <c r="A3934" s="676" t="s">
        <v>5058</v>
      </c>
      <c r="B3934" s="399" t="s">
        <v>1756</v>
      </c>
      <c r="C3934" s="399" t="s">
        <v>120</v>
      </c>
      <c r="D3934" s="673" t="s">
        <v>5123</v>
      </c>
      <c r="E3934" s="673" t="s">
        <v>5116</v>
      </c>
      <c r="F3934" s="673" t="s">
        <v>5117</v>
      </c>
      <c r="G3934" s="673"/>
      <c r="H3934" s="1232"/>
    </row>
    <row r="3935" spans="1:8" hidden="1">
      <c r="A3935" s="676" t="s">
        <v>5058</v>
      </c>
      <c r="B3935" s="399" t="s">
        <v>1756</v>
      </c>
      <c r="C3935" s="399" t="s">
        <v>120</v>
      </c>
      <c r="D3935" s="673" t="s">
        <v>5124</v>
      </c>
      <c r="E3935" s="673" t="s">
        <v>5125</v>
      </c>
      <c r="F3935" s="673" t="s">
        <v>5126</v>
      </c>
      <c r="G3935" s="673"/>
      <c r="H3935" s="1232"/>
    </row>
    <row r="3936" spans="1:8" hidden="1">
      <c r="A3936" s="676" t="s">
        <v>5058</v>
      </c>
      <c r="B3936" s="399" t="s">
        <v>1756</v>
      </c>
      <c r="C3936" s="399" t="s">
        <v>120</v>
      </c>
      <c r="D3936" s="673" t="s">
        <v>5127</v>
      </c>
      <c r="E3936" s="673" t="s">
        <v>5125</v>
      </c>
      <c r="F3936" s="673" t="s">
        <v>5126</v>
      </c>
      <c r="G3936" s="673"/>
      <c r="H3936" s="1232"/>
    </row>
    <row r="3937" spans="1:8" hidden="1">
      <c r="A3937" s="676" t="s">
        <v>5058</v>
      </c>
      <c r="B3937" s="399" t="s">
        <v>1756</v>
      </c>
      <c r="C3937" s="399" t="s">
        <v>120</v>
      </c>
      <c r="D3937" s="673" t="s">
        <v>5128</v>
      </c>
      <c r="E3937" s="673" t="s">
        <v>5125</v>
      </c>
      <c r="F3937" s="673" t="s">
        <v>5126</v>
      </c>
      <c r="G3937" s="673"/>
      <c r="H3937" s="1232"/>
    </row>
    <row r="3938" spans="1:8" hidden="1">
      <c r="A3938" s="676" t="s">
        <v>5058</v>
      </c>
      <c r="B3938" s="399" t="s">
        <v>1756</v>
      </c>
      <c r="C3938" s="399" t="s">
        <v>120</v>
      </c>
      <c r="D3938" s="673" t="s">
        <v>5129</v>
      </c>
      <c r="E3938" s="673" t="s">
        <v>5130</v>
      </c>
      <c r="F3938" s="673" t="s">
        <v>5131</v>
      </c>
      <c r="G3938" s="673"/>
      <c r="H3938" s="1232"/>
    </row>
    <row r="3939" spans="1:8" hidden="1">
      <c r="A3939" s="676" t="s">
        <v>5058</v>
      </c>
      <c r="B3939" s="399" t="s">
        <v>1756</v>
      </c>
      <c r="C3939" s="399" t="s">
        <v>120</v>
      </c>
      <c r="D3939" s="673" t="s">
        <v>5132</v>
      </c>
      <c r="E3939" s="673" t="s">
        <v>5133</v>
      </c>
      <c r="F3939" s="673" t="s">
        <v>5134</v>
      </c>
      <c r="G3939" s="673"/>
      <c r="H3939" s="1232"/>
    </row>
    <row r="3940" spans="1:8" hidden="1">
      <c r="A3940" s="676" t="s">
        <v>5058</v>
      </c>
      <c r="B3940" s="399" t="s">
        <v>1756</v>
      </c>
      <c r="C3940" s="399" t="s">
        <v>120</v>
      </c>
      <c r="D3940" s="673" t="s">
        <v>5135</v>
      </c>
      <c r="E3940" s="673" t="s">
        <v>5136</v>
      </c>
      <c r="F3940" s="673" t="s">
        <v>5137</v>
      </c>
      <c r="G3940" s="673"/>
      <c r="H3940" s="1232"/>
    </row>
    <row r="3941" spans="1:8" hidden="1">
      <c r="A3941" s="676" t="s">
        <v>5058</v>
      </c>
      <c r="B3941" s="399" t="s">
        <v>1756</v>
      </c>
      <c r="C3941" s="399" t="s">
        <v>120</v>
      </c>
      <c r="D3941" s="673" t="s">
        <v>5138</v>
      </c>
      <c r="E3941" s="673" t="s">
        <v>5136</v>
      </c>
      <c r="F3941" s="673" t="s">
        <v>5137</v>
      </c>
      <c r="G3941" s="673"/>
      <c r="H3941" s="1232"/>
    </row>
    <row r="3942" spans="1:8" hidden="1">
      <c r="A3942" s="676" t="s">
        <v>5058</v>
      </c>
      <c r="B3942" s="399" t="s">
        <v>1756</v>
      </c>
      <c r="C3942" s="399" t="s">
        <v>120</v>
      </c>
      <c r="D3942" s="673" t="s">
        <v>5139</v>
      </c>
      <c r="E3942" s="673" t="s">
        <v>5136</v>
      </c>
      <c r="F3942" s="673" t="s">
        <v>5137</v>
      </c>
      <c r="G3942" s="673"/>
      <c r="H3942" s="1232"/>
    </row>
    <row r="3943" spans="1:8" hidden="1">
      <c r="A3943" s="676" t="s">
        <v>5058</v>
      </c>
      <c r="B3943" s="399" t="s">
        <v>1756</v>
      </c>
      <c r="C3943" s="399" t="s">
        <v>120</v>
      </c>
      <c r="D3943" s="673" t="s">
        <v>5140</v>
      </c>
      <c r="E3943" s="673" t="s">
        <v>5136</v>
      </c>
      <c r="F3943" s="673" t="s">
        <v>5137</v>
      </c>
      <c r="G3943" s="673"/>
      <c r="H3943" s="1232"/>
    </row>
    <row r="3944" spans="1:8" hidden="1">
      <c r="A3944" s="676" t="s">
        <v>5058</v>
      </c>
      <c r="B3944" s="399" t="s">
        <v>1756</v>
      </c>
      <c r="C3944" s="399" t="s">
        <v>120</v>
      </c>
      <c r="D3944" s="673" t="s">
        <v>5141</v>
      </c>
      <c r="E3944" s="673" t="s">
        <v>5136</v>
      </c>
      <c r="F3944" s="673" t="s">
        <v>5137</v>
      </c>
      <c r="G3944" s="673"/>
      <c r="H3944" s="1232"/>
    </row>
    <row r="3945" spans="1:8" hidden="1">
      <c r="A3945" s="676" t="s">
        <v>5058</v>
      </c>
      <c r="B3945" s="399" t="s">
        <v>1756</v>
      </c>
      <c r="C3945" s="399" t="s">
        <v>120</v>
      </c>
      <c r="D3945" s="673" t="s">
        <v>5142</v>
      </c>
      <c r="E3945" s="673" t="s">
        <v>5143</v>
      </c>
      <c r="F3945" s="673" t="s">
        <v>5144</v>
      </c>
      <c r="G3945" s="673"/>
      <c r="H3945" s="1232"/>
    </row>
    <row r="3946" spans="1:8" hidden="1">
      <c r="A3946" s="676" t="s">
        <v>5058</v>
      </c>
      <c r="B3946" s="399" t="s">
        <v>1756</v>
      </c>
      <c r="C3946" s="399" t="s">
        <v>120</v>
      </c>
      <c r="D3946" s="673" t="s">
        <v>5145</v>
      </c>
      <c r="E3946" s="673" t="s">
        <v>5143</v>
      </c>
      <c r="F3946" s="673" t="s">
        <v>5144</v>
      </c>
      <c r="G3946" s="673"/>
      <c r="H3946" s="1232"/>
    </row>
    <row r="3947" spans="1:8" hidden="1">
      <c r="A3947" s="676" t="s">
        <v>5058</v>
      </c>
      <c r="B3947" s="399" t="s">
        <v>1756</v>
      </c>
      <c r="C3947" s="399" t="s">
        <v>120</v>
      </c>
      <c r="D3947" s="673" t="s">
        <v>5146</v>
      </c>
      <c r="E3947" s="673" t="s">
        <v>5143</v>
      </c>
      <c r="F3947" s="673" t="s">
        <v>5144</v>
      </c>
      <c r="G3947" s="673"/>
      <c r="H3947" s="1232"/>
    </row>
    <row r="3948" spans="1:8" hidden="1">
      <c r="A3948" s="676" t="s">
        <v>5058</v>
      </c>
      <c r="B3948" s="399" t="s">
        <v>1756</v>
      </c>
      <c r="C3948" s="399" t="s">
        <v>120</v>
      </c>
      <c r="D3948" s="673" t="s">
        <v>5147</v>
      </c>
      <c r="E3948" s="673" t="s">
        <v>5143</v>
      </c>
      <c r="F3948" s="673" t="s">
        <v>5144</v>
      </c>
      <c r="G3948" s="673"/>
      <c r="H3948" s="1232"/>
    </row>
    <row r="3949" spans="1:8" hidden="1">
      <c r="A3949" s="676" t="s">
        <v>5058</v>
      </c>
      <c r="B3949" s="399" t="s">
        <v>1756</v>
      </c>
      <c r="C3949" s="399" t="s">
        <v>120</v>
      </c>
      <c r="D3949" s="673" t="s">
        <v>5148</v>
      </c>
      <c r="E3949" s="673" t="s">
        <v>5143</v>
      </c>
      <c r="F3949" s="673" t="s">
        <v>5144</v>
      </c>
      <c r="G3949" s="673"/>
      <c r="H3949" s="1232"/>
    </row>
    <row r="3950" spans="1:8" hidden="1">
      <c r="A3950" s="676" t="s">
        <v>5058</v>
      </c>
      <c r="B3950" s="399" t="s">
        <v>1756</v>
      </c>
      <c r="C3950" s="399" t="s">
        <v>120</v>
      </c>
      <c r="D3950" s="673" t="s">
        <v>5149</v>
      </c>
      <c r="E3950" s="673" t="s">
        <v>5143</v>
      </c>
      <c r="F3950" s="673" t="s">
        <v>5144</v>
      </c>
      <c r="G3950" s="673"/>
      <c r="H3950" s="1232"/>
    </row>
    <row r="3951" spans="1:8" hidden="1">
      <c r="A3951" s="676" t="s">
        <v>5058</v>
      </c>
      <c r="B3951" s="399" t="s">
        <v>1756</v>
      </c>
      <c r="C3951" s="399" t="s">
        <v>120</v>
      </c>
      <c r="D3951" s="673" t="s">
        <v>5150</v>
      </c>
      <c r="E3951" s="673" t="s">
        <v>5143</v>
      </c>
      <c r="F3951" s="673" t="s">
        <v>5144</v>
      </c>
      <c r="G3951" s="673"/>
      <c r="H3951" s="1232"/>
    </row>
    <row r="3952" spans="1:8" hidden="1">
      <c r="A3952" s="676" t="s">
        <v>5058</v>
      </c>
      <c r="B3952" s="399" t="s">
        <v>1756</v>
      </c>
      <c r="C3952" s="399" t="s">
        <v>120</v>
      </c>
      <c r="D3952" s="673" t="s">
        <v>5151</v>
      </c>
      <c r="E3952" s="673" t="s">
        <v>5152</v>
      </c>
      <c r="F3952" s="673" t="s">
        <v>5153</v>
      </c>
      <c r="G3952" s="673"/>
      <c r="H3952" s="1232"/>
    </row>
    <row r="3953" spans="1:8" hidden="1">
      <c r="A3953" s="676" t="s">
        <v>5058</v>
      </c>
      <c r="B3953" s="399" t="s">
        <v>1756</v>
      </c>
      <c r="C3953" s="399" t="s">
        <v>120</v>
      </c>
      <c r="D3953" s="673" t="s">
        <v>5154</v>
      </c>
      <c r="E3953" s="673" t="s">
        <v>5152</v>
      </c>
      <c r="F3953" s="673" t="s">
        <v>5153</v>
      </c>
      <c r="G3953" s="673"/>
      <c r="H3953" s="1232"/>
    </row>
    <row r="3954" spans="1:8" hidden="1">
      <c r="A3954" s="676" t="s">
        <v>5058</v>
      </c>
      <c r="B3954" s="399" t="s">
        <v>1756</v>
      </c>
      <c r="C3954" s="399" t="s">
        <v>120</v>
      </c>
      <c r="D3954" s="673" t="s">
        <v>5155</v>
      </c>
      <c r="E3954" s="673" t="s">
        <v>5152</v>
      </c>
      <c r="F3954" s="673" t="s">
        <v>5153</v>
      </c>
      <c r="G3954" s="673"/>
      <c r="H3954" s="1232"/>
    </row>
    <row r="3955" spans="1:8" hidden="1">
      <c r="A3955" s="676" t="s">
        <v>5058</v>
      </c>
      <c r="B3955" s="399" t="s">
        <v>1756</v>
      </c>
      <c r="C3955" s="399" t="s">
        <v>120</v>
      </c>
      <c r="D3955" s="673" t="s">
        <v>5156</v>
      </c>
      <c r="E3955" s="673" t="s">
        <v>5152</v>
      </c>
      <c r="F3955" s="673" t="s">
        <v>5153</v>
      </c>
      <c r="G3955" s="673"/>
      <c r="H3955" s="1232"/>
    </row>
    <row r="3956" spans="1:8" hidden="1">
      <c r="A3956" s="676" t="s">
        <v>5058</v>
      </c>
      <c r="B3956" s="399" t="s">
        <v>1756</v>
      </c>
      <c r="C3956" s="399" t="s">
        <v>120</v>
      </c>
      <c r="D3956" s="673" t="s">
        <v>5157</v>
      </c>
      <c r="E3956" s="673" t="s">
        <v>5152</v>
      </c>
      <c r="F3956" s="673" t="s">
        <v>5153</v>
      </c>
      <c r="G3956" s="673"/>
      <c r="H3956" s="1232"/>
    </row>
    <row r="3957" spans="1:8" hidden="1">
      <c r="A3957" s="676" t="s">
        <v>5058</v>
      </c>
      <c r="B3957" s="399" t="s">
        <v>1756</v>
      </c>
      <c r="C3957" s="399" t="s">
        <v>120</v>
      </c>
      <c r="D3957" s="673" t="s">
        <v>5158</v>
      </c>
      <c r="E3957" s="673" t="s">
        <v>5152</v>
      </c>
      <c r="F3957" s="673" t="s">
        <v>5153</v>
      </c>
      <c r="G3957" s="673"/>
      <c r="H3957" s="1232"/>
    </row>
    <row r="3958" spans="1:8" hidden="1">
      <c r="A3958" s="676" t="s">
        <v>5058</v>
      </c>
      <c r="B3958" s="399" t="s">
        <v>1756</v>
      </c>
      <c r="C3958" s="399" t="s">
        <v>120</v>
      </c>
      <c r="D3958" s="673" t="s">
        <v>5159</v>
      </c>
      <c r="E3958" s="673" t="s">
        <v>5152</v>
      </c>
      <c r="F3958" s="673" t="s">
        <v>5153</v>
      </c>
      <c r="G3958" s="673"/>
      <c r="H3958" s="1232"/>
    </row>
    <row r="3959" spans="1:8" hidden="1">
      <c r="A3959" s="676" t="s">
        <v>5058</v>
      </c>
      <c r="B3959" s="399" t="s">
        <v>1756</v>
      </c>
      <c r="C3959" s="399" t="s">
        <v>120</v>
      </c>
      <c r="D3959" s="673" t="s">
        <v>5160</v>
      </c>
      <c r="E3959" s="673" t="s">
        <v>5152</v>
      </c>
      <c r="F3959" s="673" t="s">
        <v>5153</v>
      </c>
      <c r="G3959" s="673"/>
      <c r="H3959" s="1232"/>
    </row>
    <row r="3960" spans="1:8" hidden="1">
      <c r="A3960" s="676" t="s">
        <v>5058</v>
      </c>
      <c r="B3960" s="399" t="s">
        <v>1756</v>
      </c>
      <c r="C3960" s="399" t="s">
        <v>120</v>
      </c>
      <c r="D3960" s="673" t="s">
        <v>5161</v>
      </c>
      <c r="E3960" s="673" t="s">
        <v>5152</v>
      </c>
      <c r="F3960" s="673" t="s">
        <v>5153</v>
      </c>
      <c r="G3960" s="673"/>
      <c r="H3960" s="1232"/>
    </row>
    <row r="3961" spans="1:8" hidden="1">
      <c r="A3961" s="676" t="s">
        <v>5058</v>
      </c>
      <c r="B3961" s="399" t="s">
        <v>1756</v>
      </c>
      <c r="C3961" s="399" t="s">
        <v>120</v>
      </c>
      <c r="D3961" s="673" t="s">
        <v>5162</v>
      </c>
      <c r="E3961" s="673" t="s">
        <v>5152</v>
      </c>
      <c r="F3961" s="673" t="s">
        <v>5153</v>
      </c>
      <c r="G3961" s="673"/>
      <c r="H3961" s="1232"/>
    </row>
    <row r="3962" spans="1:8" hidden="1">
      <c r="A3962" s="676" t="s">
        <v>5058</v>
      </c>
      <c r="B3962" s="399" t="s">
        <v>1756</v>
      </c>
      <c r="C3962" s="399" t="s">
        <v>120</v>
      </c>
      <c r="D3962" s="673" t="s">
        <v>5163</v>
      </c>
      <c r="E3962" s="673" t="s">
        <v>5164</v>
      </c>
      <c r="F3962" s="673" t="s">
        <v>5165</v>
      </c>
      <c r="G3962" s="673"/>
      <c r="H3962" s="1232"/>
    </row>
    <row r="3963" spans="1:8" hidden="1">
      <c r="A3963" s="676" t="s">
        <v>5058</v>
      </c>
      <c r="B3963" s="399" t="s">
        <v>1756</v>
      </c>
      <c r="C3963" s="399" t="s">
        <v>120</v>
      </c>
      <c r="D3963" s="673" t="s">
        <v>5166</v>
      </c>
      <c r="E3963" s="673" t="s">
        <v>5167</v>
      </c>
      <c r="F3963" s="673" t="s">
        <v>2225</v>
      </c>
      <c r="G3963" s="673"/>
      <c r="H3963" s="1232"/>
    </row>
    <row r="3964" spans="1:8" hidden="1">
      <c r="A3964" s="676" t="s">
        <v>5058</v>
      </c>
      <c r="B3964" s="399" t="s">
        <v>1756</v>
      </c>
      <c r="C3964" s="399" t="s">
        <v>120</v>
      </c>
      <c r="D3964" s="673" t="s">
        <v>5168</v>
      </c>
      <c r="E3964" s="673" t="s">
        <v>5167</v>
      </c>
      <c r="F3964" s="673" t="s">
        <v>2225</v>
      </c>
      <c r="G3964" s="673"/>
      <c r="H3964" s="1232"/>
    </row>
    <row r="3965" spans="1:8" hidden="1">
      <c r="A3965" s="676" t="s">
        <v>5058</v>
      </c>
      <c r="B3965" s="399" t="s">
        <v>1756</v>
      </c>
      <c r="C3965" s="399" t="s">
        <v>120</v>
      </c>
      <c r="D3965" s="673" t="s">
        <v>5169</v>
      </c>
      <c r="E3965" s="673" t="s">
        <v>5167</v>
      </c>
      <c r="F3965" s="673" t="s">
        <v>2225</v>
      </c>
      <c r="G3965" s="673"/>
      <c r="H3965" s="1232"/>
    </row>
    <row r="3966" spans="1:8" hidden="1">
      <c r="A3966" s="676" t="s">
        <v>5058</v>
      </c>
      <c r="B3966" s="399" t="s">
        <v>1756</v>
      </c>
      <c r="C3966" s="399" t="s">
        <v>120</v>
      </c>
      <c r="D3966" s="673" t="s">
        <v>5170</v>
      </c>
      <c r="E3966" s="673" t="s">
        <v>5167</v>
      </c>
      <c r="F3966" s="673" t="s">
        <v>2225</v>
      </c>
      <c r="G3966" s="673"/>
      <c r="H3966" s="1232"/>
    </row>
    <row r="3967" spans="1:8" hidden="1">
      <c r="A3967" s="676" t="s">
        <v>5058</v>
      </c>
      <c r="B3967" s="399" t="s">
        <v>1756</v>
      </c>
      <c r="C3967" s="399" t="s">
        <v>120</v>
      </c>
      <c r="D3967" s="673" t="s">
        <v>5171</v>
      </c>
      <c r="E3967" s="673" t="s">
        <v>5167</v>
      </c>
      <c r="F3967" s="673" t="s">
        <v>2225</v>
      </c>
      <c r="G3967" s="673"/>
      <c r="H3967" s="1232"/>
    </row>
    <row r="3968" spans="1:8" hidden="1">
      <c r="A3968" s="676" t="s">
        <v>5058</v>
      </c>
      <c r="B3968" s="399" t="s">
        <v>1756</v>
      </c>
      <c r="C3968" s="399" t="s">
        <v>120</v>
      </c>
      <c r="D3968" s="673" t="s">
        <v>5172</v>
      </c>
      <c r="E3968" s="673" t="s">
        <v>5167</v>
      </c>
      <c r="F3968" s="673" t="s">
        <v>2225</v>
      </c>
      <c r="G3968" s="673"/>
      <c r="H3968" s="1232"/>
    </row>
    <row r="3969" spans="1:8" hidden="1">
      <c r="A3969" s="676" t="s">
        <v>5058</v>
      </c>
      <c r="B3969" s="399" t="s">
        <v>1756</v>
      </c>
      <c r="C3969" s="399" t="s">
        <v>120</v>
      </c>
      <c r="D3969" s="673" t="s">
        <v>5173</v>
      </c>
      <c r="E3969" s="673" t="s">
        <v>5167</v>
      </c>
      <c r="F3969" s="673" t="s">
        <v>2225</v>
      </c>
      <c r="G3969" s="673"/>
      <c r="H3969" s="1232"/>
    </row>
    <row r="3970" spans="1:8" hidden="1">
      <c r="A3970" s="676" t="s">
        <v>5058</v>
      </c>
      <c r="B3970" s="399" t="s">
        <v>1756</v>
      </c>
      <c r="C3970" s="399" t="s">
        <v>120</v>
      </c>
      <c r="D3970" s="673" t="s">
        <v>5174</v>
      </c>
      <c r="E3970" s="673" t="s">
        <v>5167</v>
      </c>
      <c r="F3970" s="673" t="s">
        <v>2225</v>
      </c>
      <c r="G3970" s="673"/>
      <c r="H3970" s="1232"/>
    </row>
    <row r="3971" spans="1:8" hidden="1">
      <c r="A3971" s="676" t="s">
        <v>5058</v>
      </c>
      <c r="B3971" s="399" t="s">
        <v>1756</v>
      </c>
      <c r="C3971" s="399" t="s">
        <v>120</v>
      </c>
      <c r="D3971" s="673" t="s">
        <v>5175</v>
      </c>
      <c r="E3971" s="673" t="s">
        <v>5176</v>
      </c>
      <c r="F3971" s="673" t="s">
        <v>5177</v>
      </c>
      <c r="G3971" s="673"/>
      <c r="H3971" s="1232"/>
    </row>
    <row r="3972" spans="1:8" hidden="1">
      <c r="A3972" s="676" t="s">
        <v>5058</v>
      </c>
      <c r="B3972" s="399" t="s">
        <v>1756</v>
      </c>
      <c r="C3972" s="399" t="s">
        <v>120</v>
      </c>
      <c r="D3972" s="673" t="s">
        <v>5178</v>
      </c>
      <c r="E3972" s="673" t="s">
        <v>5167</v>
      </c>
      <c r="F3972" s="673" t="s">
        <v>2225</v>
      </c>
      <c r="G3972" s="673"/>
      <c r="H3972" s="1232"/>
    </row>
    <row r="3973" spans="1:8" hidden="1">
      <c r="A3973" s="676" t="s">
        <v>5058</v>
      </c>
      <c r="B3973" s="399" t="s">
        <v>1756</v>
      </c>
      <c r="C3973" s="399" t="s">
        <v>120</v>
      </c>
      <c r="D3973" s="673" t="s">
        <v>5179</v>
      </c>
      <c r="E3973" s="673" t="s">
        <v>5060</v>
      </c>
      <c r="F3973" s="673" t="s">
        <v>2223</v>
      </c>
      <c r="G3973" s="673"/>
      <c r="H3973" s="1232"/>
    </row>
    <row r="3974" spans="1:8" hidden="1">
      <c r="A3974" s="676" t="s">
        <v>5058</v>
      </c>
      <c r="B3974" s="399" t="s">
        <v>1756</v>
      </c>
      <c r="C3974" s="399" t="s">
        <v>120</v>
      </c>
      <c r="D3974" s="673" t="s">
        <v>5180</v>
      </c>
      <c r="E3974" s="673" t="s">
        <v>5063</v>
      </c>
      <c r="F3974" s="673" t="s">
        <v>5064</v>
      </c>
      <c r="G3974" s="673"/>
      <c r="H3974" s="1232"/>
    </row>
    <row r="3975" spans="1:8" hidden="1">
      <c r="A3975" s="676" t="s">
        <v>5058</v>
      </c>
      <c r="B3975" s="399" t="s">
        <v>1756</v>
      </c>
      <c r="C3975" s="399" t="s">
        <v>120</v>
      </c>
      <c r="D3975" s="673" t="s">
        <v>5181</v>
      </c>
      <c r="E3975" s="673" t="s">
        <v>5066</v>
      </c>
      <c r="F3975" s="673" t="s">
        <v>5067</v>
      </c>
      <c r="G3975" s="673"/>
      <c r="H3975" s="1232"/>
    </row>
    <row r="3976" spans="1:8" hidden="1">
      <c r="A3976" s="676" t="s">
        <v>5058</v>
      </c>
      <c r="B3976" s="399" t="s">
        <v>1756</v>
      </c>
      <c r="C3976" s="399" t="s">
        <v>120</v>
      </c>
      <c r="D3976" s="673" t="s">
        <v>5182</v>
      </c>
      <c r="E3976" s="673" t="s">
        <v>5066</v>
      </c>
      <c r="F3976" s="673" t="s">
        <v>5067</v>
      </c>
      <c r="G3976" s="673"/>
      <c r="H3976" s="1232"/>
    </row>
    <row r="3977" spans="1:8" hidden="1">
      <c r="A3977" s="676" t="s">
        <v>5058</v>
      </c>
      <c r="B3977" s="399" t="s">
        <v>1756</v>
      </c>
      <c r="C3977" s="399" t="s">
        <v>120</v>
      </c>
      <c r="D3977" s="673" t="s">
        <v>5183</v>
      </c>
      <c r="E3977" s="673" t="s">
        <v>5066</v>
      </c>
      <c r="F3977" s="673" t="s">
        <v>5067</v>
      </c>
      <c r="G3977" s="673"/>
      <c r="H3977" s="1232"/>
    </row>
    <row r="3978" spans="1:8" hidden="1">
      <c r="A3978" s="676" t="s">
        <v>5058</v>
      </c>
      <c r="B3978" s="399" t="s">
        <v>1756</v>
      </c>
      <c r="C3978" s="399" t="s">
        <v>120</v>
      </c>
      <c r="D3978" s="673" t="s">
        <v>5184</v>
      </c>
      <c r="E3978" s="673" t="s">
        <v>5066</v>
      </c>
      <c r="F3978" s="673" t="s">
        <v>5067</v>
      </c>
      <c r="G3978" s="673"/>
      <c r="H3978" s="1232"/>
    </row>
    <row r="3979" spans="1:8" hidden="1">
      <c r="A3979" s="676" t="s">
        <v>5058</v>
      </c>
      <c r="B3979" s="399" t="s">
        <v>1756</v>
      </c>
      <c r="C3979" s="399" t="s">
        <v>120</v>
      </c>
      <c r="D3979" s="673" t="s">
        <v>5185</v>
      </c>
      <c r="E3979" s="673" t="s">
        <v>5073</v>
      </c>
      <c r="F3979" s="673" t="s">
        <v>5074</v>
      </c>
      <c r="G3979" s="673"/>
      <c r="H3979" s="1232"/>
    </row>
    <row r="3980" spans="1:8" hidden="1">
      <c r="A3980" s="676" t="s">
        <v>5058</v>
      </c>
      <c r="B3980" s="399" t="s">
        <v>1756</v>
      </c>
      <c r="C3980" s="399" t="s">
        <v>120</v>
      </c>
      <c r="D3980" s="673" t="s">
        <v>5186</v>
      </c>
      <c r="E3980" s="673" t="s">
        <v>5073</v>
      </c>
      <c r="F3980" s="673" t="s">
        <v>5074</v>
      </c>
      <c r="G3980" s="673"/>
      <c r="H3980" s="1232"/>
    </row>
    <row r="3981" spans="1:8" hidden="1">
      <c r="A3981" s="676" t="s">
        <v>5058</v>
      </c>
      <c r="B3981" s="399" t="s">
        <v>1756</v>
      </c>
      <c r="C3981" s="399" t="s">
        <v>120</v>
      </c>
      <c r="D3981" s="673" t="s">
        <v>5187</v>
      </c>
      <c r="E3981" s="673" t="s">
        <v>5073</v>
      </c>
      <c r="F3981" s="673" t="s">
        <v>5074</v>
      </c>
      <c r="G3981" s="673"/>
      <c r="H3981" s="1232"/>
    </row>
    <row r="3982" spans="1:8" hidden="1">
      <c r="A3982" s="676" t="s">
        <v>5058</v>
      </c>
      <c r="B3982" s="399" t="s">
        <v>1756</v>
      </c>
      <c r="C3982" s="399" t="s">
        <v>120</v>
      </c>
      <c r="D3982" s="673" t="s">
        <v>5188</v>
      </c>
      <c r="E3982" s="673" t="s">
        <v>5076</v>
      </c>
      <c r="F3982" s="673" t="s">
        <v>5077</v>
      </c>
      <c r="G3982" s="673"/>
      <c r="H3982" s="1232"/>
    </row>
    <row r="3983" spans="1:8" hidden="1">
      <c r="A3983" s="676" t="s">
        <v>5058</v>
      </c>
      <c r="B3983" s="399" t="s">
        <v>1756</v>
      </c>
      <c r="C3983" s="399" t="s">
        <v>120</v>
      </c>
      <c r="D3983" s="673" t="s">
        <v>5189</v>
      </c>
      <c r="E3983" s="673" t="s">
        <v>5082</v>
      </c>
      <c r="F3983" s="673" t="s">
        <v>5083</v>
      </c>
      <c r="G3983" s="673"/>
      <c r="H3983" s="1232"/>
    </row>
    <row r="3984" spans="1:8" hidden="1">
      <c r="A3984" s="676" t="s">
        <v>5058</v>
      </c>
      <c r="B3984" s="399" t="s">
        <v>1756</v>
      </c>
      <c r="C3984" s="399" t="s">
        <v>120</v>
      </c>
      <c r="D3984" s="673" t="s">
        <v>5190</v>
      </c>
      <c r="E3984" s="673" t="s">
        <v>5082</v>
      </c>
      <c r="F3984" s="673" t="s">
        <v>5083</v>
      </c>
      <c r="G3984" s="673"/>
      <c r="H3984" s="1232"/>
    </row>
    <row r="3985" spans="1:8" hidden="1">
      <c r="A3985" s="676" t="s">
        <v>5058</v>
      </c>
      <c r="B3985" s="399" t="s">
        <v>1756</v>
      </c>
      <c r="C3985" s="399" t="s">
        <v>120</v>
      </c>
      <c r="D3985" s="673" t="s">
        <v>5191</v>
      </c>
      <c r="E3985" s="673" t="s">
        <v>5082</v>
      </c>
      <c r="F3985" s="673" t="s">
        <v>5083</v>
      </c>
      <c r="G3985" s="673"/>
      <c r="H3985" s="1232"/>
    </row>
    <row r="3986" spans="1:8" hidden="1">
      <c r="A3986" s="676" t="s">
        <v>5058</v>
      </c>
      <c r="B3986" s="399" t="s">
        <v>1756</v>
      </c>
      <c r="C3986" s="399" t="s">
        <v>120</v>
      </c>
      <c r="D3986" s="673" t="s">
        <v>5192</v>
      </c>
      <c r="E3986" s="673" t="s">
        <v>5082</v>
      </c>
      <c r="F3986" s="673" t="s">
        <v>5083</v>
      </c>
      <c r="G3986" s="673"/>
      <c r="H3986" s="1232"/>
    </row>
    <row r="3987" spans="1:8" hidden="1">
      <c r="A3987" s="676" t="s">
        <v>5058</v>
      </c>
      <c r="B3987" s="399" t="s">
        <v>1756</v>
      </c>
      <c r="C3987" s="399" t="s">
        <v>120</v>
      </c>
      <c r="D3987" s="673" t="s">
        <v>5193</v>
      </c>
      <c r="E3987" s="673" t="s">
        <v>5082</v>
      </c>
      <c r="F3987" s="673" t="s">
        <v>5083</v>
      </c>
      <c r="G3987" s="673"/>
      <c r="H3987" s="1232"/>
    </row>
    <row r="3988" spans="1:8" hidden="1">
      <c r="A3988" s="676" t="s">
        <v>5058</v>
      </c>
      <c r="B3988" s="399" t="s">
        <v>1756</v>
      </c>
      <c r="C3988" s="399" t="s">
        <v>120</v>
      </c>
      <c r="D3988" s="673" t="s">
        <v>5194</v>
      </c>
      <c r="E3988" s="673" t="s">
        <v>5082</v>
      </c>
      <c r="F3988" s="673" t="s">
        <v>5083</v>
      </c>
      <c r="G3988" s="673"/>
      <c r="H3988" s="1232"/>
    </row>
    <row r="3989" spans="1:8" hidden="1">
      <c r="A3989" s="676" t="s">
        <v>5058</v>
      </c>
      <c r="B3989" s="399" t="s">
        <v>1756</v>
      </c>
      <c r="C3989" s="399" t="s">
        <v>120</v>
      </c>
      <c r="D3989" s="673" t="s">
        <v>5195</v>
      </c>
      <c r="E3989" s="673" t="s">
        <v>5101</v>
      </c>
      <c r="F3989" s="673" t="s">
        <v>5102</v>
      </c>
      <c r="G3989" s="673"/>
      <c r="H3989" s="1232"/>
    </row>
    <row r="3990" spans="1:8" hidden="1">
      <c r="A3990" s="676" t="s">
        <v>5058</v>
      </c>
      <c r="B3990" s="399" t="s">
        <v>1756</v>
      </c>
      <c r="C3990" s="399" t="s">
        <v>120</v>
      </c>
      <c r="D3990" s="673" t="s">
        <v>5196</v>
      </c>
      <c r="E3990" s="673" t="s">
        <v>5116</v>
      </c>
      <c r="F3990" s="673" t="s">
        <v>5117</v>
      </c>
      <c r="G3990" s="673"/>
      <c r="H3990" s="1232"/>
    </row>
    <row r="3991" spans="1:8" hidden="1">
      <c r="A3991" s="676" t="s">
        <v>5058</v>
      </c>
      <c r="B3991" s="399" t="s">
        <v>1756</v>
      </c>
      <c r="C3991" s="399" t="s">
        <v>120</v>
      </c>
      <c r="D3991" s="673" t="s">
        <v>5197</v>
      </c>
      <c r="E3991" s="673" t="s">
        <v>5125</v>
      </c>
      <c r="F3991" s="673" t="s">
        <v>5126</v>
      </c>
      <c r="G3991" s="673"/>
      <c r="H3991" s="1232"/>
    </row>
    <row r="3992" spans="1:8" hidden="1">
      <c r="A3992" s="676" t="s">
        <v>5058</v>
      </c>
      <c r="B3992" s="399" t="s">
        <v>1756</v>
      </c>
      <c r="C3992" s="399" t="s">
        <v>120</v>
      </c>
      <c r="D3992" s="673" t="s">
        <v>5198</v>
      </c>
      <c r="E3992" s="673" t="s">
        <v>5130</v>
      </c>
      <c r="F3992" s="673" t="s">
        <v>5131</v>
      </c>
      <c r="G3992" s="673"/>
      <c r="H3992" s="1232"/>
    </row>
    <row r="3993" spans="1:8" hidden="1">
      <c r="A3993" s="676" t="s">
        <v>5058</v>
      </c>
      <c r="B3993" s="399" t="s">
        <v>1756</v>
      </c>
      <c r="C3993" s="399" t="s">
        <v>120</v>
      </c>
      <c r="D3993" s="673" t="s">
        <v>5199</v>
      </c>
      <c r="E3993" s="673" t="s">
        <v>5133</v>
      </c>
      <c r="F3993" s="673" t="s">
        <v>5134</v>
      </c>
      <c r="G3993" s="673"/>
      <c r="H3993" s="1232"/>
    </row>
    <row r="3994" spans="1:8" hidden="1">
      <c r="A3994" s="676" t="s">
        <v>5058</v>
      </c>
      <c r="B3994" s="399" t="s">
        <v>1756</v>
      </c>
      <c r="C3994" s="399" t="s">
        <v>120</v>
      </c>
      <c r="D3994" s="673" t="s">
        <v>5200</v>
      </c>
      <c r="E3994" s="673" t="s">
        <v>5136</v>
      </c>
      <c r="F3994" s="673" t="s">
        <v>5137</v>
      </c>
      <c r="G3994" s="673"/>
      <c r="H3994" s="1232"/>
    </row>
    <row r="3995" spans="1:8" hidden="1">
      <c r="A3995" s="676" t="s">
        <v>5058</v>
      </c>
      <c r="B3995" s="399" t="s">
        <v>1756</v>
      </c>
      <c r="C3995" s="399" t="s">
        <v>120</v>
      </c>
      <c r="D3995" s="673" t="s">
        <v>5201</v>
      </c>
      <c r="E3995" s="673" t="s">
        <v>5143</v>
      </c>
      <c r="F3995" s="673" t="s">
        <v>5144</v>
      </c>
      <c r="G3995" s="673"/>
      <c r="H3995" s="1232"/>
    </row>
    <row r="3996" spans="1:8" hidden="1">
      <c r="A3996" s="676" t="s">
        <v>5058</v>
      </c>
      <c r="B3996" s="399" t="s">
        <v>1756</v>
      </c>
      <c r="C3996" s="399" t="s">
        <v>120</v>
      </c>
      <c r="D3996" s="673" t="s">
        <v>5202</v>
      </c>
      <c r="E3996" s="673" t="s">
        <v>5152</v>
      </c>
      <c r="F3996" s="673" t="s">
        <v>5153</v>
      </c>
      <c r="G3996" s="673"/>
      <c r="H3996" s="1232"/>
    </row>
    <row r="3997" spans="1:8" hidden="1">
      <c r="A3997" s="676" t="s">
        <v>5058</v>
      </c>
      <c r="B3997" s="399" t="s">
        <v>1756</v>
      </c>
      <c r="C3997" s="399" t="s">
        <v>120</v>
      </c>
      <c r="D3997" s="673" t="s">
        <v>5203</v>
      </c>
      <c r="E3997" s="673" t="s">
        <v>5164</v>
      </c>
      <c r="F3997" s="673" t="s">
        <v>5165</v>
      </c>
      <c r="G3997" s="673"/>
      <c r="H3997" s="1232"/>
    </row>
    <row r="3998" spans="1:8" hidden="1">
      <c r="A3998" s="676" t="s">
        <v>5058</v>
      </c>
      <c r="B3998" s="399" t="s">
        <v>1756</v>
      </c>
      <c r="C3998" s="399" t="s">
        <v>120</v>
      </c>
      <c r="D3998" s="673" t="s">
        <v>5204</v>
      </c>
      <c r="E3998" s="673" t="s">
        <v>5167</v>
      </c>
      <c r="F3998" s="673" t="s">
        <v>2225</v>
      </c>
      <c r="G3998" s="673"/>
      <c r="H3998" s="1232"/>
    </row>
    <row r="3999" spans="1:8" hidden="1">
      <c r="A3999" s="676" t="s">
        <v>5058</v>
      </c>
      <c r="B3999" s="399" t="s">
        <v>1756</v>
      </c>
      <c r="C3999" s="399" t="s">
        <v>120</v>
      </c>
      <c r="D3999" s="673" t="s">
        <v>5205</v>
      </c>
      <c r="E3999" s="673" t="s">
        <v>5167</v>
      </c>
      <c r="F3999" s="673" t="s">
        <v>2225</v>
      </c>
      <c r="G3999" s="673"/>
      <c r="H3999" s="1232"/>
    </row>
    <row r="4000" spans="1:8" hidden="1">
      <c r="A4000" s="676" t="s">
        <v>5058</v>
      </c>
      <c r="B4000" s="399" t="s">
        <v>1756</v>
      </c>
      <c r="C4000" s="399" t="s">
        <v>120</v>
      </c>
      <c r="D4000" s="673" t="s">
        <v>5206</v>
      </c>
      <c r="E4000" s="673" t="s">
        <v>5167</v>
      </c>
      <c r="F4000" s="673" t="s">
        <v>2225</v>
      </c>
      <c r="G4000" s="673"/>
      <c r="H4000" s="1232"/>
    </row>
    <row r="4001" spans="1:8" hidden="1">
      <c r="A4001" s="676" t="s">
        <v>5058</v>
      </c>
      <c r="B4001" s="399" t="s">
        <v>1756</v>
      </c>
      <c r="C4001" s="399" t="s">
        <v>120</v>
      </c>
      <c r="D4001" s="673" t="s">
        <v>5207</v>
      </c>
      <c r="E4001" s="673" t="s">
        <v>5176</v>
      </c>
      <c r="F4001" s="673" t="s">
        <v>5177</v>
      </c>
      <c r="G4001" s="673"/>
      <c r="H4001" s="1232"/>
    </row>
    <row r="4002" spans="1:8" hidden="1">
      <c r="A4002" s="676" t="s">
        <v>5058</v>
      </c>
      <c r="B4002" s="399" t="s">
        <v>1756</v>
      </c>
      <c r="C4002" s="399" t="s">
        <v>120</v>
      </c>
      <c r="D4002" s="673" t="s">
        <v>5208</v>
      </c>
      <c r="E4002" s="673" t="s">
        <v>5060</v>
      </c>
      <c r="F4002" s="673" t="s">
        <v>2223</v>
      </c>
      <c r="G4002" s="673"/>
      <c r="H4002" s="1232"/>
    </row>
    <row r="4003" spans="1:8" hidden="1">
      <c r="A4003" s="676" t="s">
        <v>5058</v>
      </c>
      <c r="B4003" s="399" t="s">
        <v>1756</v>
      </c>
      <c r="C4003" s="399" t="s">
        <v>120</v>
      </c>
      <c r="D4003" s="673" t="s">
        <v>5209</v>
      </c>
      <c r="E4003" s="673" t="s">
        <v>5082</v>
      </c>
      <c r="F4003" s="673" t="s">
        <v>5083</v>
      </c>
      <c r="G4003" s="673"/>
      <c r="H4003" s="1232"/>
    </row>
    <row r="4004" spans="1:8" hidden="1">
      <c r="A4004" s="676" t="s">
        <v>5058</v>
      </c>
      <c r="B4004" s="399" t="s">
        <v>1756</v>
      </c>
      <c r="C4004" s="399" t="s">
        <v>120</v>
      </c>
      <c r="D4004" s="673" t="s">
        <v>5210</v>
      </c>
      <c r="E4004" s="673" t="s">
        <v>5076</v>
      </c>
      <c r="F4004" s="673" t="s">
        <v>5077</v>
      </c>
      <c r="G4004" s="673"/>
      <c r="H4004" s="1232"/>
    </row>
    <row r="4005" spans="1:8" hidden="1">
      <c r="A4005" s="676" t="s">
        <v>5058</v>
      </c>
      <c r="B4005" s="399" t="s">
        <v>1756</v>
      </c>
      <c r="C4005" s="399" t="s">
        <v>120</v>
      </c>
      <c r="D4005" s="673" t="s">
        <v>5211</v>
      </c>
      <c r="E4005" s="673" t="s">
        <v>5125</v>
      </c>
      <c r="F4005" s="673" t="s">
        <v>5126</v>
      </c>
      <c r="G4005" s="673"/>
      <c r="H4005" s="1232"/>
    </row>
    <row r="4006" spans="1:8" hidden="1">
      <c r="A4006" s="677" t="s">
        <v>5058</v>
      </c>
      <c r="B4006" s="410" t="s">
        <v>1756</v>
      </c>
      <c r="C4006" s="410" t="s">
        <v>120</v>
      </c>
      <c r="D4006" s="678" t="s">
        <v>5212</v>
      </c>
      <c r="E4006" s="678" t="s">
        <v>5130</v>
      </c>
      <c r="F4006" s="678" t="s">
        <v>5131</v>
      </c>
      <c r="G4006" s="678"/>
      <c r="H4006" s="1233"/>
    </row>
    <row r="4007" spans="1:8" hidden="1">
      <c r="A4007" s="495" t="s">
        <v>5058</v>
      </c>
      <c r="B4007" s="399" t="s">
        <v>1765</v>
      </c>
      <c r="C4007" s="399" t="s">
        <v>184</v>
      </c>
      <c r="D4007" s="399">
        <v>100</v>
      </c>
      <c r="E4007" s="312" t="s">
        <v>5213</v>
      </c>
      <c r="F4007" s="399" t="s">
        <v>2798</v>
      </c>
      <c r="G4007" s="399" t="s">
        <v>2221</v>
      </c>
      <c r="H4007" s="1235" t="s">
        <v>5214</v>
      </c>
    </row>
    <row r="4008" spans="1:8" hidden="1">
      <c r="A4008" s="495" t="s">
        <v>5058</v>
      </c>
      <c r="B4008" s="399" t="s">
        <v>1765</v>
      </c>
      <c r="C4008" s="399" t="s">
        <v>184</v>
      </c>
      <c r="D4008" s="399">
        <v>110</v>
      </c>
      <c r="E4008" s="312" t="s">
        <v>5215</v>
      </c>
      <c r="F4008" s="399" t="s">
        <v>2801</v>
      </c>
      <c r="G4008" s="399" t="s">
        <v>2221</v>
      </c>
      <c r="H4008" s="1235"/>
    </row>
    <row r="4009" spans="1:8" hidden="1">
      <c r="A4009" s="495" t="s">
        <v>5058</v>
      </c>
      <c r="B4009" s="399" t="s">
        <v>1765</v>
      </c>
      <c r="C4009" s="399" t="s">
        <v>184</v>
      </c>
      <c r="D4009" s="399">
        <v>111</v>
      </c>
      <c r="E4009" s="312" t="s">
        <v>5216</v>
      </c>
      <c r="F4009" s="399" t="s">
        <v>2803</v>
      </c>
      <c r="G4009" s="399" t="s">
        <v>2221</v>
      </c>
      <c r="H4009" s="1235"/>
    </row>
    <row r="4010" spans="1:8" hidden="1">
      <c r="A4010" s="495" t="s">
        <v>5058</v>
      </c>
      <c r="B4010" s="399" t="s">
        <v>1765</v>
      </c>
      <c r="C4010" s="399" t="s">
        <v>184</v>
      </c>
      <c r="D4010" s="399">
        <v>112</v>
      </c>
      <c r="E4010" s="312" t="s">
        <v>5217</v>
      </c>
      <c r="F4010" s="399" t="s">
        <v>2805</v>
      </c>
      <c r="G4010" s="399" t="s">
        <v>2221</v>
      </c>
      <c r="H4010" s="1235"/>
    </row>
    <row r="4011" spans="1:8" hidden="1">
      <c r="A4011" s="495" t="s">
        <v>5058</v>
      </c>
      <c r="B4011" s="399" t="s">
        <v>1765</v>
      </c>
      <c r="C4011" s="399" t="s">
        <v>184</v>
      </c>
      <c r="D4011" s="399">
        <v>113</v>
      </c>
      <c r="E4011" s="312" t="s">
        <v>5218</v>
      </c>
      <c r="F4011" s="399" t="s">
        <v>2807</v>
      </c>
      <c r="G4011" s="399" t="s">
        <v>2221</v>
      </c>
      <c r="H4011" s="1235"/>
    </row>
    <row r="4012" spans="1:8" hidden="1">
      <c r="A4012" s="495" t="s">
        <v>5058</v>
      </c>
      <c r="B4012" s="399" t="s">
        <v>1765</v>
      </c>
      <c r="C4012" s="399" t="s">
        <v>184</v>
      </c>
      <c r="D4012" s="399">
        <v>114</v>
      </c>
      <c r="E4012" s="312" t="s">
        <v>5219</v>
      </c>
      <c r="F4012" s="399" t="s">
        <v>2809</v>
      </c>
      <c r="G4012" s="399" t="s">
        <v>2221</v>
      </c>
      <c r="H4012" s="1235"/>
    </row>
    <row r="4013" spans="1:8" hidden="1">
      <c r="A4013" s="495" t="s">
        <v>5058</v>
      </c>
      <c r="B4013" s="399" t="s">
        <v>1765</v>
      </c>
      <c r="C4013" s="399" t="s">
        <v>184</v>
      </c>
      <c r="D4013" s="399">
        <v>115</v>
      </c>
      <c r="E4013" s="312" t="s">
        <v>5220</v>
      </c>
      <c r="F4013" s="399" t="s">
        <v>2811</v>
      </c>
      <c r="G4013" s="399" t="s">
        <v>2221</v>
      </c>
      <c r="H4013" s="1235"/>
    </row>
    <row r="4014" spans="1:8" hidden="1">
      <c r="A4014" s="495" t="s">
        <v>5058</v>
      </c>
      <c r="B4014" s="399" t="s">
        <v>1765</v>
      </c>
      <c r="C4014" s="399" t="s">
        <v>184</v>
      </c>
      <c r="D4014" s="399">
        <v>116</v>
      </c>
      <c r="E4014" s="312" t="s">
        <v>5221</v>
      </c>
      <c r="F4014" s="399" t="s">
        <v>2813</v>
      </c>
      <c r="G4014" s="399" t="s">
        <v>2221</v>
      </c>
      <c r="H4014" s="1235"/>
    </row>
    <row r="4015" spans="1:8" hidden="1">
      <c r="A4015" s="495" t="s">
        <v>5058</v>
      </c>
      <c r="B4015" s="399" t="s">
        <v>1765</v>
      </c>
      <c r="C4015" s="399" t="s">
        <v>184</v>
      </c>
      <c r="D4015" s="399">
        <v>119</v>
      </c>
      <c r="E4015" s="312" t="s">
        <v>5222</v>
      </c>
      <c r="F4015" s="399" t="s">
        <v>2815</v>
      </c>
      <c r="G4015" s="399" t="s">
        <v>2221</v>
      </c>
      <c r="H4015" s="1235"/>
    </row>
    <row r="4016" spans="1:8" hidden="1">
      <c r="A4016" s="495" t="s">
        <v>5058</v>
      </c>
      <c r="B4016" s="399" t="s">
        <v>1765</v>
      </c>
      <c r="C4016" s="399" t="s">
        <v>184</v>
      </c>
      <c r="D4016" s="399">
        <v>120</v>
      </c>
      <c r="E4016" s="312" t="s">
        <v>5223</v>
      </c>
      <c r="F4016" s="399" t="s">
        <v>2817</v>
      </c>
      <c r="G4016" s="399" t="s">
        <v>2221</v>
      </c>
      <c r="H4016" s="1235"/>
    </row>
    <row r="4017" spans="1:8" hidden="1">
      <c r="A4017" s="495" t="s">
        <v>5058</v>
      </c>
      <c r="B4017" s="399" t="s">
        <v>1765</v>
      </c>
      <c r="C4017" s="399" t="s">
        <v>184</v>
      </c>
      <c r="D4017" s="399">
        <v>121</v>
      </c>
      <c r="E4017" s="312" t="s">
        <v>5224</v>
      </c>
      <c r="F4017" s="399" t="s">
        <v>2819</v>
      </c>
      <c r="G4017" s="399" t="s">
        <v>2221</v>
      </c>
      <c r="H4017" s="1235"/>
    </row>
    <row r="4018" spans="1:8" hidden="1">
      <c r="A4018" s="495" t="s">
        <v>5058</v>
      </c>
      <c r="B4018" s="399" t="s">
        <v>1765</v>
      </c>
      <c r="C4018" s="399" t="s">
        <v>184</v>
      </c>
      <c r="D4018" s="399">
        <v>122</v>
      </c>
      <c r="E4018" s="312" t="s">
        <v>5225</v>
      </c>
      <c r="F4018" s="399" t="s">
        <v>2821</v>
      </c>
      <c r="G4018" s="399" t="s">
        <v>2221</v>
      </c>
      <c r="H4018" s="1235"/>
    </row>
    <row r="4019" spans="1:8" hidden="1">
      <c r="A4019" s="495" t="s">
        <v>5058</v>
      </c>
      <c r="B4019" s="399" t="s">
        <v>1765</v>
      </c>
      <c r="C4019" s="399" t="s">
        <v>184</v>
      </c>
      <c r="D4019" s="399">
        <v>123</v>
      </c>
      <c r="E4019" s="312" t="s">
        <v>5226</v>
      </c>
      <c r="F4019" s="399" t="s">
        <v>2823</v>
      </c>
      <c r="G4019" s="399" t="s">
        <v>2221</v>
      </c>
      <c r="H4019" s="1235"/>
    </row>
    <row r="4020" spans="1:8" hidden="1">
      <c r="A4020" s="495" t="s">
        <v>5058</v>
      </c>
      <c r="B4020" s="399" t="s">
        <v>1765</v>
      </c>
      <c r="C4020" s="399" t="s">
        <v>184</v>
      </c>
      <c r="D4020" s="399">
        <v>124</v>
      </c>
      <c r="E4020" s="312" t="s">
        <v>5227</v>
      </c>
      <c r="F4020" s="399" t="s">
        <v>2825</v>
      </c>
      <c r="G4020" s="399" t="s">
        <v>2221</v>
      </c>
      <c r="H4020" s="1235"/>
    </row>
    <row r="4021" spans="1:8" hidden="1">
      <c r="A4021" s="495" t="s">
        <v>5058</v>
      </c>
      <c r="B4021" s="399" t="s">
        <v>1765</v>
      </c>
      <c r="C4021" s="399" t="s">
        <v>184</v>
      </c>
      <c r="D4021" s="399">
        <v>125</v>
      </c>
      <c r="E4021" s="312" t="s">
        <v>5228</v>
      </c>
      <c r="F4021" s="399" t="s">
        <v>2827</v>
      </c>
      <c r="G4021" s="399" t="s">
        <v>2221</v>
      </c>
      <c r="H4021" s="1235"/>
    </row>
    <row r="4022" spans="1:8" hidden="1">
      <c r="A4022" s="495" t="s">
        <v>5058</v>
      </c>
      <c r="B4022" s="399" t="s">
        <v>1765</v>
      </c>
      <c r="C4022" s="399" t="s">
        <v>184</v>
      </c>
      <c r="D4022" s="399">
        <v>126</v>
      </c>
      <c r="E4022" s="312" t="s">
        <v>5229</v>
      </c>
      <c r="F4022" s="399" t="s">
        <v>2829</v>
      </c>
      <c r="G4022" s="399" t="s">
        <v>2221</v>
      </c>
      <c r="H4022" s="1235"/>
    </row>
    <row r="4023" spans="1:8" hidden="1">
      <c r="A4023" s="495" t="s">
        <v>5058</v>
      </c>
      <c r="B4023" s="399" t="s">
        <v>1765</v>
      </c>
      <c r="C4023" s="399" t="s">
        <v>184</v>
      </c>
      <c r="D4023" s="399">
        <v>127</v>
      </c>
      <c r="E4023" s="312" t="s">
        <v>5230</v>
      </c>
      <c r="F4023" s="399" t="s">
        <v>2831</v>
      </c>
      <c r="G4023" s="399" t="s">
        <v>2221</v>
      </c>
      <c r="H4023" s="1235"/>
    </row>
    <row r="4024" spans="1:8" hidden="1">
      <c r="A4024" s="495" t="s">
        <v>5058</v>
      </c>
      <c r="B4024" s="399" t="s">
        <v>1765</v>
      </c>
      <c r="C4024" s="399" t="s">
        <v>184</v>
      </c>
      <c r="D4024" s="399">
        <v>128</v>
      </c>
      <c r="E4024" s="312" t="s">
        <v>5231</v>
      </c>
      <c r="F4024" s="399" t="s">
        <v>2833</v>
      </c>
      <c r="G4024" s="399" t="s">
        <v>2221</v>
      </c>
      <c r="H4024" s="1235"/>
    </row>
    <row r="4025" spans="1:8" hidden="1">
      <c r="A4025" s="495" t="s">
        <v>5058</v>
      </c>
      <c r="B4025" s="399" t="s">
        <v>1765</v>
      </c>
      <c r="C4025" s="399" t="s">
        <v>184</v>
      </c>
      <c r="D4025" s="399">
        <v>129</v>
      </c>
      <c r="E4025" s="312" t="s">
        <v>5232</v>
      </c>
      <c r="F4025" s="399" t="s">
        <v>2835</v>
      </c>
      <c r="G4025" s="399" t="s">
        <v>2221</v>
      </c>
      <c r="H4025" s="1235"/>
    </row>
    <row r="4026" spans="1:8" hidden="1">
      <c r="A4026" s="495" t="s">
        <v>5058</v>
      </c>
      <c r="B4026" s="399" t="s">
        <v>1765</v>
      </c>
      <c r="C4026" s="399" t="s">
        <v>184</v>
      </c>
      <c r="D4026" s="399">
        <v>130</v>
      </c>
      <c r="E4026" s="312" t="s">
        <v>5233</v>
      </c>
      <c r="F4026" s="399" t="s">
        <v>2837</v>
      </c>
      <c r="G4026" s="399" t="s">
        <v>2221</v>
      </c>
      <c r="H4026" s="1235"/>
    </row>
    <row r="4027" spans="1:8" hidden="1">
      <c r="A4027" s="495" t="s">
        <v>5058</v>
      </c>
      <c r="B4027" s="399" t="s">
        <v>1765</v>
      </c>
      <c r="C4027" s="399" t="s">
        <v>184</v>
      </c>
      <c r="D4027" s="399">
        <v>140</v>
      </c>
      <c r="E4027" s="312" t="s">
        <v>5234</v>
      </c>
      <c r="F4027" s="399" t="s">
        <v>2839</v>
      </c>
      <c r="G4027" s="399" t="s">
        <v>2221</v>
      </c>
      <c r="H4027" s="1235"/>
    </row>
    <row r="4028" spans="1:8" hidden="1">
      <c r="A4028" s="495" t="s">
        <v>5058</v>
      </c>
      <c r="B4028" s="399" t="s">
        <v>1765</v>
      </c>
      <c r="C4028" s="399" t="s">
        <v>184</v>
      </c>
      <c r="D4028" s="399">
        <v>141</v>
      </c>
      <c r="E4028" s="312" t="s">
        <v>5235</v>
      </c>
      <c r="F4028" s="399" t="s">
        <v>2841</v>
      </c>
      <c r="G4028" s="399" t="s">
        <v>2221</v>
      </c>
      <c r="H4028" s="1235"/>
    </row>
    <row r="4029" spans="1:8" hidden="1">
      <c r="A4029" s="495" t="s">
        <v>5058</v>
      </c>
      <c r="B4029" s="399" t="s">
        <v>1765</v>
      </c>
      <c r="C4029" s="399" t="s">
        <v>184</v>
      </c>
      <c r="D4029" s="399">
        <v>142</v>
      </c>
      <c r="E4029" s="312" t="s">
        <v>5236</v>
      </c>
      <c r="F4029" s="399" t="s">
        <v>2843</v>
      </c>
      <c r="G4029" s="399" t="s">
        <v>2221</v>
      </c>
      <c r="H4029" s="1235"/>
    </row>
    <row r="4030" spans="1:8" hidden="1">
      <c r="A4030" s="495" t="s">
        <v>5058</v>
      </c>
      <c r="B4030" s="399" t="s">
        <v>1765</v>
      </c>
      <c r="C4030" s="399" t="s">
        <v>184</v>
      </c>
      <c r="D4030" s="399">
        <v>143</v>
      </c>
      <c r="E4030" s="312" t="s">
        <v>5237</v>
      </c>
      <c r="F4030" s="399" t="s">
        <v>2845</v>
      </c>
      <c r="G4030" s="399" t="s">
        <v>2221</v>
      </c>
      <c r="H4030" s="1235"/>
    </row>
    <row r="4031" spans="1:8" hidden="1">
      <c r="A4031" s="495" t="s">
        <v>5058</v>
      </c>
      <c r="B4031" s="399" t="s">
        <v>1765</v>
      </c>
      <c r="C4031" s="399" t="s">
        <v>184</v>
      </c>
      <c r="D4031" s="399">
        <v>144</v>
      </c>
      <c r="E4031" s="312" t="s">
        <v>5238</v>
      </c>
      <c r="F4031" s="399" t="s">
        <v>2847</v>
      </c>
      <c r="G4031" s="399" t="s">
        <v>2221</v>
      </c>
      <c r="H4031" s="1235"/>
    </row>
    <row r="4032" spans="1:8" hidden="1">
      <c r="A4032" s="495" t="s">
        <v>5058</v>
      </c>
      <c r="B4032" s="399" t="s">
        <v>1765</v>
      </c>
      <c r="C4032" s="399" t="s">
        <v>184</v>
      </c>
      <c r="D4032" s="399">
        <v>145</v>
      </c>
      <c r="E4032" s="312" t="s">
        <v>5239</v>
      </c>
      <c r="F4032" s="399" t="s">
        <v>2849</v>
      </c>
      <c r="G4032" s="399" t="s">
        <v>2221</v>
      </c>
      <c r="H4032" s="1235"/>
    </row>
    <row r="4033" spans="1:8" hidden="1">
      <c r="A4033" s="495" t="s">
        <v>5058</v>
      </c>
      <c r="B4033" s="399" t="s">
        <v>1765</v>
      </c>
      <c r="C4033" s="399" t="s">
        <v>184</v>
      </c>
      <c r="D4033" s="399">
        <v>146</v>
      </c>
      <c r="E4033" s="312" t="s">
        <v>5240</v>
      </c>
      <c r="F4033" s="399" t="s">
        <v>2851</v>
      </c>
      <c r="G4033" s="399" t="s">
        <v>2221</v>
      </c>
      <c r="H4033" s="1235"/>
    </row>
    <row r="4034" spans="1:8" hidden="1">
      <c r="A4034" s="495" t="s">
        <v>5058</v>
      </c>
      <c r="B4034" s="399" t="s">
        <v>1765</v>
      </c>
      <c r="C4034" s="399" t="s">
        <v>184</v>
      </c>
      <c r="D4034" s="399">
        <v>147</v>
      </c>
      <c r="E4034" s="312" t="s">
        <v>5241</v>
      </c>
      <c r="F4034" s="399" t="s">
        <v>2853</v>
      </c>
      <c r="G4034" s="399" t="s">
        <v>2221</v>
      </c>
      <c r="H4034" s="1235"/>
    </row>
    <row r="4035" spans="1:8" hidden="1">
      <c r="A4035" s="495" t="s">
        <v>5058</v>
      </c>
      <c r="B4035" s="399" t="s">
        <v>1765</v>
      </c>
      <c r="C4035" s="399" t="s">
        <v>184</v>
      </c>
      <c r="D4035" s="399">
        <v>149</v>
      </c>
      <c r="E4035" s="312" t="s">
        <v>5242</v>
      </c>
      <c r="F4035" s="399" t="s">
        <v>2855</v>
      </c>
      <c r="G4035" s="399" t="s">
        <v>2221</v>
      </c>
      <c r="H4035" s="1235"/>
    </row>
    <row r="4036" spans="1:8" hidden="1">
      <c r="A4036" s="495" t="s">
        <v>5058</v>
      </c>
      <c r="B4036" s="399" t="s">
        <v>1765</v>
      </c>
      <c r="C4036" s="399" t="s">
        <v>184</v>
      </c>
      <c r="D4036" s="399">
        <v>150</v>
      </c>
      <c r="E4036" s="312" t="s">
        <v>5243</v>
      </c>
      <c r="F4036" s="399" t="s">
        <v>2857</v>
      </c>
      <c r="G4036" s="399" t="s">
        <v>2221</v>
      </c>
      <c r="H4036" s="1235"/>
    </row>
    <row r="4037" spans="1:8" hidden="1">
      <c r="A4037" s="495" t="s">
        <v>5058</v>
      </c>
      <c r="B4037" s="399" t="s">
        <v>1765</v>
      </c>
      <c r="C4037" s="399" t="s">
        <v>184</v>
      </c>
      <c r="D4037" s="399">
        <v>160</v>
      </c>
      <c r="E4037" s="312" t="s">
        <v>5244</v>
      </c>
      <c r="F4037" s="399" t="s">
        <v>2859</v>
      </c>
      <c r="G4037" s="399" t="s">
        <v>2221</v>
      </c>
      <c r="H4037" s="1235"/>
    </row>
    <row r="4038" spans="1:8" hidden="1">
      <c r="A4038" s="495" t="s">
        <v>5058</v>
      </c>
      <c r="B4038" s="399" t="s">
        <v>1765</v>
      </c>
      <c r="C4038" s="399" t="s">
        <v>184</v>
      </c>
      <c r="D4038" s="399">
        <v>161</v>
      </c>
      <c r="E4038" s="312" t="s">
        <v>5245</v>
      </c>
      <c r="F4038" s="399" t="s">
        <v>2861</v>
      </c>
      <c r="G4038" s="399" t="s">
        <v>2221</v>
      </c>
      <c r="H4038" s="1235"/>
    </row>
    <row r="4039" spans="1:8" hidden="1">
      <c r="A4039" s="495" t="s">
        <v>5058</v>
      </c>
      <c r="B4039" s="399" t="s">
        <v>1765</v>
      </c>
      <c r="C4039" s="399" t="s">
        <v>184</v>
      </c>
      <c r="D4039" s="399">
        <v>162</v>
      </c>
      <c r="E4039" s="312" t="s">
        <v>5246</v>
      </c>
      <c r="F4039" s="399" t="s">
        <v>2863</v>
      </c>
      <c r="G4039" s="399" t="s">
        <v>2221</v>
      </c>
      <c r="H4039" s="1235"/>
    </row>
    <row r="4040" spans="1:8" hidden="1">
      <c r="A4040" s="495" t="s">
        <v>5058</v>
      </c>
      <c r="B4040" s="399" t="s">
        <v>1765</v>
      </c>
      <c r="C4040" s="399" t="s">
        <v>184</v>
      </c>
      <c r="D4040" s="399">
        <v>163</v>
      </c>
      <c r="E4040" s="312" t="s">
        <v>5247</v>
      </c>
      <c r="F4040" s="399" t="s">
        <v>2865</v>
      </c>
      <c r="G4040" s="399" t="s">
        <v>2221</v>
      </c>
      <c r="H4040" s="1235"/>
    </row>
    <row r="4041" spans="1:8" hidden="1">
      <c r="A4041" s="495" t="s">
        <v>5058</v>
      </c>
      <c r="B4041" s="399" t="s">
        <v>1765</v>
      </c>
      <c r="C4041" s="399" t="s">
        <v>184</v>
      </c>
      <c r="D4041" s="399">
        <v>164</v>
      </c>
      <c r="E4041" s="312" t="s">
        <v>5248</v>
      </c>
      <c r="F4041" s="399" t="s">
        <v>2867</v>
      </c>
      <c r="G4041" s="399" t="s">
        <v>2221</v>
      </c>
      <c r="H4041" s="1235"/>
    </row>
    <row r="4042" spans="1:8" hidden="1">
      <c r="A4042" s="495" t="s">
        <v>5058</v>
      </c>
      <c r="B4042" s="399" t="s">
        <v>1765</v>
      </c>
      <c r="C4042" s="399" t="s">
        <v>184</v>
      </c>
      <c r="D4042" s="399">
        <v>170</v>
      </c>
      <c r="E4042" s="312" t="s">
        <v>5249</v>
      </c>
      <c r="F4042" s="399" t="s">
        <v>2869</v>
      </c>
      <c r="G4042" s="399" t="s">
        <v>2221</v>
      </c>
      <c r="H4042" s="1235"/>
    </row>
    <row r="4043" spans="1:8" hidden="1">
      <c r="A4043" s="495" t="s">
        <v>5058</v>
      </c>
      <c r="B4043" s="399" t="s">
        <v>1765</v>
      </c>
      <c r="C4043" s="399" t="s">
        <v>184</v>
      </c>
      <c r="D4043" s="399">
        <v>200</v>
      </c>
      <c r="E4043" s="312" t="s">
        <v>5250</v>
      </c>
      <c r="F4043" s="399" t="s">
        <v>2870</v>
      </c>
      <c r="G4043" s="399" t="s">
        <v>2221</v>
      </c>
      <c r="H4043" s="1235"/>
    </row>
    <row r="4044" spans="1:8" hidden="1">
      <c r="A4044" s="495" t="s">
        <v>5058</v>
      </c>
      <c r="B4044" s="399" t="s">
        <v>1765</v>
      </c>
      <c r="C4044" s="399" t="s">
        <v>184</v>
      </c>
      <c r="D4044" s="399">
        <v>210</v>
      </c>
      <c r="E4044" s="312" t="s">
        <v>5251</v>
      </c>
      <c r="F4044" s="399" t="s">
        <v>2872</v>
      </c>
      <c r="G4044" s="399" t="s">
        <v>2221</v>
      </c>
      <c r="H4044" s="1235"/>
    </row>
    <row r="4045" spans="1:8" hidden="1">
      <c r="A4045" s="495" t="s">
        <v>5058</v>
      </c>
      <c r="B4045" s="399" t="s">
        <v>1765</v>
      </c>
      <c r="C4045" s="399" t="s">
        <v>184</v>
      </c>
      <c r="D4045" s="399">
        <v>220</v>
      </c>
      <c r="E4045" s="312" t="s">
        <v>5252</v>
      </c>
      <c r="F4045" s="399" t="s">
        <v>2874</v>
      </c>
      <c r="G4045" s="399" t="s">
        <v>2221</v>
      </c>
      <c r="H4045" s="1235"/>
    </row>
    <row r="4046" spans="1:8" hidden="1">
      <c r="A4046" s="495" t="s">
        <v>5058</v>
      </c>
      <c r="B4046" s="399" t="s">
        <v>1765</v>
      </c>
      <c r="C4046" s="399" t="s">
        <v>184</v>
      </c>
      <c r="D4046" s="399">
        <v>230</v>
      </c>
      <c r="E4046" s="312" t="s">
        <v>5253</v>
      </c>
      <c r="F4046" s="399" t="s">
        <v>2876</v>
      </c>
      <c r="G4046" s="399" t="s">
        <v>2221</v>
      </c>
      <c r="H4046" s="1235"/>
    </row>
    <row r="4047" spans="1:8" hidden="1">
      <c r="A4047" s="495" t="s">
        <v>5058</v>
      </c>
      <c r="B4047" s="399" t="s">
        <v>1765</v>
      </c>
      <c r="C4047" s="399" t="s">
        <v>184</v>
      </c>
      <c r="D4047" s="399">
        <v>240</v>
      </c>
      <c r="E4047" s="312" t="s">
        <v>5254</v>
      </c>
      <c r="F4047" s="399" t="s">
        <v>2878</v>
      </c>
      <c r="G4047" s="399" t="s">
        <v>2221</v>
      </c>
      <c r="H4047" s="1235"/>
    </row>
    <row r="4048" spans="1:8" hidden="1">
      <c r="A4048" s="495" t="s">
        <v>5058</v>
      </c>
      <c r="B4048" s="399" t="s">
        <v>1765</v>
      </c>
      <c r="C4048" s="399" t="s">
        <v>184</v>
      </c>
      <c r="D4048" s="399">
        <v>300</v>
      </c>
      <c r="E4048" s="312" t="s">
        <v>5255</v>
      </c>
      <c r="F4048" s="399" t="s">
        <v>2879</v>
      </c>
      <c r="G4048" s="399" t="s">
        <v>2221</v>
      </c>
      <c r="H4048" s="1235"/>
    </row>
    <row r="4049" spans="1:8" hidden="1">
      <c r="A4049" s="495" t="s">
        <v>5058</v>
      </c>
      <c r="B4049" s="399" t="s">
        <v>1765</v>
      </c>
      <c r="C4049" s="399" t="s">
        <v>184</v>
      </c>
      <c r="D4049" s="399">
        <v>310</v>
      </c>
      <c r="E4049" s="312" t="s">
        <v>5256</v>
      </c>
      <c r="F4049" s="399" t="s">
        <v>2881</v>
      </c>
      <c r="G4049" s="399" t="s">
        <v>2221</v>
      </c>
      <c r="H4049" s="1235"/>
    </row>
    <row r="4050" spans="1:8" hidden="1">
      <c r="A4050" s="495" t="s">
        <v>5058</v>
      </c>
      <c r="B4050" s="399" t="s">
        <v>1765</v>
      </c>
      <c r="C4050" s="399" t="s">
        <v>184</v>
      </c>
      <c r="D4050" s="399">
        <v>311</v>
      </c>
      <c r="E4050" s="312" t="s">
        <v>5257</v>
      </c>
      <c r="F4050" s="399" t="s">
        <v>2883</v>
      </c>
      <c r="G4050" s="399" t="s">
        <v>2221</v>
      </c>
      <c r="H4050" s="1235"/>
    </row>
    <row r="4051" spans="1:8" hidden="1">
      <c r="A4051" s="495" t="s">
        <v>5058</v>
      </c>
      <c r="B4051" s="399" t="s">
        <v>1765</v>
      </c>
      <c r="C4051" s="399" t="s">
        <v>184</v>
      </c>
      <c r="D4051" s="399">
        <v>312</v>
      </c>
      <c r="E4051" s="312" t="s">
        <v>5258</v>
      </c>
      <c r="F4051" s="399" t="s">
        <v>2885</v>
      </c>
      <c r="G4051" s="399" t="s">
        <v>2221</v>
      </c>
      <c r="H4051" s="1235"/>
    </row>
    <row r="4052" spans="1:8" hidden="1">
      <c r="A4052" s="495" t="s">
        <v>5058</v>
      </c>
      <c r="B4052" s="399" t="s">
        <v>1765</v>
      </c>
      <c r="C4052" s="399" t="s">
        <v>184</v>
      </c>
      <c r="D4052" s="399">
        <v>320</v>
      </c>
      <c r="E4052" s="312" t="s">
        <v>5259</v>
      </c>
      <c r="F4052" s="399" t="s">
        <v>2887</v>
      </c>
      <c r="G4052" s="399" t="s">
        <v>2221</v>
      </c>
      <c r="H4052" s="1235"/>
    </row>
    <row r="4053" spans="1:8" hidden="1">
      <c r="A4053" s="495" t="s">
        <v>5058</v>
      </c>
      <c r="B4053" s="399" t="s">
        <v>1765</v>
      </c>
      <c r="C4053" s="399" t="s">
        <v>184</v>
      </c>
      <c r="D4053" s="399">
        <v>321</v>
      </c>
      <c r="E4053" s="312" t="s">
        <v>5260</v>
      </c>
      <c r="F4053" s="399" t="s">
        <v>2889</v>
      </c>
      <c r="G4053" s="399" t="s">
        <v>2221</v>
      </c>
      <c r="H4053" s="1235"/>
    </row>
    <row r="4054" spans="1:8" hidden="1">
      <c r="A4054" s="495" t="s">
        <v>5058</v>
      </c>
      <c r="B4054" s="399" t="s">
        <v>1765</v>
      </c>
      <c r="C4054" s="399" t="s">
        <v>184</v>
      </c>
      <c r="D4054" s="399">
        <v>322</v>
      </c>
      <c r="E4054" s="312" t="s">
        <v>5261</v>
      </c>
      <c r="F4054" s="399" t="s">
        <v>2891</v>
      </c>
      <c r="G4054" s="399" t="s">
        <v>2221</v>
      </c>
      <c r="H4054" s="1235"/>
    </row>
    <row r="4055" spans="1:8" hidden="1">
      <c r="A4055" s="495" t="s">
        <v>5058</v>
      </c>
      <c r="B4055" s="399" t="s">
        <v>1765</v>
      </c>
      <c r="C4055" s="399" t="s">
        <v>184</v>
      </c>
      <c r="D4055" s="399">
        <v>500</v>
      </c>
      <c r="E4055" s="312" t="s">
        <v>5262</v>
      </c>
      <c r="F4055" s="399" t="s">
        <v>2892</v>
      </c>
      <c r="G4055" s="399" t="s">
        <v>2221</v>
      </c>
      <c r="H4055" s="1235"/>
    </row>
    <row r="4056" spans="1:8" hidden="1">
      <c r="A4056" s="495" t="s">
        <v>5058</v>
      </c>
      <c r="B4056" s="399" t="s">
        <v>1765</v>
      </c>
      <c r="C4056" s="399" t="s">
        <v>184</v>
      </c>
      <c r="D4056" s="399">
        <v>510</v>
      </c>
      <c r="E4056" s="312" t="s">
        <v>5263</v>
      </c>
      <c r="F4056" s="399" t="s">
        <v>2894</v>
      </c>
      <c r="G4056" s="399" t="s">
        <v>2221</v>
      </c>
      <c r="H4056" s="1235"/>
    </row>
    <row r="4057" spans="1:8" hidden="1">
      <c r="A4057" s="495" t="s">
        <v>5058</v>
      </c>
      <c r="B4057" s="399" t="s">
        <v>1765</v>
      </c>
      <c r="C4057" s="399" t="s">
        <v>184</v>
      </c>
      <c r="D4057" s="399">
        <v>520</v>
      </c>
      <c r="E4057" s="312" t="s">
        <v>5264</v>
      </c>
      <c r="F4057" s="399" t="s">
        <v>2896</v>
      </c>
      <c r="G4057" s="399" t="s">
        <v>2221</v>
      </c>
      <c r="H4057" s="1235"/>
    </row>
    <row r="4058" spans="1:8" hidden="1">
      <c r="A4058" s="495" t="s">
        <v>5058</v>
      </c>
      <c r="B4058" s="399" t="s">
        <v>1765</v>
      </c>
      <c r="C4058" s="399" t="s">
        <v>184</v>
      </c>
      <c r="D4058" s="399">
        <v>600</v>
      </c>
      <c r="E4058" s="312" t="s">
        <v>5265</v>
      </c>
      <c r="F4058" s="399" t="s">
        <v>2897</v>
      </c>
      <c r="G4058" s="399" t="s">
        <v>2221</v>
      </c>
      <c r="H4058" s="1235"/>
    </row>
    <row r="4059" spans="1:8" hidden="1">
      <c r="A4059" s="495" t="s">
        <v>5058</v>
      </c>
      <c r="B4059" s="399" t="s">
        <v>1765</v>
      </c>
      <c r="C4059" s="399" t="s">
        <v>184</v>
      </c>
      <c r="D4059" s="399">
        <v>610</v>
      </c>
      <c r="E4059" s="312" t="s">
        <v>5266</v>
      </c>
      <c r="F4059" s="399" t="s">
        <v>2899</v>
      </c>
      <c r="G4059" s="399" t="s">
        <v>2221</v>
      </c>
      <c r="H4059" s="1235"/>
    </row>
    <row r="4060" spans="1:8" hidden="1">
      <c r="A4060" s="495" t="s">
        <v>5058</v>
      </c>
      <c r="B4060" s="399" t="s">
        <v>1765</v>
      </c>
      <c r="C4060" s="399" t="s">
        <v>184</v>
      </c>
      <c r="D4060" s="399">
        <v>620</v>
      </c>
      <c r="E4060" s="312" t="s">
        <v>5267</v>
      </c>
      <c r="F4060" s="399" t="s">
        <v>2901</v>
      </c>
      <c r="G4060" s="399" t="s">
        <v>2221</v>
      </c>
      <c r="H4060" s="1235"/>
    </row>
    <row r="4061" spans="1:8" hidden="1">
      <c r="A4061" s="495" t="s">
        <v>5058</v>
      </c>
      <c r="B4061" s="399" t="s">
        <v>1765</v>
      </c>
      <c r="C4061" s="399" t="s">
        <v>184</v>
      </c>
      <c r="D4061" s="399">
        <v>700</v>
      </c>
      <c r="E4061" s="312" t="s">
        <v>5268</v>
      </c>
      <c r="F4061" s="399" t="s">
        <v>2902</v>
      </c>
      <c r="G4061" s="399" t="s">
        <v>2221</v>
      </c>
      <c r="H4061" s="1235"/>
    </row>
    <row r="4062" spans="1:8" hidden="1">
      <c r="A4062" s="495" t="s">
        <v>5058</v>
      </c>
      <c r="B4062" s="399" t="s">
        <v>1765</v>
      </c>
      <c r="C4062" s="399" t="s">
        <v>184</v>
      </c>
      <c r="D4062" s="399">
        <v>710</v>
      </c>
      <c r="E4062" s="312" t="s">
        <v>5269</v>
      </c>
      <c r="F4062" s="399" t="s">
        <v>2904</v>
      </c>
      <c r="G4062" s="399" t="s">
        <v>2221</v>
      </c>
      <c r="H4062" s="1235"/>
    </row>
    <row r="4063" spans="1:8" hidden="1">
      <c r="A4063" s="495" t="s">
        <v>5058</v>
      </c>
      <c r="B4063" s="399" t="s">
        <v>1765</v>
      </c>
      <c r="C4063" s="399" t="s">
        <v>184</v>
      </c>
      <c r="D4063" s="399">
        <v>720</v>
      </c>
      <c r="E4063" s="312" t="s">
        <v>5270</v>
      </c>
      <c r="F4063" s="399" t="s">
        <v>2906</v>
      </c>
      <c r="G4063" s="399" t="s">
        <v>2221</v>
      </c>
      <c r="H4063" s="1235"/>
    </row>
    <row r="4064" spans="1:8" hidden="1">
      <c r="A4064" s="495" t="s">
        <v>5058</v>
      </c>
      <c r="B4064" s="399" t="s">
        <v>1765</v>
      </c>
      <c r="C4064" s="399" t="s">
        <v>184</v>
      </c>
      <c r="D4064" s="399">
        <v>721</v>
      </c>
      <c r="E4064" s="312" t="s">
        <v>5271</v>
      </c>
      <c r="F4064" s="399" t="s">
        <v>2908</v>
      </c>
      <c r="G4064" s="399" t="s">
        <v>2221</v>
      </c>
      <c r="H4064" s="1235"/>
    </row>
    <row r="4065" spans="1:8" hidden="1">
      <c r="A4065" s="495" t="s">
        <v>5058</v>
      </c>
      <c r="B4065" s="399" t="s">
        <v>1765</v>
      </c>
      <c r="C4065" s="399" t="s">
        <v>184</v>
      </c>
      <c r="D4065" s="399">
        <v>729</v>
      </c>
      <c r="E4065" s="312" t="s">
        <v>5272</v>
      </c>
      <c r="F4065" s="399" t="s">
        <v>2910</v>
      </c>
      <c r="G4065" s="399" t="s">
        <v>2221</v>
      </c>
      <c r="H4065" s="1235"/>
    </row>
    <row r="4066" spans="1:8" hidden="1">
      <c r="A4066" s="495" t="s">
        <v>5058</v>
      </c>
      <c r="B4066" s="399" t="s">
        <v>1765</v>
      </c>
      <c r="C4066" s="399" t="s">
        <v>184</v>
      </c>
      <c r="D4066" s="399">
        <v>800</v>
      </c>
      <c r="E4066" s="312" t="s">
        <v>5273</v>
      </c>
      <c r="F4066" s="399" t="s">
        <v>2911</v>
      </c>
      <c r="G4066" s="399" t="s">
        <v>2221</v>
      </c>
      <c r="H4066" s="1235"/>
    </row>
    <row r="4067" spans="1:8" hidden="1">
      <c r="A4067" s="495" t="s">
        <v>5058</v>
      </c>
      <c r="B4067" s="399" t="s">
        <v>1765</v>
      </c>
      <c r="C4067" s="399" t="s">
        <v>184</v>
      </c>
      <c r="D4067" s="399">
        <v>810</v>
      </c>
      <c r="E4067" s="312" t="s">
        <v>5274</v>
      </c>
      <c r="F4067" s="399" t="s">
        <v>2913</v>
      </c>
      <c r="G4067" s="399" t="s">
        <v>2221</v>
      </c>
      <c r="H4067" s="1235"/>
    </row>
    <row r="4068" spans="1:8" hidden="1">
      <c r="A4068" s="495" t="s">
        <v>5058</v>
      </c>
      <c r="B4068" s="399" t="s">
        <v>1765</v>
      </c>
      <c r="C4068" s="399" t="s">
        <v>184</v>
      </c>
      <c r="D4068" s="399">
        <v>811</v>
      </c>
      <c r="E4068" s="312" t="s">
        <v>5275</v>
      </c>
      <c r="F4068" s="399" t="s">
        <v>2915</v>
      </c>
      <c r="G4068" s="399" t="s">
        <v>2221</v>
      </c>
      <c r="H4068" s="1235"/>
    </row>
    <row r="4069" spans="1:8" hidden="1">
      <c r="A4069" s="495" t="s">
        <v>5058</v>
      </c>
      <c r="B4069" s="399" t="s">
        <v>1765</v>
      </c>
      <c r="C4069" s="399" t="s">
        <v>184</v>
      </c>
      <c r="D4069" s="399">
        <v>812</v>
      </c>
      <c r="E4069" s="312" t="s">
        <v>5276</v>
      </c>
      <c r="F4069" s="399" t="s">
        <v>2917</v>
      </c>
      <c r="G4069" s="399" t="s">
        <v>2221</v>
      </c>
      <c r="H4069" s="1235"/>
    </row>
    <row r="4070" spans="1:8" hidden="1">
      <c r="A4070" s="495" t="s">
        <v>5058</v>
      </c>
      <c r="B4070" s="399" t="s">
        <v>1765</v>
      </c>
      <c r="C4070" s="399" t="s">
        <v>184</v>
      </c>
      <c r="D4070" s="399">
        <v>890</v>
      </c>
      <c r="E4070" s="312" t="s">
        <v>5277</v>
      </c>
      <c r="F4070" s="399" t="s">
        <v>2919</v>
      </c>
      <c r="G4070" s="399" t="s">
        <v>2221</v>
      </c>
      <c r="H4070" s="1235"/>
    </row>
    <row r="4071" spans="1:8" hidden="1">
      <c r="A4071" s="495" t="s">
        <v>5058</v>
      </c>
      <c r="B4071" s="399" t="s">
        <v>1765</v>
      </c>
      <c r="C4071" s="399" t="s">
        <v>184</v>
      </c>
      <c r="D4071" s="399">
        <v>891</v>
      </c>
      <c r="E4071" s="312" t="s">
        <v>5278</v>
      </c>
      <c r="F4071" s="399" t="s">
        <v>2921</v>
      </c>
      <c r="G4071" s="399" t="s">
        <v>2221</v>
      </c>
      <c r="H4071" s="1235"/>
    </row>
    <row r="4072" spans="1:8" hidden="1">
      <c r="A4072" s="495" t="s">
        <v>5058</v>
      </c>
      <c r="B4072" s="399" t="s">
        <v>1765</v>
      </c>
      <c r="C4072" s="399" t="s">
        <v>184</v>
      </c>
      <c r="D4072" s="399">
        <v>892</v>
      </c>
      <c r="E4072" s="312" t="s">
        <v>5279</v>
      </c>
      <c r="F4072" s="399" t="s">
        <v>2923</v>
      </c>
      <c r="G4072" s="399" t="s">
        <v>2221</v>
      </c>
      <c r="H4072" s="1235"/>
    </row>
    <row r="4073" spans="1:8" hidden="1">
      <c r="A4073" s="495" t="s">
        <v>5058</v>
      </c>
      <c r="B4073" s="399" t="s">
        <v>1765</v>
      </c>
      <c r="C4073" s="399" t="s">
        <v>184</v>
      </c>
      <c r="D4073" s="399">
        <v>893</v>
      </c>
      <c r="E4073" s="312" t="s">
        <v>5280</v>
      </c>
      <c r="F4073" s="399" t="s">
        <v>2925</v>
      </c>
      <c r="G4073" s="399" t="s">
        <v>2221</v>
      </c>
      <c r="H4073" s="1235"/>
    </row>
    <row r="4074" spans="1:8" hidden="1">
      <c r="A4074" s="495" t="s">
        <v>5058</v>
      </c>
      <c r="B4074" s="399" t="s">
        <v>1765</v>
      </c>
      <c r="C4074" s="399" t="s">
        <v>184</v>
      </c>
      <c r="D4074" s="399">
        <v>899</v>
      </c>
      <c r="E4074" s="312" t="s">
        <v>5281</v>
      </c>
      <c r="F4074" s="399" t="s">
        <v>2927</v>
      </c>
      <c r="G4074" s="399" t="s">
        <v>2221</v>
      </c>
      <c r="H4074" s="1235"/>
    </row>
    <row r="4075" spans="1:8" hidden="1">
      <c r="A4075" s="495" t="s">
        <v>5058</v>
      </c>
      <c r="B4075" s="399" t="s">
        <v>1765</v>
      </c>
      <c r="C4075" s="399" t="s">
        <v>184</v>
      </c>
      <c r="D4075" s="399">
        <v>900</v>
      </c>
      <c r="E4075" s="312" t="s">
        <v>5282</v>
      </c>
      <c r="F4075" s="399" t="s">
        <v>2928</v>
      </c>
      <c r="G4075" s="399" t="s">
        <v>2221</v>
      </c>
      <c r="H4075" s="1235"/>
    </row>
    <row r="4076" spans="1:8" hidden="1">
      <c r="A4076" s="495" t="s">
        <v>5058</v>
      </c>
      <c r="B4076" s="399" t="s">
        <v>1765</v>
      </c>
      <c r="C4076" s="399" t="s">
        <v>184</v>
      </c>
      <c r="D4076" s="399">
        <v>910</v>
      </c>
      <c r="E4076" s="312" t="s">
        <v>5283</v>
      </c>
      <c r="F4076" s="399" t="s">
        <v>2930</v>
      </c>
      <c r="G4076" s="399" t="s">
        <v>2221</v>
      </c>
      <c r="H4076" s="1235"/>
    </row>
    <row r="4077" spans="1:8" hidden="1">
      <c r="A4077" s="495" t="s">
        <v>5058</v>
      </c>
      <c r="B4077" s="399" t="s">
        <v>1765</v>
      </c>
      <c r="C4077" s="399" t="s">
        <v>184</v>
      </c>
      <c r="D4077" s="399">
        <v>990</v>
      </c>
      <c r="E4077" s="312" t="s">
        <v>5284</v>
      </c>
      <c r="F4077" s="399" t="s">
        <v>2932</v>
      </c>
      <c r="G4077" s="399" t="s">
        <v>2221</v>
      </c>
      <c r="H4077" s="1235"/>
    </row>
    <row r="4078" spans="1:8" hidden="1">
      <c r="A4078" s="495" t="s">
        <v>5058</v>
      </c>
      <c r="B4078" s="399" t="s">
        <v>1765</v>
      </c>
      <c r="C4078" s="399" t="s">
        <v>184</v>
      </c>
      <c r="D4078" s="399">
        <v>1000</v>
      </c>
      <c r="E4078" s="312" t="s">
        <v>5285</v>
      </c>
      <c r="F4078" s="399" t="s">
        <v>2933</v>
      </c>
      <c r="G4078" s="399" t="s">
        <v>2221</v>
      </c>
      <c r="H4078" s="1235"/>
    </row>
    <row r="4079" spans="1:8" hidden="1">
      <c r="A4079" s="495" t="s">
        <v>5058</v>
      </c>
      <c r="B4079" s="399" t="s">
        <v>1765</v>
      </c>
      <c r="C4079" s="399" t="s">
        <v>184</v>
      </c>
      <c r="D4079" s="399">
        <v>1010</v>
      </c>
      <c r="E4079" s="312" t="s">
        <v>5286</v>
      </c>
      <c r="F4079" s="399" t="s">
        <v>2935</v>
      </c>
      <c r="G4079" s="399" t="s">
        <v>2221</v>
      </c>
      <c r="H4079" s="1235"/>
    </row>
    <row r="4080" spans="1:8" hidden="1">
      <c r="A4080" s="495" t="s">
        <v>5058</v>
      </c>
      <c r="B4080" s="399" t="s">
        <v>1765</v>
      </c>
      <c r="C4080" s="399" t="s">
        <v>184</v>
      </c>
      <c r="D4080" s="399">
        <v>1011</v>
      </c>
      <c r="E4080" s="312" t="s">
        <v>5287</v>
      </c>
      <c r="F4080" s="399" t="s">
        <v>2937</v>
      </c>
      <c r="G4080" s="399" t="s">
        <v>2221</v>
      </c>
      <c r="H4080" s="1235"/>
    </row>
    <row r="4081" spans="1:8" hidden="1">
      <c r="A4081" s="495" t="s">
        <v>5058</v>
      </c>
      <c r="B4081" s="399" t="s">
        <v>1765</v>
      </c>
      <c r="C4081" s="399" t="s">
        <v>184</v>
      </c>
      <c r="D4081" s="399">
        <v>1012</v>
      </c>
      <c r="E4081" s="312" t="s">
        <v>5288</v>
      </c>
      <c r="F4081" s="399" t="s">
        <v>2939</v>
      </c>
      <c r="G4081" s="399" t="s">
        <v>2221</v>
      </c>
      <c r="H4081" s="1235"/>
    </row>
    <row r="4082" spans="1:8" hidden="1">
      <c r="A4082" s="495" t="s">
        <v>5058</v>
      </c>
      <c r="B4082" s="399" t="s">
        <v>1765</v>
      </c>
      <c r="C4082" s="399" t="s">
        <v>184</v>
      </c>
      <c r="D4082" s="399">
        <v>1013</v>
      </c>
      <c r="E4082" s="312" t="s">
        <v>5289</v>
      </c>
      <c r="F4082" s="399" t="s">
        <v>2941</v>
      </c>
      <c r="G4082" s="399" t="s">
        <v>2221</v>
      </c>
      <c r="H4082" s="1235"/>
    </row>
    <row r="4083" spans="1:8" hidden="1">
      <c r="A4083" s="495" t="s">
        <v>5058</v>
      </c>
      <c r="B4083" s="399" t="s">
        <v>1765</v>
      </c>
      <c r="C4083" s="399" t="s">
        <v>184</v>
      </c>
      <c r="D4083" s="399">
        <v>1020</v>
      </c>
      <c r="E4083" s="312" t="s">
        <v>5290</v>
      </c>
      <c r="F4083" s="399" t="s">
        <v>2943</v>
      </c>
      <c r="G4083" s="399" t="s">
        <v>2221</v>
      </c>
      <c r="H4083" s="1235"/>
    </row>
    <row r="4084" spans="1:8" hidden="1">
      <c r="A4084" s="495" t="s">
        <v>5058</v>
      </c>
      <c r="B4084" s="399" t="s">
        <v>1765</v>
      </c>
      <c r="C4084" s="399" t="s">
        <v>184</v>
      </c>
      <c r="D4084" s="399">
        <v>1030</v>
      </c>
      <c r="E4084" s="312" t="s">
        <v>5291</v>
      </c>
      <c r="F4084" s="399" t="s">
        <v>2945</v>
      </c>
      <c r="G4084" s="399" t="s">
        <v>2221</v>
      </c>
      <c r="H4084" s="1235"/>
    </row>
    <row r="4085" spans="1:8" hidden="1">
      <c r="A4085" s="495" t="s">
        <v>5058</v>
      </c>
      <c r="B4085" s="399" t="s">
        <v>1765</v>
      </c>
      <c r="C4085" s="399" t="s">
        <v>184</v>
      </c>
      <c r="D4085" s="399">
        <v>1031</v>
      </c>
      <c r="E4085" s="312" t="s">
        <v>5292</v>
      </c>
      <c r="F4085" s="399" t="s">
        <v>2947</v>
      </c>
      <c r="G4085" s="399" t="s">
        <v>2221</v>
      </c>
      <c r="H4085" s="1235"/>
    </row>
    <row r="4086" spans="1:8" hidden="1">
      <c r="A4086" s="495" t="s">
        <v>5058</v>
      </c>
      <c r="B4086" s="399" t="s">
        <v>1765</v>
      </c>
      <c r="C4086" s="399" t="s">
        <v>184</v>
      </c>
      <c r="D4086" s="399">
        <v>1032</v>
      </c>
      <c r="E4086" s="312" t="s">
        <v>5293</v>
      </c>
      <c r="F4086" s="399" t="s">
        <v>2949</v>
      </c>
      <c r="G4086" s="399" t="s">
        <v>2221</v>
      </c>
      <c r="H4086" s="1235"/>
    </row>
    <row r="4087" spans="1:8" hidden="1">
      <c r="A4087" s="495" t="s">
        <v>5058</v>
      </c>
      <c r="B4087" s="399" t="s">
        <v>1765</v>
      </c>
      <c r="C4087" s="399" t="s">
        <v>184</v>
      </c>
      <c r="D4087" s="399">
        <v>1039</v>
      </c>
      <c r="E4087" s="312" t="s">
        <v>5294</v>
      </c>
      <c r="F4087" s="399" t="s">
        <v>2951</v>
      </c>
      <c r="G4087" s="399" t="s">
        <v>2221</v>
      </c>
      <c r="H4087" s="1235"/>
    </row>
    <row r="4088" spans="1:8" hidden="1">
      <c r="A4088" s="495" t="s">
        <v>5058</v>
      </c>
      <c r="B4088" s="399" t="s">
        <v>1765</v>
      </c>
      <c r="C4088" s="399" t="s">
        <v>184</v>
      </c>
      <c r="D4088" s="399">
        <v>1040</v>
      </c>
      <c r="E4088" s="312" t="s">
        <v>5295</v>
      </c>
      <c r="F4088" s="399" t="s">
        <v>2953</v>
      </c>
      <c r="G4088" s="399" t="s">
        <v>2221</v>
      </c>
      <c r="H4088" s="1235"/>
    </row>
    <row r="4089" spans="1:8" hidden="1">
      <c r="A4089" s="495" t="s">
        <v>5058</v>
      </c>
      <c r="B4089" s="399" t="s">
        <v>1765</v>
      </c>
      <c r="C4089" s="399" t="s">
        <v>184</v>
      </c>
      <c r="D4089" s="399">
        <v>1041</v>
      </c>
      <c r="E4089" s="312" t="s">
        <v>5296</v>
      </c>
      <c r="F4089" s="399" t="s">
        <v>2955</v>
      </c>
      <c r="G4089" s="399" t="s">
        <v>2221</v>
      </c>
      <c r="H4089" s="1235"/>
    </row>
    <row r="4090" spans="1:8" hidden="1">
      <c r="A4090" s="495" t="s">
        <v>5058</v>
      </c>
      <c r="B4090" s="399" t="s">
        <v>1765</v>
      </c>
      <c r="C4090" s="399" t="s">
        <v>184</v>
      </c>
      <c r="D4090" s="399">
        <v>1042</v>
      </c>
      <c r="E4090" s="312" t="s">
        <v>5297</v>
      </c>
      <c r="F4090" s="399" t="s">
        <v>2957</v>
      </c>
      <c r="G4090" s="399" t="s">
        <v>2221</v>
      </c>
      <c r="H4090" s="1235"/>
    </row>
    <row r="4091" spans="1:8" hidden="1">
      <c r="A4091" s="495" t="s">
        <v>5058</v>
      </c>
      <c r="B4091" s="399" t="s">
        <v>1765</v>
      </c>
      <c r="C4091" s="399" t="s">
        <v>184</v>
      </c>
      <c r="D4091" s="399">
        <v>1050</v>
      </c>
      <c r="E4091" s="312" t="s">
        <v>5298</v>
      </c>
      <c r="F4091" s="399" t="s">
        <v>2959</v>
      </c>
      <c r="G4091" s="399" t="s">
        <v>2221</v>
      </c>
      <c r="H4091" s="1235"/>
    </row>
    <row r="4092" spans="1:8" hidden="1">
      <c r="A4092" s="495" t="s">
        <v>5058</v>
      </c>
      <c r="B4092" s="399" t="s">
        <v>1765</v>
      </c>
      <c r="C4092" s="399" t="s">
        <v>184</v>
      </c>
      <c r="D4092" s="399">
        <v>1051</v>
      </c>
      <c r="E4092" s="312" t="s">
        <v>5299</v>
      </c>
      <c r="F4092" s="399" t="s">
        <v>2961</v>
      </c>
      <c r="G4092" s="399" t="s">
        <v>2221</v>
      </c>
      <c r="H4092" s="1235"/>
    </row>
    <row r="4093" spans="1:8" hidden="1">
      <c r="A4093" s="495" t="s">
        <v>5058</v>
      </c>
      <c r="B4093" s="399" t="s">
        <v>1765</v>
      </c>
      <c r="C4093" s="399" t="s">
        <v>184</v>
      </c>
      <c r="D4093" s="399">
        <v>1052</v>
      </c>
      <c r="E4093" s="312" t="s">
        <v>5300</v>
      </c>
      <c r="F4093" s="399" t="s">
        <v>2963</v>
      </c>
      <c r="G4093" s="399" t="s">
        <v>2221</v>
      </c>
      <c r="H4093" s="1235"/>
    </row>
    <row r="4094" spans="1:8" hidden="1">
      <c r="A4094" s="495" t="s">
        <v>5058</v>
      </c>
      <c r="B4094" s="399" t="s">
        <v>1765</v>
      </c>
      <c r="C4094" s="399" t="s">
        <v>184</v>
      </c>
      <c r="D4094" s="399">
        <v>1060</v>
      </c>
      <c r="E4094" s="312" t="s">
        <v>5301</v>
      </c>
      <c r="F4094" s="399" t="s">
        <v>2965</v>
      </c>
      <c r="G4094" s="399" t="s">
        <v>2221</v>
      </c>
      <c r="H4094" s="1235"/>
    </row>
    <row r="4095" spans="1:8" hidden="1">
      <c r="A4095" s="495" t="s">
        <v>5058</v>
      </c>
      <c r="B4095" s="399" t="s">
        <v>1765</v>
      </c>
      <c r="C4095" s="399" t="s">
        <v>184</v>
      </c>
      <c r="D4095" s="399">
        <v>1061</v>
      </c>
      <c r="E4095" s="312" t="s">
        <v>5302</v>
      </c>
      <c r="F4095" s="399" t="s">
        <v>2967</v>
      </c>
      <c r="G4095" s="399" t="s">
        <v>2221</v>
      </c>
      <c r="H4095" s="1235"/>
    </row>
    <row r="4096" spans="1:8" hidden="1">
      <c r="A4096" s="495" t="s">
        <v>5058</v>
      </c>
      <c r="B4096" s="399" t="s">
        <v>1765</v>
      </c>
      <c r="C4096" s="399" t="s">
        <v>184</v>
      </c>
      <c r="D4096" s="399">
        <v>1062</v>
      </c>
      <c r="E4096" s="312" t="s">
        <v>5303</v>
      </c>
      <c r="F4096" s="399" t="s">
        <v>2969</v>
      </c>
      <c r="G4096" s="399" t="s">
        <v>2221</v>
      </c>
      <c r="H4096" s="1235"/>
    </row>
    <row r="4097" spans="1:8" hidden="1">
      <c r="A4097" s="495" t="s">
        <v>5058</v>
      </c>
      <c r="B4097" s="399" t="s">
        <v>1765</v>
      </c>
      <c r="C4097" s="399" t="s">
        <v>184</v>
      </c>
      <c r="D4097" s="399">
        <v>1070</v>
      </c>
      <c r="E4097" s="312" t="s">
        <v>5304</v>
      </c>
      <c r="F4097" s="399" t="s">
        <v>2971</v>
      </c>
      <c r="G4097" s="399" t="s">
        <v>2221</v>
      </c>
      <c r="H4097" s="1235"/>
    </row>
    <row r="4098" spans="1:8" hidden="1">
      <c r="A4098" s="495" t="s">
        <v>5058</v>
      </c>
      <c r="B4098" s="399" t="s">
        <v>1765</v>
      </c>
      <c r="C4098" s="399" t="s">
        <v>184</v>
      </c>
      <c r="D4098" s="399">
        <v>1071</v>
      </c>
      <c r="E4098" s="312" t="s">
        <v>5305</v>
      </c>
      <c r="F4098" s="399" t="s">
        <v>2973</v>
      </c>
      <c r="G4098" s="399" t="s">
        <v>2221</v>
      </c>
      <c r="H4098" s="1235"/>
    </row>
    <row r="4099" spans="1:8" hidden="1">
      <c r="A4099" s="495" t="s">
        <v>5058</v>
      </c>
      <c r="B4099" s="399" t="s">
        <v>1765</v>
      </c>
      <c r="C4099" s="399" t="s">
        <v>184</v>
      </c>
      <c r="D4099" s="399">
        <v>1072</v>
      </c>
      <c r="E4099" s="312" t="s">
        <v>5306</v>
      </c>
      <c r="F4099" s="399" t="s">
        <v>2975</v>
      </c>
      <c r="G4099" s="399" t="s">
        <v>2221</v>
      </c>
      <c r="H4099" s="1235"/>
    </row>
    <row r="4100" spans="1:8" hidden="1">
      <c r="A4100" s="495" t="s">
        <v>5058</v>
      </c>
      <c r="B4100" s="399" t="s">
        <v>1765</v>
      </c>
      <c r="C4100" s="399" t="s">
        <v>184</v>
      </c>
      <c r="D4100" s="399">
        <v>1073</v>
      </c>
      <c r="E4100" s="312" t="s">
        <v>5307</v>
      </c>
      <c r="F4100" s="399" t="s">
        <v>2977</v>
      </c>
      <c r="G4100" s="399" t="s">
        <v>2221</v>
      </c>
      <c r="H4100" s="1235"/>
    </row>
    <row r="4101" spans="1:8" hidden="1">
      <c r="A4101" s="495" t="s">
        <v>5058</v>
      </c>
      <c r="B4101" s="399" t="s">
        <v>1765</v>
      </c>
      <c r="C4101" s="399" t="s">
        <v>184</v>
      </c>
      <c r="D4101" s="399">
        <v>1080</v>
      </c>
      <c r="E4101" s="312" t="s">
        <v>5308</v>
      </c>
      <c r="F4101" s="399" t="s">
        <v>2979</v>
      </c>
      <c r="G4101" s="399" t="s">
        <v>2221</v>
      </c>
      <c r="H4101" s="1235"/>
    </row>
    <row r="4102" spans="1:8" hidden="1">
      <c r="A4102" s="495" t="s">
        <v>5058</v>
      </c>
      <c r="B4102" s="399" t="s">
        <v>1765</v>
      </c>
      <c r="C4102" s="399" t="s">
        <v>184</v>
      </c>
      <c r="D4102" s="399">
        <v>1081</v>
      </c>
      <c r="E4102" s="312" t="s">
        <v>5309</v>
      </c>
      <c r="F4102" s="399" t="s">
        <v>2981</v>
      </c>
      <c r="G4102" s="399" t="s">
        <v>2221</v>
      </c>
      <c r="H4102" s="1235"/>
    </row>
    <row r="4103" spans="1:8" hidden="1">
      <c r="A4103" s="495" t="s">
        <v>5058</v>
      </c>
      <c r="B4103" s="399" t="s">
        <v>1765</v>
      </c>
      <c r="C4103" s="399" t="s">
        <v>184</v>
      </c>
      <c r="D4103" s="399">
        <v>1082</v>
      </c>
      <c r="E4103" s="312" t="s">
        <v>5310</v>
      </c>
      <c r="F4103" s="399" t="s">
        <v>2983</v>
      </c>
      <c r="G4103" s="399" t="s">
        <v>2221</v>
      </c>
      <c r="H4103" s="1235"/>
    </row>
    <row r="4104" spans="1:8" hidden="1">
      <c r="A4104" s="495" t="s">
        <v>5058</v>
      </c>
      <c r="B4104" s="399" t="s">
        <v>1765</v>
      </c>
      <c r="C4104" s="399" t="s">
        <v>184</v>
      </c>
      <c r="D4104" s="399">
        <v>1083</v>
      </c>
      <c r="E4104" s="312" t="s">
        <v>5311</v>
      </c>
      <c r="F4104" s="399" t="s">
        <v>2985</v>
      </c>
      <c r="G4104" s="399" t="s">
        <v>2221</v>
      </c>
      <c r="H4104" s="1235"/>
    </row>
    <row r="4105" spans="1:8" hidden="1">
      <c r="A4105" s="495" t="s">
        <v>5058</v>
      </c>
      <c r="B4105" s="399" t="s">
        <v>1765</v>
      </c>
      <c r="C4105" s="399" t="s">
        <v>184</v>
      </c>
      <c r="D4105" s="399">
        <v>1084</v>
      </c>
      <c r="E4105" s="312" t="s">
        <v>5312</v>
      </c>
      <c r="F4105" s="399" t="s">
        <v>2987</v>
      </c>
      <c r="G4105" s="399" t="s">
        <v>2221</v>
      </c>
      <c r="H4105" s="1235"/>
    </row>
    <row r="4106" spans="1:8" hidden="1">
      <c r="A4106" s="495" t="s">
        <v>5058</v>
      </c>
      <c r="B4106" s="399" t="s">
        <v>1765</v>
      </c>
      <c r="C4106" s="399" t="s">
        <v>184</v>
      </c>
      <c r="D4106" s="399">
        <v>1085</v>
      </c>
      <c r="E4106" s="312" t="s">
        <v>5313</v>
      </c>
      <c r="F4106" s="399" t="s">
        <v>2989</v>
      </c>
      <c r="G4106" s="399" t="s">
        <v>2221</v>
      </c>
      <c r="H4106" s="1235"/>
    </row>
    <row r="4107" spans="1:8" hidden="1">
      <c r="A4107" s="495" t="s">
        <v>5058</v>
      </c>
      <c r="B4107" s="399" t="s">
        <v>1765</v>
      </c>
      <c r="C4107" s="399" t="s">
        <v>184</v>
      </c>
      <c r="D4107" s="399">
        <v>1086</v>
      </c>
      <c r="E4107" s="312" t="s">
        <v>5314</v>
      </c>
      <c r="F4107" s="399" t="s">
        <v>2991</v>
      </c>
      <c r="G4107" s="399" t="s">
        <v>2221</v>
      </c>
      <c r="H4107" s="1235"/>
    </row>
    <row r="4108" spans="1:8" hidden="1">
      <c r="A4108" s="495" t="s">
        <v>5058</v>
      </c>
      <c r="B4108" s="399" t="s">
        <v>1765</v>
      </c>
      <c r="C4108" s="399" t="s">
        <v>184</v>
      </c>
      <c r="D4108" s="399">
        <v>1089</v>
      </c>
      <c r="E4108" s="312" t="s">
        <v>5315</v>
      </c>
      <c r="F4108" s="399" t="s">
        <v>2993</v>
      </c>
      <c r="G4108" s="399" t="s">
        <v>2221</v>
      </c>
      <c r="H4108" s="1235"/>
    </row>
    <row r="4109" spans="1:8" hidden="1">
      <c r="A4109" s="495" t="s">
        <v>5058</v>
      </c>
      <c r="B4109" s="399" t="s">
        <v>1765</v>
      </c>
      <c r="C4109" s="399" t="s">
        <v>184</v>
      </c>
      <c r="D4109" s="399">
        <v>1090</v>
      </c>
      <c r="E4109" s="312" t="s">
        <v>5316</v>
      </c>
      <c r="F4109" s="399" t="s">
        <v>2995</v>
      </c>
      <c r="G4109" s="399" t="s">
        <v>2221</v>
      </c>
      <c r="H4109" s="1235"/>
    </row>
    <row r="4110" spans="1:8" hidden="1">
      <c r="A4110" s="495" t="s">
        <v>5058</v>
      </c>
      <c r="B4110" s="399" t="s">
        <v>1765</v>
      </c>
      <c r="C4110" s="399" t="s">
        <v>184</v>
      </c>
      <c r="D4110" s="399">
        <v>1091</v>
      </c>
      <c r="E4110" s="312" t="s">
        <v>5317</v>
      </c>
      <c r="F4110" s="399" t="s">
        <v>2997</v>
      </c>
      <c r="G4110" s="399" t="s">
        <v>2221</v>
      </c>
      <c r="H4110" s="1235"/>
    </row>
    <row r="4111" spans="1:8" hidden="1">
      <c r="A4111" s="495" t="s">
        <v>5058</v>
      </c>
      <c r="B4111" s="399" t="s">
        <v>1765</v>
      </c>
      <c r="C4111" s="399" t="s">
        <v>184</v>
      </c>
      <c r="D4111" s="399">
        <v>1092</v>
      </c>
      <c r="E4111" s="312" t="s">
        <v>5318</v>
      </c>
      <c r="F4111" s="399" t="s">
        <v>2999</v>
      </c>
      <c r="G4111" s="399" t="s">
        <v>2221</v>
      </c>
      <c r="H4111" s="1235"/>
    </row>
    <row r="4112" spans="1:8" hidden="1">
      <c r="A4112" s="495" t="s">
        <v>5058</v>
      </c>
      <c r="B4112" s="399" t="s">
        <v>1765</v>
      </c>
      <c r="C4112" s="399" t="s">
        <v>184</v>
      </c>
      <c r="D4112" s="399">
        <v>1100</v>
      </c>
      <c r="E4112" s="312" t="s">
        <v>5319</v>
      </c>
      <c r="F4112" s="399" t="s">
        <v>3000</v>
      </c>
      <c r="G4112" s="399" t="s">
        <v>2221</v>
      </c>
      <c r="H4112" s="1235"/>
    </row>
    <row r="4113" spans="1:8" hidden="1">
      <c r="A4113" s="495" t="s">
        <v>5058</v>
      </c>
      <c r="B4113" s="399" t="s">
        <v>1765</v>
      </c>
      <c r="C4113" s="399" t="s">
        <v>184</v>
      </c>
      <c r="D4113" s="399">
        <v>1101</v>
      </c>
      <c r="E4113" s="312" t="s">
        <v>5320</v>
      </c>
      <c r="F4113" s="399" t="s">
        <v>3002</v>
      </c>
      <c r="G4113" s="399" t="s">
        <v>2221</v>
      </c>
      <c r="H4113" s="1235"/>
    </row>
    <row r="4114" spans="1:8" hidden="1">
      <c r="A4114" s="495" t="s">
        <v>5058</v>
      </c>
      <c r="B4114" s="399" t="s">
        <v>1765</v>
      </c>
      <c r="C4114" s="399" t="s">
        <v>184</v>
      </c>
      <c r="D4114" s="399">
        <v>1102</v>
      </c>
      <c r="E4114" s="312" t="s">
        <v>5321</v>
      </c>
      <c r="F4114" s="399" t="s">
        <v>3004</v>
      </c>
      <c r="G4114" s="399" t="s">
        <v>2221</v>
      </c>
      <c r="H4114" s="1235"/>
    </row>
    <row r="4115" spans="1:8" hidden="1">
      <c r="A4115" s="495" t="s">
        <v>5058</v>
      </c>
      <c r="B4115" s="399" t="s">
        <v>1765</v>
      </c>
      <c r="C4115" s="399" t="s">
        <v>184</v>
      </c>
      <c r="D4115" s="399">
        <v>1103</v>
      </c>
      <c r="E4115" s="312" t="s">
        <v>5322</v>
      </c>
      <c r="F4115" s="399" t="s">
        <v>3006</v>
      </c>
      <c r="G4115" s="399" t="s">
        <v>2221</v>
      </c>
      <c r="H4115" s="1235"/>
    </row>
    <row r="4116" spans="1:8" hidden="1">
      <c r="A4116" s="495" t="s">
        <v>5058</v>
      </c>
      <c r="B4116" s="399" t="s">
        <v>1765</v>
      </c>
      <c r="C4116" s="399" t="s">
        <v>184</v>
      </c>
      <c r="D4116" s="399">
        <v>1104</v>
      </c>
      <c r="E4116" s="312" t="s">
        <v>5323</v>
      </c>
      <c r="F4116" s="399" t="s">
        <v>3008</v>
      </c>
      <c r="G4116" s="399" t="s">
        <v>2221</v>
      </c>
      <c r="H4116" s="1235"/>
    </row>
    <row r="4117" spans="1:8" hidden="1">
      <c r="A4117" s="495" t="s">
        <v>5058</v>
      </c>
      <c r="B4117" s="399" t="s">
        <v>1765</v>
      </c>
      <c r="C4117" s="399" t="s">
        <v>184</v>
      </c>
      <c r="D4117" s="399">
        <v>1105</v>
      </c>
      <c r="E4117" s="312" t="s">
        <v>5324</v>
      </c>
      <c r="F4117" s="399" t="s">
        <v>3010</v>
      </c>
      <c r="G4117" s="399" t="s">
        <v>2221</v>
      </c>
      <c r="H4117" s="1235"/>
    </row>
    <row r="4118" spans="1:8" hidden="1">
      <c r="A4118" s="495" t="s">
        <v>5058</v>
      </c>
      <c r="B4118" s="399" t="s">
        <v>1765</v>
      </c>
      <c r="C4118" s="399" t="s">
        <v>184</v>
      </c>
      <c r="D4118" s="399">
        <v>1106</v>
      </c>
      <c r="E4118" s="312" t="s">
        <v>5325</v>
      </c>
      <c r="F4118" s="399" t="s">
        <v>3012</v>
      </c>
      <c r="G4118" s="399" t="s">
        <v>2221</v>
      </c>
      <c r="H4118" s="1235"/>
    </row>
    <row r="4119" spans="1:8" hidden="1">
      <c r="A4119" s="495" t="s">
        <v>5058</v>
      </c>
      <c r="B4119" s="399" t="s">
        <v>1765</v>
      </c>
      <c r="C4119" s="399" t="s">
        <v>184</v>
      </c>
      <c r="D4119" s="399">
        <v>1107</v>
      </c>
      <c r="E4119" s="312" t="s">
        <v>5326</v>
      </c>
      <c r="F4119" s="399" t="s">
        <v>3014</v>
      </c>
      <c r="G4119" s="399" t="s">
        <v>2221</v>
      </c>
      <c r="H4119" s="1235"/>
    </row>
    <row r="4120" spans="1:8" hidden="1">
      <c r="A4120" s="495" t="s">
        <v>5058</v>
      </c>
      <c r="B4120" s="399" t="s">
        <v>1765</v>
      </c>
      <c r="C4120" s="399" t="s">
        <v>184</v>
      </c>
      <c r="D4120" s="399">
        <v>1200</v>
      </c>
      <c r="E4120" s="312" t="s">
        <v>5327</v>
      </c>
      <c r="F4120" s="399" t="s">
        <v>3015</v>
      </c>
      <c r="G4120" s="399" t="s">
        <v>2221</v>
      </c>
      <c r="H4120" s="1235"/>
    </row>
    <row r="4121" spans="1:8" hidden="1">
      <c r="A4121" s="495" t="s">
        <v>5058</v>
      </c>
      <c r="B4121" s="399" t="s">
        <v>1765</v>
      </c>
      <c r="C4121" s="399" t="s">
        <v>184</v>
      </c>
      <c r="D4121" s="399">
        <v>1300</v>
      </c>
      <c r="E4121" s="312" t="s">
        <v>5328</v>
      </c>
      <c r="F4121" s="399" t="s">
        <v>3016</v>
      </c>
      <c r="G4121" s="399" t="s">
        <v>2221</v>
      </c>
      <c r="H4121" s="1235"/>
    </row>
    <row r="4122" spans="1:8" hidden="1">
      <c r="A4122" s="495" t="s">
        <v>5058</v>
      </c>
      <c r="B4122" s="399" t="s">
        <v>1765</v>
      </c>
      <c r="C4122" s="399" t="s">
        <v>184</v>
      </c>
      <c r="D4122" s="399">
        <v>1310</v>
      </c>
      <c r="E4122" s="312" t="s">
        <v>5329</v>
      </c>
      <c r="F4122" s="399" t="s">
        <v>3018</v>
      </c>
      <c r="G4122" s="399" t="s">
        <v>2221</v>
      </c>
      <c r="H4122" s="1235"/>
    </row>
    <row r="4123" spans="1:8" hidden="1">
      <c r="A4123" s="495" t="s">
        <v>5058</v>
      </c>
      <c r="B4123" s="399" t="s">
        <v>1765</v>
      </c>
      <c r="C4123" s="399" t="s">
        <v>184</v>
      </c>
      <c r="D4123" s="399">
        <v>1320</v>
      </c>
      <c r="E4123" s="312" t="s">
        <v>5330</v>
      </c>
      <c r="F4123" s="399" t="s">
        <v>3020</v>
      </c>
      <c r="G4123" s="399" t="s">
        <v>2221</v>
      </c>
      <c r="H4123" s="1235"/>
    </row>
    <row r="4124" spans="1:8" hidden="1">
      <c r="A4124" s="495" t="s">
        <v>5058</v>
      </c>
      <c r="B4124" s="399" t="s">
        <v>1765</v>
      </c>
      <c r="C4124" s="399" t="s">
        <v>184</v>
      </c>
      <c r="D4124" s="399">
        <v>1330</v>
      </c>
      <c r="E4124" s="312" t="s">
        <v>5331</v>
      </c>
      <c r="F4124" s="399" t="s">
        <v>3022</v>
      </c>
      <c r="G4124" s="399" t="s">
        <v>2221</v>
      </c>
      <c r="H4124" s="1235"/>
    </row>
    <row r="4125" spans="1:8" hidden="1">
      <c r="A4125" s="495" t="s">
        <v>5058</v>
      </c>
      <c r="B4125" s="399" t="s">
        <v>1765</v>
      </c>
      <c r="C4125" s="399" t="s">
        <v>184</v>
      </c>
      <c r="D4125" s="399">
        <v>1390</v>
      </c>
      <c r="E4125" s="312" t="s">
        <v>5332</v>
      </c>
      <c r="F4125" s="399" t="s">
        <v>3024</v>
      </c>
      <c r="G4125" s="399" t="s">
        <v>2221</v>
      </c>
      <c r="H4125" s="1235"/>
    </row>
    <row r="4126" spans="1:8" hidden="1">
      <c r="A4126" s="495" t="s">
        <v>5058</v>
      </c>
      <c r="B4126" s="399" t="s">
        <v>1765</v>
      </c>
      <c r="C4126" s="399" t="s">
        <v>184</v>
      </c>
      <c r="D4126" s="399">
        <v>1391</v>
      </c>
      <c r="E4126" s="312" t="s">
        <v>5333</v>
      </c>
      <c r="F4126" s="399" t="s">
        <v>3026</v>
      </c>
      <c r="G4126" s="399" t="s">
        <v>2221</v>
      </c>
      <c r="H4126" s="1235"/>
    </row>
    <row r="4127" spans="1:8" hidden="1">
      <c r="A4127" s="495" t="s">
        <v>5058</v>
      </c>
      <c r="B4127" s="399" t="s">
        <v>1765</v>
      </c>
      <c r="C4127" s="399" t="s">
        <v>184</v>
      </c>
      <c r="D4127" s="399">
        <v>1392</v>
      </c>
      <c r="E4127" s="312" t="s">
        <v>5334</v>
      </c>
      <c r="F4127" s="399" t="s">
        <v>3028</v>
      </c>
      <c r="G4127" s="399" t="s">
        <v>2221</v>
      </c>
      <c r="H4127" s="1235"/>
    </row>
    <row r="4128" spans="1:8" hidden="1">
      <c r="A4128" s="495" t="s">
        <v>5058</v>
      </c>
      <c r="B4128" s="399" t="s">
        <v>1765</v>
      </c>
      <c r="C4128" s="399" t="s">
        <v>184</v>
      </c>
      <c r="D4128" s="399">
        <v>1393</v>
      </c>
      <c r="E4128" s="312" t="s">
        <v>5335</v>
      </c>
      <c r="F4128" s="399" t="s">
        <v>3030</v>
      </c>
      <c r="G4128" s="399" t="s">
        <v>2221</v>
      </c>
      <c r="H4128" s="1235"/>
    </row>
    <row r="4129" spans="1:8" hidden="1">
      <c r="A4129" s="495" t="s">
        <v>5058</v>
      </c>
      <c r="B4129" s="399" t="s">
        <v>1765</v>
      </c>
      <c r="C4129" s="399" t="s">
        <v>184</v>
      </c>
      <c r="D4129" s="399">
        <v>1394</v>
      </c>
      <c r="E4129" s="312" t="s">
        <v>5336</v>
      </c>
      <c r="F4129" s="399" t="s">
        <v>3032</v>
      </c>
      <c r="G4129" s="399" t="s">
        <v>2221</v>
      </c>
      <c r="H4129" s="1235"/>
    </row>
    <row r="4130" spans="1:8" hidden="1">
      <c r="A4130" s="495" t="s">
        <v>5058</v>
      </c>
      <c r="B4130" s="399" t="s">
        <v>1765</v>
      </c>
      <c r="C4130" s="399" t="s">
        <v>184</v>
      </c>
      <c r="D4130" s="399">
        <v>1395</v>
      </c>
      <c r="E4130" s="312" t="s">
        <v>5337</v>
      </c>
      <c r="F4130" s="399" t="s">
        <v>3034</v>
      </c>
      <c r="G4130" s="399" t="s">
        <v>2221</v>
      </c>
      <c r="H4130" s="1235"/>
    </row>
    <row r="4131" spans="1:8" hidden="1">
      <c r="A4131" s="495" t="s">
        <v>5058</v>
      </c>
      <c r="B4131" s="399" t="s">
        <v>1765</v>
      </c>
      <c r="C4131" s="399" t="s">
        <v>184</v>
      </c>
      <c r="D4131" s="399">
        <v>1396</v>
      </c>
      <c r="E4131" s="312" t="s">
        <v>5338</v>
      </c>
      <c r="F4131" s="399" t="s">
        <v>3036</v>
      </c>
      <c r="G4131" s="399" t="s">
        <v>2221</v>
      </c>
      <c r="H4131" s="1235"/>
    </row>
    <row r="4132" spans="1:8" hidden="1">
      <c r="A4132" s="495" t="s">
        <v>5058</v>
      </c>
      <c r="B4132" s="399" t="s">
        <v>1765</v>
      </c>
      <c r="C4132" s="399" t="s">
        <v>184</v>
      </c>
      <c r="D4132" s="399">
        <v>1399</v>
      </c>
      <c r="E4132" s="312" t="s">
        <v>5339</v>
      </c>
      <c r="F4132" s="399" t="s">
        <v>3038</v>
      </c>
      <c r="G4132" s="399" t="s">
        <v>2221</v>
      </c>
      <c r="H4132" s="1235"/>
    </row>
    <row r="4133" spans="1:8" hidden="1">
      <c r="A4133" s="495" t="s">
        <v>5058</v>
      </c>
      <c r="B4133" s="399" t="s">
        <v>1765</v>
      </c>
      <c r="C4133" s="399" t="s">
        <v>184</v>
      </c>
      <c r="D4133" s="399">
        <v>1400</v>
      </c>
      <c r="E4133" s="312" t="s">
        <v>5340</v>
      </c>
      <c r="F4133" s="399" t="s">
        <v>3039</v>
      </c>
      <c r="G4133" s="399" t="s">
        <v>2221</v>
      </c>
      <c r="H4133" s="1235"/>
    </row>
    <row r="4134" spans="1:8" hidden="1">
      <c r="A4134" s="495" t="s">
        <v>5058</v>
      </c>
      <c r="B4134" s="399" t="s">
        <v>1765</v>
      </c>
      <c r="C4134" s="399" t="s">
        <v>184</v>
      </c>
      <c r="D4134" s="399">
        <v>1410</v>
      </c>
      <c r="E4134" s="312" t="s">
        <v>5341</v>
      </c>
      <c r="F4134" s="399" t="s">
        <v>3041</v>
      </c>
      <c r="G4134" s="399" t="s">
        <v>2221</v>
      </c>
      <c r="H4134" s="1235"/>
    </row>
    <row r="4135" spans="1:8" hidden="1">
      <c r="A4135" s="495" t="s">
        <v>5058</v>
      </c>
      <c r="B4135" s="399" t="s">
        <v>1765</v>
      </c>
      <c r="C4135" s="399" t="s">
        <v>184</v>
      </c>
      <c r="D4135" s="399">
        <v>1411</v>
      </c>
      <c r="E4135" s="312" t="s">
        <v>5342</v>
      </c>
      <c r="F4135" s="399" t="s">
        <v>3043</v>
      </c>
      <c r="G4135" s="399" t="s">
        <v>2221</v>
      </c>
      <c r="H4135" s="1235"/>
    </row>
    <row r="4136" spans="1:8" hidden="1">
      <c r="A4136" s="495" t="s">
        <v>5058</v>
      </c>
      <c r="B4136" s="399" t="s">
        <v>1765</v>
      </c>
      <c r="C4136" s="399" t="s">
        <v>184</v>
      </c>
      <c r="D4136" s="399">
        <v>1412</v>
      </c>
      <c r="E4136" s="312" t="s">
        <v>5343</v>
      </c>
      <c r="F4136" s="399" t="s">
        <v>3045</v>
      </c>
      <c r="G4136" s="399" t="s">
        <v>2221</v>
      </c>
      <c r="H4136" s="1235"/>
    </row>
    <row r="4137" spans="1:8" hidden="1">
      <c r="A4137" s="495" t="s">
        <v>5058</v>
      </c>
      <c r="B4137" s="399" t="s">
        <v>1765</v>
      </c>
      <c r="C4137" s="399" t="s">
        <v>184</v>
      </c>
      <c r="D4137" s="399">
        <v>1413</v>
      </c>
      <c r="E4137" s="312" t="s">
        <v>5344</v>
      </c>
      <c r="F4137" s="399" t="s">
        <v>3047</v>
      </c>
      <c r="G4137" s="399" t="s">
        <v>2221</v>
      </c>
      <c r="H4137" s="1235"/>
    </row>
    <row r="4138" spans="1:8" hidden="1">
      <c r="A4138" s="495" t="s">
        <v>5058</v>
      </c>
      <c r="B4138" s="399" t="s">
        <v>1765</v>
      </c>
      <c r="C4138" s="399" t="s">
        <v>184</v>
      </c>
      <c r="D4138" s="399">
        <v>1414</v>
      </c>
      <c r="E4138" s="312" t="s">
        <v>5345</v>
      </c>
      <c r="F4138" s="399" t="s">
        <v>3049</v>
      </c>
      <c r="G4138" s="399" t="s">
        <v>2221</v>
      </c>
      <c r="H4138" s="1235"/>
    </row>
    <row r="4139" spans="1:8" hidden="1">
      <c r="A4139" s="495" t="s">
        <v>5058</v>
      </c>
      <c r="B4139" s="399" t="s">
        <v>1765</v>
      </c>
      <c r="C4139" s="399" t="s">
        <v>184</v>
      </c>
      <c r="D4139" s="399">
        <v>1419</v>
      </c>
      <c r="E4139" s="312" t="s">
        <v>5346</v>
      </c>
      <c r="F4139" s="399" t="s">
        <v>3051</v>
      </c>
      <c r="G4139" s="399" t="s">
        <v>2221</v>
      </c>
      <c r="H4139" s="1235"/>
    </row>
    <row r="4140" spans="1:8" hidden="1">
      <c r="A4140" s="495" t="s">
        <v>5058</v>
      </c>
      <c r="B4140" s="399" t="s">
        <v>1765</v>
      </c>
      <c r="C4140" s="399" t="s">
        <v>184</v>
      </c>
      <c r="D4140" s="399">
        <v>1420</v>
      </c>
      <c r="E4140" s="312" t="s">
        <v>5347</v>
      </c>
      <c r="F4140" s="399" t="s">
        <v>3053</v>
      </c>
      <c r="G4140" s="399" t="s">
        <v>2221</v>
      </c>
      <c r="H4140" s="1235"/>
    </row>
    <row r="4141" spans="1:8" hidden="1">
      <c r="A4141" s="495" t="s">
        <v>5058</v>
      </c>
      <c r="B4141" s="399" t="s">
        <v>1765</v>
      </c>
      <c r="C4141" s="399" t="s">
        <v>184</v>
      </c>
      <c r="D4141" s="399">
        <v>1430</v>
      </c>
      <c r="E4141" s="312" t="s">
        <v>5348</v>
      </c>
      <c r="F4141" s="399" t="s">
        <v>3055</v>
      </c>
      <c r="G4141" s="399" t="s">
        <v>2221</v>
      </c>
      <c r="H4141" s="1235"/>
    </row>
    <row r="4142" spans="1:8" hidden="1">
      <c r="A4142" s="495" t="s">
        <v>5058</v>
      </c>
      <c r="B4142" s="399" t="s">
        <v>1765</v>
      </c>
      <c r="C4142" s="399" t="s">
        <v>184</v>
      </c>
      <c r="D4142" s="399">
        <v>1431</v>
      </c>
      <c r="E4142" s="312" t="s">
        <v>5349</v>
      </c>
      <c r="F4142" s="399" t="s">
        <v>3057</v>
      </c>
      <c r="G4142" s="399" t="s">
        <v>2221</v>
      </c>
      <c r="H4142" s="1235"/>
    </row>
    <row r="4143" spans="1:8" hidden="1">
      <c r="A4143" s="495" t="s">
        <v>5058</v>
      </c>
      <c r="B4143" s="399" t="s">
        <v>1765</v>
      </c>
      <c r="C4143" s="399" t="s">
        <v>184</v>
      </c>
      <c r="D4143" s="399">
        <v>1439</v>
      </c>
      <c r="E4143" s="312" t="s">
        <v>5350</v>
      </c>
      <c r="F4143" s="399" t="s">
        <v>3059</v>
      </c>
      <c r="G4143" s="399" t="s">
        <v>2221</v>
      </c>
      <c r="H4143" s="1235"/>
    </row>
    <row r="4144" spans="1:8" hidden="1">
      <c r="A4144" s="495" t="s">
        <v>5058</v>
      </c>
      <c r="B4144" s="399" t="s">
        <v>1765</v>
      </c>
      <c r="C4144" s="399" t="s">
        <v>184</v>
      </c>
      <c r="D4144" s="399">
        <v>1500</v>
      </c>
      <c r="E4144" s="312" t="s">
        <v>5351</v>
      </c>
      <c r="F4144" s="399" t="s">
        <v>3060</v>
      </c>
      <c r="G4144" s="399" t="s">
        <v>2221</v>
      </c>
      <c r="H4144" s="1235"/>
    </row>
    <row r="4145" spans="1:8" hidden="1">
      <c r="A4145" s="495" t="s">
        <v>5058</v>
      </c>
      <c r="B4145" s="399" t="s">
        <v>1765</v>
      </c>
      <c r="C4145" s="399" t="s">
        <v>184</v>
      </c>
      <c r="D4145" s="399">
        <v>1510</v>
      </c>
      <c r="E4145" s="312" t="s">
        <v>5352</v>
      </c>
      <c r="F4145" s="399" t="s">
        <v>3062</v>
      </c>
      <c r="G4145" s="399" t="s">
        <v>2221</v>
      </c>
      <c r="H4145" s="1235"/>
    </row>
    <row r="4146" spans="1:8" hidden="1">
      <c r="A4146" s="495" t="s">
        <v>5058</v>
      </c>
      <c r="B4146" s="399" t="s">
        <v>1765</v>
      </c>
      <c r="C4146" s="399" t="s">
        <v>184</v>
      </c>
      <c r="D4146" s="399">
        <v>1511</v>
      </c>
      <c r="E4146" s="312" t="s">
        <v>5353</v>
      </c>
      <c r="F4146" s="399" t="s">
        <v>3064</v>
      </c>
      <c r="G4146" s="399" t="s">
        <v>2221</v>
      </c>
      <c r="H4146" s="1235"/>
    </row>
    <row r="4147" spans="1:8" hidden="1">
      <c r="A4147" s="495" t="s">
        <v>5058</v>
      </c>
      <c r="B4147" s="399" t="s">
        <v>1765</v>
      </c>
      <c r="C4147" s="399" t="s">
        <v>184</v>
      </c>
      <c r="D4147" s="399">
        <v>1512</v>
      </c>
      <c r="E4147" s="312" t="s">
        <v>5354</v>
      </c>
      <c r="F4147" s="399" t="s">
        <v>3066</v>
      </c>
      <c r="G4147" s="399" t="s">
        <v>2221</v>
      </c>
      <c r="H4147" s="1235"/>
    </row>
    <row r="4148" spans="1:8" hidden="1">
      <c r="A4148" s="495" t="s">
        <v>5058</v>
      </c>
      <c r="B4148" s="399" t="s">
        <v>1765</v>
      </c>
      <c r="C4148" s="399" t="s">
        <v>184</v>
      </c>
      <c r="D4148" s="399">
        <v>1520</v>
      </c>
      <c r="E4148" s="312" t="s">
        <v>5355</v>
      </c>
      <c r="F4148" s="399" t="s">
        <v>3068</v>
      </c>
      <c r="G4148" s="399" t="s">
        <v>2221</v>
      </c>
      <c r="H4148" s="1235"/>
    </row>
    <row r="4149" spans="1:8" hidden="1">
      <c r="A4149" s="495" t="s">
        <v>5058</v>
      </c>
      <c r="B4149" s="399" t="s">
        <v>1765</v>
      </c>
      <c r="C4149" s="399" t="s">
        <v>184</v>
      </c>
      <c r="D4149" s="399">
        <v>1600</v>
      </c>
      <c r="E4149" s="312" t="s">
        <v>5356</v>
      </c>
      <c r="F4149" s="399" t="s">
        <v>3069</v>
      </c>
      <c r="G4149" s="399" t="s">
        <v>2221</v>
      </c>
      <c r="H4149" s="1235"/>
    </row>
    <row r="4150" spans="1:8" hidden="1">
      <c r="A4150" s="495" t="s">
        <v>5058</v>
      </c>
      <c r="B4150" s="399" t="s">
        <v>1765</v>
      </c>
      <c r="C4150" s="399" t="s">
        <v>184</v>
      </c>
      <c r="D4150" s="399">
        <v>1610</v>
      </c>
      <c r="E4150" s="312" t="s">
        <v>5357</v>
      </c>
      <c r="F4150" s="399" t="s">
        <v>3071</v>
      </c>
      <c r="G4150" s="399" t="s">
        <v>2221</v>
      </c>
      <c r="H4150" s="1235"/>
    </row>
    <row r="4151" spans="1:8" hidden="1">
      <c r="A4151" s="495" t="s">
        <v>5058</v>
      </c>
      <c r="B4151" s="399" t="s">
        <v>1765</v>
      </c>
      <c r="C4151" s="399" t="s">
        <v>184</v>
      </c>
      <c r="D4151" s="399">
        <v>1620</v>
      </c>
      <c r="E4151" s="312" t="s">
        <v>5358</v>
      </c>
      <c r="F4151" s="399" t="s">
        <v>3073</v>
      </c>
      <c r="G4151" s="399" t="s">
        <v>2221</v>
      </c>
      <c r="H4151" s="1235"/>
    </row>
    <row r="4152" spans="1:8" hidden="1">
      <c r="A4152" s="495" t="s">
        <v>5058</v>
      </c>
      <c r="B4152" s="399" t="s">
        <v>1765</v>
      </c>
      <c r="C4152" s="399" t="s">
        <v>184</v>
      </c>
      <c r="D4152" s="399">
        <v>1621</v>
      </c>
      <c r="E4152" s="312" t="s">
        <v>5359</v>
      </c>
      <c r="F4152" s="399" t="s">
        <v>3075</v>
      </c>
      <c r="G4152" s="399" t="s">
        <v>2221</v>
      </c>
      <c r="H4152" s="1235"/>
    </row>
    <row r="4153" spans="1:8" hidden="1">
      <c r="A4153" s="495" t="s">
        <v>5058</v>
      </c>
      <c r="B4153" s="399" t="s">
        <v>1765</v>
      </c>
      <c r="C4153" s="399" t="s">
        <v>184</v>
      </c>
      <c r="D4153" s="399">
        <v>1622</v>
      </c>
      <c r="E4153" s="312" t="s">
        <v>5360</v>
      </c>
      <c r="F4153" s="399" t="s">
        <v>3077</v>
      </c>
      <c r="G4153" s="399" t="s">
        <v>2221</v>
      </c>
      <c r="H4153" s="1235"/>
    </row>
    <row r="4154" spans="1:8" hidden="1">
      <c r="A4154" s="495" t="s">
        <v>5058</v>
      </c>
      <c r="B4154" s="399" t="s">
        <v>1765</v>
      </c>
      <c r="C4154" s="399" t="s">
        <v>184</v>
      </c>
      <c r="D4154" s="399">
        <v>1623</v>
      </c>
      <c r="E4154" s="312" t="s">
        <v>5361</v>
      </c>
      <c r="F4154" s="399" t="s">
        <v>3079</v>
      </c>
      <c r="G4154" s="399" t="s">
        <v>2221</v>
      </c>
      <c r="H4154" s="1235"/>
    </row>
    <row r="4155" spans="1:8" hidden="1">
      <c r="A4155" s="495" t="s">
        <v>5058</v>
      </c>
      <c r="B4155" s="399" t="s">
        <v>1765</v>
      </c>
      <c r="C4155" s="399" t="s">
        <v>184</v>
      </c>
      <c r="D4155" s="399">
        <v>1624</v>
      </c>
      <c r="E4155" s="312" t="s">
        <v>5362</v>
      </c>
      <c r="F4155" s="399" t="s">
        <v>3081</v>
      </c>
      <c r="G4155" s="399" t="s">
        <v>2221</v>
      </c>
      <c r="H4155" s="1235"/>
    </row>
    <row r="4156" spans="1:8" hidden="1">
      <c r="A4156" s="495" t="s">
        <v>5058</v>
      </c>
      <c r="B4156" s="399" t="s">
        <v>1765</v>
      </c>
      <c r="C4156" s="399" t="s">
        <v>184</v>
      </c>
      <c r="D4156" s="399">
        <v>1629</v>
      </c>
      <c r="E4156" s="312" t="s">
        <v>5363</v>
      </c>
      <c r="F4156" s="399" t="s">
        <v>3083</v>
      </c>
      <c r="G4156" s="399" t="s">
        <v>2221</v>
      </c>
      <c r="H4156" s="1235"/>
    </row>
    <row r="4157" spans="1:8" hidden="1">
      <c r="A4157" s="495" t="s">
        <v>5058</v>
      </c>
      <c r="B4157" s="399" t="s">
        <v>1765</v>
      </c>
      <c r="C4157" s="399" t="s">
        <v>184</v>
      </c>
      <c r="D4157" s="399">
        <v>1700</v>
      </c>
      <c r="E4157" s="312" t="s">
        <v>5364</v>
      </c>
      <c r="F4157" s="399" t="s">
        <v>3084</v>
      </c>
      <c r="G4157" s="399" t="s">
        <v>2221</v>
      </c>
      <c r="H4157" s="1235"/>
    </row>
    <row r="4158" spans="1:8" hidden="1">
      <c r="A4158" s="495" t="s">
        <v>5058</v>
      </c>
      <c r="B4158" s="399" t="s">
        <v>1765</v>
      </c>
      <c r="C4158" s="399" t="s">
        <v>184</v>
      </c>
      <c r="D4158" s="399">
        <v>1710</v>
      </c>
      <c r="E4158" s="312" t="s">
        <v>5365</v>
      </c>
      <c r="F4158" s="399" t="s">
        <v>3086</v>
      </c>
      <c r="G4158" s="399" t="s">
        <v>2221</v>
      </c>
      <c r="H4158" s="1235"/>
    </row>
    <row r="4159" spans="1:8" hidden="1">
      <c r="A4159" s="495" t="s">
        <v>5058</v>
      </c>
      <c r="B4159" s="399" t="s">
        <v>1765</v>
      </c>
      <c r="C4159" s="399" t="s">
        <v>184</v>
      </c>
      <c r="D4159" s="399">
        <v>1711</v>
      </c>
      <c r="E4159" s="312" t="s">
        <v>5366</v>
      </c>
      <c r="F4159" s="399" t="s">
        <v>3088</v>
      </c>
      <c r="G4159" s="399" t="s">
        <v>2221</v>
      </c>
      <c r="H4159" s="1235"/>
    </row>
    <row r="4160" spans="1:8" hidden="1">
      <c r="A4160" s="495" t="s">
        <v>5058</v>
      </c>
      <c r="B4160" s="399" t="s">
        <v>1765</v>
      </c>
      <c r="C4160" s="399" t="s">
        <v>184</v>
      </c>
      <c r="D4160" s="399">
        <v>1712</v>
      </c>
      <c r="E4160" s="312" t="s">
        <v>5367</v>
      </c>
      <c r="F4160" s="399" t="s">
        <v>3090</v>
      </c>
      <c r="G4160" s="399" t="s">
        <v>2221</v>
      </c>
      <c r="H4160" s="1235"/>
    </row>
    <row r="4161" spans="1:8" hidden="1">
      <c r="A4161" s="495" t="s">
        <v>5058</v>
      </c>
      <c r="B4161" s="399" t="s">
        <v>1765</v>
      </c>
      <c r="C4161" s="399" t="s">
        <v>184</v>
      </c>
      <c r="D4161" s="399">
        <v>1720</v>
      </c>
      <c r="E4161" s="312" t="s">
        <v>5368</v>
      </c>
      <c r="F4161" s="399" t="s">
        <v>3092</v>
      </c>
      <c r="G4161" s="399" t="s">
        <v>2221</v>
      </c>
      <c r="H4161" s="1235"/>
    </row>
    <row r="4162" spans="1:8" hidden="1">
      <c r="A4162" s="495" t="s">
        <v>5058</v>
      </c>
      <c r="B4162" s="399" t="s">
        <v>1765</v>
      </c>
      <c r="C4162" s="399" t="s">
        <v>184</v>
      </c>
      <c r="D4162" s="399">
        <v>1721</v>
      </c>
      <c r="E4162" s="312" t="s">
        <v>5369</v>
      </c>
      <c r="F4162" s="399" t="s">
        <v>3094</v>
      </c>
      <c r="G4162" s="399" t="s">
        <v>2221</v>
      </c>
      <c r="H4162" s="1235"/>
    </row>
    <row r="4163" spans="1:8" hidden="1">
      <c r="A4163" s="495" t="s">
        <v>5058</v>
      </c>
      <c r="B4163" s="399" t="s">
        <v>1765</v>
      </c>
      <c r="C4163" s="399" t="s">
        <v>184</v>
      </c>
      <c r="D4163" s="399">
        <v>1722</v>
      </c>
      <c r="E4163" s="312" t="s">
        <v>5370</v>
      </c>
      <c r="F4163" s="399" t="s">
        <v>3096</v>
      </c>
      <c r="G4163" s="399" t="s">
        <v>2221</v>
      </c>
      <c r="H4163" s="1235"/>
    </row>
    <row r="4164" spans="1:8" hidden="1">
      <c r="A4164" s="495" t="s">
        <v>5058</v>
      </c>
      <c r="B4164" s="399" t="s">
        <v>1765</v>
      </c>
      <c r="C4164" s="399" t="s">
        <v>184</v>
      </c>
      <c r="D4164" s="399">
        <v>1723</v>
      </c>
      <c r="E4164" s="312" t="s">
        <v>5371</v>
      </c>
      <c r="F4164" s="399" t="s">
        <v>3098</v>
      </c>
      <c r="G4164" s="399" t="s">
        <v>2221</v>
      </c>
      <c r="H4164" s="1235"/>
    </row>
    <row r="4165" spans="1:8" hidden="1">
      <c r="A4165" s="495" t="s">
        <v>5058</v>
      </c>
      <c r="B4165" s="399" t="s">
        <v>1765</v>
      </c>
      <c r="C4165" s="399" t="s">
        <v>184</v>
      </c>
      <c r="D4165" s="399">
        <v>1724</v>
      </c>
      <c r="E4165" s="312" t="s">
        <v>5372</v>
      </c>
      <c r="F4165" s="399" t="s">
        <v>3100</v>
      </c>
      <c r="G4165" s="399" t="s">
        <v>2221</v>
      </c>
      <c r="H4165" s="1235"/>
    </row>
    <row r="4166" spans="1:8" hidden="1">
      <c r="A4166" s="495" t="s">
        <v>5058</v>
      </c>
      <c r="B4166" s="399" t="s">
        <v>1765</v>
      </c>
      <c r="C4166" s="399" t="s">
        <v>184</v>
      </c>
      <c r="D4166" s="399">
        <v>1729</v>
      </c>
      <c r="E4166" s="312" t="s">
        <v>5373</v>
      </c>
      <c r="F4166" s="399" t="s">
        <v>3102</v>
      </c>
      <c r="G4166" s="399" t="s">
        <v>2221</v>
      </c>
      <c r="H4166" s="1235"/>
    </row>
    <row r="4167" spans="1:8" hidden="1">
      <c r="A4167" s="495" t="s">
        <v>5058</v>
      </c>
      <c r="B4167" s="399" t="s">
        <v>1765</v>
      </c>
      <c r="C4167" s="399" t="s">
        <v>184</v>
      </c>
      <c r="D4167" s="399">
        <v>1800</v>
      </c>
      <c r="E4167" s="312" t="s">
        <v>5374</v>
      </c>
      <c r="F4167" s="399" t="s">
        <v>3103</v>
      </c>
      <c r="G4167" s="399" t="s">
        <v>2221</v>
      </c>
      <c r="H4167" s="1235"/>
    </row>
    <row r="4168" spans="1:8" hidden="1">
      <c r="A4168" s="495" t="s">
        <v>5058</v>
      </c>
      <c r="B4168" s="399" t="s">
        <v>1765</v>
      </c>
      <c r="C4168" s="399" t="s">
        <v>184</v>
      </c>
      <c r="D4168" s="399">
        <v>1810</v>
      </c>
      <c r="E4168" s="312" t="s">
        <v>5375</v>
      </c>
      <c r="F4168" s="399" t="s">
        <v>3105</v>
      </c>
      <c r="G4168" s="399" t="s">
        <v>2221</v>
      </c>
      <c r="H4168" s="1235"/>
    </row>
    <row r="4169" spans="1:8" hidden="1">
      <c r="A4169" s="495" t="s">
        <v>5058</v>
      </c>
      <c r="B4169" s="399" t="s">
        <v>1765</v>
      </c>
      <c r="C4169" s="399" t="s">
        <v>184</v>
      </c>
      <c r="D4169" s="399">
        <v>1811</v>
      </c>
      <c r="E4169" s="312" t="s">
        <v>5376</v>
      </c>
      <c r="F4169" s="399" t="s">
        <v>3107</v>
      </c>
      <c r="G4169" s="399" t="s">
        <v>2221</v>
      </c>
      <c r="H4169" s="1235"/>
    </row>
    <row r="4170" spans="1:8" hidden="1">
      <c r="A4170" s="495" t="s">
        <v>5058</v>
      </c>
      <c r="B4170" s="399" t="s">
        <v>1765</v>
      </c>
      <c r="C4170" s="399" t="s">
        <v>184</v>
      </c>
      <c r="D4170" s="399">
        <v>1812</v>
      </c>
      <c r="E4170" s="312" t="s">
        <v>5377</v>
      </c>
      <c r="F4170" s="399" t="s">
        <v>3109</v>
      </c>
      <c r="G4170" s="399" t="s">
        <v>2221</v>
      </c>
      <c r="H4170" s="1235"/>
    </row>
    <row r="4171" spans="1:8" hidden="1">
      <c r="A4171" s="495" t="s">
        <v>5058</v>
      </c>
      <c r="B4171" s="399" t="s">
        <v>1765</v>
      </c>
      <c r="C4171" s="399" t="s">
        <v>184</v>
      </c>
      <c r="D4171" s="399">
        <v>1813</v>
      </c>
      <c r="E4171" s="312" t="s">
        <v>5378</v>
      </c>
      <c r="F4171" s="399" t="s">
        <v>3111</v>
      </c>
      <c r="G4171" s="399" t="s">
        <v>2221</v>
      </c>
      <c r="H4171" s="1235"/>
    </row>
    <row r="4172" spans="1:8" hidden="1">
      <c r="A4172" s="495" t="s">
        <v>5058</v>
      </c>
      <c r="B4172" s="399" t="s">
        <v>1765</v>
      </c>
      <c r="C4172" s="399" t="s">
        <v>184</v>
      </c>
      <c r="D4172" s="399">
        <v>1814</v>
      </c>
      <c r="E4172" s="312" t="s">
        <v>5379</v>
      </c>
      <c r="F4172" s="399" t="s">
        <v>3113</v>
      </c>
      <c r="G4172" s="399" t="s">
        <v>2221</v>
      </c>
      <c r="H4172" s="1235"/>
    </row>
    <row r="4173" spans="1:8" hidden="1">
      <c r="A4173" s="495" t="s">
        <v>5058</v>
      </c>
      <c r="B4173" s="399" t="s">
        <v>1765</v>
      </c>
      <c r="C4173" s="399" t="s">
        <v>184</v>
      </c>
      <c r="D4173" s="399">
        <v>1820</v>
      </c>
      <c r="E4173" s="312" t="s">
        <v>5380</v>
      </c>
      <c r="F4173" s="399" t="s">
        <v>3115</v>
      </c>
      <c r="G4173" s="399" t="s">
        <v>2221</v>
      </c>
      <c r="H4173" s="1235"/>
    </row>
    <row r="4174" spans="1:8" hidden="1">
      <c r="A4174" s="495" t="s">
        <v>5058</v>
      </c>
      <c r="B4174" s="399" t="s">
        <v>1765</v>
      </c>
      <c r="C4174" s="399" t="s">
        <v>184</v>
      </c>
      <c r="D4174" s="399">
        <v>1900</v>
      </c>
      <c r="E4174" s="312" t="s">
        <v>5381</v>
      </c>
      <c r="F4174" s="399" t="s">
        <v>3116</v>
      </c>
      <c r="G4174" s="399" t="s">
        <v>2221</v>
      </c>
      <c r="H4174" s="1235"/>
    </row>
    <row r="4175" spans="1:8" hidden="1">
      <c r="A4175" s="495" t="s">
        <v>5058</v>
      </c>
      <c r="B4175" s="399" t="s">
        <v>1765</v>
      </c>
      <c r="C4175" s="399" t="s">
        <v>184</v>
      </c>
      <c r="D4175" s="399">
        <v>1910</v>
      </c>
      <c r="E4175" s="312" t="s">
        <v>5382</v>
      </c>
      <c r="F4175" s="399" t="s">
        <v>3118</v>
      </c>
      <c r="G4175" s="399" t="s">
        <v>2221</v>
      </c>
      <c r="H4175" s="1235"/>
    </row>
    <row r="4176" spans="1:8" hidden="1">
      <c r="A4176" s="495" t="s">
        <v>5058</v>
      </c>
      <c r="B4176" s="399" t="s">
        <v>1765</v>
      </c>
      <c r="C4176" s="399" t="s">
        <v>184</v>
      </c>
      <c r="D4176" s="399">
        <v>1920</v>
      </c>
      <c r="E4176" s="312" t="s">
        <v>5383</v>
      </c>
      <c r="F4176" s="399" t="s">
        <v>3120</v>
      </c>
      <c r="G4176" s="399" t="s">
        <v>2221</v>
      </c>
      <c r="H4176" s="1235"/>
    </row>
    <row r="4177" spans="1:8" hidden="1">
      <c r="A4177" s="495" t="s">
        <v>5058</v>
      </c>
      <c r="B4177" s="399" t="s">
        <v>1765</v>
      </c>
      <c r="C4177" s="399" t="s">
        <v>184</v>
      </c>
      <c r="D4177" s="399">
        <v>2000</v>
      </c>
      <c r="E4177" s="312" t="s">
        <v>5384</v>
      </c>
      <c r="F4177" s="399" t="s">
        <v>3121</v>
      </c>
      <c r="G4177" s="399" t="s">
        <v>2221</v>
      </c>
      <c r="H4177" s="1235"/>
    </row>
    <row r="4178" spans="1:8" hidden="1">
      <c r="A4178" s="495" t="s">
        <v>5058</v>
      </c>
      <c r="B4178" s="399" t="s">
        <v>1765</v>
      </c>
      <c r="C4178" s="399" t="s">
        <v>184</v>
      </c>
      <c r="D4178" s="399">
        <v>2010</v>
      </c>
      <c r="E4178" s="312" t="s">
        <v>5385</v>
      </c>
      <c r="F4178" s="399" t="s">
        <v>3123</v>
      </c>
      <c r="G4178" s="399" t="s">
        <v>2221</v>
      </c>
      <c r="H4178" s="1235"/>
    </row>
    <row r="4179" spans="1:8" hidden="1">
      <c r="A4179" s="495" t="s">
        <v>5058</v>
      </c>
      <c r="B4179" s="399" t="s">
        <v>1765</v>
      </c>
      <c r="C4179" s="399" t="s">
        <v>184</v>
      </c>
      <c r="D4179" s="399">
        <v>2011</v>
      </c>
      <c r="E4179" s="312" t="s">
        <v>5386</v>
      </c>
      <c r="F4179" s="399" t="s">
        <v>3125</v>
      </c>
      <c r="G4179" s="399" t="s">
        <v>2221</v>
      </c>
      <c r="H4179" s="1235"/>
    </row>
    <row r="4180" spans="1:8" hidden="1">
      <c r="A4180" s="495" t="s">
        <v>5058</v>
      </c>
      <c r="B4180" s="399" t="s">
        <v>1765</v>
      </c>
      <c r="C4180" s="399" t="s">
        <v>184</v>
      </c>
      <c r="D4180" s="399">
        <v>2012</v>
      </c>
      <c r="E4180" s="312" t="s">
        <v>5387</v>
      </c>
      <c r="F4180" s="399" t="s">
        <v>3127</v>
      </c>
      <c r="G4180" s="399" t="s">
        <v>2221</v>
      </c>
      <c r="H4180" s="1235"/>
    </row>
    <row r="4181" spans="1:8" hidden="1">
      <c r="A4181" s="495" t="s">
        <v>5058</v>
      </c>
      <c r="B4181" s="399" t="s">
        <v>1765</v>
      </c>
      <c r="C4181" s="399" t="s">
        <v>184</v>
      </c>
      <c r="D4181" s="399">
        <v>2013</v>
      </c>
      <c r="E4181" s="312" t="s">
        <v>5388</v>
      </c>
      <c r="F4181" s="399" t="s">
        <v>3129</v>
      </c>
      <c r="G4181" s="399" t="s">
        <v>2221</v>
      </c>
      <c r="H4181" s="1235"/>
    </row>
    <row r="4182" spans="1:8" hidden="1">
      <c r="A4182" s="495" t="s">
        <v>5058</v>
      </c>
      <c r="B4182" s="399" t="s">
        <v>1765</v>
      </c>
      <c r="C4182" s="399" t="s">
        <v>184</v>
      </c>
      <c r="D4182" s="399">
        <v>2014</v>
      </c>
      <c r="E4182" s="312" t="s">
        <v>5389</v>
      </c>
      <c r="F4182" s="399" t="s">
        <v>3131</v>
      </c>
      <c r="G4182" s="399" t="s">
        <v>2221</v>
      </c>
      <c r="H4182" s="1235"/>
    </row>
    <row r="4183" spans="1:8" hidden="1">
      <c r="A4183" s="495" t="s">
        <v>5058</v>
      </c>
      <c r="B4183" s="399" t="s">
        <v>1765</v>
      </c>
      <c r="C4183" s="399" t="s">
        <v>184</v>
      </c>
      <c r="D4183" s="399">
        <v>2015</v>
      </c>
      <c r="E4183" s="312" t="s">
        <v>5390</v>
      </c>
      <c r="F4183" s="399" t="s">
        <v>3133</v>
      </c>
      <c r="G4183" s="399" t="s">
        <v>2221</v>
      </c>
      <c r="H4183" s="1235"/>
    </row>
    <row r="4184" spans="1:8" hidden="1">
      <c r="A4184" s="495" t="s">
        <v>5058</v>
      </c>
      <c r="B4184" s="399" t="s">
        <v>1765</v>
      </c>
      <c r="C4184" s="399" t="s">
        <v>184</v>
      </c>
      <c r="D4184" s="399">
        <v>2016</v>
      </c>
      <c r="E4184" s="312" t="s">
        <v>5391</v>
      </c>
      <c r="F4184" s="399" t="s">
        <v>3135</v>
      </c>
      <c r="G4184" s="399" t="s">
        <v>2221</v>
      </c>
      <c r="H4184" s="1235"/>
    </row>
    <row r="4185" spans="1:8" hidden="1">
      <c r="A4185" s="495" t="s">
        <v>5058</v>
      </c>
      <c r="B4185" s="399" t="s">
        <v>1765</v>
      </c>
      <c r="C4185" s="399" t="s">
        <v>184</v>
      </c>
      <c r="D4185" s="399">
        <v>2017</v>
      </c>
      <c r="E4185" s="312" t="s">
        <v>5392</v>
      </c>
      <c r="F4185" s="399" t="s">
        <v>3137</v>
      </c>
      <c r="G4185" s="399" t="s">
        <v>2221</v>
      </c>
      <c r="H4185" s="1235"/>
    </row>
    <row r="4186" spans="1:8" hidden="1">
      <c r="A4186" s="495" t="s">
        <v>5058</v>
      </c>
      <c r="B4186" s="399" t="s">
        <v>1765</v>
      </c>
      <c r="C4186" s="399" t="s">
        <v>184</v>
      </c>
      <c r="D4186" s="399">
        <v>2020</v>
      </c>
      <c r="E4186" s="312" t="s">
        <v>5393</v>
      </c>
      <c r="F4186" s="399" t="s">
        <v>3139</v>
      </c>
      <c r="G4186" s="399" t="s">
        <v>2221</v>
      </c>
      <c r="H4186" s="1235"/>
    </row>
    <row r="4187" spans="1:8" hidden="1">
      <c r="A4187" s="495" t="s">
        <v>5058</v>
      </c>
      <c r="B4187" s="399" t="s">
        <v>1765</v>
      </c>
      <c r="C4187" s="399" t="s">
        <v>184</v>
      </c>
      <c r="D4187" s="399">
        <v>2030</v>
      </c>
      <c r="E4187" s="312" t="s">
        <v>5394</v>
      </c>
      <c r="F4187" s="399" t="s">
        <v>3141</v>
      </c>
      <c r="G4187" s="399" t="s">
        <v>2221</v>
      </c>
      <c r="H4187" s="1235"/>
    </row>
    <row r="4188" spans="1:8" hidden="1">
      <c r="A4188" s="495" t="s">
        <v>5058</v>
      </c>
      <c r="B4188" s="399" t="s">
        <v>1765</v>
      </c>
      <c r="C4188" s="399" t="s">
        <v>184</v>
      </c>
      <c r="D4188" s="399">
        <v>2040</v>
      </c>
      <c r="E4188" s="312" t="s">
        <v>5395</v>
      </c>
      <c r="F4188" s="399" t="s">
        <v>3143</v>
      </c>
      <c r="G4188" s="399" t="s">
        <v>2221</v>
      </c>
      <c r="H4188" s="1235"/>
    </row>
    <row r="4189" spans="1:8" hidden="1">
      <c r="A4189" s="495" t="s">
        <v>5058</v>
      </c>
      <c r="B4189" s="399" t="s">
        <v>1765</v>
      </c>
      <c r="C4189" s="399" t="s">
        <v>184</v>
      </c>
      <c r="D4189" s="399">
        <v>2041</v>
      </c>
      <c r="E4189" s="312" t="s">
        <v>5396</v>
      </c>
      <c r="F4189" s="399" t="s">
        <v>3145</v>
      </c>
      <c r="G4189" s="399" t="s">
        <v>2221</v>
      </c>
      <c r="H4189" s="1235"/>
    </row>
    <row r="4190" spans="1:8" hidden="1">
      <c r="A4190" s="495" t="s">
        <v>5058</v>
      </c>
      <c r="B4190" s="399" t="s">
        <v>1765</v>
      </c>
      <c r="C4190" s="399" t="s">
        <v>184</v>
      </c>
      <c r="D4190" s="399">
        <v>2042</v>
      </c>
      <c r="E4190" s="312" t="s">
        <v>5397</v>
      </c>
      <c r="F4190" s="399" t="s">
        <v>3147</v>
      </c>
      <c r="G4190" s="399" t="s">
        <v>2221</v>
      </c>
      <c r="H4190" s="1235"/>
    </row>
    <row r="4191" spans="1:8" hidden="1">
      <c r="A4191" s="495" t="s">
        <v>5058</v>
      </c>
      <c r="B4191" s="399" t="s">
        <v>1765</v>
      </c>
      <c r="C4191" s="399" t="s">
        <v>184</v>
      </c>
      <c r="D4191" s="399">
        <v>2050</v>
      </c>
      <c r="E4191" s="312" t="s">
        <v>5398</v>
      </c>
      <c r="F4191" s="399" t="s">
        <v>3149</v>
      </c>
      <c r="G4191" s="399" t="s">
        <v>2221</v>
      </c>
      <c r="H4191" s="1235"/>
    </row>
    <row r="4192" spans="1:8" hidden="1">
      <c r="A4192" s="495" t="s">
        <v>5058</v>
      </c>
      <c r="B4192" s="399" t="s">
        <v>1765</v>
      </c>
      <c r="C4192" s="399" t="s">
        <v>184</v>
      </c>
      <c r="D4192" s="399">
        <v>2051</v>
      </c>
      <c r="E4192" s="312" t="s">
        <v>5399</v>
      </c>
      <c r="F4192" s="399" t="s">
        <v>3151</v>
      </c>
      <c r="G4192" s="399" t="s">
        <v>2221</v>
      </c>
      <c r="H4192" s="1235"/>
    </row>
    <row r="4193" spans="1:8" hidden="1">
      <c r="A4193" s="495" t="s">
        <v>5058</v>
      </c>
      <c r="B4193" s="399" t="s">
        <v>1765</v>
      </c>
      <c r="C4193" s="399" t="s">
        <v>184</v>
      </c>
      <c r="D4193" s="399">
        <v>2052</v>
      </c>
      <c r="E4193" s="312" t="s">
        <v>5400</v>
      </c>
      <c r="F4193" s="399" t="s">
        <v>3153</v>
      </c>
      <c r="G4193" s="399" t="s">
        <v>2221</v>
      </c>
      <c r="H4193" s="1235"/>
    </row>
    <row r="4194" spans="1:8" hidden="1">
      <c r="A4194" s="495" t="s">
        <v>5058</v>
      </c>
      <c r="B4194" s="399" t="s">
        <v>1765</v>
      </c>
      <c r="C4194" s="399" t="s">
        <v>184</v>
      </c>
      <c r="D4194" s="399">
        <v>2053</v>
      </c>
      <c r="E4194" s="312" t="s">
        <v>5401</v>
      </c>
      <c r="F4194" s="399" t="s">
        <v>3155</v>
      </c>
      <c r="G4194" s="399" t="s">
        <v>2221</v>
      </c>
      <c r="H4194" s="1235"/>
    </row>
    <row r="4195" spans="1:8" hidden="1">
      <c r="A4195" s="495" t="s">
        <v>5058</v>
      </c>
      <c r="B4195" s="399" t="s">
        <v>1765</v>
      </c>
      <c r="C4195" s="399" t="s">
        <v>184</v>
      </c>
      <c r="D4195" s="399">
        <v>2059</v>
      </c>
      <c r="E4195" s="312" t="s">
        <v>5402</v>
      </c>
      <c r="F4195" s="399" t="s">
        <v>3157</v>
      </c>
      <c r="G4195" s="399" t="s">
        <v>2221</v>
      </c>
      <c r="H4195" s="1235"/>
    </row>
    <row r="4196" spans="1:8" hidden="1">
      <c r="A4196" s="495" t="s">
        <v>5058</v>
      </c>
      <c r="B4196" s="399" t="s">
        <v>1765</v>
      </c>
      <c r="C4196" s="399" t="s">
        <v>184</v>
      </c>
      <c r="D4196" s="399">
        <v>2060</v>
      </c>
      <c r="E4196" s="312" t="s">
        <v>5403</v>
      </c>
      <c r="F4196" s="399" t="s">
        <v>3159</v>
      </c>
      <c r="G4196" s="399" t="s">
        <v>2221</v>
      </c>
      <c r="H4196" s="1235"/>
    </row>
    <row r="4197" spans="1:8" hidden="1">
      <c r="A4197" s="495" t="s">
        <v>5058</v>
      </c>
      <c r="B4197" s="399" t="s">
        <v>1765</v>
      </c>
      <c r="C4197" s="399" t="s">
        <v>184</v>
      </c>
      <c r="D4197" s="399">
        <v>2100</v>
      </c>
      <c r="E4197" s="312" t="s">
        <v>5404</v>
      </c>
      <c r="F4197" s="399" t="s">
        <v>3160</v>
      </c>
      <c r="G4197" s="399" t="s">
        <v>2221</v>
      </c>
      <c r="H4197" s="1235"/>
    </row>
    <row r="4198" spans="1:8" hidden="1">
      <c r="A4198" s="495" t="s">
        <v>5058</v>
      </c>
      <c r="B4198" s="399" t="s">
        <v>1765</v>
      </c>
      <c r="C4198" s="399" t="s">
        <v>184</v>
      </c>
      <c r="D4198" s="399">
        <v>2110</v>
      </c>
      <c r="E4198" s="312" t="s">
        <v>5405</v>
      </c>
      <c r="F4198" s="399" t="s">
        <v>3162</v>
      </c>
      <c r="G4198" s="399" t="s">
        <v>2221</v>
      </c>
      <c r="H4198" s="1235"/>
    </row>
    <row r="4199" spans="1:8" hidden="1">
      <c r="A4199" s="495" t="s">
        <v>5058</v>
      </c>
      <c r="B4199" s="399" t="s">
        <v>1765</v>
      </c>
      <c r="C4199" s="399" t="s">
        <v>184</v>
      </c>
      <c r="D4199" s="399">
        <v>2120</v>
      </c>
      <c r="E4199" s="312" t="s">
        <v>5406</v>
      </c>
      <c r="F4199" s="399" t="s">
        <v>3164</v>
      </c>
      <c r="G4199" s="399" t="s">
        <v>2221</v>
      </c>
      <c r="H4199" s="1235"/>
    </row>
    <row r="4200" spans="1:8" hidden="1">
      <c r="A4200" s="495" t="s">
        <v>5058</v>
      </c>
      <c r="B4200" s="399" t="s">
        <v>1765</v>
      </c>
      <c r="C4200" s="399" t="s">
        <v>184</v>
      </c>
      <c r="D4200" s="399">
        <v>2200</v>
      </c>
      <c r="E4200" s="312" t="s">
        <v>5407</v>
      </c>
      <c r="F4200" s="399" t="s">
        <v>3165</v>
      </c>
      <c r="G4200" s="399" t="s">
        <v>2221</v>
      </c>
      <c r="H4200" s="1235"/>
    </row>
    <row r="4201" spans="1:8" hidden="1">
      <c r="A4201" s="495" t="s">
        <v>5058</v>
      </c>
      <c r="B4201" s="399" t="s">
        <v>1765</v>
      </c>
      <c r="C4201" s="399" t="s">
        <v>184</v>
      </c>
      <c r="D4201" s="399">
        <v>2210</v>
      </c>
      <c r="E4201" s="312" t="s">
        <v>5408</v>
      </c>
      <c r="F4201" s="399" t="s">
        <v>3167</v>
      </c>
      <c r="G4201" s="399" t="s">
        <v>2221</v>
      </c>
      <c r="H4201" s="1235"/>
    </row>
    <row r="4202" spans="1:8" hidden="1">
      <c r="A4202" s="495" t="s">
        <v>5058</v>
      </c>
      <c r="B4202" s="399" t="s">
        <v>1765</v>
      </c>
      <c r="C4202" s="399" t="s">
        <v>184</v>
      </c>
      <c r="D4202" s="399">
        <v>2211</v>
      </c>
      <c r="E4202" s="312" t="s">
        <v>5409</v>
      </c>
      <c r="F4202" s="399" t="s">
        <v>3169</v>
      </c>
      <c r="G4202" s="399" t="s">
        <v>2221</v>
      </c>
      <c r="H4202" s="1235"/>
    </row>
    <row r="4203" spans="1:8" hidden="1">
      <c r="A4203" s="495" t="s">
        <v>5058</v>
      </c>
      <c r="B4203" s="399" t="s">
        <v>1765</v>
      </c>
      <c r="C4203" s="399" t="s">
        <v>184</v>
      </c>
      <c r="D4203" s="399">
        <v>2219</v>
      </c>
      <c r="E4203" s="312" t="s">
        <v>5410</v>
      </c>
      <c r="F4203" s="399" t="s">
        <v>3171</v>
      </c>
      <c r="G4203" s="399" t="s">
        <v>2221</v>
      </c>
      <c r="H4203" s="1235"/>
    </row>
    <row r="4204" spans="1:8" hidden="1">
      <c r="A4204" s="495" t="s">
        <v>5058</v>
      </c>
      <c r="B4204" s="399" t="s">
        <v>1765</v>
      </c>
      <c r="C4204" s="399" t="s">
        <v>184</v>
      </c>
      <c r="D4204" s="399">
        <v>2220</v>
      </c>
      <c r="E4204" s="312" t="s">
        <v>5411</v>
      </c>
      <c r="F4204" s="399" t="s">
        <v>3173</v>
      </c>
      <c r="G4204" s="399" t="s">
        <v>2221</v>
      </c>
      <c r="H4204" s="1235"/>
    </row>
    <row r="4205" spans="1:8" hidden="1">
      <c r="A4205" s="495" t="s">
        <v>5058</v>
      </c>
      <c r="B4205" s="399" t="s">
        <v>1765</v>
      </c>
      <c r="C4205" s="399" t="s">
        <v>184</v>
      </c>
      <c r="D4205" s="399">
        <v>2221</v>
      </c>
      <c r="E4205" s="312" t="s">
        <v>5412</v>
      </c>
      <c r="F4205" s="399" t="s">
        <v>3175</v>
      </c>
      <c r="G4205" s="399" t="s">
        <v>2221</v>
      </c>
      <c r="H4205" s="1235"/>
    </row>
    <row r="4206" spans="1:8" hidden="1">
      <c r="A4206" s="495" t="s">
        <v>5058</v>
      </c>
      <c r="B4206" s="399" t="s">
        <v>1765</v>
      </c>
      <c r="C4206" s="399" t="s">
        <v>184</v>
      </c>
      <c r="D4206" s="399">
        <v>2222</v>
      </c>
      <c r="E4206" s="312" t="s">
        <v>5413</v>
      </c>
      <c r="F4206" s="399" t="s">
        <v>3177</v>
      </c>
      <c r="G4206" s="399" t="s">
        <v>2221</v>
      </c>
      <c r="H4206" s="1235"/>
    </row>
    <row r="4207" spans="1:8" hidden="1">
      <c r="A4207" s="495" t="s">
        <v>5058</v>
      </c>
      <c r="B4207" s="399" t="s">
        <v>1765</v>
      </c>
      <c r="C4207" s="399" t="s">
        <v>184</v>
      </c>
      <c r="D4207" s="399">
        <v>2223</v>
      </c>
      <c r="E4207" s="312" t="s">
        <v>5414</v>
      </c>
      <c r="F4207" s="399" t="s">
        <v>3179</v>
      </c>
      <c r="G4207" s="399" t="s">
        <v>2221</v>
      </c>
      <c r="H4207" s="1235"/>
    </row>
    <row r="4208" spans="1:8" hidden="1">
      <c r="A4208" s="495" t="s">
        <v>5058</v>
      </c>
      <c r="B4208" s="399" t="s">
        <v>1765</v>
      </c>
      <c r="C4208" s="399" t="s">
        <v>184</v>
      </c>
      <c r="D4208" s="399">
        <v>2229</v>
      </c>
      <c r="E4208" s="312" t="s">
        <v>5415</v>
      </c>
      <c r="F4208" s="399" t="s">
        <v>3181</v>
      </c>
      <c r="G4208" s="399" t="s">
        <v>2221</v>
      </c>
      <c r="H4208" s="1235"/>
    </row>
    <row r="4209" spans="1:8" hidden="1">
      <c r="A4209" s="495" t="s">
        <v>5058</v>
      </c>
      <c r="B4209" s="399" t="s">
        <v>1765</v>
      </c>
      <c r="C4209" s="399" t="s">
        <v>184</v>
      </c>
      <c r="D4209" s="399">
        <v>2300</v>
      </c>
      <c r="E4209" s="312" t="s">
        <v>5416</v>
      </c>
      <c r="F4209" s="399" t="s">
        <v>3182</v>
      </c>
      <c r="G4209" s="399" t="s">
        <v>2221</v>
      </c>
      <c r="H4209" s="1235"/>
    </row>
    <row r="4210" spans="1:8" hidden="1">
      <c r="A4210" s="495" t="s">
        <v>5058</v>
      </c>
      <c r="B4210" s="399" t="s">
        <v>1765</v>
      </c>
      <c r="C4210" s="399" t="s">
        <v>184</v>
      </c>
      <c r="D4210" s="399">
        <v>2310</v>
      </c>
      <c r="E4210" s="312" t="s">
        <v>5417</v>
      </c>
      <c r="F4210" s="399" t="s">
        <v>3184</v>
      </c>
      <c r="G4210" s="399" t="s">
        <v>2221</v>
      </c>
      <c r="H4210" s="1235"/>
    </row>
    <row r="4211" spans="1:8" hidden="1">
      <c r="A4211" s="495" t="s">
        <v>5058</v>
      </c>
      <c r="B4211" s="399" t="s">
        <v>1765</v>
      </c>
      <c r="C4211" s="399" t="s">
        <v>184</v>
      </c>
      <c r="D4211" s="399">
        <v>2311</v>
      </c>
      <c r="E4211" s="312" t="s">
        <v>5418</v>
      </c>
      <c r="F4211" s="399" t="s">
        <v>3186</v>
      </c>
      <c r="G4211" s="399" t="s">
        <v>2221</v>
      </c>
      <c r="H4211" s="1235"/>
    </row>
    <row r="4212" spans="1:8" hidden="1">
      <c r="A4212" s="495" t="s">
        <v>5058</v>
      </c>
      <c r="B4212" s="399" t="s">
        <v>1765</v>
      </c>
      <c r="C4212" s="399" t="s">
        <v>184</v>
      </c>
      <c r="D4212" s="399">
        <v>2312</v>
      </c>
      <c r="E4212" s="312" t="s">
        <v>5419</v>
      </c>
      <c r="F4212" s="399" t="s">
        <v>3188</v>
      </c>
      <c r="G4212" s="399" t="s">
        <v>2221</v>
      </c>
      <c r="H4212" s="1235"/>
    </row>
    <row r="4213" spans="1:8" hidden="1">
      <c r="A4213" s="495" t="s">
        <v>5058</v>
      </c>
      <c r="B4213" s="399" t="s">
        <v>1765</v>
      </c>
      <c r="C4213" s="399" t="s">
        <v>184</v>
      </c>
      <c r="D4213" s="399">
        <v>2313</v>
      </c>
      <c r="E4213" s="312" t="s">
        <v>5420</v>
      </c>
      <c r="F4213" s="399" t="s">
        <v>3190</v>
      </c>
      <c r="G4213" s="399" t="s">
        <v>2221</v>
      </c>
      <c r="H4213" s="1235"/>
    </row>
    <row r="4214" spans="1:8" hidden="1">
      <c r="A4214" s="495" t="s">
        <v>5058</v>
      </c>
      <c r="B4214" s="399" t="s">
        <v>1765</v>
      </c>
      <c r="C4214" s="399" t="s">
        <v>184</v>
      </c>
      <c r="D4214" s="399">
        <v>2314</v>
      </c>
      <c r="E4214" s="312" t="s">
        <v>5421</v>
      </c>
      <c r="F4214" s="399" t="s">
        <v>3192</v>
      </c>
      <c r="G4214" s="399" t="s">
        <v>2221</v>
      </c>
      <c r="H4214" s="1235"/>
    </row>
    <row r="4215" spans="1:8" hidden="1">
      <c r="A4215" s="495" t="s">
        <v>5058</v>
      </c>
      <c r="B4215" s="399" t="s">
        <v>1765</v>
      </c>
      <c r="C4215" s="399" t="s">
        <v>184</v>
      </c>
      <c r="D4215" s="399">
        <v>2319</v>
      </c>
      <c r="E4215" s="312" t="s">
        <v>5422</v>
      </c>
      <c r="F4215" s="399" t="s">
        <v>3194</v>
      </c>
      <c r="G4215" s="399" t="s">
        <v>2221</v>
      </c>
      <c r="H4215" s="1235"/>
    </row>
    <row r="4216" spans="1:8" hidden="1">
      <c r="A4216" s="495" t="s">
        <v>5058</v>
      </c>
      <c r="B4216" s="399" t="s">
        <v>1765</v>
      </c>
      <c r="C4216" s="399" t="s">
        <v>184</v>
      </c>
      <c r="D4216" s="399">
        <v>2320</v>
      </c>
      <c r="E4216" s="312" t="s">
        <v>5423</v>
      </c>
      <c r="F4216" s="399" t="s">
        <v>3196</v>
      </c>
      <c r="G4216" s="399" t="s">
        <v>2221</v>
      </c>
      <c r="H4216" s="1235"/>
    </row>
    <row r="4217" spans="1:8" hidden="1">
      <c r="A4217" s="495" t="s">
        <v>5058</v>
      </c>
      <c r="B4217" s="399" t="s">
        <v>1765</v>
      </c>
      <c r="C4217" s="399" t="s">
        <v>184</v>
      </c>
      <c r="D4217" s="399">
        <v>2330</v>
      </c>
      <c r="E4217" s="312" t="s">
        <v>5424</v>
      </c>
      <c r="F4217" s="399" t="s">
        <v>3198</v>
      </c>
      <c r="G4217" s="399" t="s">
        <v>2221</v>
      </c>
      <c r="H4217" s="1235"/>
    </row>
    <row r="4218" spans="1:8" hidden="1">
      <c r="A4218" s="495" t="s">
        <v>5058</v>
      </c>
      <c r="B4218" s="399" t="s">
        <v>1765</v>
      </c>
      <c r="C4218" s="399" t="s">
        <v>184</v>
      </c>
      <c r="D4218" s="399">
        <v>2331</v>
      </c>
      <c r="E4218" s="312" t="s">
        <v>5425</v>
      </c>
      <c r="F4218" s="399" t="s">
        <v>3200</v>
      </c>
      <c r="G4218" s="399" t="s">
        <v>2221</v>
      </c>
      <c r="H4218" s="1235"/>
    </row>
    <row r="4219" spans="1:8" hidden="1">
      <c r="A4219" s="495" t="s">
        <v>5058</v>
      </c>
      <c r="B4219" s="399" t="s">
        <v>1765</v>
      </c>
      <c r="C4219" s="399" t="s">
        <v>184</v>
      </c>
      <c r="D4219" s="399">
        <v>2332</v>
      </c>
      <c r="E4219" s="312" t="s">
        <v>5426</v>
      </c>
      <c r="F4219" s="399" t="s">
        <v>3202</v>
      </c>
      <c r="G4219" s="399" t="s">
        <v>2221</v>
      </c>
      <c r="H4219" s="1235"/>
    </row>
    <row r="4220" spans="1:8" hidden="1">
      <c r="A4220" s="495" t="s">
        <v>5058</v>
      </c>
      <c r="B4220" s="399" t="s">
        <v>1765</v>
      </c>
      <c r="C4220" s="399" t="s">
        <v>184</v>
      </c>
      <c r="D4220" s="399">
        <v>2340</v>
      </c>
      <c r="E4220" s="312" t="s">
        <v>5427</v>
      </c>
      <c r="F4220" s="399" t="s">
        <v>3204</v>
      </c>
      <c r="G4220" s="399" t="s">
        <v>2221</v>
      </c>
      <c r="H4220" s="1235"/>
    </row>
    <row r="4221" spans="1:8" hidden="1">
      <c r="A4221" s="495" t="s">
        <v>5058</v>
      </c>
      <c r="B4221" s="399" t="s">
        <v>1765</v>
      </c>
      <c r="C4221" s="399" t="s">
        <v>184</v>
      </c>
      <c r="D4221" s="399">
        <v>2341</v>
      </c>
      <c r="E4221" s="312" t="s">
        <v>5428</v>
      </c>
      <c r="F4221" s="399" t="s">
        <v>3206</v>
      </c>
      <c r="G4221" s="399" t="s">
        <v>2221</v>
      </c>
      <c r="H4221" s="1235"/>
    </row>
    <row r="4222" spans="1:8" hidden="1">
      <c r="A4222" s="495" t="s">
        <v>5058</v>
      </c>
      <c r="B4222" s="399" t="s">
        <v>1765</v>
      </c>
      <c r="C4222" s="399" t="s">
        <v>184</v>
      </c>
      <c r="D4222" s="399">
        <v>2342</v>
      </c>
      <c r="E4222" s="312" t="s">
        <v>5429</v>
      </c>
      <c r="F4222" s="399" t="s">
        <v>3208</v>
      </c>
      <c r="G4222" s="399" t="s">
        <v>2221</v>
      </c>
      <c r="H4222" s="1235"/>
    </row>
    <row r="4223" spans="1:8" hidden="1">
      <c r="A4223" s="495" t="s">
        <v>5058</v>
      </c>
      <c r="B4223" s="399" t="s">
        <v>1765</v>
      </c>
      <c r="C4223" s="399" t="s">
        <v>184</v>
      </c>
      <c r="D4223" s="399">
        <v>2343</v>
      </c>
      <c r="E4223" s="312" t="s">
        <v>5430</v>
      </c>
      <c r="F4223" s="399" t="s">
        <v>3210</v>
      </c>
      <c r="G4223" s="399" t="s">
        <v>2221</v>
      </c>
      <c r="H4223" s="1235"/>
    </row>
    <row r="4224" spans="1:8" hidden="1">
      <c r="A4224" s="495" t="s">
        <v>5058</v>
      </c>
      <c r="B4224" s="399" t="s">
        <v>1765</v>
      </c>
      <c r="C4224" s="399" t="s">
        <v>184</v>
      </c>
      <c r="D4224" s="399">
        <v>2344</v>
      </c>
      <c r="E4224" s="312" t="s">
        <v>5431</v>
      </c>
      <c r="F4224" s="399" t="s">
        <v>3212</v>
      </c>
      <c r="G4224" s="399" t="s">
        <v>2221</v>
      </c>
      <c r="H4224" s="1235"/>
    </row>
    <row r="4225" spans="1:8" hidden="1">
      <c r="A4225" s="495" t="s">
        <v>5058</v>
      </c>
      <c r="B4225" s="399" t="s">
        <v>1765</v>
      </c>
      <c r="C4225" s="399" t="s">
        <v>184</v>
      </c>
      <c r="D4225" s="399">
        <v>2349</v>
      </c>
      <c r="E4225" s="312" t="s">
        <v>5432</v>
      </c>
      <c r="F4225" s="399" t="s">
        <v>3214</v>
      </c>
      <c r="G4225" s="399" t="s">
        <v>2221</v>
      </c>
      <c r="H4225" s="1235"/>
    </row>
    <row r="4226" spans="1:8" hidden="1">
      <c r="A4226" s="495" t="s">
        <v>5058</v>
      </c>
      <c r="B4226" s="399" t="s">
        <v>1765</v>
      </c>
      <c r="C4226" s="399" t="s">
        <v>184</v>
      </c>
      <c r="D4226" s="399">
        <v>2350</v>
      </c>
      <c r="E4226" s="312" t="s">
        <v>5433</v>
      </c>
      <c r="F4226" s="399" t="s">
        <v>3216</v>
      </c>
      <c r="G4226" s="399" t="s">
        <v>2221</v>
      </c>
      <c r="H4226" s="1235"/>
    </row>
    <row r="4227" spans="1:8" hidden="1">
      <c r="A4227" s="495" t="s">
        <v>5058</v>
      </c>
      <c r="B4227" s="399" t="s">
        <v>1765</v>
      </c>
      <c r="C4227" s="399" t="s">
        <v>184</v>
      </c>
      <c r="D4227" s="399">
        <v>2351</v>
      </c>
      <c r="E4227" s="312" t="s">
        <v>5434</v>
      </c>
      <c r="F4227" s="399" t="s">
        <v>3218</v>
      </c>
      <c r="G4227" s="399" t="s">
        <v>2221</v>
      </c>
      <c r="H4227" s="1235"/>
    </row>
    <row r="4228" spans="1:8" hidden="1">
      <c r="A4228" s="495" t="s">
        <v>5058</v>
      </c>
      <c r="B4228" s="399" t="s">
        <v>1765</v>
      </c>
      <c r="C4228" s="399" t="s">
        <v>184</v>
      </c>
      <c r="D4228" s="399">
        <v>2352</v>
      </c>
      <c r="E4228" s="312" t="s">
        <v>5435</v>
      </c>
      <c r="F4228" s="399" t="s">
        <v>3220</v>
      </c>
      <c r="G4228" s="399" t="s">
        <v>2221</v>
      </c>
      <c r="H4228" s="1235"/>
    </row>
    <row r="4229" spans="1:8" hidden="1">
      <c r="A4229" s="495" t="s">
        <v>5058</v>
      </c>
      <c r="B4229" s="399" t="s">
        <v>1765</v>
      </c>
      <c r="C4229" s="399" t="s">
        <v>184</v>
      </c>
      <c r="D4229" s="399">
        <v>2360</v>
      </c>
      <c r="E4229" s="312" t="s">
        <v>5436</v>
      </c>
      <c r="F4229" s="399" t="s">
        <v>3222</v>
      </c>
      <c r="G4229" s="399" t="s">
        <v>2221</v>
      </c>
      <c r="H4229" s="1235"/>
    </row>
    <row r="4230" spans="1:8" hidden="1">
      <c r="A4230" s="495" t="s">
        <v>5058</v>
      </c>
      <c r="B4230" s="399" t="s">
        <v>1765</v>
      </c>
      <c r="C4230" s="399" t="s">
        <v>184</v>
      </c>
      <c r="D4230" s="399">
        <v>2361</v>
      </c>
      <c r="E4230" s="312" t="s">
        <v>5437</v>
      </c>
      <c r="F4230" s="399" t="s">
        <v>3224</v>
      </c>
      <c r="G4230" s="399" t="s">
        <v>2221</v>
      </c>
      <c r="H4230" s="1235"/>
    </row>
    <row r="4231" spans="1:8" hidden="1">
      <c r="A4231" s="495" t="s">
        <v>5058</v>
      </c>
      <c r="B4231" s="399" t="s">
        <v>1765</v>
      </c>
      <c r="C4231" s="399" t="s">
        <v>184</v>
      </c>
      <c r="D4231" s="399">
        <v>2362</v>
      </c>
      <c r="E4231" s="312" t="s">
        <v>5438</v>
      </c>
      <c r="F4231" s="399" t="s">
        <v>3226</v>
      </c>
      <c r="G4231" s="399" t="s">
        <v>2221</v>
      </c>
      <c r="H4231" s="1235"/>
    </row>
    <row r="4232" spans="1:8" hidden="1">
      <c r="A4232" s="495" t="s">
        <v>5058</v>
      </c>
      <c r="B4232" s="399" t="s">
        <v>1765</v>
      </c>
      <c r="C4232" s="399" t="s">
        <v>184</v>
      </c>
      <c r="D4232" s="399">
        <v>2363</v>
      </c>
      <c r="E4232" s="312" t="s">
        <v>5439</v>
      </c>
      <c r="F4232" s="399" t="s">
        <v>3228</v>
      </c>
      <c r="G4232" s="399" t="s">
        <v>2221</v>
      </c>
      <c r="H4232" s="1235"/>
    </row>
    <row r="4233" spans="1:8" hidden="1">
      <c r="A4233" s="495" t="s">
        <v>5058</v>
      </c>
      <c r="B4233" s="399" t="s">
        <v>1765</v>
      </c>
      <c r="C4233" s="399" t="s">
        <v>184</v>
      </c>
      <c r="D4233" s="399">
        <v>2364</v>
      </c>
      <c r="E4233" s="312" t="s">
        <v>5440</v>
      </c>
      <c r="F4233" s="399" t="s">
        <v>3230</v>
      </c>
      <c r="G4233" s="399" t="s">
        <v>2221</v>
      </c>
      <c r="H4233" s="1235"/>
    </row>
    <row r="4234" spans="1:8" hidden="1">
      <c r="A4234" s="495" t="s">
        <v>5058</v>
      </c>
      <c r="B4234" s="399" t="s">
        <v>1765</v>
      </c>
      <c r="C4234" s="399" t="s">
        <v>184</v>
      </c>
      <c r="D4234" s="399">
        <v>2365</v>
      </c>
      <c r="E4234" s="312" t="s">
        <v>5441</v>
      </c>
      <c r="F4234" s="399" t="s">
        <v>3232</v>
      </c>
      <c r="G4234" s="399" t="s">
        <v>2221</v>
      </c>
      <c r="H4234" s="1235"/>
    </row>
    <row r="4235" spans="1:8" hidden="1">
      <c r="A4235" s="495" t="s">
        <v>5058</v>
      </c>
      <c r="B4235" s="399" t="s">
        <v>1765</v>
      </c>
      <c r="C4235" s="399" t="s">
        <v>184</v>
      </c>
      <c r="D4235" s="399">
        <v>2369</v>
      </c>
      <c r="E4235" s="312" t="s">
        <v>5442</v>
      </c>
      <c r="F4235" s="399" t="s">
        <v>3234</v>
      </c>
      <c r="G4235" s="399" t="s">
        <v>2221</v>
      </c>
      <c r="H4235" s="1235"/>
    </row>
    <row r="4236" spans="1:8" hidden="1">
      <c r="A4236" s="495" t="s">
        <v>5058</v>
      </c>
      <c r="B4236" s="399" t="s">
        <v>1765</v>
      </c>
      <c r="C4236" s="399" t="s">
        <v>184</v>
      </c>
      <c r="D4236" s="399">
        <v>2370</v>
      </c>
      <c r="E4236" s="312" t="s">
        <v>5443</v>
      </c>
      <c r="F4236" s="399" t="s">
        <v>3236</v>
      </c>
      <c r="G4236" s="399" t="s">
        <v>2221</v>
      </c>
      <c r="H4236" s="1235"/>
    </row>
    <row r="4237" spans="1:8" hidden="1">
      <c r="A4237" s="495" t="s">
        <v>5058</v>
      </c>
      <c r="B4237" s="399" t="s">
        <v>1765</v>
      </c>
      <c r="C4237" s="399" t="s">
        <v>184</v>
      </c>
      <c r="D4237" s="399">
        <v>2390</v>
      </c>
      <c r="E4237" s="312" t="s">
        <v>5444</v>
      </c>
      <c r="F4237" s="399" t="s">
        <v>3238</v>
      </c>
      <c r="G4237" s="399" t="s">
        <v>2221</v>
      </c>
      <c r="H4237" s="1235"/>
    </row>
    <row r="4238" spans="1:8" hidden="1">
      <c r="A4238" s="495" t="s">
        <v>5058</v>
      </c>
      <c r="B4238" s="399" t="s">
        <v>1765</v>
      </c>
      <c r="C4238" s="399" t="s">
        <v>184</v>
      </c>
      <c r="D4238" s="399">
        <v>2391</v>
      </c>
      <c r="E4238" s="312" t="s">
        <v>5445</v>
      </c>
      <c r="F4238" s="399" t="s">
        <v>3240</v>
      </c>
      <c r="G4238" s="399" t="s">
        <v>2221</v>
      </c>
      <c r="H4238" s="1235"/>
    </row>
    <row r="4239" spans="1:8" hidden="1">
      <c r="A4239" s="495" t="s">
        <v>5058</v>
      </c>
      <c r="B4239" s="399" t="s">
        <v>1765</v>
      </c>
      <c r="C4239" s="399" t="s">
        <v>184</v>
      </c>
      <c r="D4239" s="399">
        <v>2399</v>
      </c>
      <c r="E4239" s="312" t="s">
        <v>5446</v>
      </c>
      <c r="F4239" s="399" t="s">
        <v>3242</v>
      </c>
      <c r="G4239" s="399" t="s">
        <v>2221</v>
      </c>
      <c r="H4239" s="1235"/>
    </row>
    <row r="4240" spans="1:8" hidden="1">
      <c r="A4240" s="495" t="s">
        <v>5058</v>
      </c>
      <c r="B4240" s="399" t="s">
        <v>1765</v>
      </c>
      <c r="C4240" s="399" t="s">
        <v>184</v>
      </c>
      <c r="D4240" s="399">
        <v>2400</v>
      </c>
      <c r="E4240" s="312" t="s">
        <v>5447</v>
      </c>
      <c r="F4240" s="399" t="s">
        <v>3243</v>
      </c>
      <c r="G4240" s="399" t="s">
        <v>2221</v>
      </c>
      <c r="H4240" s="1235"/>
    </row>
    <row r="4241" spans="1:8" hidden="1">
      <c r="A4241" s="495" t="s">
        <v>5058</v>
      </c>
      <c r="B4241" s="399" t="s">
        <v>1765</v>
      </c>
      <c r="C4241" s="399" t="s">
        <v>184</v>
      </c>
      <c r="D4241" s="399">
        <v>2410</v>
      </c>
      <c r="E4241" s="312" t="s">
        <v>5448</v>
      </c>
      <c r="F4241" s="399" t="s">
        <v>3245</v>
      </c>
      <c r="G4241" s="399" t="s">
        <v>2221</v>
      </c>
      <c r="H4241" s="1235"/>
    </row>
    <row r="4242" spans="1:8" hidden="1">
      <c r="A4242" s="495" t="s">
        <v>5058</v>
      </c>
      <c r="B4242" s="399" t="s">
        <v>1765</v>
      </c>
      <c r="C4242" s="399" t="s">
        <v>184</v>
      </c>
      <c r="D4242" s="399">
        <v>2420</v>
      </c>
      <c r="E4242" s="312" t="s">
        <v>5449</v>
      </c>
      <c r="F4242" s="399" t="s">
        <v>3247</v>
      </c>
      <c r="G4242" s="399" t="s">
        <v>2221</v>
      </c>
      <c r="H4242" s="1235"/>
    </row>
    <row r="4243" spans="1:8" hidden="1">
      <c r="A4243" s="495" t="s">
        <v>5058</v>
      </c>
      <c r="B4243" s="399" t="s">
        <v>1765</v>
      </c>
      <c r="C4243" s="399" t="s">
        <v>184</v>
      </c>
      <c r="D4243" s="399">
        <v>2430</v>
      </c>
      <c r="E4243" s="312" t="s">
        <v>5450</v>
      </c>
      <c r="F4243" s="399" t="s">
        <v>3249</v>
      </c>
      <c r="G4243" s="399" t="s">
        <v>2221</v>
      </c>
      <c r="H4243" s="1235"/>
    </row>
    <row r="4244" spans="1:8" hidden="1">
      <c r="A4244" s="495" t="s">
        <v>5058</v>
      </c>
      <c r="B4244" s="399" t="s">
        <v>1765</v>
      </c>
      <c r="C4244" s="399" t="s">
        <v>184</v>
      </c>
      <c r="D4244" s="399">
        <v>2431</v>
      </c>
      <c r="E4244" s="312" t="s">
        <v>5451</v>
      </c>
      <c r="F4244" s="399" t="s">
        <v>3251</v>
      </c>
      <c r="G4244" s="399" t="s">
        <v>2221</v>
      </c>
      <c r="H4244" s="1235"/>
    </row>
    <row r="4245" spans="1:8" hidden="1">
      <c r="A4245" s="495" t="s">
        <v>5058</v>
      </c>
      <c r="B4245" s="399" t="s">
        <v>1765</v>
      </c>
      <c r="C4245" s="399" t="s">
        <v>184</v>
      </c>
      <c r="D4245" s="399">
        <v>2432</v>
      </c>
      <c r="E4245" s="312" t="s">
        <v>5452</v>
      </c>
      <c r="F4245" s="399" t="s">
        <v>3253</v>
      </c>
      <c r="G4245" s="399" t="s">
        <v>2221</v>
      </c>
      <c r="H4245" s="1235"/>
    </row>
    <row r="4246" spans="1:8" hidden="1">
      <c r="A4246" s="495" t="s">
        <v>5058</v>
      </c>
      <c r="B4246" s="399" t="s">
        <v>1765</v>
      </c>
      <c r="C4246" s="399" t="s">
        <v>184</v>
      </c>
      <c r="D4246" s="399">
        <v>2433</v>
      </c>
      <c r="E4246" s="312" t="s">
        <v>5453</v>
      </c>
      <c r="F4246" s="399" t="s">
        <v>3255</v>
      </c>
      <c r="G4246" s="399" t="s">
        <v>2221</v>
      </c>
      <c r="H4246" s="1235"/>
    </row>
    <row r="4247" spans="1:8" hidden="1">
      <c r="A4247" s="495" t="s">
        <v>5058</v>
      </c>
      <c r="B4247" s="399" t="s">
        <v>1765</v>
      </c>
      <c r="C4247" s="399" t="s">
        <v>184</v>
      </c>
      <c r="D4247" s="399">
        <v>2434</v>
      </c>
      <c r="E4247" s="312" t="s">
        <v>5454</v>
      </c>
      <c r="F4247" s="399" t="s">
        <v>3257</v>
      </c>
      <c r="G4247" s="399" t="s">
        <v>2221</v>
      </c>
      <c r="H4247" s="1235"/>
    </row>
    <row r="4248" spans="1:8" hidden="1">
      <c r="A4248" s="495" t="s">
        <v>5058</v>
      </c>
      <c r="B4248" s="399" t="s">
        <v>1765</v>
      </c>
      <c r="C4248" s="399" t="s">
        <v>184</v>
      </c>
      <c r="D4248" s="399">
        <v>2440</v>
      </c>
      <c r="E4248" s="312" t="s">
        <v>5455</v>
      </c>
      <c r="F4248" s="399" t="s">
        <v>3259</v>
      </c>
      <c r="G4248" s="399" t="s">
        <v>2221</v>
      </c>
      <c r="H4248" s="1235"/>
    </row>
    <row r="4249" spans="1:8" hidden="1">
      <c r="A4249" s="495" t="s">
        <v>5058</v>
      </c>
      <c r="B4249" s="399" t="s">
        <v>1765</v>
      </c>
      <c r="C4249" s="399" t="s">
        <v>184</v>
      </c>
      <c r="D4249" s="399">
        <v>2441</v>
      </c>
      <c r="E4249" s="312" t="s">
        <v>5456</v>
      </c>
      <c r="F4249" s="399" t="s">
        <v>3261</v>
      </c>
      <c r="G4249" s="399" t="s">
        <v>2221</v>
      </c>
      <c r="H4249" s="1235"/>
    </row>
    <row r="4250" spans="1:8" hidden="1">
      <c r="A4250" s="495" t="s">
        <v>5058</v>
      </c>
      <c r="B4250" s="399" t="s">
        <v>1765</v>
      </c>
      <c r="C4250" s="399" t="s">
        <v>184</v>
      </c>
      <c r="D4250" s="399">
        <v>2442</v>
      </c>
      <c r="E4250" s="312" t="s">
        <v>5457</v>
      </c>
      <c r="F4250" s="399" t="s">
        <v>3263</v>
      </c>
      <c r="G4250" s="399" t="s">
        <v>2221</v>
      </c>
      <c r="H4250" s="1235"/>
    </row>
    <row r="4251" spans="1:8" hidden="1">
      <c r="A4251" s="495" t="s">
        <v>5058</v>
      </c>
      <c r="B4251" s="399" t="s">
        <v>1765</v>
      </c>
      <c r="C4251" s="399" t="s">
        <v>184</v>
      </c>
      <c r="D4251" s="399">
        <v>2443</v>
      </c>
      <c r="E4251" s="312" t="s">
        <v>5458</v>
      </c>
      <c r="F4251" s="399" t="s">
        <v>3265</v>
      </c>
      <c r="G4251" s="399" t="s">
        <v>2221</v>
      </c>
      <c r="H4251" s="1235"/>
    </row>
    <row r="4252" spans="1:8" hidden="1">
      <c r="A4252" s="495" t="s">
        <v>5058</v>
      </c>
      <c r="B4252" s="399" t="s">
        <v>1765</v>
      </c>
      <c r="C4252" s="399" t="s">
        <v>184</v>
      </c>
      <c r="D4252" s="399">
        <v>2444</v>
      </c>
      <c r="E4252" s="312" t="s">
        <v>5459</v>
      </c>
      <c r="F4252" s="399" t="s">
        <v>3267</v>
      </c>
      <c r="G4252" s="399" t="s">
        <v>2221</v>
      </c>
      <c r="H4252" s="1235"/>
    </row>
    <row r="4253" spans="1:8" hidden="1">
      <c r="A4253" s="495" t="s">
        <v>5058</v>
      </c>
      <c r="B4253" s="399" t="s">
        <v>1765</v>
      </c>
      <c r="C4253" s="399" t="s">
        <v>184</v>
      </c>
      <c r="D4253" s="399">
        <v>2445</v>
      </c>
      <c r="E4253" s="312" t="s">
        <v>5460</v>
      </c>
      <c r="F4253" s="399" t="s">
        <v>3269</v>
      </c>
      <c r="G4253" s="399" t="s">
        <v>2221</v>
      </c>
      <c r="H4253" s="1235"/>
    </row>
    <row r="4254" spans="1:8" hidden="1">
      <c r="A4254" s="495" t="s">
        <v>5058</v>
      </c>
      <c r="B4254" s="399" t="s">
        <v>1765</v>
      </c>
      <c r="C4254" s="399" t="s">
        <v>184</v>
      </c>
      <c r="D4254" s="399">
        <v>2446</v>
      </c>
      <c r="E4254" s="312" t="s">
        <v>5461</v>
      </c>
      <c r="F4254" s="399" t="s">
        <v>3271</v>
      </c>
      <c r="G4254" s="399" t="s">
        <v>2221</v>
      </c>
      <c r="H4254" s="1235"/>
    </row>
    <row r="4255" spans="1:8" hidden="1">
      <c r="A4255" s="495" t="s">
        <v>5058</v>
      </c>
      <c r="B4255" s="399" t="s">
        <v>1765</v>
      </c>
      <c r="C4255" s="399" t="s">
        <v>184</v>
      </c>
      <c r="D4255" s="399">
        <v>2450</v>
      </c>
      <c r="E4255" s="312" t="s">
        <v>5462</v>
      </c>
      <c r="F4255" s="399" t="s">
        <v>3273</v>
      </c>
      <c r="G4255" s="399" t="s">
        <v>2221</v>
      </c>
      <c r="H4255" s="1235"/>
    </row>
    <row r="4256" spans="1:8" hidden="1">
      <c r="A4256" s="495" t="s">
        <v>5058</v>
      </c>
      <c r="B4256" s="399" t="s">
        <v>1765</v>
      </c>
      <c r="C4256" s="399" t="s">
        <v>184</v>
      </c>
      <c r="D4256" s="399">
        <v>2451</v>
      </c>
      <c r="E4256" s="312" t="s">
        <v>5463</v>
      </c>
      <c r="F4256" s="399" t="s">
        <v>3275</v>
      </c>
      <c r="G4256" s="399" t="s">
        <v>2221</v>
      </c>
      <c r="H4256" s="1235"/>
    </row>
    <row r="4257" spans="1:8" hidden="1">
      <c r="A4257" s="495" t="s">
        <v>5058</v>
      </c>
      <c r="B4257" s="399" t="s">
        <v>1765</v>
      </c>
      <c r="C4257" s="399" t="s">
        <v>184</v>
      </c>
      <c r="D4257" s="399">
        <v>2452</v>
      </c>
      <c r="E4257" s="312" t="s">
        <v>5464</v>
      </c>
      <c r="F4257" s="399" t="s">
        <v>3277</v>
      </c>
      <c r="G4257" s="399" t="s">
        <v>2221</v>
      </c>
      <c r="H4257" s="1235"/>
    </row>
    <row r="4258" spans="1:8" hidden="1">
      <c r="A4258" s="495" t="s">
        <v>5058</v>
      </c>
      <c r="B4258" s="399" t="s">
        <v>1765</v>
      </c>
      <c r="C4258" s="399" t="s">
        <v>184</v>
      </c>
      <c r="D4258" s="399">
        <v>2453</v>
      </c>
      <c r="E4258" s="312" t="s">
        <v>5465</v>
      </c>
      <c r="F4258" s="399" t="s">
        <v>3279</v>
      </c>
      <c r="G4258" s="399" t="s">
        <v>2221</v>
      </c>
      <c r="H4258" s="1235"/>
    </row>
    <row r="4259" spans="1:8" hidden="1">
      <c r="A4259" s="495" t="s">
        <v>5058</v>
      </c>
      <c r="B4259" s="399" t="s">
        <v>1765</v>
      </c>
      <c r="C4259" s="399" t="s">
        <v>184</v>
      </c>
      <c r="D4259" s="399">
        <v>2454</v>
      </c>
      <c r="E4259" s="312" t="s">
        <v>5466</v>
      </c>
      <c r="F4259" s="399" t="s">
        <v>3281</v>
      </c>
      <c r="G4259" s="399" t="s">
        <v>2221</v>
      </c>
      <c r="H4259" s="1235"/>
    </row>
    <row r="4260" spans="1:8" hidden="1">
      <c r="A4260" s="495" t="s">
        <v>5058</v>
      </c>
      <c r="B4260" s="399" t="s">
        <v>1765</v>
      </c>
      <c r="C4260" s="399" t="s">
        <v>184</v>
      </c>
      <c r="D4260" s="399">
        <v>2500</v>
      </c>
      <c r="E4260" s="312" t="s">
        <v>5467</v>
      </c>
      <c r="F4260" s="399" t="s">
        <v>3282</v>
      </c>
      <c r="G4260" s="399" t="s">
        <v>2221</v>
      </c>
      <c r="H4260" s="1235"/>
    </row>
    <row r="4261" spans="1:8" hidden="1">
      <c r="A4261" s="495" t="s">
        <v>5058</v>
      </c>
      <c r="B4261" s="399" t="s">
        <v>1765</v>
      </c>
      <c r="C4261" s="399" t="s">
        <v>184</v>
      </c>
      <c r="D4261" s="399">
        <v>2510</v>
      </c>
      <c r="E4261" s="312" t="s">
        <v>5468</v>
      </c>
      <c r="F4261" s="399" t="s">
        <v>3284</v>
      </c>
      <c r="G4261" s="399" t="s">
        <v>2221</v>
      </c>
      <c r="H4261" s="1235"/>
    </row>
    <row r="4262" spans="1:8" hidden="1">
      <c r="A4262" s="495" t="s">
        <v>5058</v>
      </c>
      <c r="B4262" s="399" t="s">
        <v>1765</v>
      </c>
      <c r="C4262" s="399" t="s">
        <v>184</v>
      </c>
      <c r="D4262" s="399">
        <v>2511</v>
      </c>
      <c r="E4262" s="312" t="s">
        <v>5469</v>
      </c>
      <c r="F4262" s="399" t="s">
        <v>3286</v>
      </c>
      <c r="G4262" s="399" t="s">
        <v>2221</v>
      </c>
      <c r="H4262" s="1235"/>
    </row>
    <row r="4263" spans="1:8" hidden="1">
      <c r="A4263" s="495" t="s">
        <v>5058</v>
      </c>
      <c r="B4263" s="399" t="s">
        <v>1765</v>
      </c>
      <c r="C4263" s="399" t="s">
        <v>184</v>
      </c>
      <c r="D4263" s="399">
        <v>2512</v>
      </c>
      <c r="E4263" s="312" t="s">
        <v>5470</v>
      </c>
      <c r="F4263" s="399" t="s">
        <v>3288</v>
      </c>
      <c r="G4263" s="399" t="s">
        <v>2221</v>
      </c>
      <c r="H4263" s="1235"/>
    </row>
    <row r="4264" spans="1:8" hidden="1">
      <c r="A4264" s="495" t="s">
        <v>5058</v>
      </c>
      <c r="B4264" s="399" t="s">
        <v>1765</v>
      </c>
      <c r="C4264" s="399" t="s">
        <v>184</v>
      </c>
      <c r="D4264" s="399">
        <v>2520</v>
      </c>
      <c r="E4264" s="312" t="s">
        <v>5471</v>
      </c>
      <c r="F4264" s="399" t="s">
        <v>3290</v>
      </c>
      <c r="G4264" s="399" t="s">
        <v>2221</v>
      </c>
      <c r="H4264" s="1235"/>
    </row>
    <row r="4265" spans="1:8" hidden="1">
      <c r="A4265" s="495" t="s">
        <v>5058</v>
      </c>
      <c r="B4265" s="399" t="s">
        <v>1765</v>
      </c>
      <c r="C4265" s="399" t="s">
        <v>184</v>
      </c>
      <c r="D4265" s="399">
        <v>2521</v>
      </c>
      <c r="E4265" s="312" t="s">
        <v>5472</v>
      </c>
      <c r="F4265" s="399" t="s">
        <v>3292</v>
      </c>
      <c r="G4265" s="399" t="s">
        <v>2221</v>
      </c>
      <c r="H4265" s="1235"/>
    </row>
    <row r="4266" spans="1:8" hidden="1">
      <c r="A4266" s="495" t="s">
        <v>5058</v>
      </c>
      <c r="B4266" s="399" t="s">
        <v>1765</v>
      </c>
      <c r="C4266" s="399" t="s">
        <v>184</v>
      </c>
      <c r="D4266" s="399">
        <v>2529</v>
      </c>
      <c r="E4266" s="312" t="s">
        <v>5473</v>
      </c>
      <c r="F4266" s="399" t="s">
        <v>3294</v>
      </c>
      <c r="G4266" s="399" t="s">
        <v>2221</v>
      </c>
      <c r="H4266" s="1235"/>
    </row>
    <row r="4267" spans="1:8" hidden="1">
      <c r="A4267" s="495" t="s">
        <v>5058</v>
      </c>
      <c r="B4267" s="399" t="s">
        <v>1765</v>
      </c>
      <c r="C4267" s="399" t="s">
        <v>184</v>
      </c>
      <c r="D4267" s="399">
        <v>2530</v>
      </c>
      <c r="E4267" s="312" t="s">
        <v>5474</v>
      </c>
      <c r="F4267" s="399" t="s">
        <v>3296</v>
      </c>
      <c r="G4267" s="399" t="s">
        <v>2221</v>
      </c>
      <c r="H4267" s="1235"/>
    </row>
    <row r="4268" spans="1:8" hidden="1">
      <c r="A4268" s="495" t="s">
        <v>5058</v>
      </c>
      <c r="B4268" s="399" t="s">
        <v>1765</v>
      </c>
      <c r="C4268" s="399" t="s">
        <v>184</v>
      </c>
      <c r="D4268" s="399">
        <v>2540</v>
      </c>
      <c r="E4268" s="312" t="s">
        <v>5475</v>
      </c>
      <c r="F4268" s="399" t="s">
        <v>3298</v>
      </c>
      <c r="G4268" s="399" t="s">
        <v>2221</v>
      </c>
      <c r="H4268" s="1235"/>
    </row>
    <row r="4269" spans="1:8" hidden="1">
      <c r="A4269" s="495" t="s">
        <v>5058</v>
      </c>
      <c r="B4269" s="399" t="s">
        <v>1765</v>
      </c>
      <c r="C4269" s="399" t="s">
        <v>184</v>
      </c>
      <c r="D4269" s="399">
        <v>2550</v>
      </c>
      <c r="E4269" s="312" t="s">
        <v>5476</v>
      </c>
      <c r="F4269" s="399" t="s">
        <v>3300</v>
      </c>
      <c r="G4269" s="399" t="s">
        <v>2221</v>
      </c>
      <c r="H4269" s="1235"/>
    </row>
    <row r="4270" spans="1:8" hidden="1">
      <c r="A4270" s="495" t="s">
        <v>5058</v>
      </c>
      <c r="B4270" s="399" t="s">
        <v>1765</v>
      </c>
      <c r="C4270" s="399" t="s">
        <v>184</v>
      </c>
      <c r="D4270" s="399">
        <v>2560</v>
      </c>
      <c r="E4270" s="312" t="s">
        <v>5477</v>
      </c>
      <c r="F4270" s="399" t="s">
        <v>3302</v>
      </c>
      <c r="G4270" s="399" t="s">
        <v>2221</v>
      </c>
      <c r="H4270" s="1235"/>
    </row>
    <row r="4271" spans="1:8" hidden="1">
      <c r="A4271" s="495" t="s">
        <v>5058</v>
      </c>
      <c r="B4271" s="399" t="s">
        <v>1765</v>
      </c>
      <c r="C4271" s="399" t="s">
        <v>184</v>
      </c>
      <c r="D4271" s="399">
        <v>2561</v>
      </c>
      <c r="E4271" s="312" t="s">
        <v>5478</v>
      </c>
      <c r="F4271" s="399" t="s">
        <v>3304</v>
      </c>
      <c r="G4271" s="399" t="s">
        <v>2221</v>
      </c>
      <c r="H4271" s="1235"/>
    </row>
    <row r="4272" spans="1:8" hidden="1">
      <c r="A4272" s="495" t="s">
        <v>5058</v>
      </c>
      <c r="B4272" s="399" t="s">
        <v>1765</v>
      </c>
      <c r="C4272" s="399" t="s">
        <v>184</v>
      </c>
      <c r="D4272" s="399">
        <v>2562</v>
      </c>
      <c r="E4272" s="312" t="s">
        <v>5479</v>
      </c>
      <c r="F4272" s="399" t="s">
        <v>3306</v>
      </c>
      <c r="G4272" s="399" t="s">
        <v>2221</v>
      </c>
      <c r="H4272" s="1235"/>
    </row>
    <row r="4273" spans="1:8" hidden="1">
      <c r="A4273" s="495" t="s">
        <v>5058</v>
      </c>
      <c r="B4273" s="399" t="s">
        <v>1765</v>
      </c>
      <c r="C4273" s="399" t="s">
        <v>184</v>
      </c>
      <c r="D4273" s="399">
        <v>2570</v>
      </c>
      <c r="E4273" s="312" t="s">
        <v>5480</v>
      </c>
      <c r="F4273" s="399" t="s">
        <v>3308</v>
      </c>
      <c r="G4273" s="399" t="s">
        <v>2221</v>
      </c>
      <c r="H4273" s="1235"/>
    </row>
    <row r="4274" spans="1:8" hidden="1">
      <c r="A4274" s="495" t="s">
        <v>5058</v>
      </c>
      <c r="B4274" s="399" t="s">
        <v>1765</v>
      </c>
      <c r="C4274" s="399" t="s">
        <v>184</v>
      </c>
      <c r="D4274" s="399">
        <v>2571</v>
      </c>
      <c r="E4274" s="312" t="s">
        <v>5481</v>
      </c>
      <c r="F4274" s="399" t="s">
        <v>3310</v>
      </c>
      <c r="G4274" s="399" t="s">
        <v>2221</v>
      </c>
      <c r="H4274" s="1235"/>
    </row>
    <row r="4275" spans="1:8" hidden="1">
      <c r="A4275" s="495" t="s">
        <v>5058</v>
      </c>
      <c r="B4275" s="399" t="s">
        <v>1765</v>
      </c>
      <c r="C4275" s="399" t="s">
        <v>184</v>
      </c>
      <c r="D4275" s="399">
        <v>2572</v>
      </c>
      <c r="E4275" s="312" t="s">
        <v>5482</v>
      </c>
      <c r="F4275" s="399" t="s">
        <v>3312</v>
      </c>
      <c r="G4275" s="399" t="s">
        <v>2221</v>
      </c>
      <c r="H4275" s="1235"/>
    </row>
    <row r="4276" spans="1:8" hidden="1">
      <c r="A4276" s="495" t="s">
        <v>5058</v>
      </c>
      <c r="B4276" s="399" t="s">
        <v>1765</v>
      </c>
      <c r="C4276" s="399" t="s">
        <v>184</v>
      </c>
      <c r="D4276" s="399">
        <v>2573</v>
      </c>
      <c r="E4276" s="312" t="s">
        <v>5483</v>
      </c>
      <c r="F4276" s="399" t="s">
        <v>3314</v>
      </c>
      <c r="G4276" s="399" t="s">
        <v>2221</v>
      </c>
      <c r="H4276" s="1235"/>
    </row>
    <row r="4277" spans="1:8" hidden="1">
      <c r="A4277" s="495" t="s">
        <v>5058</v>
      </c>
      <c r="B4277" s="399" t="s">
        <v>1765</v>
      </c>
      <c r="C4277" s="399" t="s">
        <v>184</v>
      </c>
      <c r="D4277" s="399">
        <v>2590</v>
      </c>
      <c r="E4277" s="312" t="s">
        <v>5484</v>
      </c>
      <c r="F4277" s="399" t="s">
        <v>3316</v>
      </c>
      <c r="G4277" s="399" t="s">
        <v>2221</v>
      </c>
      <c r="H4277" s="1235"/>
    </row>
    <row r="4278" spans="1:8" hidden="1">
      <c r="A4278" s="495" t="s">
        <v>5058</v>
      </c>
      <c r="B4278" s="399" t="s">
        <v>1765</v>
      </c>
      <c r="C4278" s="399" t="s">
        <v>184</v>
      </c>
      <c r="D4278" s="399">
        <v>2591</v>
      </c>
      <c r="E4278" s="312" t="s">
        <v>5485</v>
      </c>
      <c r="F4278" s="399" t="s">
        <v>3318</v>
      </c>
      <c r="G4278" s="399" t="s">
        <v>2221</v>
      </c>
      <c r="H4278" s="1235"/>
    </row>
    <row r="4279" spans="1:8" hidden="1">
      <c r="A4279" s="495" t="s">
        <v>5058</v>
      </c>
      <c r="B4279" s="399" t="s">
        <v>1765</v>
      </c>
      <c r="C4279" s="399" t="s">
        <v>184</v>
      </c>
      <c r="D4279" s="399">
        <v>2592</v>
      </c>
      <c r="E4279" s="312" t="s">
        <v>5486</v>
      </c>
      <c r="F4279" s="399" t="s">
        <v>3320</v>
      </c>
      <c r="G4279" s="399" t="s">
        <v>2221</v>
      </c>
      <c r="H4279" s="1235"/>
    </row>
    <row r="4280" spans="1:8" hidden="1">
      <c r="A4280" s="495" t="s">
        <v>5058</v>
      </c>
      <c r="B4280" s="399" t="s">
        <v>1765</v>
      </c>
      <c r="C4280" s="399" t="s">
        <v>184</v>
      </c>
      <c r="D4280" s="399">
        <v>2593</v>
      </c>
      <c r="E4280" s="312" t="s">
        <v>5487</v>
      </c>
      <c r="F4280" s="399" t="s">
        <v>3322</v>
      </c>
      <c r="G4280" s="399" t="s">
        <v>2221</v>
      </c>
      <c r="H4280" s="1235"/>
    </row>
    <row r="4281" spans="1:8" hidden="1">
      <c r="A4281" s="495" t="s">
        <v>5058</v>
      </c>
      <c r="B4281" s="399" t="s">
        <v>1765</v>
      </c>
      <c r="C4281" s="399" t="s">
        <v>184</v>
      </c>
      <c r="D4281" s="399">
        <v>2594</v>
      </c>
      <c r="E4281" s="312" t="s">
        <v>5488</v>
      </c>
      <c r="F4281" s="399" t="s">
        <v>3324</v>
      </c>
      <c r="G4281" s="399" t="s">
        <v>2221</v>
      </c>
      <c r="H4281" s="1235"/>
    </row>
    <row r="4282" spans="1:8" hidden="1">
      <c r="A4282" s="495" t="s">
        <v>5058</v>
      </c>
      <c r="B4282" s="399" t="s">
        <v>1765</v>
      </c>
      <c r="C4282" s="399" t="s">
        <v>184</v>
      </c>
      <c r="D4282" s="399">
        <v>2599</v>
      </c>
      <c r="E4282" s="312" t="s">
        <v>5489</v>
      </c>
      <c r="F4282" s="399" t="s">
        <v>3325</v>
      </c>
      <c r="G4282" s="399" t="s">
        <v>2221</v>
      </c>
      <c r="H4282" s="1235"/>
    </row>
    <row r="4283" spans="1:8" hidden="1">
      <c r="A4283" s="495" t="s">
        <v>5058</v>
      </c>
      <c r="B4283" s="399" t="s">
        <v>1765</v>
      </c>
      <c r="C4283" s="399" t="s">
        <v>184</v>
      </c>
      <c r="D4283" s="399">
        <v>2600</v>
      </c>
      <c r="E4283" s="312" t="s">
        <v>5490</v>
      </c>
      <c r="F4283" s="399" t="s">
        <v>3327</v>
      </c>
      <c r="G4283" s="399" t="s">
        <v>2221</v>
      </c>
      <c r="H4283" s="1235"/>
    </row>
    <row r="4284" spans="1:8" hidden="1">
      <c r="A4284" s="495" t="s">
        <v>5058</v>
      </c>
      <c r="B4284" s="399" t="s">
        <v>1765</v>
      </c>
      <c r="C4284" s="399" t="s">
        <v>184</v>
      </c>
      <c r="D4284" s="399">
        <v>2610</v>
      </c>
      <c r="E4284" s="312" t="s">
        <v>5491</v>
      </c>
      <c r="F4284" s="399" t="s">
        <v>3329</v>
      </c>
      <c r="G4284" s="399" t="s">
        <v>2221</v>
      </c>
      <c r="H4284" s="1235"/>
    </row>
    <row r="4285" spans="1:8" hidden="1">
      <c r="A4285" s="495" t="s">
        <v>5058</v>
      </c>
      <c r="B4285" s="399" t="s">
        <v>1765</v>
      </c>
      <c r="C4285" s="399" t="s">
        <v>184</v>
      </c>
      <c r="D4285" s="399">
        <v>2611</v>
      </c>
      <c r="E4285" s="312" t="s">
        <v>5492</v>
      </c>
      <c r="F4285" s="399" t="s">
        <v>3331</v>
      </c>
      <c r="G4285" s="399" t="s">
        <v>2221</v>
      </c>
      <c r="H4285" s="1235"/>
    </row>
    <row r="4286" spans="1:8" hidden="1">
      <c r="A4286" s="495" t="s">
        <v>5058</v>
      </c>
      <c r="B4286" s="399" t="s">
        <v>1765</v>
      </c>
      <c r="C4286" s="399" t="s">
        <v>184</v>
      </c>
      <c r="D4286" s="399">
        <v>2612</v>
      </c>
      <c r="E4286" s="312" t="s">
        <v>5493</v>
      </c>
      <c r="F4286" s="399" t="s">
        <v>3333</v>
      </c>
      <c r="G4286" s="399" t="s">
        <v>2221</v>
      </c>
      <c r="H4286" s="1235"/>
    </row>
    <row r="4287" spans="1:8" hidden="1">
      <c r="A4287" s="495" t="s">
        <v>5058</v>
      </c>
      <c r="B4287" s="399" t="s">
        <v>1765</v>
      </c>
      <c r="C4287" s="399" t="s">
        <v>184</v>
      </c>
      <c r="D4287" s="399">
        <v>2620</v>
      </c>
      <c r="E4287" s="312" t="s">
        <v>5494</v>
      </c>
      <c r="F4287" s="399" t="s">
        <v>3335</v>
      </c>
      <c r="G4287" s="399" t="s">
        <v>2221</v>
      </c>
      <c r="H4287" s="1235"/>
    </row>
    <row r="4288" spans="1:8" hidden="1">
      <c r="A4288" s="495" t="s">
        <v>5058</v>
      </c>
      <c r="B4288" s="399" t="s">
        <v>1765</v>
      </c>
      <c r="C4288" s="399" t="s">
        <v>184</v>
      </c>
      <c r="D4288" s="399">
        <v>2630</v>
      </c>
      <c r="E4288" s="312" t="s">
        <v>5495</v>
      </c>
      <c r="F4288" s="399" t="s">
        <v>3337</v>
      </c>
      <c r="G4288" s="399" t="s">
        <v>2221</v>
      </c>
      <c r="H4288" s="1235"/>
    </row>
    <row r="4289" spans="1:8" hidden="1">
      <c r="A4289" s="495" t="s">
        <v>5058</v>
      </c>
      <c r="B4289" s="399" t="s">
        <v>1765</v>
      </c>
      <c r="C4289" s="399" t="s">
        <v>184</v>
      </c>
      <c r="D4289" s="399">
        <v>2640</v>
      </c>
      <c r="E4289" s="312" t="s">
        <v>5496</v>
      </c>
      <c r="F4289" s="399" t="s">
        <v>3339</v>
      </c>
      <c r="G4289" s="399" t="s">
        <v>2221</v>
      </c>
      <c r="H4289" s="1235"/>
    </row>
    <row r="4290" spans="1:8" hidden="1">
      <c r="A4290" s="495" t="s">
        <v>5058</v>
      </c>
      <c r="B4290" s="399" t="s">
        <v>1765</v>
      </c>
      <c r="C4290" s="399" t="s">
        <v>184</v>
      </c>
      <c r="D4290" s="399">
        <v>2650</v>
      </c>
      <c r="E4290" s="312" t="s">
        <v>5497</v>
      </c>
      <c r="F4290" s="399" t="s">
        <v>3341</v>
      </c>
      <c r="G4290" s="399" t="s">
        <v>2221</v>
      </c>
      <c r="H4290" s="1235"/>
    </row>
    <row r="4291" spans="1:8" hidden="1">
      <c r="A4291" s="495" t="s">
        <v>5058</v>
      </c>
      <c r="B4291" s="399" t="s">
        <v>1765</v>
      </c>
      <c r="C4291" s="399" t="s">
        <v>184</v>
      </c>
      <c r="D4291" s="399">
        <v>2651</v>
      </c>
      <c r="E4291" s="312" t="s">
        <v>5498</v>
      </c>
      <c r="F4291" s="399" t="s">
        <v>3343</v>
      </c>
      <c r="G4291" s="399" t="s">
        <v>2221</v>
      </c>
      <c r="H4291" s="1235"/>
    </row>
    <row r="4292" spans="1:8" hidden="1">
      <c r="A4292" s="495" t="s">
        <v>5058</v>
      </c>
      <c r="B4292" s="399" t="s">
        <v>1765</v>
      </c>
      <c r="C4292" s="399" t="s">
        <v>184</v>
      </c>
      <c r="D4292" s="399">
        <v>2652</v>
      </c>
      <c r="E4292" s="312" t="s">
        <v>5499</v>
      </c>
      <c r="F4292" s="399" t="s">
        <v>3345</v>
      </c>
      <c r="G4292" s="399" t="s">
        <v>2221</v>
      </c>
      <c r="H4292" s="1235"/>
    </row>
    <row r="4293" spans="1:8" hidden="1">
      <c r="A4293" s="495" t="s">
        <v>5058</v>
      </c>
      <c r="B4293" s="399" t="s">
        <v>1765</v>
      </c>
      <c r="C4293" s="399" t="s">
        <v>184</v>
      </c>
      <c r="D4293" s="399">
        <v>2660</v>
      </c>
      <c r="E4293" s="312" t="s">
        <v>5500</v>
      </c>
      <c r="F4293" s="399" t="s">
        <v>3347</v>
      </c>
      <c r="G4293" s="399" t="s">
        <v>2221</v>
      </c>
      <c r="H4293" s="1235"/>
    </row>
    <row r="4294" spans="1:8" hidden="1">
      <c r="A4294" s="495" t="s">
        <v>5058</v>
      </c>
      <c r="B4294" s="399" t="s">
        <v>1765</v>
      </c>
      <c r="C4294" s="399" t="s">
        <v>184</v>
      </c>
      <c r="D4294" s="399">
        <v>2670</v>
      </c>
      <c r="E4294" s="312" t="s">
        <v>5501</v>
      </c>
      <c r="F4294" s="399" t="s">
        <v>3349</v>
      </c>
      <c r="G4294" s="399" t="s">
        <v>2221</v>
      </c>
      <c r="H4294" s="1235"/>
    </row>
    <row r="4295" spans="1:8" hidden="1">
      <c r="A4295" s="495" t="s">
        <v>5058</v>
      </c>
      <c r="B4295" s="399" t="s">
        <v>1765</v>
      </c>
      <c r="C4295" s="399" t="s">
        <v>184</v>
      </c>
      <c r="D4295" s="399">
        <v>2680</v>
      </c>
      <c r="E4295" s="312" t="s">
        <v>5502</v>
      </c>
      <c r="F4295" s="399" t="s">
        <v>3351</v>
      </c>
      <c r="G4295" s="399" t="s">
        <v>2221</v>
      </c>
      <c r="H4295" s="1235"/>
    </row>
    <row r="4296" spans="1:8" hidden="1">
      <c r="A4296" s="495" t="s">
        <v>5058</v>
      </c>
      <c r="B4296" s="399" t="s">
        <v>1765</v>
      </c>
      <c r="C4296" s="399" t="s">
        <v>184</v>
      </c>
      <c r="D4296" s="399">
        <v>2700</v>
      </c>
      <c r="E4296" s="312" t="s">
        <v>5503</v>
      </c>
      <c r="F4296" s="399" t="s">
        <v>3352</v>
      </c>
      <c r="G4296" s="399" t="s">
        <v>2221</v>
      </c>
      <c r="H4296" s="1235"/>
    </row>
    <row r="4297" spans="1:8" hidden="1">
      <c r="A4297" s="495" t="s">
        <v>5058</v>
      </c>
      <c r="B4297" s="399" t="s">
        <v>1765</v>
      </c>
      <c r="C4297" s="399" t="s">
        <v>184</v>
      </c>
      <c r="D4297" s="399">
        <v>2710</v>
      </c>
      <c r="E4297" s="312" t="s">
        <v>5504</v>
      </c>
      <c r="F4297" s="399" t="s">
        <v>3354</v>
      </c>
      <c r="G4297" s="399" t="s">
        <v>2221</v>
      </c>
      <c r="H4297" s="1235"/>
    </row>
    <row r="4298" spans="1:8" hidden="1">
      <c r="A4298" s="495" t="s">
        <v>5058</v>
      </c>
      <c r="B4298" s="399" t="s">
        <v>1765</v>
      </c>
      <c r="C4298" s="399" t="s">
        <v>184</v>
      </c>
      <c r="D4298" s="399">
        <v>2711</v>
      </c>
      <c r="E4298" s="312" t="s">
        <v>5505</v>
      </c>
      <c r="F4298" s="399" t="s">
        <v>3356</v>
      </c>
      <c r="G4298" s="399" t="s">
        <v>2221</v>
      </c>
      <c r="H4298" s="1235"/>
    </row>
    <row r="4299" spans="1:8" hidden="1">
      <c r="A4299" s="495" t="s">
        <v>5058</v>
      </c>
      <c r="B4299" s="399" t="s">
        <v>1765</v>
      </c>
      <c r="C4299" s="399" t="s">
        <v>184</v>
      </c>
      <c r="D4299" s="399">
        <v>2712</v>
      </c>
      <c r="E4299" s="312" t="s">
        <v>5506</v>
      </c>
      <c r="F4299" s="399" t="s">
        <v>3358</v>
      </c>
      <c r="G4299" s="399" t="s">
        <v>2221</v>
      </c>
      <c r="H4299" s="1235"/>
    </row>
    <row r="4300" spans="1:8" hidden="1">
      <c r="A4300" s="495" t="s">
        <v>5058</v>
      </c>
      <c r="B4300" s="399" t="s">
        <v>1765</v>
      </c>
      <c r="C4300" s="399" t="s">
        <v>184</v>
      </c>
      <c r="D4300" s="399">
        <v>2720</v>
      </c>
      <c r="E4300" s="312" t="s">
        <v>5507</v>
      </c>
      <c r="F4300" s="399" t="s">
        <v>3360</v>
      </c>
      <c r="G4300" s="399" t="s">
        <v>2221</v>
      </c>
      <c r="H4300" s="1235"/>
    </row>
    <row r="4301" spans="1:8" hidden="1">
      <c r="A4301" s="495" t="s">
        <v>5058</v>
      </c>
      <c r="B4301" s="399" t="s">
        <v>1765</v>
      </c>
      <c r="C4301" s="399" t="s">
        <v>184</v>
      </c>
      <c r="D4301" s="399">
        <v>2730</v>
      </c>
      <c r="E4301" s="312" t="s">
        <v>5508</v>
      </c>
      <c r="F4301" s="399" t="s">
        <v>3362</v>
      </c>
      <c r="G4301" s="399" t="s">
        <v>2221</v>
      </c>
      <c r="H4301" s="1235"/>
    </row>
    <row r="4302" spans="1:8" hidden="1">
      <c r="A4302" s="495" t="s">
        <v>5058</v>
      </c>
      <c r="B4302" s="399" t="s">
        <v>1765</v>
      </c>
      <c r="C4302" s="399" t="s">
        <v>184</v>
      </c>
      <c r="D4302" s="399">
        <v>2731</v>
      </c>
      <c r="E4302" s="312" t="s">
        <v>5509</v>
      </c>
      <c r="F4302" s="399" t="s">
        <v>3364</v>
      </c>
      <c r="G4302" s="399" t="s">
        <v>2221</v>
      </c>
      <c r="H4302" s="1235"/>
    </row>
    <row r="4303" spans="1:8" hidden="1">
      <c r="A4303" s="495" t="s">
        <v>5058</v>
      </c>
      <c r="B4303" s="399" t="s">
        <v>1765</v>
      </c>
      <c r="C4303" s="399" t="s">
        <v>184</v>
      </c>
      <c r="D4303" s="399">
        <v>2732</v>
      </c>
      <c r="E4303" s="312" t="s">
        <v>5510</v>
      </c>
      <c r="F4303" s="399" t="s">
        <v>3366</v>
      </c>
      <c r="G4303" s="399" t="s">
        <v>2221</v>
      </c>
      <c r="H4303" s="1235"/>
    </row>
    <row r="4304" spans="1:8" hidden="1">
      <c r="A4304" s="495" t="s">
        <v>5058</v>
      </c>
      <c r="B4304" s="399" t="s">
        <v>1765</v>
      </c>
      <c r="C4304" s="399" t="s">
        <v>184</v>
      </c>
      <c r="D4304" s="399">
        <v>2733</v>
      </c>
      <c r="E4304" s="312" t="s">
        <v>5511</v>
      </c>
      <c r="F4304" s="399" t="s">
        <v>3368</v>
      </c>
      <c r="G4304" s="399" t="s">
        <v>2221</v>
      </c>
      <c r="H4304" s="1235"/>
    </row>
    <row r="4305" spans="1:8" hidden="1">
      <c r="A4305" s="495" t="s">
        <v>5058</v>
      </c>
      <c r="B4305" s="399" t="s">
        <v>1765</v>
      </c>
      <c r="C4305" s="399" t="s">
        <v>184</v>
      </c>
      <c r="D4305" s="399">
        <v>2740</v>
      </c>
      <c r="E4305" s="312" t="s">
        <v>5512</v>
      </c>
      <c r="F4305" s="399" t="s">
        <v>3370</v>
      </c>
      <c r="G4305" s="399" t="s">
        <v>2221</v>
      </c>
      <c r="H4305" s="1235"/>
    </row>
    <row r="4306" spans="1:8" hidden="1">
      <c r="A4306" s="495" t="s">
        <v>5058</v>
      </c>
      <c r="B4306" s="399" t="s">
        <v>1765</v>
      </c>
      <c r="C4306" s="399" t="s">
        <v>184</v>
      </c>
      <c r="D4306" s="399">
        <v>2750</v>
      </c>
      <c r="E4306" s="312" t="s">
        <v>5513</v>
      </c>
      <c r="F4306" s="399" t="s">
        <v>3372</v>
      </c>
      <c r="G4306" s="399" t="s">
        <v>2221</v>
      </c>
      <c r="H4306" s="1235"/>
    </row>
    <row r="4307" spans="1:8" hidden="1">
      <c r="A4307" s="495" t="s">
        <v>5058</v>
      </c>
      <c r="B4307" s="399" t="s">
        <v>1765</v>
      </c>
      <c r="C4307" s="399" t="s">
        <v>184</v>
      </c>
      <c r="D4307" s="399">
        <v>2751</v>
      </c>
      <c r="E4307" s="312" t="s">
        <v>5514</v>
      </c>
      <c r="F4307" s="399" t="s">
        <v>3374</v>
      </c>
      <c r="G4307" s="399" t="s">
        <v>2221</v>
      </c>
      <c r="H4307" s="1235"/>
    </row>
    <row r="4308" spans="1:8" hidden="1">
      <c r="A4308" s="495" t="s">
        <v>5058</v>
      </c>
      <c r="B4308" s="399" t="s">
        <v>1765</v>
      </c>
      <c r="C4308" s="399" t="s">
        <v>184</v>
      </c>
      <c r="D4308" s="399">
        <v>2752</v>
      </c>
      <c r="E4308" s="312" t="s">
        <v>5515</v>
      </c>
      <c r="F4308" s="399" t="s">
        <v>3376</v>
      </c>
      <c r="G4308" s="399" t="s">
        <v>2221</v>
      </c>
      <c r="H4308" s="1235"/>
    </row>
    <row r="4309" spans="1:8" hidden="1">
      <c r="A4309" s="495" t="s">
        <v>5058</v>
      </c>
      <c r="B4309" s="399" t="s">
        <v>1765</v>
      </c>
      <c r="C4309" s="399" t="s">
        <v>184</v>
      </c>
      <c r="D4309" s="399">
        <v>2790</v>
      </c>
      <c r="E4309" s="312" t="s">
        <v>5516</v>
      </c>
      <c r="F4309" s="399" t="s">
        <v>3378</v>
      </c>
      <c r="G4309" s="399" t="s">
        <v>2221</v>
      </c>
      <c r="H4309" s="1235"/>
    </row>
    <row r="4310" spans="1:8" hidden="1">
      <c r="A4310" s="495" t="s">
        <v>5058</v>
      </c>
      <c r="B4310" s="399" t="s">
        <v>1765</v>
      </c>
      <c r="C4310" s="399" t="s">
        <v>184</v>
      </c>
      <c r="D4310" s="399">
        <v>2800</v>
      </c>
      <c r="E4310" s="312" t="s">
        <v>5517</v>
      </c>
      <c r="F4310" s="399" t="s">
        <v>3379</v>
      </c>
      <c r="G4310" s="399" t="s">
        <v>2221</v>
      </c>
      <c r="H4310" s="1235"/>
    </row>
    <row r="4311" spans="1:8" hidden="1">
      <c r="A4311" s="495" t="s">
        <v>5058</v>
      </c>
      <c r="B4311" s="399" t="s">
        <v>1765</v>
      </c>
      <c r="C4311" s="399" t="s">
        <v>184</v>
      </c>
      <c r="D4311" s="399">
        <v>2810</v>
      </c>
      <c r="E4311" s="312" t="s">
        <v>5518</v>
      </c>
      <c r="F4311" s="399" t="s">
        <v>3381</v>
      </c>
      <c r="G4311" s="399" t="s">
        <v>2221</v>
      </c>
      <c r="H4311" s="1235"/>
    </row>
    <row r="4312" spans="1:8" hidden="1">
      <c r="A4312" s="495" t="s">
        <v>5058</v>
      </c>
      <c r="B4312" s="399" t="s">
        <v>1765</v>
      </c>
      <c r="C4312" s="399" t="s">
        <v>184</v>
      </c>
      <c r="D4312" s="399">
        <v>2811</v>
      </c>
      <c r="E4312" s="312" t="s">
        <v>5519</v>
      </c>
      <c r="F4312" s="399" t="s">
        <v>3383</v>
      </c>
      <c r="G4312" s="399" t="s">
        <v>2221</v>
      </c>
      <c r="H4312" s="1235"/>
    </row>
    <row r="4313" spans="1:8" hidden="1">
      <c r="A4313" s="495" t="s">
        <v>5058</v>
      </c>
      <c r="B4313" s="399" t="s">
        <v>1765</v>
      </c>
      <c r="C4313" s="399" t="s">
        <v>184</v>
      </c>
      <c r="D4313" s="399">
        <v>2812</v>
      </c>
      <c r="E4313" s="312" t="s">
        <v>5520</v>
      </c>
      <c r="F4313" s="399" t="s">
        <v>3385</v>
      </c>
      <c r="G4313" s="399" t="s">
        <v>2221</v>
      </c>
      <c r="H4313" s="1235"/>
    </row>
    <row r="4314" spans="1:8" hidden="1">
      <c r="A4314" s="495" t="s">
        <v>5058</v>
      </c>
      <c r="B4314" s="399" t="s">
        <v>1765</v>
      </c>
      <c r="C4314" s="399" t="s">
        <v>184</v>
      </c>
      <c r="D4314" s="399">
        <v>2813</v>
      </c>
      <c r="E4314" s="312" t="s">
        <v>5521</v>
      </c>
      <c r="F4314" s="399" t="s">
        <v>3387</v>
      </c>
      <c r="G4314" s="399" t="s">
        <v>2221</v>
      </c>
      <c r="H4314" s="1235"/>
    </row>
    <row r="4315" spans="1:8" hidden="1">
      <c r="A4315" s="495" t="s">
        <v>5058</v>
      </c>
      <c r="B4315" s="399" t="s">
        <v>1765</v>
      </c>
      <c r="C4315" s="399" t="s">
        <v>184</v>
      </c>
      <c r="D4315" s="399">
        <v>2814</v>
      </c>
      <c r="E4315" s="312" t="s">
        <v>5522</v>
      </c>
      <c r="F4315" s="399" t="s">
        <v>3389</v>
      </c>
      <c r="G4315" s="399" t="s">
        <v>2221</v>
      </c>
      <c r="H4315" s="1235"/>
    </row>
    <row r="4316" spans="1:8" hidden="1">
      <c r="A4316" s="495" t="s">
        <v>5058</v>
      </c>
      <c r="B4316" s="399" t="s">
        <v>1765</v>
      </c>
      <c r="C4316" s="399" t="s">
        <v>184</v>
      </c>
      <c r="D4316" s="399">
        <v>2815</v>
      </c>
      <c r="E4316" s="312" t="s">
        <v>5523</v>
      </c>
      <c r="F4316" s="399" t="s">
        <v>3391</v>
      </c>
      <c r="G4316" s="399" t="s">
        <v>2221</v>
      </c>
      <c r="H4316" s="1235"/>
    </row>
    <row r="4317" spans="1:8" hidden="1">
      <c r="A4317" s="495" t="s">
        <v>5058</v>
      </c>
      <c r="B4317" s="399" t="s">
        <v>1765</v>
      </c>
      <c r="C4317" s="399" t="s">
        <v>184</v>
      </c>
      <c r="D4317" s="399">
        <v>2820</v>
      </c>
      <c r="E4317" s="312" t="s">
        <v>5524</v>
      </c>
      <c r="F4317" s="399" t="s">
        <v>3393</v>
      </c>
      <c r="G4317" s="399" t="s">
        <v>2221</v>
      </c>
      <c r="H4317" s="1235"/>
    </row>
    <row r="4318" spans="1:8" hidden="1">
      <c r="A4318" s="495" t="s">
        <v>5058</v>
      </c>
      <c r="B4318" s="399" t="s">
        <v>1765</v>
      </c>
      <c r="C4318" s="399" t="s">
        <v>184</v>
      </c>
      <c r="D4318" s="399">
        <v>2821</v>
      </c>
      <c r="E4318" s="312" t="s">
        <v>5525</v>
      </c>
      <c r="F4318" s="399" t="s">
        <v>3395</v>
      </c>
      <c r="G4318" s="399" t="s">
        <v>2221</v>
      </c>
      <c r="H4318" s="1235"/>
    </row>
    <row r="4319" spans="1:8" hidden="1">
      <c r="A4319" s="495" t="s">
        <v>5058</v>
      </c>
      <c r="B4319" s="399" t="s">
        <v>1765</v>
      </c>
      <c r="C4319" s="399" t="s">
        <v>184</v>
      </c>
      <c r="D4319" s="399">
        <v>2822</v>
      </c>
      <c r="E4319" s="312" t="s">
        <v>5526</v>
      </c>
      <c r="F4319" s="399" t="s">
        <v>3397</v>
      </c>
      <c r="G4319" s="399" t="s">
        <v>2221</v>
      </c>
      <c r="H4319" s="1235"/>
    </row>
    <row r="4320" spans="1:8" hidden="1">
      <c r="A4320" s="495" t="s">
        <v>5058</v>
      </c>
      <c r="B4320" s="399" t="s">
        <v>1765</v>
      </c>
      <c r="C4320" s="399" t="s">
        <v>184</v>
      </c>
      <c r="D4320" s="399">
        <v>2823</v>
      </c>
      <c r="E4320" s="312" t="s">
        <v>5527</v>
      </c>
      <c r="F4320" s="399" t="s">
        <v>3399</v>
      </c>
      <c r="G4320" s="399" t="s">
        <v>2221</v>
      </c>
      <c r="H4320" s="1235"/>
    </row>
    <row r="4321" spans="1:8" hidden="1">
      <c r="A4321" s="495" t="s">
        <v>5058</v>
      </c>
      <c r="B4321" s="399" t="s">
        <v>1765</v>
      </c>
      <c r="C4321" s="399" t="s">
        <v>184</v>
      </c>
      <c r="D4321" s="399">
        <v>2824</v>
      </c>
      <c r="E4321" s="312" t="s">
        <v>5528</v>
      </c>
      <c r="F4321" s="399" t="s">
        <v>3401</v>
      </c>
      <c r="G4321" s="399" t="s">
        <v>2221</v>
      </c>
      <c r="H4321" s="1235"/>
    </row>
    <row r="4322" spans="1:8" hidden="1">
      <c r="A4322" s="495" t="s">
        <v>5058</v>
      </c>
      <c r="B4322" s="399" t="s">
        <v>1765</v>
      </c>
      <c r="C4322" s="399" t="s">
        <v>184</v>
      </c>
      <c r="D4322" s="399">
        <v>2825</v>
      </c>
      <c r="E4322" s="312" t="s">
        <v>5529</v>
      </c>
      <c r="F4322" s="399" t="s">
        <v>3403</v>
      </c>
      <c r="G4322" s="399" t="s">
        <v>2221</v>
      </c>
      <c r="H4322" s="1235"/>
    </row>
    <row r="4323" spans="1:8" hidden="1">
      <c r="A4323" s="495" t="s">
        <v>5058</v>
      </c>
      <c r="B4323" s="399" t="s">
        <v>1765</v>
      </c>
      <c r="C4323" s="399" t="s">
        <v>184</v>
      </c>
      <c r="D4323" s="399">
        <v>2829</v>
      </c>
      <c r="E4323" s="312" t="s">
        <v>5530</v>
      </c>
      <c r="F4323" s="399" t="s">
        <v>3405</v>
      </c>
      <c r="G4323" s="399" t="s">
        <v>2221</v>
      </c>
      <c r="H4323" s="1235"/>
    </row>
    <row r="4324" spans="1:8" hidden="1">
      <c r="A4324" s="495" t="s">
        <v>5058</v>
      </c>
      <c r="B4324" s="399" t="s">
        <v>1765</v>
      </c>
      <c r="C4324" s="399" t="s">
        <v>184</v>
      </c>
      <c r="D4324" s="399">
        <v>2830</v>
      </c>
      <c r="E4324" s="312" t="s">
        <v>5531</v>
      </c>
      <c r="F4324" s="399" t="s">
        <v>3407</v>
      </c>
      <c r="G4324" s="399" t="s">
        <v>2221</v>
      </c>
      <c r="H4324" s="1235"/>
    </row>
    <row r="4325" spans="1:8" hidden="1">
      <c r="A4325" s="495" t="s">
        <v>5058</v>
      </c>
      <c r="B4325" s="399" t="s">
        <v>1765</v>
      </c>
      <c r="C4325" s="399" t="s">
        <v>184</v>
      </c>
      <c r="D4325" s="399">
        <v>2840</v>
      </c>
      <c r="E4325" s="312" t="s">
        <v>5532</v>
      </c>
      <c r="F4325" s="399" t="s">
        <v>3409</v>
      </c>
      <c r="G4325" s="399" t="s">
        <v>2221</v>
      </c>
      <c r="H4325" s="1235"/>
    </row>
    <row r="4326" spans="1:8" hidden="1">
      <c r="A4326" s="495" t="s">
        <v>5058</v>
      </c>
      <c r="B4326" s="399" t="s">
        <v>1765</v>
      </c>
      <c r="C4326" s="399" t="s">
        <v>184</v>
      </c>
      <c r="D4326" s="399">
        <v>2841</v>
      </c>
      <c r="E4326" s="312" t="s">
        <v>5533</v>
      </c>
      <c r="F4326" s="399" t="s">
        <v>3411</v>
      </c>
      <c r="G4326" s="399" t="s">
        <v>2221</v>
      </c>
      <c r="H4326" s="1235"/>
    </row>
    <row r="4327" spans="1:8" hidden="1">
      <c r="A4327" s="495" t="s">
        <v>5058</v>
      </c>
      <c r="B4327" s="399" t="s">
        <v>1765</v>
      </c>
      <c r="C4327" s="399" t="s">
        <v>184</v>
      </c>
      <c r="D4327" s="399">
        <v>2849</v>
      </c>
      <c r="E4327" s="312" t="s">
        <v>5534</v>
      </c>
      <c r="F4327" s="399" t="s">
        <v>3413</v>
      </c>
      <c r="G4327" s="399" t="s">
        <v>2221</v>
      </c>
      <c r="H4327" s="1235"/>
    </row>
    <row r="4328" spans="1:8" hidden="1">
      <c r="A4328" s="495" t="s">
        <v>5058</v>
      </c>
      <c r="B4328" s="399" t="s">
        <v>1765</v>
      </c>
      <c r="C4328" s="399" t="s">
        <v>184</v>
      </c>
      <c r="D4328" s="399">
        <v>2890</v>
      </c>
      <c r="E4328" s="312" t="s">
        <v>5535</v>
      </c>
      <c r="F4328" s="399" t="s">
        <v>3415</v>
      </c>
      <c r="G4328" s="399" t="s">
        <v>2221</v>
      </c>
      <c r="H4328" s="1235"/>
    </row>
    <row r="4329" spans="1:8" hidden="1">
      <c r="A4329" s="495" t="s">
        <v>5058</v>
      </c>
      <c r="B4329" s="399" t="s">
        <v>1765</v>
      </c>
      <c r="C4329" s="399" t="s">
        <v>184</v>
      </c>
      <c r="D4329" s="399">
        <v>2891</v>
      </c>
      <c r="E4329" s="312" t="s">
        <v>5536</v>
      </c>
      <c r="F4329" s="399" t="s">
        <v>3417</v>
      </c>
      <c r="G4329" s="399" t="s">
        <v>2221</v>
      </c>
      <c r="H4329" s="1235"/>
    </row>
    <row r="4330" spans="1:8" hidden="1">
      <c r="A4330" s="495" t="s">
        <v>5058</v>
      </c>
      <c r="B4330" s="399" t="s">
        <v>1765</v>
      </c>
      <c r="C4330" s="399" t="s">
        <v>184</v>
      </c>
      <c r="D4330" s="399">
        <v>2892</v>
      </c>
      <c r="E4330" s="312" t="s">
        <v>5537</v>
      </c>
      <c r="F4330" s="399" t="s">
        <v>3419</v>
      </c>
      <c r="G4330" s="399" t="s">
        <v>2221</v>
      </c>
      <c r="H4330" s="1235"/>
    </row>
    <row r="4331" spans="1:8" hidden="1">
      <c r="A4331" s="495" t="s">
        <v>5058</v>
      </c>
      <c r="B4331" s="399" t="s">
        <v>1765</v>
      </c>
      <c r="C4331" s="399" t="s">
        <v>184</v>
      </c>
      <c r="D4331" s="399">
        <v>2893</v>
      </c>
      <c r="E4331" s="312" t="s">
        <v>5538</v>
      </c>
      <c r="F4331" s="399" t="s">
        <v>3421</v>
      </c>
      <c r="G4331" s="399" t="s">
        <v>2221</v>
      </c>
      <c r="H4331" s="1235"/>
    </row>
    <row r="4332" spans="1:8" hidden="1">
      <c r="A4332" s="495" t="s">
        <v>5058</v>
      </c>
      <c r="B4332" s="399" t="s">
        <v>1765</v>
      </c>
      <c r="C4332" s="399" t="s">
        <v>184</v>
      </c>
      <c r="D4332" s="399">
        <v>2894</v>
      </c>
      <c r="E4332" s="312" t="s">
        <v>5539</v>
      </c>
      <c r="F4332" s="399" t="s">
        <v>3423</v>
      </c>
      <c r="G4332" s="399" t="s">
        <v>2221</v>
      </c>
      <c r="H4332" s="1235"/>
    </row>
    <row r="4333" spans="1:8" hidden="1">
      <c r="A4333" s="495" t="s">
        <v>5058</v>
      </c>
      <c r="B4333" s="399" t="s">
        <v>1765</v>
      </c>
      <c r="C4333" s="399" t="s">
        <v>184</v>
      </c>
      <c r="D4333" s="399">
        <v>2895</v>
      </c>
      <c r="E4333" s="312" t="s">
        <v>5540</v>
      </c>
      <c r="F4333" s="399" t="s">
        <v>3425</v>
      </c>
      <c r="G4333" s="399" t="s">
        <v>2221</v>
      </c>
      <c r="H4333" s="1235"/>
    </row>
    <row r="4334" spans="1:8" hidden="1">
      <c r="A4334" s="495" t="s">
        <v>5058</v>
      </c>
      <c r="B4334" s="399" t="s">
        <v>1765</v>
      </c>
      <c r="C4334" s="399" t="s">
        <v>184</v>
      </c>
      <c r="D4334" s="399">
        <v>2896</v>
      </c>
      <c r="E4334" s="312" t="s">
        <v>5541</v>
      </c>
      <c r="F4334" s="399" t="s">
        <v>3427</v>
      </c>
      <c r="G4334" s="399" t="s">
        <v>2221</v>
      </c>
      <c r="H4334" s="1235"/>
    </row>
    <row r="4335" spans="1:8" hidden="1">
      <c r="A4335" s="495" t="s">
        <v>5058</v>
      </c>
      <c r="B4335" s="399" t="s">
        <v>1765</v>
      </c>
      <c r="C4335" s="399" t="s">
        <v>184</v>
      </c>
      <c r="D4335" s="399">
        <v>2899</v>
      </c>
      <c r="E4335" s="312" t="s">
        <v>5542</v>
      </c>
      <c r="F4335" s="399" t="s">
        <v>3429</v>
      </c>
      <c r="G4335" s="399" t="s">
        <v>2221</v>
      </c>
      <c r="H4335" s="1235"/>
    </row>
    <row r="4336" spans="1:8" hidden="1">
      <c r="A4336" s="495" t="s">
        <v>5058</v>
      </c>
      <c r="B4336" s="399" t="s">
        <v>1765</v>
      </c>
      <c r="C4336" s="399" t="s">
        <v>184</v>
      </c>
      <c r="D4336" s="399">
        <v>2900</v>
      </c>
      <c r="E4336" s="312" t="s">
        <v>5543</v>
      </c>
      <c r="F4336" s="399" t="s">
        <v>3430</v>
      </c>
      <c r="G4336" s="399" t="s">
        <v>2221</v>
      </c>
      <c r="H4336" s="1235"/>
    </row>
    <row r="4337" spans="1:8" hidden="1">
      <c r="A4337" s="495" t="s">
        <v>5058</v>
      </c>
      <c r="B4337" s="399" t="s">
        <v>1765</v>
      </c>
      <c r="C4337" s="399" t="s">
        <v>184</v>
      </c>
      <c r="D4337" s="399">
        <v>2910</v>
      </c>
      <c r="E4337" s="312" t="s">
        <v>5544</v>
      </c>
      <c r="F4337" s="399" t="s">
        <v>3432</v>
      </c>
      <c r="G4337" s="399" t="s">
        <v>2221</v>
      </c>
      <c r="H4337" s="1235"/>
    </row>
    <row r="4338" spans="1:8" hidden="1">
      <c r="A4338" s="495" t="s">
        <v>5058</v>
      </c>
      <c r="B4338" s="399" t="s">
        <v>1765</v>
      </c>
      <c r="C4338" s="399" t="s">
        <v>184</v>
      </c>
      <c r="D4338" s="399">
        <v>2920</v>
      </c>
      <c r="E4338" s="312" t="s">
        <v>5545</v>
      </c>
      <c r="F4338" s="399" t="s">
        <v>3434</v>
      </c>
      <c r="G4338" s="399" t="s">
        <v>2221</v>
      </c>
      <c r="H4338" s="1235"/>
    </row>
    <row r="4339" spans="1:8" hidden="1">
      <c r="A4339" s="495" t="s">
        <v>5058</v>
      </c>
      <c r="B4339" s="399" t="s">
        <v>1765</v>
      </c>
      <c r="C4339" s="399" t="s">
        <v>184</v>
      </c>
      <c r="D4339" s="399">
        <v>2930</v>
      </c>
      <c r="E4339" s="312" t="s">
        <v>5546</v>
      </c>
      <c r="F4339" s="399" t="s">
        <v>3436</v>
      </c>
      <c r="G4339" s="399" t="s">
        <v>2221</v>
      </c>
      <c r="H4339" s="1235"/>
    </row>
    <row r="4340" spans="1:8" hidden="1">
      <c r="A4340" s="495" t="s">
        <v>5058</v>
      </c>
      <c r="B4340" s="399" t="s">
        <v>1765</v>
      </c>
      <c r="C4340" s="399" t="s">
        <v>184</v>
      </c>
      <c r="D4340" s="399">
        <v>2931</v>
      </c>
      <c r="E4340" s="312" t="s">
        <v>5547</v>
      </c>
      <c r="F4340" s="399" t="s">
        <v>3438</v>
      </c>
      <c r="G4340" s="399" t="s">
        <v>2221</v>
      </c>
      <c r="H4340" s="1235"/>
    </row>
    <row r="4341" spans="1:8" hidden="1">
      <c r="A4341" s="495" t="s">
        <v>5058</v>
      </c>
      <c r="B4341" s="399" t="s">
        <v>1765</v>
      </c>
      <c r="C4341" s="399" t="s">
        <v>184</v>
      </c>
      <c r="D4341" s="399">
        <v>2932</v>
      </c>
      <c r="E4341" s="312" t="s">
        <v>5548</v>
      </c>
      <c r="F4341" s="399" t="s">
        <v>3440</v>
      </c>
      <c r="G4341" s="399" t="s">
        <v>2221</v>
      </c>
      <c r="H4341" s="1235"/>
    </row>
    <row r="4342" spans="1:8" hidden="1">
      <c r="A4342" s="495" t="s">
        <v>5058</v>
      </c>
      <c r="B4342" s="399" t="s">
        <v>1765</v>
      </c>
      <c r="C4342" s="399" t="s">
        <v>184</v>
      </c>
      <c r="D4342" s="399">
        <v>3000</v>
      </c>
      <c r="E4342" s="312" t="s">
        <v>5549</v>
      </c>
      <c r="F4342" s="399" t="s">
        <v>3441</v>
      </c>
      <c r="G4342" s="399" t="s">
        <v>2221</v>
      </c>
      <c r="H4342" s="1235"/>
    </row>
    <row r="4343" spans="1:8" hidden="1">
      <c r="A4343" s="495" t="s">
        <v>5058</v>
      </c>
      <c r="B4343" s="399" t="s">
        <v>1765</v>
      </c>
      <c r="C4343" s="399" t="s">
        <v>184</v>
      </c>
      <c r="D4343" s="399">
        <v>3010</v>
      </c>
      <c r="E4343" s="312" t="s">
        <v>5550</v>
      </c>
      <c r="F4343" s="399" t="s">
        <v>3443</v>
      </c>
      <c r="G4343" s="399" t="s">
        <v>2221</v>
      </c>
      <c r="H4343" s="1235"/>
    </row>
    <row r="4344" spans="1:8" hidden="1">
      <c r="A4344" s="495" t="s">
        <v>5058</v>
      </c>
      <c r="B4344" s="399" t="s">
        <v>1765</v>
      </c>
      <c r="C4344" s="399" t="s">
        <v>184</v>
      </c>
      <c r="D4344" s="399">
        <v>3011</v>
      </c>
      <c r="E4344" s="312" t="s">
        <v>5551</v>
      </c>
      <c r="F4344" s="399" t="s">
        <v>3445</v>
      </c>
      <c r="G4344" s="399" t="s">
        <v>2221</v>
      </c>
      <c r="H4344" s="1235"/>
    </row>
    <row r="4345" spans="1:8" hidden="1">
      <c r="A4345" s="495" t="s">
        <v>5058</v>
      </c>
      <c r="B4345" s="399" t="s">
        <v>1765</v>
      </c>
      <c r="C4345" s="399" t="s">
        <v>184</v>
      </c>
      <c r="D4345" s="399">
        <v>3012</v>
      </c>
      <c r="E4345" s="312" t="s">
        <v>5552</v>
      </c>
      <c r="F4345" s="399" t="s">
        <v>3447</v>
      </c>
      <c r="G4345" s="399" t="s">
        <v>2221</v>
      </c>
      <c r="H4345" s="1235"/>
    </row>
    <row r="4346" spans="1:8" hidden="1">
      <c r="A4346" s="495" t="s">
        <v>5058</v>
      </c>
      <c r="B4346" s="399" t="s">
        <v>1765</v>
      </c>
      <c r="C4346" s="399" t="s">
        <v>184</v>
      </c>
      <c r="D4346" s="399">
        <v>3020</v>
      </c>
      <c r="E4346" s="312" t="s">
        <v>5553</v>
      </c>
      <c r="F4346" s="399" t="s">
        <v>3449</v>
      </c>
      <c r="G4346" s="399" t="s">
        <v>2221</v>
      </c>
      <c r="H4346" s="1235"/>
    </row>
    <row r="4347" spans="1:8" hidden="1">
      <c r="A4347" s="495" t="s">
        <v>5058</v>
      </c>
      <c r="B4347" s="399" t="s">
        <v>1765</v>
      </c>
      <c r="C4347" s="399" t="s">
        <v>184</v>
      </c>
      <c r="D4347" s="399">
        <v>3030</v>
      </c>
      <c r="E4347" s="312" t="s">
        <v>5554</v>
      </c>
      <c r="F4347" s="399" t="s">
        <v>3451</v>
      </c>
      <c r="G4347" s="399" t="s">
        <v>2221</v>
      </c>
      <c r="H4347" s="1235"/>
    </row>
    <row r="4348" spans="1:8" hidden="1">
      <c r="A4348" s="495" t="s">
        <v>5058</v>
      </c>
      <c r="B4348" s="399" t="s">
        <v>1765</v>
      </c>
      <c r="C4348" s="399" t="s">
        <v>184</v>
      </c>
      <c r="D4348" s="399">
        <v>3040</v>
      </c>
      <c r="E4348" s="312" t="s">
        <v>5555</v>
      </c>
      <c r="F4348" s="399" t="s">
        <v>3453</v>
      </c>
      <c r="G4348" s="399" t="s">
        <v>2221</v>
      </c>
      <c r="H4348" s="1235"/>
    </row>
    <row r="4349" spans="1:8" hidden="1">
      <c r="A4349" s="495" t="s">
        <v>5058</v>
      </c>
      <c r="B4349" s="399" t="s">
        <v>1765</v>
      </c>
      <c r="C4349" s="399" t="s">
        <v>184</v>
      </c>
      <c r="D4349" s="399">
        <v>3090</v>
      </c>
      <c r="E4349" s="312" t="s">
        <v>5556</v>
      </c>
      <c r="F4349" s="399" t="s">
        <v>3455</v>
      </c>
      <c r="G4349" s="399" t="s">
        <v>2221</v>
      </c>
      <c r="H4349" s="1235"/>
    </row>
    <row r="4350" spans="1:8" hidden="1">
      <c r="A4350" s="495" t="s">
        <v>5058</v>
      </c>
      <c r="B4350" s="399" t="s">
        <v>1765</v>
      </c>
      <c r="C4350" s="399" t="s">
        <v>184</v>
      </c>
      <c r="D4350" s="399">
        <v>3091</v>
      </c>
      <c r="E4350" s="312" t="s">
        <v>5557</v>
      </c>
      <c r="F4350" s="399" t="s">
        <v>3457</v>
      </c>
      <c r="G4350" s="399" t="s">
        <v>2221</v>
      </c>
      <c r="H4350" s="1235"/>
    </row>
    <row r="4351" spans="1:8" hidden="1">
      <c r="A4351" s="495" t="s">
        <v>5058</v>
      </c>
      <c r="B4351" s="399" t="s">
        <v>1765</v>
      </c>
      <c r="C4351" s="399" t="s">
        <v>184</v>
      </c>
      <c r="D4351" s="399">
        <v>3092</v>
      </c>
      <c r="E4351" s="312" t="s">
        <v>5558</v>
      </c>
      <c r="F4351" s="399" t="s">
        <v>3459</v>
      </c>
      <c r="G4351" s="399" t="s">
        <v>2221</v>
      </c>
      <c r="H4351" s="1235"/>
    </row>
    <row r="4352" spans="1:8" hidden="1">
      <c r="A4352" s="495" t="s">
        <v>5058</v>
      </c>
      <c r="B4352" s="399" t="s">
        <v>1765</v>
      </c>
      <c r="C4352" s="399" t="s">
        <v>184</v>
      </c>
      <c r="D4352" s="399">
        <v>3099</v>
      </c>
      <c r="E4352" s="312" t="s">
        <v>5559</v>
      </c>
      <c r="F4352" s="399" t="s">
        <v>3461</v>
      </c>
      <c r="G4352" s="399" t="s">
        <v>2221</v>
      </c>
      <c r="H4352" s="1235"/>
    </row>
    <row r="4353" spans="1:8" hidden="1">
      <c r="A4353" s="495" t="s">
        <v>5058</v>
      </c>
      <c r="B4353" s="399" t="s">
        <v>1765</v>
      </c>
      <c r="C4353" s="399" t="s">
        <v>184</v>
      </c>
      <c r="D4353" s="399">
        <v>3100</v>
      </c>
      <c r="E4353" s="312" t="s">
        <v>5560</v>
      </c>
      <c r="F4353" s="399" t="s">
        <v>3462</v>
      </c>
      <c r="G4353" s="399" t="s">
        <v>2221</v>
      </c>
      <c r="H4353" s="1235"/>
    </row>
    <row r="4354" spans="1:8" hidden="1">
      <c r="A4354" s="495" t="s">
        <v>5058</v>
      </c>
      <c r="B4354" s="399" t="s">
        <v>1765</v>
      </c>
      <c r="C4354" s="399" t="s">
        <v>184</v>
      </c>
      <c r="D4354" s="399">
        <v>3101</v>
      </c>
      <c r="E4354" s="312" t="s">
        <v>5561</v>
      </c>
      <c r="F4354" s="399" t="s">
        <v>3464</v>
      </c>
      <c r="G4354" s="399" t="s">
        <v>2221</v>
      </c>
      <c r="H4354" s="1235"/>
    </row>
    <row r="4355" spans="1:8" hidden="1">
      <c r="A4355" s="495" t="s">
        <v>5058</v>
      </c>
      <c r="B4355" s="399" t="s">
        <v>1765</v>
      </c>
      <c r="C4355" s="399" t="s">
        <v>184</v>
      </c>
      <c r="D4355" s="399">
        <v>3102</v>
      </c>
      <c r="E4355" s="312" t="s">
        <v>5562</v>
      </c>
      <c r="F4355" s="399" t="s">
        <v>3466</v>
      </c>
      <c r="G4355" s="399" t="s">
        <v>2221</v>
      </c>
      <c r="H4355" s="1235"/>
    </row>
    <row r="4356" spans="1:8" hidden="1">
      <c r="A4356" s="495" t="s">
        <v>5058</v>
      </c>
      <c r="B4356" s="399" t="s">
        <v>1765</v>
      </c>
      <c r="C4356" s="399" t="s">
        <v>184</v>
      </c>
      <c r="D4356" s="399">
        <v>3103</v>
      </c>
      <c r="E4356" s="312" t="s">
        <v>5563</v>
      </c>
      <c r="F4356" s="399" t="s">
        <v>3468</v>
      </c>
      <c r="G4356" s="399" t="s">
        <v>2221</v>
      </c>
      <c r="H4356" s="1235"/>
    </row>
    <row r="4357" spans="1:8" hidden="1">
      <c r="A4357" s="495" t="s">
        <v>5058</v>
      </c>
      <c r="B4357" s="399" t="s">
        <v>1765</v>
      </c>
      <c r="C4357" s="399" t="s">
        <v>184</v>
      </c>
      <c r="D4357" s="399">
        <v>3109</v>
      </c>
      <c r="E4357" s="312" t="s">
        <v>5564</v>
      </c>
      <c r="F4357" s="399" t="s">
        <v>3470</v>
      </c>
      <c r="G4357" s="399" t="s">
        <v>2221</v>
      </c>
      <c r="H4357" s="1235"/>
    </row>
    <row r="4358" spans="1:8" hidden="1">
      <c r="A4358" s="495" t="s">
        <v>5058</v>
      </c>
      <c r="B4358" s="399" t="s">
        <v>1765</v>
      </c>
      <c r="C4358" s="399" t="s">
        <v>184</v>
      </c>
      <c r="D4358" s="399">
        <v>3200</v>
      </c>
      <c r="E4358" s="312" t="s">
        <v>5565</v>
      </c>
      <c r="F4358" s="399" t="s">
        <v>3471</v>
      </c>
      <c r="G4358" s="399" t="s">
        <v>2221</v>
      </c>
      <c r="H4358" s="1235"/>
    </row>
    <row r="4359" spans="1:8" hidden="1">
      <c r="A4359" s="495" t="s">
        <v>5058</v>
      </c>
      <c r="B4359" s="399" t="s">
        <v>1765</v>
      </c>
      <c r="C4359" s="399" t="s">
        <v>184</v>
      </c>
      <c r="D4359" s="399">
        <v>3210</v>
      </c>
      <c r="E4359" s="312" t="s">
        <v>5566</v>
      </c>
      <c r="F4359" s="399" t="s">
        <v>3473</v>
      </c>
      <c r="G4359" s="399" t="s">
        <v>2221</v>
      </c>
      <c r="H4359" s="1235"/>
    </row>
    <row r="4360" spans="1:8" hidden="1">
      <c r="A4360" s="495" t="s">
        <v>5058</v>
      </c>
      <c r="B4360" s="399" t="s">
        <v>1765</v>
      </c>
      <c r="C4360" s="399" t="s">
        <v>184</v>
      </c>
      <c r="D4360" s="399">
        <v>3211</v>
      </c>
      <c r="E4360" s="312" t="s">
        <v>5567</v>
      </c>
      <c r="F4360" s="399" t="s">
        <v>3475</v>
      </c>
      <c r="G4360" s="399" t="s">
        <v>2221</v>
      </c>
      <c r="H4360" s="1235"/>
    </row>
    <row r="4361" spans="1:8" hidden="1">
      <c r="A4361" s="495" t="s">
        <v>5058</v>
      </c>
      <c r="B4361" s="399" t="s">
        <v>1765</v>
      </c>
      <c r="C4361" s="399" t="s">
        <v>184</v>
      </c>
      <c r="D4361" s="399">
        <v>3212</v>
      </c>
      <c r="E4361" s="312" t="s">
        <v>5568</v>
      </c>
      <c r="F4361" s="399" t="s">
        <v>3477</v>
      </c>
      <c r="G4361" s="399" t="s">
        <v>2221</v>
      </c>
      <c r="H4361" s="1235"/>
    </row>
    <row r="4362" spans="1:8" hidden="1">
      <c r="A4362" s="495" t="s">
        <v>5058</v>
      </c>
      <c r="B4362" s="399" t="s">
        <v>1765</v>
      </c>
      <c r="C4362" s="399" t="s">
        <v>184</v>
      </c>
      <c r="D4362" s="399">
        <v>3213</v>
      </c>
      <c r="E4362" s="312" t="s">
        <v>5569</v>
      </c>
      <c r="F4362" s="399" t="s">
        <v>3479</v>
      </c>
      <c r="G4362" s="399" t="s">
        <v>2221</v>
      </c>
      <c r="H4362" s="1235"/>
    </row>
    <row r="4363" spans="1:8" hidden="1">
      <c r="A4363" s="495" t="s">
        <v>5058</v>
      </c>
      <c r="B4363" s="399" t="s">
        <v>1765</v>
      </c>
      <c r="C4363" s="399" t="s">
        <v>184</v>
      </c>
      <c r="D4363" s="399">
        <v>3220</v>
      </c>
      <c r="E4363" s="312" t="s">
        <v>5570</v>
      </c>
      <c r="F4363" s="399" t="s">
        <v>3481</v>
      </c>
      <c r="G4363" s="399" t="s">
        <v>2221</v>
      </c>
      <c r="H4363" s="1235"/>
    </row>
    <row r="4364" spans="1:8" hidden="1">
      <c r="A4364" s="495" t="s">
        <v>5058</v>
      </c>
      <c r="B4364" s="399" t="s">
        <v>1765</v>
      </c>
      <c r="C4364" s="399" t="s">
        <v>184</v>
      </c>
      <c r="D4364" s="399">
        <v>3230</v>
      </c>
      <c r="E4364" s="312" t="s">
        <v>5571</v>
      </c>
      <c r="F4364" s="399" t="s">
        <v>3483</v>
      </c>
      <c r="G4364" s="399" t="s">
        <v>2221</v>
      </c>
      <c r="H4364" s="1235"/>
    </row>
    <row r="4365" spans="1:8" hidden="1">
      <c r="A4365" s="495" t="s">
        <v>5058</v>
      </c>
      <c r="B4365" s="399" t="s">
        <v>1765</v>
      </c>
      <c r="C4365" s="399" t="s">
        <v>184</v>
      </c>
      <c r="D4365" s="399">
        <v>3240</v>
      </c>
      <c r="E4365" s="312" t="s">
        <v>5572</v>
      </c>
      <c r="F4365" s="399" t="s">
        <v>3485</v>
      </c>
      <c r="G4365" s="399" t="s">
        <v>2221</v>
      </c>
      <c r="H4365" s="1235"/>
    </row>
    <row r="4366" spans="1:8" hidden="1">
      <c r="A4366" s="495" t="s">
        <v>5058</v>
      </c>
      <c r="B4366" s="399" t="s">
        <v>1765</v>
      </c>
      <c r="C4366" s="399" t="s">
        <v>184</v>
      </c>
      <c r="D4366" s="399">
        <v>3250</v>
      </c>
      <c r="E4366" s="312" t="s">
        <v>5573</v>
      </c>
      <c r="F4366" s="399" t="s">
        <v>3487</v>
      </c>
      <c r="G4366" s="399" t="s">
        <v>2221</v>
      </c>
      <c r="H4366" s="1235"/>
    </row>
    <row r="4367" spans="1:8" hidden="1">
      <c r="A4367" s="495" t="s">
        <v>5058</v>
      </c>
      <c r="B4367" s="399" t="s">
        <v>1765</v>
      </c>
      <c r="C4367" s="399" t="s">
        <v>184</v>
      </c>
      <c r="D4367" s="399">
        <v>3290</v>
      </c>
      <c r="E4367" s="312" t="s">
        <v>5574</v>
      </c>
      <c r="F4367" s="399" t="s">
        <v>3489</v>
      </c>
      <c r="G4367" s="399" t="s">
        <v>2221</v>
      </c>
      <c r="H4367" s="1235"/>
    </row>
    <row r="4368" spans="1:8" hidden="1">
      <c r="A4368" s="495" t="s">
        <v>5058</v>
      </c>
      <c r="B4368" s="399" t="s">
        <v>1765</v>
      </c>
      <c r="C4368" s="399" t="s">
        <v>184</v>
      </c>
      <c r="D4368" s="399">
        <v>3291</v>
      </c>
      <c r="E4368" s="312" t="s">
        <v>5575</v>
      </c>
      <c r="F4368" s="399" t="s">
        <v>3491</v>
      </c>
      <c r="G4368" s="399" t="s">
        <v>2221</v>
      </c>
      <c r="H4368" s="1235"/>
    </row>
    <row r="4369" spans="1:8" hidden="1">
      <c r="A4369" s="495" t="s">
        <v>5058</v>
      </c>
      <c r="B4369" s="399" t="s">
        <v>1765</v>
      </c>
      <c r="C4369" s="399" t="s">
        <v>184</v>
      </c>
      <c r="D4369" s="399">
        <v>3299</v>
      </c>
      <c r="E4369" s="312" t="s">
        <v>5576</v>
      </c>
      <c r="F4369" s="399" t="s">
        <v>3493</v>
      </c>
      <c r="G4369" s="399" t="s">
        <v>2221</v>
      </c>
      <c r="H4369" s="1235"/>
    </row>
    <row r="4370" spans="1:8" hidden="1">
      <c r="A4370" s="495" t="s">
        <v>5058</v>
      </c>
      <c r="B4370" s="399" t="s">
        <v>1765</v>
      </c>
      <c r="C4370" s="399" t="s">
        <v>184</v>
      </c>
      <c r="D4370" s="399">
        <v>3300</v>
      </c>
      <c r="E4370" s="312" t="s">
        <v>5577</v>
      </c>
      <c r="F4370" s="399" t="s">
        <v>3494</v>
      </c>
      <c r="G4370" s="399" t="s">
        <v>2221</v>
      </c>
      <c r="H4370" s="1235"/>
    </row>
    <row r="4371" spans="1:8" hidden="1">
      <c r="A4371" s="495" t="s">
        <v>5058</v>
      </c>
      <c r="B4371" s="399" t="s">
        <v>1765</v>
      </c>
      <c r="C4371" s="399" t="s">
        <v>184</v>
      </c>
      <c r="D4371" s="399">
        <v>3310</v>
      </c>
      <c r="E4371" s="312" t="s">
        <v>5578</v>
      </c>
      <c r="F4371" s="399" t="s">
        <v>3496</v>
      </c>
      <c r="G4371" s="399" t="s">
        <v>2221</v>
      </c>
      <c r="H4371" s="1235"/>
    </row>
    <row r="4372" spans="1:8" hidden="1">
      <c r="A4372" s="495" t="s">
        <v>5058</v>
      </c>
      <c r="B4372" s="399" t="s">
        <v>1765</v>
      </c>
      <c r="C4372" s="399" t="s">
        <v>184</v>
      </c>
      <c r="D4372" s="399">
        <v>3311</v>
      </c>
      <c r="E4372" s="312" t="s">
        <v>5579</v>
      </c>
      <c r="F4372" s="399" t="s">
        <v>3498</v>
      </c>
      <c r="G4372" s="399" t="s">
        <v>2221</v>
      </c>
      <c r="H4372" s="1235"/>
    </row>
    <row r="4373" spans="1:8" hidden="1">
      <c r="A4373" s="495" t="s">
        <v>5058</v>
      </c>
      <c r="B4373" s="399" t="s">
        <v>1765</v>
      </c>
      <c r="C4373" s="399" t="s">
        <v>184</v>
      </c>
      <c r="D4373" s="399">
        <v>3312</v>
      </c>
      <c r="E4373" s="312" t="s">
        <v>5580</v>
      </c>
      <c r="F4373" s="399" t="s">
        <v>3500</v>
      </c>
      <c r="G4373" s="399" t="s">
        <v>2221</v>
      </c>
      <c r="H4373" s="1235"/>
    </row>
    <row r="4374" spans="1:8" hidden="1">
      <c r="A4374" s="495" t="s">
        <v>5058</v>
      </c>
      <c r="B4374" s="399" t="s">
        <v>1765</v>
      </c>
      <c r="C4374" s="399" t="s">
        <v>184</v>
      </c>
      <c r="D4374" s="399">
        <v>3313</v>
      </c>
      <c r="E4374" s="312" t="s">
        <v>5581</v>
      </c>
      <c r="F4374" s="399" t="s">
        <v>3502</v>
      </c>
      <c r="G4374" s="399" t="s">
        <v>2221</v>
      </c>
      <c r="H4374" s="1235"/>
    </row>
    <row r="4375" spans="1:8" hidden="1">
      <c r="A4375" s="495" t="s">
        <v>5058</v>
      </c>
      <c r="B4375" s="399" t="s">
        <v>1765</v>
      </c>
      <c r="C4375" s="399" t="s">
        <v>184</v>
      </c>
      <c r="D4375" s="399">
        <v>3314</v>
      </c>
      <c r="E4375" s="312" t="s">
        <v>5582</v>
      </c>
      <c r="F4375" s="399" t="s">
        <v>3504</v>
      </c>
      <c r="G4375" s="399" t="s">
        <v>2221</v>
      </c>
      <c r="H4375" s="1235"/>
    </row>
    <row r="4376" spans="1:8" hidden="1">
      <c r="A4376" s="495" t="s">
        <v>5058</v>
      </c>
      <c r="B4376" s="399" t="s">
        <v>1765</v>
      </c>
      <c r="C4376" s="399" t="s">
        <v>184</v>
      </c>
      <c r="D4376" s="399">
        <v>3315</v>
      </c>
      <c r="E4376" s="312" t="s">
        <v>5583</v>
      </c>
      <c r="F4376" s="399" t="s">
        <v>3506</v>
      </c>
      <c r="G4376" s="399" t="s">
        <v>2221</v>
      </c>
      <c r="H4376" s="1235"/>
    </row>
    <row r="4377" spans="1:8" hidden="1">
      <c r="A4377" s="495" t="s">
        <v>5058</v>
      </c>
      <c r="B4377" s="399" t="s">
        <v>1765</v>
      </c>
      <c r="C4377" s="399" t="s">
        <v>184</v>
      </c>
      <c r="D4377" s="399">
        <v>3316</v>
      </c>
      <c r="E4377" s="312" t="s">
        <v>5584</v>
      </c>
      <c r="F4377" s="399" t="s">
        <v>3508</v>
      </c>
      <c r="G4377" s="399" t="s">
        <v>2221</v>
      </c>
      <c r="H4377" s="1235"/>
    </row>
    <row r="4378" spans="1:8" hidden="1">
      <c r="A4378" s="495" t="s">
        <v>5058</v>
      </c>
      <c r="B4378" s="399" t="s">
        <v>1765</v>
      </c>
      <c r="C4378" s="399" t="s">
        <v>184</v>
      </c>
      <c r="D4378" s="399">
        <v>3317</v>
      </c>
      <c r="E4378" s="312" t="s">
        <v>5585</v>
      </c>
      <c r="F4378" s="399" t="s">
        <v>3510</v>
      </c>
      <c r="G4378" s="399" t="s">
        <v>2221</v>
      </c>
      <c r="H4378" s="1235"/>
    </row>
    <row r="4379" spans="1:8" hidden="1">
      <c r="A4379" s="495" t="s">
        <v>5058</v>
      </c>
      <c r="B4379" s="399" t="s">
        <v>1765</v>
      </c>
      <c r="C4379" s="399" t="s">
        <v>184</v>
      </c>
      <c r="D4379" s="399">
        <v>3319</v>
      </c>
      <c r="E4379" s="312" t="s">
        <v>5586</v>
      </c>
      <c r="F4379" s="399" t="s">
        <v>3512</v>
      </c>
      <c r="G4379" s="399" t="s">
        <v>2221</v>
      </c>
      <c r="H4379" s="1235"/>
    </row>
    <row r="4380" spans="1:8" hidden="1">
      <c r="A4380" s="495" t="s">
        <v>5058</v>
      </c>
      <c r="B4380" s="399" t="s">
        <v>1765</v>
      </c>
      <c r="C4380" s="399" t="s">
        <v>184</v>
      </c>
      <c r="D4380" s="399">
        <v>3320</v>
      </c>
      <c r="E4380" s="312" t="s">
        <v>5587</v>
      </c>
      <c r="F4380" s="399" t="s">
        <v>3514</v>
      </c>
      <c r="G4380" s="399" t="s">
        <v>2221</v>
      </c>
      <c r="H4380" s="1235"/>
    </row>
    <row r="4381" spans="1:8" hidden="1">
      <c r="A4381" s="495" t="s">
        <v>5058</v>
      </c>
      <c r="B4381" s="399" t="s">
        <v>1765</v>
      </c>
      <c r="C4381" s="399" t="s">
        <v>184</v>
      </c>
      <c r="D4381" s="399">
        <v>3500</v>
      </c>
      <c r="E4381" s="312" t="s">
        <v>5588</v>
      </c>
      <c r="F4381" s="399" t="s">
        <v>3515</v>
      </c>
      <c r="G4381" s="399" t="s">
        <v>2221</v>
      </c>
      <c r="H4381" s="1235"/>
    </row>
    <row r="4382" spans="1:8" hidden="1">
      <c r="A4382" s="495" t="s">
        <v>5058</v>
      </c>
      <c r="B4382" s="399" t="s">
        <v>1765</v>
      </c>
      <c r="C4382" s="399" t="s">
        <v>184</v>
      </c>
      <c r="D4382" s="399">
        <v>3510</v>
      </c>
      <c r="E4382" s="312" t="s">
        <v>5589</v>
      </c>
      <c r="F4382" s="399" t="s">
        <v>3517</v>
      </c>
      <c r="G4382" s="399" t="s">
        <v>2221</v>
      </c>
      <c r="H4382" s="1235"/>
    </row>
    <row r="4383" spans="1:8" hidden="1">
      <c r="A4383" s="495" t="s">
        <v>5058</v>
      </c>
      <c r="B4383" s="399" t="s">
        <v>1765</v>
      </c>
      <c r="C4383" s="399" t="s">
        <v>184</v>
      </c>
      <c r="D4383" s="399">
        <v>3511</v>
      </c>
      <c r="E4383" s="312" t="s">
        <v>5590</v>
      </c>
      <c r="F4383" s="399" t="s">
        <v>3519</v>
      </c>
      <c r="G4383" s="399" t="s">
        <v>2221</v>
      </c>
      <c r="H4383" s="1235"/>
    </row>
    <row r="4384" spans="1:8" hidden="1">
      <c r="A4384" s="495" t="s">
        <v>5058</v>
      </c>
      <c r="B4384" s="399" t="s">
        <v>1765</v>
      </c>
      <c r="C4384" s="399" t="s">
        <v>184</v>
      </c>
      <c r="D4384" s="399">
        <v>3512</v>
      </c>
      <c r="E4384" s="312" t="s">
        <v>5591</v>
      </c>
      <c r="F4384" s="399" t="s">
        <v>3521</v>
      </c>
      <c r="G4384" s="399" t="s">
        <v>2221</v>
      </c>
      <c r="H4384" s="1235"/>
    </row>
    <row r="4385" spans="1:8" hidden="1">
      <c r="A4385" s="495" t="s">
        <v>5058</v>
      </c>
      <c r="B4385" s="399" t="s">
        <v>1765</v>
      </c>
      <c r="C4385" s="399" t="s">
        <v>184</v>
      </c>
      <c r="D4385" s="399">
        <v>3513</v>
      </c>
      <c r="E4385" s="312" t="s">
        <v>5592</v>
      </c>
      <c r="F4385" s="399" t="s">
        <v>3523</v>
      </c>
      <c r="G4385" s="399" t="s">
        <v>2221</v>
      </c>
      <c r="H4385" s="1235"/>
    </row>
    <row r="4386" spans="1:8" hidden="1">
      <c r="A4386" s="495" t="s">
        <v>5058</v>
      </c>
      <c r="B4386" s="399" t="s">
        <v>1765</v>
      </c>
      <c r="C4386" s="399" t="s">
        <v>184</v>
      </c>
      <c r="D4386" s="399">
        <v>3514</v>
      </c>
      <c r="E4386" s="312" t="s">
        <v>5593</v>
      </c>
      <c r="F4386" s="399" t="s">
        <v>3525</v>
      </c>
      <c r="G4386" s="399" t="s">
        <v>2221</v>
      </c>
      <c r="H4386" s="1235"/>
    </row>
    <row r="4387" spans="1:8" hidden="1">
      <c r="A4387" s="495" t="s">
        <v>5058</v>
      </c>
      <c r="B4387" s="399" t="s">
        <v>1765</v>
      </c>
      <c r="C4387" s="399" t="s">
        <v>184</v>
      </c>
      <c r="D4387" s="399">
        <v>3520</v>
      </c>
      <c r="E4387" s="312" t="s">
        <v>5594</v>
      </c>
      <c r="F4387" s="399" t="s">
        <v>3527</v>
      </c>
      <c r="G4387" s="399" t="s">
        <v>2221</v>
      </c>
      <c r="H4387" s="1235"/>
    </row>
    <row r="4388" spans="1:8" hidden="1">
      <c r="A4388" s="495" t="s">
        <v>5058</v>
      </c>
      <c r="B4388" s="399" t="s">
        <v>1765</v>
      </c>
      <c r="C4388" s="399" t="s">
        <v>184</v>
      </c>
      <c r="D4388" s="399">
        <v>3521</v>
      </c>
      <c r="E4388" s="312" t="s">
        <v>5595</v>
      </c>
      <c r="F4388" s="399" t="s">
        <v>3529</v>
      </c>
      <c r="G4388" s="399" t="s">
        <v>2221</v>
      </c>
      <c r="H4388" s="1235"/>
    </row>
    <row r="4389" spans="1:8" hidden="1">
      <c r="A4389" s="495" t="s">
        <v>5058</v>
      </c>
      <c r="B4389" s="399" t="s">
        <v>1765</v>
      </c>
      <c r="C4389" s="399" t="s">
        <v>184</v>
      </c>
      <c r="D4389" s="399">
        <v>3522</v>
      </c>
      <c r="E4389" s="312" t="s">
        <v>5596</v>
      </c>
      <c r="F4389" s="399" t="s">
        <v>3531</v>
      </c>
      <c r="G4389" s="399" t="s">
        <v>2221</v>
      </c>
      <c r="H4389" s="1235"/>
    </row>
    <row r="4390" spans="1:8" hidden="1">
      <c r="A4390" s="495" t="s">
        <v>5058</v>
      </c>
      <c r="B4390" s="399" t="s">
        <v>1765</v>
      </c>
      <c r="C4390" s="399" t="s">
        <v>184</v>
      </c>
      <c r="D4390" s="399">
        <v>3523</v>
      </c>
      <c r="E4390" s="312" t="s">
        <v>5597</v>
      </c>
      <c r="F4390" s="399" t="s">
        <v>3533</v>
      </c>
      <c r="G4390" s="399" t="s">
        <v>2221</v>
      </c>
      <c r="H4390" s="1235"/>
    </row>
    <row r="4391" spans="1:8" hidden="1">
      <c r="A4391" s="495" t="s">
        <v>5058</v>
      </c>
      <c r="B4391" s="399" t="s">
        <v>1765</v>
      </c>
      <c r="C4391" s="399" t="s">
        <v>184</v>
      </c>
      <c r="D4391" s="399">
        <v>3530</v>
      </c>
      <c r="E4391" s="312" t="s">
        <v>5598</v>
      </c>
      <c r="F4391" s="399" t="s">
        <v>3535</v>
      </c>
      <c r="G4391" s="399" t="s">
        <v>2221</v>
      </c>
      <c r="H4391" s="1235"/>
    </row>
    <row r="4392" spans="1:8" hidden="1">
      <c r="A4392" s="495" t="s">
        <v>5058</v>
      </c>
      <c r="B4392" s="399" t="s">
        <v>1765</v>
      </c>
      <c r="C4392" s="399" t="s">
        <v>184</v>
      </c>
      <c r="D4392" s="399">
        <v>3600</v>
      </c>
      <c r="E4392" s="312" t="s">
        <v>5599</v>
      </c>
      <c r="F4392" s="399" t="s">
        <v>3536</v>
      </c>
      <c r="G4392" s="399" t="s">
        <v>2221</v>
      </c>
      <c r="H4392" s="1235"/>
    </row>
    <row r="4393" spans="1:8" hidden="1">
      <c r="A4393" s="495" t="s">
        <v>5058</v>
      </c>
      <c r="B4393" s="399" t="s">
        <v>1765</v>
      </c>
      <c r="C4393" s="399" t="s">
        <v>184</v>
      </c>
      <c r="D4393" s="399">
        <v>3700</v>
      </c>
      <c r="E4393" s="312" t="s">
        <v>5600</v>
      </c>
      <c r="F4393" s="399" t="s">
        <v>3537</v>
      </c>
      <c r="G4393" s="399" t="s">
        <v>2221</v>
      </c>
      <c r="H4393" s="1235"/>
    </row>
    <row r="4394" spans="1:8" hidden="1">
      <c r="A4394" s="495" t="s">
        <v>5058</v>
      </c>
      <c r="B4394" s="399" t="s">
        <v>1765</v>
      </c>
      <c r="C4394" s="399" t="s">
        <v>184</v>
      </c>
      <c r="D4394" s="399">
        <v>3800</v>
      </c>
      <c r="E4394" s="312" t="s">
        <v>5601</v>
      </c>
      <c r="F4394" s="399" t="s">
        <v>3538</v>
      </c>
      <c r="G4394" s="399" t="s">
        <v>2221</v>
      </c>
      <c r="H4394" s="1235"/>
    </row>
    <row r="4395" spans="1:8" hidden="1">
      <c r="A4395" s="495" t="s">
        <v>5058</v>
      </c>
      <c r="B4395" s="399" t="s">
        <v>1765</v>
      </c>
      <c r="C4395" s="399" t="s">
        <v>184</v>
      </c>
      <c r="D4395" s="399">
        <v>3810</v>
      </c>
      <c r="E4395" s="312" t="s">
        <v>5602</v>
      </c>
      <c r="F4395" s="399" t="s">
        <v>3540</v>
      </c>
      <c r="G4395" s="399" t="s">
        <v>2221</v>
      </c>
      <c r="H4395" s="1235"/>
    </row>
    <row r="4396" spans="1:8" hidden="1">
      <c r="A4396" s="495" t="s">
        <v>5058</v>
      </c>
      <c r="B4396" s="399" t="s">
        <v>1765</v>
      </c>
      <c r="C4396" s="399" t="s">
        <v>184</v>
      </c>
      <c r="D4396" s="399">
        <v>3811</v>
      </c>
      <c r="E4396" s="312" t="s">
        <v>5603</v>
      </c>
      <c r="F4396" s="399" t="s">
        <v>3542</v>
      </c>
      <c r="G4396" s="399" t="s">
        <v>2221</v>
      </c>
      <c r="H4396" s="1235"/>
    </row>
    <row r="4397" spans="1:8" hidden="1">
      <c r="A4397" s="495" t="s">
        <v>5058</v>
      </c>
      <c r="B4397" s="399" t="s">
        <v>1765</v>
      </c>
      <c r="C4397" s="399" t="s">
        <v>184</v>
      </c>
      <c r="D4397" s="399">
        <v>3812</v>
      </c>
      <c r="E4397" s="312" t="s">
        <v>5604</v>
      </c>
      <c r="F4397" s="399" t="s">
        <v>3544</v>
      </c>
      <c r="G4397" s="399" t="s">
        <v>2221</v>
      </c>
      <c r="H4397" s="1235"/>
    </row>
    <row r="4398" spans="1:8" hidden="1">
      <c r="A4398" s="495" t="s">
        <v>5058</v>
      </c>
      <c r="B4398" s="399" t="s">
        <v>1765</v>
      </c>
      <c r="C4398" s="399" t="s">
        <v>184</v>
      </c>
      <c r="D4398" s="399">
        <v>3820</v>
      </c>
      <c r="E4398" s="312" t="s">
        <v>5605</v>
      </c>
      <c r="F4398" s="399" t="s">
        <v>3546</v>
      </c>
      <c r="G4398" s="399" t="s">
        <v>2221</v>
      </c>
      <c r="H4398" s="1235"/>
    </row>
    <row r="4399" spans="1:8" hidden="1">
      <c r="A4399" s="495" t="s">
        <v>5058</v>
      </c>
      <c r="B4399" s="399" t="s">
        <v>1765</v>
      </c>
      <c r="C4399" s="399" t="s">
        <v>184</v>
      </c>
      <c r="D4399" s="399">
        <v>3821</v>
      </c>
      <c r="E4399" s="312" t="s">
        <v>5606</v>
      </c>
      <c r="F4399" s="399" t="s">
        <v>3548</v>
      </c>
      <c r="G4399" s="399" t="s">
        <v>2221</v>
      </c>
      <c r="H4399" s="1235"/>
    </row>
    <row r="4400" spans="1:8" hidden="1">
      <c r="A4400" s="495" t="s">
        <v>5058</v>
      </c>
      <c r="B4400" s="399" t="s">
        <v>1765</v>
      </c>
      <c r="C4400" s="399" t="s">
        <v>184</v>
      </c>
      <c r="D4400" s="399">
        <v>3822</v>
      </c>
      <c r="E4400" s="312" t="s">
        <v>5607</v>
      </c>
      <c r="F4400" s="399" t="s">
        <v>3550</v>
      </c>
      <c r="G4400" s="399" t="s">
        <v>2221</v>
      </c>
      <c r="H4400" s="1235"/>
    </row>
    <row r="4401" spans="1:8" hidden="1">
      <c r="A4401" s="495" t="s">
        <v>5058</v>
      </c>
      <c r="B4401" s="399" t="s">
        <v>1765</v>
      </c>
      <c r="C4401" s="399" t="s">
        <v>184</v>
      </c>
      <c r="D4401" s="399">
        <v>3830</v>
      </c>
      <c r="E4401" s="312" t="s">
        <v>5608</v>
      </c>
      <c r="F4401" s="399" t="s">
        <v>3552</v>
      </c>
      <c r="G4401" s="399" t="s">
        <v>2221</v>
      </c>
      <c r="H4401" s="1235"/>
    </row>
    <row r="4402" spans="1:8" hidden="1">
      <c r="A4402" s="495" t="s">
        <v>5058</v>
      </c>
      <c r="B4402" s="399" t="s">
        <v>1765</v>
      </c>
      <c r="C4402" s="399" t="s">
        <v>184</v>
      </c>
      <c r="D4402" s="399">
        <v>3831</v>
      </c>
      <c r="E4402" s="312" t="s">
        <v>5609</v>
      </c>
      <c r="F4402" s="399" t="s">
        <v>3554</v>
      </c>
      <c r="G4402" s="399" t="s">
        <v>2221</v>
      </c>
      <c r="H4402" s="1235"/>
    </row>
    <row r="4403" spans="1:8" hidden="1">
      <c r="A4403" s="495" t="s">
        <v>5058</v>
      </c>
      <c r="B4403" s="399" t="s">
        <v>1765</v>
      </c>
      <c r="C4403" s="399" t="s">
        <v>184</v>
      </c>
      <c r="D4403" s="399">
        <v>3832</v>
      </c>
      <c r="E4403" s="312" t="s">
        <v>5610</v>
      </c>
      <c r="F4403" s="399" t="s">
        <v>3556</v>
      </c>
      <c r="G4403" s="399" t="s">
        <v>2221</v>
      </c>
      <c r="H4403" s="1235"/>
    </row>
    <row r="4404" spans="1:8" hidden="1">
      <c r="A4404" s="495" t="s">
        <v>5058</v>
      </c>
      <c r="B4404" s="399" t="s">
        <v>1765</v>
      </c>
      <c r="C4404" s="399" t="s">
        <v>184</v>
      </c>
      <c r="D4404" s="399">
        <v>3900</v>
      </c>
      <c r="E4404" s="312" t="s">
        <v>5611</v>
      </c>
      <c r="F4404" s="399" t="s">
        <v>3557</v>
      </c>
      <c r="G4404" s="399" t="s">
        <v>2221</v>
      </c>
      <c r="H4404" s="1235"/>
    </row>
    <row r="4405" spans="1:8" hidden="1">
      <c r="A4405" s="495" t="s">
        <v>5058</v>
      </c>
      <c r="B4405" s="399" t="s">
        <v>1765</v>
      </c>
      <c r="C4405" s="399" t="s">
        <v>184</v>
      </c>
      <c r="D4405" s="399">
        <v>4100</v>
      </c>
      <c r="E4405" s="312" t="s">
        <v>5612</v>
      </c>
      <c r="F4405" s="399" t="s">
        <v>3558</v>
      </c>
      <c r="G4405" s="399" t="s">
        <v>2221</v>
      </c>
      <c r="H4405" s="1235"/>
    </row>
    <row r="4406" spans="1:8" hidden="1">
      <c r="A4406" s="495" t="s">
        <v>5058</v>
      </c>
      <c r="B4406" s="399" t="s">
        <v>1765</v>
      </c>
      <c r="C4406" s="399" t="s">
        <v>184</v>
      </c>
      <c r="D4406" s="399">
        <v>4110</v>
      </c>
      <c r="E4406" s="312" t="s">
        <v>5613</v>
      </c>
      <c r="F4406" s="399" t="s">
        <v>3560</v>
      </c>
      <c r="G4406" s="399" t="s">
        <v>2221</v>
      </c>
      <c r="H4406" s="1235"/>
    </row>
    <row r="4407" spans="1:8" hidden="1">
      <c r="A4407" s="495" t="s">
        <v>5058</v>
      </c>
      <c r="B4407" s="399" t="s">
        <v>1765</v>
      </c>
      <c r="C4407" s="399" t="s">
        <v>184</v>
      </c>
      <c r="D4407" s="399">
        <v>4120</v>
      </c>
      <c r="E4407" s="312" t="s">
        <v>5614</v>
      </c>
      <c r="F4407" s="399" t="s">
        <v>3562</v>
      </c>
      <c r="G4407" s="399" t="s">
        <v>2221</v>
      </c>
      <c r="H4407" s="1235"/>
    </row>
    <row r="4408" spans="1:8" hidden="1">
      <c r="A4408" s="495" t="s">
        <v>5058</v>
      </c>
      <c r="B4408" s="399" t="s">
        <v>1765</v>
      </c>
      <c r="C4408" s="399" t="s">
        <v>184</v>
      </c>
      <c r="D4408" s="399">
        <v>4200</v>
      </c>
      <c r="E4408" s="312" t="s">
        <v>5615</v>
      </c>
      <c r="F4408" s="399" t="s">
        <v>3563</v>
      </c>
      <c r="G4408" s="399" t="s">
        <v>2221</v>
      </c>
      <c r="H4408" s="1235"/>
    </row>
    <row r="4409" spans="1:8" hidden="1">
      <c r="A4409" s="495" t="s">
        <v>5058</v>
      </c>
      <c r="B4409" s="399" t="s">
        <v>1765</v>
      </c>
      <c r="C4409" s="399" t="s">
        <v>184</v>
      </c>
      <c r="D4409" s="399">
        <v>4210</v>
      </c>
      <c r="E4409" s="312" t="s">
        <v>5616</v>
      </c>
      <c r="F4409" s="399" t="s">
        <v>3565</v>
      </c>
      <c r="G4409" s="399" t="s">
        <v>2221</v>
      </c>
      <c r="H4409" s="1235"/>
    </row>
    <row r="4410" spans="1:8" hidden="1">
      <c r="A4410" s="495" t="s">
        <v>5058</v>
      </c>
      <c r="B4410" s="399" t="s">
        <v>1765</v>
      </c>
      <c r="C4410" s="399" t="s">
        <v>184</v>
      </c>
      <c r="D4410" s="399">
        <v>4211</v>
      </c>
      <c r="E4410" s="312" t="s">
        <v>5617</v>
      </c>
      <c r="F4410" s="399" t="s">
        <v>3567</v>
      </c>
      <c r="G4410" s="399" t="s">
        <v>2221</v>
      </c>
      <c r="H4410" s="1235"/>
    </row>
    <row r="4411" spans="1:8" hidden="1">
      <c r="A4411" s="495" t="s">
        <v>5058</v>
      </c>
      <c r="B4411" s="399" t="s">
        <v>1765</v>
      </c>
      <c r="C4411" s="399" t="s">
        <v>184</v>
      </c>
      <c r="D4411" s="399">
        <v>4212</v>
      </c>
      <c r="E4411" s="312" t="s">
        <v>5618</v>
      </c>
      <c r="F4411" s="399" t="s">
        <v>3569</v>
      </c>
      <c r="G4411" s="399" t="s">
        <v>2221</v>
      </c>
      <c r="H4411" s="1235"/>
    </row>
    <row r="4412" spans="1:8" hidden="1">
      <c r="A4412" s="495" t="s">
        <v>5058</v>
      </c>
      <c r="B4412" s="399" t="s">
        <v>1765</v>
      </c>
      <c r="C4412" s="399" t="s">
        <v>184</v>
      </c>
      <c r="D4412" s="399">
        <v>4213</v>
      </c>
      <c r="E4412" s="312" t="s">
        <v>5619</v>
      </c>
      <c r="F4412" s="399" t="s">
        <v>3571</v>
      </c>
      <c r="G4412" s="399" t="s">
        <v>2221</v>
      </c>
      <c r="H4412" s="1235"/>
    </row>
    <row r="4413" spans="1:8" hidden="1">
      <c r="A4413" s="495" t="s">
        <v>5058</v>
      </c>
      <c r="B4413" s="399" t="s">
        <v>1765</v>
      </c>
      <c r="C4413" s="399" t="s">
        <v>184</v>
      </c>
      <c r="D4413" s="399">
        <v>4220</v>
      </c>
      <c r="E4413" s="312" t="s">
        <v>5620</v>
      </c>
      <c r="F4413" s="399" t="s">
        <v>3573</v>
      </c>
      <c r="G4413" s="399" t="s">
        <v>2221</v>
      </c>
      <c r="H4413" s="1235"/>
    </row>
    <row r="4414" spans="1:8" hidden="1">
      <c r="A4414" s="495" t="s">
        <v>5058</v>
      </c>
      <c r="B4414" s="399" t="s">
        <v>1765</v>
      </c>
      <c r="C4414" s="399" t="s">
        <v>184</v>
      </c>
      <c r="D4414" s="399">
        <v>4221</v>
      </c>
      <c r="E4414" s="312" t="s">
        <v>5621</v>
      </c>
      <c r="F4414" s="399" t="s">
        <v>3575</v>
      </c>
      <c r="G4414" s="399" t="s">
        <v>2221</v>
      </c>
      <c r="H4414" s="1235"/>
    </row>
    <row r="4415" spans="1:8" hidden="1">
      <c r="A4415" s="495" t="s">
        <v>5058</v>
      </c>
      <c r="B4415" s="399" t="s">
        <v>1765</v>
      </c>
      <c r="C4415" s="399" t="s">
        <v>184</v>
      </c>
      <c r="D4415" s="399">
        <v>4222</v>
      </c>
      <c r="E4415" s="312" t="s">
        <v>5622</v>
      </c>
      <c r="F4415" s="399" t="s">
        <v>3577</v>
      </c>
      <c r="G4415" s="399" t="s">
        <v>2221</v>
      </c>
      <c r="H4415" s="1235"/>
    </row>
    <row r="4416" spans="1:8" hidden="1">
      <c r="A4416" s="495" t="s">
        <v>5058</v>
      </c>
      <c r="B4416" s="399" t="s">
        <v>1765</v>
      </c>
      <c r="C4416" s="399" t="s">
        <v>184</v>
      </c>
      <c r="D4416" s="399">
        <v>4290</v>
      </c>
      <c r="E4416" s="312" t="s">
        <v>5623</v>
      </c>
      <c r="F4416" s="399" t="s">
        <v>3579</v>
      </c>
      <c r="G4416" s="399" t="s">
        <v>2221</v>
      </c>
      <c r="H4416" s="1235"/>
    </row>
    <row r="4417" spans="1:8" hidden="1">
      <c r="A4417" s="495" t="s">
        <v>5058</v>
      </c>
      <c r="B4417" s="399" t="s">
        <v>1765</v>
      </c>
      <c r="C4417" s="399" t="s">
        <v>184</v>
      </c>
      <c r="D4417" s="399">
        <v>4291</v>
      </c>
      <c r="E4417" s="312" t="s">
        <v>5624</v>
      </c>
      <c r="F4417" s="399" t="s">
        <v>3581</v>
      </c>
      <c r="G4417" s="399" t="s">
        <v>2221</v>
      </c>
      <c r="H4417" s="1235"/>
    </row>
    <row r="4418" spans="1:8" hidden="1">
      <c r="A4418" s="495" t="s">
        <v>5058</v>
      </c>
      <c r="B4418" s="399" t="s">
        <v>1765</v>
      </c>
      <c r="C4418" s="399" t="s">
        <v>184</v>
      </c>
      <c r="D4418" s="399">
        <v>4299</v>
      </c>
      <c r="E4418" s="312" t="s">
        <v>5625</v>
      </c>
      <c r="F4418" s="399" t="s">
        <v>3583</v>
      </c>
      <c r="G4418" s="399" t="s">
        <v>2221</v>
      </c>
      <c r="H4418" s="1235"/>
    </row>
    <row r="4419" spans="1:8" hidden="1">
      <c r="A4419" s="495" t="s">
        <v>5058</v>
      </c>
      <c r="B4419" s="399" t="s">
        <v>1765</v>
      </c>
      <c r="C4419" s="399" t="s">
        <v>184</v>
      </c>
      <c r="D4419" s="399">
        <v>4300</v>
      </c>
      <c r="E4419" s="312" t="s">
        <v>5626</v>
      </c>
      <c r="F4419" s="399" t="s">
        <v>3584</v>
      </c>
      <c r="G4419" s="399" t="s">
        <v>2221</v>
      </c>
      <c r="H4419" s="1235"/>
    </row>
    <row r="4420" spans="1:8" hidden="1">
      <c r="A4420" s="495" t="s">
        <v>5058</v>
      </c>
      <c r="B4420" s="399" t="s">
        <v>1765</v>
      </c>
      <c r="C4420" s="399" t="s">
        <v>184</v>
      </c>
      <c r="D4420" s="399">
        <v>4310</v>
      </c>
      <c r="E4420" s="312" t="s">
        <v>5627</v>
      </c>
      <c r="F4420" s="399" t="s">
        <v>3586</v>
      </c>
      <c r="G4420" s="399" t="s">
        <v>2221</v>
      </c>
      <c r="H4420" s="1235"/>
    </row>
    <row r="4421" spans="1:8" hidden="1">
      <c r="A4421" s="495" t="s">
        <v>5058</v>
      </c>
      <c r="B4421" s="399" t="s">
        <v>1765</v>
      </c>
      <c r="C4421" s="399" t="s">
        <v>184</v>
      </c>
      <c r="D4421" s="399">
        <v>4311</v>
      </c>
      <c r="E4421" s="312" t="s">
        <v>5628</v>
      </c>
      <c r="F4421" s="399" t="s">
        <v>3588</v>
      </c>
      <c r="G4421" s="399" t="s">
        <v>2221</v>
      </c>
      <c r="H4421" s="1235"/>
    </row>
    <row r="4422" spans="1:8" hidden="1">
      <c r="A4422" s="495" t="s">
        <v>5058</v>
      </c>
      <c r="B4422" s="399" t="s">
        <v>1765</v>
      </c>
      <c r="C4422" s="399" t="s">
        <v>184</v>
      </c>
      <c r="D4422" s="399">
        <v>4312</v>
      </c>
      <c r="E4422" s="312" t="s">
        <v>5629</v>
      </c>
      <c r="F4422" s="399" t="s">
        <v>3590</v>
      </c>
      <c r="G4422" s="399" t="s">
        <v>2221</v>
      </c>
      <c r="H4422" s="1235"/>
    </row>
    <row r="4423" spans="1:8" hidden="1">
      <c r="A4423" s="495" t="s">
        <v>5058</v>
      </c>
      <c r="B4423" s="399" t="s">
        <v>1765</v>
      </c>
      <c r="C4423" s="399" t="s">
        <v>184</v>
      </c>
      <c r="D4423" s="399">
        <v>4313</v>
      </c>
      <c r="E4423" s="312" t="s">
        <v>5630</v>
      </c>
      <c r="F4423" s="399" t="s">
        <v>3592</v>
      </c>
      <c r="G4423" s="399" t="s">
        <v>2221</v>
      </c>
      <c r="H4423" s="1235"/>
    </row>
    <row r="4424" spans="1:8" hidden="1">
      <c r="A4424" s="495" t="s">
        <v>5058</v>
      </c>
      <c r="B4424" s="399" t="s">
        <v>1765</v>
      </c>
      <c r="C4424" s="399" t="s">
        <v>184</v>
      </c>
      <c r="D4424" s="399">
        <v>4320</v>
      </c>
      <c r="E4424" s="312" t="s">
        <v>5631</v>
      </c>
      <c r="F4424" s="399" t="s">
        <v>3594</v>
      </c>
      <c r="G4424" s="399" t="s">
        <v>2221</v>
      </c>
      <c r="H4424" s="1235"/>
    </row>
    <row r="4425" spans="1:8" hidden="1">
      <c r="A4425" s="495" t="s">
        <v>5058</v>
      </c>
      <c r="B4425" s="399" t="s">
        <v>1765</v>
      </c>
      <c r="C4425" s="399" t="s">
        <v>184</v>
      </c>
      <c r="D4425" s="399">
        <v>4321</v>
      </c>
      <c r="E4425" s="312" t="s">
        <v>5632</v>
      </c>
      <c r="F4425" s="399" t="s">
        <v>3596</v>
      </c>
      <c r="G4425" s="399" t="s">
        <v>2221</v>
      </c>
      <c r="H4425" s="1235"/>
    </row>
    <row r="4426" spans="1:8" hidden="1">
      <c r="A4426" s="495" t="s">
        <v>5058</v>
      </c>
      <c r="B4426" s="399" t="s">
        <v>1765</v>
      </c>
      <c r="C4426" s="399" t="s">
        <v>184</v>
      </c>
      <c r="D4426" s="399">
        <v>4322</v>
      </c>
      <c r="E4426" s="312" t="s">
        <v>5633</v>
      </c>
      <c r="F4426" s="399" t="s">
        <v>3598</v>
      </c>
      <c r="G4426" s="399" t="s">
        <v>2221</v>
      </c>
      <c r="H4426" s="1235"/>
    </row>
    <row r="4427" spans="1:8" hidden="1">
      <c r="A4427" s="495" t="s">
        <v>5058</v>
      </c>
      <c r="B4427" s="399" t="s">
        <v>1765</v>
      </c>
      <c r="C4427" s="399" t="s">
        <v>184</v>
      </c>
      <c r="D4427" s="399">
        <v>4329</v>
      </c>
      <c r="E4427" s="312" t="s">
        <v>5634</v>
      </c>
      <c r="F4427" s="399" t="s">
        <v>3600</v>
      </c>
      <c r="G4427" s="399" t="s">
        <v>2221</v>
      </c>
      <c r="H4427" s="1235"/>
    </row>
    <row r="4428" spans="1:8" hidden="1">
      <c r="A4428" s="495" t="s">
        <v>5058</v>
      </c>
      <c r="B4428" s="399" t="s">
        <v>1765</v>
      </c>
      <c r="C4428" s="399" t="s">
        <v>184</v>
      </c>
      <c r="D4428" s="399">
        <v>4330</v>
      </c>
      <c r="E4428" s="312" t="s">
        <v>5635</v>
      </c>
      <c r="F4428" s="399" t="s">
        <v>3602</v>
      </c>
      <c r="G4428" s="399" t="s">
        <v>2221</v>
      </c>
      <c r="H4428" s="1235"/>
    </row>
    <row r="4429" spans="1:8" hidden="1">
      <c r="A4429" s="495" t="s">
        <v>5058</v>
      </c>
      <c r="B4429" s="399" t="s">
        <v>1765</v>
      </c>
      <c r="C4429" s="399" t="s">
        <v>184</v>
      </c>
      <c r="D4429" s="399">
        <v>4331</v>
      </c>
      <c r="E4429" s="312" t="s">
        <v>5636</v>
      </c>
      <c r="F4429" s="399" t="s">
        <v>3604</v>
      </c>
      <c r="G4429" s="399" t="s">
        <v>2221</v>
      </c>
      <c r="H4429" s="1235"/>
    </row>
    <row r="4430" spans="1:8" hidden="1">
      <c r="A4430" s="495" t="s">
        <v>5058</v>
      </c>
      <c r="B4430" s="399" t="s">
        <v>1765</v>
      </c>
      <c r="C4430" s="399" t="s">
        <v>184</v>
      </c>
      <c r="D4430" s="399">
        <v>4332</v>
      </c>
      <c r="E4430" s="312" t="s">
        <v>5637</v>
      </c>
      <c r="F4430" s="399" t="s">
        <v>3606</v>
      </c>
      <c r="G4430" s="399" t="s">
        <v>2221</v>
      </c>
      <c r="H4430" s="1235"/>
    </row>
    <row r="4431" spans="1:8" hidden="1">
      <c r="A4431" s="495" t="s">
        <v>5058</v>
      </c>
      <c r="B4431" s="399" t="s">
        <v>1765</v>
      </c>
      <c r="C4431" s="399" t="s">
        <v>184</v>
      </c>
      <c r="D4431" s="399">
        <v>4333</v>
      </c>
      <c r="E4431" s="312" t="s">
        <v>5638</v>
      </c>
      <c r="F4431" s="399" t="s">
        <v>3608</v>
      </c>
      <c r="G4431" s="399" t="s">
        <v>2221</v>
      </c>
      <c r="H4431" s="1235"/>
    </row>
    <row r="4432" spans="1:8" hidden="1">
      <c r="A4432" s="495" t="s">
        <v>5058</v>
      </c>
      <c r="B4432" s="399" t="s">
        <v>1765</v>
      </c>
      <c r="C4432" s="399" t="s">
        <v>184</v>
      </c>
      <c r="D4432" s="399">
        <v>4334</v>
      </c>
      <c r="E4432" s="312" t="s">
        <v>5639</v>
      </c>
      <c r="F4432" s="399" t="s">
        <v>3610</v>
      </c>
      <c r="G4432" s="399" t="s">
        <v>2221</v>
      </c>
      <c r="H4432" s="1235"/>
    </row>
    <row r="4433" spans="1:8" hidden="1">
      <c r="A4433" s="495" t="s">
        <v>5058</v>
      </c>
      <c r="B4433" s="399" t="s">
        <v>1765</v>
      </c>
      <c r="C4433" s="399" t="s">
        <v>184</v>
      </c>
      <c r="D4433" s="399">
        <v>4339</v>
      </c>
      <c r="E4433" s="312" t="s">
        <v>5640</v>
      </c>
      <c r="F4433" s="399" t="s">
        <v>3612</v>
      </c>
      <c r="G4433" s="399" t="s">
        <v>2221</v>
      </c>
      <c r="H4433" s="1235"/>
    </row>
    <row r="4434" spans="1:8" hidden="1">
      <c r="A4434" s="495" t="s">
        <v>5058</v>
      </c>
      <c r="B4434" s="399" t="s">
        <v>1765</v>
      </c>
      <c r="C4434" s="399" t="s">
        <v>184</v>
      </c>
      <c r="D4434" s="399">
        <v>4390</v>
      </c>
      <c r="E4434" s="312" t="s">
        <v>5641</v>
      </c>
      <c r="F4434" s="399" t="s">
        <v>3614</v>
      </c>
      <c r="G4434" s="399" t="s">
        <v>2221</v>
      </c>
      <c r="H4434" s="1235"/>
    </row>
    <row r="4435" spans="1:8" hidden="1">
      <c r="A4435" s="495" t="s">
        <v>5058</v>
      </c>
      <c r="B4435" s="399" t="s">
        <v>1765</v>
      </c>
      <c r="C4435" s="399" t="s">
        <v>184</v>
      </c>
      <c r="D4435" s="399">
        <v>4391</v>
      </c>
      <c r="E4435" s="312" t="s">
        <v>5642</v>
      </c>
      <c r="F4435" s="399" t="s">
        <v>3616</v>
      </c>
      <c r="G4435" s="399" t="s">
        <v>2221</v>
      </c>
      <c r="H4435" s="1235"/>
    </row>
    <row r="4436" spans="1:8" hidden="1">
      <c r="A4436" s="495" t="s">
        <v>5058</v>
      </c>
      <c r="B4436" s="399" t="s">
        <v>1765</v>
      </c>
      <c r="C4436" s="399" t="s">
        <v>184</v>
      </c>
      <c r="D4436" s="399">
        <v>4399</v>
      </c>
      <c r="E4436" s="312" t="s">
        <v>5643</v>
      </c>
      <c r="F4436" s="399" t="s">
        <v>3618</v>
      </c>
      <c r="G4436" s="399" t="s">
        <v>2221</v>
      </c>
      <c r="H4436" s="1235"/>
    </row>
    <row r="4437" spans="1:8" hidden="1">
      <c r="A4437" s="495" t="s">
        <v>5058</v>
      </c>
      <c r="B4437" s="399" t="s">
        <v>1765</v>
      </c>
      <c r="C4437" s="399" t="s">
        <v>184</v>
      </c>
      <c r="D4437" s="399">
        <v>4500</v>
      </c>
      <c r="E4437" s="312" t="s">
        <v>5644</v>
      </c>
      <c r="F4437" s="399" t="s">
        <v>3619</v>
      </c>
      <c r="G4437" s="399" t="s">
        <v>2221</v>
      </c>
      <c r="H4437" s="1235"/>
    </row>
    <row r="4438" spans="1:8" hidden="1">
      <c r="A4438" s="495" t="s">
        <v>5058</v>
      </c>
      <c r="B4438" s="399" t="s">
        <v>1765</v>
      </c>
      <c r="C4438" s="399" t="s">
        <v>184</v>
      </c>
      <c r="D4438" s="399">
        <v>4510</v>
      </c>
      <c r="E4438" s="312" t="s">
        <v>5645</v>
      </c>
      <c r="F4438" s="399" t="s">
        <v>3621</v>
      </c>
      <c r="G4438" s="399" t="s">
        <v>2221</v>
      </c>
      <c r="H4438" s="1235"/>
    </row>
    <row r="4439" spans="1:8" hidden="1">
      <c r="A4439" s="495" t="s">
        <v>5058</v>
      </c>
      <c r="B4439" s="399" t="s">
        <v>1765</v>
      </c>
      <c r="C4439" s="399" t="s">
        <v>184</v>
      </c>
      <c r="D4439" s="399">
        <v>4511</v>
      </c>
      <c r="E4439" s="312" t="s">
        <v>5646</v>
      </c>
      <c r="F4439" s="399" t="s">
        <v>3623</v>
      </c>
      <c r="G4439" s="399" t="s">
        <v>2221</v>
      </c>
      <c r="H4439" s="1235"/>
    </row>
    <row r="4440" spans="1:8" hidden="1">
      <c r="A4440" s="495" t="s">
        <v>5058</v>
      </c>
      <c r="B4440" s="399" t="s">
        <v>1765</v>
      </c>
      <c r="C4440" s="399" t="s">
        <v>184</v>
      </c>
      <c r="D4440" s="399">
        <v>4519</v>
      </c>
      <c r="E4440" s="312" t="s">
        <v>5647</v>
      </c>
      <c r="F4440" s="399" t="s">
        <v>3625</v>
      </c>
      <c r="G4440" s="399" t="s">
        <v>2221</v>
      </c>
      <c r="H4440" s="1235"/>
    </row>
    <row r="4441" spans="1:8" hidden="1">
      <c r="A4441" s="495" t="s">
        <v>5058</v>
      </c>
      <c r="B4441" s="399" t="s">
        <v>1765</v>
      </c>
      <c r="C4441" s="399" t="s">
        <v>184</v>
      </c>
      <c r="D4441" s="399">
        <v>4520</v>
      </c>
      <c r="E4441" s="312" t="s">
        <v>5648</v>
      </c>
      <c r="F4441" s="399" t="s">
        <v>3627</v>
      </c>
      <c r="G4441" s="399" t="s">
        <v>2221</v>
      </c>
      <c r="H4441" s="1235"/>
    </row>
    <row r="4442" spans="1:8" hidden="1">
      <c r="A4442" s="495" t="s">
        <v>5058</v>
      </c>
      <c r="B4442" s="399" t="s">
        <v>1765</v>
      </c>
      <c r="C4442" s="399" t="s">
        <v>184</v>
      </c>
      <c r="D4442" s="399">
        <v>4530</v>
      </c>
      <c r="E4442" s="312" t="s">
        <v>5649</v>
      </c>
      <c r="F4442" s="399" t="s">
        <v>3629</v>
      </c>
      <c r="G4442" s="399" t="s">
        <v>2221</v>
      </c>
      <c r="H4442" s="1235"/>
    </row>
    <row r="4443" spans="1:8" hidden="1">
      <c r="A4443" s="495" t="s">
        <v>5058</v>
      </c>
      <c r="B4443" s="399" t="s">
        <v>1765</v>
      </c>
      <c r="C4443" s="399" t="s">
        <v>184</v>
      </c>
      <c r="D4443" s="399">
        <v>4531</v>
      </c>
      <c r="E4443" s="312" t="s">
        <v>5650</v>
      </c>
      <c r="F4443" s="399" t="s">
        <v>3631</v>
      </c>
      <c r="G4443" s="399" t="s">
        <v>2221</v>
      </c>
      <c r="H4443" s="1235"/>
    </row>
    <row r="4444" spans="1:8" hidden="1">
      <c r="A4444" s="495" t="s">
        <v>5058</v>
      </c>
      <c r="B4444" s="399" t="s">
        <v>1765</v>
      </c>
      <c r="C4444" s="399" t="s">
        <v>184</v>
      </c>
      <c r="D4444" s="399">
        <v>4532</v>
      </c>
      <c r="E4444" s="312" t="s">
        <v>5651</v>
      </c>
      <c r="F4444" s="399" t="s">
        <v>3633</v>
      </c>
      <c r="G4444" s="399" t="s">
        <v>2221</v>
      </c>
      <c r="H4444" s="1235"/>
    </row>
    <row r="4445" spans="1:8" hidden="1">
      <c r="A4445" s="495" t="s">
        <v>5058</v>
      </c>
      <c r="B4445" s="399" t="s">
        <v>1765</v>
      </c>
      <c r="C4445" s="399" t="s">
        <v>184</v>
      </c>
      <c r="D4445" s="399">
        <v>4540</v>
      </c>
      <c r="E4445" s="312" t="s">
        <v>5652</v>
      </c>
      <c r="F4445" s="399" t="s">
        <v>3635</v>
      </c>
      <c r="G4445" s="399" t="s">
        <v>2221</v>
      </c>
      <c r="H4445" s="1235"/>
    </row>
    <row r="4446" spans="1:8" hidden="1">
      <c r="A4446" s="495" t="s">
        <v>5058</v>
      </c>
      <c r="B4446" s="399" t="s">
        <v>1765</v>
      </c>
      <c r="C4446" s="399" t="s">
        <v>184</v>
      </c>
      <c r="D4446" s="399">
        <v>4600</v>
      </c>
      <c r="E4446" s="312" t="s">
        <v>5653</v>
      </c>
      <c r="F4446" s="399" t="s">
        <v>3636</v>
      </c>
      <c r="G4446" s="399" t="s">
        <v>2221</v>
      </c>
      <c r="H4446" s="1235"/>
    </row>
    <row r="4447" spans="1:8" hidden="1">
      <c r="A4447" s="495" t="s">
        <v>5058</v>
      </c>
      <c r="B4447" s="399" t="s">
        <v>1765</v>
      </c>
      <c r="C4447" s="399" t="s">
        <v>184</v>
      </c>
      <c r="D4447" s="399">
        <v>4610</v>
      </c>
      <c r="E4447" s="312" t="s">
        <v>5654</v>
      </c>
      <c r="F4447" s="399" t="s">
        <v>3638</v>
      </c>
      <c r="G4447" s="399" t="s">
        <v>2221</v>
      </c>
      <c r="H4447" s="1235"/>
    </row>
    <row r="4448" spans="1:8" hidden="1">
      <c r="A4448" s="495" t="s">
        <v>5058</v>
      </c>
      <c r="B4448" s="399" t="s">
        <v>1765</v>
      </c>
      <c r="C4448" s="399" t="s">
        <v>184</v>
      </c>
      <c r="D4448" s="399">
        <v>4611</v>
      </c>
      <c r="E4448" s="312" t="s">
        <v>5655</v>
      </c>
      <c r="F4448" s="399" t="s">
        <v>3640</v>
      </c>
      <c r="G4448" s="399" t="s">
        <v>2221</v>
      </c>
      <c r="H4448" s="1235"/>
    </row>
    <row r="4449" spans="1:8" hidden="1">
      <c r="A4449" s="495" t="s">
        <v>5058</v>
      </c>
      <c r="B4449" s="399" t="s">
        <v>1765</v>
      </c>
      <c r="C4449" s="399" t="s">
        <v>184</v>
      </c>
      <c r="D4449" s="399">
        <v>4612</v>
      </c>
      <c r="E4449" s="312" t="s">
        <v>5656</v>
      </c>
      <c r="F4449" s="399" t="s">
        <v>3642</v>
      </c>
      <c r="G4449" s="399" t="s">
        <v>2221</v>
      </c>
      <c r="H4449" s="1235"/>
    </row>
    <row r="4450" spans="1:8" hidden="1">
      <c r="A4450" s="495" t="s">
        <v>5058</v>
      </c>
      <c r="B4450" s="399" t="s">
        <v>1765</v>
      </c>
      <c r="C4450" s="399" t="s">
        <v>184</v>
      </c>
      <c r="D4450" s="399">
        <v>4613</v>
      </c>
      <c r="E4450" s="312" t="s">
        <v>5657</v>
      </c>
      <c r="F4450" s="399" t="s">
        <v>3644</v>
      </c>
      <c r="G4450" s="399" t="s">
        <v>2221</v>
      </c>
      <c r="H4450" s="1235"/>
    </row>
    <row r="4451" spans="1:8" hidden="1">
      <c r="A4451" s="495" t="s">
        <v>5058</v>
      </c>
      <c r="B4451" s="399" t="s">
        <v>1765</v>
      </c>
      <c r="C4451" s="399" t="s">
        <v>184</v>
      </c>
      <c r="D4451" s="399">
        <v>4614</v>
      </c>
      <c r="E4451" s="312" t="s">
        <v>5658</v>
      </c>
      <c r="F4451" s="399" t="s">
        <v>3646</v>
      </c>
      <c r="G4451" s="399" t="s">
        <v>2221</v>
      </c>
      <c r="H4451" s="1235"/>
    </row>
    <row r="4452" spans="1:8" hidden="1">
      <c r="A4452" s="495" t="s">
        <v>5058</v>
      </c>
      <c r="B4452" s="399" t="s">
        <v>1765</v>
      </c>
      <c r="C4452" s="399" t="s">
        <v>184</v>
      </c>
      <c r="D4452" s="399">
        <v>4615</v>
      </c>
      <c r="E4452" s="312" t="s">
        <v>5659</v>
      </c>
      <c r="F4452" s="399" t="s">
        <v>3648</v>
      </c>
      <c r="G4452" s="399" t="s">
        <v>2221</v>
      </c>
      <c r="H4452" s="1235"/>
    </row>
    <row r="4453" spans="1:8" hidden="1">
      <c r="A4453" s="495" t="s">
        <v>5058</v>
      </c>
      <c r="B4453" s="399" t="s">
        <v>1765</v>
      </c>
      <c r="C4453" s="399" t="s">
        <v>184</v>
      </c>
      <c r="D4453" s="399">
        <v>4616</v>
      </c>
      <c r="E4453" s="312" t="s">
        <v>5660</v>
      </c>
      <c r="F4453" s="399" t="s">
        <v>3650</v>
      </c>
      <c r="G4453" s="399" t="s">
        <v>2221</v>
      </c>
      <c r="H4453" s="1235"/>
    </row>
    <row r="4454" spans="1:8" hidden="1">
      <c r="A4454" s="495" t="s">
        <v>5058</v>
      </c>
      <c r="B4454" s="399" t="s">
        <v>1765</v>
      </c>
      <c r="C4454" s="399" t="s">
        <v>184</v>
      </c>
      <c r="D4454" s="399">
        <v>4617</v>
      </c>
      <c r="E4454" s="312" t="s">
        <v>5661</v>
      </c>
      <c r="F4454" s="399" t="s">
        <v>3652</v>
      </c>
      <c r="G4454" s="399" t="s">
        <v>2221</v>
      </c>
      <c r="H4454" s="1235"/>
    </row>
    <row r="4455" spans="1:8" hidden="1">
      <c r="A4455" s="495" t="s">
        <v>5058</v>
      </c>
      <c r="B4455" s="399" t="s">
        <v>1765</v>
      </c>
      <c r="C4455" s="399" t="s">
        <v>184</v>
      </c>
      <c r="D4455" s="399">
        <v>4618</v>
      </c>
      <c r="E4455" s="312" t="s">
        <v>5662</v>
      </c>
      <c r="F4455" s="399" t="s">
        <v>3654</v>
      </c>
      <c r="G4455" s="399" t="s">
        <v>2221</v>
      </c>
      <c r="H4455" s="1235"/>
    </row>
    <row r="4456" spans="1:8" hidden="1">
      <c r="A4456" s="495" t="s">
        <v>5058</v>
      </c>
      <c r="B4456" s="399" t="s">
        <v>1765</v>
      </c>
      <c r="C4456" s="399" t="s">
        <v>184</v>
      </c>
      <c r="D4456" s="399">
        <v>4619</v>
      </c>
      <c r="E4456" s="312" t="s">
        <v>5663</v>
      </c>
      <c r="F4456" s="399" t="s">
        <v>3656</v>
      </c>
      <c r="G4456" s="399" t="s">
        <v>2221</v>
      </c>
      <c r="H4456" s="1235"/>
    </row>
    <row r="4457" spans="1:8" hidden="1">
      <c r="A4457" s="495" t="s">
        <v>5058</v>
      </c>
      <c r="B4457" s="399" t="s">
        <v>1765</v>
      </c>
      <c r="C4457" s="399" t="s">
        <v>184</v>
      </c>
      <c r="D4457" s="399">
        <v>4620</v>
      </c>
      <c r="E4457" s="312" t="s">
        <v>5664</v>
      </c>
      <c r="F4457" s="399" t="s">
        <v>3658</v>
      </c>
      <c r="G4457" s="399" t="s">
        <v>2221</v>
      </c>
      <c r="H4457" s="1235"/>
    </row>
    <row r="4458" spans="1:8" hidden="1">
      <c r="A4458" s="495" t="s">
        <v>5058</v>
      </c>
      <c r="B4458" s="399" t="s">
        <v>1765</v>
      </c>
      <c r="C4458" s="399" t="s">
        <v>184</v>
      </c>
      <c r="D4458" s="399">
        <v>4621</v>
      </c>
      <c r="E4458" s="312" t="s">
        <v>5665</v>
      </c>
      <c r="F4458" s="399" t="s">
        <v>3660</v>
      </c>
      <c r="G4458" s="399" t="s">
        <v>2221</v>
      </c>
      <c r="H4458" s="1235"/>
    </row>
    <row r="4459" spans="1:8" hidden="1">
      <c r="A4459" s="495" t="s">
        <v>5058</v>
      </c>
      <c r="B4459" s="399" t="s">
        <v>1765</v>
      </c>
      <c r="C4459" s="399" t="s">
        <v>184</v>
      </c>
      <c r="D4459" s="399">
        <v>4622</v>
      </c>
      <c r="E4459" s="312" t="s">
        <v>5666</v>
      </c>
      <c r="F4459" s="399" t="s">
        <v>3662</v>
      </c>
      <c r="G4459" s="399" t="s">
        <v>2221</v>
      </c>
      <c r="H4459" s="1235"/>
    </row>
    <row r="4460" spans="1:8" hidden="1">
      <c r="A4460" s="495" t="s">
        <v>5058</v>
      </c>
      <c r="B4460" s="399" t="s">
        <v>1765</v>
      </c>
      <c r="C4460" s="399" t="s">
        <v>184</v>
      </c>
      <c r="D4460" s="399">
        <v>4623</v>
      </c>
      <c r="E4460" s="312" t="s">
        <v>5667</v>
      </c>
      <c r="F4460" s="399" t="s">
        <v>3664</v>
      </c>
      <c r="G4460" s="399" t="s">
        <v>2221</v>
      </c>
      <c r="H4460" s="1235"/>
    </row>
    <row r="4461" spans="1:8" hidden="1">
      <c r="A4461" s="495" t="s">
        <v>5058</v>
      </c>
      <c r="B4461" s="399" t="s">
        <v>1765</v>
      </c>
      <c r="C4461" s="399" t="s">
        <v>184</v>
      </c>
      <c r="D4461" s="399">
        <v>4624</v>
      </c>
      <c r="E4461" s="312" t="s">
        <v>5668</v>
      </c>
      <c r="F4461" s="399" t="s">
        <v>3666</v>
      </c>
      <c r="G4461" s="399" t="s">
        <v>2221</v>
      </c>
      <c r="H4461" s="1235"/>
    </row>
    <row r="4462" spans="1:8" hidden="1">
      <c r="A4462" s="495" t="s">
        <v>5058</v>
      </c>
      <c r="B4462" s="399" t="s">
        <v>1765</v>
      </c>
      <c r="C4462" s="399" t="s">
        <v>184</v>
      </c>
      <c r="D4462" s="399">
        <v>4630</v>
      </c>
      <c r="E4462" s="312" t="s">
        <v>5669</v>
      </c>
      <c r="F4462" s="399" t="s">
        <v>3668</v>
      </c>
      <c r="G4462" s="399" t="s">
        <v>2221</v>
      </c>
      <c r="H4462" s="1235"/>
    </row>
    <row r="4463" spans="1:8" hidden="1">
      <c r="A4463" s="495" t="s">
        <v>5058</v>
      </c>
      <c r="B4463" s="399" t="s">
        <v>1765</v>
      </c>
      <c r="C4463" s="399" t="s">
        <v>184</v>
      </c>
      <c r="D4463" s="399">
        <v>4631</v>
      </c>
      <c r="E4463" s="312" t="s">
        <v>5670</v>
      </c>
      <c r="F4463" s="399" t="s">
        <v>3670</v>
      </c>
      <c r="G4463" s="399" t="s">
        <v>2221</v>
      </c>
      <c r="H4463" s="1235"/>
    </row>
    <row r="4464" spans="1:8" hidden="1">
      <c r="A4464" s="495" t="s">
        <v>5058</v>
      </c>
      <c r="B4464" s="399" t="s">
        <v>1765</v>
      </c>
      <c r="C4464" s="399" t="s">
        <v>184</v>
      </c>
      <c r="D4464" s="399">
        <v>4632</v>
      </c>
      <c r="E4464" s="312" t="s">
        <v>5671</v>
      </c>
      <c r="F4464" s="399" t="s">
        <v>3672</v>
      </c>
      <c r="G4464" s="399" t="s">
        <v>2221</v>
      </c>
      <c r="H4464" s="1235"/>
    </row>
    <row r="4465" spans="1:8" hidden="1">
      <c r="A4465" s="495" t="s">
        <v>5058</v>
      </c>
      <c r="B4465" s="399" t="s">
        <v>1765</v>
      </c>
      <c r="C4465" s="399" t="s">
        <v>184</v>
      </c>
      <c r="D4465" s="399">
        <v>4633</v>
      </c>
      <c r="E4465" s="312" t="s">
        <v>5672</v>
      </c>
      <c r="F4465" s="399" t="s">
        <v>3674</v>
      </c>
      <c r="G4465" s="399" t="s">
        <v>2221</v>
      </c>
      <c r="H4465" s="1235"/>
    </row>
    <row r="4466" spans="1:8" hidden="1">
      <c r="A4466" s="495" t="s">
        <v>5058</v>
      </c>
      <c r="B4466" s="399" t="s">
        <v>1765</v>
      </c>
      <c r="C4466" s="399" t="s">
        <v>184</v>
      </c>
      <c r="D4466" s="399">
        <v>4634</v>
      </c>
      <c r="E4466" s="312" t="s">
        <v>5673</v>
      </c>
      <c r="F4466" s="399" t="s">
        <v>3676</v>
      </c>
      <c r="G4466" s="399" t="s">
        <v>2221</v>
      </c>
      <c r="H4466" s="1235"/>
    </row>
    <row r="4467" spans="1:8" hidden="1">
      <c r="A4467" s="495" t="s">
        <v>5058</v>
      </c>
      <c r="B4467" s="399" t="s">
        <v>1765</v>
      </c>
      <c r="C4467" s="399" t="s">
        <v>184</v>
      </c>
      <c r="D4467" s="399">
        <v>4635</v>
      </c>
      <c r="E4467" s="312" t="s">
        <v>5674</v>
      </c>
      <c r="F4467" s="399" t="s">
        <v>3678</v>
      </c>
      <c r="G4467" s="399" t="s">
        <v>2221</v>
      </c>
      <c r="H4467" s="1235"/>
    </row>
    <row r="4468" spans="1:8" hidden="1">
      <c r="A4468" s="495" t="s">
        <v>5058</v>
      </c>
      <c r="B4468" s="399" t="s">
        <v>1765</v>
      </c>
      <c r="C4468" s="399" t="s">
        <v>184</v>
      </c>
      <c r="D4468" s="399">
        <v>4636</v>
      </c>
      <c r="E4468" s="312" t="s">
        <v>5675</v>
      </c>
      <c r="F4468" s="399" t="s">
        <v>3680</v>
      </c>
      <c r="G4468" s="399" t="s">
        <v>2221</v>
      </c>
      <c r="H4468" s="1235"/>
    </row>
    <row r="4469" spans="1:8" hidden="1">
      <c r="A4469" s="495" t="s">
        <v>5058</v>
      </c>
      <c r="B4469" s="399" t="s">
        <v>1765</v>
      </c>
      <c r="C4469" s="399" t="s">
        <v>184</v>
      </c>
      <c r="D4469" s="399">
        <v>4637</v>
      </c>
      <c r="E4469" s="312" t="s">
        <v>5676</v>
      </c>
      <c r="F4469" s="399" t="s">
        <v>3682</v>
      </c>
      <c r="G4469" s="399" t="s">
        <v>2221</v>
      </c>
      <c r="H4469" s="1235"/>
    </row>
    <row r="4470" spans="1:8" hidden="1">
      <c r="A4470" s="495" t="s">
        <v>5058</v>
      </c>
      <c r="B4470" s="399" t="s">
        <v>1765</v>
      </c>
      <c r="C4470" s="399" t="s">
        <v>184</v>
      </c>
      <c r="D4470" s="399">
        <v>4638</v>
      </c>
      <c r="E4470" s="312" t="s">
        <v>5677</v>
      </c>
      <c r="F4470" s="399" t="s">
        <v>3684</v>
      </c>
      <c r="G4470" s="399" t="s">
        <v>2221</v>
      </c>
      <c r="H4470" s="1235"/>
    </row>
    <row r="4471" spans="1:8" hidden="1">
      <c r="A4471" s="495" t="s">
        <v>5058</v>
      </c>
      <c r="B4471" s="399" t="s">
        <v>1765</v>
      </c>
      <c r="C4471" s="399" t="s">
        <v>184</v>
      </c>
      <c r="D4471" s="399">
        <v>4639</v>
      </c>
      <c r="E4471" s="312" t="s">
        <v>5678</v>
      </c>
      <c r="F4471" s="399" t="s">
        <v>3686</v>
      </c>
      <c r="G4471" s="399" t="s">
        <v>2221</v>
      </c>
      <c r="H4471" s="1235"/>
    </row>
    <row r="4472" spans="1:8" hidden="1">
      <c r="A4472" s="495" t="s">
        <v>5058</v>
      </c>
      <c r="B4472" s="399" t="s">
        <v>1765</v>
      </c>
      <c r="C4472" s="399" t="s">
        <v>184</v>
      </c>
      <c r="D4472" s="399">
        <v>4640</v>
      </c>
      <c r="E4472" s="312" t="s">
        <v>5679</v>
      </c>
      <c r="F4472" s="399" t="s">
        <v>3688</v>
      </c>
      <c r="G4472" s="399" t="s">
        <v>2221</v>
      </c>
      <c r="H4472" s="1235"/>
    </row>
    <row r="4473" spans="1:8" hidden="1">
      <c r="A4473" s="495" t="s">
        <v>5058</v>
      </c>
      <c r="B4473" s="399" t="s">
        <v>1765</v>
      </c>
      <c r="C4473" s="399" t="s">
        <v>184</v>
      </c>
      <c r="D4473" s="399">
        <v>4641</v>
      </c>
      <c r="E4473" s="312" t="s">
        <v>5680</v>
      </c>
      <c r="F4473" s="399" t="s">
        <v>3690</v>
      </c>
      <c r="G4473" s="399" t="s">
        <v>2221</v>
      </c>
      <c r="H4473" s="1235"/>
    </row>
    <row r="4474" spans="1:8" hidden="1">
      <c r="A4474" s="495" t="s">
        <v>5058</v>
      </c>
      <c r="B4474" s="399" t="s">
        <v>1765</v>
      </c>
      <c r="C4474" s="399" t="s">
        <v>184</v>
      </c>
      <c r="D4474" s="399">
        <v>4642</v>
      </c>
      <c r="E4474" s="312" t="s">
        <v>5681</v>
      </c>
      <c r="F4474" s="399" t="s">
        <v>3692</v>
      </c>
      <c r="G4474" s="399" t="s">
        <v>2221</v>
      </c>
      <c r="H4474" s="1235"/>
    </row>
    <row r="4475" spans="1:8" hidden="1">
      <c r="A4475" s="495" t="s">
        <v>5058</v>
      </c>
      <c r="B4475" s="399" t="s">
        <v>1765</v>
      </c>
      <c r="C4475" s="399" t="s">
        <v>184</v>
      </c>
      <c r="D4475" s="399">
        <v>4643</v>
      </c>
      <c r="E4475" s="312" t="s">
        <v>5682</v>
      </c>
      <c r="F4475" s="399" t="s">
        <v>3694</v>
      </c>
      <c r="G4475" s="399" t="s">
        <v>2221</v>
      </c>
      <c r="H4475" s="1235"/>
    </row>
    <row r="4476" spans="1:8" hidden="1">
      <c r="A4476" s="495" t="s">
        <v>5058</v>
      </c>
      <c r="B4476" s="399" t="s">
        <v>1765</v>
      </c>
      <c r="C4476" s="399" t="s">
        <v>184</v>
      </c>
      <c r="D4476" s="399">
        <v>4644</v>
      </c>
      <c r="E4476" s="312" t="s">
        <v>5683</v>
      </c>
      <c r="F4476" s="399" t="s">
        <v>3696</v>
      </c>
      <c r="G4476" s="399" t="s">
        <v>2221</v>
      </c>
      <c r="H4476" s="1235"/>
    </row>
    <row r="4477" spans="1:8" hidden="1">
      <c r="A4477" s="495" t="s">
        <v>5058</v>
      </c>
      <c r="B4477" s="399" t="s">
        <v>1765</v>
      </c>
      <c r="C4477" s="399" t="s">
        <v>184</v>
      </c>
      <c r="D4477" s="399">
        <v>4645</v>
      </c>
      <c r="E4477" s="312" t="s">
        <v>5684</v>
      </c>
      <c r="F4477" s="399" t="s">
        <v>3698</v>
      </c>
      <c r="G4477" s="399" t="s">
        <v>2221</v>
      </c>
      <c r="H4477" s="1235"/>
    </row>
    <row r="4478" spans="1:8" hidden="1">
      <c r="A4478" s="495" t="s">
        <v>5058</v>
      </c>
      <c r="B4478" s="399" t="s">
        <v>1765</v>
      </c>
      <c r="C4478" s="399" t="s">
        <v>184</v>
      </c>
      <c r="D4478" s="399">
        <v>4646</v>
      </c>
      <c r="E4478" s="312" t="s">
        <v>5685</v>
      </c>
      <c r="F4478" s="399" t="s">
        <v>3700</v>
      </c>
      <c r="G4478" s="399" t="s">
        <v>2221</v>
      </c>
      <c r="H4478" s="1235"/>
    </row>
    <row r="4479" spans="1:8" hidden="1">
      <c r="A4479" s="495" t="s">
        <v>5058</v>
      </c>
      <c r="B4479" s="399" t="s">
        <v>1765</v>
      </c>
      <c r="C4479" s="399" t="s">
        <v>184</v>
      </c>
      <c r="D4479" s="399">
        <v>4647</v>
      </c>
      <c r="E4479" s="312" t="s">
        <v>5686</v>
      </c>
      <c r="F4479" s="399" t="s">
        <v>3702</v>
      </c>
      <c r="G4479" s="399" t="s">
        <v>2221</v>
      </c>
      <c r="H4479" s="1235"/>
    </row>
    <row r="4480" spans="1:8" hidden="1">
      <c r="A4480" s="495" t="s">
        <v>5058</v>
      </c>
      <c r="B4480" s="399" t="s">
        <v>1765</v>
      </c>
      <c r="C4480" s="399" t="s">
        <v>184</v>
      </c>
      <c r="D4480" s="399">
        <v>4648</v>
      </c>
      <c r="E4480" s="312" t="s">
        <v>5687</v>
      </c>
      <c r="F4480" s="399" t="s">
        <v>3704</v>
      </c>
      <c r="G4480" s="399" t="s">
        <v>2221</v>
      </c>
      <c r="H4480" s="1235"/>
    </row>
    <row r="4481" spans="1:8" hidden="1">
      <c r="A4481" s="495" t="s">
        <v>5058</v>
      </c>
      <c r="B4481" s="399" t="s">
        <v>1765</v>
      </c>
      <c r="C4481" s="399" t="s">
        <v>184</v>
      </c>
      <c r="D4481" s="399">
        <v>4649</v>
      </c>
      <c r="E4481" s="312" t="s">
        <v>5688</v>
      </c>
      <c r="F4481" s="399" t="s">
        <v>3706</v>
      </c>
      <c r="G4481" s="399" t="s">
        <v>2221</v>
      </c>
      <c r="H4481" s="1235"/>
    </row>
    <row r="4482" spans="1:8" hidden="1">
      <c r="A4482" s="495" t="s">
        <v>5058</v>
      </c>
      <c r="B4482" s="399" t="s">
        <v>1765</v>
      </c>
      <c r="C4482" s="399" t="s">
        <v>184</v>
      </c>
      <c r="D4482" s="399">
        <v>4650</v>
      </c>
      <c r="E4482" s="312" t="s">
        <v>5689</v>
      </c>
      <c r="F4482" s="399" t="s">
        <v>3708</v>
      </c>
      <c r="G4482" s="399" t="s">
        <v>2221</v>
      </c>
      <c r="H4482" s="1235"/>
    </row>
    <row r="4483" spans="1:8" hidden="1">
      <c r="A4483" s="495" t="s">
        <v>5058</v>
      </c>
      <c r="B4483" s="399" t="s">
        <v>1765</v>
      </c>
      <c r="C4483" s="399" t="s">
        <v>184</v>
      </c>
      <c r="D4483" s="399">
        <v>4651</v>
      </c>
      <c r="E4483" s="312" t="s">
        <v>5690</v>
      </c>
      <c r="F4483" s="399" t="s">
        <v>3710</v>
      </c>
      <c r="G4483" s="399" t="s">
        <v>2221</v>
      </c>
      <c r="H4483" s="1235"/>
    </row>
    <row r="4484" spans="1:8" hidden="1">
      <c r="A4484" s="495" t="s">
        <v>5058</v>
      </c>
      <c r="B4484" s="399" t="s">
        <v>1765</v>
      </c>
      <c r="C4484" s="399" t="s">
        <v>184</v>
      </c>
      <c r="D4484" s="399">
        <v>4652</v>
      </c>
      <c r="E4484" s="312" t="s">
        <v>5691</v>
      </c>
      <c r="F4484" s="399" t="s">
        <v>3712</v>
      </c>
      <c r="G4484" s="399" t="s">
        <v>2221</v>
      </c>
      <c r="H4484" s="1235"/>
    </row>
    <row r="4485" spans="1:8" hidden="1">
      <c r="A4485" s="495" t="s">
        <v>5058</v>
      </c>
      <c r="B4485" s="399" t="s">
        <v>1765</v>
      </c>
      <c r="C4485" s="399" t="s">
        <v>184</v>
      </c>
      <c r="D4485" s="399">
        <v>4660</v>
      </c>
      <c r="E4485" s="312" t="s">
        <v>5692</v>
      </c>
      <c r="F4485" s="399" t="s">
        <v>3714</v>
      </c>
      <c r="G4485" s="399" t="s">
        <v>2221</v>
      </c>
      <c r="H4485" s="1235"/>
    </row>
    <row r="4486" spans="1:8" hidden="1">
      <c r="A4486" s="495" t="s">
        <v>5058</v>
      </c>
      <c r="B4486" s="399" t="s">
        <v>1765</v>
      </c>
      <c r="C4486" s="399" t="s">
        <v>184</v>
      </c>
      <c r="D4486" s="399">
        <v>4661</v>
      </c>
      <c r="E4486" s="312" t="s">
        <v>5693</v>
      </c>
      <c r="F4486" s="399" t="s">
        <v>3716</v>
      </c>
      <c r="G4486" s="399" t="s">
        <v>2221</v>
      </c>
      <c r="H4486" s="1235"/>
    </row>
    <row r="4487" spans="1:8" hidden="1">
      <c r="A4487" s="495" t="s">
        <v>5058</v>
      </c>
      <c r="B4487" s="399" t="s">
        <v>1765</v>
      </c>
      <c r="C4487" s="399" t="s">
        <v>184</v>
      </c>
      <c r="D4487" s="399">
        <v>4662</v>
      </c>
      <c r="E4487" s="312" t="s">
        <v>5694</v>
      </c>
      <c r="F4487" s="399" t="s">
        <v>3718</v>
      </c>
      <c r="G4487" s="399" t="s">
        <v>2221</v>
      </c>
      <c r="H4487" s="1235"/>
    </row>
    <row r="4488" spans="1:8" hidden="1">
      <c r="A4488" s="495" t="s">
        <v>5058</v>
      </c>
      <c r="B4488" s="399" t="s">
        <v>1765</v>
      </c>
      <c r="C4488" s="399" t="s">
        <v>184</v>
      </c>
      <c r="D4488" s="399">
        <v>4663</v>
      </c>
      <c r="E4488" s="312" t="s">
        <v>5695</v>
      </c>
      <c r="F4488" s="399" t="s">
        <v>3720</v>
      </c>
      <c r="G4488" s="399" t="s">
        <v>2221</v>
      </c>
      <c r="H4488" s="1235"/>
    </row>
    <row r="4489" spans="1:8" hidden="1">
      <c r="A4489" s="495" t="s">
        <v>5058</v>
      </c>
      <c r="B4489" s="399" t="s">
        <v>1765</v>
      </c>
      <c r="C4489" s="399" t="s">
        <v>184</v>
      </c>
      <c r="D4489" s="399">
        <v>4664</v>
      </c>
      <c r="E4489" s="312" t="s">
        <v>5696</v>
      </c>
      <c r="F4489" s="399" t="s">
        <v>3722</v>
      </c>
      <c r="G4489" s="399" t="s">
        <v>2221</v>
      </c>
      <c r="H4489" s="1235"/>
    </row>
    <row r="4490" spans="1:8" hidden="1">
      <c r="A4490" s="495" t="s">
        <v>5058</v>
      </c>
      <c r="B4490" s="399" t="s">
        <v>1765</v>
      </c>
      <c r="C4490" s="399" t="s">
        <v>184</v>
      </c>
      <c r="D4490" s="399">
        <v>4665</v>
      </c>
      <c r="E4490" s="312" t="s">
        <v>5697</v>
      </c>
      <c r="F4490" s="399" t="s">
        <v>3724</v>
      </c>
      <c r="G4490" s="399" t="s">
        <v>2221</v>
      </c>
      <c r="H4490" s="1235"/>
    </row>
    <row r="4491" spans="1:8" hidden="1">
      <c r="A4491" s="495" t="s">
        <v>5058</v>
      </c>
      <c r="B4491" s="399" t="s">
        <v>1765</v>
      </c>
      <c r="C4491" s="399" t="s">
        <v>184</v>
      </c>
      <c r="D4491" s="399">
        <v>4666</v>
      </c>
      <c r="E4491" s="312" t="s">
        <v>5698</v>
      </c>
      <c r="F4491" s="399" t="s">
        <v>3726</v>
      </c>
      <c r="G4491" s="399" t="s">
        <v>2221</v>
      </c>
      <c r="H4491" s="1235"/>
    </row>
    <row r="4492" spans="1:8" hidden="1">
      <c r="A4492" s="495" t="s">
        <v>5058</v>
      </c>
      <c r="B4492" s="399" t="s">
        <v>1765</v>
      </c>
      <c r="C4492" s="399" t="s">
        <v>184</v>
      </c>
      <c r="D4492" s="399">
        <v>4669</v>
      </c>
      <c r="E4492" s="312" t="s">
        <v>5699</v>
      </c>
      <c r="F4492" s="399" t="s">
        <v>3728</v>
      </c>
      <c r="G4492" s="399" t="s">
        <v>2221</v>
      </c>
      <c r="H4492" s="1235"/>
    </row>
    <row r="4493" spans="1:8" hidden="1">
      <c r="A4493" s="495" t="s">
        <v>5058</v>
      </c>
      <c r="B4493" s="399" t="s">
        <v>1765</v>
      </c>
      <c r="C4493" s="399" t="s">
        <v>184</v>
      </c>
      <c r="D4493" s="399">
        <v>4670</v>
      </c>
      <c r="E4493" s="312" t="s">
        <v>5700</v>
      </c>
      <c r="F4493" s="399" t="s">
        <v>3730</v>
      </c>
      <c r="G4493" s="399" t="s">
        <v>2221</v>
      </c>
      <c r="H4493" s="1235"/>
    </row>
    <row r="4494" spans="1:8" hidden="1">
      <c r="A4494" s="495" t="s">
        <v>5058</v>
      </c>
      <c r="B4494" s="399" t="s">
        <v>1765</v>
      </c>
      <c r="C4494" s="399" t="s">
        <v>184</v>
      </c>
      <c r="D4494" s="399">
        <v>4671</v>
      </c>
      <c r="E4494" s="312" t="s">
        <v>5701</v>
      </c>
      <c r="F4494" s="399" t="s">
        <v>3732</v>
      </c>
      <c r="G4494" s="399" t="s">
        <v>2221</v>
      </c>
      <c r="H4494" s="1235"/>
    </row>
    <row r="4495" spans="1:8" hidden="1">
      <c r="A4495" s="495" t="s">
        <v>5058</v>
      </c>
      <c r="B4495" s="399" t="s">
        <v>1765</v>
      </c>
      <c r="C4495" s="399" t="s">
        <v>184</v>
      </c>
      <c r="D4495" s="399">
        <v>4672</v>
      </c>
      <c r="E4495" s="312" t="s">
        <v>5702</v>
      </c>
      <c r="F4495" s="399" t="s">
        <v>3734</v>
      </c>
      <c r="G4495" s="399" t="s">
        <v>2221</v>
      </c>
      <c r="H4495" s="1235"/>
    </row>
    <row r="4496" spans="1:8" hidden="1">
      <c r="A4496" s="495" t="s">
        <v>5058</v>
      </c>
      <c r="B4496" s="399" t="s">
        <v>1765</v>
      </c>
      <c r="C4496" s="399" t="s">
        <v>184</v>
      </c>
      <c r="D4496" s="399">
        <v>4673</v>
      </c>
      <c r="E4496" s="312" t="s">
        <v>5703</v>
      </c>
      <c r="F4496" s="399" t="s">
        <v>3736</v>
      </c>
      <c r="G4496" s="399" t="s">
        <v>2221</v>
      </c>
      <c r="H4496" s="1235"/>
    </row>
    <row r="4497" spans="1:8" hidden="1">
      <c r="A4497" s="495" t="s">
        <v>5058</v>
      </c>
      <c r="B4497" s="399" t="s">
        <v>1765</v>
      </c>
      <c r="C4497" s="399" t="s">
        <v>184</v>
      </c>
      <c r="D4497" s="399">
        <v>4674</v>
      </c>
      <c r="E4497" s="312" t="s">
        <v>5704</v>
      </c>
      <c r="F4497" s="399" t="s">
        <v>3738</v>
      </c>
      <c r="G4497" s="399" t="s">
        <v>2221</v>
      </c>
      <c r="H4497" s="1235"/>
    </row>
    <row r="4498" spans="1:8" hidden="1">
      <c r="A4498" s="495" t="s">
        <v>5058</v>
      </c>
      <c r="B4498" s="399" t="s">
        <v>1765</v>
      </c>
      <c r="C4498" s="399" t="s">
        <v>184</v>
      </c>
      <c r="D4498" s="399">
        <v>4675</v>
      </c>
      <c r="E4498" s="312" t="s">
        <v>5705</v>
      </c>
      <c r="F4498" s="399" t="s">
        <v>3740</v>
      </c>
      <c r="G4498" s="399" t="s">
        <v>2221</v>
      </c>
      <c r="H4498" s="1235"/>
    </row>
    <row r="4499" spans="1:8" hidden="1">
      <c r="A4499" s="495" t="s">
        <v>5058</v>
      </c>
      <c r="B4499" s="399" t="s">
        <v>1765</v>
      </c>
      <c r="C4499" s="399" t="s">
        <v>184</v>
      </c>
      <c r="D4499" s="399">
        <v>4676</v>
      </c>
      <c r="E4499" s="312" t="s">
        <v>5706</v>
      </c>
      <c r="F4499" s="399" t="s">
        <v>3742</v>
      </c>
      <c r="G4499" s="399" t="s">
        <v>2221</v>
      </c>
      <c r="H4499" s="1235"/>
    </row>
    <row r="4500" spans="1:8" hidden="1">
      <c r="A4500" s="495" t="s">
        <v>5058</v>
      </c>
      <c r="B4500" s="399" t="s">
        <v>1765</v>
      </c>
      <c r="C4500" s="399" t="s">
        <v>184</v>
      </c>
      <c r="D4500" s="399">
        <v>4677</v>
      </c>
      <c r="E4500" s="312" t="s">
        <v>5707</v>
      </c>
      <c r="F4500" s="399" t="s">
        <v>3744</v>
      </c>
      <c r="G4500" s="399" t="s">
        <v>2221</v>
      </c>
      <c r="H4500" s="1235"/>
    </row>
    <row r="4501" spans="1:8" hidden="1">
      <c r="A4501" s="495" t="s">
        <v>5058</v>
      </c>
      <c r="B4501" s="399" t="s">
        <v>1765</v>
      </c>
      <c r="C4501" s="399" t="s">
        <v>184</v>
      </c>
      <c r="D4501" s="399">
        <v>4690</v>
      </c>
      <c r="E4501" s="312" t="s">
        <v>5708</v>
      </c>
      <c r="F4501" s="399" t="s">
        <v>3746</v>
      </c>
      <c r="G4501" s="399" t="s">
        <v>2221</v>
      </c>
      <c r="H4501" s="1235"/>
    </row>
    <row r="4502" spans="1:8" hidden="1">
      <c r="A4502" s="495" t="s">
        <v>5058</v>
      </c>
      <c r="B4502" s="399" t="s">
        <v>1765</v>
      </c>
      <c r="C4502" s="399" t="s">
        <v>184</v>
      </c>
      <c r="D4502" s="399">
        <v>4700</v>
      </c>
      <c r="E4502" s="312" t="s">
        <v>5709</v>
      </c>
      <c r="F4502" s="399" t="s">
        <v>3747</v>
      </c>
      <c r="G4502" s="399" t="s">
        <v>2221</v>
      </c>
      <c r="H4502" s="1235"/>
    </row>
    <row r="4503" spans="1:8" hidden="1">
      <c r="A4503" s="495" t="s">
        <v>5058</v>
      </c>
      <c r="B4503" s="399" t="s">
        <v>1765</v>
      </c>
      <c r="C4503" s="399" t="s">
        <v>184</v>
      </c>
      <c r="D4503" s="399">
        <v>4710</v>
      </c>
      <c r="E4503" s="312" t="s">
        <v>5710</v>
      </c>
      <c r="F4503" s="399" t="s">
        <v>3749</v>
      </c>
      <c r="G4503" s="399" t="s">
        <v>2221</v>
      </c>
      <c r="H4503" s="1235"/>
    </row>
    <row r="4504" spans="1:8" hidden="1">
      <c r="A4504" s="495" t="s">
        <v>5058</v>
      </c>
      <c r="B4504" s="399" t="s">
        <v>1765</v>
      </c>
      <c r="C4504" s="399" t="s">
        <v>184</v>
      </c>
      <c r="D4504" s="399">
        <v>4711</v>
      </c>
      <c r="E4504" s="312" t="s">
        <v>5711</v>
      </c>
      <c r="F4504" s="399" t="s">
        <v>3751</v>
      </c>
      <c r="G4504" s="399" t="s">
        <v>2221</v>
      </c>
      <c r="H4504" s="1235"/>
    </row>
    <row r="4505" spans="1:8" hidden="1">
      <c r="A4505" s="495" t="s">
        <v>5058</v>
      </c>
      <c r="B4505" s="399" t="s">
        <v>1765</v>
      </c>
      <c r="C4505" s="399" t="s">
        <v>184</v>
      </c>
      <c r="D4505" s="399">
        <v>4719</v>
      </c>
      <c r="E4505" s="312" t="s">
        <v>5712</v>
      </c>
      <c r="F4505" s="399" t="s">
        <v>3753</v>
      </c>
      <c r="G4505" s="399" t="s">
        <v>2221</v>
      </c>
      <c r="H4505" s="1235"/>
    </row>
    <row r="4506" spans="1:8" hidden="1">
      <c r="A4506" s="495" t="s">
        <v>5058</v>
      </c>
      <c r="B4506" s="399" t="s">
        <v>1765</v>
      </c>
      <c r="C4506" s="399" t="s">
        <v>184</v>
      </c>
      <c r="D4506" s="399">
        <v>4720</v>
      </c>
      <c r="E4506" s="312" t="s">
        <v>5713</v>
      </c>
      <c r="F4506" s="399" t="s">
        <v>3755</v>
      </c>
      <c r="G4506" s="399" t="s">
        <v>2221</v>
      </c>
      <c r="H4506" s="1235"/>
    </row>
    <row r="4507" spans="1:8" hidden="1">
      <c r="A4507" s="495" t="s">
        <v>5058</v>
      </c>
      <c r="B4507" s="399" t="s">
        <v>1765</v>
      </c>
      <c r="C4507" s="399" t="s">
        <v>184</v>
      </c>
      <c r="D4507" s="399">
        <v>4721</v>
      </c>
      <c r="E4507" s="312" t="s">
        <v>5714</v>
      </c>
      <c r="F4507" s="399" t="s">
        <v>3757</v>
      </c>
      <c r="G4507" s="399" t="s">
        <v>2221</v>
      </c>
      <c r="H4507" s="1235"/>
    </row>
    <row r="4508" spans="1:8" hidden="1">
      <c r="A4508" s="495" t="s">
        <v>5058</v>
      </c>
      <c r="B4508" s="399" t="s">
        <v>1765</v>
      </c>
      <c r="C4508" s="399" t="s">
        <v>184</v>
      </c>
      <c r="D4508" s="399">
        <v>4722</v>
      </c>
      <c r="E4508" s="312" t="s">
        <v>5715</v>
      </c>
      <c r="F4508" s="399" t="s">
        <v>3759</v>
      </c>
      <c r="G4508" s="399" t="s">
        <v>2221</v>
      </c>
      <c r="H4508" s="1235"/>
    </row>
    <row r="4509" spans="1:8" hidden="1">
      <c r="A4509" s="495" t="s">
        <v>5058</v>
      </c>
      <c r="B4509" s="399" t="s">
        <v>1765</v>
      </c>
      <c r="C4509" s="399" t="s">
        <v>184</v>
      </c>
      <c r="D4509" s="399">
        <v>4723</v>
      </c>
      <c r="E4509" s="312" t="s">
        <v>5716</v>
      </c>
      <c r="F4509" s="399" t="s">
        <v>3761</v>
      </c>
      <c r="G4509" s="399" t="s">
        <v>2221</v>
      </c>
      <c r="H4509" s="1235"/>
    </row>
    <row r="4510" spans="1:8" hidden="1">
      <c r="A4510" s="495" t="s">
        <v>5058</v>
      </c>
      <c r="B4510" s="399" t="s">
        <v>1765</v>
      </c>
      <c r="C4510" s="399" t="s">
        <v>184</v>
      </c>
      <c r="D4510" s="399">
        <v>4724</v>
      </c>
      <c r="E4510" s="312" t="s">
        <v>5717</v>
      </c>
      <c r="F4510" s="399" t="s">
        <v>3763</v>
      </c>
      <c r="G4510" s="399" t="s">
        <v>2221</v>
      </c>
      <c r="H4510" s="1235"/>
    </row>
    <row r="4511" spans="1:8" hidden="1">
      <c r="A4511" s="495" t="s">
        <v>5058</v>
      </c>
      <c r="B4511" s="399" t="s">
        <v>1765</v>
      </c>
      <c r="C4511" s="399" t="s">
        <v>184</v>
      </c>
      <c r="D4511" s="399">
        <v>4725</v>
      </c>
      <c r="E4511" s="312" t="s">
        <v>5718</v>
      </c>
      <c r="F4511" s="399" t="s">
        <v>3765</v>
      </c>
      <c r="G4511" s="399" t="s">
        <v>2221</v>
      </c>
      <c r="H4511" s="1235"/>
    </row>
    <row r="4512" spans="1:8" hidden="1">
      <c r="A4512" s="495" t="s">
        <v>5058</v>
      </c>
      <c r="B4512" s="399" t="s">
        <v>1765</v>
      </c>
      <c r="C4512" s="399" t="s">
        <v>184</v>
      </c>
      <c r="D4512" s="399">
        <v>4726</v>
      </c>
      <c r="E4512" s="312" t="s">
        <v>5719</v>
      </c>
      <c r="F4512" s="399" t="s">
        <v>3767</v>
      </c>
      <c r="G4512" s="399" t="s">
        <v>2221</v>
      </c>
      <c r="H4512" s="1235"/>
    </row>
    <row r="4513" spans="1:8" hidden="1">
      <c r="A4513" s="495" t="s">
        <v>5058</v>
      </c>
      <c r="B4513" s="399" t="s">
        <v>1765</v>
      </c>
      <c r="C4513" s="399" t="s">
        <v>184</v>
      </c>
      <c r="D4513" s="399">
        <v>4729</v>
      </c>
      <c r="E4513" s="312" t="s">
        <v>5720</v>
      </c>
      <c r="F4513" s="399" t="s">
        <v>3769</v>
      </c>
      <c r="G4513" s="399" t="s">
        <v>2221</v>
      </c>
      <c r="H4513" s="1235"/>
    </row>
    <row r="4514" spans="1:8" hidden="1">
      <c r="A4514" s="495" t="s">
        <v>5058</v>
      </c>
      <c r="B4514" s="399" t="s">
        <v>1765</v>
      </c>
      <c r="C4514" s="399" t="s">
        <v>184</v>
      </c>
      <c r="D4514" s="399">
        <v>4730</v>
      </c>
      <c r="E4514" s="312" t="s">
        <v>5721</v>
      </c>
      <c r="F4514" s="399" t="s">
        <v>3771</v>
      </c>
      <c r="G4514" s="399" t="s">
        <v>2221</v>
      </c>
      <c r="H4514" s="1235"/>
    </row>
    <row r="4515" spans="1:8" hidden="1">
      <c r="A4515" s="495" t="s">
        <v>5058</v>
      </c>
      <c r="B4515" s="399" t="s">
        <v>1765</v>
      </c>
      <c r="C4515" s="399" t="s">
        <v>184</v>
      </c>
      <c r="D4515" s="399">
        <v>4740</v>
      </c>
      <c r="E4515" s="312" t="s">
        <v>5722</v>
      </c>
      <c r="F4515" s="399" t="s">
        <v>3773</v>
      </c>
      <c r="G4515" s="399" t="s">
        <v>2221</v>
      </c>
      <c r="H4515" s="1235"/>
    </row>
    <row r="4516" spans="1:8" hidden="1">
      <c r="A4516" s="495" t="s">
        <v>5058</v>
      </c>
      <c r="B4516" s="399" t="s">
        <v>1765</v>
      </c>
      <c r="C4516" s="399" t="s">
        <v>184</v>
      </c>
      <c r="D4516" s="399">
        <v>4741</v>
      </c>
      <c r="E4516" s="312" t="s">
        <v>5723</v>
      </c>
      <c r="F4516" s="399" t="s">
        <v>3775</v>
      </c>
      <c r="G4516" s="399" t="s">
        <v>2221</v>
      </c>
      <c r="H4516" s="1235"/>
    </row>
    <row r="4517" spans="1:8" hidden="1">
      <c r="A4517" s="495" t="s">
        <v>5058</v>
      </c>
      <c r="B4517" s="399" t="s">
        <v>1765</v>
      </c>
      <c r="C4517" s="399" t="s">
        <v>184</v>
      </c>
      <c r="D4517" s="399">
        <v>4742</v>
      </c>
      <c r="E4517" s="312" t="s">
        <v>5724</v>
      </c>
      <c r="F4517" s="399" t="s">
        <v>3777</v>
      </c>
      <c r="G4517" s="399" t="s">
        <v>2221</v>
      </c>
      <c r="H4517" s="1235"/>
    </row>
    <row r="4518" spans="1:8" hidden="1">
      <c r="A4518" s="495" t="s">
        <v>5058</v>
      </c>
      <c r="B4518" s="399" t="s">
        <v>1765</v>
      </c>
      <c r="C4518" s="399" t="s">
        <v>184</v>
      </c>
      <c r="D4518" s="399">
        <v>4743</v>
      </c>
      <c r="E4518" s="312" t="s">
        <v>5725</v>
      </c>
      <c r="F4518" s="399" t="s">
        <v>3779</v>
      </c>
      <c r="G4518" s="399" t="s">
        <v>2221</v>
      </c>
      <c r="H4518" s="1235"/>
    </row>
    <row r="4519" spans="1:8" hidden="1">
      <c r="A4519" s="495" t="s">
        <v>5058</v>
      </c>
      <c r="B4519" s="399" t="s">
        <v>1765</v>
      </c>
      <c r="C4519" s="399" t="s">
        <v>184</v>
      </c>
      <c r="D4519" s="399">
        <v>4750</v>
      </c>
      <c r="E4519" s="312" t="s">
        <v>5726</v>
      </c>
      <c r="F4519" s="399" t="s">
        <v>3781</v>
      </c>
      <c r="G4519" s="399" t="s">
        <v>2221</v>
      </c>
      <c r="H4519" s="1235"/>
    </row>
    <row r="4520" spans="1:8" hidden="1">
      <c r="A4520" s="495" t="s">
        <v>5058</v>
      </c>
      <c r="B4520" s="399" t="s">
        <v>1765</v>
      </c>
      <c r="C4520" s="399" t="s">
        <v>184</v>
      </c>
      <c r="D4520" s="399">
        <v>4751</v>
      </c>
      <c r="E4520" s="312" t="s">
        <v>5727</v>
      </c>
      <c r="F4520" s="399" t="s">
        <v>3783</v>
      </c>
      <c r="G4520" s="399" t="s">
        <v>2221</v>
      </c>
      <c r="H4520" s="1235"/>
    </row>
    <row r="4521" spans="1:8" hidden="1">
      <c r="A4521" s="495" t="s">
        <v>5058</v>
      </c>
      <c r="B4521" s="399" t="s">
        <v>1765</v>
      </c>
      <c r="C4521" s="399" t="s">
        <v>184</v>
      </c>
      <c r="D4521" s="399">
        <v>4752</v>
      </c>
      <c r="E4521" s="312" t="s">
        <v>5728</v>
      </c>
      <c r="F4521" s="399" t="s">
        <v>3785</v>
      </c>
      <c r="G4521" s="399" t="s">
        <v>2221</v>
      </c>
      <c r="H4521" s="1235"/>
    </row>
    <row r="4522" spans="1:8" hidden="1">
      <c r="A4522" s="495" t="s">
        <v>5058</v>
      </c>
      <c r="B4522" s="399" t="s">
        <v>1765</v>
      </c>
      <c r="C4522" s="399" t="s">
        <v>184</v>
      </c>
      <c r="D4522" s="399">
        <v>4753</v>
      </c>
      <c r="E4522" s="312" t="s">
        <v>5729</v>
      </c>
      <c r="F4522" s="399" t="s">
        <v>3787</v>
      </c>
      <c r="G4522" s="399" t="s">
        <v>2221</v>
      </c>
      <c r="H4522" s="1235"/>
    </row>
    <row r="4523" spans="1:8" hidden="1">
      <c r="A4523" s="495" t="s">
        <v>5058</v>
      </c>
      <c r="B4523" s="399" t="s">
        <v>1765</v>
      </c>
      <c r="C4523" s="399" t="s">
        <v>184</v>
      </c>
      <c r="D4523" s="399">
        <v>4754</v>
      </c>
      <c r="E4523" s="312" t="s">
        <v>5730</v>
      </c>
      <c r="F4523" s="399" t="s">
        <v>3789</v>
      </c>
      <c r="G4523" s="399" t="s">
        <v>2221</v>
      </c>
      <c r="H4523" s="1235"/>
    </row>
    <row r="4524" spans="1:8" hidden="1">
      <c r="A4524" s="495" t="s">
        <v>5058</v>
      </c>
      <c r="B4524" s="399" t="s">
        <v>1765</v>
      </c>
      <c r="C4524" s="399" t="s">
        <v>184</v>
      </c>
      <c r="D4524" s="399">
        <v>4759</v>
      </c>
      <c r="E4524" s="312" t="s">
        <v>5731</v>
      </c>
      <c r="F4524" s="399" t="s">
        <v>3791</v>
      </c>
      <c r="G4524" s="399" t="s">
        <v>2221</v>
      </c>
      <c r="H4524" s="1235"/>
    </row>
    <row r="4525" spans="1:8" hidden="1">
      <c r="A4525" s="495" t="s">
        <v>5058</v>
      </c>
      <c r="B4525" s="399" t="s">
        <v>1765</v>
      </c>
      <c r="C4525" s="399" t="s">
        <v>184</v>
      </c>
      <c r="D4525" s="399">
        <v>4760</v>
      </c>
      <c r="E4525" s="312" t="s">
        <v>5732</v>
      </c>
      <c r="F4525" s="399" t="s">
        <v>3793</v>
      </c>
      <c r="G4525" s="399" t="s">
        <v>2221</v>
      </c>
      <c r="H4525" s="1235"/>
    </row>
    <row r="4526" spans="1:8" hidden="1">
      <c r="A4526" s="495" t="s">
        <v>5058</v>
      </c>
      <c r="B4526" s="399" t="s">
        <v>1765</v>
      </c>
      <c r="C4526" s="399" t="s">
        <v>184</v>
      </c>
      <c r="D4526" s="399">
        <v>4761</v>
      </c>
      <c r="E4526" s="312" t="s">
        <v>5733</v>
      </c>
      <c r="F4526" s="399" t="s">
        <v>3795</v>
      </c>
      <c r="G4526" s="399" t="s">
        <v>2221</v>
      </c>
      <c r="H4526" s="1235"/>
    </row>
    <row r="4527" spans="1:8" hidden="1">
      <c r="A4527" s="495" t="s">
        <v>5058</v>
      </c>
      <c r="B4527" s="399" t="s">
        <v>1765</v>
      </c>
      <c r="C4527" s="399" t="s">
        <v>184</v>
      </c>
      <c r="D4527" s="399">
        <v>4762</v>
      </c>
      <c r="E4527" s="312" t="s">
        <v>5734</v>
      </c>
      <c r="F4527" s="399" t="s">
        <v>3797</v>
      </c>
      <c r="G4527" s="399" t="s">
        <v>2221</v>
      </c>
      <c r="H4527" s="1235"/>
    </row>
    <row r="4528" spans="1:8" hidden="1">
      <c r="A4528" s="495" t="s">
        <v>5058</v>
      </c>
      <c r="B4528" s="399" t="s">
        <v>1765</v>
      </c>
      <c r="C4528" s="399" t="s">
        <v>184</v>
      </c>
      <c r="D4528" s="399">
        <v>4763</v>
      </c>
      <c r="E4528" s="312" t="s">
        <v>5735</v>
      </c>
      <c r="F4528" s="399" t="s">
        <v>3799</v>
      </c>
      <c r="G4528" s="399" t="s">
        <v>2221</v>
      </c>
      <c r="H4528" s="1235"/>
    </row>
    <row r="4529" spans="1:8" hidden="1">
      <c r="A4529" s="495" t="s">
        <v>5058</v>
      </c>
      <c r="B4529" s="399" t="s">
        <v>1765</v>
      </c>
      <c r="C4529" s="399" t="s">
        <v>184</v>
      </c>
      <c r="D4529" s="399">
        <v>4764</v>
      </c>
      <c r="E4529" s="312" t="s">
        <v>5736</v>
      </c>
      <c r="F4529" s="399" t="s">
        <v>3801</v>
      </c>
      <c r="G4529" s="399" t="s">
        <v>2221</v>
      </c>
      <c r="H4529" s="1235"/>
    </row>
    <row r="4530" spans="1:8" hidden="1">
      <c r="A4530" s="495" t="s">
        <v>5058</v>
      </c>
      <c r="B4530" s="399" t="s">
        <v>1765</v>
      </c>
      <c r="C4530" s="399" t="s">
        <v>184</v>
      </c>
      <c r="D4530" s="399">
        <v>4765</v>
      </c>
      <c r="E4530" s="312" t="s">
        <v>5737</v>
      </c>
      <c r="F4530" s="399" t="s">
        <v>3803</v>
      </c>
      <c r="G4530" s="399" t="s">
        <v>2221</v>
      </c>
      <c r="H4530" s="1235"/>
    </row>
    <row r="4531" spans="1:8" hidden="1">
      <c r="A4531" s="495" t="s">
        <v>5058</v>
      </c>
      <c r="B4531" s="399" t="s">
        <v>1765</v>
      </c>
      <c r="C4531" s="399" t="s">
        <v>184</v>
      </c>
      <c r="D4531" s="399">
        <v>4770</v>
      </c>
      <c r="E4531" s="312" t="s">
        <v>5738</v>
      </c>
      <c r="F4531" s="399" t="s">
        <v>3805</v>
      </c>
      <c r="G4531" s="399" t="s">
        <v>2221</v>
      </c>
      <c r="H4531" s="1235"/>
    </row>
    <row r="4532" spans="1:8" hidden="1">
      <c r="A4532" s="495" t="s">
        <v>5058</v>
      </c>
      <c r="B4532" s="399" t="s">
        <v>1765</v>
      </c>
      <c r="C4532" s="399" t="s">
        <v>184</v>
      </c>
      <c r="D4532" s="399">
        <v>4771</v>
      </c>
      <c r="E4532" s="312" t="s">
        <v>5739</v>
      </c>
      <c r="F4532" s="399" t="s">
        <v>3807</v>
      </c>
      <c r="G4532" s="399" t="s">
        <v>2221</v>
      </c>
      <c r="H4532" s="1235"/>
    </row>
    <row r="4533" spans="1:8" hidden="1">
      <c r="A4533" s="495" t="s">
        <v>5058</v>
      </c>
      <c r="B4533" s="399" t="s">
        <v>1765</v>
      </c>
      <c r="C4533" s="399" t="s">
        <v>184</v>
      </c>
      <c r="D4533" s="399">
        <v>4772</v>
      </c>
      <c r="E4533" s="312" t="s">
        <v>5740</v>
      </c>
      <c r="F4533" s="399" t="s">
        <v>3809</v>
      </c>
      <c r="G4533" s="399" t="s">
        <v>2221</v>
      </c>
      <c r="H4533" s="1235"/>
    </row>
    <row r="4534" spans="1:8" hidden="1">
      <c r="A4534" s="495" t="s">
        <v>5058</v>
      </c>
      <c r="B4534" s="399" t="s">
        <v>1765</v>
      </c>
      <c r="C4534" s="399" t="s">
        <v>184</v>
      </c>
      <c r="D4534" s="399">
        <v>4773</v>
      </c>
      <c r="E4534" s="312" t="s">
        <v>5741</v>
      </c>
      <c r="F4534" s="399" t="s">
        <v>3811</v>
      </c>
      <c r="G4534" s="399" t="s">
        <v>2221</v>
      </c>
      <c r="H4534" s="1235"/>
    </row>
    <row r="4535" spans="1:8" hidden="1">
      <c r="A4535" s="495" t="s">
        <v>5058</v>
      </c>
      <c r="B4535" s="399" t="s">
        <v>1765</v>
      </c>
      <c r="C4535" s="399" t="s">
        <v>184</v>
      </c>
      <c r="D4535" s="399">
        <v>4774</v>
      </c>
      <c r="E4535" s="312" t="s">
        <v>5742</v>
      </c>
      <c r="F4535" s="399" t="s">
        <v>3813</v>
      </c>
      <c r="G4535" s="399" t="s">
        <v>2221</v>
      </c>
      <c r="H4535" s="1235"/>
    </row>
    <row r="4536" spans="1:8" hidden="1">
      <c r="A4536" s="495" t="s">
        <v>5058</v>
      </c>
      <c r="B4536" s="399" t="s">
        <v>1765</v>
      </c>
      <c r="C4536" s="399" t="s">
        <v>184</v>
      </c>
      <c r="D4536" s="399">
        <v>4775</v>
      </c>
      <c r="E4536" s="312" t="s">
        <v>5743</v>
      </c>
      <c r="F4536" s="399" t="s">
        <v>3815</v>
      </c>
      <c r="G4536" s="399" t="s">
        <v>2221</v>
      </c>
      <c r="H4536" s="1235"/>
    </row>
    <row r="4537" spans="1:8" hidden="1">
      <c r="A4537" s="495" t="s">
        <v>5058</v>
      </c>
      <c r="B4537" s="399" t="s">
        <v>1765</v>
      </c>
      <c r="C4537" s="399" t="s">
        <v>184</v>
      </c>
      <c r="D4537" s="399">
        <v>4776</v>
      </c>
      <c r="E4537" s="312" t="s">
        <v>5744</v>
      </c>
      <c r="F4537" s="399" t="s">
        <v>3817</v>
      </c>
      <c r="G4537" s="399" t="s">
        <v>2221</v>
      </c>
      <c r="H4537" s="1235"/>
    </row>
    <row r="4538" spans="1:8" hidden="1">
      <c r="A4538" s="495" t="s">
        <v>5058</v>
      </c>
      <c r="B4538" s="399" t="s">
        <v>1765</v>
      </c>
      <c r="C4538" s="399" t="s">
        <v>184</v>
      </c>
      <c r="D4538" s="399">
        <v>4777</v>
      </c>
      <c r="E4538" s="312" t="s">
        <v>5745</v>
      </c>
      <c r="F4538" s="399" t="s">
        <v>3819</v>
      </c>
      <c r="G4538" s="399" t="s">
        <v>2221</v>
      </c>
      <c r="H4538" s="1235"/>
    </row>
    <row r="4539" spans="1:8" hidden="1">
      <c r="A4539" s="495" t="s">
        <v>5058</v>
      </c>
      <c r="B4539" s="399" t="s">
        <v>1765</v>
      </c>
      <c r="C4539" s="399" t="s">
        <v>184</v>
      </c>
      <c r="D4539" s="399">
        <v>4778</v>
      </c>
      <c r="E4539" s="312" t="s">
        <v>5746</v>
      </c>
      <c r="F4539" s="399" t="s">
        <v>3821</v>
      </c>
      <c r="G4539" s="399" t="s">
        <v>2221</v>
      </c>
      <c r="H4539" s="1235"/>
    </row>
    <row r="4540" spans="1:8" hidden="1">
      <c r="A4540" s="495" t="s">
        <v>5058</v>
      </c>
      <c r="B4540" s="399" t="s">
        <v>1765</v>
      </c>
      <c r="C4540" s="399" t="s">
        <v>184</v>
      </c>
      <c r="D4540" s="399">
        <v>4779</v>
      </c>
      <c r="E4540" s="312" t="s">
        <v>5747</v>
      </c>
      <c r="F4540" s="399" t="s">
        <v>3823</v>
      </c>
      <c r="G4540" s="399" t="s">
        <v>2221</v>
      </c>
      <c r="H4540" s="1235"/>
    </row>
    <row r="4541" spans="1:8" hidden="1">
      <c r="A4541" s="495" t="s">
        <v>5058</v>
      </c>
      <c r="B4541" s="399" t="s">
        <v>1765</v>
      </c>
      <c r="C4541" s="399" t="s">
        <v>184</v>
      </c>
      <c r="D4541" s="399">
        <v>4780</v>
      </c>
      <c r="E4541" s="312" t="s">
        <v>5748</v>
      </c>
      <c r="F4541" s="399" t="s">
        <v>3825</v>
      </c>
      <c r="G4541" s="399" t="s">
        <v>2221</v>
      </c>
      <c r="H4541" s="1235"/>
    </row>
    <row r="4542" spans="1:8" hidden="1">
      <c r="A4542" s="495" t="s">
        <v>5058</v>
      </c>
      <c r="B4542" s="399" t="s">
        <v>1765</v>
      </c>
      <c r="C4542" s="399" t="s">
        <v>184</v>
      </c>
      <c r="D4542" s="399">
        <v>4781</v>
      </c>
      <c r="E4542" s="312" t="s">
        <v>5749</v>
      </c>
      <c r="F4542" s="399" t="s">
        <v>3827</v>
      </c>
      <c r="G4542" s="399" t="s">
        <v>2221</v>
      </c>
      <c r="H4542" s="1235"/>
    </row>
    <row r="4543" spans="1:8" hidden="1">
      <c r="A4543" s="495" t="s">
        <v>5058</v>
      </c>
      <c r="B4543" s="399" t="s">
        <v>1765</v>
      </c>
      <c r="C4543" s="399" t="s">
        <v>184</v>
      </c>
      <c r="D4543" s="399">
        <v>4782</v>
      </c>
      <c r="E4543" s="312" t="s">
        <v>5750</v>
      </c>
      <c r="F4543" s="399" t="s">
        <v>3829</v>
      </c>
      <c r="G4543" s="399" t="s">
        <v>2221</v>
      </c>
      <c r="H4543" s="1235"/>
    </row>
    <row r="4544" spans="1:8" hidden="1">
      <c r="A4544" s="495" t="s">
        <v>5058</v>
      </c>
      <c r="B4544" s="399" t="s">
        <v>1765</v>
      </c>
      <c r="C4544" s="399" t="s">
        <v>184</v>
      </c>
      <c r="D4544" s="399">
        <v>4789</v>
      </c>
      <c r="E4544" s="312" t="s">
        <v>5751</v>
      </c>
      <c r="F4544" s="399" t="s">
        <v>3831</v>
      </c>
      <c r="G4544" s="399" t="s">
        <v>2221</v>
      </c>
      <c r="H4544" s="1235"/>
    </row>
    <row r="4545" spans="1:8" hidden="1">
      <c r="A4545" s="495" t="s">
        <v>5058</v>
      </c>
      <c r="B4545" s="399" t="s">
        <v>1765</v>
      </c>
      <c r="C4545" s="399" t="s">
        <v>184</v>
      </c>
      <c r="D4545" s="399">
        <v>4790</v>
      </c>
      <c r="E4545" s="312" t="s">
        <v>5752</v>
      </c>
      <c r="F4545" s="399" t="s">
        <v>3833</v>
      </c>
      <c r="G4545" s="399" t="s">
        <v>2221</v>
      </c>
      <c r="H4545" s="1235"/>
    </row>
    <row r="4546" spans="1:8" hidden="1">
      <c r="A4546" s="495" t="s">
        <v>5058</v>
      </c>
      <c r="B4546" s="399" t="s">
        <v>1765</v>
      </c>
      <c r="C4546" s="399" t="s">
        <v>184</v>
      </c>
      <c r="D4546" s="399">
        <v>4791</v>
      </c>
      <c r="E4546" s="312" t="s">
        <v>5753</v>
      </c>
      <c r="F4546" s="399" t="s">
        <v>3835</v>
      </c>
      <c r="G4546" s="399" t="s">
        <v>2221</v>
      </c>
      <c r="H4546" s="1235"/>
    </row>
    <row r="4547" spans="1:8" hidden="1">
      <c r="A4547" s="495" t="s">
        <v>5058</v>
      </c>
      <c r="B4547" s="399" t="s">
        <v>1765</v>
      </c>
      <c r="C4547" s="399" t="s">
        <v>184</v>
      </c>
      <c r="D4547" s="399">
        <v>4799</v>
      </c>
      <c r="E4547" s="312" t="s">
        <v>5754</v>
      </c>
      <c r="F4547" s="399" t="s">
        <v>3837</v>
      </c>
      <c r="G4547" s="399" t="s">
        <v>2221</v>
      </c>
      <c r="H4547" s="1235"/>
    </row>
    <row r="4548" spans="1:8" hidden="1">
      <c r="A4548" s="495" t="s">
        <v>5058</v>
      </c>
      <c r="B4548" s="399" t="s">
        <v>1765</v>
      </c>
      <c r="C4548" s="399" t="s">
        <v>184</v>
      </c>
      <c r="D4548" s="399">
        <v>4900</v>
      </c>
      <c r="E4548" s="312" t="s">
        <v>5755</v>
      </c>
      <c r="F4548" s="399" t="s">
        <v>3838</v>
      </c>
      <c r="G4548" s="399" t="s">
        <v>2221</v>
      </c>
      <c r="H4548" s="1235"/>
    </row>
    <row r="4549" spans="1:8" hidden="1">
      <c r="A4549" s="495" t="s">
        <v>5058</v>
      </c>
      <c r="B4549" s="399" t="s">
        <v>1765</v>
      </c>
      <c r="C4549" s="399" t="s">
        <v>184</v>
      </c>
      <c r="D4549" s="399">
        <v>4910</v>
      </c>
      <c r="E4549" s="312" t="s">
        <v>5756</v>
      </c>
      <c r="F4549" s="399" t="s">
        <v>3840</v>
      </c>
      <c r="G4549" s="399" t="s">
        <v>2221</v>
      </c>
      <c r="H4549" s="1235"/>
    </row>
    <row r="4550" spans="1:8" hidden="1">
      <c r="A4550" s="495" t="s">
        <v>5058</v>
      </c>
      <c r="B4550" s="399" t="s">
        <v>1765</v>
      </c>
      <c r="C4550" s="399" t="s">
        <v>184</v>
      </c>
      <c r="D4550" s="399">
        <v>4920</v>
      </c>
      <c r="E4550" s="312" t="s">
        <v>5757</v>
      </c>
      <c r="F4550" s="399" t="s">
        <v>3842</v>
      </c>
      <c r="G4550" s="399" t="s">
        <v>2221</v>
      </c>
      <c r="H4550" s="1235"/>
    </row>
    <row r="4551" spans="1:8" hidden="1">
      <c r="A4551" s="495" t="s">
        <v>5058</v>
      </c>
      <c r="B4551" s="399" t="s">
        <v>1765</v>
      </c>
      <c r="C4551" s="399" t="s">
        <v>184</v>
      </c>
      <c r="D4551" s="399">
        <v>4930</v>
      </c>
      <c r="E4551" s="312" t="s">
        <v>5758</v>
      </c>
      <c r="F4551" s="399" t="s">
        <v>3844</v>
      </c>
      <c r="G4551" s="399" t="s">
        <v>2221</v>
      </c>
      <c r="H4551" s="1235"/>
    </row>
    <row r="4552" spans="1:8" hidden="1">
      <c r="A4552" s="495" t="s">
        <v>5058</v>
      </c>
      <c r="B4552" s="399" t="s">
        <v>1765</v>
      </c>
      <c r="C4552" s="399" t="s">
        <v>184</v>
      </c>
      <c r="D4552" s="399">
        <v>4931</v>
      </c>
      <c r="E4552" s="312" t="s">
        <v>5759</v>
      </c>
      <c r="F4552" s="399" t="s">
        <v>3846</v>
      </c>
      <c r="G4552" s="399" t="s">
        <v>2221</v>
      </c>
      <c r="H4552" s="1235"/>
    </row>
    <row r="4553" spans="1:8" hidden="1">
      <c r="A4553" s="495" t="s">
        <v>5058</v>
      </c>
      <c r="B4553" s="399" t="s">
        <v>1765</v>
      </c>
      <c r="C4553" s="399" t="s">
        <v>184</v>
      </c>
      <c r="D4553" s="399">
        <v>4932</v>
      </c>
      <c r="E4553" s="312" t="s">
        <v>5760</v>
      </c>
      <c r="F4553" s="399" t="s">
        <v>3848</v>
      </c>
      <c r="G4553" s="399" t="s">
        <v>2221</v>
      </c>
      <c r="H4553" s="1235"/>
    </row>
    <row r="4554" spans="1:8" hidden="1">
      <c r="A4554" s="495" t="s">
        <v>5058</v>
      </c>
      <c r="B4554" s="399" t="s">
        <v>1765</v>
      </c>
      <c r="C4554" s="399" t="s">
        <v>184</v>
      </c>
      <c r="D4554" s="399">
        <v>4939</v>
      </c>
      <c r="E4554" s="312" t="s">
        <v>5761</v>
      </c>
      <c r="F4554" s="399" t="s">
        <v>3850</v>
      </c>
      <c r="G4554" s="399" t="s">
        <v>2221</v>
      </c>
      <c r="H4554" s="1235"/>
    </row>
    <row r="4555" spans="1:8" hidden="1">
      <c r="A4555" s="495" t="s">
        <v>5058</v>
      </c>
      <c r="B4555" s="399" t="s">
        <v>1765</v>
      </c>
      <c r="C4555" s="399" t="s">
        <v>184</v>
      </c>
      <c r="D4555" s="399">
        <v>4940</v>
      </c>
      <c r="E4555" s="312" t="s">
        <v>5762</v>
      </c>
      <c r="F4555" s="399" t="s">
        <v>3852</v>
      </c>
      <c r="G4555" s="399" t="s">
        <v>2221</v>
      </c>
      <c r="H4555" s="1235"/>
    </row>
    <row r="4556" spans="1:8" hidden="1">
      <c r="A4556" s="495" t="s">
        <v>5058</v>
      </c>
      <c r="B4556" s="399" t="s">
        <v>1765</v>
      </c>
      <c r="C4556" s="399" t="s">
        <v>184</v>
      </c>
      <c r="D4556" s="399">
        <v>4941</v>
      </c>
      <c r="E4556" s="312" t="s">
        <v>5763</v>
      </c>
      <c r="F4556" s="399" t="s">
        <v>3854</v>
      </c>
      <c r="G4556" s="399" t="s">
        <v>2221</v>
      </c>
      <c r="H4556" s="1235"/>
    </row>
    <row r="4557" spans="1:8" hidden="1">
      <c r="A4557" s="495" t="s">
        <v>5058</v>
      </c>
      <c r="B4557" s="399" t="s">
        <v>1765</v>
      </c>
      <c r="C4557" s="399" t="s">
        <v>184</v>
      </c>
      <c r="D4557" s="399">
        <v>4942</v>
      </c>
      <c r="E4557" s="312" t="s">
        <v>5764</v>
      </c>
      <c r="F4557" s="399" t="s">
        <v>3856</v>
      </c>
      <c r="G4557" s="399" t="s">
        <v>2221</v>
      </c>
      <c r="H4557" s="1235"/>
    </row>
    <row r="4558" spans="1:8" hidden="1">
      <c r="A4558" s="495" t="s">
        <v>5058</v>
      </c>
      <c r="B4558" s="399" t="s">
        <v>1765</v>
      </c>
      <c r="C4558" s="399" t="s">
        <v>184</v>
      </c>
      <c r="D4558" s="399">
        <v>4950</v>
      </c>
      <c r="E4558" s="312" t="s">
        <v>5765</v>
      </c>
      <c r="F4558" s="399" t="s">
        <v>3858</v>
      </c>
      <c r="G4558" s="399" t="s">
        <v>2221</v>
      </c>
      <c r="H4558" s="1235"/>
    </row>
    <row r="4559" spans="1:8" hidden="1">
      <c r="A4559" s="495" t="s">
        <v>5058</v>
      </c>
      <c r="B4559" s="399" t="s">
        <v>1765</v>
      </c>
      <c r="C4559" s="399" t="s">
        <v>184</v>
      </c>
      <c r="D4559" s="399">
        <v>5000</v>
      </c>
      <c r="E4559" s="312" t="s">
        <v>5766</v>
      </c>
      <c r="F4559" s="399" t="s">
        <v>3859</v>
      </c>
      <c r="G4559" s="399" t="s">
        <v>2221</v>
      </c>
      <c r="H4559" s="1235"/>
    </row>
    <row r="4560" spans="1:8" hidden="1">
      <c r="A4560" s="495" t="s">
        <v>5058</v>
      </c>
      <c r="B4560" s="399" t="s">
        <v>1765</v>
      </c>
      <c r="C4560" s="399" t="s">
        <v>184</v>
      </c>
      <c r="D4560" s="399">
        <v>5010</v>
      </c>
      <c r="E4560" s="312" t="s">
        <v>5767</v>
      </c>
      <c r="F4560" s="399" t="s">
        <v>3861</v>
      </c>
      <c r="G4560" s="399" t="s">
        <v>2221</v>
      </c>
      <c r="H4560" s="1235"/>
    </row>
    <row r="4561" spans="1:8" hidden="1">
      <c r="A4561" s="495" t="s">
        <v>5058</v>
      </c>
      <c r="B4561" s="399" t="s">
        <v>1765</v>
      </c>
      <c r="C4561" s="399" t="s">
        <v>184</v>
      </c>
      <c r="D4561" s="399">
        <v>5020</v>
      </c>
      <c r="E4561" s="312" t="s">
        <v>5768</v>
      </c>
      <c r="F4561" s="399" t="s">
        <v>3863</v>
      </c>
      <c r="G4561" s="399" t="s">
        <v>2221</v>
      </c>
      <c r="H4561" s="1235"/>
    </row>
    <row r="4562" spans="1:8" hidden="1">
      <c r="A4562" s="495" t="s">
        <v>5058</v>
      </c>
      <c r="B4562" s="399" t="s">
        <v>1765</v>
      </c>
      <c r="C4562" s="399" t="s">
        <v>184</v>
      </c>
      <c r="D4562" s="399">
        <v>5030</v>
      </c>
      <c r="E4562" s="312" t="s">
        <v>5769</v>
      </c>
      <c r="F4562" s="399" t="s">
        <v>3865</v>
      </c>
      <c r="G4562" s="399" t="s">
        <v>2221</v>
      </c>
      <c r="H4562" s="1235"/>
    </row>
    <row r="4563" spans="1:8" hidden="1">
      <c r="A4563" s="495" t="s">
        <v>5058</v>
      </c>
      <c r="B4563" s="399" t="s">
        <v>1765</v>
      </c>
      <c r="C4563" s="399" t="s">
        <v>184</v>
      </c>
      <c r="D4563" s="399">
        <v>5040</v>
      </c>
      <c r="E4563" s="312" t="s">
        <v>5770</v>
      </c>
      <c r="F4563" s="399" t="s">
        <v>3867</v>
      </c>
      <c r="G4563" s="399" t="s">
        <v>2221</v>
      </c>
      <c r="H4563" s="1235"/>
    </row>
    <row r="4564" spans="1:8" hidden="1">
      <c r="A4564" s="495" t="s">
        <v>5058</v>
      </c>
      <c r="B4564" s="399" t="s">
        <v>1765</v>
      </c>
      <c r="C4564" s="399" t="s">
        <v>184</v>
      </c>
      <c r="D4564" s="399">
        <v>5100</v>
      </c>
      <c r="E4564" s="312" t="s">
        <v>5771</v>
      </c>
      <c r="F4564" s="399" t="s">
        <v>3868</v>
      </c>
      <c r="G4564" s="399" t="s">
        <v>2221</v>
      </c>
      <c r="H4564" s="1235"/>
    </row>
    <row r="4565" spans="1:8" hidden="1">
      <c r="A4565" s="495" t="s">
        <v>5058</v>
      </c>
      <c r="B4565" s="399" t="s">
        <v>1765</v>
      </c>
      <c r="C4565" s="399" t="s">
        <v>184</v>
      </c>
      <c r="D4565" s="399">
        <v>5110</v>
      </c>
      <c r="E4565" s="312" t="s">
        <v>5772</v>
      </c>
      <c r="F4565" s="399" t="s">
        <v>3870</v>
      </c>
      <c r="G4565" s="399" t="s">
        <v>2221</v>
      </c>
      <c r="H4565" s="1235"/>
    </row>
    <row r="4566" spans="1:8" hidden="1">
      <c r="A4566" s="495" t="s">
        <v>5058</v>
      </c>
      <c r="B4566" s="399" t="s">
        <v>1765</v>
      </c>
      <c r="C4566" s="399" t="s">
        <v>184</v>
      </c>
      <c r="D4566" s="399">
        <v>5120</v>
      </c>
      <c r="E4566" s="312" t="s">
        <v>5773</v>
      </c>
      <c r="F4566" s="399" t="s">
        <v>3872</v>
      </c>
      <c r="G4566" s="399" t="s">
        <v>2221</v>
      </c>
      <c r="H4566" s="1235"/>
    </row>
    <row r="4567" spans="1:8" hidden="1">
      <c r="A4567" s="495" t="s">
        <v>5058</v>
      </c>
      <c r="B4567" s="399" t="s">
        <v>1765</v>
      </c>
      <c r="C4567" s="399" t="s">
        <v>184</v>
      </c>
      <c r="D4567" s="399">
        <v>5121</v>
      </c>
      <c r="E4567" s="312" t="s">
        <v>5774</v>
      </c>
      <c r="F4567" s="399" t="s">
        <v>3874</v>
      </c>
      <c r="G4567" s="399" t="s">
        <v>2221</v>
      </c>
      <c r="H4567" s="1235"/>
    </row>
    <row r="4568" spans="1:8" hidden="1">
      <c r="A4568" s="495" t="s">
        <v>5058</v>
      </c>
      <c r="B4568" s="399" t="s">
        <v>1765</v>
      </c>
      <c r="C4568" s="399" t="s">
        <v>184</v>
      </c>
      <c r="D4568" s="399">
        <v>5122</v>
      </c>
      <c r="E4568" s="312" t="s">
        <v>5775</v>
      </c>
      <c r="F4568" s="399" t="s">
        <v>3876</v>
      </c>
      <c r="G4568" s="399" t="s">
        <v>2221</v>
      </c>
      <c r="H4568" s="1235"/>
    </row>
    <row r="4569" spans="1:8" hidden="1">
      <c r="A4569" s="495" t="s">
        <v>5058</v>
      </c>
      <c r="B4569" s="399" t="s">
        <v>1765</v>
      </c>
      <c r="C4569" s="399" t="s">
        <v>184</v>
      </c>
      <c r="D4569" s="399">
        <v>5200</v>
      </c>
      <c r="E4569" s="312" t="s">
        <v>5776</v>
      </c>
      <c r="F4569" s="399" t="s">
        <v>3877</v>
      </c>
      <c r="G4569" s="399" t="s">
        <v>2221</v>
      </c>
      <c r="H4569" s="1235"/>
    </row>
    <row r="4570" spans="1:8" hidden="1">
      <c r="A4570" s="495" t="s">
        <v>5058</v>
      </c>
      <c r="B4570" s="399" t="s">
        <v>1765</v>
      </c>
      <c r="C4570" s="399" t="s">
        <v>184</v>
      </c>
      <c r="D4570" s="399">
        <v>5210</v>
      </c>
      <c r="E4570" s="312" t="s">
        <v>5777</v>
      </c>
      <c r="F4570" s="399" t="s">
        <v>3879</v>
      </c>
      <c r="G4570" s="399" t="s">
        <v>2221</v>
      </c>
      <c r="H4570" s="1235"/>
    </row>
    <row r="4571" spans="1:8" hidden="1">
      <c r="A4571" s="495" t="s">
        <v>5058</v>
      </c>
      <c r="B4571" s="399" t="s">
        <v>1765</v>
      </c>
      <c r="C4571" s="399" t="s">
        <v>184</v>
      </c>
      <c r="D4571" s="399">
        <v>5220</v>
      </c>
      <c r="E4571" s="312" t="s">
        <v>5778</v>
      </c>
      <c r="F4571" s="399" t="s">
        <v>3881</v>
      </c>
      <c r="G4571" s="399" t="s">
        <v>2221</v>
      </c>
      <c r="H4571" s="1235"/>
    </row>
    <row r="4572" spans="1:8" hidden="1">
      <c r="A4572" s="495" t="s">
        <v>5058</v>
      </c>
      <c r="B4572" s="399" t="s">
        <v>1765</v>
      </c>
      <c r="C4572" s="399" t="s">
        <v>184</v>
      </c>
      <c r="D4572" s="399">
        <v>5221</v>
      </c>
      <c r="E4572" s="312" t="s">
        <v>5779</v>
      </c>
      <c r="F4572" s="399" t="s">
        <v>3883</v>
      </c>
      <c r="G4572" s="399" t="s">
        <v>2221</v>
      </c>
      <c r="H4572" s="1235"/>
    </row>
    <row r="4573" spans="1:8" hidden="1">
      <c r="A4573" s="495" t="s">
        <v>5058</v>
      </c>
      <c r="B4573" s="399" t="s">
        <v>1765</v>
      </c>
      <c r="C4573" s="399" t="s">
        <v>184</v>
      </c>
      <c r="D4573" s="399">
        <v>5222</v>
      </c>
      <c r="E4573" s="312" t="s">
        <v>5780</v>
      </c>
      <c r="F4573" s="399" t="s">
        <v>3885</v>
      </c>
      <c r="G4573" s="399" t="s">
        <v>2221</v>
      </c>
      <c r="H4573" s="1235"/>
    </row>
    <row r="4574" spans="1:8" hidden="1">
      <c r="A4574" s="495" t="s">
        <v>5058</v>
      </c>
      <c r="B4574" s="399" t="s">
        <v>1765</v>
      </c>
      <c r="C4574" s="399" t="s">
        <v>184</v>
      </c>
      <c r="D4574" s="399">
        <v>5223</v>
      </c>
      <c r="E4574" s="312" t="s">
        <v>5781</v>
      </c>
      <c r="F4574" s="399" t="s">
        <v>3887</v>
      </c>
      <c r="G4574" s="399" t="s">
        <v>2221</v>
      </c>
      <c r="H4574" s="1235"/>
    </row>
    <row r="4575" spans="1:8" hidden="1">
      <c r="A4575" s="495" t="s">
        <v>5058</v>
      </c>
      <c r="B4575" s="399" t="s">
        <v>1765</v>
      </c>
      <c r="C4575" s="399" t="s">
        <v>184</v>
      </c>
      <c r="D4575" s="399">
        <v>5224</v>
      </c>
      <c r="E4575" s="312" t="s">
        <v>5782</v>
      </c>
      <c r="F4575" s="399" t="s">
        <v>3889</v>
      </c>
      <c r="G4575" s="399" t="s">
        <v>2221</v>
      </c>
      <c r="H4575" s="1235"/>
    </row>
    <row r="4576" spans="1:8" hidden="1">
      <c r="A4576" s="495" t="s">
        <v>5058</v>
      </c>
      <c r="B4576" s="399" t="s">
        <v>1765</v>
      </c>
      <c r="C4576" s="399" t="s">
        <v>184</v>
      </c>
      <c r="D4576" s="399">
        <v>5229</v>
      </c>
      <c r="E4576" s="312" t="s">
        <v>5783</v>
      </c>
      <c r="F4576" s="399" t="s">
        <v>3891</v>
      </c>
      <c r="G4576" s="399" t="s">
        <v>2221</v>
      </c>
      <c r="H4576" s="1235"/>
    </row>
    <row r="4577" spans="1:8" hidden="1">
      <c r="A4577" s="495" t="s">
        <v>5058</v>
      </c>
      <c r="B4577" s="399" t="s">
        <v>1765</v>
      </c>
      <c r="C4577" s="399" t="s">
        <v>184</v>
      </c>
      <c r="D4577" s="399">
        <v>5300</v>
      </c>
      <c r="E4577" s="312" t="s">
        <v>5784</v>
      </c>
      <c r="F4577" s="399" t="s">
        <v>3892</v>
      </c>
      <c r="G4577" s="399" t="s">
        <v>2221</v>
      </c>
      <c r="H4577" s="1235"/>
    </row>
    <row r="4578" spans="1:8" hidden="1">
      <c r="A4578" s="495" t="s">
        <v>5058</v>
      </c>
      <c r="B4578" s="399" t="s">
        <v>1765</v>
      </c>
      <c r="C4578" s="399" t="s">
        <v>184</v>
      </c>
      <c r="D4578" s="399">
        <v>5310</v>
      </c>
      <c r="E4578" s="312" t="s">
        <v>5785</v>
      </c>
      <c r="F4578" s="399" t="s">
        <v>3894</v>
      </c>
      <c r="G4578" s="399" t="s">
        <v>2221</v>
      </c>
      <c r="H4578" s="1235"/>
    </row>
    <row r="4579" spans="1:8" hidden="1">
      <c r="A4579" s="495" t="s">
        <v>5058</v>
      </c>
      <c r="B4579" s="399" t="s">
        <v>1765</v>
      </c>
      <c r="C4579" s="399" t="s">
        <v>184</v>
      </c>
      <c r="D4579" s="399">
        <v>5320</v>
      </c>
      <c r="E4579" s="312" t="s">
        <v>5786</v>
      </c>
      <c r="F4579" s="399" t="s">
        <v>3896</v>
      </c>
      <c r="G4579" s="399" t="s">
        <v>2221</v>
      </c>
      <c r="H4579" s="1235"/>
    </row>
    <row r="4580" spans="1:8" hidden="1">
      <c r="A4580" s="495" t="s">
        <v>5058</v>
      </c>
      <c r="B4580" s="399" t="s">
        <v>1765</v>
      </c>
      <c r="C4580" s="399" t="s">
        <v>184</v>
      </c>
      <c r="D4580" s="399">
        <v>5500</v>
      </c>
      <c r="E4580" s="312" t="s">
        <v>5787</v>
      </c>
      <c r="F4580" s="399" t="s">
        <v>3897</v>
      </c>
      <c r="G4580" s="399" t="s">
        <v>2221</v>
      </c>
      <c r="H4580" s="1235"/>
    </row>
    <row r="4581" spans="1:8" hidden="1">
      <c r="A4581" s="495" t="s">
        <v>5058</v>
      </c>
      <c r="B4581" s="399" t="s">
        <v>1765</v>
      </c>
      <c r="C4581" s="399" t="s">
        <v>184</v>
      </c>
      <c r="D4581" s="399">
        <v>5510</v>
      </c>
      <c r="E4581" s="312" t="s">
        <v>5788</v>
      </c>
      <c r="F4581" s="399" t="s">
        <v>3899</v>
      </c>
      <c r="G4581" s="399" t="s">
        <v>2221</v>
      </c>
      <c r="H4581" s="1235"/>
    </row>
    <row r="4582" spans="1:8" hidden="1">
      <c r="A4582" s="495" t="s">
        <v>5058</v>
      </c>
      <c r="B4582" s="399" t="s">
        <v>1765</v>
      </c>
      <c r="C4582" s="399" t="s">
        <v>184</v>
      </c>
      <c r="D4582" s="399">
        <v>5511</v>
      </c>
      <c r="E4582" s="312" t="s">
        <v>5788</v>
      </c>
      <c r="F4582" s="399" t="s">
        <v>3899</v>
      </c>
      <c r="G4582" s="399" t="s">
        <v>2221</v>
      </c>
      <c r="H4582" s="1235"/>
    </row>
    <row r="4583" spans="1:8" hidden="1">
      <c r="A4583" s="495" t="s">
        <v>5058</v>
      </c>
      <c r="B4583" s="399" t="s">
        <v>1765</v>
      </c>
      <c r="C4583" s="399" t="s">
        <v>184</v>
      </c>
      <c r="D4583" s="399">
        <v>5512</v>
      </c>
      <c r="E4583" s="312" t="s">
        <v>5788</v>
      </c>
      <c r="F4583" s="399" t="s">
        <v>3899</v>
      </c>
      <c r="G4583" s="399" t="s">
        <v>2221</v>
      </c>
      <c r="H4583" s="1235"/>
    </row>
    <row r="4584" spans="1:8" hidden="1">
      <c r="A4584" s="495" t="s">
        <v>5058</v>
      </c>
      <c r="B4584" s="399" t="s">
        <v>1765</v>
      </c>
      <c r="C4584" s="399" t="s">
        <v>184</v>
      </c>
      <c r="D4584" s="399">
        <v>5520</v>
      </c>
      <c r="E4584" s="312" t="s">
        <v>5789</v>
      </c>
      <c r="F4584" s="399" t="s">
        <v>3901</v>
      </c>
      <c r="G4584" s="399" t="s">
        <v>2221</v>
      </c>
      <c r="H4584" s="1235"/>
    </row>
    <row r="4585" spans="1:8" hidden="1">
      <c r="A4585" s="495" t="s">
        <v>5058</v>
      </c>
      <c r="B4585" s="399" t="s">
        <v>1765</v>
      </c>
      <c r="C4585" s="399" t="s">
        <v>184</v>
      </c>
      <c r="D4585" s="399">
        <v>5530</v>
      </c>
      <c r="E4585" s="312" t="s">
        <v>5790</v>
      </c>
      <c r="F4585" s="399" t="s">
        <v>3903</v>
      </c>
      <c r="G4585" s="399" t="s">
        <v>2221</v>
      </c>
      <c r="H4585" s="1235"/>
    </row>
    <row r="4586" spans="1:8" hidden="1">
      <c r="A4586" s="495" t="s">
        <v>5058</v>
      </c>
      <c r="B4586" s="399" t="s">
        <v>1765</v>
      </c>
      <c r="C4586" s="399" t="s">
        <v>184</v>
      </c>
      <c r="D4586" s="399">
        <v>5590</v>
      </c>
      <c r="E4586" s="312" t="s">
        <v>5791</v>
      </c>
      <c r="F4586" s="399" t="s">
        <v>3905</v>
      </c>
      <c r="G4586" s="399" t="s">
        <v>2221</v>
      </c>
      <c r="H4586" s="1235"/>
    </row>
    <row r="4587" spans="1:8" hidden="1">
      <c r="A4587" s="495" t="s">
        <v>5058</v>
      </c>
      <c r="B4587" s="399" t="s">
        <v>1765</v>
      </c>
      <c r="C4587" s="399" t="s">
        <v>184</v>
      </c>
      <c r="D4587" s="399">
        <v>5600</v>
      </c>
      <c r="E4587" s="312" t="s">
        <v>5792</v>
      </c>
      <c r="F4587" s="399" t="s">
        <v>3906</v>
      </c>
      <c r="G4587" s="399" t="s">
        <v>2221</v>
      </c>
      <c r="H4587" s="1235"/>
    </row>
    <row r="4588" spans="1:8" hidden="1">
      <c r="A4588" s="495" t="s">
        <v>5058</v>
      </c>
      <c r="B4588" s="399" t="s">
        <v>1765</v>
      </c>
      <c r="C4588" s="399" t="s">
        <v>184</v>
      </c>
      <c r="D4588" s="399">
        <v>5610</v>
      </c>
      <c r="E4588" s="312" t="s">
        <v>5793</v>
      </c>
      <c r="F4588" s="399" t="s">
        <v>3908</v>
      </c>
      <c r="G4588" s="399" t="s">
        <v>2221</v>
      </c>
      <c r="H4588" s="1235"/>
    </row>
    <row r="4589" spans="1:8" hidden="1">
      <c r="A4589" s="495" t="s">
        <v>5058</v>
      </c>
      <c r="B4589" s="399" t="s">
        <v>1765</v>
      </c>
      <c r="C4589" s="399" t="s">
        <v>184</v>
      </c>
      <c r="D4589" s="399">
        <v>5620</v>
      </c>
      <c r="E4589" s="312" t="s">
        <v>5794</v>
      </c>
      <c r="F4589" s="399" t="s">
        <v>3910</v>
      </c>
      <c r="G4589" s="399" t="s">
        <v>2221</v>
      </c>
      <c r="H4589" s="1235"/>
    </row>
    <row r="4590" spans="1:8" hidden="1">
      <c r="A4590" s="495" t="s">
        <v>5058</v>
      </c>
      <c r="B4590" s="399" t="s">
        <v>1765</v>
      </c>
      <c r="C4590" s="399" t="s">
        <v>184</v>
      </c>
      <c r="D4590" s="399">
        <v>5621</v>
      </c>
      <c r="E4590" s="312" t="s">
        <v>5795</v>
      </c>
      <c r="F4590" s="399" t="s">
        <v>3912</v>
      </c>
      <c r="G4590" s="399" t="s">
        <v>2221</v>
      </c>
      <c r="H4590" s="1235"/>
    </row>
    <row r="4591" spans="1:8" hidden="1">
      <c r="A4591" s="495" t="s">
        <v>5058</v>
      </c>
      <c r="B4591" s="399" t="s">
        <v>1765</v>
      </c>
      <c r="C4591" s="399" t="s">
        <v>184</v>
      </c>
      <c r="D4591" s="399">
        <v>5629</v>
      </c>
      <c r="E4591" s="312" t="s">
        <v>5796</v>
      </c>
      <c r="F4591" s="399" t="s">
        <v>3914</v>
      </c>
      <c r="G4591" s="399" t="s">
        <v>2221</v>
      </c>
      <c r="H4591" s="1235"/>
    </row>
    <row r="4592" spans="1:8" hidden="1">
      <c r="A4592" s="495" t="s">
        <v>5058</v>
      </c>
      <c r="B4592" s="399" t="s">
        <v>1765</v>
      </c>
      <c r="C4592" s="399" t="s">
        <v>184</v>
      </c>
      <c r="D4592" s="399">
        <v>5630</v>
      </c>
      <c r="E4592" s="312" t="s">
        <v>5797</v>
      </c>
      <c r="F4592" s="399" t="s">
        <v>3916</v>
      </c>
      <c r="G4592" s="399" t="s">
        <v>2221</v>
      </c>
      <c r="H4592" s="1235"/>
    </row>
    <row r="4593" spans="1:8" hidden="1">
      <c r="A4593" s="495" t="s">
        <v>5058</v>
      </c>
      <c r="B4593" s="399" t="s">
        <v>1765</v>
      </c>
      <c r="C4593" s="399" t="s">
        <v>184</v>
      </c>
      <c r="D4593" s="399">
        <v>5800</v>
      </c>
      <c r="E4593" s="312" t="s">
        <v>5798</v>
      </c>
      <c r="F4593" s="399" t="s">
        <v>3917</v>
      </c>
      <c r="G4593" s="399" t="s">
        <v>2221</v>
      </c>
      <c r="H4593" s="1235"/>
    </row>
    <row r="4594" spans="1:8" hidden="1">
      <c r="A4594" s="495" t="s">
        <v>5058</v>
      </c>
      <c r="B4594" s="399" t="s">
        <v>1765</v>
      </c>
      <c r="C4594" s="399" t="s">
        <v>184</v>
      </c>
      <c r="D4594" s="399">
        <v>5810</v>
      </c>
      <c r="E4594" s="312" t="s">
        <v>5799</v>
      </c>
      <c r="F4594" s="399" t="s">
        <v>3919</v>
      </c>
      <c r="G4594" s="399" t="s">
        <v>2221</v>
      </c>
      <c r="H4594" s="1235"/>
    </row>
    <row r="4595" spans="1:8" hidden="1">
      <c r="A4595" s="495" t="s">
        <v>5058</v>
      </c>
      <c r="B4595" s="399" t="s">
        <v>1765</v>
      </c>
      <c r="C4595" s="399" t="s">
        <v>184</v>
      </c>
      <c r="D4595" s="399">
        <v>5811</v>
      </c>
      <c r="E4595" s="312" t="s">
        <v>5800</v>
      </c>
      <c r="F4595" s="399" t="s">
        <v>3921</v>
      </c>
      <c r="G4595" s="399" t="s">
        <v>2221</v>
      </c>
      <c r="H4595" s="1235"/>
    </row>
    <row r="4596" spans="1:8" hidden="1">
      <c r="A4596" s="495" t="s">
        <v>5058</v>
      </c>
      <c r="B4596" s="399" t="s">
        <v>1765</v>
      </c>
      <c r="C4596" s="399" t="s">
        <v>184</v>
      </c>
      <c r="D4596" s="399">
        <v>5812</v>
      </c>
      <c r="E4596" s="312" t="s">
        <v>5801</v>
      </c>
      <c r="F4596" s="399" t="s">
        <v>3923</v>
      </c>
      <c r="G4596" s="399" t="s">
        <v>2221</v>
      </c>
      <c r="H4596" s="1235"/>
    </row>
    <row r="4597" spans="1:8" hidden="1">
      <c r="A4597" s="495" t="s">
        <v>5058</v>
      </c>
      <c r="B4597" s="399" t="s">
        <v>1765</v>
      </c>
      <c r="C4597" s="399" t="s">
        <v>184</v>
      </c>
      <c r="D4597" s="399">
        <v>5813</v>
      </c>
      <c r="E4597" s="312" t="s">
        <v>5802</v>
      </c>
      <c r="F4597" s="399" t="s">
        <v>3925</v>
      </c>
      <c r="G4597" s="399" t="s">
        <v>2221</v>
      </c>
      <c r="H4597" s="1235"/>
    </row>
    <row r="4598" spans="1:8" hidden="1">
      <c r="A4598" s="495" t="s">
        <v>5058</v>
      </c>
      <c r="B4598" s="399" t="s">
        <v>1765</v>
      </c>
      <c r="C4598" s="399" t="s">
        <v>184</v>
      </c>
      <c r="D4598" s="399">
        <v>5814</v>
      </c>
      <c r="E4598" s="312" t="s">
        <v>5803</v>
      </c>
      <c r="F4598" s="399" t="s">
        <v>3927</v>
      </c>
      <c r="G4598" s="399" t="s">
        <v>2221</v>
      </c>
      <c r="H4598" s="1235"/>
    </row>
    <row r="4599" spans="1:8" hidden="1">
      <c r="A4599" s="495" t="s">
        <v>5058</v>
      </c>
      <c r="B4599" s="399" t="s">
        <v>1765</v>
      </c>
      <c r="C4599" s="399" t="s">
        <v>184</v>
      </c>
      <c r="D4599" s="399">
        <v>5819</v>
      </c>
      <c r="E4599" s="312" t="s">
        <v>5804</v>
      </c>
      <c r="F4599" s="399" t="s">
        <v>3929</v>
      </c>
      <c r="G4599" s="399" t="s">
        <v>2221</v>
      </c>
      <c r="H4599" s="1235"/>
    </row>
    <row r="4600" spans="1:8" hidden="1">
      <c r="A4600" s="495" t="s">
        <v>5058</v>
      </c>
      <c r="B4600" s="399" t="s">
        <v>1765</v>
      </c>
      <c r="C4600" s="399" t="s">
        <v>184</v>
      </c>
      <c r="D4600" s="399">
        <v>5820</v>
      </c>
      <c r="E4600" s="312" t="s">
        <v>5805</v>
      </c>
      <c r="F4600" s="399" t="s">
        <v>3931</v>
      </c>
      <c r="G4600" s="399" t="s">
        <v>2221</v>
      </c>
      <c r="H4600" s="1235"/>
    </row>
    <row r="4601" spans="1:8" hidden="1">
      <c r="A4601" s="495" t="s">
        <v>5058</v>
      </c>
      <c r="B4601" s="399" t="s">
        <v>1765</v>
      </c>
      <c r="C4601" s="399" t="s">
        <v>184</v>
      </c>
      <c r="D4601" s="399">
        <v>5821</v>
      </c>
      <c r="E4601" s="312" t="s">
        <v>5806</v>
      </c>
      <c r="F4601" s="399" t="s">
        <v>3933</v>
      </c>
      <c r="G4601" s="399" t="s">
        <v>2221</v>
      </c>
      <c r="H4601" s="1235"/>
    </row>
    <row r="4602" spans="1:8" hidden="1">
      <c r="A4602" s="495" t="s">
        <v>5058</v>
      </c>
      <c r="B4602" s="399" t="s">
        <v>1765</v>
      </c>
      <c r="C4602" s="399" t="s">
        <v>184</v>
      </c>
      <c r="D4602" s="399">
        <v>5829</v>
      </c>
      <c r="E4602" s="312" t="s">
        <v>5807</v>
      </c>
      <c r="F4602" s="399" t="s">
        <v>3935</v>
      </c>
      <c r="G4602" s="399" t="s">
        <v>2221</v>
      </c>
      <c r="H4602" s="1235"/>
    </row>
    <row r="4603" spans="1:8" hidden="1">
      <c r="A4603" s="495" t="s">
        <v>5058</v>
      </c>
      <c r="B4603" s="399" t="s">
        <v>1765</v>
      </c>
      <c r="C4603" s="399" t="s">
        <v>184</v>
      </c>
      <c r="D4603" s="399">
        <v>5900</v>
      </c>
      <c r="E4603" s="312" t="s">
        <v>5808</v>
      </c>
      <c r="F4603" s="399" t="s">
        <v>3936</v>
      </c>
      <c r="G4603" s="399" t="s">
        <v>2221</v>
      </c>
      <c r="H4603" s="1235"/>
    </row>
    <row r="4604" spans="1:8" hidden="1">
      <c r="A4604" s="495" t="s">
        <v>5058</v>
      </c>
      <c r="B4604" s="399" t="s">
        <v>1765</v>
      </c>
      <c r="C4604" s="399" t="s">
        <v>184</v>
      </c>
      <c r="D4604" s="399">
        <v>5910</v>
      </c>
      <c r="E4604" s="312" t="s">
        <v>5809</v>
      </c>
      <c r="F4604" s="399" t="s">
        <v>3938</v>
      </c>
      <c r="G4604" s="399" t="s">
        <v>2221</v>
      </c>
      <c r="H4604" s="1235"/>
    </row>
    <row r="4605" spans="1:8" hidden="1">
      <c r="A4605" s="495" t="s">
        <v>5058</v>
      </c>
      <c r="B4605" s="399" t="s">
        <v>1765</v>
      </c>
      <c r="C4605" s="399" t="s">
        <v>184</v>
      </c>
      <c r="D4605" s="399">
        <v>5911</v>
      </c>
      <c r="E4605" s="312" t="s">
        <v>5810</v>
      </c>
      <c r="F4605" s="399" t="s">
        <v>3940</v>
      </c>
      <c r="G4605" s="399" t="s">
        <v>2221</v>
      </c>
      <c r="H4605" s="1235"/>
    </row>
    <row r="4606" spans="1:8" hidden="1">
      <c r="A4606" s="495" t="s">
        <v>5058</v>
      </c>
      <c r="B4606" s="399" t="s">
        <v>1765</v>
      </c>
      <c r="C4606" s="399" t="s">
        <v>184</v>
      </c>
      <c r="D4606" s="399">
        <v>5912</v>
      </c>
      <c r="E4606" s="312" t="s">
        <v>5811</v>
      </c>
      <c r="F4606" s="399" t="s">
        <v>3942</v>
      </c>
      <c r="G4606" s="399" t="s">
        <v>2221</v>
      </c>
      <c r="H4606" s="1235"/>
    </row>
    <row r="4607" spans="1:8" hidden="1">
      <c r="A4607" s="495" t="s">
        <v>5058</v>
      </c>
      <c r="B4607" s="399" t="s">
        <v>1765</v>
      </c>
      <c r="C4607" s="399" t="s">
        <v>184</v>
      </c>
      <c r="D4607" s="399">
        <v>5913</v>
      </c>
      <c r="E4607" s="312" t="s">
        <v>5812</v>
      </c>
      <c r="F4607" s="399" t="s">
        <v>3944</v>
      </c>
      <c r="G4607" s="399" t="s">
        <v>2221</v>
      </c>
      <c r="H4607" s="1235"/>
    </row>
    <row r="4608" spans="1:8" hidden="1">
      <c r="A4608" s="495" t="s">
        <v>5058</v>
      </c>
      <c r="B4608" s="399" t="s">
        <v>1765</v>
      </c>
      <c r="C4608" s="399" t="s">
        <v>184</v>
      </c>
      <c r="D4608" s="399">
        <v>5914</v>
      </c>
      <c r="E4608" s="312" t="s">
        <v>5813</v>
      </c>
      <c r="F4608" s="399" t="s">
        <v>3946</v>
      </c>
      <c r="G4608" s="399" t="s">
        <v>2221</v>
      </c>
      <c r="H4608" s="1235"/>
    </row>
    <row r="4609" spans="1:8" hidden="1">
      <c r="A4609" s="495" t="s">
        <v>5058</v>
      </c>
      <c r="B4609" s="399" t="s">
        <v>1765</v>
      </c>
      <c r="C4609" s="399" t="s">
        <v>184</v>
      </c>
      <c r="D4609" s="399">
        <v>5920</v>
      </c>
      <c r="E4609" s="312" t="s">
        <v>5814</v>
      </c>
      <c r="F4609" s="399" t="s">
        <v>3948</v>
      </c>
      <c r="G4609" s="399" t="s">
        <v>2221</v>
      </c>
      <c r="H4609" s="1235"/>
    </row>
    <row r="4610" spans="1:8" hidden="1">
      <c r="A4610" s="495" t="s">
        <v>5058</v>
      </c>
      <c r="B4610" s="399" t="s">
        <v>1765</v>
      </c>
      <c r="C4610" s="399" t="s">
        <v>184</v>
      </c>
      <c r="D4610" s="399">
        <v>6000</v>
      </c>
      <c r="E4610" s="312" t="s">
        <v>5815</v>
      </c>
      <c r="F4610" s="399" t="s">
        <v>3949</v>
      </c>
      <c r="G4610" s="399" t="s">
        <v>2221</v>
      </c>
      <c r="H4610" s="1235"/>
    </row>
    <row r="4611" spans="1:8" hidden="1">
      <c r="A4611" s="495" t="s">
        <v>5058</v>
      </c>
      <c r="B4611" s="399" t="s">
        <v>1765</v>
      </c>
      <c r="C4611" s="399" t="s">
        <v>184</v>
      </c>
      <c r="D4611" s="399">
        <v>6010</v>
      </c>
      <c r="E4611" s="312" t="s">
        <v>5816</v>
      </c>
      <c r="F4611" s="399" t="s">
        <v>3951</v>
      </c>
      <c r="G4611" s="399" t="s">
        <v>2221</v>
      </c>
      <c r="H4611" s="1235"/>
    </row>
    <row r="4612" spans="1:8" hidden="1">
      <c r="A4612" s="495" t="s">
        <v>5058</v>
      </c>
      <c r="B4612" s="399" t="s">
        <v>1765</v>
      </c>
      <c r="C4612" s="399" t="s">
        <v>184</v>
      </c>
      <c r="D4612" s="399">
        <v>6020</v>
      </c>
      <c r="E4612" s="312" t="s">
        <v>5817</v>
      </c>
      <c r="F4612" s="399" t="s">
        <v>3953</v>
      </c>
      <c r="G4612" s="399" t="s">
        <v>2221</v>
      </c>
      <c r="H4612" s="1235"/>
    </row>
    <row r="4613" spans="1:8" hidden="1">
      <c r="A4613" s="495" t="s">
        <v>5058</v>
      </c>
      <c r="B4613" s="399" t="s">
        <v>1765</v>
      </c>
      <c r="C4613" s="399" t="s">
        <v>184</v>
      </c>
      <c r="D4613" s="399">
        <v>6100</v>
      </c>
      <c r="E4613" s="312" t="s">
        <v>5818</v>
      </c>
      <c r="F4613" s="399" t="s">
        <v>3954</v>
      </c>
      <c r="G4613" s="399" t="s">
        <v>2221</v>
      </c>
      <c r="H4613" s="1235"/>
    </row>
    <row r="4614" spans="1:8" hidden="1">
      <c r="A4614" s="495" t="s">
        <v>5058</v>
      </c>
      <c r="B4614" s="399" t="s">
        <v>1765</v>
      </c>
      <c r="C4614" s="399" t="s">
        <v>184</v>
      </c>
      <c r="D4614" s="399">
        <v>6110</v>
      </c>
      <c r="E4614" s="312" t="s">
        <v>5819</v>
      </c>
      <c r="F4614" s="399" t="s">
        <v>3956</v>
      </c>
      <c r="G4614" s="399" t="s">
        <v>2221</v>
      </c>
      <c r="H4614" s="1235"/>
    </row>
    <row r="4615" spans="1:8" hidden="1">
      <c r="A4615" s="495" t="s">
        <v>5058</v>
      </c>
      <c r="B4615" s="399" t="s">
        <v>1765</v>
      </c>
      <c r="C4615" s="399" t="s">
        <v>184</v>
      </c>
      <c r="D4615" s="399">
        <v>6120</v>
      </c>
      <c r="E4615" s="312" t="s">
        <v>5820</v>
      </c>
      <c r="F4615" s="399" t="s">
        <v>3958</v>
      </c>
      <c r="G4615" s="399" t="s">
        <v>2221</v>
      </c>
      <c r="H4615" s="1235"/>
    </row>
    <row r="4616" spans="1:8" hidden="1">
      <c r="A4616" s="495" t="s">
        <v>5058</v>
      </c>
      <c r="B4616" s="399" t="s">
        <v>1765</v>
      </c>
      <c r="C4616" s="399" t="s">
        <v>184</v>
      </c>
      <c r="D4616" s="399">
        <v>6130</v>
      </c>
      <c r="E4616" s="312" t="s">
        <v>5821</v>
      </c>
      <c r="F4616" s="399" t="s">
        <v>3960</v>
      </c>
      <c r="G4616" s="399" t="s">
        <v>2221</v>
      </c>
      <c r="H4616" s="1235"/>
    </row>
    <row r="4617" spans="1:8" hidden="1">
      <c r="A4617" s="495" t="s">
        <v>5058</v>
      </c>
      <c r="B4617" s="399" t="s">
        <v>1765</v>
      </c>
      <c r="C4617" s="399" t="s">
        <v>184</v>
      </c>
      <c r="D4617" s="399">
        <v>6190</v>
      </c>
      <c r="E4617" s="312" t="s">
        <v>5822</v>
      </c>
      <c r="F4617" s="399" t="s">
        <v>3962</v>
      </c>
      <c r="G4617" s="399" t="s">
        <v>2221</v>
      </c>
      <c r="H4617" s="1235"/>
    </row>
    <row r="4618" spans="1:8" hidden="1">
      <c r="A4618" s="495" t="s">
        <v>5058</v>
      </c>
      <c r="B4618" s="399" t="s">
        <v>1765</v>
      </c>
      <c r="C4618" s="399" t="s">
        <v>184</v>
      </c>
      <c r="D4618" s="399">
        <v>6200</v>
      </c>
      <c r="E4618" s="312" t="s">
        <v>5823</v>
      </c>
      <c r="F4618" s="399" t="s">
        <v>3963</v>
      </c>
      <c r="G4618" s="399" t="s">
        <v>2221</v>
      </c>
      <c r="H4618" s="1235"/>
    </row>
    <row r="4619" spans="1:8" hidden="1">
      <c r="A4619" s="495" t="s">
        <v>5058</v>
      </c>
      <c r="B4619" s="399" t="s">
        <v>1765</v>
      </c>
      <c r="C4619" s="399" t="s">
        <v>184</v>
      </c>
      <c r="D4619" s="399">
        <v>6201</v>
      </c>
      <c r="E4619" s="312" t="s">
        <v>5824</v>
      </c>
      <c r="F4619" s="399" t="s">
        <v>3965</v>
      </c>
      <c r="G4619" s="399" t="s">
        <v>2221</v>
      </c>
      <c r="H4619" s="1235"/>
    </row>
    <row r="4620" spans="1:8" hidden="1">
      <c r="A4620" s="495" t="s">
        <v>5058</v>
      </c>
      <c r="B4620" s="399" t="s">
        <v>1765</v>
      </c>
      <c r="C4620" s="399" t="s">
        <v>184</v>
      </c>
      <c r="D4620" s="399">
        <v>6202</v>
      </c>
      <c r="E4620" s="312" t="s">
        <v>5825</v>
      </c>
      <c r="F4620" s="399" t="s">
        <v>3967</v>
      </c>
      <c r="G4620" s="399" t="s">
        <v>2221</v>
      </c>
      <c r="H4620" s="1235"/>
    </row>
    <row r="4621" spans="1:8" hidden="1">
      <c r="A4621" s="495" t="s">
        <v>5058</v>
      </c>
      <c r="B4621" s="399" t="s">
        <v>1765</v>
      </c>
      <c r="C4621" s="399" t="s">
        <v>184</v>
      </c>
      <c r="D4621" s="399">
        <v>6203</v>
      </c>
      <c r="E4621" s="312" t="s">
        <v>5826</v>
      </c>
      <c r="F4621" s="399" t="s">
        <v>3969</v>
      </c>
      <c r="G4621" s="399" t="s">
        <v>2221</v>
      </c>
      <c r="H4621" s="1235"/>
    </row>
    <row r="4622" spans="1:8" hidden="1">
      <c r="A4622" s="495" t="s">
        <v>5058</v>
      </c>
      <c r="B4622" s="399" t="s">
        <v>1765</v>
      </c>
      <c r="C4622" s="399" t="s">
        <v>184</v>
      </c>
      <c r="D4622" s="399">
        <v>6209</v>
      </c>
      <c r="E4622" s="312" t="s">
        <v>5827</v>
      </c>
      <c r="F4622" s="399" t="s">
        <v>3971</v>
      </c>
      <c r="G4622" s="399" t="s">
        <v>2221</v>
      </c>
      <c r="H4622" s="1235"/>
    </row>
    <row r="4623" spans="1:8" hidden="1">
      <c r="A4623" s="495" t="s">
        <v>5058</v>
      </c>
      <c r="B4623" s="399" t="s">
        <v>1765</v>
      </c>
      <c r="C4623" s="399" t="s">
        <v>184</v>
      </c>
      <c r="D4623" s="399">
        <v>6300</v>
      </c>
      <c r="E4623" s="312" t="s">
        <v>5828</v>
      </c>
      <c r="F4623" s="399" t="s">
        <v>3972</v>
      </c>
      <c r="G4623" s="399" t="s">
        <v>2221</v>
      </c>
      <c r="H4623" s="1235"/>
    </row>
    <row r="4624" spans="1:8" hidden="1">
      <c r="A4624" s="495" t="s">
        <v>5058</v>
      </c>
      <c r="B4624" s="399" t="s">
        <v>1765</v>
      </c>
      <c r="C4624" s="399" t="s">
        <v>184</v>
      </c>
      <c r="D4624" s="399">
        <v>6310</v>
      </c>
      <c r="E4624" s="312" t="s">
        <v>5829</v>
      </c>
      <c r="F4624" s="399" t="s">
        <v>3974</v>
      </c>
      <c r="G4624" s="399" t="s">
        <v>2221</v>
      </c>
      <c r="H4624" s="1235"/>
    </row>
    <row r="4625" spans="1:8" hidden="1">
      <c r="A4625" s="495" t="s">
        <v>5058</v>
      </c>
      <c r="B4625" s="399" t="s">
        <v>1765</v>
      </c>
      <c r="C4625" s="399" t="s">
        <v>184</v>
      </c>
      <c r="D4625" s="399">
        <v>6311</v>
      </c>
      <c r="E4625" s="312" t="s">
        <v>5830</v>
      </c>
      <c r="F4625" s="399" t="s">
        <v>3976</v>
      </c>
      <c r="G4625" s="399" t="s">
        <v>2221</v>
      </c>
      <c r="H4625" s="1235"/>
    </row>
    <row r="4626" spans="1:8" hidden="1">
      <c r="A4626" s="495" t="s">
        <v>5058</v>
      </c>
      <c r="B4626" s="399" t="s">
        <v>1765</v>
      </c>
      <c r="C4626" s="399" t="s">
        <v>184</v>
      </c>
      <c r="D4626" s="399">
        <v>6312</v>
      </c>
      <c r="E4626" s="312" t="s">
        <v>5831</v>
      </c>
      <c r="F4626" s="399" t="s">
        <v>3978</v>
      </c>
      <c r="G4626" s="399" t="s">
        <v>2221</v>
      </c>
      <c r="H4626" s="1235"/>
    </row>
    <row r="4627" spans="1:8" hidden="1">
      <c r="A4627" s="495" t="s">
        <v>5058</v>
      </c>
      <c r="B4627" s="399" t="s">
        <v>1765</v>
      </c>
      <c r="C4627" s="399" t="s">
        <v>184</v>
      </c>
      <c r="D4627" s="399">
        <v>6390</v>
      </c>
      <c r="E4627" s="312" t="s">
        <v>5832</v>
      </c>
      <c r="F4627" s="399" t="s">
        <v>3980</v>
      </c>
      <c r="G4627" s="399" t="s">
        <v>2221</v>
      </c>
      <c r="H4627" s="1235"/>
    </row>
    <row r="4628" spans="1:8" hidden="1">
      <c r="A4628" s="495" t="s">
        <v>5058</v>
      </c>
      <c r="B4628" s="399" t="s">
        <v>1765</v>
      </c>
      <c r="C4628" s="399" t="s">
        <v>184</v>
      </c>
      <c r="D4628" s="399">
        <v>6391</v>
      </c>
      <c r="E4628" s="312" t="s">
        <v>5833</v>
      </c>
      <c r="F4628" s="399" t="s">
        <v>3982</v>
      </c>
      <c r="G4628" s="399" t="s">
        <v>2221</v>
      </c>
      <c r="H4628" s="1235"/>
    </row>
    <row r="4629" spans="1:8" hidden="1">
      <c r="A4629" s="495" t="s">
        <v>5058</v>
      </c>
      <c r="B4629" s="399" t="s">
        <v>1765</v>
      </c>
      <c r="C4629" s="399" t="s">
        <v>184</v>
      </c>
      <c r="D4629" s="399">
        <v>6399</v>
      </c>
      <c r="E4629" s="312" t="s">
        <v>5834</v>
      </c>
      <c r="F4629" s="399" t="s">
        <v>3984</v>
      </c>
      <c r="G4629" s="399" t="s">
        <v>2221</v>
      </c>
      <c r="H4629" s="1235"/>
    </row>
    <row r="4630" spans="1:8" hidden="1">
      <c r="A4630" s="495" t="s">
        <v>5058</v>
      </c>
      <c r="B4630" s="399" t="s">
        <v>1765</v>
      </c>
      <c r="C4630" s="399" t="s">
        <v>184</v>
      </c>
      <c r="D4630" s="399">
        <v>6400</v>
      </c>
      <c r="E4630" s="312" t="s">
        <v>5835</v>
      </c>
      <c r="F4630" s="399" t="s">
        <v>3985</v>
      </c>
      <c r="G4630" s="399" t="s">
        <v>2221</v>
      </c>
      <c r="H4630" s="1235"/>
    </row>
    <row r="4631" spans="1:8" hidden="1">
      <c r="A4631" s="495" t="s">
        <v>5058</v>
      </c>
      <c r="B4631" s="399" t="s">
        <v>1765</v>
      </c>
      <c r="C4631" s="399" t="s">
        <v>184</v>
      </c>
      <c r="D4631" s="399">
        <v>6410</v>
      </c>
      <c r="E4631" s="312" t="s">
        <v>5836</v>
      </c>
      <c r="F4631" s="399" t="s">
        <v>3987</v>
      </c>
      <c r="G4631" s="399" t="s">
        <v>2221</v>
      </c>
      <c r="H4631" s="1235"/>
    </row>
    <row r="4632" spans="1:8" hidden="1">
      <c r="A4632" s="495" t="s">
        <v>5058</v>
      </c>
      <c r="B4632" s="399" t="s">
        <v>1765</v>
      </c>
      <c r="C4632" s="399" t="s">
        <v>184</v>
      </c>
      <c r="D4632" s="399">
        <v>6411</v>
      </c>
      <c r="E4632" s="312" t="s">
        <v>5837</v>
      </c>
      <c r="F4632" s="399" t="s">
        <v>3989</v>
      </c>
      <c r="G4632" s="399" t="s">
        <v>2221</v>
      </c>
      <c r="H4632" s="1235"/>
    </row>
    <row r="4633" spans="1:8" hidden="1">
      <c r="A4633" s="495" t="s">
        <v>5058</v>
      </c>
      <c r="B4633" s="399" t="s">
        <v>1765</v>
      </c>
      <c r="C4633" s="399" t="s">
        <v>184</v>
      </c>
      <c r="D4633" s="399">
        <v>6419</v>
      </c>
      <c r="E4633" s="312" t="s">
        <v>5838</v>
      </c>
      <c r="F4633" s="399" t="s">
        <v>3991</v>
      </c>
      <c r="G4633" s="399" t="s">
        <v>2221</v>
      </c>
      <c r="H4633" s="1235"/>
    </row>
    <row r="4634" spans="1:8" hidden="1">
      <c r="A4634" s="495" t="s">
        <v>5058</v>
      </c>
      <c r="B4634" s="399" t="s">
        <v>1765</v>
      </c>
      <c r="C4634" s="399" t="s">
        <v>184</v>
      </c>
      <c r="D4634" s="399">
        <v>6420</v>
      </c>
      <c r="E4634" s="312" t="s">
        <v>5839</v>
      </c>
      <c r="F4634" s="399" t="s">
        <v>3993</v>
      </c>
      <c r="G4634" s="399" t="s">
        <v>2221</v>
      </c>
      <c r="H4634" s="1235"/>
    </row>
    <row r="4635" spans="1:8" hidden="1">
      <c r="A4635" s="495" t="s">
        <v>5058</v>
      </c>
      <c r="B4635" s="399" t="s">
        <v>1765</v>
      </c>
      <c r="C4635" s="399" t="s">
        <v>184</v>
      </c>
      <c r="D4635" s="399">
        <v>6430</v>
      </c>
      <c r="E4635" s="312" t="s">
        <v>5840</v>
      </c>
      <c r="F4635" s="399" t="s">
        <v>3995</v>
      </c>
      <c r="G4635" s="399" t="s">
        <v>2221</v>
      </c>
      <c r="H4635" s="1235"/>
    </row>
    <row r="4636" spans="1:8" hidden="1">
      <c r="A4636" s="495" t="s">
        <v>5058</v>
      </c>
      <c r="B4636" s="399" t="s">
        <v>1765</v>
      </c>
      <c r="C4636" s="399" t="s">
        <v>184</v>
      </c>
      <c r="D4636" s="399">
        <v>6490</v>
      </c>
      <c r="E4636" s="312" t="s">
        <v>5841</v>
      </c>
      <c r="F4636" s="399" t="s">
        <v>3997</v>
      </c>
      <c r="G4636" s="399" t="s">
        <v>2221</v>
      </c>
      <c r="H4636" s="1235"/>
    </row>
    <row r="4637" spans="1:8" hidden="1">
      <c r="A4637" s="495" t="s">
        <v>5058</v>
      </c>
      <c r="B4637" s="399" t="s">
        <v>1765</v>
      </c>
      <c r="C4637" s="399" t="s">
        <v>184</v>
      </c>
      <c r="D4637" s="399">
        <v>6491</v>
      </c>
      <c r="E4637" s="312" t="s">
        <v>5842</v>
      </c>
      <c r="F4637" s="399" t="s">
        <v>3999</v>
      </c>
      <c r="G4637" s="399" t="s">
        <v>2221</v>
      </c>
      <c r="H4637" s="1235"/>
    </row>
    <row r="4638" spans="1:8" hidden="1">
      <c r="A4638" s="495" t="s">
        <v>5058</v>
      </c>
      <c r="B4638" s="399" t="s">
        <v>1765</v>
      </c>
      <c r="C4638" s="399" t="s">
        <v>184</v>
      </c>
      <c r="D4638" s="399">
        <v>6492</v>
      </c>
      <c r="E4638" s="312" t="s">
        <v>5843</v>
      </c>
      <c r="F4638" s="399" t="s">
        <v>4001</v>
      </c>
      <c r="G4638" s="399" t="s">
        <v>2221</v>
      </c>
      <c r="H4638" s="1235"/>
    </row>
    <row r="4639" spans="1:8" hidden="1">
      <c r="A4639" s="495" t="s">
        <v>5058</v>
      </c>
      <c r="B4639" s="399" t="s">
        <v>1765</v>
      </c>
      <c r="C4639" s="399" t="s">
        <v>184</v>
      </c>
      <c r="D4639" s="399">
        <v>6499</v>
      </c>
      <c r="E4639" s="312" t="s">
        <v>5844</v>
      </c>
      <c r="F4639" s="399" t="s">
        <v>4003</v>
      </c>
      <c r="G4639" s="399" t="s">
        <v>2221</v>
      </c>
      <c r="H4639" s="1235"/>
    </row>
    <row r="4640" spans="1:8" hidden="1">
      <c r="A4640" s="495" t="s">
        <v>5058</v>
      </c>
      <c r="B4640" s="399" t="s">
        <v>1765</v>
      </c>
      <c r="C4640" s="399" t="s">
        <v>184</v>
      </c>
      <c r="D4640" s="399">
        <v>6500</v>
      </c>
      <c r="E4640" s="312" t="s">
        <v>5845</v>
      </c>
      <c r="F4640" s="399" t="s">
        <v>4004</v>
      </c>
      <c r="G4640" s="399" t="s">
        <v>2221</v>
      </c>
      <c r="H4640" s="1235"/>
    </row>
    <row r="4641" spans="1:8" hidden="1">
      <c r="A4641" s="495" t="s">
        <v>5058</v>
      </c>
      <c r="B4641" s="399" t="s">
        <v>1765</v>
      </c>
      <c r="C4641" s="399" t="s">
        <v>184</v>
      </c>
      <c r="D4641" s="399">
        <v>6510</v>
      </c>
      <c r="E4641" s="312" t="s">
        <v>5846</v>
      </c>
      <c r="F4641" s="399" t="s">
        <v>4006</v>
      </c>
      <c r="G4641" s="399" t="s">
        <v>2221</v>
      </c>
      <c r="H4641" s="1235"/>
    </row>
    <row r="4642" spans="1:8" hidden="1">
      <c r="A4642" s="495" t="s">
        <v>5058</v>
      </c>
      <c r="B4642" s="399" t="s">
        <v>1765</v>
      </c>
      <c r="C4642" s="399" t="s">
        <v>184</v>
      </c>
      <c r="D4642" s="399">
        <v>6511</v>
      </c>
      <c r="E4642" s="312" t="s">
        <v>5847</v>
      </c>
      <c r="F4642" s="399" t="s">
        <v>4008</v>
      </c>
      <c r="G4642" s="399" t="s">
        <v>2221</v>
      </c>
      <c r="H4642" s="1235"/>
    </row>
    <row r="4643" spans="1:8" hidden="1">
      <c r="A4643" s="495" t="s">
        <v>5058</v>
      </c>
      <c r="B4643" s="399" t="s">
        <v>1765</v>
      </c>
      <c r="C4643" s="399" t="s">
        <v>184</v>
      </c>
      <c r="D4643" s="399">
        <v>6512</v>
      </c>
      <c r="E4643" s="312" t="s">
        <v>5848</v>
      </c>
      <c r="F4643" s="399" t="s">
        <v>4010</v>
      </c>
      <c r="G4643" s="399" t="s">
        <v>2221</v>
      </c>
      <c r="H4643" s="1235"/>
    </row>
    <row r="4644" spans="1:8" hidden="1">
      <c r="A4644" s="495" t="s">
        <v>5058</v>
      </c>
      <c r="B4644" s="399" t="s">
        <v>1765</v>
      </c>
      <c r="C4644" s="399" t="s">
        <v>184</v>
      </c>
      <c r="D4644" s="399">
        <v>6520</v>
      </c>
      <c r="E4644" s="312" t="s">
        <v>5849</v>
      </c>
      <c r="F4644" s="399" t="s">
        <v>4012</v>
      </c>
      <c r="G4644" s="399" t="s">
        <v>2221</v>
      </c>
      <c r="H4644" s="1235"/>
    </row>
    <row r="4645" spans="1:8" hidden="1">
      <c r="A4645" s="495" t="s">
        <v>5058</v>
      </c>
      <c r="B4645" s="399" t="s">
        <v>1765</v>
      </c>
      <c r="C4645" s="399" t="s">
        <v>184</v>
      </c>
      <c r="D4645" s="399">
        <v>6530</v>
      </c>
      <c r="E4645" s="312" t="s">
        <v>5850</v>
      </c>
      <c r="F4645" s="399" t="s">
        <v>4014</v>
      </c>
      <c r="G4645" s="399" t="s">
        <v>2221</v>
      </c>
      <c r="H4645" s="1235"/>
    </row>
    <row r="4646" spans="1:8" hidden="1">
      <c r="A4646" s="495" t="s">
        <v>5058</v>
      </c>
      <c r="B4646" s="399" t="s">
        <v>1765</v>
      </c>
      <c r="C4646" s="399" t="s">
        <v>184</v>
      </c>
      <c r="D4646" s="399">
        <v>6600</v>
      </c>
      <c r="E4646" s="312" t="s">
        <v>5851</v>
      </c>
      <c r="F4646" s="399" t="s">
        <v>4015</v>
      </c>
      <c r="G4646" s="399" t="s">
        <v>2221</v>
      </c>
      <c r="H4646" s="1235"/>
    </row>
    <row r="4647" spans="1:8" hidden="1">
      <c r="A4647" s="495" t="s">
        <v>5058</v>
      </c>
      <c r="B4647" s="399" t="s">
        <v>1765</v>
      </c>
      <c r="C4647" s="399" t="s">
        <v>184</v>
      </c>
      <c r="D4647" s="399">
        <v>6610</v>
      </c>
      <c r="E4647" s="312" t="s">
        <v>5852</v>
      </c>
      <c r="F4647" s="399" t="s">
        <v>4017</v>
      </c>
      <c r="G4647" s="399" t="s">
        <v>2221</v>
      </c>
      <c r="H4647" s="1235"/>
    </row>
    <row r="4648" spans="1:8" hidden="1">
      <c r="A4648" s="495" t="s">
        <v>5058</v>
      </c>
      <c r="B4648" s="399" t="s">
        <v>1765</v>
      </c>
      <c r="C4648" s="399" t="s">
        <v>184</v>
      </c>
      <c r="D4648" s="399">
        <v>6611</v>
      </c>
      <c r="E4648" s="312" t="s">
        <v>5853</v>
      </c>
      <c r="F4648" s="399" t="s">
        <v>4019</v>
      </c>
      <c r="G4648" s="399" t="s">
        <v>2221</v>
      </c>
      <c r="H4648" s="1235"/>
    </row>
    <row r="4649" spans="1:8" hidden="1">
      <c r="A4649" s="495" t="s">
        <v>5058</v>
      </c>
      <c r="B4649" s="399" t="s">
        <v>1765</v>
      </c>
      <c r="C4649" s="399" t="s">
        <v>184</v>
      </c>
      <c r="D4649" s="399">
        <v>6612</v>
      </c>
      <c r="E4649" s="312" t="s">
        <v>5854</v>
      </c>
      <c r="F4649" s="399" t="s">
        <v>4021</v>
      </c>
      <c r="G4649" s="399" t="s">
        <v>2221</v>
      </c>
      <c r="H4649" s="1235"/>
    </row>
    <row r="4650" spans="1:8" hidden="1">
      <c r="A4650" s="495" t="s">
        <v>5058</v>
      </c>
      <c r="B4650" s="399" t="s">
        <v>1765</v>
      </c>
      <c r="C4650" s="399" t="s">
        <v>184</v>
      </c>
      <c r="D4650" s="399">
        <v>6619</v>
      </c>
      <c r="E4650" s="312" t="s">
        <v>5855</v>
      </c>
      <c r="F4650" s="399" t="s">
        <v>4023</v>
      </c>
      <c r="G4650" s="399" t="s">
        <v>2221</v>
      </c>
      <c r="H4650" s="1235"/>
    </row>
    <row r="4651" spans="1:8" hidden="1">
      <c r="A4651" s="495" t="s">
        <v>5058</v>
      </c>
      <c r="B4651" s="399" t="s">
        <v>1765</v>
      </c>
      <c r="C4651" s="399" t="s">
        <v>184</v>
      </c>
      <c r="D4651" s="399">
        <v>6620</v>
      </c>
      <c r="E4651" s="312" t="s">
        <v>5856</v>
      </c>
      <c r="F4651" s="399" t="s">
        <v>4025</v>
      </c>
      <c r="G4651" s="399" t="s">
        <v>2221</v>
      </c>
      <c r="H4651" s="1235"/>
    </row>
    <row r="4652" spans="1:8" hidden="1">
      <c r="A4652" s="495" t="s">
        <v>5058</v>
      </c>
      <c r="B4652" s="399" t="s">
        <v>1765</v>
      </c>
      <c r="C4652" s="399" t="s">
        <v>184</v>
      </c>
      <c r="D4652" s="399">
        <v>6621</v>
      </c>
      <c r="E4652" s="312" t="s">
        <v>5857</v>
      </c>
      <c r="F4652" s="399" t="s">
        <v>4027</v>
      </c>
      <c r="G4652" s="399" t="s">
        <v>2221</v>
      </c>
      <c r="H4652" s="1235"/>
    </row>
    <row r="4653" spans="1:8" hidden="1">
      <c r="A4653" s="495" t="s">
        <v>5058</v>
      </c>
      <c r="B4653" s="399" t="s">
        <v>1765</v>
      </c>
      <c r="C4653" s="399" t="s">
        <v>184</v>
      </c>
      <c r="D4653" s="399">
        <v>6622</v>
      </c>
      <c r="E4653" s="312" t="s">
        <v>5858</v>
      </c>
      <c r="F4653" s="399" t="s">
        <v>4029</v>
      </c>
      <c r="G4653" s="399" t="s">
        <v>2221</v>
      </c>
      <c r="H4653" s="1235"/>
    </row>
    <row r="4654" spans="1:8" hidden="1">
      <c r="A4654" s="495" t="s">
        <v>5058</v>
      </c>
      <c r="B4654" s="399" t="s">
        <v>1765</v>
      </c>
      <c r="C4654" s="399" t="s">
        <v>184</v>
      </c>
      <c r="D4654" s="399">
        <v>6629</v>
      </c>
      <c r="E4654" s="312" t="s">
        <v>5859</v>
      </c>
      <c r="F4654" s="399" t="s">
        <v>4031</v>
      </c>
      <c r="G4654" s="399" t="s">
        <v>2221</v>
      </c>
      <c r="H4654" s="1235"/>
    </row>
    <row r="4655" spans="1:8" hidden="1">
      <c r="A4655" s="495" t="s">
        <v>5058</v>
      </c>
      <c r="B4655" s="399" t="s">
        <v>1765</v>
      </c>
      <c r="C4655" s="399" t="s">
        <v>184</v>
      </c>
      <c r="D4655" s="399">
        <v>6630</v>
      </c>
      <c r="E4655" s="312" t="s">
        <v>5860</v>
      </c>
      <c r="F4655" s="399" t="s">
        <v>4033</v>
      </c>
      <c r="G4655" s="399" t="s">
        <v>2221</v>
      </c>
      <c r="H4655" s="1235"/>
    </row>
    <row r="4656" spans="1:8" hidden="1">
      <c r="A4656" s="495" t="s">
        <v>5058</v>
      </c>
      <c r="B4656" s="399" t="s">
        <v>1765</v>
      </c>
      <c r="C4656" s="399" t="s">
        <v>184</v>
      </c>
      <c r="D4656" s="399">
        <v>6800</v>
      </c>
      <c r="E4656" s="312" t="s">
        <v>5861</v>
      </c>
      <c r="F4656" s="399" t="s">
        <v>4034</v>
      </c>
      <c r="G4656" s="399" t="s">
        <v>2221</v>
      </c>
      <c r="H4656" s="1235"/>
    </row>
    <row r="4657" spans="1:8" hidden="1">
      <c r="A4657" s="495" t="s">
        <v>5058</v>
      </c>
      <c r="B4657" s="399" t="s">
        <v>1765</v>
      </c>
      <c r="C4657" s="399" t="s">
        <v>184</v>
      </c>
      <c r="D4657" s="399">
        <v>6810</v>
      </c>
      <c r="E4657" s="312" t="s">
        <v>5862</v>
      </c>
      <c r="F4657" s="399" t="s">
        <v>4036</v>
      </c>
      <c r="G4657" s="399" t="s">
        <v>2221</v>
      </c>
      <c r="H4657" s="1235"/>
    </row>
    <row r="4658" spans="1:8" hidden="1">
      <c r="A4658" s="495" t="s">
        <v>5058</v>
      </c>
      <c r="B4658" s="399" t="s">
        <v>1765</v>
      </c>
      <c r="C4658" s="399" t="s">
        <v>184</v>
      </c>
      <c r="D4658" s="399">
        <v>6820</v>
      </c>
      <c r="E4658" s="312" t="s">
        <v>5863</v>
      </c>
      <c r="F4658" s="399" t="s">
        <v>4038</v>
      </c>
      <c r="G4658" s="399" t="s">
        <v>2221</v>
      </c>
      <c r="H4658" s="1235"/>
    </row>
    <row r="4659" spans="1:8" hidden="1">
      <c r="A4659" s="495" t="s">
        <v>5058</v>
      </c>
      <c r="B4659" s="399" t="s">
        <v>1765</v>
      </c>
      <c r="C4659" s="399" t="s">
        <v>184</v>
      </c>
      <c r="D4659" s="399">
        <v>6830</v>
      </c>
      <c r="E4659" s="312" t="s">
        <v>5864</v>
      </c>
      <c r="F4659" s="399" t="s">
        <v>4040</v>
      </c>
      <c r="G4659" s="399" t="s">
        <v>2221</v>
      </c>
      <c r="H4659" s="1235"/>
    </row>
    <row r="4660" spans="1:8" hidden="1">
      <c r="A4660" s="495" t="s">
        <v>5058</v>
      </c>
      <c r="B4660" s="399" t="s">
        <v>1765</v>
      </c>
      <c r="C4660" s="399" t="s">
        <v>184</v>
      </c>
      <c r="D4660" s="399">
        <v>6831</v>
      </c>
      <c r="E4660" s="312" t="s">
        <v>5865</v>
      </c>
      <c r="F4660" s="399" t="s">
        <v>4042</v>
      </c>
      <c r="G4660" s="399" t="s">
        <v>2221</v>
      </c>
      <c r="H4660" s="1235"/>
    </row>
    <row r="4661" spans="1:8" hidden="1">
      <c r="A4661" s="495" t="s">
        <v>5058</v>
      </c>
      <c r="B4661" s="399" t="s">
        <v>1765</v>
      </c>
      <c r="C4661" s="399" t="s">
        <v>184</v>
      </c>
      <c r="D4661" s="399">
        <v>6832</v>
      </c>
      <c r="E4661" s="312" t="s">
        <v>5866</v>
      </c>
      <c r="F4661" s="399" t="s">
        <v>4044</v>
      </c>
      <c r="G4661" s="399" t="s">
        <v>2221</v>
      </c>
      <c r="H4661" s="1235"/>
    </row>
    <row r="4662" spans="1:8" hidden="1">
      <c r="A4662" s="495" t="s">
        <v>5058</v>
      </c>
      <c r="B4662" s="399" t="s">
        <v>1765</v>
      </c>
      <c r="C4662" s="399" t="s">
        <v>184</v>
      </c>
      <c r="D4662" s="399">
        <v>6900</v>
      </c>
      <c r="E4662" s="312" t="s">
        <v>5867</v>
      </c>
      <c r="F4662" s="399" t="s">
        <v>4045</v>
      </c>
      <c r="G4662" s="399" t="s">
        <v>2221</v>
      </c>
      <c r="H4662" s="1235"/>
    </row>
    <row r="4663" spans="1:8" hidden="1">
      <c r="A4663" s="495" t="s">
        <v>5058</v>
      </c>
      <c r="B4663" s="399" t="s">
        <v>1765</v>
      </c>
      <c r="C4663" s="399" t="s">
        <v>184</v>
      </c>
      <c r="D4663" s="399">
        <v>6910</v>
      </c>
      <c r="E4663" s="312" t="s">
        <v>5868</v>
      </c>
      <c r="F4663" s="399" t="s">
        <v>4047</v>
      </c>
      <c r="G4663" s="399" t="s">
        <v>2221</v>
      </c>
      <c r="H4663" s="1235"/>
    </row>
    <row r="4664" spans="1:8" hidden="1">
      <c r="A4664" s="495" t="s">
        <v>5058</v>
      </c>
      <c r="B4664" s="399" t="s">
        <v>1765</v>
      </c>
      <c r="C4664" s="399" t="s">
        <v>184</v>
      </c>
      <c r="D4664" s="399">
        <v>6920</v>
      </c>
      <c r="E4664" s="312" t="s">
        <v>5869</v>
      </c>
      <c r="F4664" s="399" t="s">
        <v>4049</v>
      </c>
      <c r="G4664" s="399" t="s">
        <v>2221</v>
      </c>
      <c r="H4664" s="1235"/>
    </row>
    <row r="4665" spans="1:8" hidden="1">
      <c r="A4665" s="495" t="s">
        <v>5058</v>
      </c>
      <c r="B4665" s="399" t="s">
        <v>1765</v>
      </c>
      <c r="C4665" s="399" t="s">
        <v>184</v>
      </c>
      <c r="D4665" s="399">
        <v>7000</v>
      </c>
      <c r="E4665" s="312" t="s">
        <v>5870</v>
      </c>
      <c r="F4665" s="399" t="s">
        <v>4050</v>
      </c>
      <c r="G4665" s="399" t="s">
        <v>2221</v>
      </c>
      <c r="H4665" s="1235"/>
    </row>
    <row r="4666" spans="1:8" hidden="1">
      <c r="A4666" s="495" t="s">
        <v>5058</v>
      </c>
      <c r="B4666" s="399" t="s">
        <v>1765</v>
      </c>
      <c r="C4666" s="399" t="s">
        <v>184</v>
      </c>
      <c r="D4666" s="399">
        <v>7010</v>
      </c>
      <c r="E4666" s="312" t="s">
        <v>5871</v>
      </c>
      <c r="F4666" s="399" t="s">
        <v>4052</v>
      </c>
      <c r="G4666" s="399" t="s">
        <v>2221</v>
      </c>
      <c r="H4666" s="1235"/>
    </row>
    <row r="4667" spans="1:8" hidden="1">
      <c r="A4667" s="495" t="s">
        <v>5058</v>
      </c>
      <c r="B4667" s="399" t="s">
        <v>1765</v>
      </c>
      <c r="C4667" s="399" t="s">
        <v>184</v>
      </c>
      <c r="D4667" s="399">
        <v>7020</v>
      </c>
      <c r="E4667" s="312" t="s">
        <v>5872</v>
      </c>
      <c r="F4667" s="399" t="s">
        <v>4054</v>
      </c>
      <c r="G4667" s="399" t="s">
        <v>2221</v>
      </c>
      <c r="H4667" s="1235"/>
    </row>
    <row r="4668" spans="1:8" hidden="1">
      <c r="A4668" s="495" t="s">
        <v>5058</v>
      </c>
      <c r="B4668" s="399" t="s">
        <v>1765</v>
      </c>
      <c r="C4668" s="399" t="s">
        <v>184</v>
      </c>
      <c r="D4668" s="399">
        <v>7021</v>
      </c>
      <c r="E4668" s="312" t="s">
        <v>5873</v>
      </c>
      <c r="F4668" s="399" t="s">
        <v>4056</v>
      </c>
      <c r="G4668" s="399" t="s">
        <v>2221</v>
      </c>
      <c r="H4668" s="1235"/>
    </row>
    <row r="4669" spans="1:8" hidden="1">
      <c r="A4669" s="495" t="s">
        <v>5058</v>
      </c>
      <c r="B4669" s="399" t="s">
        <v>1765</v>
      </c>
      <c r="C4669" s="399" t="s">
        <v>184</v>
      </c>
      <c r="D4669" s="399">
        <v>7022</v>
      </c>
      <c r="E4669" s="312" t="s">
        <v>5874</v>
      </c>
      <c r="F4669" s="399" t="s">
        <v>4058</v>
      </c>
      <c r="G4669" s="399" t="s">
        <v>2221</v>
      </c>
      <c r="H4669" s="1235"/>
    </row>
    <row r="4670" spans="1:8" hidden="1">
      <c r="A4670" s="495" t="s">
        <v>5058</v>
      </c>
      <c r="B4670" s="399" t="s">
        <v>1765</v>
      </c>
      <c r="C4670" s="399" t="s">
        <v>184</v>
      </c>
      <c r="D4670" s="399">
        <v>7100</v>
      </c>
      <c r="E4670" s="312" t="s">
        <v>5875</v>
      </c>
      <c r="F4670" s="399" t="s">
        <v>4059</v>
      </c>
      <c r="G4670" s="399" t="s">
        <v>2221</v>
      </c>
      <c r="H4670" s="1235"/>
    </row>
    <row r="4671" spans="1:8" hidden="1">
      <c r="A4671" s="495" t="s">
        <v>5058</v>
      </c>
      <c r="B4671" s="399" t="s">
        <v>1765</v>
      </c>
      <c r="C4671" s="399" t="s">
        <v>184</v>
      </c>
      <c r="D4671" s="399">
        <v>7110</v>
      </c>
      <c r="E4671" s="312" t="s">
        <v>5876</v>
      </c>
      <c r="F4671" s="399" t="s">
        <v>4061</v>
      </c>
      <c r="G4671" s="399" t="s">
        <v>2221</v>
      </c>
      <c r="H4671" s="1235"/>
    </row>
    <row r="4672" spans="1:8" hidden="1">
      <c r="A4672" s="495" t="s">
        <v>5058</v>
      </c>
      <c r="B4672" s="399" t="s">
        <v>1765</v>
      </c>
      <c r="C4672" s="399" t="s">
        <v>184</v>
      </c>
      <c r="D4672" s="399">
        <v>7111</v>
      </c>
      <c r="E4672" s="312" t="s">
        <v>5877</v>
      </c>
      <c r="F4672" s="399" t="s">
        <v>4063</v>
      </c>
      <c r="G4672" s="399" t="s">
        <v>2221</v>
      </c>
      <c r="H4672" s="1235"/>
    </row>
    <row r="4673" spans="1:8" hidden="1">
      <c r="A4673" s="495" t="s">
        <v>5058</v>
      </c>
      <c r="B4673" s="399" t="s">
        <v>1765</v>
      </c>
      <c r="C4673" s="399" t="s">
        <v>184</v>
      </c>
      <c r="D4673" s="399">
        <v>7112</v>
      </c>
      <c r="E4673" s="312" t="s">
        <v>5878</v>
      </c>
      <c r="F4673" s="399" t="s">
        <v>4065</v>
      </c>
      <c r="G4673" s="399" t="s">
        <v>2221</v>
      </c>
      <c r="H4673" s="1235"/>
    </row>
    <row r="4674" spans="1:8" hidden="1">
      <c r="A4674" s="495" t="s">
        <v>5058</v>
      </c>
      <c r="B4674" s="399" t="s">
        <v>1765</v>
      </c>
      <c r="C4674" s="399" t="s">
        <v>184</v>
      </c>
      <c r="D4674" s="399">
        <v>7120</v>
      </c>
      <c r="E4674" s="312" t="s">
        <v>5879</v>
      </c>
      <c r="F4674" s="399" t="s">
        <v>4067</v>
      </c>
      <c r="G4674" s="399" t="s">
        <v>2221</v>
      </c>
      <c r="H4674" s="1235"/>
    </row>
    <row r="4675" spans="1:8" hidden="1">
      <c r="A4675" s="495" t="s">
        <v>5058</v>
      </c>
      <c r="B4675" s="399" t="s">
        <v>1765</v>
      </c>
      <c r="C4675" s="399" t="s">
        <v>184</v>
      </c>
      <c r="D4675" s="399">
        <v>7200</v>
      </c>
      <c r="E4675" s="312" t="s">
        <v>5880</v>
      </c>
      <c r="F4675" s="399" t="s">
        <v>4068</v>
      </c>
      <c r="G4675" s="399" t="s">
        <v>2221</v>
      </c>
      <c r="H4675" s="1235"/>
    </row>
    <row r="4676" spans="1:8" hidden="1">
      <c r="A4676" s="495" t="s">
        <v>5058</v>
      </c>
      <c r="B4676" s="399" t="s">
        <v>1765</v>
      </c>
      <c r="C4676" s="399" t="s">
        <v>184</v>
      </c>
      <c r="D4676" s="399">
        <v>7210</v>
      </c>
      <c r="E4676" s="312" t="s">
        <v>5881</v>
      </c>
      <c r="F4676" s="399" t="s">
        <v>4070</v>
      </c>
      <c r="G4676" s="399" t="s">
        <v>2221</v>
      </c>
      <c r="H4676" s="1235"/>
    </row>
    <row r="4677" spans="1:8" hidden="1">
      <c r="A4677" s="495" t="s">
        <v>5058</v>
      </c>
      <c r="B4677" s="399" t="s">
        <v>1765</v>
      </c>
      <c r="C4677" s="399" t="s">
        <v>184</v>
      </c>
      <c r="D4677" s="399">
        <v>7211</v>
      </c>
      <c r="E4677" s="312" t="s">
        <v>5882</v>
      </c>
      <c r="F4677" s="399" t="s">
        <v>4072</v>
      </c>
      <c r="G4677" s="399" t="s">
        <v>2221</v>
      </c>
      <c r="H4677" s="1235"/>
    </row>
    <row r="4678" spans="1:8" hidden="1">
      <c r="A4678" s="495" t="s">
        <v>5058</v>
      </c>
      <c r="B4678" s="399" t="s">
        <v>1765</v>
      </c>
      <c r="C4678" s="399" t="s">
        <v>184</v>
      </c>
      <c r="D4678" s="399">
        <v>7219</v>
      </c>
      <c r="E4678" s="312" t="s">
        <v>5883</v>
      </c>
      <c r="F4678" s="399" t="s">
        <v>4074</v>
      </c>
      <c r="G4678" s="399" t="s">
        <v>2221</v>
      </c>
      <c r="H4678" s="1235"/>
    </row>
    <row r="4679" spans="1:8" hidden="1">
      <c r="A4679" s="495" t="s">
        <v>5058</v>
      </c>
      <c r="B4679" s="399" t="s">
        <v>1765</v>
      </c>
      <c r="C4679" s="399" t="s">
        <v>184</v>
      </c>
      <c r="D4679" s="399">
        <v>7220</v>
      </c>
      <c r="E4679" s="312" t="s">
        <v>5884</v>
      </c>
      <c r="F4679" s="399" t="s">
        <v>4076</v>
      </c>
      <c r="G4679" s="399" t="s">
        <v>2221</v>
      </c>
      <c r="H4679" s="1235"/>
    </row>
    <row r="4680" spans="1:8" hidden="1">
      <c r="A4680" s="495" t="s">
        <v>5058</v>
      </c>
      <c r="B4680" s="399" t="s">
        <v>1765</v>
      </c>
      <c r="C4680" s="399" t="s">
        <v>184</v>
      </c>
      <c r="D4680" s="399">
        <v>7300</v>
      </c>
      <c r="E4680" s="312" t="s">
        <v>5885</v>
      </c>
      <c r="F4680" s="399" t="s">
        <v>4077</v>
      </c>
      <c r="G4680" s="399" t="s">
        <v>2221</v>
      </c>
      <c r="H4680" s="1235"/>
    </row>
    <row r="4681" spans="1:8" hidden="1">
      <c r="A4681" s="495" t="s">
        <v>5058</v>
      </c>
      <c r="B4681" s="399" t="s">
        <v>1765</v>
      </c>
      <c r="C4681" s="399" t="s">
        <v>184</v>
      </c>
      <c r="D4681" s="399">
        <v>7310</v>
      </c>
      <c r="E4681" s="312" t="s">
        <v>5886</v>
      </c>
      <c r="F4681" s="399" t="s">
        <v>4079</v>
      </c>
      <c r="G4681" s="399" t="s">
        <v>2221</v>
      </c>
      <c r="H4681" s="1235"/>
    </row>
    <row r="4682" spans="1:8" hidden="1">
      <c r="A4682" s="495" t="s">
        <v>5058</v>
      </c>
      <c r="B4682" s="399" t="s">
        <v>1765</v>
      </c>
      <c r="C4682" s="399" t="s">
        <v>184</v>
      </c>
      <c r="D4682" s="399">
        <v>7311</v>
      </c>
      <c r="E4682" s="312" t="s">
        <v>5887</v>
      </c>
      <c r="F4682" s="399" t="s">
        <v>4081</v>
      </c>
      <c r="G4682" s="399" t="s">
        <v>2221</v>
      </c>
      <c r="H4682" s="1235"/>
    </row>
    <row r="4683" spans="1:8" hidden="1">
      <c r="A4683" s="495" t="s">
        <v>5058</v>
      </c>
      <c r="B4683" s="399" t="s">
        <v>1765</v>
      </c>
      <c r="C4683" s="399" t="s">
        <v>184</v>
      </c>
      <c r="D4683" s="399">
        <v>7312</v>
      </c>
      <c r="E4683" s="312" t="s">
        <v>5888</v>
      </c>
      <c r="F4683" s="399" t="s">
        <v>4083</v>
      </c>
      <c r="G4683" s="399" t="s">
        <v>2221</v>
      </c>
      <c r="H4683" s="1235"/>
    </row>
    <row r="4684" spans="1:8" hidden="1">
      <c r="A4684" s="495" t="s">
        <v>5058</v>
      </c>
      <c r="B4684" s="399" t="s">
        <v>1765</v>
      </c>
      <c r="C4684" s="399" t="s">
        <v>184</v>
      </c>
      <c r="D4684" s="399">
        <v>7320</v>
      </c>
      <c r="E4684" s="312" t="s">
        <v>5889</v>
      </c>
      <c r="F4684" s="399" t="s">
        <v>4085</v>
      </c>
      <c r="G4684" s="399" t="s">
        <v>2221</v>
      </c>
      <c r="H4684" s="1235"/>
    </row>
    <row r="4685" spans="1:8" hidden="1">
      <c r="A4685" s="495" t="s">
        <v>5058</v>
      </c>
      <c r="B4685" s="399" t="s">
        <v>1765</v>
      </c>
      <c r="C4685" s="399" t="s">
        <v>184</v>
      </c>
      <c r="D4685" s="399">
        <v>7400</v>
      </c>
      <c r="E4685" s="312" t="s">
        <v>5890</v>
      </c>
      <c r="F4685" s="399" t="s">
        <v>4086</v>
      </c>
      <c r="G4685" s="399" t="s">
        <v>2221</v>
      </c>
      <c r="H4685" s="1235"/>
    </row>
    <row r="4686" spans="1:8" hidden="1">
      <c r="A4686" s="495" t="s">
        <v>5058</v>
      </c>
      <c r="B4686" s="399" t="s">
        <v>1765</v>
      </c>
      <c r="C4686" s="399" t="s">
        <v>184</v>
      </c>
      <c r="D4686" s="399">
        <v>7410</v>
      </c>
      <c r="E4686" s="312" t="s">
        <v>5891</v>
      </c>
      <c r="F4686" s="399" t="s">
        <v>4088</v>
      </c>
      <c r="G4686" s="399" t="s">
        <v>2221</v>
      </c>
      <c r="H4686" s="1235"/>
    </row>
    <row r="4687" spans="1:8" hidden="1">
      <c r="A4687" s="495" t="s">
        <v>5058</v>
      </c>
      <c r="B4687" s="399" t="s">
        <v>1765</v>
      </c>
      <c r="C4687" s="399" t="s">
        <v>184</v>
      </c>
      <c r="D4687" s="399">
        <v>7420</v>
      </c>
      <c r="E4687" s="312" t="s">
        <v>5892</v>
      </c>
      <c r="F4687" s="399" t="s">
        <v>4090</v>
      </c>
      <c r="G4687" s="399" t="s">
        <v>2221</v>
      </c>
      <c r="H4687" s="1235"/>
    </row>
    <row r="4688" spans="1:8" hidden="1">
      <c r="A4688" s="495" t="s">
        <v>5058</v>
      </c>
      <c r="B4688" s="399" t="s">
        <v>1765</v>
      </c>
      <c r="C4688" s="399" t="s">
        <v>184</v>
      </c>
      <c r="D4688" s="399">
        <v>7430</v>
      </c>
      <c r="E4688" s="312" t="s">
        <v>5893</v>
      </c>
      <c r="F4688" s="399" t="s">
        <v>4092</v>
      </c>
      <c r="G4688" s="399" t="s">
        <v>2221</v>
      </c>
      <c r="H4688" s="1235"/>
    </row>
    <row r="4689" spans="1:8" hidden="1">
      <c r="A4689" s="495" t="s">
        <v>5058</v>
      </c>
      <c r="B4689" s="399" t="s">
        <v>1765</v>
      </c>
      <c r="C4689" s="399" t="s">
        <v>184</v>
      </c>
      <c r="D4689" s="399">
        <v>7490</v>
      </c>
      <c r="E4689" s="312" t="s">
        <v>5894</v>
      </c>
      <c r="F4689" s="399" t="s">
        <v>4094</v>
      </c>
      <c r="G4689" s="399" t="s">
        <v>2221</v>
      </c>
      <c r="H4689" s="1235"/>
    </row>
    <row r="4690" spans="1:8" hidden="1">
      <c r="A4690" s="495" t="s">
        <v>5058</v>
      </c>
      <c r="B4690" s="399" t="s">
        <v>1765</v>
      </c>
      <c r="C4690" s="399" t="s">
        <v>184</v>
      </c>
      <c r="D4690" s="399">
        <v>7500</v>
      </c>
      <c r="E4690" s="312" t="s">
        <v>5895</v>
      </c>
      <c r="F4690" s="399" t="s">
        <v>4095</v>
      </c>
      <c r="G4690" s="399" t="s">
        <v>2221</v>
      </c>
      <c r="H4690" s="1235"/>
    </row>
    <row r="4691" spans="1:8" hidden="1">
      <c r="A4691" s="495" t="s">
        <v>5058</v>
      </c>
      <c r="B4691" s="399" t="s">
        <v>1765</v>
      </c>
      <c r="C4691" s="399" t="s">
        <v>184</v>
      </c>
      <c r="D4691" s="399">
        <v>7700</v>
      </c>
      <c r="E4691" s="312" t="s">
        <v>5896</v>
      </c>
      <c r="F4691" s="399" t="s">
        <v>4096</v>
      </c>
      <c r="G4691" s="399" t="s">
        <v>2221</v>
      </c>
      <c r="H4691" s="1235"/>
    </row>
    <row r="4692" spans="1:8" hidden="1">
      <c r="A4692" s="495" t="s">
        <v>5058</v>
      </c>
      <c r="B4692" s="399" t="s">
        <v>1765</v>
      </c>
      <c r="C4692" s="399" t="s">
        <v>184</v>
      </c>
      <c r="D4692" s="399">
        <v>7710</v>
      </c>
      <c r="E4692" s="312" t="s">
        <v>5897</v>
      </c>
      <c r="F4692" s="399" t="s">
        <v>4098</v>
      </c>
      <c r="G4692" s="399" t="s">
        <v>2221</v>
      </c>
      <c r="H4692" s="1235"/>
    </row>
    <row r="4693" spans="1:8" hidden="1">
      <c r="A4693" s="495" t="s">
        <v>5058</v>
      </c>
      <c r="B4693" s="399" t="s">
        <v>1765</v>
      </c>
      <c r="C4693" s="399" t="s">
        <v>184</v>
      </c>
      <c r="D4693" s="399">
        <v>7711</v>
      </c>
      <c r="E4693" s="312" t="s">
        <v>5898</v>
      </c>
      <c r="F4693" s="399" t="s">
        <v>4100</v>
      </c>
      <c r="G4693" s="399" t="s">
        <v>2221</v>
      </c>
      <c r="H4693" s="1235"/>
    </row>
    <row r="4694" spans="1:8" hidden="1">
      <c r="A4694" s="495" t="s">
        <v>5058</v>
      </c>
      <c r="B4694" s="399" t="s">
        <v>1765</v>
      </c>
      <c r="C4694" s="399" t="s">
        <v>184</v>
      </c>
      <c r="D4694" s="399">
        <v>7712</v>
      </c>
      <c r="E4694" s="312" t="s">
        <v>5899</v>
      </c>
      <c r="F4694" s="399" t="s">
        <v>4102</v>
      </c>
      <c r="G4694" s="399" t="s">
        <v>2221</v>
      </c>
      <c r="H4694" s="1235"/>
    </row>
    <row r="4695" spans="1:8" hidden="1">
      <c r="A4695" s="495" t="s">
        <v>5058</v>
      </c>
      <c r="B4695" s="399" t="s">
        <v>1765</v>
      </c>
      <c r="C4695" s="399" t="s">
        <v>184</v>
      </c>
      <c r="D4695" s="399">
        <v>7720</v>
      </c>
      <c r="E4695" s="312" t="s">
        <v>5900</v>
      </c>
      <c r="F4695" s="399" t="s">
        <v>4104</v>
      </c>
      <c r="G4695" s="399" t="s">
        <v>2221</v>
      </c>
      <c r="H4695" s="1235"/>
    </row>
    <row r="4696" spans="1:8" hidden="1">
      <c r="A4696" s="495" t="s">
        <v>5058</v>
      </c>
      <c r="B4696" s="399" t="s">
        <v>1765</v>
      </c>
      <c r="C4696" s="399" t="s">
        <v>184</v>
      </c>
      <c r="D4696" s="399">
        <v>7721</v>
      </c>
      <c r="E4696" s="312" t="s">
        <v>5901</v>
      </c>
      <c r="F4696" s="399" t="s">
        <v>4106</v>
      </c>
      <c r="G4696" s="399" t="s">
        <v>2221</v>
      </c>
      <c r="H4696" s="1235"/>
    </row>
    <row r="4697" spans="1:8" hidden="1">
      <c r="A4697" s="495" t="s">
        <v>5058</v>
      </c>
      <c r="B4697" s="399" t="s">
        <v>1765</v>
      </c>
      <c r="C4697" s="399" t="s">
        <v>184</v>
      </c>
      <c r="D4697" s="399">
        <v>7722</v>
      </c>
      <c r="E4697" s="312" t="s">
        <v>5902</v>
      </c>
      <c r="F4697" s="399" t="s">
        <v>4108</v>
      </c>
      <c r="G4697" s="399" t="s">
        <v>2221</v>
      </c>
      <c r="H4697" s="1235"/>
    </row>
    <row r="4698" spans="1:8" hidden="1">
      <c r="A4698" s="495" t="s">
        <v>5058</v>
      </c>
      <c r="B4698" s="399" t="s">
        <v>1765</v>
      </c>
      <c r="C4698" s="399" t="s">
        <v>184</v>
      </c>
      <c r="D4698" s="399">
        <v>7729</v>
      </c>
      <c r="E4698" s="312" t="s">
        <v>5903</v>
      </c>
      <c r="F4698" s="399" t="s">
        <v>4110</v>
      </c>
      <c r="G4698" s="399" t="s">
        <v>2221</v>
      </c>
      <c r="H4698" s="1235"/>
    </row>
    <row r="4699" spans="1:8" hidden="1">
      <c r="A4699" s="495" t="s">
        <v>5058</v>
      </c>
      <c r="B4699" s="399" t="s">
        <v>1765</v>
      </c>
      <c r="C4699" s="399" t="s">
        <v>184</v>
      </c>
      <c r="D4699" s="399">
        <v>7730</v>
      </c>
      <c r="E4699" s="312" t="s">
        <v>5904</v>
      </c>
      <c r="F4699" s="399" t="s">
        <v>4112</v>
      </c>
      <c r="G4699" s="399" t="s">
        <v>2221</v>
      </c>
      <c r="H4699" s="1235"/>
    </row>
    <row r="4700" spans="1:8" hidden="1">
      <c r="A4700" s="495" t="s">
        <v>5058</v>
      </c>
      <c r="B4700" s="399" t="s">
        <v>1765</v>
      </c>
      <c r="C4700" s="399" t="s">
        <v>184</v>
      </c>
      <c r="D4700" s="399">
        <v>7731</v>
      </c>
      <c r="E4700" s="312" t="s">
        <v>5905</v>
      </c>
      <c r="F4700" s="399" t="s">
        <v>4114</v>
      </c>
      <c r="G4700" s="399" t="s">
        <v>2221</v>
      </c>
      <c r="H4700" s="1235"/>
    </row>
    <row r="4701" spans="1:8" hidden="1">
      <c r="A4701" s="495" t="s">
        <v>5058</v>
      </c>
      <c r="B4701" s="399" t="s">
        <v>1765</v>
      </c>
      <c r="C4701" s="399" t="s">
        <v>184</v>
      </c>
      <c r="D4701" s="399">
        <v>7732</v>
      </c>
      <c r="E4701" s="312" t="s">
        <v>5906</v>
      </c>
      <c r="F4701" s="399" t="s">
        <v>4116</v>
      </c>
      <c r="G4701" s="399" t="s">
        <v>2221</v>
      </c>
      <c r="H4701" s="1235"/>
    </row>
    <row r="4702" spans="1:8" hidden="1">
      <c r="A4702" s="495" t="s">
        <v>5058</v>
      </c>
      <c r="B4702" s="399" t="s">
        <v>1765</v>
      </c>
      <c r="C4702" s="399" t="s">
        <v>184</v>
      </c>
      <c r="D4702" s="399">
        <v>7733</v>
      </c>
      <c r="E4702" s="312" t="s">
        <v>5907</v>
      </c>
      <c r="F4702" s="399" t="s">
        <v>4118</v>
      </c>
      <c r="G4702" s="399" t="s">
        <v>2221</v>
      </c>
      <c r="H4702" s="1235"/>
    </row>
    <row r="4703" spans="1:8" hidden="1">
      <c r="A4703" s="495" t="s">
        <v>5058</v>
      </c>
      <c r="B4703" s="399" t="s">
        <v>1765</v>
      </c>
      <c r="C4703" s="399" t="s">
        <v>184</v>
      </c>
      <c r="D4703" s="399">
        <v>7734</v>
      </c>
      <c r="E4703" s="312" t="s">
        <v>5908</v>
      </c>
      <c r="F4703" s="399" t="s">
        <v>4120</v>
      </c>
      <c r="G4703" s="399" t="s">
        <v>2221</v>
      </c>
      <c r="H4703" s="1235"/>
    </row>
    <row r="4704" spans="1:8" hidden="1">
      <c r="A4704" s="495" t="s">
        <v>5058</v>
      </c>
      <c r="B4704" s="399" t="s">
        <v>1765</v>
      </c>
      <c r="C4704" s="399" t="s">
        <v>184</v>
      </c>
      <c r="D4704" s="399">
        <v>7735</v>
      </c>
      <c r="E4704" s="312" t="s">
        <v>5909</v>
      </c>
      <c r="F4704" s="399" t="s">
        <v>4122</v>
      </c>
      <c r="G4704" s="399" t="s">
        <v>2221</v>
      </c>
      <c r="H4704" s="1235"/>
    </row>
    <row r="4705" spans="1:8" hidden="1">
      <c r="A4705" s="495" t="s">
        <v>5058</v>
      </c>
      <c r="B4705" s="399" t="s">
        <v>1765</v>
      </c>
      <c r="C4705" s="399" t="s">
        <v>184</v>
      </c>
      <c r="D4705" s="399">
        <v>7739</v>
      </c>
      <c r="E4705" s="312" t="s">
        <v>5910</v>
      </c>
      <c r="F4705" s="399" t="s">
        <v>4124</v>
      </c>
      <c r="G4705" s="399" t="s">
        <v>2221</v>
      </c>
      <c r="H4705" s="1235"/>
    </row>
    <row r="4706" spans="1:8" hidden="1">
      <c r="A4706" s="495" t="s">
        <v>5058</v>
      </c>
      <c r="B4706" s="399" t="s">
        <v>1765</v>
      </c>
      <c r="C4706" s="399" t="s">
        <v>184</v>
      </c>
      <c r="D4706" s="399">
        <v>7740</v>
      </c>
      <c r="E4706" s="312" t="s">
        <v>5911</v>
      </c>
      <c r="F4706" s="399" t="s">
        <v>4126</v>
      </c>
      <c r="G4706" s="399" t="s">
        <v>2221</v>
      </c>
      <c r="H4706" s="1235"/>
    </row>
    <row r="4707" spans="1:8" hidden="1">
      <c r="A4707" s="495" t="s">
        <v>5058</v>
      </c>
      <c r="B4707" s="399" t="s">
        <v>1765</v>
      </c>
      <c r="C4707" s="399" t="s">
        <v>184</v>
      </c>
      <c r="D4707" s="399">
        <v>7800</v>
      </c>
      <c r="E4707" s="312" t="s">
        <v>5912</v>
      </c>
      <c r="F4707" s="399" t="s">
        <v>4127</v>
      </c>
      <c r="G4707" s="399" t="s">
        <v>2221</v>
      </c>
      <c r="H4707" s="1235"/>
    </row>
    <row r="4708" spans="1:8" hidden="1">
      <c r="A4708" s="495" t="s">
        <v>5058</v>
      </c>
      <c r="B4708" s="399" t="s">
        <v>1765</v>
      </c>
      <c r="C4708" s="399" t="s">
        <v>184</v>
      </c>
      <c r="D4708" s="399">
        <v>7810</v>
      </c>
      <c r="E4708" s="312" t="s">
        <v>5913</v>
      </c>
      <c r="F4708" s="399" t="s">
        <v>4129</v>
      </c>
      <c r="G4708" s="399" t="s">
        <v>2221</v>
      </c>
      <c r="H4708" s="1235"/>
    </row>
    <row r="4709" spans="1:8" hidden="1">
      <c r="A4709" s="495" t="s">
        <v>5058</v>
      </c>
      <c r="B4709" s="399" t="s">
        <v>1765</v>
      </c>
      <c r="C4709" s="399" t="s">
        <v>184</v>
      </c>
      <c r="D4709" s="399">
        <v>7820</v>
      </c>
      <c r="E4709" s="312" t="s">
        <v>5914</v>
      </c>
      <c r="F4709" s="399" t="s">
        <v>4131</v>
      </c>
      <c r="G4709" s="399" t="s">
        <v>2221</v>
      </c>
      <c r="H4709" s="1235"/>
    </row>
    <row r="4710" spans="1:8" hidden="1">
      <c r="A4710" s="495" t="s">
        <v>5058</v>
      </c>
      <c r="B4710" s="399" t="s">
        <v>1765</v>
      </c>
      <c r="C4710" s="399" t="s">
        <v>184</v>
      </c>
      <c r="D4710" s="399">
        <v>7830</v>
      </c>
      <c r="E4710" s="312" t="s">
        <v>5915</v>
      </c>
      <c r="F4710" s="399" t="s">
        <v>4133</v>
      </c>
      <c r="G4710" s="399" t="s">
        <v>2221</v>
      </c>
      <c r="H4710" s="1235"/>
    </row>
    <row r="4711" spans="1:8" hidden="1">
      <c r="A4711" s="495" t="s">
        <v>5058</v>
      </c>
      <c r="B4711" s="399" t="s">
        <v>1765</v>
      </c>
      <c r="C4711" s="399" t="s">
        <v>184</v>
      </c>
      <c r="D4711" s="399">
        <v>7900</v>
      </c>
      <c r="E4711" s="312" t="s">
        <v>5916</v>
      </c>
      <c r="F4711" s="399" t="s">
        <v>4134</v>
      </c>
      <c r="G4711" s="399" t="s">
        <v>2221</v>
      </c>
      <c r="H4711" s="1235"/>
    </row>
    <row r="4712" spans="1:8" hidden="1">
      <c r="A4712" s="495" t="s">
        <v>5058</v>
      </c>
      <c r="B4712" s="399" t="s">
        <v>1765</v>
      </c>
      <c r="C4712" s="399" t="s">
        <v>184</v>
      </c>
      <c r="D4712" s="399">
        <v>7910</v>
      </c>
      <c r="E4712" s="312" t="s">
        <v>5917</v>
      </c>
      <c r="F4712" s="399" t="s">
        <v>4136</v>
      </c>
      <c r="G4712" s="399" t="s">
        <v>2221</v>
      </c>
      <c r="H4712" s="1235"/>
    </row>
    <row r="4713" spans="1:8" hidden="1">
      <c r="A4713" s="495" t="s">
        <v>5058</v>
      </c>
      <c r="B4713" s="399" t="s">
        <v>1765</v>
      </c>
      <c r="C4713" s="399" t="s">
        <v>184</v>
      </c>
      <c r="D4713" s="399">
        <v>7911</v>
      </c>
      <c r="E4713" s="312" t="s">
        <v>5918</v>
      </c>
      <c r="F4713" s="399" t="s">
        <v>4138</v>
      </c>
      <c r="G4713" s="399" t="s">
        <v>2221</v>
      </c>
      <c r="H4713" s="1235"/>
    </row>
    <row r="4714" spans="1:8" hidden="1">
      <c r="A4714" s="495" t="s">
        <v>5058</v>
      </c>
      <c r="B4714" s="399" t="s">
        <v>1765</v>
      </c>
      <c r="C4714" s="399" t="s">
        <v>184</v>
      </c>
      <c r="D4714" s="399">
        <v>7912</v>
      </c>
      <c r="E4714" s="312" t="s">
        <v>5919</v>
      </c>
      <c r="F4714" s="399" t="s">
        <v>4140</v>
      </c>
      <c r="G4714" s="399" t="s">
        <v>2221</v>
      </c>
      <c r="H4714" s="1235"/>
    </row>
    <row r="4715" spans="1:8" hidden="1">
      <c r="A4715" s="495" t="s">
        <v>5058</v>
      </c>
      <c r="B4715" s="399" t="s">
        <v>1765</v>
      </c>
      <c r="C4715" s="399" t="s">
        <v>184</v>
      </c>
      <c r="D4715" s="399">
        <v>7990</v>
      </c>
      <c r="E4715" s="312" t="s">
        <v>5920</v>
      </c>
      <c r="F4715" s="399" t="s">
        <v>4142</v>
      </c>
      <c r="G4715" s="399" t="s">
        <v>2221</v>
      </c>
      <c r="H4715" s="1235"/>
    </row>
    <row r="4716" spans="1:8" hidden="1">
      <c r="A4716" s="495" t="s">
        <v>5058</v>
      </c>
      <c r="B4716" s="399" t="s">
        <v>1765</v>
      </c>
      <c r="C4716" s="399" t="s">
        <v>184</v>
      </c>
      <c r="D4716" s="399">
        <v>8000</v>
      </c>
      <c r="E4716" s="312" t="s">
        <v>5921</v>
      </c>
      <c r="F4716" s="399" t="s">
        <v>4143</v>
      </c>
      <c r="G4716" s="399" t="s">
        <v>2221</v>
      </c>
      <c r="H4716" s="1235"/>
    </row>
    <row r="4717" spans="1:8" hidden="1">
      <c r="A4717" s="495" t="s">
        <v>5058</v>
      </c>
      <c r="B4717" s="399" t="s">
        <v>1765</v>
      </c>
      <c r="C4717" s="399" t="s">
        <v>184</v>
      </c>
      <c r="D4717" s="399">
        <v>8010</v>
      </c>
      <c r="E4717" s="312" t="s">
        <v>5922</v>
      </c>
      <c r="F4717" s="399" t="s">
        <v>4145</v>
      </c>
      <c r="G4717" s="399" t="s">
        <v>2221</v>
      </c>
      <c r="H4717" s="1235"/>
    </row>
    <row r="4718" spans="1:8" hidden="1">
      <c r="A4718" s="495" t="s">
        <v>5058</v>
      </c>
      <c r="B4718" s="399" t="s">
        <v>1765</v>
      </c>
      <c r="C4718" s="399" t="s">
        <v>184</v>
      </c>
      <c r="D4718" s="399">
        <v>8020</v>
      </c>
      <c r="E4718" s="312" t="s">
        <v>5923</v>
      </c>
      <c r="F4718" s="399" t="s">
        <v>4147</v>
      </c>
      <c r="G4718" s="399" t="s">
        <v>2221</v>
      </c>
      <c r="H4718" s="1235"/>
    </row>
    <row r="4719" spans="1:8" hidden="1">
      <c r="A4719" s="495" t="s">
        <v>5058</v>
      </c>
      <c r="B4719" s="399" t="s">
        <v>1765</v>
      </c>
      <c r="C4719" s="399" t="s">
        <v>184</v>
      </c>
      <c r="D4719" s="399">
        <v>8030</v>
      </c>
      <c r="E4719" s="312" t="s">
        <v>5924</v>
      </c>
      <c r="F4719" s="399" t="s">
        <v>4149</v>
      </c>
      <c r="G4719" s="399" t="s">
        <v>2221</v>
      </c>
      <c r="H4719" s="1235"/>
    </row>
    <row r="4720" spans="1:8" hidden="1">
      <c r="A4720" s="495" t="s">
        <v>5058</v>
      </c>
      <c r="B4720" s="399" t="s">
        <v>1765</v>
      </c>
      <c r="C4720" s="399" t="s">
        <v>184</v>
      </c>
      <c r="D4720" s="399">
        <v>8100</v>
      </c>
      <c r="E4720" s="312" t="s">
        <v>5925</v>
      </c>
      <c r="F4720" s="399" t="s">
        <v>4150</v>
      </c>
      <c r="G4720" s="399" t="s">
        <v>2221</v>
      </c>
      <c r="H4720" s="1235"/>
    </row>
    <row r="4721" spans="1:8" hidden="1">
      <c r="A4721" s="495" t="s">
        <v>5058</v>
      </c>
      <c r="B4721" s="399" t="s">
        <v>1765</v>
      </c>
      <c r="C4721" s="399" t="s">
        <v>184</v>
      </c>
      <c r="D4721" s="399">
        <v>8110</v>
      </c>
      <c r="E4721" s="312" t="s">
        <v>5926</v>
      </c>
      <c r="F4721" s="399" t="s">
        <v>4152</v>
      </c>
      <c r="G4721" s="399" t="s">
        <v>2221</v>
      </c>
      <c r="H4721" s="1235"/>
    </row>
    <row r="4722" spans="1:8" hidden="1">
      <c r="A4722" s="495" t="s">
        <v>5058</v>
      </c>
      <c r="B4722" s="399" t="s">
        <v>1765</v>
      </c>
      <c r="C4722" s="399" t="s">
        <v>184</v>
      </c>
      <c r="D4722" s="399">
        <v>8120</v>
      </c>
      <c r="E4722" s="312" t="s">
        <v>5927</v>
      </c>
      <c r="F4722" s="399" t="s">
        <v>4154</v>
      </c>
      <c r="G4722" s="399" t="s">
        <v>2221</v>
      </c>
      <c r="H4722" s="1235"/>
    </row>
    <row r="4723" spans="1:8" hidden="1">
      <c r="A4723" s="495" t="s">
        <v>5058</v>
      </c>
      <c r="B4723" s="399" t="s">
        <v>1765</v>
      </c>
      <c r="C4723" s="399" t="s">
        <v>184</v>
      </c>
      <c r="D4723" s="399">
        <v>8121</v>
      </c>
      <c r="E4723" s="312" t="s">
        <v>5928</v>
      </c>
      <c r="F4723" s="399" t="s">
        <v>4156</v>
      </c>
      <c r="G4723" s="399" t="s">
        <v>2221</v>
      </c>
      <c r="H4723" s="1235"/>
    </row>
    <row r="4724" spans="1:8" hidden="1">
      <c r="A4724" s="495" t="s">
        <v>5058</v>
      </c>
      <c r="B4724" s="399" t="s">
        <v>1765</v>
      </c>
      <c r="C4724" s="399" t="s">
        <v>184</v>
      </c>
      <c r="D4724" s="399">
        <v>8122</v>
      </c>
      <c r="E4724" s="312" t="s">
        <v>5929</v>
      </c>
      <c r="F4724" s="399" t="s">
        <v>4158</v>
      </c>
      <c r="G4724" s="399" t="s">
        <v>2221</v>
      </c>
      <c r="H4724" s="1235"/>
    </row>
    <row r="4725" spans="1:8" hidden="1">
      <c r="A4725" s="495" t="s">
        <v>5058</v>
      </c>
      <c r="B4725" s="399" t="s">
        <v>1765</v>
      </c>
      <c r="C4725" s="399" t="s">
        <v>184</v>
      </c>
      <c r="D4725" s="399">
        <v>8129</v>
      </c>
      <c r="E4725" s="312" t="s">
        <v>5930</v>
      </c>
      <c r="F4725" s="399" t="s">
        <v>4160</v>
      </c>
      <c r="G4725" s="399" t="s">
        <v>2221</v>
      </c>
      <c r="H4725" s="1235"/>
    </row>
    <row r="4726" spans="1:8" hidden="1">
      <c r="A4726" s="495" t="s">
        <v>5058</v>
      </c>
      <c r="B4726" s="399" t="s">
        <v>1765</v>
      </c>
      <c r="C4726" s="399" t="s">
        <v>184</v>
      </c>
      <c r="D4726" s="399">
        <v>8130</v>
      </c>
      <c r="E4726" s="312" t="s">
        <v>5931</v>
      </c>
      <c r="F4726" s="399" t="s">
        <v>4162</v>
      </c>
      <c r="G4726" s="399" t="s">
        <v>2221</v>
      </c>
      <c r="H4726" s="1235"/>
    </row>
    <row r="4727" spans="1:8" hidden="1">
      <c r="A4727" s="495" t="s">
        <v>5058</v>
      </c>
      <c r="B4727" s="399" t="s">
        <v>1765</v>
      </c>
      <c r="C4727" s="399" t="s">
        <v>184</v>
      </c>
      <c r="D4727" s="399">
        <v>8200</v>
      </c>
      <c r="E4727" s="312" t="s">
        <v>5932</v>
      </c>
      <c r="F4727" s="399" t="s">
        <v>4163</v>
      </c>
      <c r="G4727" s="399" t="s">
        <v>2221</v>
      </c>
      <c r="H4727" s="1235"/>
    </row>
    <row r="4728" spans="1:8" hidden="1">
      <c r="A4728" s="495" t="s">
        <v>5058</v>
      </c>
      <c r="B4728" s="399" t="s">
        <v>1765</v>
      </c>
      <c r="C4728" s="399" t="s">
        <v>184</v>
      </c>
      <c r="D4728" s="399">
        <v>8210</v>
      </c>
      <c r="E4728" s="312" t="s">
        <v>5933</v>
      </c>
      <c r="F4728" s="399" t="s">
        <v>4165</v>
      </c>
      <c r="G4728" s="399" t="s">
        <v>2221</v>
      </c>
      <c r="H4728" s="1235"/>
    </row>
    <row r="4729" spans="1:8" hidden="1">
      <c r="A4729" s="495" t="s">
        <v>5058</v>
      </c>
      <c r="B4729" s="399" t="s">
        <v>1765</v>
      </c>
      <c r="C4729" s="399" t="s">
        <v>184</v>
      </c>
      <c r="D4729" s="399">
        <v>8211</v>
      </c>
      <c r="E4729" s="312" t="s">
        <v>5934</v>
      </c>
      <c r="F4729" s="399" t="s">
        <v>4167</v>
      </c>
      <c r="G4729" s="399" t="s">
        <v>2221</v>
      </c>
      <c r="H4729" s="1235"/>
    </row>
    <row r="4730" spans="1:8" hidden="1">
      <c r="A4730" s="495" t="s">
        <v>5058</v>
      </c>
      <c r="B4730" s="399" t="s">
        <v>1765</v>
      </c>
      <c r="C4730" s="399" t="s">
        <v>184</v>
      </c>
      <c r="D4730" s="399">
        <v>8219</v>
      </c>
      <c r="E4730" s="312" t="s">
        <v>5935</v>
      </c>
      <c r="F4730" s="399" t="s">
        <v>4169</v>
      </c>
      <c r="G4730" s="399" t="s">
        <v>2221</v>
      </c>
      <c r="H4730" s="1235"/>
    </row>
    <row r="4731" spans="1:8" hidden="1">
      <c r="A4731" s="495" t="s">
        <v>5058</v>
      </c>
      <c r="B4731" s="399" t="s">
        <v>1765</v>
      </c>
      <c r="C4731" s="399" t="s">
        <v>184</v>
      </c>
      <c r="D4731" s="399">
        <v>8220</v>
      </c>
      <c r="E4731" s="312" t="s">
        <v>5936</v>
      </c>
      <c r="F4731" s="399" t="s">
        <v>4171</v>
      </c>
      <c r="G4731" s="399" t="s">
        <v>2221</v>
      </c>
      <c r="H4731" s="1235"/>
    </row>
    <row r="4732" spans="1:8" hidden="1">
      <c r="A4732" s="495" t="s">
        <v>5058</v>
      </c>
      <c r="B4732" s="399" t="s">
        <v>1765</v>
      </c>
      <c r="C4732" s="399" t="s">
        <v>184</v>
      </c>
      <c r="D4732" s="399">
        <v>8230</v>
      </c>
      <c r="E4732" s="312" t="s">
        <v>5937</v>
      </c>
      <c r="F4732" s="399" t="s">
        <v>4173</v>
      </c>
      <c r="G4732" s="399" t="s">
        <v>2221</v>
      </c>
      <c r="H4732" s="1235"/>
    </row>
    <row r="4733" spans="1:8" hidden="1">
      <c r="A4733" s="495" t="s">
        <v>5058</v>
      </c>
      <c r="B4733" s="399" t="s">
        <v>1765</v>
      </c>
      <c r="C4733" s="399" t="s">
        <v>184</v>
      </c>
      <c r="D4733" s="399">
        <v>8290</v>
      </c>
      <c r="E4733" s="312" t="s">
        <v>5938</v>
      </c>
      <c r="F4733" s="399" t="s">
        <v>4175</v>
      </c>
      <c r="G4733" s="399" t="s">
        <v>2221</v>
      </c>
      <c r="H4733" s="1235"/>
    </row>
    <row r="4734" spans="1:8" hidden="1">
      <c r="A4734" s="495" t="s">
        <v>5058</v>
      </c>
      <c r="B4734" s="399" t="s">
        <v>1765</v>
      </c>
      <c r="C4734" s="399" t="s">
        <v>184</v>
      </c>
      <c r="D4734" s="399">
        <v>8291</v>
      </c>
      <c r="E4734" s="312" t="s">
        <v>5939</v>
      </c>
      <c r="F4734" s="399" t="s">
        <v>4177</v>
      </c>
      <c r="G4734" s="399" t="s">
        <v>2221</v>
      </c>
      <c r="H4734" s="1235"/>
    </row>
    <row r="4735" spans="1:8" hidden="1">
      <c r="A4735" s="495" t="s">
        <v>5058</v>
      </c>
      <c r="B4735" s="399" t="s">
        <v>1765</v>
      </c>
      <c r="C4735" s="399" t="s">
        <v>184</v>
      </c>
      <c r="D4735" s="399">
        <v>8292</v>
      </c>
      <c r="E4735" s="312" t="s">
        <v>5940</v>
      </c>
      <c r="F4735" s="399" t="s">
        <v>4179</v>
      </c>
      <c r="G4735" s="399" t="s">
        <v>2221</v>
      </c>
      <c r="H4735" s="1235"/>
    </row>
    <row r="4736" spans="1:8" hidden="1">
      <c r="A4736" s="495" t="s">
        <v>5058</v>
      </c>
      <c r="B4736" s="399" t="s">
        <v>1765</v>
      </c>
      <c r="C4736" s="399" t="s">
        <v>184</v>
      </c>
      <c r="D4736" s="399">
        <v>8299</v>
      </c>
      <c r="E4736" s="312" t="s">
        <v>5941</v>
      </c>
      <c r="F4736" s="399" t="s">
        <v>4181</v>
      </c>
      <c r="G4736" s="399" t="s">
        <v>2221</v>
      </c>
      <c r="H4736" s="1235"/>
    </row>
    <row r="4737" spans="1:8" hidden="1">
      <c r="A4737" s="495" t="s">
        <v>5058</v>
      </c>
      <c r="B4737" s="399" t="s">
        <v>1765</v>
      </c>
      <c r="C4737" s="399" t="s">
        <v>184</v>
      </c>
      <c r="D4737" s="399">
        <v>8400</v>
      </c>
      <c r="E4737" s="312" t="s">
        <v>5942</v>
      </c>
      <c r="F4737" s="399" t="s">
        <v>4182</v>
      </c>
      <c r="G4737" s="399" t="s">
        <v>2221</v>
      </c>
      <c r="H4737" s="1235"/>
    </row>
    <row r="4738" spans="1:8" hidden="1">
      <c r="A4738" s="495" t="s">
        <v>5058</v>
      </c>
      <c r="B4738" s="399" t="s">
        <v>1765</v>
      </c>
      <c r="C4738" s="399" t="s">
        <v>184</v>
      </c>
      <c r="D4738" s="399">
        <v>8410</v>
      </c>
      <c r="E4738" s="312" t="s">
        <v>5943</v>
      </c>
      <c r="F4738" s="399" t="s">
        <v>4184</v>
      </c>
      <c r="G4738" s="399" t="s">
        <v>2221</v>
      </c>
      <c r="H4738" s="1235"/>
    </row>
    <row r="4739" spans="1:8" hidden="1">
      <c r="A4739" s="495" t="s">
        <v>5058</v>
      </c>
      <c r="B4739" s="399" t="s">
        <v>1765</v>
      </c>
      <c r="C4739" s="399" t="s">
        <v>184</v>
      </c>
      <c r="D4739" s="399">
        <v>8411</v>
      </c>
      <c r="E4739" s="312" t="s">
        <v>5944</v>
      </c>
      <c r="F4739" s="399" t="s">
        <v>4186</v>
      </c>
      <c r="G4739" s="399" t="s">
        <v>2221</v>
      </c>
      <c r="H4739" s="1235"/>
    </row>
    <row r="4740" spans="1:8" hidden="1">
      <c r="A4740" s="495" t="s">
        <v>5058</v>
      </c>
      <c r="B4740" s="399" t="s">
        <v>1765</v>
      </c>
      <c r="C4740" s="399" t="s">
        <v>184</v>
      </c>
      <c r="D4740" s="399">
        <v>8412</v>
      </c>
      <c r="E4740" s="312" t="s">
        <v>5945</v>
      </c>
      <c r="F4740" s="399" t="s">
        <v>4188</v>
      </c>
      <c r="G4740" s="399" t="s">
        <v>2221</v>
      </c>
      <c r="H4740" s="1235"/>
    </row>
    <row r="4741" spans="1:8" hidden="1">
      <c r="A4741" s="495" t="s">
        <v>5058</v>
      </c>
      <c r="B4741" s="399" t="s">
        <v>1765</v>
      </c>
      <c r="C4741" s="399" t="s">
        <v>184</v>
      </c>
      <c r="D4741" s="399">
        <v>8413</v>
      </c>
      <c r="E4741" s="312" t="s">
        <v>5946</v>
      </c>
      <c r="F4741" s="399" t="s">
        <v>4190</v>
      </c>
      <c r="G4741" s="399" t="s">
        <v>2221</v>
      </c>
      <c r="H4741" s="1235"/>
    </row>
    <row r="4742" spans="1:8" hidden="1">
      <c r="A4742" s="495" t="s">
        <v>5058</v>
      </c>
      <c r="B4742" s="399" t="s">
        <v>1765</v>
      </c>
      <c r="C4742" s="399" t="s">
        <v>184</v>
      </c>
      <c r="D4742" s="399">
        <v>8420</v>
      </c>
      <c r="E4742" s="312" t="s">
        <v>5947</v>
      </c>
      <c r="F4742" s="399" t="s">
        <v>4192</v>
      </c>
      <c r="G4742" s="399" t="s">
        <v>2221</v>
      </c>
      <c r="H4742" s="1235"/>
    </row>
    <row r="4743" spans="1:8" hidden="1">
      <c r="A4743" s="495" t="s">
        <v>5058</v>
      </c>
      <c r="B4743" s="399" t="s">
        <v>1765</v>
      </c>
      <c r="C4743" s="399" t="s">
        <v>184</v>
      </c>
      <c r="D4743" s="399">
        <v>8421</v>
      </c>
      <c r="E4743" s="312" t="s">
        <v>5948</v>
      </c>
      <c r="F4743" s="399" t="s">
        <v>4194</v>
      </c>
      <c r="G4743" s="399" t="s">
        <v>2221</v>
      </c>
      <c r="H4743" s="1235"/>
    </row>
    <row r="4744" spans="1:8" hidden="1">
      <c r="A4744" s="495" t="s">
        <v>5058</v>
      </c>
      <c r="B4744" s="399" t="s">
        <v>1765</v>
      </c>
      <c r="C4744" s="399" t="s">
        <v>184</v>
      </c>
      <c r="D4744" s="399">
        <v>8422</v>
      </c>
      <c r="E4744" s="312" t="s">
        <v>5949</v>
      </c>
      <c r="F4744" s="399" t="s">
        <v>4196</v>
      </c>
      <c r="G4744" s="399" t="s">
        <v>2221</v>
      </c>
      <c r="H4744" s="1235"/>
    </row>
    <row r="4745" spans="1:8" hidden="1">
      <c r="A4745" s="495" t="s">
        <v>5058</v>
      </c>
      <c r="B4745" s="399" t="s">
        <v>1765</v>
      </c>
      <c r="C4745" s="399" t="s">
        <v>184</v>
      </c>
      <c r="D4745" s="399">
        <v>8423</v>
      </c>
      <c r="E4745" s="312" t="s">
        <v>5950</v>
      </c>
      <c r="F4745" s="399" t="s">
        <v>4198</v>
      </c>
      <c r="G4745" s="399" t="s">
        <v>2221</v>
      </c>
      <c r="H4745" s="1235"/>
    </row>
    <row r="4746" spans="1:8" hidden="1">
      <c r="A4746" s="495" t="s">
        <v>5058</v>
      </c>
      <c r="B4746" s="399" t="s">
        <v>1765</v>
      </c>
      <c r="C4746" s="399" t="s">
        <v>184</v>
      </c>
      <c r="D4746" s="399">
        <v>8424</v>
      </c>
      <c r="E4746" s="312" t="s">
        <v>5951</v>
      </c>
      <c r="F4746" s="399" t="s">
        <v>4200</v>
      </c>
      <c r="G4746" s="399" t="s">
        <v>2221</v>
      </c>
      <c r="H4746" s="1235"/>
    </row>
    <row r="4747" spans="1:8" hidden="1">
      <c r="A4747" s="495" t="s">
        <v>5058</v>
      </c>
      <c r="B4747" s="399" t="s">
        <v>1765</v>
      </c>
      <c r="C4747" s="399" t="s">
        <v>184</v>
      </c>
      <c r="D4747" s="399">
        <v>8425</v>
      </c>
      <c r="E4747" s="312" t="s">
        <v>5952</v>
      </c>
      <c r="F4747" s="399" t="s">
        <v>4202</v>
      </c>
      <c r="G4747" s="399" t="s">
        <v>2221</v>
      </c>
      <c r="H4747" s="1235"/>
    </row>
    <row r="4748" spans="1:8" hidden="1">
      <c r="A4748" s="495" t="s">
        <v>5058</v>
      </c>
      <c r="B4748" s="399" t="s">
        <v>1765</v>
      </c>
      <c r="C4748" s="399" t="s">
        <v>184</v>
      </c>
      <c r="D4748" s="399">
        <v>8430</v>
      </c>
      <c r="E4748" s="312" t="s">
        <v>5953</v>
      </c>
      <c r="F4748" s="399" t="s">
        <v>4204</v>
      </c>
      <c r="G4748" s="399" t="s">
        <v>2221</v>
      </c>
      <c r="H4748" s="1235"/>
    </row>
    <row r="4749" spans="1:8" hidden="1">
      <c r="A4749" s="495" t="s">
        <v>5058</v>
      </c>
      <c r="B4749" s="399" t="s">
        <v>1765</v>
      </c>
      <c r="C4749" s="399" t="s">
        <v>184</v>
      </c>
      <c r="D4749" s="399">
        <v>8500</v>
      </c>
      <c r="E4749" s="312" t="s">
        <v>5954</v>
      </c>
      <c r="F4749" s="399" t="s">
        <v>4205</v>
      </c>
      <c r="G4749" s="399" t="s">
        <v>2221</v>
      </c>
      <c r="H4749" s="1235"/>
    </row>
    <row r="4750" spans="1:8" hidden="1">
      <c r="A4750" s="495" t="s">
        <v>5058</v>
      </c>
      <c r="B4750" s="399" t="s">
        <v>1765</v>
      </c>
      <c r="C4750" s="399" t="s">
        <v>184</v>
      </c>
      <c r="D4750" s="399">
        <v>8510</v>
      </c>
      <c r="E4750" s="312" t="s">
        <v>5955</v>
      </c>
      <c r="F4750" s="399" t="s">
        <v>4207</v>
      </c>
      <c r="G4750" s="399" t="s">
        <v>2221</v>
      </c>
      <c r="H4750" s="1235"/>
    </row>
    <row r="4751" spans="1:8" hidden="1">
      <c r="A4751" s="495" t="s">
        <v>5058</v>
      </c>
      <c r="B4751" s="399" t="s">
        <v>1765</v>
      </c>
      <c r="C4751" s="399" t="s">
        <v>184</v>
      </c>
      <c r="D4751" s="399">
        <v>8520</v>
      </c>
      <c r="E4751" s="312" t="s">
        <v>5956</v>
      </c>
      <c r="F4751" s="399" t="s">
        <v>4209</v>
      </c>
      <c r="G4751" s="399" t="s">
        <v>2221</v>
      </c>
      <c r="H4751" s="1235"/>
    </row>
    <row r="4752" spans="1:8" hidden="1">
      <c r="A4752" s="495" t="s">
        <v>5058</v>
      </c>
      <c r="B4752" s="399" t="s">
        <v>1765</v>
      </c>
      <c r="C4752" s="399" t="s">
        <v>184</v>
      </c>
      <c r="D4752" s="399">
        <v>8530</v>
      </c>
      <c r="E4752" s="312" t="s">
        <v>5957</v>
      </c>
      <c r="F4752" s="399" t="s">
        <v>4211</v>
      </c>
      <c r="G4752" s="399" t="s">
        <v>2221</v>
      </c>
      <c r="H4752" s="1235"/>
    </row>
    <row r="4753" spans="1:8" hidden="1">
      <c r="A4753" s="495" t="s">
        <v>5058</v>
      </c>
      <c r="B4753" s="399" t="s">
        <v>1765</v>
      </c>
      <c r="C4753" s="399" t="s">
        <v>184</v>
      </c>
      <c r="D4753" s="399">
        <v>8531</v>
      </c>
      <c r="E4753" s="312" t="s">
        <v>5958</v>
      </c>
      <c r="F4753" s="399" t="s">
        <v>4213</v>
      </c>
      <c r="G4753" s="399" t="s">
        <v>2221</v>
      </c>
      <c r="H4753" s="1235"/>
    </row>
    <row r="4754" spans="1:8" hidden="1">
      <c r="A4754" s="495" t="s">
        <v>5058</v>
      </c>
      <c r="B4754" s="399" t="s">
        <v>1765</v>
      </c>
      <c r="C4754" s="399" t="s">
        <v>184</v>
      </c>
      <c r="D4754" s="399">
        <v>8532</v>
      </c>
      <c r="E4754" s="312" t="s">
        <v>5959</v>
      </c>
      <c r="F4754" s="399" t="s">
        <v>4215</v>
      </c>
      <c r="G4754" s="399" t="s">
        <v>2221</v>
      </c>
      <c r="H4754" s="1235"/>
    </row>
    <row r="4755" spans="1:8" hidden="1">
      <c r="A4755" s="495" t="s">
        <v>5058</v>
      </c>
      <c r="B4755" s="399" t="s">
        <v>1765</v>
      </c>
      <c r="C4755" s="399" t="s">
        <v>184</v>
      </c>
      <c r="D4755" s="399">
        <v>8540</v>
      </c>
      <c r="E4755" s="312" t="s">
        <v>5960</v>
      </c>
      <c r="F4755" s="399" t="s">
        <v>4217</v>
      </c>
      <c r="G4755" s="399" t="s">
        <v>2221</v>
      </c>
      <c r="H4755" s="1235"/>
    </row>
    <row r="4756" spans="1:8" hidden="1">
      <c r="A4756" s="495" t="s">
        <v>5058</v>
      </c>
      <c r="B4756" s="399" t="s">
        <v>1765</v>
      </c>
      <c r="C4756" s="399" t="s">
        <v>184</v>
      </c>
      <c r="D4756" s="399">
        <v>8541</v>
      </c>
      <c r="E4756" s="312" t="s">
        <v>5961</v>
      </c>
      <c r="F4756" s="399" t="s">
        <v>4219</v>
      </c>
      <c r="G4756" s="399" t="s">
        <v>2221</v>
      </c>
      <c r="H4756" s="1235"/>
    </row>
    <row r="4757" spans="1:8" hidden="1">
      <c r="A4757" s="495" t="s">
        <v>5058</v>
      </c>
      <c r="B4757" s="399" t="s">
        <v>1765</v>
      </c>
      <c r="C4757" s="399" t="s">
        <v>184</v>
      </c>
      <c r="D4757" s="399">
        <v>8542</v>
      </c>
      <c r="E4757" s="312" t="s">
        <v>5962</v>
      </c>
      <c r="F4757" s="399" t="s">
        <v>4221</v>
      </c>
      <c r="G4757" s="399" t="s">
        <v>2221</v>
      </c>
      <c r="H4757" s="1235"/>
    </row>
    <row r="4758" spans="1:8" hidden="1">
      <c r="A4758" s="495" t="s">
        <v>5058</v>
      </c>
      <c r="B4758" s="399" t="s">
        <v>1765</v>
      </c>
      <c r="C4758" s="399" t="s">
        <v>184</v>
      </c>
      <c r="D4758" s="399">
        <v>8550</v>
      </c>
      <c r="E4758" s="312" t="s">
        <v>5963</v>
      </c>
      <c r="F4758" s="399" t="s">
        <v>4223</v>
      </c>
      <c r="G4758" s="399" t="s">
        <v>2221</v>
      </c>
      <c r="H4758" s="1235"/>
    </row>
    <row r="4759" spans="1:8" hidden="1">
      <c r="A4759" s="495" t="s">
        <v>5058</v>
      </c>
      <c r="B4759" s="399" t="s">
        <v>1765</v>
      </c>
      <c r="C4759" s="399" t="s">
        <v>184</v>
      </c>
      <c r="D4759" s="399">
        <v>8551</v>
      </c>
      <c r="E4759" s="312" t="s">
        <v>5964</v>
      </c>
      <c r="F4759" s="399" t="s">
        <v>4225</v>
      </c>
      <c r="G4759" s="399" t="s">
        <v>2221</v>
      </c>
      <c r="H4759" s="1235"/>
    </row>
    <row r="4760" spans="1:8" hidden="1">
      <c r="A4760" s="495" t="s">
        <v>5058</v>
      </c>
      <c r="B4760" s="399" t="s">
        <v>1765</v>
      </c>
      <c r="C4760" s="399" t="s">
        <v>184</v>
      </c>
      <c r="D4760" s="399">
        <v>8552</v>
      </c>
      <c r="E4760" s="312" t="s">
        <v>5965</v>
      </c>
      <c r="F4760" s="399" t="s">
        <v>4227</v>
      </c>
      <c r="G4760" s="399" t="s">
        <v>2221</v>
      </c>
      <c r="H4760" s="1235"/>
    </row>
    <row r="4761" spans="1:8" hidden="1">
      <c r="A4761" s="495" t="s">
        <v>5058</v>
      </c>
      <c r="B4761" s="399" t="s">
        <v>1765</v>
      </c>
      <c r="C4761" s="399" t="s">
        <v>184</v>
      </c>
      <c r="D4761" s="399">
        <v>8553</v>
      </c>
      <c r="E4761" s="312" t="s">
        <v>5966</v>
      </c>
      <c r="F4761" s="399" t="s">
        <v>4229</v>
      </c>
      <c r="G4761" s="399" t="s">
        <v>2221</v>
      </c>
      <c r="H4761" s="1235"/>
    </row>
    <row r="4762" spans="1:8" hidden="1">
      <c r="A4762" s="495" t="s">
        <v>5058</v>
      </c>
      <c r="B4762" s="399" t="s">
        <v>1765</v>
      </c>
      <c r="C4762" s="399" t="s">
        <v>184</v>
      </c>
      <c r="D4762" s="399">
        <v>8559</v>
      </c>
      <c r="E4762" s="312" t="s">
        <v>5967</v>
      </c>
      <c r="F4762" s="399" t="s">
        <v>4231</v>
      </c>
      <c r="G4762" s="399" t="s">
        <v>2221</v>
      </c>
      <c r="H4762" s="1235"/>
    </row>
    <row r="4763" spans="1:8" hidden="1">
      <c r="A4763" s="495" t="s">
        <v>5058</v>
      </c>
      <c r="B4763" s="399" t="s">
        <v>1765</v>
      </c>
      <c r="C4763" s="399" t="s">
        <v>184</v>
      </c>
      <c r="D4763" s="399">
        <v>8560</v>
      </c>
      <c r="E4763" s="312" t="s">
        <v>5968</v>
      </c>
      <c r="F4763" s="399" t="s">
        <v>4233</v>
      </c>
      <c r="G4763" s="399" t="s">
        <v>2221</v>
      </c>
      <c r="H4763" s="1235"/>
    </row>
    <row r="4764" spans="1:8" hidden="1">
      <c r="A4764" s="495" t="s">
        <v>5058</v>
      </c>
      <c r="B4764" s="399" t="s">
        <v>1765</v>
      </c>
      <c r="C4764" s="399" t="s">
        <v>184</v>
      </c>
      <c r="D4764" s="399">
        <v>8600</v>
      </c>
      <c r="E4764" s="312" t="s">
        <v>5969</v>
      </c>
      <c r="F4764" s="399" t="s">
        <v>4234</v>
      </c>
      <c r="G4764" s="399" t="s">
        <v>2221</v>
      </c>
      <c r="H4764" s="1235"/>
    </row>
    <row r="4765" spans="1:8" hidden="1">
      <c r="A4765" s="495" t="s">
        <v>5058</v>
      </c>
      <c r="B4765" s="399" t="s">
        <v>1765</v>
      </c>
      <c r="C4765" s="399" t="s">
        <v>184</v>
      </c>
      <c r="D4765" s="399">
        <v>8610</v>
      </c>
      <c r="E4765" s="312" t="s">
        <v>5970</v>
      </c>
      <c r="F4765" s="399" t="s">
        <v>4236</v>
      </c>
      <c r="G4765" s="399" t="s">
        <v>2221</v>
      </c>
      <c r="H4765" s="1235"/>
    </row>
    <row r="4766" spans="1:8" hidden="1">
      <c r="A4766" s="495" t="s">
        <v>5058</v>
      </c>
      <c r="B4766" s="399" t="s">
        <v>1765</v>
      </c>
      <c r="C4766" s="399" t="s">
        <v>184</v>
      </c>
      <c r="D4766" s="399">
        <v>8620</v>
      </c>
      <c r="E4766" s="312" t="s">
        <v>5971</v>
      </c>
      <c r="F4766" s="399" t="s">
        <v>4238</v>
      </c>
      <c r="G4766" s="399" t="s">
        <v>2221</v>
      </c>
      <c r="H4766" s="1235"/>
    </row>
    <row r="4767" spans="1:8" hidden="1">
      <c r="A4767" s="495" t="s">
        <v>5058</v>
      </c>
      <c r="B4767" s="399" t="s">
        <v>1765</v>
      </c>
      <c r="C4767" s="399" t="s">
        <v>184</v>
      </c>
      <c r="D4767" s="399">
        <v>8621</v>
      </c>
      <c r="E4767" s="312" t="s">
        <v>5972</v>
      </c>
      <c r="F4767" s="399" t="s">
        <v>4240</v>
      </c>
      <c r="G4767" s="399" t="s">
        <v>2221</v>
      </c>
      <c r="H4767" s="1235"/>
    </row>
    <row r="4768" spans="1:8" hidden="1">
      <c r="A4768" s="495" t="s">
        <v>5058</v>
      </c>
      <c r="B4768" s="399" t="s">
        <v>1765</v>
      </c>
      <c r="C4768" s="399" t="s">
        <v>184</v>
      </c>
      <c r="D4768" s="399">
        <v>8622</v>
      </c>
      <c r="E4768" s="312" t="s">
        <v>5973</v>
      </c>
      <c r="F4768" s="399" t="s">
        <v>4242</v>
      </c>
      <c r="G4768" s="399" t="s">
        <v>2221</v>
      </c>
      <c r="H4768" s="1235"/>
    </row>
    <row r="4769" spans="1:8" hidden="1">
      <c r="A4769" s="495" t="s">
        <v>5058</v>
      </c>
      <c r="B4769" s="399" t="s">
        <v>1765</v>
      </c>
      <c r="C4769" s="399" t="s">
        <v>184</v>
      </c>
      <c r="D4769" s="399">
        <v>8623</v>
      </c>
      <c r="E4769" s="312" t="s">
        <v>5974</v>
      </c>
      <c r="F4769" s="399" t="s">
        <v>4244</v>
      </c>
      <c r="G4769" s="399" t="s">
        <v>2221</v>
      </c>
      <c r="H4769" s="1235"/>
    </row>
    <row r="4770" spans="1:8" hidden="1">
      <c r="A4770" s="495" t="s">
        <v>5058</v>
      </c>
      <c r="B4770" s="399" t="s">
        <v>1765</v>
      </c>
      <c r="C4770" s="399" t="s">
        <v>184</v>
      </c>
      <c r="D4770" s="399">
        <v>8690</v>
      </c>
      <c r="E4770" s="312" t="s">
        <v>5975</v>
      </c>
      <c r="F4770" s="399" t="s">
        <v>4246</v>
      </c>
      <c r="G4770" s="399" t="s">
        <v>2221</v>
      </c>
      <c r="H4770" s="1235"/>
    </row>
    <row r="4771" spans="1:8" hidden="1">
      <c r="A4771" s="495" t="s">
        <v>5058</v>
      </c>
      <c r="B4771" s="399" t="s">
        <v>1765</v>
      </c>
      <c r="C4771" s="399" t="s">
        <v>184</v>
      </c>
      <c r="D4771" s="399">
        <v>8700</v>
      </c>
      <c r="E4771" s="312" t="s">
        <v>5976</v>
      </c>
      <c r="F4771" s="399" t="s">
        <v>4247</v>
      </c>
      <c r="G4771" s="399" t="s">
        <v>2221</v>
      </c>
      <c r="H4771" s="1235"/>
    </row>
    <row r="4772" spans="1:8" hidden="1">
      <c r="A4772" s="495" t="s">
        <v>5058</v>
      </c>
      <c r="B4772" s="399" t="s">
        <v>1765</v>
      </c>
      <c r="C4772" s="399" t="s">
        <v>184</v>
      </c>
      <c r="D4772" s="399">
        <v>8710</v>
      </c>
      <c r="E4772" s="312" t="s">
        <v>5977</v>
      </c>
      <c r="F4772" s="399" t="s">
        <v>4249</v>
      </c>
      <c r="G4772" s="399" t="s">
        <v>2221</v>
      </c>
      <c r="H4772" s="1235"/>
    </row>
    <row r="4773" spans="1:8" hidden="1">
      <c r="A4773" s="495" t="s">
        <v>5058</v>
      </c>
      <c r="B4773" s="399" t="s">
        <v>1765</v>
      </c>
      <c r="C4773" s="399" t="s">
        <v>184</v>
      </c>
      <c r="D4773" s="399">
        <v>8720</v>
      </c>
      <c r="E4773" s="312" t="s">
        <v>5978</v>
      </c>
      <c r="F4773" s="399" t="s">
        <v>4251</v>
      </c>
      <c r="G4773" s="399" t="s">
        <v>2221</v>
      </c>
      <c r="H4773" s="1235"/>
    </row>
    <row r="4774" spans="1:8" hidden="1">
      <c r="A4774" s="495" t="s">
        <v>5058</v>
      </c>
      <c r="B4774" s="399" t="s">
        <v>1765</v>
      </c>
      <c r="C4774" s="399" t="s">
        <v>184</v>
      </c>
      <c r="D4774" s="399">
        <v>8730</v>
      </c>
      <c r="E4774" s="312" t="s">
        <v>5979</v>
      </c>
      <c r="F4774" s="399" t="s">
        <v>4253</v>
      </c>
      <c r="G4774" s="399" t="s">
        <v>2221</v>
      </c>
      <c r="H4774" s="1235"/>
    </row>
    <row r="4775" spans="1:8" hidden="1">
      <c r="A4775" s="495" t="s">
        <v>5058</v>
      </c>
      <c r="B4775" s="399" t="s">
        <v>1765</v>
      </c>
      <c r="C4775" s="399" t="s">
        <v>184</v>
      </c>
      <c r="D4775" s="399">
        <v>8790</v>
      </c>
      <c r="E4775" s="312" t="s">
        <v>5980</v>
      </c>
      <c r="F4775" s="399" t="s">
        <v>4255</v>
      </c>
      <c r="G4775" s="399" t="s">
        <v>2221</v>
      </c>
      <c r="H4775" s="1235"/>
    </row>
    <row r="4776" spans="1:8" hidden="1">
      <c r="A4776" s="495" t="s">
        <v>5058</v>
      </c>
      <c r="B4776" s="399" t="s">
        <v>1765</v>
      </c>
      <c r="C4776" s="399" t="s">
        <v>184</v>
      </c>
      <c r="D4776" s="399">
        <v>8800</v>
      </c>
      <c r="E4776" s="312" t="s">
        <v>5981</v>
      </c>
      <c r="F4776" s="399" t="s">
        <v>4256</v>
      </c>
      <c r="G4776" s="399" t="s">
        <v>2221</v>
      </c>
      <c r="H4776" s="1235"/>
    </row>
    <row r="4777" spans="1:8" hidden="1">
      <c r="A4777" s="495" t="s">
        <v>5058</v>
      </c>
      <c r="B4777" s="399" t="s">
        <v>1765</v>
      </c>
      <c r="C4777" s="399" t="s">
        <v>184</v>
      </c>
      <c r="D4777" s="399">
        <v>8810</v>
      </c>
      <c r="E4777" s="312" t="s">
        <v>5982</v>
      </c>
      <c r="F4777" s="399" t="s">
        <v>4258</v>
      </c>
      <c r="G4777" s="399" t="s">
        <v>2221</v>
      </c>
      <c r="H4777" s="1235"/>
    </row>
    <row r="4778" spans="1:8" hidden="1">
      <c r="A4778" s="495" t="s">
        <v>5058</v>
      </c>
      <c r="B4778" s="399" t="s">
        <v>1765</v>
      </c>
      <c r="C4778" s="399" t="s">
        <v>184</v>
      </c>
      <c r="D4778" s="399">
        <v>8890</v>
      </c>
      <c r="E4778" s="312" t="s">
        <v>5983</v>
      </c>
      <c r="F4778" s="399" t="s">
        <v>4260</v>
      </c>
      <c r="G4778" s="399" t="s">
        <v>2221</v>
      </c>
      <c r="H4778" s="1235"/>
    </row>
    <row r="4779" spans="1:8" hidden="1">
      <c r="A4779" s="495" t="s">
        <v>5058</v>
      </c>
      <c r="B4779" s="399" t="s">
        <v>1765</v>
      </c>
      <c r="C4779" s="399" t="s">
        <v>184</v>
      </c>
      <c r="D4779" s="399">
        <v>8891</v>
      </c>
      <c r="E4779" s="312" t="s">
        <v>5984</v>
      </c>
      <c r="F4779" s="399" t="s">
        <v>4262</v>
      </c>
      <c r="G4779" s="399" t="s">
        <v>2221</v>
      </c>
      <c r="H4779" s="1235"/>
    </row>
    <row r="4780" spans="1:8" hidden="1">
      <c r="A4780" s="495" t="s">
        <v>5058</v>
      </c>
      <c r="B4780" s="399" t="s">
        <v>1765</v>
      </c>
      <c r="C4780" s="399" t="s">
        <v>184</v>
      </c>
      <c r="D4780" s="399">
        <v>8899</v>
      </c>
      <c r="E4780" s="312" t="s">
        <v>5985</v>
      </c>
      <c r="F4780" s="399" t="s">
        <v>4264</v>
      </c>
      <c r="G4780" s="399" t="s">
        <v>2221</v>
      </c>
      <c r="H4780" s="1235"/>
    </row>
    <row r="4781" spans="1:8" hidden="1">
      <c r="A4781" s="495" t="s">
        <v>5058</v>
      </c>
      <c r="B4781" s="399" t="s">
        <v>1765</v>
      </c>
      <c r="C4781" s="399" t="s">
        <v>184</v>
      </c>
      <c r="D4781" s="399">
        <v>9000</v>
      </c>
      <c r="E4781" s="312" t="s">
        <v>5986</v>
      </c>
      <c r="F4781" s="399" t="s">
        <v>4265</v>
      </c>
      <c r="G4781" s="399" t="s">
        <v>2221</v>
      </c>
      <c r="H4781" s="1235"/>
    </row>
    <row r="4782" spans="1:8" hidden="1">
      <c r="A4782" s="495" t="s">
        <v>5058</v>
      </c>
      <c r="B4782" s="399" t="s">
        <v>1765</v>
      </c>
      <c r="C4782" s="399" t="s">
        <v>184</v>
      </c>
      <c r="D4782" s="399">
        <v>9001</v>
      </c>
      <c r="E4782" s="312" t="s">
        <v>5987</v>
      </c>
      <c r="F4782" s="399" t="s">
        <v>4267</v>
      </c>
      <c r="G4782" s="399" t="s">
        <v>2221</v>
      </c>
      <c r="H4782" s="1235"/>
    </row>
    <row r="4783" spans="1:8" hidden="1">
      <c r="A4783" s="495" t="s">
        <v>5058</v>
      </c>
      <c r="B4783" s="399" t="s">
        <v>1765</v>
      </c>
      <c r="C4783" s="399" t="s">
        <v>184</v>
      </c>
      <c r="D4783" s="399">
        <v>9002</v>
      </c>
      <c r="E4783" s="312" t="s">
        <v>5988</v>
      </c>
      <c r="F4783" s="399" t="s">
        <v>4269</v>
      </c>
      <c r="G4783" s="399" t="s">
        <v>2221</v>
      </c>
      <c r="H4783" s="1235"/>
    </row>
    <row r="4784" spans="1:8" hidden="1">
      <c r="A4784" s="495" t="s">
        <v>5058</v>
      </c>
      <c r="B4784" s="399" t="s">
        <v>1765</v>
      </c>
      <c r="C4784" s="399" t="s">
        <v>184</v>
      </c>
      <c r="D4784" s="399">
        <v>9003</v>
      </c>
      <c r="E4784" s="312" t="s">
        <v>5989</v>
      </c>
      <c r="F4784" s="399" t="s">
        <v>4271</v>
      </c>
      <c r="G4784" s="399" t="s">
        <v>2221</v>
      </c>
      <c r="H4784" s="1235"/>
    </row>
    <row r="4785" spans="1:8" hidden="1">
      <c r="A4785" s="495" t="s">
        <v>5058</v>
      </c>
      <c r="B4785" s="399" t="s">
        <v>1765</v>
      </c>
      <c r="C4785" s="399" t="s">
        <v>184</v>
      </c>
      <c r="D4785" s="399">
        <v>9004</v>
      </c>
      <c r="E4785" s="312" t="s">
        <v>5990</v>
      </c>
      <c r="F4785" s="399" t="s">
        <v>4273</v>
      </c>
      <c r="G4785" s="399" t="s">
        <v>2221</v>
      </c>
      <c r="H4785" s="1235"/>
    </row>
    <row r="4786" spans="1:8" hidden="1">
      <c r="A4786" s="495" t="s">
        <v>5058</v>
      </c>
      <c r="B4786" s="399" t="s">
        <v>1765</v>
      </c>
      <c r="C4786" s="399" t="s">
        <v>184</v>
      </c>
      <c r="D4786" s="399">
        <v>9100</v>
      </c>
      <c r="E4786" s="312" t="s">
        <v>5991</v>
      </c>
      <c r="F4786" s="399" t="s">
        <v>4274</v>
      </c>
      <c r="G4786" s="399" t="s">
        <v>2221</v>
      </c>
      <c r="H4786" s="1235"/>
    </row>
    <row r="4787" spans="1:8" hidden="1">
      <c r="A4787" s="495" t="s">
        <v>5058</v>
      </c>
      <c r="B4787" s="399" t="s">
        <v>1765</v>
      </c>
      <c r="C4787" s="399" t="s">
        <v>184</v>
      </c>
      <c r="D4787" s="399">
        <v>9101</v>
      </c>
      <c r="E4787" s="312" t="s">
        <v>5992</v>
      </c>
      <c r="F4787" s="399" t="s">
        <v>4276</v>
      </c>
      <c r="G4787" s="399" t="s">
        <v>2221</v>
      </c>
      <c r="H4787" s="1235"/>
    </row>
    <row r="4788" spans="1:8" hidden="1">
      <c r="A4788" s="495" t="s">
        <v>5058</v>
      </c>
      <c r="B4788" s="399" t="s">
        <v>1765</v>
      </c>
      <c r="C4788" s="399" t="s">
        <v>184</v>
      </c>
      <c r="D4788" s="399">
        <v>9102</v>
      </c>
      <c r="E4788" s="312" t="s">
        <v>5993</v>
      </c>
      <c r="F4788" s="399" t="s">
        <v>4278</v>
      </c>
      <c r="G4788" s="399" t="s">
        <v>2221</v>
      </c>
      <c r="H4788" s="1235"/>
    </row>
    <row r="4789" spans="1:8" hidden="1">
      <c r="A4789" s="495" t="s">
        <v>5058</v>
      </c>
      <c r="B4789" s="399" t="s">
        <v>1765</v>
      </c>
      <c r="C4789" s="399" t="s">
        <v>184</v>
      </c>
      <c r="D4789" s="399">
        <v>9103</v>
      </c>
      <c r="E4789" s="312" t="s">
        <v>5994</v>
      </c>
      <c r="F4789" s="399" t="s">
        <v>4280</v>
      </c>
      <c r="G4789" s="399" t="s">
        <v>2221</v>
      </c>
      <c r="H4789" s="1235"/>
    </row>
    <row r="4790" spans="1:8" hidden="1">
      <c r="A4790" s="495" t="s">
        <v>5058</v>
      </c>
      <c r="B4790" s="399" t="s">
        <v>1765</v>
      </c>
      <c r="C4790" s="399" t="s">
        <v>184</v>
      </c>
      <c r="D4790" s="399">
        <v>9104</v>
      </c>
      <c r="E4790" s="312" t="s">
        <v>5995</v>
      </c>
      <c r="F4790" s="399" t="s">
        <v>4282</v>
      </c>
      <c r="G4790" s="399" t="s">
        <v>2221</v>
      </c>
      <c r="H4790" s="1235"/>
    </row>
    <row r="4791" spans="1:8" hidden="1">
      <c r="A4791" s="495" t="s">
        <v>5058</v>
      </c>
      <c r="B4791" s="399" t="s">
        <v>1765</v>
      </c>
      <c r="C4791" s="399" t="s">
        <v>184</v>
      </c>
      <c r="D4791" s="399">
        <v>9200</v>
      </c>
      <c r="E4791" s="312" t="s">
        <v>5996</v>
      </c>
      <c r="F4791" s="399" t="s">
        <v>4283</v>
      </c>
      <c r="G4791" s="399" t="s">
        <v>2221</v>
      </c>
      <c r="H4791" s="1235"/>
    </row>
    <row r="4792" spans="1:8" hidden="1">
      <c r="A4792" s="495" t="s">
        <v>5058</v>
      </c>
      <c r="B4792" s="399" t="s">
        <v>1765</v>
      </c>
      <c r="C4792" s="399" t="s">
        <v>184</v>
      </c>
      <c r="D4792" s="399">
        <v>9300</v>
      </c>
      <c r="E4792" s="312" t="s">
        <v>5997</v>
      </c>
      <c r="F4792" s="399" t="s">
        <v>4284</v>
      </c>
      <c r="G4792" s="399" t="s">
        <v>2221</v>
      </c>
      <c r="H4792" s="1235"/>
    </row>
    <row r="4793" spans="1:8" hidden="1">
      <c r="A4793" s="495" t="s">
        <v>5058</v>
      </c>
      <c r="B4793" s="399" t="s">
        <v>1765</v>
      </c>
      <c r="C4793" s="399" t="s">
        <v>184</v>
      </c>
      <c r="D4793" s="399">
        <v>9310</v>
      </c>
      <c r="E4793" s="312" t="s">
        <v>5998</v>
      </c>
      <c r="F4793" s="399" t="s">
        <v>4286</v>
      </c>
      <c r="G4793" s="399" t="s">
        <v>2221</v>
      </c>
      <c r="H4793" s="1235"/>
    </row>
    <row r="4794" spans="1:8" hidden="1">
      <c r="A4794" s="495" t="s">
        <v>5058</v>
      </c>
      <c r="B4794" s="399" t="s">
        <v>1765</v>
      </c>
      <c r="C4794" s="399" t="s">
        <v>184</v>
      </c>
      <c r="D4794" s="399">
        <v>9311</v>
      </c>
      <c r="E4794" s="312" t="s">
        <v>5999</v>
      </c>
      <c r="F4794" s="399" t="s">
        <v>4288</v>
      </c>
      <c r="G4794" s="399" t="s">
        <v>2221</v>
      </c>
      <c r="H4794" s="1235"/>
    </row>
    <row r="4795" spans="1:8" hidden="1">
      <c r="A4795" s="495" t="s">
        <v>5058</v>
      </c>
      <c r="B4795" s="399" t="s">
        <v>1765</v>
      </c>
      <c r="C4795" s="399" t="s">
        <v>184</v>
      </c>
      <c r="D4795" s="399">
        <v>9312</v>
      </c>
      <c r="E4795" s="312" t="s">
        <v>6000</v>
      </c>
      <c r="F4795" s="399" t="s">
        <v>4290</v>
      </c>
      <c r="G4795" s="399" t="s">
        <v>2221</v>
      </c>
      <c r="H4795" s="1235"/>
    </row>
    <row r="4796" spans="1:8" hidden="1">
      <c r="A4796" s="495" t="s">
        <v>5058</v>
      </c>
      <c r="B4796" s="399" t="s">
        <v>1765</v>
      </c>
      <c r="C4796" s="399" t="s">
        <v>184</v>
      </c>
      <c r="D4796" s="399">
        <v>9313</v>
      </c>
      <c r="E4796" s="312" t="s">
        <v>6001</v>
      </c>
      <c r="F4796" s="399" t="s">
        <v>4292</v>
      </c>
      <c r="G4796" s="399" t="s">
        <v>2221</v>
      </c>
      <c r="H4796" s="1235"/>
    </row>
    <row r="4797" spans="1:8" hidden="1">
      <c r="A4797" s="495" t="s">
        <v>5058</v>
      </c>
      <c r="B4797" s="399" t="s">
        <v>1765</v>
      </c>
      <c r="C4797" s="399" t="s">
        <v>184</v>
      </c>
      <c r="D4797" s="399">
        <v>9319</v>
      </c>
      <c r="E4797" s="312" t="s">
        <v>6002</v>
      </c>
      <c r="F4797" s="399" t="s">
        <v>4294</v>
      </c>
      <c r="G4797" s="399" t="s">
        <v>2221</v>
      </c>
      <c r="H4797" s="1235"/>
    </row>
    <row r="4798" spans="1:8" hidden="1">
      <c r="A4798" s="495" t="s">
        <v>5058</v>
      </c>
      <c r="B4798" s="399" t="s">
        <v>1765</v>
      </c>
      <c r="C4798" s="399" t="s">
        <v>184</v>
      </c>
      <c r="D4798" s="399">
        <v>9320</v>
      </c>
      <c r="E4798" s="312" t="s">
        <v>6003</v>
      </c>
      <c r="F4798" s="399" t="s">
        <v>4296</v>
      </c>
      <c r="G4798" s="399" t="s">
        <v>2221</v>
      </c>
      <c r="H4798" s="1235"/>
    </row>
    <row r="4799" spans="1:8" hidden="1">
      <c r="A4799" s="495" t="s">
        <v>5058</v>
      </c>
      <c r="B4799" s="399" t="s">
        <v>1765</v>
      </c>
      <c r="C4799" s="399" t="s">
        <v>184</v>
      </c>
      <c r="D4799" s="399">
        <v>9321</v>
      </c>
      <c r="E4799" s="312" t="s">
        <v>6004</v>
      </c>
      <c r="F4799" s="399" t="s">
        <v>4298</v>
      </c>
      <c r="G4799" s="399" t="s">
        <v>2221</v>
      </c>
      <c r="H4799" s="1235"/>
    </row>
    <row r="4800" spans="1:8" hidden="1">
      <c r="A4800" s="495" t="s">
        <v>5058</v>
      </c>
      <c r="B4800" s="399" t="s">
        <v>1765</v>
      </c>
      <c r="C4800" s="399" t="s">
        <v>184</v>
      </c>
      <c r="D4800" s="399">
        <v>9329</v>
      </c>
      <c r="E4800" s="312" t="s">
        <v>6005</v>
      </c>
      <c r="F4800" s="399" t="s">
        <v>4300</v>
      </c>
      <c r="G4800" s="399" t="s">
        <v>2221</v>
      </c>
      <c r="H4800" s="1235"/>
    </row>
    <row r="4801" spans="1:8" hidden="1">
      <c r="A4801" s="495" t="s">
        <v>5058</v>
      </c>
      <c r="B4801" s="399" t="s">
        <v>1765</v>
      </c>
      <c r="C4801" s="399" t="s">
        <v>184</v>
      </c>
      <c r="D4801" s="399">
        <v>9400</v>
      </c>
      <c r="E4801" s="312" t="s">
        <v>6006</v>
      </c>
      <c r="F4801" s="399" t="s">
        <v>4301</v>
      </c>
      <c r="G4801" s="399" t="s">
        <v>2221</v>
      </c>
      <c r="H4801" s="1235"/>
    </row>
    <row r="4802" spans="1:8" hidden="1">
      <c r="A4802" s="495" t="s">
        <v>5058</v>
      </c>
      <c r="B4802" s="399" t="s">
        <v>1765</v>
      </c>
      <c r="C4802" s="399" t="s">
        <v>184</v>
      </c>
      <c r="D4802" s="399">
        <v>9410</v>
      </c>
      <c r="E4802" s="312" t="s">
        <v>6007</v>
      </c>
      <c r="F4802" s="399" t="s">
        <v>4303</v>
      </c>
      <c r="G4802" s="399" t="s">
        <v>2221</v>
      </c>
      <c r="H4802" s="1235"/>
    </row>
    <row r="4803" spans="1:8" hidden="1">
      <c r="A4803" s="495" t="s">
        <v>5058</v>
      </c>
      <c r="B4803" s="399" t="s">
        <v>1765</v>
      </c>
      <c r="C4803" s="399" t="s">
        <v>184</v>
      </c>
      <c r="D4803" s="399">
        <v>9411</v>
      </c>
      <c r="E4803" s="312" t="s">
        <v>6008</v>
      </c>
      <c r="F4803" s="399" t="s">
        <v>4305</v>
      </c>
      <c r="G4803" s="399" t="s">
        <v>2221</v>
      </c>
      <c r="H4803" s="1235"/>
    </row>
    <row r="4804" spans="1:8" hidden="1">
      <c r="A4804" s="495" t="s">
        <v>5058</v>
      </c>
      <c r="B4804" s="399" t="s">
        <v>1765</v>
      </c>
      <c r="C4804" s="399" t="s">
        <v>184</v>
      </c>
      <c r="D4804" s="399">
        <v>9412</v>
      </c>
      <c r="E4804" s="312" t="s">
        <v>6009</v>
      </c>
      <c r="F4804" s="399" t="s">
        <v>4307</v>
      </c>
      <c r="G4804" s="399" t="s">
        <v>2221</v>
      </c>
      <c r="H4804" s="1235"/>
    </row>
    <row r="4805" spans="1:8" hidden="1">
      <c r="A4805" s="495" t="s">
        <v>5058</v>
      </c>
      <c r="B4805" s="399" t="s">
        <v>1765</v>
      </c>
      <c r="C4805" s="399" t="s">
        <v>184</v>
      </c>
      <c r="D4805" s="399">
        <v>9420</v>
      </c>
      <c r="E4805" s="312" t="s">
        <v>6010</v>
      </c>
      <c r="F4805" s="399" t="s">
        <v>4309</v>
      </c>
      <c r="G4805" s="399" t="s">
        <v>2221</v>
      </c>
      <c r="H4805" s="1235"/>
    </row>
    <row r="4806" spans="1:8" hidden="1">
      <c r="A4806" s="495" t="s">
        <v>5058</v>
      </c>
      <c r="B4806" s="399" t="s">
        <v>1765</v>
      </c>
      <c r="C4806" s="399" t="s">
        <v>184</v>
      </c>
      <c r="D4806" s="399">
        <v>9490</v>
      </c>
      <c r="E4806" s="312" t="s">
        <v>6011</v>
      </c>
      <c r="F4806" s="399" t="s">
        <v>4311</v>
      </c>
      <c r="G4806" s="399" t="s">
        <v>2221</v>
      </c>
      <c r="H4806" s="1235"/>
    </row>
    <row r="4807" spans="1:8" hidden="1">
      <c r="A4807" s="495" t="s">
        <v>5058</v>
      </c>
      <c r="B4807" s="399" t="s">
        <v>1765</v>
      </c>
      <c r="C4807" s="399" t="s">
        <v>184</v>
      </c>
      <c r="D4807" s="399">
        <v>9491</v>
      </c>
      <c r="E4807" s="312" t="s">
        <v>6012</v>
      </c>
      <c r="F4807" s="399" t="s">
        <v>4313</v>
      </c>
      <c r="G4807" s="399" t="s">
        <v>2221</v>
      </c>
      <c r="H4807" s="1235"/>
    </row>
    <row r="4808" spans="1:8" hidden="1">
      <c r="A4808" s="495" t="s">
        <v>5058</v>
      </c>
      <c r="B4808" s="399" t="s">
        <v>1765</v>
      </c>
      <c r="C4808" s="399" t="s">
        <v>184</v>
      </c>
      <c r="D4808" s="399">
        <v>9492</v>
      </c>
      <c r="E4808" s="312" t="s">
        <v>6013</v>
      </c>
      <c r="F4808" s="399" t="s">
        <v>4315</v>
      </c>
      <c r="G4808" s="399" t="s">
        <v>2221</v>
      </c>
      <c r="H4808" s="1235"/>
    </row>
    <row r="4809" spans="1:8" hidden="1">
      <c r="A4809" s="495" t="s">
        <v>5058</v>
      </c>
      <c r="B4809" s="399" t="s">
        <v>1765</v>
      </c>
      <c r="C4809" s="399" t="s">
        <v>184</v>
      </c>
      <c r="D4809" s="399">
        <v>9499</v>
      </c>
      <c r="E4809" s="312" t="s">
        <v>6014</v>
      </c>
      <c r="F4809" s="399" t="s">
        <v>4317</v>
      </c>
      <c r="G4809" s="399" t="s">
        <v>2221</v>
      </c>
      <c r="H4809" s="1235"/>
    </row>
    <row r="4810" spans="1:8" hidden="1">
      <c r="A4810" s="495" t="s">
        <v>5058</v>
      </c>
      <c r="B4810" s="399" t="s">
        <v>1765</v>
      </c>
      <c r="C4810" s="399" t="s">
        <v>184</v>
      </c>
      <c r="D4810" s="399">
        <v>9500</v>
      </c>
      <c r="E4810" s="312" t="s">
        <v>6015</v>
      </c>
      <c r="F4810" s="399" t="s">
        <v>4318</v>
      </c>
      <c r="G4810" s="399" t="s">
        <v>2221</v>
      </c>
      <c r="H4810" s="1235"/>
    </row>
    <row r="4811" spans="1:8" hidden="1">
      <c r="A4811" s="495" t="s">
        <v>5058</v>
      </c>
      <c r="B4811" s="399" t="s">
        <v>1765</v>
      </c>
      <c r="C4811" s="399" t="s">
        <v>184</v>
      </c>
      <c r="D4811" s="399">
        <v>9510</v>
      </c>
      <c r="E4811" s="312" t="s">
        <v>6016</v>
      </c>
      <c r="F4811" s="399" t="s">
        <v>4320</v>
      </c>
      <c r="G4811" s="399" t="s">
        <v>2221</v>
      </c>
      <c r="H4811" s="1235"/>
    </row>
    <row r="4812" spans="1:8" hidden="1">
      <c r="A4812" s="495" t="s">
        <v>5058</v>
      </c>
      <c r="B4812" s="399" t="s">
        <v>1765</v>
      </c>
      <c r="C4812" s="399" t="s">
        <v>184</v>
      </c>
      <c r="D4812" s="399">
        <v>9511</v>
      </c>
      <c r="E4812" s="312" t="s">
        <v>6017</v>
      </c>
      <c r="F4812" s="399" t="s">
        <v>4322</v>
      </c>
      <c r="G4812" s="399" t="s">
        <v>2221</v>
      </c>
      <c r="H4812" s="1235"/>
    </row>
    <row r="4813" spans="1:8" hidden="1">
      <c r="A4813" s="495" t="s">
        <v>5058</v>
      </c>
      <c r="B4813" s="399" t="s">
        <v>1765</v>
      </c>
      <c r="C4813" s="399" t="s">
        <v>184</v>
      </c>
      <c r="D4813" s="399">
        <v>9512</v>
      </c>
      <c r="E4813" s="312" t="s">
        <v>6018</v>
      </c>
      <c r="F4813" s="399" t="s">
        <v>4324</v>
      </c>
      <c r="G4813" s="399" t="s">
        <v>2221</v>
      </c>
      <c r="H4813" s="1235"/>
    </row>
    <row r="4814" spans="1:8" hidden="1">
      <c r="A4814" s="495" t="s">
        <v>5058</v>
      </c>
      <c r="B4814" s="399" t="s">
        <v>1765</v>
      </c>
      <c r="C4814" s="399" t="s">
        <v>184</v>
      </c>
      <c r="D4814" s="399">
        <v>9520</v>
      </c>
      <c r="E4814" s="312" t="s">
        <v>6019</v>
      </c>
      <c r="F4814" s="399" t="s">
        <v>4326</v>
      </c>
      <c r="G4814" s="399" t="s">
        <v>2221</v>
      </c>
      <c r="H4814" s="1235"/>
    </row>
    <row r="4815" spans="1:8" hidden="1">
      <c r="A4815" s="495" t="s">
        <v>5058</v>
      </c>
      <c r="B4815" s="399" t="s">
        <v>1765</v>
      </c>
      <c r="C4815" s="399" t="s">
        <v>184</v>
      </c>
      <c r="D4815" s="399">
        <v>9521</v>
      </c>
      <c r="E4815" s="312" t="s">
        <v>6020</v>
      </c>
      <c r="F4815" s="399" t="s">
        <v>4328</v>
      </c>
      <c r="G4815" s="399" t="s">
        <v>2221</v>
      </c>
      <c r="H4815" s="1235"/>
    </row>
    <row r="4816" spans="1:8" hidden="1">
      <c r="A4816" s="495" t="s">
        <v>5058</v>
      </c>
      <c r="B4816" s="399" t="s">
        <v>1765</v>
      </c>
      <c r="C4816" s="399" t="s">
        <v>184</v>
      </c>
      <c r="D4816" s="399">
        <v>9522</v>
      </c>
      <c r="E4816" s="312" t="s">
        <v>6021</v>
      </c>
      <c r="F4816" s="399" t="s">
        <v>4330</v>
      </c>
      <c r="G4816" s="399" t="s">
        <v>2221</v>
      </c>
      <c r="H4816" s="1235"/>
    </row>
    <row r="4817" spans="1:8" hidden="1">
      <c r="A4817" s="495" t="s">
        <v>5058</v>
      </c>
      <c r="B4817" s="399" t="s">
        <v>1765</v>
      </c>
      <c r="C4817" s="399" t="s">
        <v>184</v>
      </c>
      <c r="D4817" s="399">
        <v>9523</v>
      </c>
      <c r="E4817" s="312" t="s">
        <v>6022</v>
      </c>
      <c r="F4817" s="399" t="s">
        <v>4332</v>
      </c>
      <c r="G4817" s="399" t="s">
        <v>2221</v>
      </c>
      <c r="H4817" s="1235"/>
    </row>
    <row r="4818" spans="1:8" hidden="1">
      <c r="A4818" s="495" t="s">
        <v>5058</v>
      </c>
      <c r="B4818" s="399" t="s">
        <v>1765</v>
      </c>
      <c r="C4818" s="399" t="s">
        <v>184</v>
      </c>
      <c r="D4818" s="399">
        <v>9524</v>
      </c>
      <c r="E4818" s="312" t="s">
        <v>6023</v>
      </c>
      <c r="F4818" s="399" t="s">
        <v>4334</v>
      </c>
      <c r="G4818" s="399" t="s">
        <v>2221</v>
      </c>
      <c r="H4818" s="1235"/>
    </row>
    <row r="4819" spans="1:8" hidden="1">
      <c r="A4819" s="495" t="s">
        <v>5058</v>
      </c>
      <c r="B4819" s="399" t="s">
        <v>1765</v>
      </c>
      <c r="C4819" s="399" t="s">
        <v>184</v>
      </c>
      <c r="D4819" s="399">
        <v>9525</v>
      </c>
      <c r="E4819" s="312" t="s">
        <v>6024</v>
      </c>
      <c r="F4819" s="399" t="s">
        <v>4336</v>
      </c>
      <c r="G4819" s="399" t="s">
        <v>2221</v>
      </c>
      <c r="H4819" s="1235"/>
    </row>
    <row r="4820" spans="1:8" hidden="1">
      <c r="A4820" s="495" t="s">
        <v>5058</v>
      </c>
      <c r="B4820" s="399" t="s">
        <v>1765</v>
      </c>
      <c r="C4820" s="399" t="s">
        <v>184</v>
      </c>
      <c r="D4820" s="399">
        <v>9529</v>
      </c>
      <c r="E4820" s="312" t="s">
        <v>6025</v>
      </c>
      <c r="F4820" s="399" t="s">
        <v>4338</v>
      </c>
      <c r="G4820" s="399" t="s">
        <v>2221</v>
      </c>
      <c r="H4820" s="1235"/>
    </row>
    <row r="4821" spans="1:8" hidden="1">
      <c r="A4821" s="495" t="s">
        <v>5058</v>
      </c>
      <c r="B4821" s="399" t="s">
        <v>1765</v>
      </c>
      <c r="C4821" s="399" t="s">
        <v>184</v>
      </c>
      <c r="D4821" s="399">
        <v>9600</v>
      </c>
      <c r="E4821" s="312" t="s">
        <v>6026</v>
      </c>
      <c r="F4821" s="399" t="s">
        <v>4339</v>
      </c>
      <c r="G4821" s="399" t="s">
        <v>2221</v>
      </c>
      <c r="H4821" s="1235"/>
    </row>
    <row r="4822" spans="1:8" hidden="1">
      <c r="A4822" s="495" t="s">
        <v>5058</v>
      </c>
      <c r="B4822" s="399" t="s">
        <v>1765</v>
      </c>
      <c r="C4822" s="399" t="s">
        <v>184</v>
      </c>
      <c r="D4822" s="399">
        <v>9601</v>
      </c>
      <c r="E4822" s="312" t="s">
        <v>6027</v>
      </c>
      <c r="F4822" s="399" t="s">
        <v>4341</v>
      </c>
      <c r="G4822" s="399" t="s">
        <v>2221</v>
      </c>
      <c r="H4822" s="1235"/>
    </row>
    <row r="4823" spans="1:8" hidden="1">
      <c r="A4823" s="495" t="s">
        <v>5058</v>
      </c>
      <c r="B4823" s="399" t="s">
        <v>1765</v>
      </c>
      <c r="C4823" s="399" t="s">
        <v>184</v>
      </c>
      <c r="D4823" s="399">
        <v>9602</v>
      </c>
      <c r="E4823" s="312" t="s">
        <v>6028</v>
      </c>
      <c r="F4823" s="399" t="s">
        <v>4343</v>
      </c>
      <c r="G4823" s="399" t="s">
        <v>2221</v>
      </c>
      <c r="H4823" s="1235"/>
    </row>
    <row r="4824" spans="1:8" hidden="1">
      <c r="A4824" s="495" t="s">
        <v>5058</v>
      </c>
      <c r="B4824" s="399" t="s">
        <v>1765</v>
      </c>
      <c r="C4824" s="399" t="s">
        <v>184</v>
      </c>
      <c r="D4824" s="399">
        <v>9603</v>
      </c>
      <c r="E4824" s="312" t="s">
        <v>6029</v>
      </c>
      <c r="F4824" s="399" t="s">
        <v>4345</v>
      </c>
      <c r="G4824" s="399" t="s">
        <v>2221</v>
      </c>
      <c r="H4824" s="1235"/>
    </row>
    <row r="4825" spans="1:8" hidden="1">
      <c r="A4825" s="495" t="s">
        <v>5058</v>
      </c>
      <c r="B4825" s="399" t="s">
        <v>1765</v>
      </c>
      <c r="C4825" s="399" t="s">
        <v>184</v>
      </c>
      <c r="D4825" s="399">
        <v>9604</v>
      </c>
      <c r="E4825" s="312" t="s">
        <v>6030</v>
      </c>
      <c r="F4825" s="399" t="s">
        <v>4347</v>
      </c>
      <c r="G4825" s="399" t="s">
        <v>2221</v>
      </c>
      <c r="H4825" s="1235"/>
    </row>
    <row r="4826" spans="1:8" hidden="1">
      <c r="A4826" s="495" t="s">
        <v>5058</v>
      </c>
      <c r="B4826" s="399" t="s">
        <v>1765</v>
      </c>
      <c r="C4826" s="399" t="s">
        <v>184</v>
      </c>
      <c r="D4826" s="399">
        <v>9609</v>
      </c>
      <c r="E4826" s="312" t="s">
        <v>6031</v>
      </c>
      <c r="F4826" s="399" t="s">
        <v>4349</v>
      </c>
      <c r="G4826" s="399" t="s">
        <v>2221</v>
      </c>
      <c r="H4826" s="1235"/>
    </row>
    <row r="4827" spans="1:8" hidden="1">
      <c r="A4827" s="495" t="s">
        <v>5058</v>
      </c>
      <c r="B4827" s="399" t="s">
        <v>1765</v>
      </c>
      <c r="C4827" s="399" t="s">
        <v>184</v>
      </c>
      <c r="D4827" s="399">
        <v>9700</v>
      </c>
      <c r="E4827" s="312" t="s">
        <v>6032</v>
      </c>
      <c r="F4827" s="399" t="s">
        <v>4350</v>
      </c>
      <c r="G4827" s="399" t="s">
        <v>2221</v>
      </c>
      <c r="H4827" s="1235"/>
    </row>
    <row r="4828" spans="1:8" hidden="1">
      <c r="A4828" s="495" t="s">
        <v>5058</v>
      </c>
      <c r="B4828" s="399" t="s">
        <v>1765</v>
      </c>
      <c r="C4828" s="399" t="s">
        <v>184</v>
      </c>
      <c r="D4828" s="399">
        <v>9800</v>
      </c>
      <c r="E4828" s="312" t="s">
        <v>6033</v>
      </c>
      <c r="F4828" s="399" t="s">
        <v>4351</v>
      </c>
      <c r="G4828" s="399" t="s">
        <v>2221</v>
      </c>
      <c r="H4828" s="1235"/>
    </row>
    <row r="4829" spans="1:8" hidden="1">
      <c r="A4829" s="495" t="s">
        <v>5058</v>
      </c>
      <c r="B4829" s="399" t="s">
        <v>1765</v>
      </c>
      <c r="C4829" s="399" t="s">
        <v>184</v>
      </c>
      <c r="D4829" s="399">
        <v>9810</v>
      </c>
      <c r="E4829" s="312" t="s">
        <v>6034</v>
      </c>
      <c r="F4829" s="399" t="s">
        <v>4353</v>
      </c>
      <c r="G4829" s="399" t="s">
        <v>2221</v>
      </c>
      <c r="H4829" s="1235"/>
    </row>
    <row r="4830" spans="1:8" hidden="1">
      <c r="A4830" s="495" t="s">
        <v>5058</v>
      </c>
      <c r="B4830" s="399" t="s">
        <v>1765</v>
      </c>
      <c r="C4830" s="399" t="s">
        <v>184</v>
      </c>
      <c r="D4830" s="399">
        <v>9820</v>
      </c>
      <c r="E4830" s="312" t="s">
        <v>6035</v>
      </c>
      <c r="F4830" s="399" t="s">
        <v>4355</v>
      </c>
      <c r="G4830" s="399" t="s">
        <v>2221</v>
      </c>
      <c r="H4830" s="1235"/>
    </row>
    <row r="4831" spans="1:8" hidden="1">
      <c r="A4831" s="497" t="s">
        <v>5058</v>
      </c>
      <c r="B4831" s="404" t="s">
        <v>1765</v>
      </c>
      <c r="C4831" s="404" t="s">
        <v>184</v>
      </c>
      <c r="D4831" s="404">
        <v>9900</v>
      </c>
      <c r="E4831" s="313" t="s">
        <v>6036</v>
      </c>
      <c r="F4831" s="404" t="s">
        <v>4356</v>
      </c>
      <c r="G4831" s="404" t="s">
        <v>2221</v>
      </c>
      <c r="H4831" s="1235"/>
    </row>
    <row r="4832" spans="1:8" hidden="1">
      <c r="A4832" s="513" t="s">
        <v>5058</v>
      </c>
      <c r="B4832" s="408" t="s">
        <v>1794</v>
      </c>
      <c r="C4832" s="408" t="s">
        <v>126</v>
      </c>
      <c r="D4832" s="409" t="s">
        <v>2221</v>
      </c>
      <c r="E4832" s="409" t="s">
        <v>6037</v>
      </c>
      <c r="F4832" s="409" t="s">
        <v>6037</v>
      </c>
      <c r="G4832" s="409" t="s">
        <v>2727</v>
      </c>
      <c r="H4832" s="1231" t="s">
        <v>6038</v>
      </c>
    </row>
    <row r="4833" spans="1:8" hidden="1">
      <c r="A4833" s="514" t="s">
        <v>5058</v>
      </c>
      <c r="B4833" s="399" t="s">
        <v>1794</v>
      </c>
      <c r="C4833" s="399" t="s">
        <v>126</v>
      </c>
      <c r="D4833" s="399" t="s">
        <v>64</v>
      </c>
      <c r="E4833" s="312" t="s">
        <v>6039</v>
      </c>
      <c r="F4833" s="399" t="s">
        <v>6039</v>
      </c>
      <c r="G4833" s="399" t="s">
        <v>2221</v>
      </c>
      <c r="H4833" s="1232"/>
    </row>
    <row r="4834" spans="1:8" hidden="1">
      <c r="A4834" s="514" t="s">
        <v>5058</v>
      </c>
      <c r="B4834" s="399" t="s">
        <v>1794</v>
      </c>
      <c r="C4834" s="399" t="s">
        <v>126</v>
      </c>
      <c r="D4834" s="399" t="s">
        <v>6040</v>
      </c>
      <c r="E4834" s="312" t="s">
        <v>6039</v>
      </c>
      <c r="F4834" s="399" t="s">
        <v>6039</v>
      </c>
      <c r="G4834" s="399" t="s">
        <v>2221</v>
      </c>
      <c r="H4834" s="1232"/>
    </row>
    <row r="4835" spans="1:8" hidden="1">
      <c r="A4835" s="524" t="s">
        <v>5058</v>
      </c>
      <c r="B4835" s="404" t="s">
        <v>1794</v>
      </c>
      <c r="C4835" s="404" t="s">
        <v>126</v>
      </c>
      <c r="D4835" s="405" t="s">
        <v>6041</v>
      </c>
      <c r="E4835" s="405" t="s">
        <v>6037</v>
      </c>
      <c r="F4835" s="405" t="s">
        <v>6037</v>
      </c>
      <c r="G4835" s="405" t="s">
        <v>2727</v>
      </c>
      <c r="H4835" s="1232"/>
    </row>
    <row r="4836" spans="1:8" hidden="1">
      <c r="A4836" s="553" t="s">
        <v>6042</v>
      </c>
      <c r="B4836" s="408" t="s">
        <v>1835</v>
      </c>
      <c r="C4836" s="408" t="s">
        <v>117</v>
      </c>
      <c r="D4836" s="408" t="s">
        <v>6043</v>
      </c>
      <c r="E4836" s="408" t="s">
        <v>6043</v>
      </c>
      <c r="F4836" s="408" t="s">
        <v>6044</v>
      </c>
      <c r="G4836" s="408" t="s">
        <v>2221</v>
      </c>
      <c r="H4836" s="1231" t="s">
        <v>6045</v>
      </c>
    </row>
    <row r="4837" spans="1:8" hidden="1">
      <c r="A4837" s="554" t="s">
        <v>6042</v>
      </c>
      <c r="B4837" s="410" t="s">
        <v>1835</v>
      </c>
      <c r="C4837" s="410" t="s">
        <v>117</v>
      </c>
      <c r="D4837" s="410" t="s">
        <v>6046</v>
      </c>
      <c r="E4837" s="410" t="s">
        <v>6046</v>
      </c>
      <c r="F4837" s="410" t="s">
        <v>6047</v>
      </c>
      <c r="G4837" s="410" t="s">
        <v>2221</v>
      </c>
      <c r="H4837" s="1233"/>
    </row>
    <row r="4838" spans="1:8" hidden="1">
      <c r="A4838" s="551" t="s">
        <v>6042</v>
      </c>
      <c r="B4838" s="399" t="s">
        <v>1847</v>
      </c>
      <c r="C4838" s="399" t="s">
        <v>130</v>
      </c>
      <c r="D4838" s="399" t="s">
        <v>2288</v>
      </c>
      <c r="E4838" s="399" t="s">
        <v>2284</v>
      </c>
      <c r="F4838" s="399" t="s">
        <v>6048</v>
      </c>
      <c r="G4838" s="399" t="s">
        <v>2221</v>
      </c>
      <c r="H4838" s="1235" t="s">
        <v>6049</v>
      </c>
    </row>
    <row r="4839" spans="1:8" hidden="1">
      <c r="A4839" s="551" t="s">
        <v>6042</v>
      </c>
      <c r="B4839" s="399" t="s">
        <v>1847</v>
      </c>
      <c r="C4839" s="399" t="s">
        <v>130</v>
      </c>
      <c r="D4839" s="399" t="s">
        <v>6050</v>
      </c>
      <c r="E4839" s="399" t="s">
        <v>6051</v>
      </c>
      <c r="F4839" s="399" t="s">
        <v>6052</v>
      </c>
      <c r="G4839" s="399" t="s">
        <v>2221</v>
      </c>
      <c r="H4839" s="1235"/>
    </row>
    <row r="4840" spans="1:8" hidden="1">
      <c r="A4840" s="551" t="s">
        <v>6042</v>
      </c>
      <c r="B4840" s="399" t="s">
        <v>1847</v>
      </c>
      <c r="C4840" s="399" t="s">
        <v>130</v>
      </c>
      <c r="D4840" s="399" t="s">
        <v>6053</v>
      </c>
      <c r="E4840" s="399" t="s">
        <v>6051</v>
      </c>
      <c r="F4840" s="399" t="s">
        <v>6052</v>
      </c>
      <c r="G4840" s="399" t="s">
        <v>2221</v>
      </c>
      <c r="H4840" s="1235"/>
    </row>
    <row r="4841" spans="1:8" hidden="1">
      <c r="A4841" s="551" t="s">
        <v>6042</v>
      </c>
      <c r="B4841" s="399" t="s">
        <v>1847</v>
      </c>
      <c r="C4841" s="399" t="s">
        <v>130</v>
      </c>
      <c r="D4841" s="399" t="s">
        <v>2288</v>
      </c>
      <c r="E4841" s="399" t="s">
        <v>6054</v>
      </c>
      <c r="F4841" s="399" t="s">
        <v>6055</v>
      </c>
      <c r="G4841" s="399" t="s">
        <v>2221</v>
      </c>
      <c r="H4841" s="1235"/>
    </row>
    <row r="4842" spans="1:8" hidden="1">
      <c r="A4842" s="551" t="s">
        <v>6042</v>
      </c>
      <c r="B4842" s="399" t="s">
        <v>1847</v>
      </c>
      <c r="C4842" s="399" t="s">
        <v>130</v>
      </c>
      <c r="D4842" s="399" t="s">
        <v>2288</v>
      </c>
      <c r="E4842" s="399" t="s">
        <v>6056</v>
      </c>
      <c r="F4842" s="399" t="s">
        <v>6057</v>
      </c>
      <c r="G4842" s="399" t="s">
        <v>2221</v>
      </c>
      <c r="H4842" s="1235"/>
    </row>
    <row r="4843" spans="1:8" hidden="1">
      <c r="A4843" s="551" t="s">
        <v>6042</v>
      </c>
      <c r="B4843" s="399" t="s">
        <v>1847</v>
      </c>
      <c r="C4843" s="399" t="s">
        <v>130</v>
      </c>
      <c r="D4843" s="399" t="s">
        <v>6058</v>
      </c>
      <c r="E4843" s="399" t="s">
        <v>6059</v>
      </c>
      <c r="F4843" s="399" t="s">
        <v>6060</v>
      </c>
      <c r="G4843" s="399" t="s">
        <v>2221</v>
      </c>
      <c r="H4843" s="1235"/>
    </row>
    <row r="4844" spans="1:8" hidden="1">
      <c r="A4844" s="551" t="s">
        <v>6042</v>
      </c>
      <c r="B4844" s="399" t="s">
        <v>1847</v>
      </c>
      <c r="C4844" s="399" t="s">
        <v>130</v>
      </c>
      <c r="D4844" s="399" t="s">
        <v>6061</v>
      </c>
      <c r="E4844" s="399" t="s">
        <v>6062</v>
      </c>
      <c r="F4844" s="399" t="s">
        <v>6063</v>
      </c>
      <c r="G4844" s="399" t="s">
        <v>2221</v>
      </c>
      <c r="H4844" s="1235"/>
    </row>
    <row r="4845" spans="1:8" hidden="1">
      <c r="A4845" s="551" t="s">
        <v>6042</v>
      </c>
      <c r="B4845" s="399" t="s">
        <v>1847</v>
      </c>
      <c r="C4845" s="399" t="s">
        <v>130</v>
      </c>
      <c r="D4845" s="399" t="s">
        <v>2288</v>
      </c>
      <c r="E4845" s="399" t="s">
        <v>6064</v>
      </c>
      <c r="F4845" s="399" t="s">
        <v>6065</v>
      </c>
      <c r="G4845" s="399" t="s">
        <v>2221</v>
      </c>
      <c r="H4845" s="1235"/>
    </row>
    <row r="4846" spans="1:8" hidden="1">
      <c r="A4846" s="551" t="s">
        <v>6042</v>
      </c>
      <c r="B4846" s="399" t="s">
        <v>1847</v>
      </c>
      <c r="C4846" s="399" t="s">
        <v>130</v>
      </c>
      <c r="D4846" s="399" t="s">
        <v>6066</v>
      </c>
      <c r="E4846" s="399" t="s">
        <v>6067</v>
      </c>
      <c r="F4846" s="399" t="s">
        <v>6068</v>
      </c>
      <c r="G4846" s="399" t="s">
        <v>2221</v>
      </c>
      <c r="H4846" s="1235"/>
    </row>
    <row r="4847" spans="1:8" hidden="1">
      <c r="A4847" s="551" t="s">
        <v>6042</v>
      </c>
      <c r="B4847" s="399" t="s">
        <v>1847</v>
      </c>
      <c r="C4847" s="399" t="s">
        <v>130</v>
      </c>
      <c r="D4847" s="399" t="s">
        <v>2288</v>
      </c>
      <c r="E4847" s="399" t="s">
        <v>6069</v>
      </c>
      <c r="F4847" s="399" t="s">
        <v>6070</v>
      </c>
      <c r="G4847" s="399" t="s">
        <v>2221</v>
      </c>
      <c r="H4847" s="1235"/>
    </row>
    <row r="4848" spans="1:8" hidden="1">
      <c r="A4848" s="551" t="s">
        <v>6042</v>
      </c>
      <c r="B4848" s="399" t="s">
        <v>1847</v>
      </c>
      <c r="C4848" s="399" t="s">
        <v>130</v>
      </c>
      <c r="D4848" s="399" t="s">
        <v>2288</v>
      </c>
      <c r="E4848" s="399" t="s">
        <v>6071</v>
      </c>
      <c r="F4848" s="399" t="s">
        <v>6072</v>
      </c>
      <c r="G4848" s="399" t="s">
        <v>2221</v>
      </c>
      <c r="H4848" s="1235"/>
    </row>
    <row r="4849" spans="1:8" hidden="1">
      <c r="A4849" s="551" t="s">
        <v>6042</v>
      </c>
      <c r="B4849" s="399" t="s">
        <v>1847</v>
      </c>
      <c r="C4849" s="399" t="s">
        <v>130</v>
      </c>
      <c r="D4849" s="399" t="s">
        <v>2288</v>
      </c>
      <c r="E4849" s="399" t="s">
        <v>6073</v>
      </c>
      <c r="F4849" s="399" t="s">
        <v>6074</v>
      </c>
      <c r="G4849" s="399" t="s">
        <v>2221</v>
      </c>
      <c r="H4849" s="1235"/>
    </row>
    <row r="4850" spans="1:8" hidden="1">
      <c r="A4850" s="551" t="s">
        <v>6042</v>
      </c>
      <c r="B4850" s="399" t="s">
        <v>1847</v>
      </c>
      <c r="C4850" s="399" t="s">
        <v>130</v>
      </c>
      <c r="D4850" s="399" t="s">
        <v>2288</v>
      </c>
      <c r="E4850" s="399" t="s">
        <v>6075</v>
      </c>
      <c r="F4850" s="399" t="s">
        <v>6076</v>
      </c>
      <c r="G4850" s="399" t="s">
        <v>2221</v>
      </c>
      <c r="H4850" s="1235"/>
    </row>
    <row r="4851" spans="1:8" hidden="1">
      <c r="A4851" s="551" t="s">
        <v>6042</v>
      </c>
      <c r="B4851" s="399" t="s">
        <v>1847</v>
      </c>
      <c r="C4851" s="399" t="s">
        <v>130</v>
      </c>
      <c r="D4851" s="399" t="s">
        <v>2288</v>
      </c>
      <c r="E4851" s="399" t="s">
        <v>6077</v>
      </c>
      <c r="F4851" s="399" t="s">
        <v>6078</v>
      </c>
      <c r="G4851" s="399" t="s">
        <v>2221</v>
      </c>
      <c r="H4851" s="1235"/>
    </row>
    <row r="4852" spans="1:8" hidden="1">
      <c r="A4852" s="551" t="s">
        <v>6042</v>
      </c>
      <c r="B4852" s="399" t="s">
        <v>1847</v>
      </c>
      <c r="C4852" s="399" t="s">
        <v>130</v>
      </c>
      <c r="D4852" s="399" t="s">
        <v>2288</v>
      </c>
      <c r="E4852" s="399" t="s">
        <v>6079</v>
      </c>
      <c r="F4852" s="399" t="s">
        <v>6080</v>
      </c>
      <c r="G4852" s="399" t="s">
        <v>2221</v>
      </c>
      <c r="H4852" s="1235"/>
    </row>
    <row r="4853" spans="1:8" hidden="1">
      <c r="A4853" s="551" t="s">
        <v>6042</v>
      </c>
      <c r="B4853" s="399" t="s">
        <v>1847</v>
      </c>
      <c r="C4853" s="399" t="s">
        <v>130</v>
      </c>
      <c r="D4853" s="399" t="s">
        <v>2288</v>
      </c>
      <c r="E4853" s="399" t="s">
        <v>6081</v>
      </c>
      <c r="F4853" s="399" t="s">
        <v>6082</v>
      </c>
      <c r="G4853" s="399" t="s">
        <v>2221</v>
      </c>
      <c r="H4853" s="1235"/>
    </row>
    <row r="4854" spans="1:8" hidden="1">
      <c r="A4854" s="551" t="s">
        <v>6042</v>
      </c>
      <c r="B4854" s="399" t="s">
        <v>1847</v>
      </c>
      <c r="C4854" s="399" t="s">
        <v>130</v>
      </c>
      <c r="D4854" s="399" t="s">
        <v>2288</v>
      </c>
      <c r="E4854" s="399" t="s">
        <v>6083</v>
      </c>
      <c r="F4854" s="399" t="s">
        <v>6084</v>
      </c>
      <c r="G4854" s="399" t="s">
        <v>2221</v>
      </c>
      <c r="H4854" s="1235"/>
    </row>
    <row r="4855" spans="1:8" hidden="1">
      <c r="A4855" s="551" t="s">
        <v>6042</v>
      </c>
      <c r="B4855" s="399" t="s">
        <v>1847</v>
      </c>
      <c r="C4855" s="399" t="s">
        <v>130</v>
      </c>
      <c r="D4855" s="399" t="s">
        <v>2288</v>
      </c>
      <c r="E4855" s="399" t="s">
        <v>6085</v>
      </c>
      <c r="F4855" s="399" t="s">
        <v>6086</v>
      </c>
      <c r="G4855" s="399" t="s">
        <v>2221</v>
      </c>
      <c r="H4855" s="1235"/>
    </row>
    <row r="4856" spans="1:8" hidden="1">
      <c r="A4856" s="551" t="s">
        <v>6042</v>
      </c>
      <c r="B4856" s="399" t="s">
        <v>1847</v>
      </c>
      <c r="C4856" s="399" t="s">
        <v>130</v>
      </c>
      <c r="D4856" s="399" t="s">
        <v>2288</v>
      </c>
      <c r="E4856" s="399" t="s">
        <v>6087</v>
      </c>
      <c r="F4856" s="399" t="s">
        <v>6088</v>
      </c>
      <c r="G4856" s="399" t="s">
        <v>2221</v>
      </c>
      <c r="H4856" s="1235"/>
    </row>
    <row r="4857" spans="1:8" hidden="1">
      <c r="A4857" s="551" t="s">
        <v>6042</v>
      </c>
      <c r="B4857" s="399" t="s">
        <v>1847</v>
      </c>
      <c r="C4857" s="399" t="s">
        <v>130</v>
      </c>
      <c r="D4857" s="399" t="s">
        <v>2288</v>
      </c>
      <c r="E4857" s="399" t="s">
        <v>6089</v>
      </c>
      <c r="F4857" s="399" t="s">
        <v>6090</v>
      </c>
      <c r="G4857" s="399" t="s">
        <v>2221</v>
      </c>
      <c r="H4857" s="1235"/>
    </row>
    <row r="4858" spans="1:8" hidden="1">
      <c r="A4858" s="551" t="s">
        <v>6042</v>
      </c>
      <c r="B4858" s="399" t="s">
        <v>1847</v>
      </c>
      <c r="C4858" s="399" t="s">
        <v>130</v>
      </c>
      <c r="D4858" s="399" t="s">
        <v>2288</v>
      </c>
      <c r="E4858" s="399" t="s">
        <v>6091</v>
      </c>
      <c r="F4858" s="399" t="s">
        <v>6092</v>
      </c>
      <c r="G4858" s="399" t="s">
        <v>2221</v>
      </c>
      <c r="H4858" s="1235"/>
    </row>
    <row r="4859" spans="1:8" hidden="1">
      <c r="A4859" s="551" t="s">
        <v>6042</v>
      </c>
      <c r="B4859" s="399" t="s">
        <v>1847</v>
      </c>
      <c r="C4859" s="399" t="s">
        <v>130</v>
      </c>
      <c r="D4859" s="399" t="s">
        <v>2288</v>
      </c>
      <c r="E4859" s="399" t="s">
        <v>6093</v>
      </c>
      <c r="F4859" s="399" t="s">
        <v>6094</v>
      </c>
      <c r="G4859" s="399" t="s">
        <v>2221</v>
      </c>
      <c r="H4859" s="1235"/>
    </row>
    <row r="4860" spans="1:8" hidden="1">
      <c r="A4860" s="551" t="s">
        <v>6042</v>
      </c>
      <c r="B4860" s="399" t="s">
        <v>1847</v>
      </c>
      <c r="C4860" s="399" t="s">
        <v>130</v>
      </c>
      <c r="D4860" s="399" t="s">
        <v>2288</v>
      </c>
      <c r="E4860" s="399" t="s">
        <v>6095</v>
      </c>
      <c r="F4860" s="399" t="s">
        <v>6096</v>
      </c>
      <c r="G4860" s="399" t="s">
        <v>2221</v>
      </c>
      <c r="H4860" s="1235"/>
    </row>
    <row r="4861" spans="1:8" hidden="1">
      <c r="A4861" s="551" t="s">
        <v>6042</v>
      </c>
      <c r="B4861" s="399" t="s">
        <v>1847</v>
      </c>
      <c r="C4861" s="399" t="s">
        <v>130</v>
      </c>
      <c r="D4861" s="399" t="s">
        <v>2288</v>
      </c>
      <c r="E4861" s="399" t="s">
        <v>6097</v>
      </c>
      <c r="F4861" s="399" t="s">
        <v>6098</v>
      </c>
      <c r="G4861" s="399" t="s">
        <v>2221</v>
      </c>
      <c r="H4861" s="1235"/>
    </row>
    <row r="4862" spans="1:8" hidden="1">
      <c r="A4862" s="551" t="s">
        <v>6042</v>
      </c>
      <c r="B4862" s="399" t="s">
        <v>1847</v>
      </c>
      <c r="C4862" s="399" t="s">
        <v>130</v>
      </c>
      <c r="D4862" s="399" t="s">
        <v>2288</v>
      </c>
      <c r="E4862" s="399" t="s">
        <v>6099</v>
      </c>
      <c r="F4862" s="399" t="s">
        <v>6100</v>
      </c>
      <c r="G4862" s="399" t="s">
        <v>2221</v>
      </c>
      <c r="H4862" s="1235"/>
    </row>
    <row r="4863" spans="1:8" hidden="1">
      <c r="A4863" s="551" t="s">
        <v>6042</v>
      </c>
      <c r="B4863" s="399" t="s">
        <v>1847</v>
      </c>
      <c r="C4863" s="399" t="s">
        <v>130</v>
      </c>
      <c r="D4863" s="399" t="s">
        <v>2288</v>
      </c>
      <c r="E4863" s="399" t="s">
        <v>6101</v>
      </c>
      <c r="F4863" s="399" t="s">
        <v>6102</v>
      </c>
      <c r="G4863" s="399" t="s">
        <v>2221</v>
      </c>
      <c r="H4863" s="1235"/>
    </row>
    <row r="4864" spans="1:8" hidden="1">
      <c r="A4864" s="551" t="s">
        <v>6042</v>
      </c>
      <c r="B4864" s="399" t="s">
        <v>1847</v>
      </c>
      <c r="C4864" s="399" t="s">
        <v>130</v>
      </c>
      <c r="D4864" s="399" t="s">
        <v>2288</v>
      </c>
      <c r="E4864" s="399" t="s">
        <v>6103</v>
      </c>
      <c r="F4864" s="399" t="s">
        <v>6104</v>
      </c>
      <c r="G4864" s="399" t="s">
        <v>2221</v>
      </c>
      <c r="H4864" s="1235"/>
    </row>
    <row r="4865" spans="1:8" hidden="1">
      <c r="A4865" s="551" t="s">
        <v>6042</v>
      </c>
      <c r="B4865" s="399" t="s">
        <v>1847</v>
      </c>
      <c r="C4865" s="399" t="s">
        <v>130</v>
      </c>
      <c r="D4865" s="399" t="s">
        <v>2288</v>
      </c>
      <c r="E4865" s="399" t="s">
        <v>6105</v>
      </c>
      <c r="F4865" s="399" t="s">
        <v>6106</v>
      </c>
      <c r="G4865" s="399" t="s">
        <v>2221</v>
      </c>
      <c r="H4865" s="1235"/>
    </row>
    <row r="4866" spans="1:8" hidden="1">
      <c r="A4866" s="551" t="s">
        <v>6042</v>
      </c>
      <c r="B4866" s="399" t="s">
        <v>1847</v>
      </c>
      <c r="C4866" s="399" t="s">
        <v>130</v>
      </c>
      <c r="D4866" s="399" t="s">
        <v>2288</v>
      </c>
      <c r="E4866" s="399" t="s">
        <v>6107</v>
      </c>
      <c r="F4866" s="399" t="s">
        <v>6108</v>
      </c>
      <c r="G4866" s="399" t="s">
        <v>2221</v>
      </c>
      <c r="H4866" s="1235"/>
    </row>
    <row r="4867" spans="1:8" hidden="1">
      <c r="A4867" s="551" t="s">
        <v>6042</v>
      </c>
      <c r="B4867" s="399" t="s">
        <v>1847</v>
      </c>
      <c r="C4867" s="399" t="s">
        <v>130</v>
      </c>
      <c r="D4867" s="399" t="s">
        <v>2288</v>
      </c>
      <c r="E4867" s="399" t="s">
        <v>6109</v>
      </c>
      <c r="F4867" s="399" t="s">
        <v>6110</v>
      </c>
      <c r="G4867" s="399" t="s">
        <v>2221</v>
      </c>
      <c r="H4867" s="1235"/>
    </row>
    <row r="4868" spans="1:8" hidden="1">
      <c r="A4868" s="551" t="s">
        <v>6042</v>
      </c>
      <c r="B4868" s="399" t="s">
        <v>1847</v>
      </c>
      <c r="C4868" s="399" t="s">
        <v>130</v>
      </c>
      <c r="D4868" s="399" t="s">
        <v>2288</v>
      </c>
      <c r="E4868" s="399" t="s">
        <v>6111</v>
      </c>
      <c r="F4868" s="399" t="s">
        <v>6112</v>
      </c>
      <c r="G4868" s="399" t="s">
        <v>2221</v>
      </c>
      <c r="H4868" s="1235"/>
    </row>
    <row r="4869" spans="1:8" hidden="1">
      <c r="A4869" s="551" t="s">
        <v>6042</v>
      </c>
      <c r="B4869" s="399" t="s">
        <v>1847</v>
      </c>
      <c r="C4869" s="399" t="s">
        <v>130</v>
      </c>
      <c r="D4869" s="399" t="s">
        <v>2288</v>
      </c>
      <c r="E4869" s="399" t="s">
        <v>6113</v>
      </c>
      <c r="F4869" s="399" t="s">
        <v>6114</v>
      </c>
      <c r="G4869" s="399" t="s">
        <v>2221</v>
      </c>
      <c r="H4869" s="1235"/>
    </row>
    <row r="4870" spans="1:8" hidden="1">
      <c r="A4870" s="551" t="s">
        <v>6042</v>
      </c>
      <c r="B4870" s="399" t="s">
        <v>1847</v>
      </c>
      <c r="C4870" s="399" t="s">
        <v>130</v>
      </c>
      <c r="D4870" s="399" t="s">
        <v>2288</v>
      </c>
      <c r="E4870" s="399" t="s">
        <v>6115</v>
      </c>
      <c r="F4870" s="399" t="s">
        <v>6116</v>
      </c>
      <c r="G4870" s="399" t="s">
        <v>2221</v>
      </c>
      <c r="H4870" s="1235"/>
    </row>
    <row r="4871" spans="1:8" hidden="1">
      <c r="A4871" s="551" t="s">
        <v>6042</v>
      </c>
      <c r="B4871" s="399" t="s">
        <v>1847</v>
      </c>
      <c r="C4871" s="399" t="s">
        <v>130</v>
      </c>
      <c r="D4871" s="399" t="s">
        <v>2288</v>
      </c>
      <c r="E4871" s="399" t="s">
        <v>6117</v>
      </c>
      <c r="F4871" s="399" t="s">
        <v>6118</v>
      </c>
      <c r="G4871" s="399" t="s">
        <v>2221</v>
      </c>
      <c r="H4871" s="1235"/>
    </row>
    <row r="4872" spans="1:8" hidden="1">
      <c r="A4872" s="551" t="s">
        <v>6042</v>
      </c>
      <c r="B4872" s="399" t="s">
        <v>1847</v>
      </c>
      <c r="C4872" s="399" t="s">
        <v>130</v>
      </c>
      <c r="D4872" s="399" t="s">
        <v>2288</v>
      </c>
      <c r="E4872" s="399" t="s">
        <v>6119</v>
      </c>
      <c r="F4872" s="399" t="s">
        <v>6120</v>
      </c>
      <c r="G4872" s="399" t="s">
        <v>2221</v>
      </c>
      <c r="H4872" s="1235"/>
    </row>
    <row r="4873" spans="1:8" hidden="1">
      <c r="A4873" s="551" t="s">
        <v>6042</v>
      </c>
      <c r="B4873" s="399" t="s">
        <v>1847</v>
      </c>
      <c r="C4873" s="399" t="s">
        <v>130</v>
      </c>
      <c r="D4873" s="399" t="s">
        <v>2288</v>
      </c>
      <c r="E4873" s="399" t="s">
        <v>6121</v>
      </c>
      <c r="F4873" s="399" t="s">
        <v>6122</v>
      </c>
      <c r="G4873" s="399" t="s">
        <v>2221</v>
      </c>
      <c r="H4873" s="1235"/>
    </row>
    <row r="4874" spans="1:8" hidden="1">
      <c r="A4874" s="551" t="s">
        <v>6042</v>
      </c>
      <c r="B4874" s="399" t="s">
        <v>1847</v>
      </c>
      <c r="C4874" s="399" t="s">
        <v>130</v>
      </c>
      <c r="D4874" s="399" t="s">
        <v>2288</v>
      </c>
      <c r="E4874" s="399" t="s">
        <v>6123</v>
      </c>
      <c r="F4874" s="399" t="s">
        <v>6124</v>
      </c>
      <c r="G4874" s="399" t="s">
        <v>2221</v>
      </c>
      <c r="H4874" s="1235"/>
    </row>
    <row r="4875" spans="1:8" hidden="1">
      <c r="A4875" s="551" t="s">
        <v>6042</v>
      </c>
      <c r="B4875" s="399" t="s">
        <v>1847</v>
      </c>
      <c r="C4875" s="399" t="s">
        <v>130</v>
      </c>
      <c r="D4875" s="399" t="s">
        <v>2288</v>
      </c>
      <c r="E4875" s="399" t="s">
        <v>6125</v>
      </c>
      <c r="F4875" s="399" t="s">
        <v>6126</v>
      </c>
      <c r="G4875" s="399" t="s">
        <v>2221</v>
      </c>
      <c r="H4875" s="1235"/>
    </row>
    <row r="4876" spans="1:8" hidden="1">
      <c r="A4876" s="551" t="s">
        <v>6042</v>
      </c>
      <c r="B4876" s="399" t="s">
        <v>1847</v>
      </c>
      <c r="C4876" s="399" t="s">
        <v>130</v>
      </c>
      <c r="D4876" s="399" t="s">
        <v>2288</v>
      </c>
      <c r="E4876" s="399" t="s">
        <v>6127</v>
      </c>
      <c r="F4876" s="399" t="s">
        <v>6128</v>
      </c>
      <c r="G4876" s="399" t="s">
        <v>2221</v>
      </c>
      <c r="H4876" s="1235"/>
    </row>
    <row r="4877" spans="1:8" hidden="1">
      <c r="A4877" s="551" t="s">
        <v>6042</v>
      </c>
      <c r="B4877" s="399" t="s">
        <v>1847</v>
      </c>
      <c r="C4877" s="399" t="s">
        <v>130</v>
      </c>
      <c r="D4877" s="399" t="s">
        <v>2288</v>
      </c>
      <c r="E4877" s="399" t="s">
        <v>6129</v>
      </c>
      <c r="F4877" s="399" t="s">
        <v>6130</v>
      </c>
      <c r="G4877" s="399" t="s">
        <v>2221</v>
      </c>
      <c r="H4877" s="1235"/>
    </row>
    <row r="4878" spans="1:8" hidden="1">
      <c r="A4878" s="551" t="s">
        <v>6042</v>
      </c>
      <c r="B4878" s="399" t="s">
        <v>1847</v>
      </c>
      <c r="C4878" s="399" t="s">
        <v>130</v>
      </c>
      <c r="D4878" s="399" t="s">
        <v>2288</v>
      </c>
      <c r="E4878" s="399" t="s">
        <v>6131</v>
      </c>
      <c r="F4878" s="399" t="s">
        <v>6132</v>
      </c>
      <c r="G4878" s="399" t="s">
        <v>2221</v>
      </c>
      <c r="H4878" s="1235"/>
    </row>
    <row r="4879" spans="1:8" hidden="1">
      <c r="A4879" s="551" t="s">
        <v>6042</v>
      </c>
      <c r="B4879" s="399" t="s">
        <v>1847</v>
      </c>
      <c r="C4879" s="399" t="s">
        <v>130</v>
      </c>
      <c r="D4879" s="399" t="s">
        <v>2288</v>
      </c>
      <c r="E4879" s="399" t="s">
        <v>6133</v>
      </c>
      <c r="F4879" s="399" t="s">
        <v>6134</v>
      </c>
      <c r="G4879" s="399" t="s">
        <v>2221</v>
      </c>
      <c r="H4879" s="1235"/>
    </row>
    <row r="4880" spans="1:8" hidden="1">
      <c r="A4880" s="551" t="s">
        <v>6042</v>
      </c>
      <c r="B4880" s="399" t="s">
        <v>1847</v>
      </c>
      <c r="C4880" s="399" t="s">
        <v>130</v>
      </c>
      <c r="D4880" s="399" t="s">
        <v>2288</v>
      </c>
      <c r="E4880" s="399" t="s">
        <v>6135</v>
      </c>
      <c r="F4880" s="399" t="s">
        <v>6136</v>
      </c>
      <c r="G4880" s="399" t="s">
        <v>2221</v>
      </c>
      <c r="H4880" s="1235"/>
    </row>
    <row r="4881" spans="1:8" hidden="1">
      <c r="A4881" s="551" t="s">
        <v>6042</v>
      </c>
      <c r="B4881" s="399" t="s">
        <v>1847</v>
      </c>
      <c r="C4881" s="399" t="s">
        <v>130</v>
      </c>
      <c r="D4881" s="399" t="s">
        <v>2288</v>
      </c>
      <c r="E4881" s="399" t="s">
        <v>6137</v>
      </c>
      <c r="F4881" s="399" t="s">
        <v>6138</v>
      </c>
      <c r="G4881" s="399" t="s">
        <v>2221</v>
      </c>
      <c r="H4881" s="1235"/>
    </row>
    <row r="4882" spans="1:8" hidden="1">
      <c r="A4882" s="551" t="s">
        <v>6042</v>
      </c>
      <c r="B4882" s="399" t="s">
        <v>1847</v>
      </c>
      <c r="C4882" s="399" t="s">
        <v>130</v>
      </c>
      <c r="D4882" s="399" t="s">
        <v>2288</v>
      </c>
      <c r="E4882" s="399" t="s">
        <v>6139</v>
      </c>
      <c r="F4882" s="399" t="s">
        <v>6140</v>
      </c>
      <c r="G4882" s="399" t="s">
        <v>2221</v>
      </c>
      <c r="H4882" s="1235"/>
    </row>
    <row r="4883" spans="1:8" hidden="1">
      <c r="A4883" s="551" t="s">
        <v>6042</v>
      </c>
      <c r="B4883" s="399" t="s">
        <v>1847</v>
      </c>
      <c r="C4883" s="399" t="s">
        <v>130</v>
      </c>
      <c r="D4883" s="399" t="s">
        <v>2288</v>
      </c>
      <c r="E4883" s="399" t="s">
        <v>6141</v>
      </c>
      <c r="F4883" s="399" t="s">
        <v>6142</v>
      </c>
      <c r="G4883" s="399" t="s">
        <v>2221</v>
      </c>
      <c r="H4883" s="1235"/>
    </row>
    <row r="4884" spans="1:8" hidden="1">
      <c r="A4884" s="551" t="s">
        <v>6042</v>
      </c>
      <c r="B4884" s="399" t="s">
        <v>1847</v>
      </c>
      <c r="C4884" s="399" t="s">
        <v>130</v>
      </c>
      <c r="D4884" s="399" t="s">
        <v>2288</v>
      </c>
      <c r="E4884" s="399" t="s">
        <v>6143</v>
      </c>
      <c r="F4884" s="399" t="s">
        <v>6144</v>
      </c>
      <c r="G4884" s="399" t="s">
        <v>2221</v>
      </c>
      <c r="H4884" s="1235"/>
    </row>
    <row r="4885" spans="1:8" hidden="1">
      <c r="A4885" s="551" t="s">
        <v>6042</v>
      </c>
      <c r="B4885" s="399" t="s">
        <v>1847</v>
      </c>
      <c r="C4885" s="399" t="s">
        <v>130</v>
      </c>
      <c r="D4885" s="399" t="s">
        <v>2288</v>
      </c>
      <c r="E4885" s="399" t="s">
        <v>6145</v>
      </c>
      <c r="F4885" s="399" t="s">
        <v>6146</v>
      </c>
      <c r="G4885" s="399" t="s">
        <v>2221</v>
      </c>
      <c r="H4885" s="1235"/>
    </row>
    <row r="4886" spans="1:8" hidden="1">
      <c r="A4886" s="551" t="s">
        <v>6042</v>
      </c>
      <c r="B4886" s="399" t="s">
        <v>1847</v>
      </c>
      <c r="C4886" s="399" t="s">
        <v>130</v>
      </c>
      <c r="D4886" s="399" t="s">
        <v>2288</v>
      </c>
      <c r="E4886" s="399" t="s">
        <v>6147</v>
      </c>
      <c r="F4886" s="399" t="s">
        <v>6148</v>
      </c>
      <c r="G4886" s="399" t="s">
        <v>2221</v>
      </c>
      <c r="H4886" s="1235"/>
    </row>
    <row r="4887" spans="1:8" hidden="1">
      <c r="A4887" s="551" t="s">
        <v>6042</v>
      </c>
      <c r="B4887" s="399" t="s">
        <v>1847</v>
      </c>
      <c r="C4887" s="399" t="s">
        <v>130</v>
      </c>
      <c r="D4887" s="399" t="s">
        <v>2288</v>
      </c>
      <c r="E4887" s="399" t="s">
        <v>6149</v>
      </c>
      <c r="F4887" s="399" t="s">
        <v>6150</v>
      </c>
      <c r="G4887" s="399" t="s">
        <v>2221</v>
      </c>
      <c r="H4887" s="1235"/>
    </row>
    <row r="4888" spans="1:8" hidden="1">
      <c r="A4888" s="551" t="s">
        <v>6042</v>
      </c>
      <c r="B4888" s="399" t="s">
        <v>1847</v>
      </c>
      <c r="C4888" s="399" t="s">
        <v>130</v>
      </c>
      <c r="D4888" s="399" t="s">
        <v>2288</v>
      </c>
      <c r="E4888" s="399" t="s">
        <v>6151</v>
      </c>
      <c r="F4888" s="399" t="s">
        <v>6152</v>
      </c>
      <c r="G4888" s="399" t="s">
        <v>2221</v>
      </c>
      <c r="H4888" s="1235"/>
    </row>
    <row r="4889" spans="1:8" hidden="1">
      <c r="A4889" s="551" t="s">
        <v>6042</v>
      </c>
      <c r="B4889" s="399" t="s">
        <v>1847</v>
      </c>
      <c r="C4889" s="399" t="s">
        <v>130</v>
      </c>
      <c r="D4889" s="399" t="s">
        <v>2288</v>
      </c>
      <c r="E4889" s="399" t="s">
        <v>6153</v>
      </c>
      <c r="F4889" s="399" t="s">
        <v>6154</v>
      </c>
      <c r="G4889" s="399" t="s">
        <v>2221</v>
      </c>
      <c r="H4889" s="1235"/>
    </row>
    <row r="4890" spans="1:8" hidden="1">
      <c r="A4890" s="551" t="s">
        <v>6042</v>
      </c>
      <c r="B4890" s="399" t="s">
        <v>1847</v>
      </c>
      <c r="C4890" s="399" t="s">
        <v>130</v>
      </c>
      <c r="D4890" s="399" t="s">
        <v>2288</v>
      </c>
      <c r="E4890" s="399" t="s">
        <v>6155</v>
      </c>
      <c r="F4890" s="399" t="s">
        <v>6156</v>
      </c>
      <c r="G4890" s="399" t="s">
        <v>2221</v>
      </c>
      <c r="H4890" s="1235"/>
    </row>
    <row r="4891" spans="1:8" hidden="1">
      <c r="A4891" s="551" t="s">
        <v>6042</v>
      </c>
      <c r="B4891" s="399" t="s">
        <v>1847</v>
      </c>
      <c r="C4891" s="399" t="s">
        <v>130</v>
      </c>
      <c r="D4891" s="399" t="s">
        <v>2288</v>
      </c>
      <c r="E4891" s="399" t="s">
        <v>6157</v>
      </c>
      <c r="F4891" s="399" t="s">
        <v>6158</v>
      </c>
      <c r="G4891" s="399" t="s">
        <v>2221</v>
      </c>
      <c r="H4891" s="1235"/>
    </row>
    <row r="4892" spans="1:8" hidden="1">
      <c r="A4892" s="551" t="s">
        <v>6042</v>
      </c>
      <c r="B4892" s="399" t="s">
        <v>1847</v>
      </c>
      <c r="C4892" s="399" t="s">
        <v>130</v>
      </c>
      <c r="D4892" s="399" t="s">
        <v>2288</v>
      </c>
      <c r="E4892" s="399" t="s">
        <v>6159</v>
      </c>
      <c r="F4892" s="399" t="s">
        <v>6160</v>
      </c>
      <c r="G4892" s="399" t="s">
        <v>2221</v>
      </c>
      <c r="H4892" s="1235"/>
    </row>
    <row r="4893" spans="1:8" hidden="1">
      <c r="A4893" s="551" t="s">
        <v>6042</v>
      </c>
      <c r="B4893" s="399" t="s">
        <v>1847</v>
      </c>
      <c r="C4893" s="399" t="s">
        <v>130</v>
      </c>
      <c r="D4893" s="399" t="s">
        <v>6161</v>
      </c>
      <c r="E4893" s="399" t="s">
        <v>6162</v>
      </c>
      <c r="F4893" s="399" t="s">
        <v>6163</v>
      </c>
      <c r="G4893" s="399" t="s">
        <v>2221</v>
      </c>
      <c r="H4893" s="1235"/>
    </row>
    <row r="4894" spans="1:8" hidden="1">
      <c r="A4894" s="551" t="s">
        <v>6042</v>
      </c>
      <c r="B4894" s="399" t="s">
        <v>1847</v>
      </c>
      <c r="C4894" s="399" t="s">
        <v>130</v>
      </c>
      <c r="D4894" s="399" t="s">
        <v>2288</v>
      </c>
      <c r="E4894" s="399" t="s">
        <v>6040</v>
      </c>
      <c r="F4894" s="399" t="s">
        <v>6164</v>
      </c>
      <c r="G4894" s="399" t="s">
        <v>2221</v>
      </c>
      <c r="H4894" s="1235"/>
    </row>
    <row r="4895" spans="1:8" hidden="1">
      <c r="A4895" s="551" t="s">
        <v>6042</v>
      </c>
      <c r="B4895" s="399" t="s">
        <v>1847</v>
      </c>
      <c r="C4895" s="399" t="s">
        <v>130</v>
      </c>
      <c r="D4895" s="399" t="s">
        <v>6165</v>
      </c>
      <c r="E4895" s="399" t="s">
        <v>6166</v>
      </c>
      <c r="F4895" s="399" t="s">
        <v>6167</v>
      </c>
      <c r="G4895" s="399" t="s">
        <v>2221</v>
      </c>
      <c r="H4895" s="1235"/>
    </row>
    <row r="4896" spans="1:8" hidden="1">
      <c r="A4896" s="551" t="s">
        <v>6042</v>
      </c>
      <c r="B4896" s="399" t="s">
        <v>1847</v>
      </c>
      <c r="C4896" s="399" t="s">
        <v>130</v>
      </c>
      <c r="D4896" s="399" t="s">
        <v>6168</v>
      </c>
      <c r="E4896" s="399" t="s">
        <v>6169</v>
      </c>
      <c r="F4896" s="399" t="s">
        <v>6170</v>
      </c>
      <c r="G4896" s="399" t="s">
        <v>2221</v>
      </c>
      <c r="H4896" s="1235"/>
    </row>
    <row r="4897" spans="1:8" hidden="1">
      <c r="A4897" s="551" t="s">
        <v>6042</v>
      </c>
      <c r="B4897" s="399" t="s">
        <v>1847</v>
      </c>
      <c r="C4897" s="399" t="s">
        <v>130</v>
      </c>
      <c r="D4897" s="399" t="s">
        <v>2288</v>
      </c>
      <c r="E4897" s="399" t="s">
        <v>6171</v>
      </c>
      <c r="F4897" s="399" t="s">
        <v>6172</v>
      </c>
      <c r="G4897" s="399" t="s">
        <v>2221</v>
      </c>
      <c r="H4897" s="1235"/>
    </row>
    <row r="4898" spans="1:8" hidden="1">
      <c r="A4898" s="551" t="s">
        <v>6042</v>
      </c>
      <c r="B4898" s="399" t="s">
        <v>1847</v>
      </c>
      <c r="C4898" s="399" t="s">
        <v>130</v>
      </c>
      <c r="D4898" s="399" t="s">
        <v>2288</v>
      </c>
      <c r="E4898" s="399" t="s">
        <v>6173</v>
      </c>
      <c r="F4898" s="399" t="s">
        <v>6174</v>
      </c>
      <c r="G4898" s="399" t="s">
        <v>2221</v>
      </c>
      <c r="H4898" s="1235"/>
    </row>
    <row r="4899" spans="1:8" hidden="1">
      <c r="A4899" s="551" t="s">
        <v>6042</v>
      </c>
      <c r="B4899" s="399" t="s">
        <v>1847</v>
      </c>
      <c r="C4899" s="399" t="s">
        <v>130</v>
      </c>
      <c r="D4899" s="399" t="s">
        <v>2288</v>
      </c>
      <c r="E4899" s="399" t="s">
        <v>6175</v>
      </c>
      <c r="F4899" s="399" t="s">
        <v>6176</v>
      </c>
      <c r="G4899" s="399" t="s">
        <v>2221</v>
      </c>
      <c r="H4899" s="1235"/>
    </row>
    <row r="4900" spans="1:8" hidden="1">
      <c r="A4900" s="551" t="s">
        <v>6042</v>
      </c>
      <c r="B4900" s="399" t="s">
        <v>1847</v>
      </c>
      <c r="C4900" s="399" t="s">
        <v>130</v>
      </c>
      <c r="D4900" s="399" t="s">
        <v>2288</v>
      </c>
      <c r="E4900" s="399" t="s">
        <v>6177</v>
      </c>
      <c r="F4900" s="399" t="s">
        <v>6178</v>
      </c>
      <c r="G4900" s="399" t="s">
        <v>2221</v>
      </c>
      <c r="H4900" s="1235"/>
    </row>
    <row r="4901" spans="1:8" hidden="1">
      <c r="A4901" s="551" t="s">
        <v>6042</v>
      </c>
      <c r="B4901" s="399" t="s">
        <v>1847</v>
      </c>
      <c r="C4901" s="399" t="s">
        <v>130</v>
      </c>
      <c r="D4901" s="399" t="s">
        <v>2288</v>
      </c>
      <c r="E4901" s="399" t="s">
        <v>6179</v>
      </c>
      <c r="F4901" s="399" t="s">
        <v>6180</v>
      </c>
      <c r="G4901" s="399" t="s">
        <v>2221</v>
      </c>
      <c r="H4901" s="1235"/>
    </row>
    <row r="4902" spans="1:8" hidden="1">
      <c r="A4902" s="551" t="s">
        <v>6042</v>
      </c>
      <c r="B4902" s="399" t="s">
        <v>1847</v>
      </c>
      <c r="C4902" s="399" t="s">
        <v>130</v>
      </c>
      <c r="D4902" s="399" t="s">
        <v>2288</v>
      </c>
      <c r="E4902" s="399" t="s">
        <v>6181</v>
      </c>
      <c r="F4902" s="399" t="s">
        <v>6182</v>
      </c>
      <c r="G4902" s="399" t="s">
        <v>2221</v>
      </c>
      <c r="H4902" s="1235"/>
    </row>
    <row r="4903" spans="1:8" hidden="1">
      <c r="A4903" s="551" t="s">
        <v>6042</v>
      </c>
      <c r="B4903" s="399" t="s">
        <v>1847</v>
      </c>
      <c r="C4903" s="399" t="s">
        <v>130</v>
      </c>
      <c r="D4903" s="399" t="s">
        <v>2288</v>
      </c>
      <c r="E4903" s="399" t="s">
        <v>6183</v>
      </c>
      <c r="F4903" s="399" t="s">
        <v>6184</v>
      </c>
      <c r="G4903" s="399" t="s">
        <v>2221</v>
      </c>
      <c r="H4903" s="1235"/>
    </row>
    <row r="4904" spans="1:8" hidden="1">
      <c r="A4904" s="551" t="s">
        <v>6042</v>
      </c>
      <c r="B4904" s="399" t="s">
        <v>1847</v>
      </c>
      <c r="C4904" s="399" t="s">
        <v>130</v>
      </c>
      <c r="D4904" s="399" t="s">
        <v>2288</v>
      </c>
      <c r="E4904" s="399" t="s">
        <v>6185</v>
      </c>
      <c r="F4904" s="399" t="s">
        <v>6186</v>
      </c>
      <c r="G4904" s="399" t="s">
        <v>2221</v>
      </c>
      <c r="H4904" s="1235"/>
    </row>
    <row r="4905" spans="1:8" hidden="1">
      <c r="A4905" s="551" t="s">
        <v>6042</v>
      </c>
      <c r="B4905" s="399" t="s">
        <v>1847</v>
      </c>
      <c r="C4905" s="399" t="s">
        <v>130</v>
      </c>
      <c r="D4905" s="399" t="s">
        <v>2288</v>
      </c>
      <c r="E4905" s="399" t="s">
        <v>5611</v>
      </c>
      <c r="F4905" s="399" t="s">
        <v>6187</v>
      </c>
      <c r="G4905" s="399" t="s">
        <v>2221</v>
      </c>
      <c r="H4905" s="1235"/>
    </row>
    <row r="4906" spans="1:8" hidden="1">
      <c r="A4906" s="551" t="s">
        <v>6042</v>
      </c>
      <c r="B4906" s="399" t="s">
        <v>1847</v>
      </c>
      <c r="C4906" s="399" t="s">
        <v>130</v>
      </c>
      <c r="D4906" s="399" t="s">
        <v>2288</v>
      </c>
      <c r="E4906" s="399" t="s">
        <v>6188</v>
      </c>
      <c r="F4906" s="399" t="s">
        <v>6189</v>
      </c>
      <c r="G4906" s="399" t="s">
        <v>2221</v>
      </c>
      <c r="H4906" s="1235"/>
    </row>
    <row r="4907" spans="1:8" hidden="1">
      <c r="A4907" s="551" t="s">
        <v>6042</v>
      </c>
      <c r="B4907" s="399" t="s">
        <v>1847</v>
      </c>
      <c r="C4907" s="399" t="s">
        <v>130</v>
      </c>
      <c r="D4907" s="399" t="s">
        <v>2288</v>
      </c>
      <c r="E4907" s="399" t="s">
        <v>6190</v>
      </c>
      <c r="F4907" s="399" t="s">
        <v>6191</v>
      </c>
      <c r="G4907" s="399" t="s">
        <v>2221</v>
      </c>
      <c r="H4907" s="1235"/>
    </row>
    <row r="4908" spans="1:8" hidden="1">
      <c r="A4908" s="551" t="s">
        <v>6042</v>
      </c>
      <c r="B4908" s="399" t="s">
        <v>1847</v>
      </c>
      <c r="C4908" s="399" t="s">
        <v>130</v>
      </c>
      <c r="D4908" s="399" t="s">
        <v>2288</v>
      </c>
      <c r="E4908" s="399" t="s">
        <v>6192</v>
      </c>
      <c r="F4908" s="399" t="s">
        <v>6193</v>
      </c>
      <c r="G4908" s="399" t="s">
        <v>2221</v>
      </c>
      <c r="H4908" s="1235"/>
    </row>
    <row r="4909" spans="1:8" hidden="1">
      <c r="A4909" s="551" t="s">
        <v>6042</v>
      </c>
      <c r="B4909" s="399" t="s">
        <v>1847</v>
      </c>
      <c r="C4909" s="399" t="s">
        <v>130</v>
      </c>
      <c r="D4909" s="399" t="s">
        <v>2288</v>
      </c>
      <c r="E4909" s="399" t="s">
        <v>6194</v>
      </c>
      <c r="F4909" s="399" t="s">
        <v>6195</v>
      </c>
      <c r="G4909" s="399" t="s">
        <v>2221</v>
      </c>
      <c r="H4909" s="1235"/>
    </row>
    <row r="4910" spans="1:8" hidden="1">
      <c r="A4910" s="551" t="s">
        <v>6042</v>
      </c>
      <c r="B4910" s="399" t="s">
        <v>1847</v>
      </c>
      <c r="C4910" s="399" t="s">
        <v>130</v>
      </c>
      <c r="D4910" s="399" t="s">
        <v>2288</v>
      </c>
      <c r="E4910" s="399" t="s">
        <v>6196</v>
      </c>
      <c r="F4910" s="399" t="s">
        <v>6197</v>
      </c>
      <c r="G4910" s="399" t="s">
        <v>2221</v>
      </c>
      <c r="H4910" s="1235"/>
    </row>
    <row r="4911" spans="1:8" hidden="1">
      <c r="A4911" s="551" t="s">
        <v>6042</v>
      </c>
      <c r="B4911" s="399" t="s">
        <v>1847</v>
      </c>
      <c r="C4911" s="399" t="s">
        <v>130</v>
      </c>
      <c r="D4911" s="399" t="s">
        <v>6198</v>
      </c>
      <c r="E4911" s="399" t="s">
        <v>6199</v>
      </c>
      <c r="F4911" s="399" t="s">
        <v>6200</v>
      </c>
      <c r="G4911" s="399" t="s">
        <v>2221</v>
      </c>
      <c r="H4911" s="1235"/>
    </row>
    <row r="4912" spans="1:8" hidden="1">
      <c r="A4912" s="551" t="s">
        <v>6042</v>
      </c>
      <c r="B4912" s="399" t="s">
        <v>1847</v>
      </c>
      <c r="C4912" s="399" t="s">
        <v>130</v>
      </c>
      <c r="D4912" s="399" t="s">
        <v>2288</v>
      </c>
      <c r="E4912" s="399" t="s">
        <v>2285</v>
      </c>
      <c r="F4912" s="399" t="s">
        <v>6201</v>
      </c>
      <c r="G4912" s="399" t="s">
        <v>2221</v>
      </c>
      <c r="H4912" s="1235"/>
    </row>
    <row r="4913" spans="1:8" hidden="1">
      <c r="A4913" s="551" t="s">
        <v>6042</v>
      </c>
      <c r="B4913" s="399" t="s">
        <v>1847</v>
      </c>
      <c r="C4913" s="399" t="s">
        <v>130</v>
      </c>
      <c r="D4913" s="399" t="s">
        <v>2288</v>
      </c>
      <c r="E4913" s="399" t="s">
        <v>6202</v>
      </c>
      <c r="F4913" s="399" t="s">
        <v>6203</v>
      </c>
      <c r="G4913" s="399" t="s">
        <v>2221</v>
      </c>
      <c r="H4913" s="1235"/>
    </row>
    <row r="4914" spans="1:8" hidden="1">
      <c r="A4914" s="551" t="s">
        <v>6042</v>
      </c>
      <c r="B4914" s="399" t="s">
        <v>1847</v>
      </c>
      <c r="C4914" s="399" t="s">
        <v>130</v>
      </c>
      <c r="D4914" s="399" t="s">
        <v>2288</v>
      </c>
      <c r="E4914" s="399" t="s">
        <v>6204</v>
      </c>
      <c r="F4914" s="399" t="s">
        <v>6205</v>
      </c>
      <c r="G4914" s="399" t="s">
        <v>2221</v>
      </c>
      <c r="H4914" s="1235"/>
    </row>
    <row r="4915" spans="1:8" hidden="1">
      <c r="A4915" s="551" t="s">
        <v>6042</v>
      </c>
      <c r="B4915" s="399" t="s">
        <v>1847</v>
      </c>
      <c r="C4915" s="399" t="s">
        <v>130</v>
      </c>
      <c r="D4915" s="399" t="s">
        <v>6206</v>
      </c>
      <c r="E4915" s="399" t="s">
        <v>6207</v>
      </c>
      <c r="F4915" s="399" t="s">
        <v>6208</v>
      </c>
      <c r="G4915" s="399" t="s">
        <v>2221</v>
      </c>
      <c r="H4915" s="1235"/>
    </row>
    <row r="4916" spans="1:8" hidden="1">
      <c r="A4916" s="551" t="s">
        <v>6042</v>
      </c>
      <c r="B4916" s="399" t="s">
        <v>1847</v>
      </c>
      <c r="C4916" s="399" t="s">
        <v>130</v>
      </c>
      <c r="D4916" s="399" t="s">
        <v>6209</v>
      </c>
      <c r="E4916" s="399" t="s">
        <v>6207</v>
      </c>
      <c r="F4916" s="399" t="s">
        <v>6208</v>
      </c>
      <c r="G4916" s="399" t="s">
        <v>2221</v>
      </c>
      <c r="H4916" s="1235"/>
    </row>
    <row r="4917" spans="1:8" hidden="1">
      <c r="A4917" s="551" t="s">
        <v>6042</v>
      </c>
      <c r="B4917" s="399" t="s">
        <v>1847</v>
      </c>
      <c r="C4917" s="399" t="s">
        <v>130</v>
      </c>
      <c r="D4917" s="399" t="s">
        <v>6210</v>
      </c>
      <c r="E4917" s="399" t="s">
        <v>6207</v>
      </c>
      <c r="F4917" s="399" t="s">
        <v>6208</v>
      </c>
      <c r="G4917" s="399" t="s">
        <v>2221</v>
      </c>
      <c r="H4917" s="1235"/>
    </row>
    <row r="4918" spans="1:8" hidden="1">
      <c r="A4918" s="551" t="s">
        <v>6042</v>
      </c>
      <c r="B4918" s="399" t="s">
        <v>1847</v>
      </c>
      <c r="C4918" s="399" t="s">
        <v>130</v>
      </c>
      <c r="D4918" s="399" t="s">
        <v>6211</v>
      </c>
      <c r="E4918" s="399" t="s">
        <v>6207</v>
      </c>
      <c r="F4918" s="399" t="s">
        <v>6208</v>
      </c>
      <c r="G4918" s="399" t="s">
        <v>2221</v>
      </c>
      <c r="H4918" s="1235"/>
    </row>
    <row r="4919" spans="1:8" hidden="1">
      <c r="A4919" s="552" t="s">
        <v>6042</v>
      </c>
      <c r="B4919" s="404" t="s">
        <v>1847</v>
      </c>
      <c r="C4919" s="404" t="s">
        <v>130</v>
      </c>
      <c r="D4919" s="404" t="s">
        <v>6212</v>
      </c>
      <c r="E4919" s="404" t="s">
        <v>6207</v>
      </c>
      <c r="F4919" s="404" t="s">
        <v>6208</v>
      </c>
      <c r="G4919" s="404" t="s">
        <v>2221</v>
      </c>
      <c r="H4919" s="1235"/>
    </row>
    <row r="4920" spans="1:8" hidden="1">
      <c r="A4920" s="674" t="s">
        <v>6042</v>
      </c>
      <c r="B4920" s="408" t="s">
        <v>1859</v>
      </c>
      <c r="C4920" s="408" t="s">
        <v>109</v>
      </c>
      <c r="D4920" s="408" t="s">
        <v>6213</v>
      </c>
      <c r="E4920" s="408">
        <v>1202</v>
      </c>
      <c r="F4920" s="408" t="s">
        <v>6214</v>
      </c>
      <c r="G4920" s="687" t="s">
        <v>6215</v>
      </c>
      <c r="H4920" s="1231" t="s">
        <v>6216</v>
      </c>
    </row>
    <row r="4921" spans="1:8" hidden="1">
      <c r="A4921" s="676" t="s">
        <v>6042</v>
      </c>
      <c r="B4921" s="399" t="s">
        <v>1859</v>
      </c>
      <c r="C4921" s="399" t="s">
        <v>109</v>
      </c>
      <c r="D4921" s="399" t="s">
        <v>6217</v>
      </c>
      <c r="E4921" s="399">
        <v>1102</v>
      </c>
      <c r="F4921" s="399" t="s">
        <v>6218</v>
      </c>
      <c r="G4921" s="685" t="s">
        <v>6215</v>
      </c>
      <c r="H4921" s="1232"/>
    </row>
    <row r="4922" spans="1:8" hidden="1">
      <c r="A4922" s="676" t="s">
        <v>6042</v>
      </c>
      <c r="B4922" s="399" t="s">
        <v>1859</v>
      </c>
      <c r="C4922" s="399" t="s">
        <v>109</v>
      </c>
      <c r="D4922" s="399" t="s">
        <v>6219</v>
      </c>
      <c r="E4922" s="399">
        <v>1107</v>
      </c>
      <c r="F4922" s="399" t="s">
        <v>6220</v>
      </c>
      <c r="G4922" s="685" t="s">
        <v>6215</v>
      </c>
      <c r="H4922" s="1232"/>
    </row>
    <row r="4923" spans="1:8" hidden="1">
      <c r="A4923" s="676" t="s">
        <v>6042</v>
      </c>
      <c r="B4923" s="399" t="s">
        <v>1859</v>
      </c>
      <c r="C4923" s="399" t="s">
        <v>109</v>
      </c>
      <c r="D4923" s="399" t="s">
        <v>6221</v>
      </c>
      <c r="E4923" s="399">
        <v>1107</v>
      </c>
      <c r="F4923" s="399" t="s">
        <v>6220</v>
      </c>
      <c r="G4923" s="685" t="s">
        <v>6215</v>
      </c>
      <c r="H4923" s="1232"/>
    </row>
    <row r="4924" spans="1:8" hidden="1">
      <c r="A4924" s="676" t="s">
        <v>6042</v>
      </c>
      <c r="B4924" s="399" t="s">
        <v>1859</v>
      </c>
      <c r="C4924" s="399" t="s">
        <v>109</v>
      </c>
      <c r="D4924" s="399" t="s">
        <v>6222</v>
      </c>
      <c r="E4924" s="399">
        <v>1198</v>
      </c>
      <c r="F4924" s="399" t="s">
        <v>6223</v>
      </c>
      <c r="G4924" s="685" t="s">
        <v>6215</v>
      </c>
      <c r="H4924" s="1232"/>
    </row>
    <row r="4925" spans="1:8" hidden="1">
      <c r="A4925" s="676" t="s">
        <v>6042</v>
      </c>
      <c r="B4925" s="399" t="s">
        <v>1859</v>
      </c>
      <c r="C4925" s="399" t="s">
        <v>109</v>
      </c>
      <c r="D4925" s="399" t="s">
        <v>6224</v>
      </c>
      <c r="E4925" s="399">
        <v>1198</v>
      </c>
      <c r="F4925" s="399" t="s">
        <v>6223</v>
      </c>
      <c r="G4925" s="685" t="s">
        <v>6215</v>
      </c>
      <c r="H4925" s="1232"/>
    </row>
    <row r="4926" spans="1:8" hidden="1">
      <c r="A4926" s="677" t="s">
        <v>6042</v>
      </c>
      <c r="B4926" s="410" t="s">
        <v>1859</v>
      </c>
      <c r="C4926" s="410" t="s">
        <v>109</v>
      </c>
      <c r="D4926" s="410" t="s">
        <v>6225</v>
      </c>
      <c r="E4926" s="410">
        <v>1201</v>
      </c>
      <c r="F4926" s="410" t="s">
        <v>6226</v>
      </c>
      <c r="G4926" s="686" t="s">
        <v>6215</v>
      </c>
      <c r="H4926" s="1233"/>
    </row>
    <row r="4927" spans="1:8" hidden="1">
      <c r="A4927" s="495" t="s">
        <v>6042</v>
      </c>
      <c r="B4927" s="399" t="s">
        <v>1870</v>
      </c>
      <c r="C4927" s="399" t="s">
        <v>135</v>
      </c>
      <c r="D4927" s="399" t="s">
        <v>6227</v>
      </c>
      <c r="E4927" s="399" t="s">
        <v>6228</v>
      </c>
      <c r="F4927" s="399" t="s">
        <v>6228</v>
      </c>
      <c r="G4927" s="399" t="s">
        <v>2221</v>
      </c>
      <c r="H4927" s="1235" t="s">
        <v>6229</v>
      </c>
    </row>
    <row r="4928" spans="1:8" hidden="1">
      <c r="A4928" s="497" t="s">
        <v>6042</v>
      </c>
      <c r="B4928" s="404" t="s">
        <v>1870</v>
      </c>
      <c r="C4928" s="404" t="s">
        <v>135</v>
      </c>
      <c r="D4928" s="404" t="s">
        <v>6230</v>
      </c>
      <c r="E4928" s="404" t="s">
        <v>6231</v>
      </c>
      <c r="F4928" s="404" t="s">
        <v>6231</v>
      </c>
      <c r="G4928" s="404" t="s">
        <v>2221</v>
      </c>
      <c r="H4928" s="1236"/>
    </row>
    <row r="4929" spans="1:8" hidden="1">
      <c r="A4929" s="498" t="s">
        <v>6042</v>
      </c>
      <c r="B4929" s="406" t="s">
        <v>652</v>
      </c>
      <c r="C4929" s="406" t="s">
        <v>85</v>
      </c>
      <c r="D4929" s="406" t="s">
        <v>2285</v>
      </c>
      <c r="E4929" s="406" t="s">
        <v>2645</v>
      </c>
      <c r="F4929" s="406" t="s">
        <v>2645</v>
      </c>
      <c r="G4929" s="406" t="s">
        <v>2221</v>
      </c>
      <c r="H4929" s="1234" t="s">
        <v>6232</v>
      </c>
    </row>
    <row r="4930" spans="1:8" hidden="1">
      <c r="A4930" s="495" t="s">
        <v>6042</v>
      </c>
      <c r="B4930" s="399" t="s">
        <v>652</v>
      </c>
      <c r="C4930" s="399" t="s">
        <v>85</v>
      </c>
      <c r="D4930" s="399" t="s">
        <v>2647</v>
      </c>
      <c r="E4930" s="399" t="s">
        <v>2648</v>
      </c>
      <c r="F4930" s="399" t="s">
        <v>2648</v>
      </c>
      <c r="G4930" s="399" t="s">
        <v>2221</v>
      </c>
      <c r="H4930" s="1235"/>
    </row>
    <row r="4931" spans="1:8" hidden="1">
      <c r="A4931" s="495" t="s">
        <v>6042</v>
      </c>
      <c r="B4931" s="399" t="s">
        <v>652</v>
      </c>
      <c r="C4931" s="399" t="s">
        <v>85</v>
      </c>
      <c r="D4931" s="400" t="s">
        <v>2649</v>
      </c>
      <c r="E4931" s="400" t="s">
        <v>2650</v>
      </c>
      <c r="F4931" s="400" t="s">
        <v>2650</v>
      </c>
      <c r="G4931" s="400" t="s">
        <v>2651</v>
      </c>
      <c r="H4931" s="1235"/>
    </row>
    <row r="4932" spans="1:8" hidden="1">
      <c r="A4932" s="495" t="s">
        <v>6042</v>
      </c>
      <c r="B4932" s="399" t="s">
        <v>652</v>
      </c>
      <c r="C4932" s="399" t="s">
        <v>85</v>
      </c>
      <c r="D4932" s="400" t="s">
        <v>2288</v>
      </c>
      <c r="E4932" s="400" t="s">
        <v>6233</v>
      </c>
      <c r="F4932" s="400" t="s">
        <v>6233</v>
      </c>
      <c r="G4932" s="400" t="s">
        <v>2653</v>
      </c>
      <c r="H4932" s="1235"/>
    </row>
    <row r="4933" spans="1:8" hidden="1">
      <c r="A4933" s="497" t="s">
        <v>6042</v>
      </c>
      <c r="B4933" s="404" t="s">
        <v>652</v>
      </c>
      <c r="C4933" s="404" t="s">
        <v>85</v>
      </c>
      <c r="D4933" s="405" t="s">
        <v>2288</v>
      </c>
      <c r="E4933" s="405" t="s">
        <v>2267</v>
      </c>
      <c r="F4933" s="405" t="s">
        <v>2267</v>
      </c>
      <c r="G4933" s="405" t="s">
        <v>6234</v>
      </c>
      <c r="H4933" s="1235"/>
    </row>
    <row r="4934" spans="1:8" hidden="1">
      <c r="A4934" s="674" t="s">
        <v>6042</v>
      </c>
      <c r="B4934" s="408" t="s">
        <v>897</v>
      </c>
      <c r="C4934" s="408" t="s">
        <v>134</v>
      </c>
      <c r="D4934" s="697" t="s">
        <v>2728</v>
      </c>
      <c r="E4934" s="697">
        <v>1</v>
      </c>
      <c r="F4934" s="697" t="s">
        <v>2730</v>
      </c>
      <c r="G4934" s="687" t="s">
        <v>6215</v>
      </c>
      <c r="H4934" s="1231" t="s">
        <v>6235</v>
      </c>
    </row>
    <row r="4935" spans="1:8" hidden="1">
      <c r="A4935" s="676" t="s">
        <v>6042</v>
      </c>
      <c r="B4935" s="399" t="s">
        <v>897</v>
      </c>
      <c r="C4935" s="399" t="s">
        <v>134</v>
      </c>
      <c r="D4935" s="399" t="s">
        <v>2733</v>
      </c>
      <c r="E4935" s="399">
        <v>5</v>
      </c>
      <c r="F4935" s="399" t="s">
        <v>2735</v>
      </c>
      <c r="G4935" s="399" t="s">
        <v>2221</v>
      </c>
      <c r="H4935" s="1232"/>
    </row>
    <row r="4936" spans="1:8" hidden="1">
      <c r="A4936" s="676" t="s">
        <v>6042</v>
      </c>
      <c r="B4936" s="399" t="s">
        <v>897</v>
      </c>
      <c r="C4936" s="399" t="s">
        <v>134</v>
      </c>
      <c r="D4936" s="399" t="s">
        <v>2736</v>
      </c>
      <c r="E4936" s="399">
        <v>7</v>
      </c>
      <c r="F4936" s="399" t="s">
        <v>2738</v>
      </c>
      <c r="G4936" s="399" t="s">
        <v>2221</v>
      </c>
      <c r="H4936" s="1232"/>
    </row>
    <row r="4937" spans="1:8" hidden="1">
      <c r="A4937" s="676" t="s">
        <v>6042</v>
      </c>
      <c r="B4937" s="399" t="s">
        <v>897</v>
      </c>
      <c r="C4937" s="399" t="s">
        <v>134</v>
      </c>
      <c r="D4937" s="399" t="s">
        <v>2739</v>
      </c>
      <c r="E4937" s="399">
        <v>8</v>
      </c>
      <c r="F4937" s="399" t="s">
        <v>2741</v>
      </c>
      <c r="G4937" s="399" t="s">
        <v>2221</v>
      </c>
      <c r="H4937" s="1232"/>
    </row>
    <row r="4938" spans="1:8" hidden="1">
      <c r="A4938" s="676" t="s">
        <v>6042</v>
      </c>
      <c r="B4938" s="399" t="s">
        <v>897</v>
      </c>
      <c r="C4938" s="399" t="s">
        <v>134</v>
      </c>
      <c r="D4938" s="399" t="s">
        <v>2742</v>
      </c>
      <c r="E4938" s="399">
        <v>8</v>
      </c>
      <c r="F4938" s="399" t="s">
        <v>2741</v>
      </c>
      <c r="G4938" s="399" t="s">
        <v>2221</v>
      </c>
      <c r="H4938" s="1232"/>
    </row>
    <row r="4939" spans="1:8" hidden="1">
      <c r="A4939" s="676" t="s">
        <v>6042</v>
      </c>
      <c r="B4939" s="399" t="s">
        <v>897</v>
      </c>
      <c r="C4939" s="399" t="s">
        <v>134</v>
      </c>
      <c r="D4939" s="399" t="s">
        <v>4576</v>
      </c>
      <c r="E4939" s="399">
        <v>13</v>
      </c>
      <c r="F4939" s="399" t="s">
        <v>2745</v>
      </c>
      <c r="G4939" s="399" t="s">
        <v>2221</v>
      </c>
      <c r="H4939" s="1232"/>
    </row>
    <row r="4940" spans="1:8" hidden="1">
      <c r="A4940" s="676" t="s">
        <v>6042</v>
      </c>
      <c r="B4940" s="399" t="s">
        <v>897</v>
      </c>
      <c r="C4940" s="399" t="s">
        <v>134</v>
      </c>
      <c r="D4940" s="399" t="s">
        <v>2743</v>
      </c>
      <c r="E4940" s="399">
        <v>13</v>
      </c>
      <c r="F4940" s="399" t="s">
        <v>2745</v>
      </c>
      <c r="G4940" s="399" t="s">
        <v>2221</v>
      </c>
      <c r="H4940" s="1232"/>
    </row>
    <row r="4941" spans="1:8" hidden="1">
      <c r="A4941" s="676" t="s">
        <v>6042</v>
      </c>
      <c r="B4941" s="399" t="s">
        <v>897</v>
      </c>
      <c r="C4941" s="399" t="s">
        <v>134</v>
      </c>
      <c r="D4941" s="399" t="s">
        <v>2746</v>
      </c>
      <c r="E4941" s="399">
        <v>13</v>
      </c>
      <c r="F4941" s="399" t="s">
        <v>2745</v>
      </c>
      <c r="G4941" s="399" t="s">
        <v>2221</v>
      </c>
      <c r="H4941" s="1232"/>
    </row>
    <row r="4942" spans="1:8" hidden="1">
      <c r="A4942" s="676" t="s">
        <v>6042</v>
      </c>
      <c r="B4942" s="399" t="s">
        <v>897</v>
      </c>
      <c r="C4942" s="399" t="s">
        <v>134</v>
      </c>
      <c r="D4942" s="399" t="s">
        <v>2747</v>
      </c>
      <c r="E4942" s="399">
        <v>13</v>
      </c>
      <c r="F4942" s="399" t="s">
        <v>2745</v>
      </c>
      <c r="G4942" s="399" t="s">
        <v>2221</v>
      </c>
      <c r="H4942" s="1232"/>
    </row>
    <row r="4943" spans="1:8" hidden="1">
      <c r="A4943" s="676" t="s">
        <v>6042</v>
      </c>
      <c r="B4943" s="399" t="s">
        <v>897</v>
      </c>
      <c r="C4943" s="399" t="s">
        <v>134</v>
      </c>
      <c r="D4943" s="400" t="s">
        <v>2233</v>
      </c>
      <c r="E4943" s="400">
        <v>0</v>
      </c>
      <c r="F4943" s="519" t="s">
        <v>6236</v>
      </c>
      <c r="G4943" s="400" t="s">
        <v>2254</v>
      </c>
      <c r="H4943" s="1232"/>
    </row>
    <row r="4944" spans="1:8" hidden="1">
      <c r="A4944" s="676" t="s">
        <v>6042</v>
      </c>
      <c r="B4944" s="399" t="s">
        <v>897</v>
      </c>
      <c r="C4944" s="399" t="s">
        <v>134</v>
      </c>
      <c r="D4944" s="400" t="s">
        <v>2233</v>
      </c>
      <c r="E4944" s="400">
        <v>6</v>
      </c>
      <c r="F4944" s="400" t="s">
        <v>2749</v>
      </c>
      <c r="G4944" s="400" t="s">
        <v>2254</v>
      </c>
      <c r="H4944" s="1232"/>
    </row>
    <row r="4945" spans="1:8" hidden="1">
      <c r="A4945" s="676" t="s">
        <v>6042</v>
      </c>
      <c r="B4945" s="399" t="s">
        <v>897</v>
      </c>
      <c r="C4945" s="399" t="s">
        <v>134</v>
      </c>
      <c r="D4945" s="400" t="s">
        <v>2233</v>
      </c>
      <c r="E4945" s="400">
        <v>9</v>
      </c>
      <c r="F4945" s="400" t="s">
        <v>2751</v>
      </c>
      <c r="G4945" s="400" t="s">
        <v>2254</v>
      </c>
      <c r="H4945" s="1232"/>
    </row>
    <row r="4946" spans="1:8" hidden="1">
      <c r="A4946" s="676" t="s">
        <v>6042</v>
      </c>
      <c r="B4946" s="399" t="s">
        <v>897</v>
      </c>
      <c r="C4946" s="399" t="s">
        <v>134</v>
      </c>
      <c r="D4946" s="400" t="s">
        <v>2233</v>
      </c>
      <c r="E4946" s="400">
        <v>10</v>
      </c>
      <c r="F4946" s="400" t="s">
        <v>2753</v>
      </c>
      <c r="G4946" s="400" t="s">
        <v>2254</v>
      </c>
      <c r="H4946" s="1232"/>
    </row>
    <row r="4947" spans="1:8" hidden="1">
      <c r="A4947" s="676" t="s">
        <v>6042</v>
      </c>
      <c r="B4947" s="399" t="s">
        <v>897</v>
      </c>
      <c r="C4947" s="399" t="s">
        <v>134</v>
      </c>
      <c r="D4947" s="400" t="s">
        <v>2233</v>
      </c>
      <c r="E4947" s="400">
        <v>11</v>
      </c>
      <c r="F4947" s="400" t="s">
        <v>2755</v>
      </c>
      <c r="G4947" s="400" t="s">
        <v>2254</v>
      </c>
      <c r="H4947" s="1232"/>
    </row>
    <row r="4948" spans="1:8" hidden="1">
      <c r="A4948" s="676" t="s">
        <v>6042</v>
      </c>
      <c r="B4948" s="399" t="s">
        <v>897</v>
      </c>
      <c r="C4948" s="399" t="s">
        <v>134</v>
      </c>
      <c r="D4948" s="400" t="s">
        <v>2233</v>
      </c>
      <c r="E4948" s="400">
        <v>12</v>
      </c>
      <c r="F4948" s="400" t="s">
        <v>2757</v>
      </c>
      <c r="G4948" s="400" t="s">
        <v>2254</v>
      </c>
      <c r="H4948" s="1232"/>
    </row>
    <row r="4949" spans="1:8" hidden="1">
      <c r="A4949" s="676" t="s">
        <v>6042</v>
      </c>
      <c r="B4949" s="399" t="s">
        <v>897</v>
      </c>
      <c r="C4949" s="399" t="s">
        <v>134</v>
      </c>
      <c r="D4949" s="400" t="s">
        <v>2758</v>
      </c>
      <c r="E4949" s="400" t="s">
        <v>2233</v>
      </c>
      <c r="F4949" s="400" t="s">
        <v>2233</v>
      </c>
      <c r="G4949" s="400" t="s">
        <v>2760</v>
      </c>
      <c r="H4949" s="1232"/>
    </row>
    <row r="4950" spans="1:8" hidden="1">
      <c r="A4950" s="676" t="s">
        <v>6042</v>
      </c>
      <c r="B4950" s="399" t="s">
        <v>897</v>
      </c>
      <c r="C4950" s="399" t="s">
        <v>134</v>
      </c>
      <c r="D4950" s="400" t="s">
        <v>2759</v>
      </c>
      <c r="E4950" s="400" t="s">
        <v>2233</v>
      </c>
      <c r="F4950" s="400" t="s">
        <v>2233</v>
      </c>
      <c r="G4950" s="400" t="s">
        <v>2760</v>
      </c>
      <c r="H4950" s="1232"/>
    </row>
    <row r="4951" spans="1:8" hidden="1">
      <c r="A4951" s="676" t="s">
        <v>6042</v>
      </c>
      <c r="B4951" s="399" t="s">
        <v>897</v>
      </c>
      <c r="C4951" s="399" t="s">
        <v>134</v>
      </c>
      <c r="D4951" s="400" t="s">
        <v>2761</v>
      </c>
      <c r="E4951" s="400" t="s">
        <v>2233</v>
      </c>
      <c r="F4951" s="400" t="s">
        <v>2233</v>
      </c>
      <c r="G4951" s="400" t="s">
        <v>2760</v>
      </c>
      <c r="H4951" s="1232"/>
    </row>
    <row r="4952" spans="1:8" hidden="1">
      <c r="A4952" s="676" t="s">
        <v>6042</v>
      </c>
      <c r="B4952" s="399" t="s">
        <v>897</v>
      </c>
      <c r="C4952" s="399" t="s">
        <v>134</v>
      </c>
      <c r="D4952" s="400" t="s">
        <v>2762</v>
      </c>
      <c r="E4952" s="400" t="s">
        <v>2233</v>
      </c>
      <c r="F4952" s="400" t="s">
        <v>2233</v>
      </c>
      <c r="G4952" s="400" t="s">
        <v>2760</v>
      </c>
      <c r="H4952" s="1232"/>
    </row>
    <row r="4953" spans="1:8" hidden="1">
      <c r="A4953" s="677" t="s">
        <v>6042</v>
      </c>
      <c r="B4953" s="410" t="s">
        <v>897</v>
      </c>
      <c r="C4953" s="410" t="s">
        <v>134</v>
      </c>
      <c r="D4953" s="411" t="s">
        <v>2763</v>
      </c>
      <c r="E4953" s="411" t="s">
        <v>2233</v>
      </c>
      <c r="F4953" s="411" t="s">
        <v>2233</v>
      </c>
      <c r="G4953" s="411" t="s">
        <v>2760</v>
      </c>
      <c r="H4953" s="1233"/>
    </row>
    <row r="4954" spans="1:8" hidden="1">
      <c r="A4954" s="495" t="s">
        <v>6042</v>
      </c>
      <c r="B4954" s="399" t="s">
        <v>2023</v>
      </c>
      <c r="C4954" s="399" t="s">
        <v>127</v>
      </c>
      <c r="D4954" s="399" t="s">
        <v>6237</v>
      </c>
      <c r="E4954" s="399" t="s">
        <v>6238</v>
      </c>
      <c r="F4954" s="399" t="s">
        <v>6237</v>
      </c>
      <c r="G4954" s="399" t="s">
        <v>2221</v>
      </c>
      <c r="H4954" s="1235" t="s">
        <v>6239</v>
      </c>
    </row>
    <row r="4955" spans="1:8" hidden="1">
      <c r="A4955" s="495" t="s">
        <v>6042</v>
      </c>
      <c r="B4955" s="399" t="s">
        <v>2023</v>
      </c>
      <c r="C4955" s="399" t="s">
        <v>127</v>
      </c>
      <c r="D4955" s="400" t="s">
        <v>6240</v>
      </c>
      <c r="E4955" s="400" t="s">
        <v>6241</v>
      </c>
      <c r="F4955" s="400" t="s">
        <v>6240</v>
      </c>
      <c r="G4955" s="400" t="s">
        <v>6242</v>
      </c>
      <c r="H4955" s="1235"/>
    </row>
    <row r="4956" spans="1:8" hidden="1">
      <c r="A4956" s="495" t="s">
        <v>6042</v>
      </c>
      <c r="B4956" s="399" t="s">
        <v>2023</v>
      </c>
      <c r="C4956" s="399" t="s">
        <v>127</v>
      </c>
      <c r="D4956" s="400" t="s">
        <v>6243</v>
      </c>
      <c r="E4956" s="400" t="s">
        <v>6244</v>
      </c>
      <c r="F4956" s="400" t="s">
        <v>6243</v>
      </c>
      <c r="G4956" s="400" t="s">
        <v>6242</v>
      </c>
      <c r="H4956" s="1235"/>
    </row>
    <row r="4957" spans="1:8" hidden="1">
      <c r="A4957" s="495" t="s">
        <v>6042</v>
      </c>
      <c r="B4957" s="399" t="s">
        <v>2023</v>
      </c>
      <c r="C4957" s="399" t="s">
        <v>127</v>
      </c>
      <c r="D4957" s="399" t="s">
        <v>422</v>
      </c>
      <c r="E4957" s="399" t="s">
        <v>422</v>
      </c>
      <c r="F4957" s="399" t="s">
        <v>422</v>
      </c>
      <c r="G4957" s="399" t="s">
        <v>2221</v>
      </c>
      <c r="H4957" s="1235"/>
    </row>
    <row r="4958" spans="1:8" hidden="1">
      <c r="A4958" s="495" t="s">
        <v>6042</v>
      </c>
      <c r="B4958" s="399" t="s">
        <v>2023</v>
      </c>
      <c r="C4958" s="399" t="s">
        <v>127</v>
      </c>
      <c r="D4958" s="400" t="s">
        <v>6245</v>
      </c>
      <c r="E4958" s="400" t="s">
        <v>2233</v>
      </c>
      <c r="F4958" s="400" t="s">
        <v>2233</v>
      </c>
      <c r="G4958" s="400" t="s">
        <v>6246</v>
      </c>
      <c r="H4958" s="1235"/>
    </row>
    <row r="4959" spans="1:8" hidden="1">
      <c r="A4959" s="495" t="s">
        <v>6042</v>
      </c>
      <c r="B4959" s="399" t="s">
        <v>2023</v>
      </c>
      <c r="C4959" s="399" t="s">
        <v>127</v>
      </c>
      <c r="D4959" s="400" t="s">
        <v>6247</v>
      </c>
      <c r="E4959" s="400" t="s">
        <v>2233</v>
      </c>
      <c r="F4959" s="400" t="s">
        <v>2233</v>
      </c>
      <c r="G4959" s="400" t="s">
        <v>6246</v>
      </c>
      <c r="H4959" s="1235"/>
    </row>
    <row r="4960" spans="1:8" hidden="1">
      <c r="A4960" s="497" t="s">
        <v>6042</v>
      </c>
      <c r="B4960" s="404" t="s">
        <v>2023</v>
      </c>
      <c r="C4960" s="404" t="s">
        <v>127</v>
      </c>
      <c r="D4960" s="405" t="s">
        <v>6248</v>
      </c>
      <c r="E4960" s="405" t="s">
        <v>2233</v>
      </c>
      <c r="F4960" s="405" t="s">
        <v>2233</v>
      </c>
      <c r="G4960" s="405" t="s">
        <v>6246</v>
      </c>
      <c r="H4960" s="1236"/>
    </row>
    <row r="4961" spans="1:8" hidden="1">
      <c r="A4961" s="550" t="s">
        <v>5058</v>
      </c>
      <c r="B4961" s="406" t="s">
        <v>835</v>
      </c>
      <c r="C4961" s="406" t="s">
        <v>88</v>
      </c>
      <c r="D4961" s="406" t="s">
        <v>2668</v>
      </c>
      <c r="E4961" s="406">
        <v>2</v>
      </c>
      <c r="F4961" s="406" t="s">
        <v>2670</v>
      </c>
      <c r="G4961" s="406" t="s">
        <v>2221</v>
      </c>
      <c r="H4961" s="1234" t="s">
        <v>6249</v>
      </c>
    </row>
    <row r="4962" spans="1:8" hidden="1">
      <c r="A4962" s="551" t="s">
        <v>5058</v>
      </c>
      <c r="B4962" s="399" t="s">
        <v>835</v>
      </c>
      <c r="C4962" s="399" t="s">
        <v>88</v>
      </c>
      <c r="D4962" s="399" t="s">
        <v>2288</v>
      </c>
      <c r="E4962" s="399">
        <v>3</v>
      </c>
      <c r="F4962" s="399" t="s">
        <v>2673</v>
      </c>
      <c r="G4962" s="399" t="s">
        <v>2221</v>
      </c>
      <c r="H4962" s="1235"/>
    </row>
    <row r="4963" spans="1:8" hidden="1">
      <c r="A4963" s="551" t="s">
        <v>5058</v>
      </c>
      <c r="B4963" s="399" t="s">
        <v>835</v>
      </c>
      <c r="C4963" s="399" t="s">
        <v>88</v>
      </c>
      <c r="D4963" s="399" t="s">
        <v>2674</v>
      </c>
      <c r="E4963" s="399">
        <v>4</v>
      </c>
      <c r="F4963" s="399" t="s">
        <v>2676</v>
      </c>
      <c r="G4963" s="399" t="s">
        <v>2221</v>
      </c>
      <c r="H4963" s="1235"/>
    </row>
    <row r="4964" spans="1:8" hidden="1">
      <c r="A4964" s="551" t="s">
        <v>5058</v>
      </c>
      <c r="B4964" s="399" t="s">
        <v>835</v>
      </c>
      <c r="C4964" s="399" t="s">
        <v>88</v>
      </c>
      <c r="D4964" s="400" t="s">
        <v>2288</v>
      </c>
      <c r="E4964" s="400">
        <v>5</v>
      </c>
      <c r="F4964" s="400" t="s">
        <v>2678</v>
      </c>
      <c r="G4964" s="400" t="s">
        <v>6250</v>
      </c>
      <c r="H4964" s="1235"/>
    </row>
    <row r="4965" spans="1:8" hidden="1">
      <c r="A4965" s="551" t="s">
        <v>5058</v>
      </c>
      <c r="B4965" s="399" t="s">
        <v>835</v>
      </c>
      <c r="C4965" s="399" t="s">
        <v>88</v>
      </c>
      <c r="D4965" s="399" t="s">
        <v>2679</v>
      </c>
      <c r="E4965" s="399">
        <v>6</v>
      </c>
      <c r="F4965" s="399" t="s">
        <v>2681</v>
      </c>
      <c r="G4965" s="399" t="s">
        <v>2221</v>
      </c>
      <c r="H4965" s="1235"/>
    </row>
    <row r="4966" spans="1:8" hidden="1">
      <c r="A4966" s="551" t="s">
        <v>5058</v>
      </c>
      <c r="B4966" s="399" t="s">
        <v>835</v>
      </c>
      <c r="C4966" s="399" t="s">
        <v>88</v>
      </c>
      <c r="D4966" s="399" t="s">
        <v>2288</v>
      </c>
      <c r="E4966" s="399">
        <v>7</v>
      </c>
      <c r="F4966" s="399" t="s">
        <v>2683</v>
      </c>
      <c r="G4966" s="399" t="s">
        <v>2221</v>
      </c>
      <c r="H4966" s="1235"/>
    </row>
    <row r="4967" spans="1:8" hidden="1">
      <c r="A4967" s="551" t="s">
        <v>5058</v>
      </c>
      <c r="B4967" s="399" t="s">
        <v>835</v>
      </c>
      <c r="C4967" s="399" t="s">
        <v>88</v>
      </c>
      <c r="D4967" s="399" t="s">
        <v>2684</v>
      </c>
      <c r="E4967" s="399">
        <v>8</v>
      </c>
      <c r="F4967" s="399" t="s">
        <v>2686</v>
      </c>
      <c r="G4967" s="399" t="s">
        <v>2221</v>
      </c>
      <c r="H4967" s="1235"/>
    </row>
    <row r="4968" spans="1:8" hidden="1">
      <c r="A4968" s="551" t="s">
        <v>5058</v>
      </c>
      <c r="B4968" s="399" t="s">
        <v>835</v>
      </c>
      <c r="C4968" s="399" t="s">
        <v>88</v>
      </c>
      <c r="D4968" s="399" t="s">
        <v>2288</v>
      </c>
      <c r="E4968" s="399">
        <v>9</v>
      </c>
      <c r="F4968" s="399" t="s">
        <v>2688</v>
      </c>
      <c r="G4968" s="399" t="s">
        <v>2221</v>
      </c>
      <c r="H4968" s="1235"/>
    </row>
    <row r="4969" spans="1:8" hidden="1">
      <c r="A4969" s="551" t="s">
        <v>5058</v>
      </c>
      <c r="B4969" s="399" t="s">
        <v>835</v>
      </c>
      <c r="C4969" s="399" t="s">
        <v>88</v>
      </c>
      <c r="D4969" s="400" t="s">
        <v>2288</v>
      </c>
      <c r="E4969" s="400">
        <v>10</v>
      </c>
      <c r="F4969" s="400" t="s">
        <v>2690</v>
      </c>
      <c r="G4969" s="400" t="s">
        <v>6250</v>
      </c>
      <c r="H4969" s="1235"/>
    </row>
    <row r="4970" spans="1:8" hidden="1">
      <c r="A4970" s="551" t="s">
        <v>5058</v>
      </c>
      <c r="B4970" s="399" t="s">
        <v>835</v>
      </c>
      <c r="C4970" s="399" t="s">
        <v>88</v>
      </c>
      <c r="D4970" s="400" t="s">
        <v>2288</v>
      </c>
      <c r="E4970" s="400">
        <v>12</v>
      </c>
      <c r="F4970" s="400" t="s">
        <v>2692</v>
      </c>
      <c r="G4970" s="400" t="s">
        <v>6250</v>
      </c>
      <c r="H4970" s="1235"/>
    </row>
    <row r="4971" spans="1:8" hidden="1">
      <c r="A4971" s="551" t="s">
        <v>5058</v>
      </c>
      <c r="B4971" s="399" t="s">
        <v>835</v>
      </c>
      <c r="C4971" s="399" t="s">
        <v>88</v>
      </c>
      <c r="D4971" s="399" t="s">
        <v>2288</v>
      </c>
      <c r="E4971" s="399">
        <v>13</v>
      </c>
      <c r="F4971" s="399" t="s">
        <v>2694</v>
      </c>
      <c r="G4971" s="399" t="s">
        <v>2221</v>
      </c>
      <c r="H4971" s="1235"/>
    </row>
    <row r="4972" spans="1:8" hidden="1">
      <c r="A4972" s="551" t="s">
        <v>5058</v>
      </c>
      <c r="B4972" s="399" t="s">
        <v>835</v>
      </c>
      <c r="C4972" s="399" t="s">
        <v>88</v>
      </c>
      <c r="D4972" s="400" t="s">
        <v>2696</v>
      </c>
      <c r="E4972" s="400">
        <v>14</v>
      </c>
      <c r="F4972" s="400" t="s">
        <v>2698</v>
      </c>
      <c r="G4972" s="400" t="s">
        <v>6250</v>
      </c>
      <c r="H4972" s="1235"/>
    </row>
    <row r="4973" spans="1:8" hidden="1">
      <c r="A4973" s="551" t="s">
        <v>5058</v>
      </c>
      <c r="B4973" s="399" t="s">
        <v>835</v>
      </c>
      <c r="C4973" s="399" t="s">
        <v>88</v>
      </c>
      <c r="D4973" s="400" t="s">
        <v>2699</v>
      </c>
      <c r="E4973" s="400">
        <v>14</v>
      </c>
      <c r="F4973" s="400" t="s">
        <v>2698</v>
      </c>
      <c r="G4973" s="400" t="s">
        <v>6250</v>
      </c>
      <c r="H4973" s="1235"/>
    </row>
    <row r="4974" spans="1:8" hidden="1">
      <c r="A4974" s="551" t="s">
        <v>5058</v>
      </c>
      <c r="B4974" s="399" t="s">
        <v>835</v>
      </c>
      <c r="C4974" s="399" t="s">
        <v>88</v>
      </c>
      <c r="D4974" s="399" t="s">
        <v>2288</v>
      </c>
      <c r="E4974" s="399">
        <v>15</v>
      </c>
      <c r="F4974" s="399" t="s">
        <v>2701</v>
      </c>
      <c r="G4974" s="399" t="s">
        <v>2221</v>
      </c>
      <c r="H4974" s="1235"/>
    </row>
    <row r="4975" spans="1:8" hidden="1">
      <c r="A4975" s="551" t="s">
        <v>5058</v>
      </c>
      <c r="B4975" s="399" t="s">
        <v>835</v>
      </c>
      <c r="C4975" s="399" t="s">
        <v>88</v>
      </c>
      <c r="D4975" s="399" t="s">
        <v>2702</v>
      </c>
      <c r="E4975" s="399">
        <v>41</v>
      </c>
      <c r="F4975" s="399" t="s">
        <v>2704</v>
      </c>
      <c r="G4975" s="399" t="s">
        <v>2221</v>
      </c>
      <c r="H4975" s="1235"/>
    </row>
    <row r="4976" spans="1:8" hidden="1">
      <c r="A4976" s="551" t="s">
        <v>5058</v>
      </c>
      <c r="B4976" s="399" t="s">
        <v>835</v>
      </c>
      <c r="C4976" s="399" t="s">
        <v>88</v>
      </c>
      <c r="D4976" s="400" t="s">
        <v>2288</v>
      </c>
      <c r="E4976" s="400">
        <v>45</v>
      </c>
      <c r="F4976" s="400" t="s">
        <v>2706</v>
      </c>
      <c r="G4976" s="400" t="s">
        <v>6250</v>
      </c>
      <c r="H4976" s="1235"/>
    </row>
    <row r="4977" spans="1:8" hidden="1">
      <c r="A4977" s="551" t="s">
        <v>5058</v>
      </c>
      <c r="B4977" s="399" t="s">
        <v>835</v>
      </c>
      <c r="C4977" s="399" t="s">
        <v>88</v>
      </c>
      <c r="D4977" s="400" t="s">
        <v>2288</v>
      </c>
      <c r="E4977" s="400">
        <v>46</v>
      </c>
      <c r="F4977" s="400" t="s">
        <v>2708</v>
      </c>
      <c r="G4977" s="400" t="s">
        <v>6250</v>
      </c>
      <c r="H4977" s="1235"/>
    </row>
    <row r="4978" spans="1:8" hidden="1">
      <c r="A4978" s="551" t="s">
        <v>5058</v>
      </c>
      <c r="B4978" s="399" t="s">
        <v>835</v>
      </c>
      <c r="C4978" s="399" t="s">
        <v>88</v>
      </c>
      <c r="D4978" s="399" t="s">
        <v>2288</v>
      </c>
      <c r="E4978" s="399">
        <v>47</v>
      </c>
      <c r="F4978" s="399" t="s">
        <v>2710</v>
      </c>
      <c r="G4978" s="399" t="s">
        <v>2221</v>
      </c>
      <c r="H4978" s="1235"/>
    </row>
    <row r="4979" spans="1:8" hidden="1">
      <c r="A4979" s="551" t="s">
        <v>5058</v>
      </c>
      <c r="B4979" s="399" t="s">
        <v>835</v>
      </c>
      <c r="C4979" s="399" t="s">
        <v>88</v>
      </c>
      <c r="D4979" s="400" t="s">
        <v>2288</v>
      </c>
      <c r="E4979" s="400">
        <v>48</v>
      </c>
      <c r="F4979" s="400" t="s">
        <v>2711</v>
      </c>
      <c r="G4979" s="400" t="s">
        <v>6250</v>
      </c>
      <c r="H4979" s="1235"/>
    </row>
    <row r="4980" spans="1:8" hidden="1">
      <c r="A4980" s="551" t="s">
        <v>5058</v>
      </c>
      <c r="B4980" s="399" t="s">
        <v>835</v>
      </c>
      <c r="C4980" s="399" t="s">
        <v>88</v>
      </c>
      <c r="D4980" s="399" t="s">
        <v>2713</v>
      </c>
      <c r="E4980" s="399">
        <v>11111111111</v>
      </c>
      <c r="F4980" s="399" t="s">
        <v>2714</v>
      </c>
      <c r="G4980" s="399" t="s">
        <v>2221</v>
      </c>
      <c r="H4980" s="1235"/>
    </row>
    <row r="4981" spans="1:8" hidden="1">
      <c r="A4981" s="551" t="s">
        <v>5058</v>
      </c>
      <c r="B4981" s="399" t="s">
        <v>835</v>
      </c>
      <c r="C4981" s="399" t="s">
        <v>88</v>
      </c>
      <c r="D4981" s="399" t="s">
        <v>2715</v>
      </c>
      <c r="E4981" s="399">
        <v>11111111111</v>
      </c>
      <c r="F4981" s="399" t="s">
        <v>2714</v>
      </c>
      <c r="G4981" s="399" t="s">
        <v>2221</v>
      </c>
      <c r="H4981" s="1235"/>
    </row>
    <row r="4982" spans="1:8" hidden="1">
      <c r="A4982" s="551" t="s">
        <v>5058</v>
      </c>
      <c r="B4982" s="399" t="s">
        <v>835</v>
      </c>
      <c r="C4982" s="399" t="s">
        <v>88</v>
      </c>
      <c r="D4982" s="400" t="s">
        <v>2233</v>
      </c>
      <c r="E4982" s="400">
        <v>0</v>
      </c>
      <c r="F4982" s="400" t="s">
        <v>6251</v>
      </c>
      <c r="G4982" s="400" t="s">
        <v>2254</v>
      </c>
      <c r="H4982" s="1235"/>
    </row>
    <row r="4983" spans="1:8" hidden="1">
      <c r="A4983" s="551" t="s">
        <v>5058</v>
      </c>
      <c r="B4983" s="399" t="s">
        <v>835</v>
      </c>
      <c r="C4983" s="399" t="s">
        <v>88</v>
      </c>
      <c r="D4983" s="400" t="s">
        <v>2233</v>
      </c>
      <c r="E4983" s="400">
        <v>49</v>
      </c>
      <c r="F4983" s="400" t="s">
        <v>6252</v>
      </c>
      <c r="G4983" s="400" t="s">
        <v>2254</v>
      </c>
      <c r="H4983" s="1235"/>
    </row>
    <row r="4984" spans="1:8" hidden="1">
      <c r="A4984" s="552" t="s">
        <v>5058</v>
      </c>
      <c r="B4984" s="404" t="s">
        <v>835</v>
      </c>
      <c r="C4984" s="404" t="s">
        <v>88</v>
      </c>
      <c r="D4984" s="405" t="s">
        <v>2233</v>
      </c>
      <c r="E4984" s="405">
        <v>99</v>
      </c>
      <c r="F4984" s="405" t="s">
        <v>6253</v>
      </c>
      <c r="G4984" s="405" t="s">
        <v>2254</v>
      </c>
      <c r="H4984" s="1235"/>
    </row>
    <row r="4985" spans="1:8" hidden="1">
      <c r="A4985" s="553" t="s">
        <v>6042</v>
      </c>
      <c r="B4985" s="408" t="s">
        <v>906</v>
      </c>
      <c r="C4985" s="408" t="s">
        <v>82</v>
      </c>
      <c r="D4985" s="408">
        <v>1</v>
      </c>
      <c r="E4985" s="408">
        <v>11</v>
      </c>
      <c r="F4985" s="408" t="s">
        <v>2764</v>
      </c>
      <c r="G4985" s="408" t="s">
        <v>2221</v>
      </c>
      <c r="H4985" s="1231" t="s">
        <v>6254</v>
      </c>
    </row>
    <row r="4986" spans="1:8" hidden="1">
      <c r="A4986" s="560" t="s">
        <v>6042</v>
      </c>
      <c r="B4986" s="399" t="s">
        <v>906</v>
      </c>
      <c r="C4986" s="399" t="s">
        <v>82</v>
      </c>
      <c r="D4986" s="399">
        <v>2</v>
      </c>
      <c r="E4986" s="399">
        <v>11</v>
      </c>
      <c r="F4986" s="399" t="s">
        <v>2764</v>
      </c>
      <c r="G4986" s="399" t="s">
        <v>2221</v>
      </c>
      <c r="H4986" s="1232"/>
    </row>
    <row r="4987" spans="1:8" hidden="1">
      <c r="A4987" s="564" t="s">
        <v>6042</v>
      </c>
      <c r="B4987" s="404" t="s">
        <v>906</v>
      </c>
      <c r="C4987" s="404" t="s">
        <v>82</v>
      </c>
      <c r="D4987" s="404">
        <v>3</v>
      </c>
      <c r="E4987" s="404">
        <v>1</v>
      </c>
      <c r="F4987" s="404" t="s">
        <v>2766</v>
      </c>
      <c r="G4987" s="404" t="s">
        <v>2221</v>
      </c>
      <c r="H4987" s="1232"/>
    </row>
    <row r="4988" spans="1:8" ht="15" hidden="1" customHeight="1">
      <c r="A4988" s="561" t="s">
        <v>5058</v>
      </c>
      <c r="B4988" s="562" t="s">
        <v>1004</v>
      </c>
      <c r="C4988" s="562" t="s">
        <v>129</v>
      </c>
      <c r="D4988" s="562" t="s">
        <v>2775</v>
      </c>
      <c r="E4988" s="562">
        <v>1</v>
      </c>
      <c r="F4988" s="562" t="s">
        <v>2776</v>
      </c>
      <c r="G4988" s="562" t="s">
        <v>2221</v>
      </c>
      <c r="H4988" s="563" t="s">
        <v>6255</v>
      </c>
    </row>
  </sheetData>
  <autoFilter ref="A1:H4988">
    <filterColumn colId="2">
      <filters>
        <filter val="PYMNT_FRQNCY_NA"/>
      </filters>
    </filterColumn>
  </autoFilter>
  <mergeCells count="37">
    <mergeCell ref="H4927:H4928"/>
    <mergeCell ref="H4929:H4933"/>
    <mergeCell ref="H4934:H4953"/>
    <mergeCell ref="H4954:H4960"/>
    <mergeCell ref="H4985:H4987"/>
    <mergeCell ref="H4961:H4984"/>
    <mergeCell ref="H3527:H3864"/>
    <mergeCell ref="H3865:H3885"/>
    <mergeCell ref="H3886:H4006"/>
    <mergeCell ref="H4007:H4831"/>
    <mergeCell ref="H4832:H4835"/>
    <mergeCell ref="H2684:H2688"/>
    <mergeCell ref="H2689:H3513"/>
    <mergeCell ref="H3514:H3517"/>
    <mergeCell ref="H3518:H3521"/>
    <mergeCell ref="H3522:H3526"/>
    <mergeCell ref="H2:H9"/>
    <mergeCell ref="H10:H32"/>
    <mergeCell ref="H33:H42"/>
    <mergeCell ref="H43:H55"/>
    <mergeCell ref="H56:H1363"/>
    <mergeCell ref="H2607:H2628"/>
    <mergeCell ref="H4920:H4926"/>
    <mergeCell ref="H4836:H4837"/>
    <mergeCell ref="H2668:H2683"/>
    <mergeCell ref="H1364:H1389"/>
    <mergeCell ref="H2629:H2633"/>
    <mergeCell ref="H2634:H2636"/>
    <mergeCell ref="H2637:H2654"/>
    <mergeCell ref="H1390:H1393"/>
    <mergeCell ref="H1394:H2576"/>
    <mergeCell ref="H2577:H2602"/>
    <mergeCell ref="H2603:H2606"/>
    <mergeCell ref="H2655:H2657"/>
    <mergeCell ref="H2658:H2662"/>
    <mergeCell ref="H2664:H2667"/>
    <mergeCell ref="H4838:H4919"/>
  </mergeCells>
  <pageMargins left="0.7" right="0.7" top="0.75" bottom="0.75" header="0.3" footer="0.3"/>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I2098"/>
  <sheetViews>
    <sheetView workbookViewId="0">
      <pane ySplit="2" topLeftCell="A930" activePane="bottomLeft" state="frozen"/>
      <selection pane="bottomLeft" activeCell="E958" sqref="E958"/>
    </sheetView>
  </sheetViews>
  <sheetFormatPr defaultRowHeight="14.5"/>
  <cols>
    <col min="1" max="1" width="19.453125" bestFit="1" customWidth="1"/>
    <col min="2" max="2" width="26.81640625" bestFit="1" customWidth="1"/>
    <col min="3" max="3" width="16.1796875" bestFit="1" customWidth="1"/>
    <col min="4" max="4" width="30.1796875" bestFit="1" customWidth="1"/>
    <col min="5" max="6" width="45.453125" bestFit="1" customWidth="1"/>
    <col min="7" max="7" width="25.1796875" customWidth="1"/>
    <col min="8" max="8" width="46.1796875" customWidth="1"/>
    <col min="9" max="9" width="19.453125" customWidth="1"/>
  </cols>
  <sheetData>
    <row r="1" spans="1:9">
      <c r="A1" s="1282" t="s">
        <v>6256</v>
      </c>
      <c r="B1" s="1283"/>
      <c r="C1" s="1284"/>
      <c r="D1" s="1285" t="s">
        <v>6257</v>
      </c>
      <c r="E1" s="1286"/>
      <c r="F1" s="1287"/>
      <c r="G1" s="1288" t="s">
        <v>6258</v>
      </c>
      <c r="H1" s="1289"/>
      <c r="I1" s="1290"/>
    </row>
    <row r="2" spans="1:9">
      <c r="A2" s="596" t="s">
        <v>6259</v>
      </c>
      <c r="B2" s="614" t="s">
        <v>6260</v>
      </c>
      <c r="C2" s="614" t="s">
        <v>6261</v>
      </c>
      <c r="D2" s="615" t="s">
        <v>6262</v>
      </c>
      <c r="E2" s="616" t="s">
        <v>6263</v>
      </c>
      <c r="F2" s="617" t="s">
        <v>6264</v>
      </c>
      <c r="G2" s="618" t="s">
        <v>6265</v>
      </c>
      <c r="H2" s="612" t="s">
        <v>6266</v>
      </c>
      <c r="I2" s="613" t="s">
        <v>6267</v>
      </c>
    </row>
    <row r="3" spans="1:9" hidden="1">
      <c r="A3" s="646" t="s">
        <v>6268</v>
      </c>
      <c r="B3" s="600" t="s">
        <v>88</v>
      </c>
      <c r="C3" s="512">
        <v>1</v>
      </c>
      <c r="D3" s="599">
        <v>2</v>
      </c>
      <c r="E3" s="600" t="s">
        <v>2669</v>
      </c>
      <c r="F3" s="609" t="s">
        <v>2670</v>
      </c>
      <c r="G3" s="610" t="s">
        <v>2221</v>
      </c>
      <c r="H3" s="1295" t="s">
        <v>6269</v>
      </c>
      <c r="I3" s="1298" t="s">
        <v>5</v>
      </c>
    </row>
    <row r="4" spans="1:9" hidden="1">
      <c r="A4" s="631" t="s">
        <v>6268</v>
      </c>
      <c r="B4" s="424" t="s">
        <v>88</v>
      </c>
      <c r="C4" s="384">
        <v>1</v>
      </c>
      <c r="D4" s="491">
        <v>3</v>
      </c>
      <c r="E4" s="424" t="s">
        <v>2672</v>
      </c>
      <c r="F4" s="602" t="s">
        <v>2673</v>
      </c>
      <c r="G4" s="604" t="s">
        <v>2221</v>
      </c>
      <c r="H4" s="1296"/>
      <c r="I4" s="1292"/>
    </row>
    <row r="5" spans="1:9" hidden="1">
      <c r="A5" s="631" t="s">
        <v>6268</v>
      </c>
      <c r="B5" s="424" t="s">
        <v>88</v>
      </c>
      <c r="C5" s="384">
        <v>1</v>
      </c>
      <c r="D5" s="491">
        <v>4</v>
      </c>
      <c r="E5" s="424" t="s">
        <v>2675</v>
      </c>
      <c r="F5" s="602" t="s">
        <v>2676</v>
      </c>
      <c r="G5" s="604" t="s">
        <v>2221</v>
      </c>
      <c r="H5" s="1296"/>
      <c r="I5" s="1292"/>
    </row>
    <row r="6" spans="1:9" hidden="1">
      <c r="A6" s="631" t="s">
        <v>6268</v>
      </c>
      <c r="B6" s="424" t="s">
        <v>88</v>
      </c>
      <c r="C6" s="384">
        <v>1</v>
      </c>
      <c r="D6" s="491">
        <v>5</v>
      </c>
      <c r="E6" s="424" t="s">
        <v>2677</v>
      </c>
      <c r="F6" s="602" t="s">
        <v>2678</v>
      </c>
      <c r="G6" s="604" t="s">
        <v>2221</v>
      </c>
      <c r="H6" s="1296"/>
      <c r="I6" s="1292"/>
    </row>
    <row r="7" spans="1:9" hidden="1">
      <c r="A7" s="631" t="s">
        <v>6268</v>
      </c>
      <c r="B7" s="424" t="s">
        <v>88</v>
      </c>
      <c r="C7" s="384">
        <v>1</v>
      </c>
      <c r="D7" s="491">
        <v>6</v>
      </c>
      <c r="E7" s="424" t="s">
        <v>2680</v>
      </c>
      <c r="F7" s="602" t="s">
        <v>2681</v>
      </c>
      <c r="G7" s="604" t="s">
        <v>2221</v>
      </c>
      <c r="H7" s="1296"/>
      <c r="I7" s="1292"/>
    </row>
    <row r="8" spans="1:9" hidden="1">
      <c r="A8" s="631" t="s">
        <v>6268</v>
      </c>
      <c r="B8" s="424" t="s">
        <v>88</v>
      </c>
      <c r="C8" s="384">
        <v>1</v>
      </c>
      <c r="D8" s="491">
        <v>7</v>
      </c>
      <c r="E8" s="424" t="s">
        <v>2682</v>
      </c>
      <c r="F8" s="602" t="s">
        <v>2683</v>
      </c>
      <c r="G8" s="604" t="s">
        <v>2221</v>
      </c>
      <c r="H8" s="1296"/>
      <c r="I8" s="1292"/>
    </row>
    <row r="9" spans="1:9" hidden="1">
      <c r="A9" s="631" t="s">
        <v>6268</v>
      </c>
      <c r="B9" s="424" t="s">
        <v>88</v>
      </c>
      <c r="C9" s="384">
        <v>1</v>
      </c>
      <c r="D9" s="491">
        <v>8</v>
      </c>
      <c r="E9" s="424" t="s">
        <v>2685</v>
      </c>
      <c r="F9" s="602" t="s">
        <v>2686</v>
      </c>
      <c r="G9" s="604" t="s">
        <v>2221</v>
      </c>
      <c r="H9" s="1296"/>
      <c r="I9" s="1292"/>
    </row>
    <row r="10" spans="1:9" hidden="1">
      <c r="A10" s="631" t="s">
        <v>6268</v>
      </c>
      <c r="B10" s="424" t="s">
        <v>88</v>
      </c>
      <c r="C10" s="384">
        <v>1</v>
      </c>
      <c r="D10" s="491">
        <v>9</v>
      </c>
      <c r="E10" s="424" t="s">
        <v>2687</v>
      </c>
      <c r="F10" s="602" t="s">
        <v>2688</v>
      </c>
      <c r="G10" s="604" t="s">
        <v>2221</v>
      </c>
      <c r="H10" s="1296"/>
      <c r="I10" s="1292"/>
    </row>
    <row r="11" spans="1:9" hidden="1">
      <c r="A11" s="631" t="s">
        <v>6268</v>
      </c>
      <c r="B11" s="424" t="s">
        <v>88</v>
      </c>
      <c r="C11" s="384">
        <v>1</v>
      </c>
      <c r="D11" s="491">
        <v>10</v>
      </c>
      <c r="E11" s="424" t="s">
        <v>2689</v>
      </c>
      <c r="F11" s="602" t="s">
        <v>2690</v>
      </c>
      <c r="G11" s="604" t="s">
        <v>2221</v>
      </c>
      <c r="H11" s="1296"/>
      <c r="I11" s="1292"/>
    </row>
    <row r="12" spans="1:9" hidden="1">
      <c r="A12" s="631" t="s">
        <v>6268</v>
      </c>
      <c r="B12" s="424" t="s">
        <v>88</v>
      </c>
      <c r="C12" s="384">
        <v>1</v>
      </c>
      <c r="D12" s="491">
        <v>12</v>
      </c>
      <c r="E12" s="424" t="s">
        <v>2691</v>
      </c>
      <c r="F12" s="602" t="s">
        <v>2692</v>
      </c>
      <c r="G12" s="604" t="s">
        <v>2221</v>
      </c>
      <c r="H12" s="1296"/>
      <c r="I12" s="1292"/>
    </row>
    <row r="13" spans="1:9" hidden="1">
      <c r="A13" s="631" t="s">
        <v>6268</v>
      </c>
      <c r="B13" s="424" t="s">
        <v>88</v>
      </c>
      <c r="C13" s="384">
        <v>1</v>
      </c>
      <c r="D13" s="491">
        <v>13</v>
      </c>
      <c r="E13" s="486" t="s">
        <v>2712</v>
      </c>
      <c r="F13" s="602" t="s">
        <v>2694</v>
      </c>
      <c r="G13" s="604" t="s">
        <v>2695</v>
      </c>
      <c r="H13" s="1296"/>
      <c r="I13" s="1292"/>
    </row>
    <row r="14" spans="1:9" hidden="1">
      <c r="A14" s="631" t="s">
        <v>6268</v>
      </c>
      <c r="B14" s="424" t="s">
        <v>88</v>
      </c>
      <c r="C14" s="384">
        <v>1</v>
      </c>
      <c r="D14" s="491">
        <v>14</v>
      </c>
      <c r="E14" s="424" t="s">
        <v>2697</v>
      </c>
      <c r="F14" s="602" t="s">
        <v>2698</v>
      </c>
      <c r="G14" s="604" t="s">
        <v>2221</v>
      </c>
      <c r="H14" s="1296"/>
      <c r="I14" s="1292"/>
    </row>
    <row r="15" spans="1:9" hidden="1">
      <c r="A15" s="631" t="s">
        <v>6268</v>
      </c>
      <c r="B15" s="424" t="s">
        <v>88</v>
      </c>
      <c r="C15" s="384">
        <v>1</v>
      </c>
      <c r="D15" s="491">
        <v>15</v>
      </c>
      <c r="E15" s="424" t="s">
        <v>2700</v>
      </c>
      <c r="F15" s="602" t="s">
        <v>2701</v>
      </c>
      <c r="G15" s="604" t="s">
        <v>2221</v>
      </c>
      <c r="H15" s="1296"/>
      <c r="I15" s="1292"/>
    </row>
    <row r="16" spans="1:9" hidden="1">
      <c r="A16" s="631" t="s">
        <v>6268</v>
      </c>
      <c r="B16" s="424" t="s">
        <v>88</v>
      </c>
      <c r="C16" s="384">
        <v>1</v>
      </c>
      <c r="D16" s="491">
        <v>41</v>
      </c>
      <c r="E16" s="424" t="s">
        <v>2703</v>
      </c>
      <c r="F16" s="602" t="s">
        <v>2704</v>
      </c>
      <c r="G16" s="604" t="s">
        <v>2221</v>
      </c>
      <c r="H16" s="1296"/>
      <c r="I16" s="1292"/>
    </row>
    <row r="17" spans="1:9" hidden="1">
      <c r="A17" s="631" t="s">
        <v>6268</v>
      </c>
      <c r="B17" s="424" t="s">
        <v>88</v>
      </c>
      <c r="C17" s="384">
        <v>1</v>
      </c>
      <c r="D17" s="491">
        <v>45</v>
      </c>
      <c r="E17" s="424" t="s">
        <v>2705</v>
      </c>
      <c r="F17" s="602" t="s">
        <v>2706</v>
      </c>
      <c r="G17" s="604" t="s">
        <v>2221</v>
      </c>
      <c r="H17" s="1296"/>
      <c r="I17" s="1292"/>
    </row>
    <row r="18" spans="1:9" hidden="1">
      <c r="A18" s="631" t="s">
        <v>6268</v>
      </c>
      <c r="B18" s="424" t="s">
        <v>88</v>
      </c>
      <c r="C18" s="384">
        <v>1</v>
      </c>
      <c r="D18" s="491">
        <v>46</v>
      </c>
      <c r="E18" s="424" t="s">
        <v>2707</v>
      </c>
      <c r="F18" s="602" t="s">
        <v>2708</v>
      </c>
      <c r="G18" s="604" t="s">
        <v>2221</v>
      </c>
      <c r="H18" s="1296"/>
      <c r="I18" s="1292"/>
    </row>
    <row r="19" spans="1:9" hidden="1">
      <c r="A19" s="631" t="s">
        <v>6268</v>
      </c>
      <c r="B19" s="424" t="s">
        <v>88</v>
      </c>
      <c r="C19" s="384">
        <v>1</v>
      </c>
      <c r="D19" s="491">
        <v>47</v>
      </c>
      <c r="E19" s="424" t="s">
        <v>2709</v>
      </c>
      <c r="F19" s="602" t="s">
        <v>2710</v>
      </c>
      <c r="G19" s="604" t="s">
        <v>2221</v>
      </c>
      <c r="H19" s="1296"/>
      <c r="I19" s="1292"/>
    </row>
    <row r="20" spans="1:9" hidden="1">
      <c r="A20" s="631" t="s">
        <v>6268</v>
      </c>
      <c r="B20" s="424" t="s">
        <v>88</v>
      </c>
      <c r="C20" s="384">
        <v>1</v>
      </c>
      <c r="D20" s="491">
        <v>48</v>
      </c>
      <c r="E20" s="424" t="s">
        <v>422</v>
      </c>
      <c r="F20" s="602" t="s">
        <v>2711</v>
      </c>
      <c r="G20" s="604" t="s">
        <v>2695</v>
      </c>
      <c r="H20" s="1296"/>
      <c r="I20" s="1292"/>
    </row>
    <row r="21" spans="1:9" hidden="1">
      <c r="A21" s="628" t="s">
        <v>6268</v>
      </c>
      <c r="B21" s="598" t="s">
        <v>88</v>
      </c>
      <c r="C21" s="494">
        <v>1</v>
      </c>
      <c r="D21" s="507">
        <v>11111111111</v>
      </c>
      <c r="E21" s="508" t="s">
        <v>422</v>
      </c>
      <c r="F21" s="595" t="s">
        <v>2714</v>
      </c>
      <c r="G21" s="628"/>
      <c r="H21" s="1297"/>
      <c r="I21" s="1299"/>
    </row>
    <row r="22" spans="1:9" hidden="1">
      <c r="A22" s="646" t="s">
        <v>6268</v>
      </c>
      <c r="B22" s="511" t="s">
        <v>88</v>
      </c>
      <c r="C22" s="512">
        <v>2</v>
      </c>
      <c r="D22" s="599">
        <v>2</v>
      </c>
      <c r="E22" s="600" t="s">
        <v>4369</v>
      </c>
      <c r="F22" s="609" t="s">
        <v>2670</v>
      </c>
      <c r="G22" s="611" t="s">
        <v>6215</v>
      </c>
      <c r="H22" s="1295" t="s">
        <v>6270</v>
      </c>
      <c r="I22" s="1291" t="s">
        <v>5</v>
      </c>
    </row>
    <row r="23" spans="1:9" hidden="1">
      <c r="A23" s="631" t="s">
        <v>6268</v>
      </c>
      <c r="B23" s="413" t="s">
        <v>88</v>
      </c>
      <c r="C23" s="384">
        <v>2</v>
      </c>
      <c r="D23" s="491">
        <v>3</v>
      </c>
      <c r="E23" s="424" t="s">
        <v>5057</v>
      </c>
      <c r="F23" s="602" t="s">
        <v>2673</v>
      </c>
      <c r="G23" s="607"/>
      <c r="H23" s="1296"/>
      <c r="I23" s="1292"/>
    </row>
    <row r="24" spans="1:9" hidden="1">
      <c r="A24" s="631" t="s">
        <v>6268</v>
      </c>
      <c r="B24" s="413" t="s">
        <v>88</v>
      </c>
      <c r="C24" s="384">
        <v>2</v>
      </c>
      <c r="D24" s="491">
        <v>4</v>
      </c>
      <c r="E24" s="424" t="s">
        <v>4369</v>
      </c>
      <c r="F24" s="602" t="s">
        <v>2676</v>
      </c>
      <c r="G24" s="608" t="s">
        <v>6215</v>
      </c>
      <c r="H24" s="1296"/>
      <c r="I24" s="1292"/>
    </row>
    <row r="25" spans="1:9" hidden="1">
      <c r="A25" s="631" t="s">
        <v>6268</v>
      </c>
      <c r="B25" s="413" t="s">
        <v>88</v>
      </c>
      <c r="C25" s="384">
        <v>2</v>
      </c>
      <c r="D25" s="491">
        <v>5</v>
      </c>
      <c r="E25" s="424" t="s">
        <v>5057</v>
      </c>
      <c r="F25" s="602" t="s">
        <v>2678</v>
      </c>
      <c r="G25" s="608" t="s">
        <v>6215</v>
      </c>
      <c r="H25" s="1296"/>
      <c r="I25" s="1292"/>
    </row>
    <row r="26" spans="1:9" hidden="1">
      <c r="A26" s="631" t="s">
        <v>6268</v>
      </c>
      <c r="B26" s="413" t="s">
        <v>88</v>
      </c>
      <c r="C26" s="384">
        <v>2</v>
      </c>
      <c r="D26" s="491">
        <v>6</v>
      </c>
      <c r="E26" s="424" t="s">
        <v>4369</v>
      </c>
      <c r="F26" s="602" t="s">
        <v>2681</v>
      </c>
      <c r="G26" s="608" t="s">
        <v>6215</v>
      </c>
      <c r="H26" s="1296"/>
      <c r="I26" s="1292"/>
    </row>
    <row r="27" spans="1:9" hidden="1">
      <c r="A27" s="631" t="s">
        <v>6268</v>
      </c>
      <c r="B27" s="413" t="s">
        <v>88</v>
      </c>
      <c r="C27" s="384">
        <v>2</v>
      </c>
      <c r="D27" s="491">
        <v>7</v>
      </c>
      <c r="E27" s="424" t="s">
        <v>5057</v>
      </c>
      <c r="F27" s="602" t="s">
        <v>2683</v>
      </c>
      <c r="G27" s="608" t="s">
        <v>6215</v>
      </c>
      <c r="H27" s="1296"/>
      <c r="I27" s="1292"/>
    </row>
    <row r="28" spans="1:9" hidden="1">
      <c r="A28" s="631" t="s">
        <v>6268</v>
      </c>
      <c r="B28" s="413" t="s">
        <v>88</v>
      </c>
      <c r="C28" s="384">
        <v>2</v>
      </c>
      <c r="D28" s="491">
        <v>8</v>
      </c>
      <c r="E28" s="424" t="s">
        <v>4369</v>
      </c>
      <c r="F28" s="602" t="s">
        <v>2686</v>
      </c>
      <c r="G28" s="608" t="s">
        <v>6215</v>
      </c>
      <c r="H28" s="1296"/>
      <c r="I28" s="1292"/>
    </row>
    <row r="29" spans="1:9" hidden="1">
      <c r="A29" s="631" t="s">
        <v>6268</v>
      </c>
      <c r="B29" s="413" t="s">
        <v>88</v>
      </c>
      <c r="C29" s="384">
        <v>2</v>
      </c>
      <c r="D29" s="491">
        <v>9</v>
      </c>
      <c r="E29" s="424" t="s">
        <v>5057</v>
      </c>
      <c r="F29" s="602" t="s">
        <v>2688</v>
      </c>
      <c r="G29" s="608" t="s">
        <v>6215</v>
      </c>
      <c r="H29" s="1296"/>
      <c r="I29" s="1292"/>
    </row>
    <row r="30" spans="1:9" hidden="1">
      <c r="A30" s="631" t="s">
        <v>6268</v>
      </c>
      <c r="B30" s="413" t="s">
        <v>88</v>
      </c>
      <c r="C30" s="384">
        <v>2</v>
      </c>
      <c r="D30" s="491">
        <v>10</v>
      </c>
      <c r="E30" s="424" t="s">
        <v>5057</v>
      </c>
      <c r="F30" s="602" t="s">
        <v>2690</v>
      </c>
      <c r="G30" s="608" t="s">
        <v>6215</v>
      </c>
      <c r="H30" s="1296"/>
      <c r="I30" s="1292"/>
    </row>
    <row r="31" spans="1:9" hidden="1">
      <c r="A31" s="631" t="s">
        <v>6268</v>
      </c>
      <c r="B31" s="413" t="s">
        <v>88</v>
      </c>
      <c r="C31" s="384">
        <v>2</v>
      </c>
      <c r="D31" s="491">
        <v>12</v>
      </c>
      <c r="E31" s="424" t="s">
        <v>5057</v>
      </c>
      <c r="F31" s="602" t="s">
        <v>2692</v>
      </c>
      <c r="G31" s="608" t="s">
        <v>6215</v>
      </c>
      <c r="H31" s="1296"/>
      <c r="I31" s="1292"/>
    </row>
    <row r="32" spans="1:9" hidden="1">
      <c r="A32" s="631" t="s">
        <v>6268</v>
      </c>
      <c r="B32" s="413" t="s">
        <v>88</v>
      </c>
      <c r="C32" s="384">
        <v>2</v>
      </c>
      <c r="D32" s="491">
        <v>13</v>
      </c>
      <c r="E32" s="424" t="s">
        <v>5057</v>
      </c>
      <c r="F32" s="602" t="s">
        <v>2694</v>
      </c>
      <c r="G32" s="608" t="s">
        <v>6215</v>
      </c>
      <c r="H32" s="1296"/>
      <c r="I32" s="1292"/>
    </row>
    <row r="33" spans="1:9" hidden="1">
      <c r="A33" s="631" t="s">
        <v>6268</v>
      </c>
      <c r="B33" s="413" t="s">
        <v>88</v>
      </c>
      <c r="C33" s="384">
        <v>2</v>
      </c>
      <c r="D33" s="491">
        <v>14</v>
      </c>
      <c r="E33" s="424" t="s">
        <v>4369</v>
      </c>
      <c r="F33" s="602" t="s">
        <v>2698</v>
      </c>
      <c r="G33" s="608" t="s">
        <v>6215</v>
      </c>
      <c r="H33" s="1296"/>
      <c r="I33" s="1292"/>
    </row>
    <row r="34" spans="1:9" hidden="1">
      <c r="A34" s="631" t="s">
        <v>6268</v>
      </c>
      <c r="B34" s="413" t="s">
        <v>88</v>
      </c>
      <c r="C34" s="384">
        <v>2</v>
      </c>
      <c r="D34" s="491">
        <v>15</v>
      </c>
      <c r="E34" s="424" t="s">
        <v>5057</v>
      </c>
      <c r="F34" s="602" t="s">
        <v>2701</v>
      </c>
      <c r="G34" s="608" t="s">
        <v>6215</v>
      </c>
      <c r="H34" s="1296"/>
      <c r="I34" s="1292"/>
    </row>
    <row r="35" spans="1:9" hidden="1">
      <c r="A35" s="631" t="s">
        <v>6268</v>
      </c>
      <c r="B35" s="413" t="s">
        <v>88</v>
      </c>
      <c r="C35" s="384">
        <v>2</v>
      </c>
      <c r="D35" s="491">
        <v>41</v>
      </c>
      <c r="E35" s="424" t="s">
        <v>4369</v>
      </c>
      <c r="F35" s="602" t="s">
        <v>2704</v>
      </c>
      <c r="G35" s="608" t="s">
        <v>6215</v>
      </c>
      <c r="H35" s="1296"/>
      <c r="I35" s="1292"/>
    </row>
    <row r="36" spans="1:9" hidden="1">
      <c r="A36" s="631" t="s">
        <v>6268</v>
      </c>
      <c r="B36" s="413" t="s">
        <v>88</v>
      </c>
      <c r="C36" s="384">
        <v>2</v>
      </c>
      <c r="D36" s="491">
        <v>45</v>
      </c>
      <c r="E36" s="424" t="s">
        <v>5057</v>
      </c>
      <c r="F36" s="602" t="s">
        <v>2706</v>
      </c>
      <c r="G36" s="608" t="s">
        <v>6215</v>
      </c>
      <c r="H36" s="1296"/>
      <c r="I36" s="1292"/>
    </row>
    <row r="37" spans="1:9" hidden="1">
      <c r="A37" s="631" t="s">
        <v>6268</v>
      </c>
      <c r="B37" s="413" t="s">
        <v>88</v>
      </c>
      <c r="C37" s="384">
        <v>2</v>
      </c>
      <c r="D37" s="491">
        <v>46</v>
      </c>
      <c r="E37" s="424" t="s">
        <v>5057</v>
      </c>
      <c r="F37" s="602" t="s">
        <v>2708</v>
      </c>
      <c r="G37" s="608" t="s">
        <v>6215</v>
      </c>
      <c r="H37" s="1296"/>
      <c r="I37" s="1292"/>
    </row>
    <row r="38" spans="1:9" hidden="1">
      <c r="A38" s="631" t="s">
        <v>6268</v>
      </c>
      <c r="B38" s="413" t="s">
        <v>88</v>
      </c>
      <c r="C38" s="384">
        <v>2</v>
      </c>
      <c r="D38" s="491">
        <v>47</v>
      </c>
      <c r="E38" s="424" t="s">
        <v>5057</v>
      </c>
      <c r="F38" s="602" t="s">
        <v>2710</v>
      </c>
      <c r="G38" s="608" t="s">
        <v>6215</v>
      </c>
      <c r="H38" s="1296"/>
      <c r="I38" s="1292"/>
    </row>
    <row r="39" spans="1:9" hidden="1">
      <c r="A39" s="631" t="s">
        <v>6268</v>
      </c>
      <c r="B39" s="413" t="s">
        <v>88</v>
      </c>
      <c r="C39" s="384">
        <v>2</v>
      </c>
      <c r="D39" s="491">
        <v>48</v>
      </c>
      <c r="E39" s="424" t="s">
        <v>5057</v>
      </c>
      <c r="F39" s="602" t="s">
        <v>2711</v>
      </c>
      <c r="G39" s="608" t="s">
        <v>6215</v>
      </c>
      <c r="H39" s="1296"/>
      <c r="I39" s="1292"/>
    </row>
    <row r="40" spans="1:9" hidden="1">
      <c r="A40" s="605" t="s">
        <v>6268</v>
      </c>
      <c r="B40" s="425" t="s">
        <v>88</v>
      </c>
      <c r="C40" s="493">
        <v>2</v>
      </c>
      <c r="D40" s="525">
        <v>11111111111</v>
      </c>
      <c r="E40" s="431" t="s">
        <v>422</v>
      </c>
      <c r="F40" s="619" t="s">
        <v>2714</v>
      </c>
      <c r="G40" s="629" t="s">
        <v>6215</v>
      </c>
      <c r="H40" s="1300"/>
      <c r="I40" s="1293"/>
    </row>
    <row r="41" spans="1:9" hidden="1">
      <c r="A41" s="630" t="s">
        <v>6271</v>
      </c>
      <c r="B41" s="414" t="s">
        <v>182</v>
      </c>
      <c r="C41" s="492">
        <v>1</v>
      </c>
      <c r="D41" s="481">
        <v>1</v>
      </c>
      <c r="E41" s="485" t="s">
        <v>4372</v>
      </c>
      <c r="F41" s="620" t="s">
        <v>4372</v>
      </c>
      <c r="G41" s="630" t="s">
        <v>6272</v>
      </c>
      <c r="H41" s="1257" t="s">
        <v>6273</v>
      </c>
      <c r="I41" s="1261" t="s">
        <v>5</v>
      </c>
    </row>
    <row r="42" spans="1:9" hidden="1">
      <c r="A42" s="631" t="s">
        <v>6271</v>
      </c>
      <c r="B42" s="413" t="s">
        <v>182</v>
      </c>
      <c r="C42" s="384">
        <v>1</v>
      </c>
      <c r="D42" s="482">
        <v>2</v>
      </c>
      <c r="E42" s="486" t="s">
        <v>4369</v>
      </c>
      <c r="F42" s="593" t="s">
        <v>4369</v>
      </c>
      <c r="G42" s="631"/>
      <c r="H42" s="882"/>
      <c r="I42" s="1266"/>
    </row>
    <row r="43" spans="1:9" hidden="1">
      <c r="A43" s="605" t="s">
        <v>6271</v>
      </c>
      <c r="B43" s="425" t="s">
        <v>182</v>
      </c>
      <c r="C43" s="493">
        <v>1</v>
      </c>
      <c r="D43" s="501">
        <v>3</v>
      </c>
      <c r="E43" s="502" t="s">
        <v>4371</v>
      </c>
      <c r="F43" s="594" t="s">
        <v>4371</v>
      </c>
      <c r="G43" s="632"/>
      <c r="H43" s="1258"/>
      <c r="I43" s="1262"/>
    </row>
    <row r="44" spans="1:9" hidden="1">
      <c r="A44" s="630" t="s">
        <v>6271</v>
      </c>
      <c r="B44" s="414" t="s">
        <v>183</v>
      </c>
      <c r="C44" s="481">
        <v>1</v>
      </c>
      <c r="D44" s="481">
        <v>14</v>
      </c>
      <c r="E44" s="485" t="s">
        <v>2662</v>
      </c>
      <c r="F44" s="569" t="s">
        <v>2662</v>
      </c>
      <c r="G44" s="633" t="s">
        <v>6215</v>
      </c>
      <c r="H44" s="1257" t="s">
        <v>6274</v>
      </c>
      <c r="I44" s="1261" t="s">
        <v>5</v>
      </c>
    </row>
    <row r="45" spans="1:9" hidden="1">
      <c r="A45" s="631" t="s">
        <v>6271</v>
      </c>
      <c r="B45" s="413" t="s">
        <v>183</v>
      </c>
      <c r="C45" s="482">
        <v>1</v>
      </c>
      <c r="D45" s="482">
        <v>18</v>
      </c>
      <c r="E45" s="486" t="s">
        <v>2664</v>
      </c>
      <c r="F45" s="570" t="s">
        <v>2664</v>
      </c>
      <c r="G45" s="634" t="s">
        <v>6215</v>
      </c>
      <c r="H45" s="882"/>
      <c r="I45" s="1266"/>
    </row>
    <row r="46" spans="1:9" hidden="1">
      <c r="A46" s="631" t="s">
        <v>6271</v>
      </c>
      <c r="B46" s="413" t="s">
        <v>183</v>
      </c>
      <c r="C46" s="482">
        <v>1</v>
      </c>
      <c r="D46" s="482">
        <v>19</v>
      </c>
      <c r="E46" s="486" t="s">
        <v>2665</v>
      </c>
      <c r="F46" s="570" t="s">
        <v>2666</v>
      </c>
      <c r="G46" s="634" t="s">
        <v>6215</v>
      </c>
      <c r="H46" s="882"/>
      <c r="I46" s="1266"/>
    </row>
    <row r="47" spans="1:9" hidden="1">
      <c r="A47" s="605" t="s">
        <v>6271</v>
      </c>
      <c r="B47" s="425" t="s">
        <v>183</v>
      </c>
      <c r="C47" s="501">
        <v>1</v>
      </c>
      <c r="D47" s="501">
        <v>20</v>
      </c>
      <c r="E47" s="502" t="s">
        <v>2667</v>
      </c>
      <c r="F47" s="571" t="s">
        <v>2667</v>
      </c>
      <c r="G47" s="632" t="s">
        <v>6215</v>
      </c>
      <c r="H47" s="1258"/>
      <c r="I47" s="1262"/>
    </row>
    <row r="48" spans="1:9" hidden="1">
      <c r="A48" s="630" t="s">
        <v>6268</v>
      </c>
      <c r="B48" s="527" t="s">
        <v>72</v>
      </c>
      <c r="C48" s="492">
        <v>1</v>
      </c>
      <c r="D48" s="481">
        <v>14</v>
      </c>
      <c r="E48" s="485" t="s">
        <v>2662</v>
      </c>
      <c r="F48" s="620" t="s">
        <v>2662</v>
      </c>
      <c r="G48" s="630" t="s">
        <v>2221</v>
      </c>
      <c r="H48" s="1257" t="s">
        <v>6275</v>
      </c>
      <c r="I48" s="1261" t="s">
        <v>5</v>
      </c>
    </row>
    <row r="49" spans="1:9" hidden="1">
      <c r="A49" s="631" t="s">
        <v>6268</v>
      </c>
      <c r="B49" s="503" t="s">
        <v>72</v>
      </c>
      <c r="C49" s="384">
        <v>1</v>
      </c>
      <c r="D49" s="482">
        <v>18</v>
      </c>
      <c r="E49" s="486" t="s">
        <v>2664</v>
      </c>
      <c r="F49" s="593" t="s">
        <v>2664</v>
      </c>
      <c r="G49" s="631" t="s">
        <v>2221</v>
      </c>
      <c r="H49" s="882"/>
      <c r="I49" s="1266"/>
    </row>
    <row r="50" spans="1:9" hidden="1">
      <c r="A50" s="631" t="s">
        <v>6268</v>
      </c>
      <c r="B50" s="503" t="s">
        <v>72</v>
      </c>
      <c r="C50" s="384">
        <v>1</v>
      </c>
      <c r="D50" s="482">
        <v>19</v>
      </c>
      <c r="E50" s="486" t="s">
        <v>2665</v>
      </c>
      <c r="F50" s="593" t="s">
        <v>2666</v>
      </c>
      <c r="G50" s="631" t="s">
        <v>2221</v>
      </c>
      <c r="H50" s="882"/>
      <c r="I50" s="1266"/>
    </row>
    <row r="51" spans="1:9" hidden="1">
      <c r="A51" s="605" t="s">
        <v>6268</v>
      </c>
      <c r="B51" s="506" t="s">
        <v>72</v>
      </c>
      <c r="C51" s="493">
        <v>1</v>
      </c>
      <c r="D51" s="501">
        <v>20</v>
      </c>
      <c r="E51" s="502" t="s">
        <v>2667</v>
      </c>
      <c r="F51" s="594" t="s">
        <v>2667</v>
      </c>
      <c r="G51" s="605" t="s">
        <v>2221</v>
      </c>
      <c r="H51" s="1258"/>
      <c r="I51" s="1262"/>
    </row>
    <row r="52" spans="1:9" hidden="1">
      <c r="A52" s="426" t="s">
        <v>6268</v>
      </c>
      <c r="B52" s="414" t="s">
        <v>123</v>
      </c>
      <c r="C52" s="492">
        <v>1</v>
      </c>
      <c r="D52" s="481">
        <v>1</v>
      </c>
      <c r="E52" s="485" t="s">
        <v>5213</v>
      </c>
      <c r="F52" s="620" t="s">
        <v>2798</v>
      </c>
      <c r="G52" s="633" t="s">
        <v>6215</v>
      </c>
      <c r="H52" s="1257" t="s">
        <v>6276</v>
      </c>
      <c r="I52" s="1261" t="s">
        <v>5</v>
      </c>
    </row>
    <row r="53" spans="1:9" hidden="1">
      <c r="A53" s="428" t="s">
        <v>6268</v>
      </c>
      <c r="B53" s="413" t="s">
        <v>123</v>
      </c>
      <c r="C53" s="384">
        <v>1</v>
      </c>
      <c r="D53" s="482" t="s">
        <v>2800</v>
      </c>
      <c r="E53" s="486" t="s">
        <v>5215</v>
      </c>
      <c r="F53" s="593" t="s">
        <v>2801</v>
      </c>
      <c r="G53" s="634" t="s">
        <v>6215</v>
      </c>
      <c r="H53" s="882"/>
      <c r="I53" s="1266"/>
    </row>
    <row r="54" spans="1:9" hidden="1">
      <c r="A54" s="428" t="s">
        <v>6268</v>
      </c>
      <c r="B54" s="413" t="s">
        <v>123</v>
      </c>
      <c r="C54" s="384">
        <v>1</v>
      </c>
      <c r="D54" s="482" t="s">
        <v>2802</v>
      </c>
      <c r="E54" s="486" t="s">
        <v>5216</v>
      </c>
      <c r="F54" s="593" t="s">
        <v>2803</v>
      </c>
      <c r="G54" s="634" t="s">
        <v>6215</v>
      </c>
      <c r="H54" s="882"/>
      <c r="I54" s="1266"/>
    </row>
    <row r="55" spans="1:9" hidden="1">
      <c r="A55" s="428" t="s">
        <v>6268</v>
      </c>
      <c r="B55" s="413" t="s">
        <v>123</v>
      </c>
      <c r="C55" s="384">
        <v>1</v>
      </c>
      <c r="D55" s="482" t="s">
        <v>2804</v>
      </c>
      <c r="E55" s="486" t="s">
        <v>5217</v>
      </c>
      <c r="F55" s="593" t="s">
        <v>2805</v>
      </c>
      <c r="G55" s="634" t="s">
        <v>6215</v>
      </c>
      <c r="H55" s="882"/>
      <c r="I55" s="1266"/>
    </row>
    <row r="56" spans="1:9" hidden="1">
      <c r="A56" s="428" t="s">
        <v>6268</v>
      </c>
      <c r="B56" s="413" t="s">
        <v>123</v>
      </c>
      <c r="C56" s="384">
        <v>1</v>
      </c>
      <c r="D56" s="482" t="s">
        <v>2806</v>
      </c>
      <c r="E56" s="486" t="s">
        <v>5218</v>
      </c>
      <c r="F56" s="593" t="s">
        <v>2807</v>
      </c>
      <c r="G56" s="634" t="s">
        <v>6215</v>
      </c>
      <c r="H56" s="882"/>
      <c r="I56" s="1266"/>
    </row>
    <row r="57" spans="1:9" hidden="1">
      <c r="A57" s="428" t="s">
        <v>6268</v>
      </c>
      <c r="B57" s="413" t="s">
        <v>123</v>
      </c>
      <c r="C57" s="384">
        <v>1</v>
      </c>
      <c r="D57" s="482" t="s">
        <v>2808</v>
      </c>
      <c r="E57" s="486" t="s">
        <v>5219</v>
      </c>
      <c r="F57" s="593" t="s">
        <v>2809</v>
      </c>
      <c r="G57" s="634" t="s">
        <v>6215</v>
      </c>
      <c r="H57" s="882"/>
      <c r="I57" s="1266"/>
    </row>
    <row r="58" spans="1:9" hidden="1">
      <c r="A58" s="428" t="s">
        <v>6268</v>
      </c>
      <c r="B58" s="413" t="s">
        <v>123</v>
      </c>
      <c r="C58" s="384">
        <v>1</v>
      </c>
      <c r="D58" s="482" t="s">
        <v>2810</v>
      </c>
      <c r="E58" s="486" t="s">
        <v>5220</v>
      </c>
      <c r="F58" s="593" t="s">
        <v>2811</v>
      </c>
      <c r="G58" s="634" t="s">
        <v>6215</v>
      </c>
      <c r="H58" s="882"/>
      <c r="I58" s="1266"/>
    </row>
    <row r="59" spans="1:9" hidden="1">
      <c r="A59" s="428" t="s">
        <v>6268</v>
      </c>
      <c r="B59" s="413" t="s">
        <v>123</v>
      </c>
      <c r="C59" s="384">
        <v>1</v>
      </c>
      <c r="D59" s="482" t="s">
        <v>2812</v>
      </c>
      <c r="E59" s="486" t="s">
        <v>5221</v>
      </c>
      <c r="F59" s="593" t="s">
        <v>2813</v>
      </c>
      <c r="G59" s="634" t="s">
        <v>6215</v>
      </c>
      <c r="H59" s="882"/>
      <c r="I59" s="1266"/>
    </row>
    <row r="60" spans="1:9" hidden="1">
      <c r="A60" s="428" t="s">
        <v>6268</v>
      </c>
      <c r="B60" s="413" t="s">
        <v>123</v>
      </c>
      <c r="C60" s="384">
        <v>1</v>
      </c>
      <c r="D60" s="482" t="s">
        <v>2814</v>
      </c>
      <c r="E60" s="486" t="s">
        <v>5222</v>
      </c>
      <c r="F60" s="593" t="s">
        <v>2815</v>
      </c>
      <c r="G60" s="634" t="s">
        <v>6215</v>
      </c>
      <c r="H60" s="882"/>
      <c r="I60" s="1266"/>
    </row>
    <row r="61" spans="1:9" hidden="1">
      <c r="A61" s="428" t="s">
        <v>6268</v>
      </c>
      <c r="B61" s="413" t="s">
        <v>123</v>
      </c>
      <c r="C61" s="384">
        <v>1</v>
      </c>
      <c r="D61" s="482" t="s">
        <v>2816</v>
      </c>
      <c r="E61" s="486" t="s">
        <v>5223</v>
      </c>
      <c r="F61" s="593" t="s">
        <v>2817</v>
      </c>
      <c r="G61" s="634" t="s">
        <v>6215</v>
      </c>
      <c r="H61" s="882"/>
      <c r="I61" s="1266"/>
    </row>
    <row r="62" spans="1:9" hidden="1">
      <c r="A62" s="428" t="s">
        <v>6268</v>
      </c>
      <c r="B62" s="413" t="s">
        <v>123</v>
      </c>
      <c r="C62" s="384">
        <v>1</v>
      </c>
      <c r="D62" s="482" t="s">
        <v>2818</v>
      </c>
      <c r="E62" s="486" t="s">
        <v>5224</v>
      </c>
      <c r="F62" s="593" t="s">
        <v>2819</v>
      </c>
      <c r="G62" s="634" t="s">
        <v>6215</v>
      </c>
      <c r="H62" s="882"/>
      <c r="I62" s="1266"/>
    </row>
    <row r="63" spans="1:9" hidden="1">
      <c r="A63" s="428" t="s">
        <v>6268</v>
      </c>
      <c r="B63" s="413" t="s">
        <v>123</v>
      </c>
      <c r="C63" s="384">
        <v>1</v>
      </c>
      <c r="D63" s="482" t="s">
        <v>2820</v>
      </c>
      <c r="E63" s="486" t="s">
        <v>5225</v>
      </c>
      <c r="F63" s="593" t="s">
        <v>2821</v>
      </c>
      <c r="G63" s="634" t="s">
        <v>6215</v>
      </c>
      <c r="H63" s="882"/>
      <c r="I63" s="1266"/>
    </row>
    <row r="64" spans="1:9" hidden="1">
      <c r="A64" s="428" t="s">
        <v>6268</v>
      </c>
      <c r="B64" s="413" t="s">
        <v>123</v>
      </c>
      <c r="C64" s="384">
        <v>1</v>
      </c>
      <c r="D64" s="482" t="s">
        <v>2822</v>
      </c>
      <c r="E64" s="486" t="s">
        <v>5226</v>
      </c>
      <c r="F64" s="593" t="s">
        <v>2823</v>
      </c>
      <c r="G64" s="634" t="s">
        <v>6215</v>
      </c>
      <c r="H64" s="882"/>
      <c r="I64" s="1266"/>
    </row>
    <row r="65" spans="1:9" hidden="1">
      <c r="A65" s="428" t="s">
        <v>6268</v>
      </c>
      <c r="B65" s="413" t="s">
        <v>123</v>
      </c>
      <c r="C65" s="384">
        <v>1</v>
      </c>
      <c r="D65" s="482" t="s">
        <v>2824</v>
      </c>
      <c r="E65" s="486" t="s">
        <v>5227</v>
      </c>
      <c r="F65" s="593" t="s">
        <v>2825</v>
      </c>
      <c r="G65" s="634" t="s">
        <v>6215</v>
      </c>
      <c r="H65" s="882"/>
      <c r="I65" s="1266"/>
    </row>
    <row r="66" spans="1:9" hidden="1">
      <c r="A66" s="428" t="s">
        <v>6268</v>
      </c>
      <c r="B66" s="413" t="s">
        <v>123</v>
      </c>
      <c r="C66" s="384">
        <v>1</v>
      </c>
      <c r="D66" s="482" t="s">
        <v>2826</v>
      </c>
      <c r="E66" s="486" t="s">
        <v>5228</v>
      </c>
      <c r="F66" s="593" t="s">
        <v>2827</v>
      </c>
      <c r="G66" s="634" t="s">
        <v>6215</v>
      </c>
      <c r="H66" s="882"/>
      <c r="I66" s="1266"/>
    </row>
    <row r="67" spans="1:9" hidden="1">
      <c r="A67" s="428" t="s">
        <v>6268</v>
      </c>
      <c r="B67" s="413" t="s">
        <v>123</v>
      </c>
      <c r="C67" s="384">
        <v>1</v>
      </c>
      <c r="D67" s="482" t="s">
        <v>2828</v>
      </c>
      <c r="E67" s="486" t="s">
        <v>5229</v>
      </c>
      <c r="F67" s="593" t="s">
        <v>2829</v>
      </c>
      <c r="G67" s="634" t="s">
        <v>6215</v>
      </c>
      <c r="H67" s="882"/>
      <c r="I67" s="1266"/>
    </row>
    <row r="68" spans="1:9" hidden="1">
      <c r="A68" s="428" t="s">
        <v>6268</v>
      </c>
      <c r="B68" s="413" t="s">
        <v>123</v>
      </c>
      <c r="C68" s="384">
        <v>1</v>
      </c>
      <c r="D68" s="482" t="s">
        <v>2830</v>
      </c>
      <c r="E68" s="486" t="s">
        <v>5230</v>
      </c>
      <c r="F68" s="593" t="s">
        <v>2831</v>
      </c>
      <c r="G68" s="634" t="s">
        <v>6215</v>
      </c>
      <c r="H68" s="882"/>
      <c r="I68" s="1266"/>
    </row>
    <row r="69" spans="1:9" hidden="1">
      <c r="A69" s="428" t="s">
        <v>6268</v>
      </c>
      <c r="B69" s="413" t="s">
        <v>123</v>
      </c>
      <c r="C69" s="384">
        <v>1</v>
      </c>
      <c r="D69" s="482" t="s">
        <v>2832</v>
      </c>
      <c r="E69" s="486" t="s">
        <v>5231</v>
      </c>
      <c r="F69" s="593" t="s">
        <v>2833</v>
      </c>
      <c r="G69" s="634" t="s">
        <v>6215</v>
      </c>
      <c r="H69" s="882"/>
      <c r="I69" s="1266"/>
    </row>
    <row r="70" spans="1:9" hidden="1">
      <c r="A70" s="428" t="s">
        <v>6268</v>
      </c>
      <c r="B70" s="413" t="s">
        <v>123</v>
      </c>
      <c r="C70" s="384">
        <v>1</v>
      </c>
      <c r="D70" s="482" t="s">
        <v>2834</v>
      </c>
      <c r="E70" s="486" t="s">
        <v>5232</v>
      </c>
      <c r="F70" s="593" t="s">
        <v>2835</v>
      </c>
      <c r="G70" s="634" t="s">
        <v>6215</v>
      </c>
      <c r="H70" s="882"/>
      <c r="I70" s="1266"/>
    </row>
    <row r="71" spans="1:9" hidden="1">
      <c r="A71" s="428" t="s">
        <v>6268</v>
      </c>
      <c r="B71" s="413" t="s">
        <v>123</v>
      </c>
      <c r="C71" s="384">
        <v>1</v>
      </c>
      <c r="D71" s="482" t="s">
        <v>2836</v>
      </c>
      <c r="E71" s="486" t="s">
        <v>5233</v>
      </c>
      <c r="F71" s="593" t="s">
        <v>2837</v>
      </c>
      <c r="G71" s="634" t="s">
        <v>6215</v>
      </c>
      <c r="H71" s="882"/>
      <c r="I71" s="1266"/>
    </row>
    <row r="72" spans="1:9" hidden="1">
      <c r="A72" s="428" t="s">
        <v>6268</v>
      </c>
      <c r="B72" s="413" t="s">
        <v>123</v>
      </c>
      <c r="C72" s="384">
        <v>1</v>
      </c>
      <c r="D72" s="482" t="s">
        <v>2838</v>
      </c>
      <c r="E72" s="486" t="s">
        <v>5234</v>
      </c>
      <c r="F72" s="593" t="s">
        <v>2839</v>
      </c>
      <c r="G72" s="634" t="s">
        <v>6215</v>
      </c>
      <c r="H72" s="882"/>
      <c r="I72" s="1266"/>
    </row>
    <row r="73" spans="1:9" hidden="1">
      <c r="A73" s="428" t="s">
        <v>6268</v>
      </c>
      <c r="B73" s="413" t="s">
        <v>123</v>
      </c>
      <c r="C73" s="384">
        <v>1</v>
      </c>
      <c r="D73" s="482" t="s">
        <v>2840</v>
      </c>
      <c r="E73" s="486" t="s">
        <v>5235</v>
      </c>
      <c r="F73" s="593" t="s">
        <v>2841</v>
      </c>
      <c r="G73" s="634" t="s">
        <v>6215</v>
      </c>
      <c r="H73" s="882"/>
      <c r="I73" s="1266"/>
    </row>
    <row r="74" spans="1:9" hidden="1">
      <c r="A74" s="428" t="s">
        <v>6268</v>
      </c>
      <c r="B74" s="413" t="s">
        <v>123</v>
      </c>
      <c r="C74" s="384">
        <v>1</v>
      </c>
      <c r="D74" s="482" t="s">
        <v>2842</v>
      </c>
      <c r="E74" s="486" t="s">
        <v>5236</v>
      </c>
      <c r="F74" s="593" t="s">
        <v>2843</v>
      </c>
      <c r="G74" s="634" t="s">
        <v>6215</v>
      </c>
      <c r="H74" s="882"/>
      <c r="I74" s="1266"/>
    </row>
    <row r="75" spans="1:9" hidden="1">
      <c r="A75" s="428" t="s">
        <v>6268</v>
      </c>
      <c r="B75" s="413" t="s">
        <v>123</v>
      </c>
      <c r="C75" s="384">
        <v>1</v>
      </c>
      <c r="D75" s="482" t="s">
        <v>2844</v>
      </c>
      <c r="E75" s="486" t="s">
        <v>5237</v>
      </c>
      <c r="F75" s="593" t="s">
        <v>2845</v>
      </c>
      <c r="G75" s="634" t="s">
        <v>6215</v>
      </c>
      <c r="H75" s="882"/>
      <c r="I75" s="1266"/>
    </row>
    <row r="76" spans="1:9" hidden="1">
      <c r="A76" s="428" t="s">
        <v>6268</v>
      </c>
      <c r="B76" s="413" t="s">
        <v>123</v>
      </c>
      <c r="C76" s="384">
        <v>1</v>
      </c>
      <c r="D76" s="482" t="s">
        <v>2846</v>
      </c>
      <c r="E76" s="486" t="s">
        <v>5238</v>
      </c>
      <c r="F76" s="593" t="s">
        <v>2847</v>
      </c>
      <c r="G76" s="634" t="s">
        <v>6215</v>
      </c>
      <c r="H76" s="882"/>
      <c r="I76" s="1266"/>
    </row>
    <row r="77" spans="1:9" hidden="1">
      <c r="A77" s="428" t="s">
        <v>6268</v>
      </c>
      <c r="B77" s="413" t="s">
        <v>123</v>
      </c>
      <c r="C77" s="384">
        <v>1</v>
      </c>
      <c r="D77" s="482" t="s">
        <v>2848</v>
      </c>
      <c r="E77" s="486" t="s">
        <v>5239</v>
      </c>
      <c r="F77" s="593" t="s">
        <v>2849</v>
      </c>
      <c r="G77" s="634" t="s">
        <v>6215</v>
      </c>
      <c r="H77" s="882"/>
      <c r="I77" s="1266"/>
    </row>
    <row r="78" spans="1:9" hidden="1">
      <c r="A78" s="428" t="s">
        <v>6268</v>
      </c>
      <c r="B78" s="413" t="s">
        <v>123</v>
      </c>
      <c r="C78" s="384">
        <v>1</v>
      </c>
      <c r="D78" s="482" t="s">
        <v>2850</v>
      </c>
      <c r="E78" s="486" t="s">
        <v>5240</v>
      </c>
      <c r="F78" s="593" t="s">
        <v>2851</v>
      </c>
      <c r="G78" s="634" t="s">
        <v>6215</v>
      </c>
      <c r="H78" s="882"/>
      <c r="I78" s="1266"/>
    </row>
    <row r="79" spans="1:9" hidden="1">
      <c r="A79" s="428" t="s">
        <v>6268</v>
      </c>
      <c r="B79" s="413" t="s">
        <v>123</v>
      </c>
      <c r="C79" s="384">
        <v>1</v>
      </c>
      <c r="D79" s="482" t="s">
        <v>2852</v>
      </c>
      <c r="E79" s="486" t="s">
        <v>5241</v>
      </c>
      <c r="F79" s="593" t="s">
        <v>2853</v>
      </c>
      <c r="G79" s="634" t="s">
        <v>6215</v>
      </c>
      <c r="H79" s="882"/>
      <c r="I79" s="1266"/>
    </row>
    <row r="80" spans="1:9" hidden="1">
      <c r="A80" s="428" t="s">
        <v>6268</v>
      </c>
      <c r="B80" s="413" t="s">
        <v>123</v>
      </c>
      <c r="C80" s="384">
        <v>1</v>
      </c>
      <c r="D80" s="482" t="s">
        <v>2854</v>
      </c>
      <c r="E80" s="486" t="s">
        <v>5242</v>
      </c>
      <c r="F80" s="593" t="s">
        <v>2855</v>
      </c>
      <c r="G80" s="634" t="s">
        <v>6215</v>
      </c>
      <c r="H80" s="882"/>
      <c r="I80" s="1266"/>
    </row>
    <row r="81" spans="1:9" hidden="1">
      <c r="A81" s="428" t="s">
        <v>6268</v>
      </c>
      <c r="B81" s="413" t="s">
        <v>123</v>
      </c>
      <c r="C81" s="384">
        <v>1</v>
      </c>
      <c r="D81" s="482" t="s">
        <v>2856</v>
      </c>
      <c r="E81" s="486" t="s">
        <v>5243</v>
      </c>
      <c r="F81" s="593" t="s">
        <v>2857</v>
      </c>
      <c r="G81" s="634" t="s">
        <v>6215</v>
      </c>
      <c r="H81" s="882"/>
      <c r="I81" s="1266"/>
    </row>
    <row r="82" spans="1:9" hidden="1">
      <c r="A82" s="428" t="s">
        <v>6268</v>
      </c>
      <c r="B82" s="413" t="s">
        <v>123</v>
      </c>
      <c r="C82" s="384">
        <v>1</v>
      </c>
      <c r="D82" s="482" t="s">
        <v>2858</v>
      </c>
      <c r="E82" s="486" t="s">
        <v>5244</v>
      </c>
      <c r="F82" s="593" t="s">
        <v>2859</v>
      </c>
      <c r="G82" s="634" t="s">
        <v>6215</v>
      </c>
      <c r="H82" s="882"/>
      <c r="I82" s="1266"/>
    </row>
    <row r="83" spans="1:9" hidden="1">
      <c r="A83" s="428" t="s">
        <v>6268</v>
      </c>
      <c r="B83" s="413" t="s">
        <v>123</v>
      </c>
      <c r="C83" s="384">
        <v>1</v>
      </c>
      <c r="D83" s="482" t="s">
        <v>2860</v>
      </c>
      <c r="E83" s="486" t="s">
        <v>5245</v>
      </c>
      <c r="F83" s="593" t="s">
        <v>2861</v>
      </c>
      <c r="G83" s="634" t="s">
        <v>6215</v>
      </c>
      <c r="H83" s="882"/>
      <c r="I83" s="1266"/>
    </row>
    <row r="84" spans="1:9" hidden="1">
      <c r="A84" s="428" t="s">
        <v>6268</v>
      </c>
      <c r="B84" s="413" t="s">
        <v>123</v>
      </c>
      <c r="C84" s="384">
        <v>1</v>
      </c>
      <c r="D84" s="482" t="s">
        <v>2862</v>
      </c>
      <c r="E84" s="486" t="s">
        <v>5246</v>
      </c>
      <c r="F84" s="593" t="s">
        <v>2863</v>
      </c>
      <c r="G84" s="634" t="s">
        <v>6215</v>
      </c>
      <c r="H84" s="882"/>
      <c r="I84" s="1266"/>
    </row>
    <row r="85" spans="1:9" hidden="1">
      <c r="A85" s="428" t="s">
        <v>6268</v>
      </c>
      <c r="B85" s="413" t="s">
        <v>123</v>
      </c>
      <c r="C85" s="384">
        <v>1</v>
      </c>
      <c r="D85" s="482" t="s">
        <v>2864</v>
      </c>
      <c r="E85" s="486" t="s">
        <v>5247</v>
      </c>
      <c r="F85" s="593" t="s">
        <v>2865</v>
      </c>
      <c r="G85" s="634" t="s">
        <v>6215</v>
      </c>
      <c r="H85" s="882"/>
      <c r="I85" s="1266"/>
    </row>
    <row r="86" spans="1:9" hidden="1">
      <c r="A86" s="428" t="s">
        <v>6268</v>
      </c>
      <c r="B86" s="413" t="s">
        <v>123</v>
      </c>
      <c r="C86" s="384">
        <v>1</v>
      </c>
      <c r="D86" s="482" t="s">
        <v>2866</v>
      </c>
      <c r="E86" s="486" t="s">
        <v>5248</v>
      </c>
      <c r="F86" s="593" t="s">
        <v>2867</v>
      </c>
      <c r="G86" s="634" t="s">
        <v>6215</v>
      </c>
      <c r="H86" s="882"/>
      <c r="I86" s="1266"/>
    </row>
    <row r="87" spans="1:9" hidden="1">
      <c r="A87" s="428" t="s">
        <v>6268</v>
      </c>
      <c r="B87" s="413" t="s">
        <v>123</v>
      </c>
      <c r="C87" s="384">
        <v>1</v>
      </c>
      <c r="D87" s="482" t="s">
        <v>2868</v>
      </c>
      <c r="E87" s="486" t="s">
        <v>5249</v>
      </c>
      <c r="F87" s="593" t="s">
        <v>2869</v>
      </c>
      <c r="G87" s="634" t="s">
        <v>6215</v>
      </c>
      <c r="H87" s="882"/>
      <c r="I87" s="1266"/>
    </row>
    <row r="88" spans="1:9" hidden="1">
      <c r="A88" s="428" t="s">
        <v>6268</v>
      </c>
      <c r="B88" s="413" t="s">
        <v>123</v>
      </c>
      <c r="C88" s="384">
        <v>1</v>
      </c>
      <c r="D88" s="482">
        <v>2</v>
      </c>
      <c r="E88" s="486" t="s">
        <v>5250</v>
      </c>
      <c r="F88" s="593" t="s">
        <v>2870</v>
      </c>
      <c r="G88" s="634" t="s">
        <v>6215</v>
      </c>
      <c r="H88" s="882"/>
      <c r="I88" s="1266"/>
    </row>
    <row r="89" spans="1:9" hidden="1">
      <c r="A89" s="428" t="s">
        <v>6268</v>
      </c>
      <c r="B89" s="413" t="s">
        <v>123</v>
      </c>
      <c r="C89" s="384">
        <v>1</v>
      </c>
      <c r="D89" s="482" t="s">
        <v>2871</v>
      </c>
      <c r="E89" s="486" t="s">
        <v>5251</v>
      </c>
      <c r="F89" s="593" t="s">
        <v>2872</v>
      </c>
      <c r="G89" s="634" t="s">
        <v>6215</v>
      </c>
      <c r="H89" s="882"/>
      <c r="I89" s="1266"/>
    </row>
    <row r="90" spans="1:9" hidden="1">
      <c r="A90" s="428" t="s">
        <v>6268</v>
      </c>
      <c r="B90" s="413" t="s">
        <v>123</v>
      </c>
      <c r="C90" s="384">
        <v>1</v>
      </c>
      <c r="D90" s="482" t="s">
        <v>2873</v>
      </c>
      <c r="E90" s="486" t="s">
        <v>5252</v>
      </c>
      <c r="F90" s="593" t="s">
        <v>2874</v>
      </c>
      <c r="G90" s="634" t="s">
        <v>6215</v>
      </c>
      <c r="H90" s="882"/>
      <c r="I90" s="1266"/>
    </row>
    <row r="91" spans="1:9" hidden="1">
      <c r="A91" s="428" t="s">
        <v>6268</v>
      </c>
      <c r="B91" s="413" t="s">
        <v>123</v>
      </c>
      <c r="C91" s="384">
        <v>1</v>
      </c>
      <c r="D91" s="482" t="s">
        <v>2875</v>
      </c>
      <c r="E91" s="486" t="s">
        <v>5253</v>
      </c>
      <c r="F91" s="593" t="s">
        <v>2876</v>
      </c>
      <c r="G91" s="634" t="s">
        <v>6215</v>
      </c>
      <c r="H91" s="882"/>
      <c r="I91" s="1266"/>
    </row>
    <row r="92" spans="1:9" hidden="1">
      <c r="A92" s="428" t="s">
        <v>6268</v>
      </c>
      <c r="B92" s="413" t="s">
        <v>123</v>
      </c>
      <c r="C92" s="384">
        <v>1</v>
      </c>
      <c r="D92" s="482" t="s">
        <v>2877</v>
      </c>
      <c r="E92" s="486" t="s">
        <v>5254</v>
      </c>
      <c r="F92" s="593" t="s">
        <v>2878</v>
      </c>
      <c r="G92" s="634" t="s">
        <v>6215</v>
      </c>
      <c r="H92" s="882"/>
      <c r="I92" s="1266"/>
    </row>
    <row r="93" spans="1:9" hidden="1">
      <c r="A93" s="428" t="s">
        <v>6268</v>
      </c>
      <c r="B93" s="413" t="s">
        <v>123</v>
      </c>
      <c r="C93" s="384">
        <v>1</v>
      </c>
      <c r="D93" s="482">
        <v>3</v>
      </c>
      <c r="E93" s="486" t="s">
        <v>5255</v>
      </c>
      <c r="F93" s="593" t="s">
        <v>2879</v>
      </c>
      <c r="G93" s="634" t="s">
        <v>6215</v>
      </c>
      <c r="H93" s="882"/>
      <c r="I93" s="1266"/>
    </row>
    <row r="94" spans="1:9" hidden="1">
      <c r="A94" s="428" t="s">
        <v>6268</v>
      </c>
      <c r="B94" s="413" t="s">
        <v>123</v>
      </c>
      <c r="C94" s="384">
        <v>1</v>
      </c>
      <c r="D94" s="482" t="s">
        <v>2880</v>
      </c>
      <c r="E94" s="486" t="s">
        <v>5256</v>
      </c>
      <c r="F94" s="593" t="s">
        <v>2881</v>
      </c>
      <c r="G94" s="634" t="s">
        <v>6215</v>
      </c>
      <c r="H94" s="882"/>
      <c r="I94" s="1266"/>
    </row>
    <row r="95" spans="1:9" hidden="1">
      <c r="A95" s="428" t="s">
        <v>6268</v>
      </c>
      <c r="B95" s="413" t="s">
        <v>123</v>
      </c>
      <c r="C95" s="384">
        <v>1</v>
      </c>
      <c r="D95" s="482" t="s">
        <v>2882</v>
      </c>
      <c r="E95" s="486" t="s">
        <v>5257</v>
      </c>
      <c r="F95" s="593" t="s">
        <v>2883</v>
      </c>
      <c r="G95" s="634" t="s">
        <v>6215</v>
      </c>
      <c r="H95" s="882"/>
      <c r="I95" s="1266"/>
    </row>
    <row r="96" spans="1:9" hidden="1">
      <c r="A96" s="428" t="s">
        <v>6268</v>
      </c>
      <c r="B96" s="413" t="s">
        <v>123</v>
      </c>
      <c r="C96" s="384">
        <v>1</v>
      </c>
      <c r="D96" s="482" t="s">
        <v>2884</v>
      </c>
      <c r="E96" s="486" t="s">
        <v>5258</v>
      </c>
      <c r="F96" s="593" t="s">
        <v>2885</v>
      </c>
      <c r="G96" s="634" t="s">
        <v>6215</v>
      </c>
      <c r="H96" s="882"/>
      <c r="I96" s="1266"/>
    </row>
    <row r="97" spans="1:9" hidden="1">
      <c r="A97" s="428" t="s">
        <v>6268</v>
      </c>
      <c r="B97" s="413" t="s">
        <v>123</v>
      </c>
      <c r="C97" s="384">
        <v>1</v>
      </c>
      <c r="D97" s="482" t="s">
        <v>2886</v>
      </c>
      <c r="E97" s="486" t="s">
        <v>5259</v>
      </c>
      <c r="F97" s="593" t="s">
        <v>2887</v>
      </c>
      <c r="G97" s="634" t="s">
        <v>6215</v>
      </c>
      <c r="H97" s="882"/>
      <c r="I97" s="1266"/>
    </row>
    <row r="98" spans="1:9" hidden="1">
      <c r="A98" s="428" t="s">
        <v>6268</v>
      </c>
      <c r="B98" s="413" t="s">
        <v>123</v>
      </c>
      <c r="C98" s="384">
        <v>1</v>
      </c>
      <c r="D98" s="482" t="s">
        <v>2888</v>
      </c>
      <c r="E98" s="486" t="s">
        <v>5260</v>
      </c>
      <c r="F98" s="593" t="s">
        <v>2889</v>
      </c>
      <c r="G98" s="634" t="s">
        <v>6215</v>
      </c>
      <c r="H98" s="882"/>
      <c r="I98" s="1266"/>
    </row>
    <row r="99" spans="1:9" hidden="1">
      <c r="A99" s="428" t="s">
        <v>6268</v>
      </c>
      <c r="B99" s="413" t="s">
        <v>123</v>
      </c>
      <c r="C99" s="384">
        <v>1</v>
      </c>
      <c r="D99" s="482" t="s">
        <v>2890</v>
      </c>
      <c r="E99" s="486" t="s">
        <v>5261</v>
      </c>
      <c r="F99" s="593" t="s">
        <v>2891</v>
      </c>
      <c r="G99" s="634" t="s">
        <v>6215</v>
      </c>
      <c r="H99" s="882"/>
      <c r="I99" s="1266"/>
    </row>
    <row r="100" spans="1:9" hidden="1">
      <c r="A100" s="428" t="s">
        <v>6268</v>
      </c>
      <c r="B100" s="413" t="s">
        <v>123</v>
      </c>
      <c r="C100" s="384">
        <v>1</v>
      </c>
      <c r="D100" s="482">
        <v>5</v>
      </c>
      <c r="E100" s="486" t="s">
        <v>5262</v>
      </c>
      <c r="F100" s="593" t="s">
        <v>2892</v>
      </c>
      <c r="G100" s="634" t="s">
        <v>6215</v>
      </c>
      <c r="H100" s="882"/>
      <c r="I100" s="1266"/>
    </row>
    <row r="101" spans="1:9" hidden="1">
      <c r="A101" s="428" t="s">
        <v>6268</v>
      </c>
      <c r="B101" s="413" t="s">
        <v>123</v>
      </c>
      <c r="C101" s="384">
        <v>1</v>
      </c>
      <c r="D101" s="482" t="s">
        <v>2893</v>
      </c>
      <c r="E101" s="486" t="s">
        <v>5263</v>
      </c>
      <c r="F101" s="593" t="s">
        <v>2894</v>
      </c>
      <c r="G101" s="634" t="s">
        <v>6215</v>
      </c>
      <c r="H101" s="882"/>
      <c r="I101" s="1266"/>
    </row>
    <row r="102" spans="1:9" hidden="1">
      <c r="A102" s="428" t="s">
        <v>6268</v>
      </c>
      <c r="B102" s="413" t="s">
        <v>123</v>
      </c>
      <c r="C102" s="384">
        <v>1</v>
      </c>
      <c r="D102" s="482" t="s">
        <v>2895</v>
      </c>
      <c r="E102" s="486" t="s">
        <v>5264</v>
      </c>
      <c r="F102" s="593" t="s">
        <v>2896</v>
      </c>
      <c r="G102" s="634" t="s">
        <v>6215</v>
      </c>
      <c r="H102" s="882"/>
      <c r="I102" s="1266"/>
    </row>
    <row r="103" spans="1:9" hidden="1">
      <c r="A103" s="428" t="s">
        <v>6268</v>
      </c>
      <c r="B103" s="413" t="s">
        <v>123</v>
      </c>
      <c r="C103" s="384">
        <v>1</v>
      </c>
      <c r="D103" s="482">
        <v>6</v>
      </c>
      <c r="E103" s="486" t="s">
        <v>5265</v>
      </c>
      <c r="F103" s="593" t="s">
        <v>2897</v>
      </c>
      <c r="G103" s="634" t="s">
        <v>6215</v>
      </c>
      <c r="H103" s="882"/>
      <c r="I103" s="1266"/>
    </row>
    <row r="104" spans="1:9" hidden="1">
      <c r="A104" s="428" t="s">
        <v>6268</v>
      </c>
      <c r="B104" s="413" t="s">
        <v>123</v>
      </c>
      <c r="C104" s="384">
        <v>1</v>
      </c>
      <c r="D104" s="482" t="s">
        <v>2898</v>
      </c>
      <c r="E104" s="486" t="s">
        <v>5266</v>
      </c>
      <c r="F104" s="593" t="s">
        <v>2899</v>
      </c>
      <c r="G104" s="634" t="s">
        <v>6215</v>
      </c>
      <c r="H104" s="882"/>
      <c r="I104" s="1266"/>
    </row>
    <row r="105" spans="1:9" hidden="1">
      <c r="A105" s="428" t="s">
        <v>6268</v>
      </c>
      <c r="B105" s="413" t="s">
        <v>123</v>
      </c>
      <c r="C105" s="384">
        <v>1</v>
      </c>
      <c r="D105" s="482" t="s">
        <v>2900</v>
      </c>
      <c r="E105" s="486" t="s">
        <v>5267</v>
      </c>
      <c r="F105" s="593" t="s">
        <v>2901</v>
      </c>
      <c r="G105" s="634" t="s">
        <v>6215</v>
      </c>
      <c r="H105" s="882"/>
      <c r="I105" s="1266"/>
    </row>
    <row r="106" spans="1:9" hidden="1">
      <c r="A106" s="428" t="s">
        <v>6268</v>
      </c>
      <c r="B106" s="413" t="s">
        <v>123</v>
      </c>
      <c r="C106" s="384">
        <v>1</v>
      </c>
      <c r="D106" s="482">
        <v>7</v>
      </c>
      <c r="E106" s="486" t="s">
        <v>5268</v>
      </c>
      <c r="F106" s="593" t="s">
        <v>2902</v>
      </c>
      <c r="G106" s="634" t="s">
        <v>6215</v>
      </c>
      <c r="H106" s="882"/>
      <c r="I106" s="1266"/>
    </row>
    <row r="107" spans="1:9" hidden="1">
      <c r="A107" s="428" t="s">
        <v>6268</v>
      </c>
      <c r="B107" s="413" t="s">
        <v>123</v>
      </c>
      <c r="C107" s="384">
        <v>1</v>
      </c>
      <c r="D107" s="482" t="s">
        <v>2903</v>
      </c>
      <c r="E107" s="486" t="s">
        <v>5269</v>
      </c>
      <c r="F107" s="593" t="s">
        <v>2904</v>
      </c>
      <c r="G107" s="634" t="s">
        <v>6215</v>
      </c>
      <c r="H107" s="882"/>
      <c r="I107" s="1266"/>
    </row>
    <row r="108" spans="1:9" hidden="1">
      <c r="A108" s="428" t="s">
        <v>6268</v>
      </c>
      <c r="B108" s="413" t="s">
        <v>123</v>
      </c>
      <c r="C108" s="384">
        <v>1</v>
      </c>
      <c r="D108" s="482" t="s">
        <v>2905</v>
      </c>
      <c r="E108" s="486" t="s">
        <v>5270</v>
      </c>
      <c r="F108" s="593" t="s">
        <v>2906</v>
      </c>
      <c r="G108" s="634" t="s">
        <v>6215</v>
      </c>
      <c r="H108" s="882"/>
      <c r="I108" s="1266"/>
    </row>
    <row r="109" spans="1:9" hidden="1">
      <c r="A109" s="428" t="s">
        <v>6268</v>
      </c>
      <c r="B109" s="413" t="s">
        <v>123</v>
      </c>
      <c r="C109" s="384">
        <v>1</v>
      </c>
      <c r="D109" s="482" t="s">
        <v>2907</v>
      </c>
      <c r="E109" s="486" t="s">
        <v>5271</v>
      </c>
      <c r="F109" s="593" t="s">
        <v>2908</v>
      </c>
      <c r="G109" s="634" t="s">
        <v>6215</v>
      </c>
      <c r="H109" s="882"/>
      <c r="I109" s="1266"/>
    </row>
    <row r="110" spans="1:9" hidden="1">
      <c r="A110" s="428" t="s">
        <v>6268</v>
      </c>
      <c r="B110" s="413" t="s">
        <v>123</v>
      </c>
      <c r="C110" s="384">
        <v>1</v>
      </c>
      <c r="D110" s="482" t="s">
        <v>2909</v>
      </c>
      <c r="E110" s="486" t="s">
        <v>5272</v>
      </c>
      <c r="F110" s="593" t="s">
        <v>2910</v>
      </c>
      <c r="G110" s="634" t="s">
        <v>6215</v>
      </c>
      <c r="H110" s="882"/>
      <c r="I110" s="1266"/>
    </row>
    <row r="111" spans="1:9" hidden="1">
      <c r="A111" s="428" t="s">
        <v>6268</v>
      </c>
      <c r="B111" s="413" t="s">
        <v>123</v>
      </c>
      <c r="C111" s="384">
        <v>1</v>
      </c>
      <c r="D111" s="482">
        <v>8</v>
      </c>
      <c r="E111" s="486" t="s">
        <v>5273</v>
      </c>
      <c r="F111" s="593" t="s">
        <v>2911</v>
      </c>
      <c r="G111" s="634" t="s">
        <v>6215</v>
      </c>
      <c r="H111" s="882"/>
      <c r="I111" s="1266"/>
    </row>
    <row r="112" spans="1:9" hidden="1">
      <c r="A112" s="428" t="s">
        <v>6268</v>
      </c>
      <c r="B112" s="413" t="s">
        <v>123</v>
      </c>
      <c r="C112" s="384">
        <v>1</v>
      </c>
      <c r="D112" s="482" t="s">
        <v>2912</v>
      </c>
      <c r="E112" s="486" t="s">
        <v>5274</v>
      </c>
      <c r="F112" s="593" t="s">
        <v>2913</v>
      </c>
      <c r="G112" s="634" t="s">
        <v>6215</v>
      </c>
      <c r="H112" s="882"/>
      <c r="I112" s="1266"/>
    </row>
    <row r="113" spans="1:9" hidden="1">
      <c r="A113" s="428" t="s">
        <v>6268</v>
      </c>
      <c r="B113" s="413" t="s">
        <v>123</v>
      </c>
      <c r="C113" s="384">
        <v>1</v>
      </c>
      <c r="D113" s="482" t="s">
        <v>2914</v>
      </c>
      <c r="E113" s="486" t="s">
        <v>5275</v>
      </c>
      <c r="F113" s="593" t="s">
        <v>2915</v>
      </c>
      <c r="G113" s="634" t="s">
        <v>6215</v>
      </c>
      <c r="H113" s="882"/>
      <c r="I113" s="1266"/>
    </row>
    <row r="114" spans="1:9" hidden="1">
      <c r="A114" s="428" t="s">
        <v>6268</v>
      </c>
      <c r="B114" s="413" t="s">
        <v>123</v>
      </c>
      <c r="C114" s="384">
        <v>1</v>
      </c>
      <c r="D114" s="482" t="s">
        <v>2916</v>
      </c>
      <c r="E114" s="486" t="s">
        <v>5276</v>
      </c>
      <c r="F114" s="593" t="s">
        <v>2917</v>
      </c>
      <c r="G114" s="634" t="s">
        <v>6215</v>
      </c>
      <c r="H114" s="882"/>
      <c r="I114" s="1266"/>
    </row>
    <row r="115" spans="1:9" hidden="1">
      <c r="A115" s="428" t="s">
        <v>6268</v>
      </c>
      <c r="B115" s="413" t="s">
        <v>123</v>
      </c>
      <c r="C115" s="384">
        <v>1</v>
      </c>
      <c r="D115" s="482" t="s">
        <v>2918</v>
      </c>
      <c r="E115" s="486" t="s">
        <v>5277</v>
      </c>
      <c r="F115" s="593" t="s">
        <v>2919</v>
      </c>
      <c r="G115" s="634" t="s">
        <v>6215</v>
      </c>
      <c r="H115" s="882"/>
      <c r="I115" s="1266"/>
    </row>
    <row r="116" spans="1:9" hidden="1">
      <c r="A116" s="428" t="s">
        <v>6268</v>
      </c>
      <c r="B116" s="413" t="s">
        <v>123</v>
      </c>
      <c r="C116" s="384">
        <v>1</v>
      </c>
      <c r="D116" s="482" t="s">
        <v>2920</v>
      </c>
      <c r="E116" s="486" t="s">
        <v>5278</v>
      </c>
      <c r="F116" s="593" t="s">
        <v>2921</v>
      </c>
      <c r="G116" s="634" t="s">
        <v>6215</v>
      </c>
      <c r="H116" s="882"/>
      <c r="I116" s="1266"/>
    </row>
    <row r="117" spans="1:9" hidden="1">
      <c r="A117" s="428" t="s">
        <v>6268</v>
      </c>
      <c r="B117" s="413" t="s">
        <v>123</v>
      </c>
      <c r="C117" s="384">
        <v>1</v>
      </c>
      <c r="D117" s="482" t="s">
        <v>2922</v>
      </c>
      <c r="E117" s="486" t="s">
        <v>5279</v>
      </c>
      <c r="F117" s="593" t="s">
        <v>2923</v>
      </c>
      <c r="G117" s="634" t="s">
        <v>6215</v>
      </c>
      <c r="H117" s="882"/>
      <c r="I117" s="1266"/>
    </row>
    <row r="118" spans="1:9" hidden="1">
      <c r="A118" s="428" t="s">
        <v>6268</v>
      </c>
      <c r="B118" s="413" t="s">
        <v>123</v>
      </c>
      <c r="C118" s="384">
        <v>1</v>
      </c>
      <c r="D118" s="482" t="s">
        <v>2924</v>
      </c>
      <c r="E118" s="486" t="s">
        <v>5280</v>
      </c>
      <c r="F118" s="593" t="s">
        <v>2925</v>
      </c>
      <c r="G118" s="634" t="s">
        <v>6215</v>
      </c>
      <c r="H118" s="882"/>
      <c r="I118" s="1266"/>
    </row>
    <row r="119" spans="1:9" hidden="1">
      <c r="A119" s="428" t="s">
        <v>6268</v>
      </c>
      <c r="B119" s="413" t="s">
        <v>123</v>
      </c>
      <c r="C119" s="384">
        <v>1</v>
      </c>
      <c r="D119" s="482" t="s">
        <v>2926</v>
      </c>
      <c r="E119" s="486" t="s">
        <v>5281</v>
      </c>
      <c r="F119" s="593" t="s">
        <v>2927</v>
      </c>
      <c r="G119" s="634" t="s">
        <v>6215</v>
      </c>
      <c r="H119" s="882"/>
      <c r="I119" s="1266"/>
    </row>
    <row r="120" spans="1:9" hidden="1">
      <c r="A120" s="428" t="s">
        <v>6268</v>
      </c>
      <c r="B120" s="413" t="s">
        <v>123</v>
      </c>
      <c r="C120" s="384">
        <v>1</v>
      </c>
      <c r="D120" s="482">
        <v>9</v>
      </c>
      <c r="E120" s="486" t="s">
        <v>5282</v>
      </c>
      <c r="F120" s="593" t="s">
        <v>2928</v>
      </c>
      <c r="G120" s="634" t="s">
        <v>6215</v>
      </c>
      <c r="H120" s="882"/>
      <c r="I120" s="1266"/>
    </row>
    <row r="121" spans="1:9" hidden="1">
      <c r="A121" s="428" t="s">
        <v>6268</v>
      </c>
      <c r="B121" s="413" t="s">
        <v>123</v>
      </c>
      <c r="C121" s="384">
        <v>1</v>
      </c>
      <c r="D121" s="482" t="s">
        <v>2929</v>
      </c>
      <c r="E121" s="486" t="s">
        <v>5283</v>
      </c>
      <c r="F121" s="593" t="s">
        <v>2930</v>
      </c>
      <c r="G121" s="634" t="s">
        <v>6215</v>
      </c>
      <c r="H121" s="882"/>
      <c r="I121" s="1266"/>
    </row>
    <row r="122" spans="1:9" hidden="1">
      <c r="A122" s="428" t="s">
        <v>6268</v>
      </c>
      <c r="B122" s="413" t="s">
        <v>123</v>
      </c>
      <c r="C122" s="384">
        <v>1</v>
      </c>
      <c r="D122" s="482" t="s">
        <v>2931</v>
      </c>
      <c r="E122" s="486" t="s">
        <v>5284</v>
      </c>
      <c r="F122" s="593" t="s">
        <v>2932</v>
      </c>
      <c r="G122" s="634" t="s">
        <v>6215</v>
      </c>
      <c r="H122" s="882"/>
      <c r="I122" s="1266"/>
    </row>
    <row r="123" spans="1:9" hidden="1">
      <c r="A123" s="428" t="s">
        <v>6268</v>
      </c>
      <c r="B123" s="413" t="s">
        <v>123</v>
      </c>
      <c r="C123" s="384">
        <v>1</v>
      </c>
      <c r="D123" s="482">
        <v>10</v>
      </c>
      <c r="E123" s="486" t="s">
        <v>5285</v>
      </c>
      <c r="F123" s="593" t="s">
        <v>2933</v>
      </c>
      <c r="G123" s="634" t="s">
        <v>6215</v>
      </c>
      <c r="H123" s="882"/>
      <c r="I123" s="1266"/>
    </row>
    <row r="124" spans="1:9" hidden="1">
      <c r="A124" s="428" t="s">
        <v>6268</v>
      </c>
      <c r="B124" s="413" t="s">
        <v>123</v>
      </c>
      <c r="C124" s="384">
        <v>1</v>
      </c>
      <c r="D124" s="482" t="s">
        <v>2934</v>
      </c>
      <c r="E124" s="486" t="s">
        <v>5286</v>
      </c>
      <c r="F124" s="593" t="s">
        <v>2935</v>
      </c>
      <c r="G124" s="634" t="s">
        <v>6215</v>
      </c>
      <c r="H124" s="882"/>
      <c r="I124" s="1266"/>
    </row>
    <row r="125" spans="1:9" hidden="1">
      <c r="A125" s="428" t="s">
        <v>6268</v>
      </c>
      <c r="B125" s="413" t="s">
        <v>123</v>
      </c>
      <c r="C125" s="384">
        <v>1</v>
      </c>
      <c r="D125" s="482" t="s">
        <v>2936</v>
      </c>
      <c r="E125" s="486" t="s">
        <v>5287</v>
      </c>
      <c r="F125" s="593" t="s">
        <v>2937</v>
      </c>
      <c r="G125" s="634" t="s">
        <v>6215</v>
      </c>
      <c r="H125" s="882"/>
      <c r="I125" s="1266"/>
    </row>
    <row r="126" spans="1:9" hidden="1">
      <c r="A126" s="428" t="s">
        <v>6268</v>
      </c>
      <c r="B126" s="413" t="s">
        <v>123</v>
      </c>
      <c r="C126" s="384">
        <v>1</v>
      </c>
      <c r="D126" s="482" t="s">
        <v>2938</v>
      </c>
      <c r="E126" s="486" t="s">
        <v>5288</v>
      </c>
      <c r="F126" s="593" t="s">
        <v>2939</v>
      </c>
      <c r="G126" s="634" t="s">
        <v>6215</v>
      </c>
      <c r="H126" s="882"/>
      <c r="I126" s="1266"/>
    </row>
    <row r="127" spans="1:9" hidden="1">
      <c r="A127" s="428" t="s">
        <v>6268</v>
      </c>
      <c r="B127" s="413" t="s">
        <v>123</v>
      </c>
      <c r="C127" s="384">
        <v>1</v>
      </c>
      <c r="D127" s="482" t="s">
        <v>2940</v>
      </c>
      <c r="E127" s="486" t="s">
        <v>5289</v>
      </c>
      <c r="F127" s="593" t="s">
        <v>2941</v>
      </c>
      <c r="G127" s="634" t="s">
        <v>6215</v>
      </c>
      <c r="H127" s="882"/>
      <c r="I127" s="1266"/>
    </row>
    <row r="128" spans="1:9" hidden="1">
      <c r="A128" s="428" t="s">
        <v>6268</v>
      </c>
      <c r="B128" s="413" t="s">
        <v>123</v>
      </c>
      <c r="C128" s="384">
        <v>1</v>
      </c>
      <c r="D128" s="482" t="s">
        <v>2942</v>
      </c>
      <c r="E128" s="486" t="s">
        <v>5290</v>
      </c>
      <c r="F128" s="593" t="s">
        <v>2943</v>
      </c>
      <c r="G128" s="634" t="s">
        <v>6215</v>
      </c>
      <c r="H128" s="882"/>
      <c r="I128" s="1266"/>
    </row>
    <row r="129" spans="1:9" hidden="1">
      <c r="A129" s="428" t="s">
        <v>6268</v>
      </c>
      <c r="B129" s="413" t="s">
        <v>123</v>
      </c>
      <c r="C129" s="384">
        <v>1</v>
      </c>
      <c r="D129" s="482" t="s">
        <v>2944</v>
      </c>
      <c r="E129" s="486" t="s">
        <v>5291</v>
      </c>
      <c r="F129" s="593" t="s">
        <v>2945</v>
      </c>
      <c r="G129" s="634" t="s">
        <v>6215</v>
      </c>
      <c r="H129" s="882"/>
      <c r="I129" s="1266"/>
    </row>
    <row r="130" spans="1:9" hidden="1">
      <c r="A130" s="428" t="s">
        <v>6268</v>
      </c>
      <c r="B130" s="413" t="s">
        <v>123</v>
      </c>
      <c r="C130" s="384">
        <v>1</v>
      </c>
      <c r="D130" s="482" t="s">
        <v>2946</v>
      </c>
      <c r="E130" s="486" t="s">
        <v>5292</v>
      </c>
      <c r="F130" s="593" t="s">
        <v>2947</v>
      </c>
      <c r="G130" s="634" t="s">
        <v>6215</v>
      </c>
      <c r="H130" s="882"/>
      <c r="I130" s="1266"/>
    </row>
    <row r="131" spans="1:9" hidden="1">
      <c r="A131" s="428" t="s">
        <v>6268</v>
      </c>
      <c r="B131" s="413" t="s">
        <v>123</v>
      </c>
      <c r="C131" s="384">
        <v>1</v>
      </c>
      <c r="D131" s="482" t="s">
        <v>2948</v>
      </c>
      <c r="E131" s="486" t="s">
        <v>5293</v>
      </c>
      <c r="F131" s="593" t="s">
        <v>2949</v>
      </c>
      <c r="G131" s="634" t="s">
        <v>6215</v>
      </c>
      <c r="H131" s="882"/>
      <c r="I131" s="1266"/>
    </row>
    <row r="132" spans="1:9" hidden="1">
      <c r="A132" s="428" t="s">
        <v>6268</v>
      </c>
      <c r="B132" s="413" t="s">
        <v>123</v>
      </c>
      <c r="C132" s="384">
        <v>1</v>
      </c>
      <c r="D132" s="482" t="s">
        <v>2950</v>
      </c>
      <c r="E132" s="486" t="s">
        <v>5294</v>
      </c>
      <c r="F132" s="593" t="s">
        <v>2951</v>
      </c>
      <c r="G132" s="634" t="s">
        <v>6215</v>
      </c>
      <c r="H132" s="882"/>
      <c r="I132" s="1266"/>
    </row>
    <row r="133" spans="1:9" hidden="1">
      <c r="A133" s="428" t="s">
        <v>6268</v>
      </c>
      <c r="B133" s="413" t="s">
        <v>123</v>
      </c>
      <c r="C133" s="384">
        <v>1</v>
      </c>
      <c r="D133" s="482" t="s">
        <v>2952</v>
      </c>
      <c r="E133" s="486" t="s">
        <v>5295</v>
      </c>
      <c r="F133" s="593" t="s">
        <v>2953</v>
      </c>
      <c r="G133" s="634" t="s">
        <v>6215</v>
      </c>
      <c r="H133" s="882"/>
      <c r="I133" s="1266"/>
    </row>
    <row r="134" spans="1:9" hidden="1">
      <c r="A134" s="428" t="s">
        <v>6268</v>
      </c>
      <c r="B134" s="413" t="s">
        <v>123</v>
      </c>
      <c r="C134" s="384">
        <v>1</v>
      </c>
      <c r="D134" s="482" t="s">
        <v>2954</v>
      </c>
      <c r="E134" s="486" t="s">
        <v>5296</v>
      </c>
      <c r="F134" s="593" t="s">
        <v>2955</v>
      </c>
      <c r="G134" s="634" t="s">
        <v>6215</v>
      </c>
      <c r="H134" s="882"/>
      <c r="I134" s="1266"/>
    </row>
    <row r="135" spans="1:9" hidden="1">
      <c r="A135" s="428" t="s">
        <v>6268</v>
      </c>
      <c r="B135" s="413" t="s">
        <v>123</v>
      </c>
      <c r="C135" s="384">
        <v>1</v>
      </c>
      <c r="D135" s="482" t="s">
        <v>2956</v>
      </c>
      <c r="E135" s="486" t="s">
        <v>5297</v>
      </c>
      <c r="F135" s="593" t="s">
        <v>2957</v>
      </c>
      <c r="G135" s="634" t="s">
        <v>6215</v>
      </c>
      <c r="H135" s="882"/>
      <c r="I135" s="1266"/>
    </row>
    <row r="136" spans="1:9" hidden="1">
      <c r="A136" s="428" t="s">
        <v>6268</v>
      </c>
      <c r="B136" s="413" t="s">
        <v>123</v>
      </c>
      <c r="C136" s="384">
        <v>1</v>
      </c>
      <c r="D136" s="482" t="s">
        <v>2958</v>
      </c>
      <c r="E136" s="486" t="s">
        <v>5298</v>
      </c>
      <c r="F136" s="593" t="s">
        <v>2959</v>
      </c>
      <c r="G136" s="634" t="s">
        <v>6215</v>
      </c>
      <c r="H136" s="882"/>
      <c r="I136" s="1266"/>
    </row>
    <row r="137" spans="1:9" hidden="1">
      <c r="A137" s="428" t="s">
        <v>6268</v>
      </c>
      <c r="B137" s="413" t="s">
        <v>123</v>
      </c>
      <c r="C137" s="384">
        <v>1</v>
      </c>
      <c r="D137" s="482" t="s">
        <v>2960</v>
      </c>
      <c r="E137" s="486" t="s">
        <v>5299</v>
      </c>
      <c r="F137" s="593" t="s">
        <v>2961</v>
      </c>
      <c r="G137" s="634" t="s">
        <v>6215</v>
      </c>
      <c r="H137" s="882"/>
      <c r="I137" s="1266"/>
    </row>
    <row r="138" spans="1:9" hidden="1">
      <c r="A138" s="428" t="s">
        <v>6268</v>
      </c>
      <c r="B138" s="413" t="s">
        <v>123</v>
      </c>
      <c r="C138" s="384">
        <v>1</v>
      </c>
      <c r="D138" s="482" t="s">
        <v>2962</v>
      </c>
      <c r="E138" s="486" t="s">
        <v>5300</v>
      </c>
      <c r="F138" s="593" t="s">
        <v>2963</v>
      </c>
      <c r="G138" s="634" t="s">
        <v>6215</v>
      </c>
      <c r="H138" s="882"/>
      <c r="I138" s="1266"/>
    </row>
    <row r="139" spans="1:9" hidden="1">
      <c r="A139" s="428" t="s">
        <v>6268</v>
      </c>
      <c r="B139" s="413" t="s">
        <v>123</v>
      </c>
      <c r="C139" s="384">
        <v>1</v>
      </c>
      <c r="D139" s="482" t="s">
        <v>2964</v>
      </c>
      <c r="E139" s="486" t="s">
        <v>5301</v>
      </c>
      <c r="F139" s="593" t="s">
        <v>2965</v>
      </c>
      <c r="G139" s="634" t="s">
        <v>6215</v>
      </c>
      <c r="H139" s="882"/>
      <c r="I139" s="1266"/>
    </row>
    <row r="140" spans="1:9" hidden="1">
      <c r="A140" s="428" t="s">
        <v>6268</v>
      </c>
      <c r="B140" s="413" t="s">
        <v>123</v>
      </c>
      <c r="C140" s="384">
        <v>1</v>
      </c>
      <c r="D140" s="482" t="s">
        <v>2966</v>
      </c>
      <c r="E140" s="486" t="s">
        <v>5302</v>
      </c>
      <c r="F140" s="593" t="s">
        <v>2967</v>
      </c>
      <c r="G140" s="634" t="s">
        <v>6215</v>
      </c>
      <c r="H140" s="882"/>
      <c r="I140" s="1266"/>
    </row>
    <row r="141" spans="1:9" hidden="1">
      <c r="A141" s="428" t="s">
        <v>6268</v>
      </c>
      <c r="B141" s="413" t="s">
        <v>123</v>
      </c>
      <c r="C141" s="384">
        <v>1</v>
      </c>
      <c r="D141" s="482" t="s">
        <v>2968</v>
      </c>
      <c r="E141" s="486" t="s">
        <v>5303</v>
      </c>
      <c r="F141" s="593" t="s">
        <v>2969</v>
      </c>
      <c r="G141" s="634" t="s">
        <v>6215</v>
      </c>
      <c r="H141" s="882"/>
      <c r="I141" s="1266"/>
    </row>
    <row r="142" spans="1:9" hidden="1">
      <c r="A142" s="428" t="s">
        <v>6268</v>
      </c>
      <c r="B142" s="413" t="s">
        <v>123</v>
      </c>
      <c r="C142" s="384">
        <v>1</v>
      </c>
      <c r="D142" s="482" t="s">
        <v>2970</v>
      </c>
      <c r="E142" s="486" t="s">
        <v>5304</v>
      </c>
      <c r="F142" s="593" t="s">
        <v>2971</v>
      </c>
      <c r="G142" s="634" t="s">
        <v>6215</v>
      </c>
      <c r="H142" s="882"/>
      <c r="I142" s="1266"/>
    </row>
    <row r="143" spans="1:9" hidden="1">
      <c r="A143" s="428" t="s">
        <v>6268</v>
      </c>
      <c r="B143" s="413" t="s">
        <v>123</v>
      </c>
      <c r="C143" s="384">
        <v>1</v>
      </c>
      <c r="D143" s="482" t="s">
        <v>2972</v>
      </c>
      <c r="E143" s="486" t="s">
        <v>5305</v>
      </c>
      <c r="F143" s="593" t="s">
        <v>2973</v>
      </c>
      <c r="G143" s="634" t="s">
        <v>6215</v>
      </c>
      <c r="H143" s="882"/>
      <c r="I143" s="1266"/>
    </row>
    <row r="144" spans="1:9" hidden="1">
      <c r="A144" s="428" t="s">
        <v>6268</v>
      </c>
      <c r="B144" s="413" t="s">
        <v>123</v>
      </c>
      <c r="C144" s="384">
        <v>1</v>
      </c>
      <c r="D144" s="482" t="s">
        <v>2974</v>
      </c>
      <c r="E144" s="486" t="s">
        <v>5306</v>
      </c>
      <c r="F144" s="593" t="s">
        <v>2975</v>
      </c>
      <c r="G144" s="634" t="s">
        <v>6215</v>
      </c>
      <c r="H144" s="882"/>
      <c r="I144" s="1266"/>
    </row>
    <row r="145" spans="1:9" hidden="1">
      <c r="A145" s="428" t="s">
        <v>6268</v>
      </c>
      <c r="B145" s="413" t="s">
        <v>123</v>
      </c>
      <c r="C145" s="384">
        <v>1</v>
      </c>
      <c r="D145" s="482" t="s">
        <v>2976</v>
      </c>
      <c r="E145" s="486" t="s">
        <v>5307</v>
      </c>
      <c r="F145" s="593" t="s">
        <v>2977</v>
      </c>
      <c r="G145" s="634" t="s">
        <v>6215</v>
      </c>
      <c r="H145" s="882"/>
      <c r="I145" s="1266"/>
    </row>
    <row r="146" spans="1:9" hidden="1">
      <c r="A146" s="428" t="s">
        <v>6268</v>
      </c>
      <c r="B146" s="413" t="s">
        <v>123</v>
      </c>
      <c r="C146" s="384">
        <v>1</v>
      </c>
      <c r="D146" s="482" t="s">
        <v>2978</v>
      </c>
      <c r="E146" s="486" t="s">
        <v>5308</v>
      </c>
      <c r="F146" s="593" t="s">
        <v>2979</v>
      </c>
      <c r="G146" s="634" t="s">
        <v>6215</v>
      </c>
      <c r="H146" s="882"/>
      <c r="I146" s="1266"/>
    </row>
    <row r="147" spans="1:9" hidden="1">
      <c r="A147" s="428" t="s">
        <v>6268</v>
      </c>
      <c r="B147" s="413" t="s">
        <v>123</v>
      </c>
      <c r="C147" s="384">
        <v>1</v>
      </c>
      <c r="D147" s="482" t="s">
        <v>2980</v>
      </c>
      <c r="E147" s="486" t="s">
        <v>5309</v>
      </c>
      <c r="F147" s="593" t="s">
        <v>2981</v>
      </c>
      <c r="G147" s="634" t="s">
        <v>6215</v>
      </c>
      <c r="H147" s="882"/>
      <c r="I147" s="1266"/>
    </row>
    <row r="148" spans="1:9" hidden="1">
      <c r="A148" s="428" t="s">
        <v>6268</v>
      </c>
      <c r="B148" s="413" t="s">
        <v>123</v>
      </c>
      <c r="C148" s="384">
        <v>1</v>
      </c>
      <c r="D148" s="482" t="s">
        <v>2982</v>
      </c>
      <c r="E148" s="486" t="s">
        <v>5310</v>
      </c>
      <c r="F148" s="593" t="s">
        <v>2983</v>
      </c>
      <c r="G148" s="634" t="s">
        <v>6215</v>
      </c>
      <c r="H148" s="882"/>
      <c r="I148" s="1266"/>
    </row>
    <row r="149" spans="1:9" hidden="1">
      <c r="A149" s="428" t="s">
        <v>6268</v>
      </c>
      <c r="B149" s="413" t="s">
        <v>123</v>
      </c>
      <c r="C149" s="384">
        <v>1</v>
      </c>
      <c r="D149" s="482" t="s">
        <v>2984</v>
      </c>
      <c r="E149" s="486" t="s">
        <v>5311</v>
      </c>
      <c r="F149" s="593" t="s">
        <v>2985</v>
      </c>
      <c r="G149" s="634" t="s">
        <v>6215</v>
      </c>
      <c r="H149" s="882"/>
      <c r="I149" s="1266"/>
    </row>
    <row r="150" spans="1:9" hidden="1">
      <c r="A150" s="428" t="s">
        <v>6268</v>
      </c>
      <c r="B150" s="413" t="s">
        <v>123</v>
      </c>
      <c r="C150" s="384">
        <v>1</v>
      </c>
      <c r="D150" s="482" t="s">
        <v>2986</v>
      </c>
      <c r="E150" s="486" t="s">
        <v>5312</v>
      </c>
      <c r="F150" s="593" t="s">
        <v>2987</v>
      </c>
      <c r="G150" s="634" t="s">
        <v>6215</v>
      </c>
      <c r="H150" s="882"/>
      <c r="I150" s="1266"/>
    </row>
    <row r="151" spans="1:9" hidden="1">
      <c r="A151" s="428" t="s">
        <v>6268</v>
      </c>
      <c r="B151" s="413" t="s">
        <v>123</v>
      </c>
      <c r="C151" s="384">
        <v>1</v>
      </c>
      <c r="D151" s="482" t="s">
        <v>2988</v>
      </c>
      <c r="E151" s="486" t="s">
        <v>5313</v>
      </c>
      <c r="F151" s="593" t="s">
        <v>2989</v>
      </c>
      <c r="G151" s="634" t="s">
        <v>6215</v>
      </c>
      <c r="H151" s="882"/>
      <c r="I151" s="1266"/>
    </row>
    <row r="152" spans="1:9" hidden="1">
      <c r="A152" s="428" t="s">
        <v>6268</v>
      </c>
      <c r="B152" s="413" t="s">
        <v>123</v>
      </c>
      <c r="C152" s="384">
        <v>1</v>
      </c>
      <c r="D152" s="482" t="s">
        <v>2990</v>
      </c>
      <c r="E152" s="486" t="s">
        <v>5314</v>
      </c>
      <c r="F152" s="593" t="s">
        <v>2991</v>
      </c>
      <c r="G152" s="634" t="s">
        <v>6215</v>
      </c>
      <c r="H152" s="882"/>
      <c r="I152" s="1266"/>
    </row>
    <row r="153" spans="1:9" hidden="1">
      <c r="A153" s="428" t="s">
        <v>6268</v>
      </c>
      <c r="B153" s="413" t="s">
        <v>123</v>
      </c>
      <c r="C153" s="384">
        <v>1</v>
      </c>
      <c r="D153" s="482" t="s">
        <v>2992</v>
      </c>
      <c r="E153" s="486" t="s">
        <v>5315</v>
      </c>
      <c r="F153" s="593" t="s">
        <v>2993</v>
      </c>
      <c r="G153" s="634" t="s">
        <v>6215</v>
      </c>
      <c r="H153" s="882"/>
      <c r="I153" s="1266"/>
    </row>
    <row r="154" spans="1:9" hidden="1">
      <c r="A154" s="428" t="s">
        <v>6268</v>
      </c>
      <c r="B154" s="413" t="s">
        <v>123</v>
      </c>
      <c r="C154" s="384">
        <v>1</v>
      </c>
      <c r="D154" s="482" t="s">
        <v>2994</v>
      </c>
      <c r="E154" s="486" t="s">
        <v>5316</v>
      </c>
      <c r="F154" s="593" t="s">
        <v>2995</v>
      </c>
      <c r="G154" s="634" t="s">
        <v>6215</v>
      </c>
      <c r="H154" s="882"/>
      <c r="I154" s="1266"/>
    </row>
    <row r="155" spans="1:9" hidden="1">
      <c r="A155" s="428" t="s">
        <v>6268</v>
      </c>
      <c r="B155" s="413" t="s">
        <v>123</v>
      </c>
      <c r="C155" s="384">
        <v>1</v>
      </c>
      <c r="D155" s="482" t="s">
        <v>2996</v>
      </c>
      <c r="E155" s="486" t="s">
        <v>5317</v>
      </c>
      <c r="F155" s="593" t="s">
        <v>2997</v>
      </c>
      <c r="G155" s="634" t="s">
        <v>6215</v>
      </c>
      <c r="H155" s="882"/>
      <c r="I155" s="1266"/>
    </row>
    <row r="156" spans="1:9" hidden="1">
      <c r="A156" s="428" t="s">
        <v>6268</v>
      </c>
      <c r="B156" s="413" t="s">
        <v>123</v>
      </c>
      <c r="C156" s="384">
        <v>1</v>
      </c>
      <c r="D156" s="482" t="s">
        <v>2998</v>
      </c>
      <c r="E156" s="486" t="s">
        <v>5318</v>
      </c>
      <c r="F156" s="593" t="s">
        <v>2999</v>
      </c>
      <c r="G156" s="634" t="s">
        <v>6215</v>
      </c>
      <c r="H156" s="882"/>
      <c r="I156" s="1266"/>
    </row>
    <row r="157" spans="1:9" hidden="1">
      <c r="A157" s="428" t="s">
        <v>6268</v>
      </c>
      <c r="B157" s="413" t="s">
        <v>123</v>
      </c>
      <c r="C157" s="384">
        <v>1</v>
      </c>
      <c r="D157" s="482">
        <v>11</v>
      </c>
      <c r="E157" s="486" t="s">
        <v>5319</v>
      </c>
      <c r="F157" s="593" t="s">
        <v>3000</v>
      </c>
      <c r="G157" s="634" t="s">
        <v>6215</v>
      </c>
      <c r="H157" s="882"/>
      <c r="I157" s="1266"/>
    </row>
    <row r="158" spans="1:9" hidden="1">
      <c r="A158" s="428" t="s">
        <v>6268</v>
      </c>
      <c r="B158" s="413" t="s">
        <v>123</v>
      </c>
      <c r="C158" s="384">
        <v>1</v>
      </c>
      <c r="D158" s="482" t="s">
        <v>3001</v>
      </c>
      <c r="E158" s="486" t="s">
        <v>5320</v>
      </c>
      <c r="F158" s="593" t="s">
        <v>3002</v>
      </c>
      <c r="G158" s="634" t="s">
        <v>6215</v>
      </c>
      <c r="H158" s="882"/>
      <c r="I158" s="1266"/>
    </row>
    <row r="159" spans="1:9" hidden="1">
      <c r="A159" s="428" t="s">
        <v>6268</v>
      </c>
      <c r="B159" s="413" t="s">
        <v>123</v>
      </c>
      <c r="C159" s="384">
        <v>1</v>
      </c>
      <c r="D159" s="482" t="s">
        <v>3003</v>
      </c>
      <c r="E159" s="486" t="s">
        <v>5321</v>
      </c>
      <c r="F159" s="593" t="s">
        <v>3004</v>
      </c>
      <c r="G159" s="634" t="s">
        <v>6215</v>
      </c>
      <c r="H159" s="882"/>
      <c r="I159" s="1266"/>
    </row>
    <row r="160" spans="1:9" hidden="1">
      <c r="A160" s="428" t="s">
        <v>6268</v>
      </c>
      <c r="B160" s="413" t="s">
        <v>123</v>
      </c>
      <c r="C160" s="384">
        <v>1</v>
      </c>
      <c r="D160" s="482" t="s">
        <v>3005</v>
      </c>
      <c r="E160" s="486" t="s">
        <v>5322</v>
      </c>
      <c r="F160" s="593" t="s">
        <v>3006</v>
      </c>
      <c r="G160" s="634" t="s">
        <v>6215</v>
      </c>
      <c r="H160" s="882"/>
      <c r="I160" s="1266"/>
    </row>
    <row r="161" spans="1:9" hidden="1">
      <c r="A161" s="428" t="s">
        <v>6268</v>
      </c>
      <c r="B161" s="413" t="s">
        <v>123</v>
      </c>
      <c r="C161" s="384">
        <v>1</v>
      </c>
      <c r="D161" s="482" t="s">
        <v>3007</v>
      </c>
      <c r="E161" s="486" t="s">
        <v>5323</v>
      </c>
      <c r="F161" s="593" t="s">
        <v>3008</v>
      </c>
      <c r="G161" s="634" t="s">
        <v>6215</v>
      </c>
      <c r="H161" s="882"/>
      <c r="I161" s="1266"/>
    </row>
    <row r="162" spans="1:9" hidden="1">
      <c r="A162" s="428" t="s">
        <v>6268</v>
      </c>
      <c r="B162" s="413" t="s">
        <v>123</v>
      </c>
      <c r="C162" s="384">
        <v>1</v>
      </c>
      <c r="D162" s="482" t="s">
        <v>3009</v>
      </c>
      <c r="E162" s="486" t="s">
        <v>5324</v>
      </c>
      <c r="F162" s="593" t="s">
        <v>3010</v>
      </c>
      <c r="G162" s="634" t="s">
        <v>6215</v>
      </c>
      <c r="H162" s="882"/>
      <c r="I162" s="1266"/>
    </row>
    <row r="163" spans="1:9" hidden="1">
      <c r="A163" s="428" t="s">
        <v>6268</v>
      </c>
      <c r="B163" s="413" t="s">
        <v>123</v>
      </c>
      <c r="C163" s="384">
        <v>1</v>
      </c>
      <c r="D163" s="482" t="s">
        <v>3011</v>
      </c>
      <c r="E163" s="486" t="s">
        <v>5325</v>
      </c>
      <c r="F163" s="593" t="s">
        <v>3012</v>
      </c>
      <c r="G163" s="634" t="s">
        <v>6215</v>
      </c>
      <c r="H163" s="882"/>
      <c r="I163" s="1266"/>
    </row>
    <row r="164" spans="1:9" hidden="1">
      <c r="A164" s="428" t="s">
        <v>6268</v>
      </c>
      <c r="B164" s="413" t="s">
        <v>123</v>
      </c>
      <c r="C164" s="384">
        <v>1</v>
      </c>
      <c r="D164" s="482" t="s">
        <v>3013</v>
      </c>
      <c r="E164" s="486" t="s">
        <v>5326</v>
      </c>
      <c r="F164" s="593" t="s">
        <v>3014</v>
      </c>
      <c r="G164" s="634" t="s">
        <v>6215</v>
      </c>
      <c r="H164" s="882"/>
      <c r="I164" s="1266"/>
    </row>
    <row r="165" spans="1:9" hidden="1">
      <c r="A165" s="428" t="s">
        <v>6268</v>
      </c>
      <c r="B165" s="413" t="s">
        <v>123</v>
      </c>
      <c r="C165" s="384">
        <v>1</v>
      </c>
      <c r="D165" s="482">
        <v>12</v>
      </c>
      <c r="E165" s="486" t="s">
        <v>5327</v>
      </c>
      <c r="F165" s="593" t="s">
        <v>3015</v>
      </c>
      <c r="G165" s="634" t="s">
        <v>6215</v>
      </c>
      <c r="H165" s="882"/>
      <c r="I165" s="1266"/>
    </row>
    <row r="166" spans="1:9" hidden="1">
      <c r="A166" s="428" t="s">
        <v>6268</v>
      </c>
      <c r="B166" s="413" t="s">
        <v>123</v>
      </c>
      <c r="C166" s="384">
        <v>1</v>
      </c>
      <c r="D166" s="482">
        <v>13</v>
      </c>
      <c r="E166" s="486" t="s">
        <v>5328</v>
      </c>
      <c r="F166" s="593" t="s">
        <v>3016</v>
      </c>
      <c r="G166" s="634" t="s">
        <v>6215</v>
      </c>
      <c r="H166" s="882"/>
      <c r="I166" s="1266"/>
    </row>
    <row r="167" spans="1:9" hidden="1">
      <c r="A167" s="428" t="s">
        <v>6268</v>
      </c>
      <c r="B167" s="413" t="s">
        <v>123</v>
      </c>
      <c r="C167" s="384">
        <v>1</v>
      </c>
      <c r="D167" s="482" t="s">
        <v>3017</v>
      </c>
      <c r="E167" s="486" t="s">
        <v>5329</v>
      </c>
      <c r="F167" s="593" t="s">
        <v>3018</v>
      </c>
      <c r="G167" s="634" t="s">
        <v>6215</v>
      </c>
      <c r="H167" s="882"/>
      <c r="I167" s="1266"/>
    </row>
    <row r="168" spans="1:9" hidden="1">
      <c r="A168" s="428" t="s">
        <v>6268</v>
      </c>
      <c r="B168" s="413" t="s">
        <v>123</v>
      </c>
      <c r="C168" s="384">
        <v>1</v>
      </c>
      <c r="D168" s="482" t="s">
        <v>3019</v>
      </c>
      <c r="E168" s="486" t="s">
        <v>5330</v>
      </c>
      <c r="F168" s="593" t="s">
        <v>3020</v>
      </c>
      <c r="G168" s="634" t="s">
        <v>6215</v>
      </c>
      <c r="H168" s="882"/>
      <c r="I168" s="1266"/>
    </row>
    <row r="169" spans="1:9" hidden="1">
      <c r="A169" s="428" t="s">
        <v>6268</v>
      </c>
      <c r="B169" s="413" t="s">
        <v>123</v>
      </c>
      <c r="C169" s="384">
        <v>1</v>
      </c>
      <c r="D169" s="482" t="s">
        <v>3021</v>
      </c>
      <c r="E169" s="486" t="s">
        <v>5331</v>
      </c>
      <c r="F169" s="593" t="s">
        <v>3022</v>
      </c>
      <c r="G169" s="634" t="s">
        <v>6215</v>
      </c>
      <c r="H169" s="882"/>
      <c r="I169" s="1266"/>
    </row>
    <row r="170" spans="1:9" hidden="1">
      <c r="A170" s="428" t="s">
        <v>6268</v>
      </c>
      <c r="B170" s="413" t="s">
        <v>123</v>
      </c>
      <c r="C170" s="384">
        <v>1</v>
      </c>
      <c r="D170" s="482" t="s">
        <v>3023</v>
      </c>
      <c r="E170" s="486" t="s">
        <v>5332</v>
      </c>
      <c r="F170" s="593" t="s">
        <v>3024</v>
      </c>
      <c r="G170" s="634" t="s">
        <v>6215</v>
      </c>
      <c r="H170" s="882"/>
      <c r="I170" s="1266"/>
    </row>
    <row r="171" spans="1:9" hidden="1">
      <c r="A171" s="428" t="s">
        <v>6268</v>
      </c>
      <c r="B171" s="413" t="s">
        <v>123</v>
      </c>
      <c r="C171" s="384">
        <v>1</v>
      </c>
      <c r="D171" s="482" t="s">
        <v>3025</v>
      </c>
      <c r="E171" s="486" t="s">
        <v>5333</v>
      </c>
      <c r="F171" s="593" t="s">
        <v>3026</v>
      </c>
      <c r="G171" s="634" t="s">
        <v>6215</v>
      </c>
      <c r="H171" s="882"/>
      <c r="I171" s="1266"/>
    </row>
    <row r="172" spans="1:9" hidden="1">
      <c r="A172" s="428" t="s">
        <v>6268</v>
      </c>
      <c r="B172" s="413" t="s">
        <v>123</v>
      </c>
      <c r="C172" s="384">
        <v>1</v>
      </c>
      <c r="D172" s="482" t="s">
        <v>3027</v>
      </c>
      <c r="E172" s="486" t="s">
        <v>5334</v>
      </c>
      <c r="F172" s="593" t="s">
        <v>3028</v>
      </c>
      <c r="G172" s="634" t="s">
        <v>6215</v>
      </c>
      <c r="H172" s="882"/>
      <c r="I172" s="1266"/>
    </row>
    <row r="173" spans="1:9" hidden="1">
      <c r="A173" s="428" t="s">
        <v>6268</v>
      </c>
      <c r="B173" s="413" t="s">
        <v>123</v>
      </c>
      <c r="C173" s="384">
        <v>1</v>
      </c>
      <c r="D173" s="482" t="s">
        <v>3029</v>
      </c>
      <c r="E173" s="486" t="s">
        <v>5335</v>
      </c>
      <c r="F173" s="593" t="s">
        <v>3030</v>
      </c>
      <c r="G173" s="634" t="s">
        <v>6215</v>
      </c>
      <c r="H173" s="882"/>
      <c r="I173" s="1266"/>
    </row>
    <row r="174" spans="1:9" hidden="1">
      <c r="A174" s="428" t="s">
        <v>6268</v>
      </c>
      <c r="B174" s="413" t="s">
        <v>123</v>
      </c>
      <c r="C174" s="384">
        <v>1</v>
      </c>
      <c r="D174" s="482" t="s">
        <v>3031</v>
      </c>
      <c r="E174" s="486" t="s">
        <v>5336</v>
      </c>
      <c r="F174" s="593" t="s">
        <v>3032</v>
      </c>
      <c r="G174" s="634" t="s">
        <v>6215</v>
      </c>
      <c r="H174" s="882"/>
      <c r="I174" s="1266"/>
    </row>
    <row r="175" spans="1:9" hidden="1">
      <c r="A175" s="428" t="s">
        <v>6268</v>
      </c>
      <c r="B175" s="413" t="s">
        <v>123</v>
      </c>
      <c r="C175" s="384">
        <v>1</v>
      </c>
      <c r="D175" s="482" t="s">
        <v>3033</v>
      </c>
      <c r="E175" s="486" t="s">
        <v>5337</v>
      </c>
      <c r="F175" s="593" t="s">
        <v>3034</v>
      </c>
      <c r="G175" s="634" t="s">
        <v>6215</v>
      </c>
      <c r="H175" s="882"/>
      <c r="I175" s="1266"/>
    </row>
    <row r="176" spans="1:9" hidden="1">
      <c r="A176" s="428" t="s">
        <v>6268</v>
      </c>
      <c r="B176" s="413" t="s">
        <v>123</v>
      </c>
      <c r="C176" s="384">
        <v>1</v>
      </c>
      <c r="D176" s="482" t="s">
        <v>3035</v>
      </c>
      <c r="E176" s="486" t="s">
        <v>5338</v>
      </c>
      <c r="F176" s="593" t="s">
        <v>3036</v>
      </c>
      <c r="G176" s="634" t="s">
        <v>6215</v>
      </c>
      <c r="H176" s="882"/>
      <c r="I176" s="1266"/>
    </row>
    <row r="177" spans="1:9" hidden="1">
      <c r="A177" s="428" t="s">
        <v>6268</v>
      </c>
      <c r="B177" s="413" t="s">
        <v>123</v>
      </c>
      <c r="C177" s="384">
        <v>1</v>
      </c>
      <c r="D177" s="482" t="s">
        <v>3037</v>
      </c>
      <c r="E177" s="486" t="s">
        <v>5339</v>
      </c>
      <c r="F177" s="593" t="s">
        <v>3038</v>
      </c>
      <c r="G177" s="634" t="s">
        <v>6215</v>
      </c>
      <c r="H177" s="882"/>
      <c r="I177" s="1266"/>
    </row>
    <row r="178" spans="1:9" hidden="1">
      <c r="A178" s="428" t="s">
        <v>6268</v>
      </c>
      <c r="B178" s="413" t="s">
        <v>123</v>
      </c>
      <c r="C178" s="384">
        <v>1</v>
      </c>
      <c r="D178" s="482">
        <v>14</v>
      </c>
      <c r="E178" s="486" t="s">
        <v>5340</v>
      </c>
      <c r="F178" s="593" t="s">
        <v>3039</v>
      </c>
      <c r="G178" s="634" t="s">
        <v>6215</v>
      </c>
      <c r="H178" s="882"/>
      <c r="I178" s="1266"/>
    </row>
    <row r="179" spans="1:9" hidden="1">
      <c r="A179" s="428" t="s">
        <v>6268</v>
      </c>
      <c r="B179" s="413" t="s">
        <v>123</v>
      </c>
      <c r="C179" s="384">
        <v>1</v>
      </c>
      <c r="D179" s="482" t="s">
        <v>3040</v>
      </c>
      <c r="E179" s="486" t="s">
        <v>5341</v>
      </c>
      <c r="F179" s="593" t="s">
        <v>3041</v>
      </c>
      <c r="G179" s="634" t="s">
        <v>6215</v>
      </c>
      <c r="H179" s="882"/>
      <c r="I179" s="1266"/>
    </row>
    <row r="180" spans="1:9" hidden="1">
      <c r="A180" s="428" t="s">
        <v>6268</v>
      </c>
      <c r="B180" s="413" t="s">
        <v>123</v>
      </c>
      <c r="C180" s="384">
        <v>1</v>
      </c>
      <c r="D180" s="482" t="s">
        <v>3042</v>
      </c>
      <c r="E180" s="486" t="s">
        <v>5342</v>
      </c>
      <c r="F180" s="593" t="s">
        <v>3043</v>
      </c>
      <c r="G180" s="634" t="s">
        <v>6215</v>
      </c>
      <c r="H180" s="882"/>
      <c r="I180" s="1266"/>
    </row>
    <row r="181" spans="1:9" hidden="1">
      <c r="A181" s="428" t="s">
        <v>6268</v>
      </c>
      <c r="B181" s="413" t="s">
        <v>123</v>
      </c>
      <c r="C181" s="384">
        <v>1</v>
      </c>
      <c r="D181" s="482" t="s">
        <v>3044</v>
      </c>
      <c r="E181" s="486" t="s">
        <v>5343</v>
      </c>
      <c r="F181" s="593" t="s">
        <v>3045</v>
      </c>
      <c r="G181" s="634" t="s">
        <v>6215</v>
      </c>
      <c r="H181" s="882"/>
      <c r="I181" s="1266"/>
    </row>
    <row r="182" spans="1:9" hidden="1">
      <c r="A182" s="428" t="s">
        <v>6268</v>
      </c>
      <c r="B182" s="413" t="s">
        <v>123</v>
      </c>
      <c r="C182" s="384">
        <v>1</v>
      </c>
      <c r="D182" s="482" t="s">
        <v>3046</v>
      </c>
      <c r="E182" s="486" t="s">
        <v>5344</v>
      </c>
      <c r="F182" s="593" t="s">
        <v>3047</v>
      </c>
      <c r="G182" s="634" t="s">
        <v>6215</v>
      </c>
      <c r="H182" s="882"/>
      <c r="I182" s="1266"/>
    </row>
    <row r="183" spans="1:9" hidden="1">
      <c r="A183" s="428" t="s">
        <v>6268</v>
      </c>
      <c r="B183" s="413" t="s">
        <v>123</v>
      </c>
      <c r="C183" s="384">
        <v>1</v>
      </c>
      <c r="D183" s="482" t="s">
        <v>3048</v>
      </c>
      <c r="E183" s="486" t="s">
        <v>5345</v>
      </c>
      <c r="F183" s="593" t="s">
        <v>3049</v>
      </c>
      <c r="G183" s="634" t="s">
        <v>6215</v>
      </c>
      <c r="H183" s="882"/>
      <c r="I183" s="1266"/>
    </row>
    <row r="184" spans="1:9" hidden="1">
      <c r="A184" s="428" t="s">
        <v>6268</v>
      </c>
      <c r="B184" s="413" t="s">
        <v>123</v>
      </c>
      <c r="C184" s="384">
        <v>1</v>
      </c>
      <c r="D184" s="482" t="s">
        <v>3050</v>
      </c>
      <c r="E184" s="486" t="s">
        <v>5346</v>
      </c>
      <c r="F184" s="593" t="s">
        <v>3051</v>
      </c>
      <c r="G184" s="634" t="s">
        <v>6215</v>
      </c>
      <c r="H184" s="882"/>
      <c r="I184" s="1266"/>
    </row>
    <row r="185" spans="1:9" hidden="1">
      <c r="A185" s="428" t="s">
        <v>6268</v>
      </c>
      <c r="B185" s="413" t="s">
        <v>123</v>
      </c>
      <c r="C185" s="384">
        <v>1</v>
      </c>
      <c r="D185" s="482" t="s">
        <v>3052</v>
      </c>
      <c r="E185" s="486" t="s">
        <v>5347</v>
      </c>
      <c r="F185" s="593" t="s">
        <v>3053</v>
      </c>
      <c r="G185" s="634" t="s">
        <v>6215</v>
      </c>
      <c r="H185" s="882"/>
      <c r="I185" s="1266"/>
    </row>
    <row r="186" spans="1:9" hidden="1">
      <c r="A186" s="428" t="s">
        <v>6268</v>
      </c>
      <c r="B186" s="413" t="s">
        <v>123</v>
      </c>
      <c r="C186" s="384">
        <v>1</v>
      </c>
      <c r="D186" s="482" t="s">
        <v>3054</v>
      </c>
      <c r="E186" s="486" t="s">
        <v>5348</v>
      </c>
      <c r="F186" s="593" t="s">
        <v>3055</v>
      </c>
      <c r="G186" s="634" t="s">
        <v>6215</v>
      </c>
      <c r="H186" s="882"/>
      <c r="I186" s="1266"/>
    </row>
    <row r="187" spans="1:9" hidden="1">
      <c r="A187" s="428" t="s">
        <v>6268</v>
      </c>
      <c r="B187" s="413" t="s">
        <v>123</v>
      </c>
      <c r="C187" s="384">
        <v>1</v>
      </c>
      <c r="D187" s="482" t="s">
        <v>3056</v>
      </c>
      <c r="E187" s="486" t="s">
        <v>5349</v>
      </c>
      <c r="F187" s="593" t="s">
        <v>3057</v>
      </c>
      <c r="G187" s="634" t="s">
        <v>6215</v>
      </c>
      <c r="H187" s="882"/>
      <c r="I187" s="1266"/>
    </row>
    <row r="188" spans="1:9" hidden="1">
      <c r="A188" s="428" t="s">
        <v>6268</v>
      </c>
      <c r="B188" s="413" t="s">
        <v>123</v>
      </c>
      <c r="C188" s="384">
        <v>1</v>
      </c>
      <c r="D188" s="482" t="s">
        <v>3058</v>
      </c>
      <c r="E188" s="486" t="s">
        <v>5350</v>
      </c>
      <c r="F188" s="593" t="s">
        <v>3059</v>
      </c>
      <c r="G188" s="634" t="s">
        <v>6215</v>
      </c>
      <c r="H188" s="882"/>
      <c r="I188" s="1266"/>
    </row>
    <row r="189" spans="1:9" hidden="1">
      <c r="A189" s="428" t="s">
        <v>6268</v>
      </c>
      <c r="B189" s="413" t="s">
        <v>123</v>
      </c>
      <c r="C189" s="384">
        <v>1</v>
      </c>
      <c r="D189" s="482">
        <v>15</v>
      </c>
      <c r="E189" s="486" t="s">
        <v>5351</v>
      </c>
      <c r="F189" s="593" t="s">
        <v>3060</v>
      </c>
      <c r="G189" s="634" t="s">
        <v>6215</v>
      </c>
      <c r="H189" s="882"/>
      <c r="I189" s="1266"/>
    </row>
    <row r="190" spans="1:9" hidden="1">
      <c r="A190" s="428" t="s">
        <v>6268</v>
      </c>
      <c r="B190" s="413" t="s">
        <v>123</v>
      </c>
      <c r="C190" s="384">
        <v>1</v>
      </c>
      <c r="D190" s="482" t="s">
        <v>3061</v>
      </c>
      <c r="E190" s="486" t="s">
        <v>5352</v>
      </c>
      <c r="F190" s="593" t="s">
        <v>3062</v>
      </c>
      <c r="G190" s="634" t="s">
        <v>6215</v>
      </c>
      <c r="H190" s="882"/>
      <c r="I190" s="1266"/>
    </row>
    <row r="191" spans="1:9" hidden="1">
      <c r="A191" s="428" t="s">
        <v>6268</v>
      </c>
      <c r="B191" s="413" t="s">
        <v>123</v>
      </c>
      <c r="C191" s="384">
        <v>1</v>
      </c>
      <c r="D191" s="482" t="s">
        <v>3063</v>
      </c>
      <c r="E191" s="486" t="s">
        <v>5353</v>
      </c>
      <c r="F191" s="593" t="s">
        <v>3064</v>
      </c>
      <c r="G191" s="634" t="s">
        <v>6215</v>
      </c>
      <c r="H191" s="882"/>
      <c r="I191" s="1266"/>
    </row>
    <row r="192" spans="1:9" hidden="1">
      <c r="A192" s="428" t="s">
        <v>6268</v>
      </c>
      <c r="B192" s="413" t="s">
        <v>123</v>
      </c>
      <c r="C192" s="384">
        <v>1</v>
      </c>
      <c r="D192" s="482" t="s">
        <v>3065</v>
      </c>
      <c r="E192" s="486" t="s">
        <v>5354</v>
      </c>
      <c r="F192" s="593" t="s">
        <v>3066</v>
      </c>
      <c r="G192" s="634" t="s">
        <v>6215</v>
      </c>
      <c r="H192" s="882"/>
      <c r="I192" s="1266"/>
    </row>
    <row r="193" spans="1:9" hidden="1">
      <c r="A193" s="428" t="s">
        <v>6268</v>
      </c>
      <c r="B193" s="413" t="s">
        <v>123</v>
      </c>
      <c r="C193" s="384">
        <v>1</v>
      </c>
      <c r="D193" s="482" t="s">
        <v>3067</v>
      </c>
      <c r="E193" s="486" t="s">
        <v>5355</v>
      </c>
      <c r="F193" s="593" t="s">
        <v>3068</v>
      </c>
      <c r="G193" s="634" t="s">
        <v>6215</v>
      </c>
      <c r="H193" s="882"/>
      <c r="I193" s="1266"/>
    </row>
    <row r="194" spans="1:9" hidden="1">
      <c r="A194" s="428" t="s">
        <v>6268</v>
      </c>
      <c r="B194" s="413" t="s">
        <v>123</v>
      </c>
      <c r="C194" s="384">
        <v>1</v>
      </c>
      <c r="D194" s="482">
        <v>16</v>
      </c>
      <c r="E194" s="486" t="s">
        <v>5356</v>
      </c>
      <c r="F194" s="593" t="s">
        <v>3069</v>
      </c>
      <c r="G194" s="634" t="s">
        <v>6215</v>
      </c>
      <c r="H194" s="882"/>
      <c r="I194" s="1266"/>
    </row>
    <row r="195" spans="1:9" hidden="1">
      <c r="A195" s="428" t="s">
        <v>6268</v>
      </c>
      <c r="B195" s="413" t="s">
        <v>123</v>
      </c>
      <c r="C195" s="384">
        <v>1</v>
      </c>
      <c r="D195" s="482" t="s">
        <v>3070</v>
      </c>
      <c r="E195" s="486" t="s">
        <v>5357</v>
      </c>
      <c r="F195" s="593" t="s">
        <v>3071</v>
      </c>
      <c r="G195" s="634" t="s">
        <v>6215</v>
      </c>
      <c r="H195" s="882"/>
      <c r="I195" s="1266"/>
    </row>
    <row r="196" spans="1:9" hidden="1">
      <c r="A196" s="428" t="s">
        <v>6268</v>
      </c>
      <c r="B196" s="413" t="s">
        <v>123</v>
      </c>
      <c r="C196" s="384">
        <v>1</v>
      </c>
      <c r="D196" s="482" t="s">
        <v>3072</v>
      </c>
      <c r="E196" s="486" t="s">
        <v>5358</v>
      </c>
      <c r="F196" s="593" t="s">
        <v>3073</v>
      </c>
      <c r="G196" s="634" t="s">
        <v>6215</v>
      </c>
      <c r="H196" s="882"/>
      <c r="I196" s="1266"/>
    </row>
    <row r="197" spans="1:9" hidden="1">
      <c r="A197" s="428" t="s">
        <v>6268</v>
      </c>
      <c r="B197" s="413" t="s">
        <v>123</v>
      </c>
      <c r="C197" s="384">
        <v>1</v>
      </c>
      <c r="D197" s="482" t="s">
        <v>3074</v>
      </c>
      <c r="E197" s="486" t="s">
        <v>5359</v>
      </c>
      <c r="F197" s="593" t="s">
        <v>3075</v>
      </c>
      <c r="G197" s="634" t="s">
        <v>6215</v>
      </c>
      <c r="H197" s="882"/>
      <c r="I197" s="1266"/>
    </row>
    <row r="198" spans="1:9" hidden="1">
      <c r="A198" s="428" t="s">
        <v>6268</v>
      </c>
      <c r="B198" s="413" t="s">
        <v>123</v>
      </c>
      <c r="C198" s="384">
        <v>1</v>
      </c>
      <c r="D198" s="482" t="s">
        <v>3076</v>
      </c>
      <c r="E198" s="486" t="s">
        <v>5360</v>
      </c>
      <c r="F198" s="593" t="s">
        <v>3077</v>
      </c>
      <c r="G198" s="634" t="s">
        <v>6215</v>
      </c>
      <c r="H198" s="882"/>
      <c r="I198" s="1266"/>
    </row>
    <row r="199" spans="1:9" hidden="1">
      <c r="A199" s="428" t="s">
        <v>6268</v>
      </c>
      <c r="B199" s="413" t="s">
        <v>123</v>
      </c>
      <c r="C199" s="384">
        <v>1</v>
      </c>
      <c r="D199" s="482" t="s">
        <v>3078</v>
      </c>
      <c r="E199" s="486" t="s">
        <v>5361</v>
      </c>
      <c r="F199" s="593" t="s">
        <v>3079</v>
      </c>
      <c r="G199" s="634" t="s">
        <v>6215</v>
      </c>
      <c r="H199" s="882"/>
      <c r="I199" s="1266"/>
    </row>
    <row r="200" spans="1:9" hidden="1">
      <c r="A200" s="428" t="s">
        <v>6268</v>
      </c>
      <c r="B200" s="413" t="s">
        <v>123</v>
      </c>
      <c r="C200" s="384">
        <v>1</v>
      </c>
      <c r="D200" s="482" t="s">
        <v>3080</v>
      </c>
      <c r="E200" s="486" t="s">
        <v>5362</v>
      </c>
      <c r="F200" s="593" t="s">
        <v>3081</v>
      </c>
      <c r="G200" s="634" t="s">
        <v>6215</v>
      </c>
      <c r="H200" s="882"/>
      <c r="I200" s="1266"/>
    </row>
    <row r="201" spans="1:9" hidden="1">
      <c r="A201" s="428" t="s">
        <v>6268</v>
      </c>
      <c r="B201" s="413" t="s">
        <v>123</v>
      </c>
      <c r="C201" s="384">
        <v>1</v>
      </c>
      <c r="D201" s="482" t="s">
        <v>3082</v>
      </c>
      <c r="E201" s="486" t="s">
        <v>5363</v>
      </c>
      <c r="F201" s="593" t="s">
        <v>3083</v>
      </c>
      <c r="G201" s="634" t="s">
        <v>6215</v>
      </c>
      <c r="H201" s="882"/>
      <c r="I201" s="1266"/>
    </row>
    <row r="202" spans="1:9" hidden="1">
      <c r="A202" s="428" t="s">
        <v>6268</v>
      </c>
      <c r="B202" s="413" t="s">
        <v>123</v>
      </c>
      <c r="C202" s="384">
        <v>1</v>
      </c>
      <c r="D202" s="482">
        <v>17</v>
      </c>
      <c r="E202" s="486" t="s">
        <v>5364</v>
      </c>
      <c r="F202" s="593" t="s">
        <v>3084</v>
      </c>
      <c r="G202" s="634" t="s">
        <v>6215</v>
      </c>
      <c r="H202" s="882"/>
      <c r="I202" s="1266"/>
    </row>
    <row r="203" spans="1:9" hidden="1">
      <c r="A203" s="428" t="s">
        <v>6268</v>
      </c>
      <c r="B203" s="413" t="s">
        <v>123</v>
      </c>
      <c r="C203" s="384">
        <v>1</v>
      </c>
      <c r="D203" s="482" t="s">
        <v>3085</v>
      </c>
      <c r="E203" s="486" t="s">
        <v>5365</v>
      </c>
      <c r="F203" s="593" t="s">
        <v>3086</v>
      </c>
      <c r="G203" s="634" t="s">
        <v>6215</v>
      </c>
      <c r="H203" s="882"/>
      <c r="I203" s="1266"/>
    </row>
    <row r="204" spans="1:9" hidden="1">
      <c r="A204" s="428" t="s">
        <v>6268</v>
      </c>
      <c r="B204" s="413" t="s">
        <v>123</v>
      </c>
      <c r="C204" s="384">
        <v>1</v>
      </c>
      <c r="D204" s="482" t="s">
        <v>3087</v>
      </c>
      <c r="E204" s="486" t="s">
        <v>5366</v>
      </c>
      <c r="F204" s="593" t="s">
        <v>3088</v>
      </c>
      <c r="G204" s="634" t="s">
        <v>6215</v>
      </c>
      <c r="H204" s="882"/>
      <c r="I204" s="1266"/>
    </row>
    <row r="205" spans="1:9" hidden="1">
      <c r="A205" s="428" t="s">
        <v>6268</v>
      </c>
      <c r="B205" s="413" t="s">
        <v>123</v>
      </c>
      <c r="C205" s="384">
        <v>1</v>
      </c>
      <c r="D205" s="482" t="s">
        <v>3089</v>
      </c>
      <c r="E205" s="486" t="s">
        <v>5367</v>
      </c>
      <c r="F205" s="593" t="s">
        <v>3090</v>
      </c>
      <c r="G205" s="634" t="s">
        <v>6215</v>
      </c>
      <c r="H205" s="882"/>
      <c r="I205" s="1266"/>
    </row>
    <row r="206" spans="1:9" hidden="1">
      <c r="A206" s="428" t="s">
        <v>6268</v>
      </c>
      <c r="B206" s="413" t="s">
        <v>123</v>
      </c>
      <c r="C206" s="384">
        <v>1</v>
      </c>
      <c r="D206" s="482" t="s">
        <v>3091</v>
      </c>
      <c r="E206" s="486" t="s">
        <v>5368</v>
      </c>
      <c r="F206" s="593" t="s">
        <v>3092</v>
      </c>
      <c r="G206" s="634" t="s">
        <v>6215</v>
      </c>
      <c r="H206" s="882"/>
      <c r="I206" s="1266"/>
    </row>
    <row r="207" spans="1:9" hidden="1">
      <c r="A207" s="428" t="s">
        <v>6268</v>
      </c>
      <c r="B207" s="413" t="s">
        <v>123</v>
      </c>
      <c r="C207" s="384">
        <v>1</v>
      </c>
      <c r="D207" s="482" t="s">
        <v>3093</v>
      </c>
      <c r="E207" s="486" t="s">
        <v>5369</v>
      </c>
      <c r="F207" s="593" t="s">
        <v>3094</v>
      </c>
      <c r="G207" s="634" t="s">
        <v>6215</v>
      </c>
      <c r="H207" s="882"/>
      <c r="I207" s="1266"/>
    </row>
    <row r="208" spans="1:9" hidden="1">
      <c r="A208" s="428" t="s">
        <v>6268</v>
      </c>
      <c r="B208" s="413" t="s">
        <v>123</v>
      </c>
      <c r="C208" s="384">
        <v>1</v>
      </c>
      <c r="D208" s="482" t="s">
        <v>3095</v>
      </c>
      <c r="E208" s="486" t="s">
        <v>5370</v>
      </c>
      <c r="F208" s="593" t="s">
        <v>3096</v>
      </c>
      <c r="G208" s="634" t="s">
        <v>6215</v>
      </c>
      <c r="H208" s="882"/>
      <c r="I208" s="1266"/>
    </row>
    <row r="209" spans="1:9" hidden="1">
      <c r="A209" s="428" t="s">
        <v>6268</v>
      </c>
      <c r="B209" s="413" t="s">
        <v>123</v>
      </c>
      <c r="C209" s="384">
        <v>1</v>
      </c>
      <c r="D209" s="482" t="s">
        <v>3097</v>
      </c>
      <c r="E209" s="486" t="s">
        <v>5371</v>
      </c>
      <c r="F209" s="593" t="s">
        <v>3098</v>
      </c>
      <c r="G209" s="634" t="s">
        <v>6215</v>
      </c>
      <c r="H209" s="882"/>
      <c r="I209" s="1266"/>
    </row>
    <row r="210" spans="1:9" hidden="1">
      <c r="A210" s="428" t="s">
        <v>6268</v>
      </c>
      <c r="B210" s="413" t="s">
        <v>123</v>
      </c>
      <c r="C210" s="384">
        <v>1</v>
      </c>
      <c r="D210" s="482" t="s">
        <v>3099</v>
      </c>
      <c r="E210" s="486" t="s">
        <v>5372</v>
      </c>
      <c r="F210" s="593" t="s">
        <v>3100</v>
      </c>
      <c r="G210" s="634" t="s">
        <v>6215</v>
      </c>
      <c r="H210" s="882"/>
      <c r="I210" s="1266"/>
    </row>
    <row r="211" spans="1:9" hidden="1">
      <c r="A211" s="428" t="s">
        <v>6268</v>
      </c>
      <c r="B211" s="413" t="s">
        <v>123</v>
      </c>
      <c r="C211" s="384">
        <v>1</v>
      </c>
      <c r="D211" s="482" t="s">
        <v>3101</v>
      </c>
      <c r="E211" s="486" t="s">
        <v>5373</v>
      </c>
      <c r="F211" s="593" t="s">
        <v>3102</v>
      </c>
      <c r="G211" s="634" t="s">
        <v>6215</v>
      </c>
      <c r="H211" s="882"/>
      <c r="I211" s="1266"/>
    </row>
    <row r="212" spans="1:9" hidden="1">
      <c r="A212" s="428" t="s">
        <v>6268</v>
      </c>
      <c r="B212" s="413" t="s">
        <v>123</v>
      </c>
      <c r="C212" s="384">
        <v>1</v>
      </c>
      <c r="D212" s="482">
        <v>18</v>
      </c>
      <c r="E212" s="486" t="s">
        <v>5374</v>
      </c>
      <c r="F212" s="593" t="s">
        <v>3103</v>
      </c>
      <c r="G212" s="634" t="s">
        <v>6215</v>
      </c>
      <c r="H212" s="882"/>
      <c r="I212" s="1266"/>
    </row>
    <row r="213" spans="1:9" hidden="1">
      <c r="A213" s="428" t="s">
        <v>6268</v>
      </c>
      <c r="B213" s="413" t="s">
        <v>123</v>
      </c>
      <c r="C213" s="384">
        <v>1</v>
      </c>
      <c r="D213" s="482" t="s">
        <v>3104</v>
      </c>
      <c r="E213" s="486" t="s">
        <v>5375</v>
      </c>
      <c r="F213" s="593" t="s">
        <v>3105</v>
      </c>
      <c r="G213" s="634" t="s">
        <v>6215</v>
      </c>
      <c r="H213" s="882"/>
      <c r="I213" s="1266"/>
    </row>
    <row r="214" spans="1:9" hidden="1">
      <c r="A214" s="428" t="s">
        <v>6268</v>
      </c>
      <c r="B214" s="413" t="s">
        <v>123</v>
      </c>
      <c r="C214" s="384">
        <v>1</v>
      </c>
      <c r="D214" s="482" t="s">
        <v>3106</v>
      </c>
      <c r="E214" s="486" t="s">
        <v>5376</v>
      </c>
      <c r="F214" s="593" t="s">
        <v>3107</v>
      </c>
      <c r="G214" s="634" t="s">
        <v>6215</v>
      </c>
      <c r="H214" s="882"/>
      <c r="I214" s="1266"/>
    </row>
    <row r="215" spans="1:9" hidden="1">
      <c r="A215" s="428" t="s">
        <v>6268</v>
      </c>
      <c r="B215" s="413" t="s">
        <v>123</v>
      </c>
      <c r="C215" s="384">
        <v>1</v>
      </c>
      <c r="D215" s="482" t="s">
        <v>3108</v>
      </c>
      <c r="E215" s="486" t="s">
        <v>5377</v>
      </c>
      <c r="F215" s="593" t="s">
        <v>3109</v>
      </c>
      <c r="G215" s="634" t="s">
        <v>6215</v>
      </c>
      <c r="H215" s="882"/>
      <c r="I215" s="1266"/>
    </row>
    <row r="216" spans="1:9" hidden="1">
      <c r="A216" s="428" t="s">
        <v>6268</v>
      </c>
      <c r="B216" s="413" t="s">
        <v>123</v>
      </c>
      <c r="C216" s="384">
        <v>1</v>
      </c>
      <c r="D216" s="482" t="s">
        <v>3110</v>
      </c>
      <c r="E216" s="486" t="s">
        <v>5378</v>
      </c>
      <c r="F216" s="593" t="s">
        <v>3111</v>
      </c>
      <c r="G216" s="634" t="s">
        <v>6215</v>
      </c>
      <c r="H216" s="882"/>
      <c r="I216" s="1266"/>
    </row>
    <row r="217" spans="1:9" hidden="1">
      <c r="A217" s="428" t="s">
        <v>6268</v>
      </c>
      <c r="B217" s="413" t="s">
        <v>123</v>
      </c>
      <c r="C217" s="384">
        <v>1</v>
      </c>
      <c r="D217" s="482" t="s">
        <v>3112</v>
      </c>
      <c r="E217" s="486" t="s">
        <v>5379</v>
      </c>
      <c r="F217" s="593" t="s">
        <v>3113</v>
      </c>
      <c r="G217" s="634" t="s">
        <v>6215</v>
      </c>
      <c r="H217" s="882"/>
      <c r="I217" s="1266"/>
    </row>
    <row r="218" spans="1:9" hidden="1">
      <c r="A218" s="428" t="s">
        <v>6268</v>
      </c>
      <c r="B218" s="413" t="s">
        <v>123</v>
      </c>
      <c r="C218" s="384">
        <v>1</v>
      </c>
      <c r="D218" s="482" t="s">
        <v>3114</v>
      </c>
      <c r="E218" s="486" t="s">
        <v>5380</v>
      </c>
      <c r="F218" s="593" t="s">
        <v>3115</v>
      </c>
      <c r="G218" s="634" t="s">
        <v>6215</v>
      </c>
      <c r="H218" s="882"/>
      <c r="I218" s="1266"/>
    </row>
    <row r="219" spans="1:9" hidden="1">
      <c r="A219" s="428" t="s">
        <v>6268</v>
      </c>
      <c r="B219" s="413" t="s">
        <v>123</v>
      </c>
      <c r="C219" s="384">
        <v>1</v>
      </c>
      <c r="D219" s="482">
        <v>19</v>
      </c>
      <c r="E219" s="486" t="s">
        <v>5381</v>
      </c>
      <c r="F219" s="593" t="s">
        <v>3116</v>
      </c>
      <c r="G219" s="634" t="s">
        <v>6215</v>
      </c>
      <c r="H219" s="882"/>
      <c r="I219" s="1266"/>
    </row>
    <row r="220" spans="1:9" hidden="1">
      <c r="A220" s="428" t="s">
        <v>6268</v>
      </c>
      <c r="B220" s="413" t="s">
        <v>123</v>
      </c>
      <c r="C220" s="384">
        <v>1</v>
      </c>
      <c r="D220" s="482" t="s">
        <v>3117</v>
      </c>
      <c r="E220" s="486" t="s">
        <v>5382</v>
      </c>
      <c r="F220" s="593" t="s">
        <v>3118</v>
      </c>
      <c r="G220" s="634" t="s">
        <v>6215</v>
      </c>
      <c r="H220" s="882"/>
      <c r="I220" s="1266"/>
    </row>
    <row r="221" spans="1:9" hidden="1">
      <c r="A221" s="428" t="s">
        <v>6268</v>
      </c>
      <c r="B221" s="413" t="s">
        <v>123</v>
      </c>
      <c r="C221" s="384">
        <v>1</v>
      </c>
      <c r="D221" s="482" t="s">
        <v>3119</v>
      </c>
      <c r="E221" s="486" t="s">
        <v>5383</v>
      </c>
      <c r="F221" s="593" t="s">
        <v>3120</v>
      </c>
      <c r="G221" s="634" t="s">
        <v>6215</v>
      </c>
      <c r="H221" s="882"/>
      <c r="I221" s="1266"/>
    </row>
    <row r="222" spans="1:9" hidden="1">
      <c r="A222" s="428" t="s">
        <v>6268</v>
      </c>
      <c r="B222" s="413" t="s">
        <v>123</v>
      </c>
      <c r="C222" s="384">
        <v>1</v>
      </c>
      <c r="D222" s="482">
        <v>20</v>
      </c>
      <c r="E222" s="486" t="s">
        <v>5384</v>
      </c>
      <c r="F222" s="593" t="s">
        <v>3121</v>
      </c>
      <c r="G222" s="634" t="s">
        <v>6215</v>
      </c>
      <c r="H222" s="882"/>
      <c r="I222" s="1266"/>
    </row>
    <row r="223" spans="1:9" hidden="1">
      <c r="A223" s="428" t="s">
        <v>6268</v>
      </c>
      <c r="B223" s="413" t="s">
        <v>123</v>
      </c>
      <c r="C223" s="384">
        <v>1</v>
      </c>
      <c r="D223" s="482" t="s">
        <v>3122</v>
      </c>
      <c r="E223" s="486" t="s">
        <v>5385</v>
      </c>
      <c r="F223" s="593" t="s">
        <v>3123</v>
      </c>
      <c r="G223" s="634" t="s">
        <v>6215</v>
      </c>
      <c r="H223" s="882"/>
      <c r="I223" s="1266"/>
    </row>
    <row r="224" spans="1:9" hidden="1">
      <c r="A224" s="428" t="s">
        <v>6268</v>
      </c>
      <c r="B224" s="413" t="s">
        <v>123</v>
      </c>
      <c r="C224" s="384">
        <v>1</v>
      </c>
      <c r="D224" s="482" t="s">
        <v>3124</v>
      </c>
      <c r="E224" s="486" t="s">
        <v>5386</v>
      </c>
      <c r="F224" s="593" t="s">
        <v>3125</v>
      </c>
      <c r="G224" s="634" t="s">
        <v>6215</v>
      </c>
      <c r="H224" s="882"/>
      <c r="I224" s="1266"/>
    </row>
    <row r="225" spans="1:9" hidden="1">
      <c r="A225" s="428" t="s">
        <v>6268</v>
      </c>
      <c r="B225" s="413" t="s">
        <v>123</v>
      </c>
      <c r="C225" s="384">
        <v>1</v>
      </c>
      <c r="D225" s="482" t="s">
        <v>3126</v>
      </c>
      <c r="E225" s="486" t="s">
        <v>5387</v>
      </c>
      <c r="F225" s="593" t="s">
        <v>3127</v>
      </c>
      <c r="G225" s="634" t="s">
        <v>6215</v>
      </c>
      <c r="H225" s="882"/>
      <c r="I225" s="1266"/>
    </row>
    <row r="226" spans="1:9" hidden="1">
      <c r="A226" s="428" t="s">
        <v>6268</v>
      </c>
      <c r="B226" s="413" t="s">
        <v>123</v>
      </c>
      <c r="C226" s="384">
        <v>1</v>
      </c>
      <c r="D226" s="482" t="s">
        <v>3128</v>
      </c>
      <c r="E226" s="486" t="s">
        <v>5388</v>
      </c>
      <c r="F226" s="593" t="s">
        <v>3129</v>
      </c>
      <c r="G226" s="634" t="s">
        <v>6215</v>
      </c>
      <c r="H226" s="882"/>
      <c r="I226" s="1266"/>
    </row>
    <row r="227" spans="1:9" hidden="1">
      <c r="A227" s="428" t="s">
        <v>6268</v>
      </c>
      <c r="B227" s="413" t="s">
        <v>123</v>
      </c>
      <c r="C227" s="384">
        <v>1</v>
      </c>
      <c r="D227" s="482" t="s">
        <v>3130</v>
      </c>
      <c r="E227" s="486" t="s">
        <v>5389</v>
      </c>
      <c r="F227" s="593" t="s">
        <v>3131</v>
      </c>
      <c r="G227" s="634" t="s">
        <v>6215</v>
      </c>
      <c r="H227" s="882"/>
      <c r="I227" s="1266"/>
    </row>
    <row r="228" spans="1:9" hidden="1">
      <c r="A228" s="428" t="s">
        <v>6268</v>
      </c>
      <c r="B228" s="413" t="s">
        <v>123</v>
      </c>
      <c r="C228" s="384">
        <v>1</v>
      </c>
      <c r="D228" s="482" t="s">
        <v>3132</v>
      </c>
      <c r="E228" s="486" t="s">
        <v>5390</v>
      </c>
      <c r="F228" s="593" t="s">
        <v>3133</v>
      </c>
      <c r="G228" s="634" t="s">
        <v>6215</v>
      </c>
      <c r="H228" s="882"/>
      <c r="I228" s="1266"/>
    </row>
    <row r="229" spans="1:9" hidden="1">
      <c r="A229" s="428" t="s">
        <v>6268</v>
      </c>
      <c r="B229" s="413" t="s">
        <v>123</v>
      </c>
      <c r="C229" s="384">
        <v>1</v>
      </c>
      <c r="D229" s="482" t="s">
        <v>3134</v>
      </c>
      <c r="E229" s="486" t="s">
        <v>5391</v>
      </c>
      <c r="F229" s="593" t="s">
        <v>3135</v>
      </c>
      <c r="G229" s="634" t="s">
        <v>6215</v>
      </c>
      <c r="H229" s="882"/>
      <c r="I229" s="1266"/>
    </row>
    <row r="230" spans="1:9" hidden="1">
      <c r="A230" s="428" t="s">
        <v>6268</v>
      </c>
      <c r="B230" s="413" t="s">
        <v>123</v>
      </c>
      <c r="C230" s="384">
        <v>1</v>
      </c>
      <c r="D230" s="482" t="s">
        <v>3136</v>
      </c>
      <c r="E230" s="486" t="s">
        <v>5392</v>
      </c>
      <c r="F230" s="593" t="s">
        <v>3137</v>
      </c>
      <c r="G230" s="634" t="s">
        <v>6215</v>
      </c>
      <c r="H230" s="882"/>
      <c r="I230" s="1266"/>
    </row>
    <row r="231" spans="1:9" hidden="1">
      <c r="A231" s="428" t="s">
        <v>6268</v>
      </c>
      <c r="B231" s="413" t="s">
        <v>123</v>
      </c>
      <c r="C231" s="384">
        <v>1</v>
      </c>
      <c r="D231" s="482" t="s">
        <v>3138</v>
      </c>
      <c r="E231" s="486" t="s">
        <v>5393</v>
      </c>
      <c r="F231" s="593" t="s">
        <v>3139</v>
      </c>
      <c r="G231" s="634" t="s">
        <v>6215</v>
      </c>
      <c r="H231" s="882"/>
      <c r="I231" s="1266"/>
    </row>
    <row r="232" spans="1:9" hidden="1">
      <c r="A232" s="428" t="s">
        <v>6268</v>
      </c>
      <c r="B232" s="413" t="s">
        <v>123</v>
      </c>
      <c r="C232" s="384">
        <v>1</v>
      </c>
      <c r="D232" s="482" t="s">
        <v>3140</v>
      </c>
      <c r="E232" s="486" t="s">
        <v>5394</v>
      </c>
      <c r="F232" s="593" t="s">
        <v>3141</v>
      </c>
      <c r="G232" s="634" t="s">
        <v>6215</v>
      </c>
      <c r="H232" s="882"/>
      <c r="I232" s="1266"/>
    </row>
    <row r="233" spans="1:9" hidden="1">
      <c r="A233" s="428" t="s">
        <v>6268</v>
      </c>
      <c r="B233" s="413" t="s">
        <v>123</v>
      </c>
      <c r="C233" s="384">
        <v>1</v>
      </c>
      <c r="D233" s="482" t="s">
        <v>3142</v>
      </c>
      <c r="E233" s="486" t="s">
        <v>5395</v>
      </c>
      <c r="F233" s="593" t="s">
        <v>3143</v>
      </c>
      <c r="G233" s="634" t="s">
        <v>6215</v>
      </c>
      <c r="H233" s="882"/>
      <c r="I233" s="1266"/>
    </row>
    <row r="234" spans="1:9" hidden="1">
      <c r="A234" s="428" t="s">
        <v>6268</v>
      </c>
      <c r="B234" s="413" t="s">
        <v>123</v>
      </c>
      <c r="C234" s="384">
        <v>1</v>
      </c>
      <c r="D234" s="482" t="s">
        <v>3144</v>
      </c>
      <c r="E234" s="486" t="s">
        <v>5396</v>
      </c>
      <c r="F234" s="593" t="s">
        <v>3145</v>
      </c>
      <c r="G234" s="634" t="s">
        <v>6215</v>
      </c>
      <c r="H234" s="882"/>
      <c r="I234" s="1266"/>
    </row>
    <row r="235" spans="1:9" hidden="1">
      <c r="A235" s="428" t="s">
        <v>6268</v>
      </c>
      <c r="B235" s="413" t="s">
        <v>123</v>
      </c>
      <c r="C235" s="384">
        <v>1</v>
      </c>
      <c r="D235" s="482" t="s">
        <v>3146</v>
      </c>
      <c r="E235" s="486" t="s">
        <v>5397</v>
      </c>
      <c r="F235" s="593" t="s">
        <v>3147</v>
      </c>
      <c r="G235" s="634" t="s">
        <v>6215</v>
      </c>
      <c r="H235" s="882"/>
      <c r="I235" s="1266"/>
    </row>
    <row r="236" spans="1:9" hidden="1">
      <c r="A236" s="428" t="s">
        <v>6268</v>
      </c>
      <c r="B236" s="413" t="s">
        <v>123</v>
      </c>
      <c r="C236" s="384">
        <v>1</v>
      </c>
      <c r="D236" s="482" t="s">
        <v>3148</v>
      </c>
      <c r="E236" s="486" t="s">
        <v>5398</v>
      </c>
      <c r="F236" s="593" t="s">
        <v>3149</v>
      </c>
      <c r="G236" s="634" t="s">
        <v>6215</v>
      </c>
      <c r="H236" s="882"/>
      <c r="I236" s="1266"/>
    </row>
    <row r="237" spans="1:9" hidden="1">
      <c r="A237" s="428" t="s">
        <v>6268</v>
      </c>
      <c r="B237" s="413" t="s">
        <v>123</v>
      </c>
      <c r="C237" s="384">
        <v>1</v>
      </c>
      <c r="D237" s="482" t="s">
        <v>3150</v>
      </c>
      <c r="E237" s="486" t="s">
        <v>5399</v>
      </c>
      <c r="F237" s="593" t="s">
        <v>3151</v>
      </c>
      <c r="G237" s="634" t="s">
        <v>6215</v>
      </c>
      <c r="H237" s="882"/>
      <c r="I237" s="1266"/>
    </row>
    <row r="238" spans="1:9" hidden="1">
      <c r="A238" s="428" t="s">
        <v>6268</v>
      </c>
      <c r="B238" s="413" t="s">
        <v>123</v>
      </c>
      <c r="C238" s="384">
        <v>1</v>
      </c>
      <c r="D238" s="482" t="s">
        <v>3152</v>
      </c>
      <c r="E238" s="486" t="s">
        <v>5400</v>
      </c>
      <c r="F238" s="593" t="s">
        <v>3153</v>
      </c>
      <c r="G238" s="634" t="s">
        <v>6215</v>
      </c>
      <c r="H238" s="882"/>
      <c r="I238" s="1266"/>
    </row>
    <row r="239" spans="1:9" hidden="1">
      <c r="A239" s="428" t="s">
        <v>6268</v>
      </c>
      <c r="B239" s="413" t="s">
        <v>123</v>
      </c>
      <c r="C239" s="384">
        <v>1</v>
      </c>
      <c r="D239" s="482" t="s">
        <v>3154</v>
      </c>
      <c r="E239" s="486" t="s">
        <v>5401</v>
      </c>
      <c r="F239" s="593" t="s">
        <v>3155</v>
      </c>
      <c r="G239" s="634" t="s">
        <v>6215</v>
      </c>
      <c r="H239" s="882"/>
      <c r="I239" s="1266"/>
    </row>
    <row r="240" spans="1:9" hidden="1">
      <c r="A240" s="428" t="s">
        <v>6268</v>
      </c>
      <c r="B240" s="413" t="s">
        <v>123</v>
      </c>
      <c r="C240" s="384">
        <v>1</v>
      </c>
      <c r="D240" s="482" t="s">
        <v>3156</v>
      </c>
      <c r="E240" s="486" t="s">
        <v>5402</v>
      </c>
      <c r="F240" s="593" t="s">
        <v>3157</v>
      </c>
      <c r="G240" s="634" t="s">
        <v>6215</v>
      </c>
      <c r="H240" s="882"/>
      <c r="I240" s="1266"/>
    </row>
    <row r="241" spans="1:9" hidden="1">
      <c r="A241" s="428" t="s">
        <v>6268</v>
      </c>
      <c r="B241" s="413" t="s">
        <v>123</v>
      </c>
      <c r="C241" s="384">
        <v>1</v>
      </c>
      <c r="D241" s="482" t="s">
        <v>3158</v>
      </c>
      <c r="E241" s="486" t="s">
        <v>5403</v>
      </c>
      <c r="F241" s="593" t="s">
        <v>3159</v>
      </c>
      <c r="G241" s="634" t="s">
        <v>6215</v>
      </c>
      <c r="H241" s="882"/>
      <c r="I241" s="1266"/>
    </row>
    <row r="242" spans="1:9" hidden="1">
      <c r="A242" s="428" t="s">
        <v>6268</v>
      </c>
      <c r="B242" s="413" t="s">
        <v>123</v>
      </c>
      <c r="C242" s="384">
        <v>1</v>
      </c>
      <c r="D242" s="482">
        <v>21</v>
      </c>
      <c r="E242" s="486" t="s">
        <v>5404</v>
      </c>
      <c r="F242" s="593" t="s">
        <v>3160</v>
      </c>
      <c r="G242" s="634" t="s">
        <v>6215</v>
      </c>
      <c r="H242" s="882"/>
      <c r="I242" s="1266"/>
    </row>
    <row r="243" spans="1:9" hidden="1">
      <c r="A243" s="428" t="s">
        <v>6268</v>
      </c>
      <c r="B243" s="413" t="s">
        <v>123</v>
      </c>
      <c r="C243" s="384">
        <v>1</v>
      </c>
      <c r="D243" s="482" t="s">
        <v>3161</v>
      </c>
      <c r="E243" s="486" t="s">
        <v>5405</v>
      </c>
      <c r="F243" s="593" t="s">
        <v>3162</v>
      </c>
      <c r="G243" s="634" t="s">
        <v>6215</v>
      </c>
      <c r="H243" s="882"/>
      <c r="I243" s="1266"/>
    </row>
    <row r="244" spans="1:9" hidden="1">
      <c r="A244" s="428" t="s">
        <v>6268</v>
      </c>
      <c r="B244" s="413" t="s">
        <v>123</v>
      </c>
      <c r="C244" s="384">
        <v>1</v>
      </c>
      <c r="D244" s="482" t="s">
        <v>3163</v>
      </c>
      <c r="E244" s="486" t="s">
        <v>5406</v>
      </c>
      <c r="F244" s="593" t="s">
        <v>3164</v>
      </c>
      <c r="G244" s="634" t="s">
        <v>6215</v>
      </c>
      <c r="H244" s="882"/>
      <c r="I244" s="1266"/>
    </row>
    <row r="245" spans="1:9" hidden="1">
      <c r="A245" s="428" t="s">
        <v>6268</v>
      </c>
      <c r="B245" s="413" t="s">
        <v>123</v>
      </c>
      <c r="C245" s="384">
        <v>1</v>
      </c>
      <c r="D245" s="482">
        <v>22</v>
      </c>
      <c r="E245" s="486" t="s">
        <v>5407</v>
      </c>
      <c r="F245" s="593" t="s">
        <v>3165</v>
      </c>
      <c r="G245" s="634" t="s">
        <v>6215</v>
      </c>
      <c r="H245" s="882"/>
      <c r="I245" s="1266"/>
    </row>
    <row r="246" spans="1:9" hidden="1">
      <c r="A246" s="428" t="s">
        <v>6268</v>
      </c>
      <c r="B246" s="413" t="s">
        <v>123</v>
      </c>
      <c r="C246" s="384">
        <v>1</v>
      </c>
      <c r="D246" s="482" t="s">
        <v>3166</v>
      </c>
      <c r="E246" s="486" t="s">
        <v>5408</v>
      </c>
      <c r="F246" s="593" t="s">
        <v>3167</v>
      </c>
      <c r="G246" s="634" t="s">
        <v>6215</v>
      </c>
      <c r="H246" s="882"/>
      <c r="I246" s="1266"/>
    </row>
    <row r="247" spans="1:9" hidden="1">
      <c r="A247" s="428" t="s">
        <v>6268</v>
      </c>
      <c r="B247" s="413" t="s">
        <v>123</v>
      </c>
      <c r="C247" s="384">
        <v>1</v>
      </c>
      <c r="D247" s="482" t="s">
        <v>3168</v>
      </c>
      <c r="E247" s="486" t="s">
        <v>5409</v>
      </c>
      <c r="F247" s="593" t="s">
        <v>3169</v>
      </c>
      <c r="G247" s="634" t="s">
        <v>6215</v>
      </c>
      <c r="H247" s="882"/>
      <c r="I247" s="1266"/>
    </row>
    <row r="248" spans="1:9" hidden="1">
      <c r="A248" s="428" t="s">
        <v>6268</v>
      </c>
      <c r="B248" s="413" t="s">
        <v>123</v>
      </c>
      <c r="C248" s="384">
        <v>1</v>
      </c>
      <c r="D248" s="482" t="s">
        <v>3170</v>
      </c>
      <c r="E248" s="486" t="s">
        <v>5410</v>
      </c>
      <c r="F248" s="593" t="s">
        <v>3171</v>
      </c>
      <c r="G248" s="634" t="s">
        <v>6215</v>
      </c>
      <c r="H248" s="882"/>
      <c r="I248" s="1266"/>
    </row>
    <row r="249" spans="1:9" hidden="1">
      <c r="A249" s="428" t="s">
        <v>6268</v>
      </c>
      <c r="B249" s="413" t="s">
        <v>123</v>
      </c>
      <c r="C249" s="384">
        <v>1</v>
      </c>
      <c r="D249" s="482" t="s">
        <v>3172</v>
      </c>
      <c r="E249" s="486" t="s">
        <v>5411</v>
      </c>
      <c r="F249" s="593" t="s">
        <v>3173</v>
      </c>
      <c r="G249" s="634" t="s">
        <v>6215</v>
      </c>
      <c r="H249" s="882"/>
      <c r="I249" s="1266"/>
    </row>
    <row r="250" spans="1:9" hidden="1">
      <c r="A250" s="428" t="s">
        <v>6268</v>
      </c>
      <c r="B250" s="413" t="s">
        <v>123</v>
      </c>
      <c r="C250" s="384">
        <v>1</v>
      </c>
      <c r="D250" s="482" t="s">
        <v>3174</v>
      </c>
      <c r="E250" s="486" t="s">
        <v>5412</v>
      </c>
      <c r="F250" s="593" t="s">
        <v>3175</v>
      </c>
      <c r="G250" s="634" t="s">
        <v>6215</v>
      </c>
      <c r="H250" s="882"/>
      <c r="I250" s="1266"/>
    </row>
    <row r="251" spans="1:9" hidden="1">
      <c r="A251" s="428" t="s">
        <v>6268</v>
      </c>
      <c r="B251" s="413" t="s">
        <v>123</v>
      </c>
      <c r="C251" s="384">
        <v>1</v>
      </c>
      <c r="D251" s="482" t="s">
        <v>3176</v>
      </c>
      <c r="E251" s="486" t="s">
        <v>5413</v>
      </c>
      <c r="F251" s="593" t="s">
        <v>3177</v>
      </c>
      <c r="G251" s="634" t="s">
        <v>6215</v>
      </c>
      <c r="H251" s="882"/>
      <c r="I251" s="1266"/>
    </row>
    <row r="252" spans="1:9" hidden="1">
      <c r="A252" s="428" t="s">
        <v>6268</v>
      </c>
      <c r="B252" s="413" t="s">
        <v>123</v>
      </c>
      <c r="C252" s="384">
        <v>1</v>
      </c>
      <c r="D252" s="482" t="s">
        <v>3178</v>
      </c>
      <c r="E252" s="486" t="s">
        <v>5414</v>
      </c>
      <c r="F252" s="593" t="s">
        <v>3179</v>
      </c>
      <c r="G252" s="634" t="s">
        <v>6215</v>
      </c>
      <c r="H252" s="882"/>
      <c r="I252" s="1266"/>
    </row>
    <row r="253" spans="1:9" hidden="1">
      <c r="A253" s="428" t="s">
        <v>6268</v>
      </c>
      <c r="B253" s="413" t="s">
        <v>123</v>
      </c>
      <c r="C253" s="384">
        <v>1</v>
      </c>
      <c r="D253" s="482" t="s">
        <v>3180</v>
      </c>
      <c r="E253" s="486" t="s">
        <v>5415</v>
      </c>
      <c r="F253" s="593" t="s">
        <v>3181</v>
      </c>
      <c r="G253" s="634" t="s">
        <v>6215</v>
      </c>
      <c r="H253" s="882"/>
      <c r="I253" s="1266"/>
    </row>
    <row r="254" spans="1:9" hidden="1">
      <c r="A254" s="428" t="s">
        <v>6268</v>
      </c>
      <c r="B254" s="413" t="s">
        <v>123</v>
      </c>
      <c r="C254" s="384">
        <v>1</v>
      </c>
      <c r="D254" s="482">
        <v>23</v>
      </c>
      <c r="E254" s="486" t="s">
        <v>5416</v>
      </c>
      <c r="F254" s="593" t="s">
        <v>3182</v>
      </c>
      <c r="G254" s="634" t="s">
        <v>6215</v>
      </c>
      <c r="H254" s="882"/>
      <c r="I254" s="1266"/>
    </row>
    <row r="255" spans="1:9" hidden="1">
      <c r="A255" s="428" t="s">
        <v>6268</v>
      </c>
      <c r="B255" s="413" t="s">
        <v>123</v>
      </c>
      <c r="C255" s="384">
        <v>1</v>
      </c>
      <c r="D255" s="482" t="s">
        <v>3183</v>
      </c>
      <c r="E255" s="486" t="s">
        <v>5417</v>
      </c>
      <c r="F255" s="593" t="s">
        <v>3184</v>
      </c>
      <c r="G255" s="634" t="s">
        <v>6215</v>
      </c>
      <c r="H255" s="882"/>
      <c r="I255" s="1266"/>
    </row>
    <row r="256" spans="1:9" hidden="1">
      <c r="A256" s="428" t="s">
        <v>6268</v>
      </c>
      <c r="B256" s="413" t="s">
        <v>123</v>
      </c>
      <c r="C256" s="384">
        <v>1</v>
      </c>
      <c r="D256" s="482" t="s">
        <v>3185</v>
      </c>
      <c r="E256" s="486" t="s">
        <v>5418</v>
      </c>
      <c r="F256" s="593" t="s">
        <v>3186</v>
      </c>
      <c r="G256" s="634" t="s">
        <v>6215</v>
      </c>
      <c r="H256" s="882"/>
      <c r="I256" s="1266"/>
    </row>
    <row r="257" spans="1:9" hidden="1">
      <c r="A257" s="428" t="s">
        <v>6268</v>
      </c>
      <c r="B257" s="413" t="s">
        <v>123</v>
      </c>
      <c r="C257" s="384">
        <v>1</v>
      </c>
      <c r="D257" s="482" t="s">
        <v>3187</v>
      </c>
      <c r="E257" s="486" t="s">
        <v>5419</v>
      </c>
      <c r="F257" s="593" t="s">
        <v>3188</v>
      </c>
      <c r="G257" s="634" t="s">
        <v>6215</v>
      </c>
      <c r="H257" s="882"/>
      <c r="I257" s="1266"/>
    </row>
    <row r="258" spans="1:9" hidden="1">
      <c r="A258" s="428" t="s">
        <v>6268</v>
      </c>
      <c r="B258" s="413" t="s">
        <v>123</v>
      </c>
      <c r="C258" s="384">
        <v>1</v>
      </c>
      <c r="D258" s="482" t="s">
        <v>3189</v>
      </c>
      <c r="E258" s="486" t="s">
        <v>5420</v>
      </c>
      <c r="F258" s="593" t="s">
        <v>3190</v>
      </c>
      <c r="G258" s="634" t="s">
        <v>6215</v>
      </c>
      <c r="H258" s="882"/>
      <c r="I258" s="1266"/>
    </row>
    <row r="259" spans="1:9" hidden="1">
      <c r="A259" s="428" t="s">
        <v>6268</v>
      </c>
      <c r="B259" s="413" t="s">
        <v>123</v>
      </c>
      <c r="C259" s="384">
        <v>1</v>
      </c>
      <c r="D259" s="482" t="s">
        <v>3191</v>
      </c>
      <c r="E259" s="486" t="s">
        <v>5421</v>
      </c>
      <c r="F259" s="593" t="s">
        <v>3192</v>
      </c>
      <c r="G259" s="634" t="s">
        <v>6215</v>
      </c>
      <c r="H259" s="882"/>
      <c r="I259" s="1266"/>
    </row>
    <row r="260" spans="1:9" hidden="1">
      <c r="A260" s="428" t="s">
        <v>6268</v>
      </c>
      <c r="B260" s="413" t="s">
        <v>123</v>
      </c>
      <c r="C260" s="384">
        <v>1</v>
      </c>
      <c r="D260" s="482" t="s">
        <v>3193</v>
      </c>
      <c r="E260" s="486" t="s">
        <v>5422</v>
      </c>
      <c r="F260" s="593" t="s">
        <v>3194</v>
      </c>
      <c r="G260" s="634" t="s">
        <v>6215</v>
      </c>
      <c r="H260" s="882"/>
      <c r="I260" s="1266"/>
    </row>
    <row r="261" spans="1:9" hidden="1">
      <c r="A261" s="428" t="s">
        <v>6268</v>
      </c>
      <c r="B261" s="413" t="s">
        <v>123</v>
      </c>
      <c r="C261" s="384">
        <v>1</v>
      </c>
      <c r="D261" s="482" t="s">
        <v>3195</v>
      </c>
      <c r="E261" s="486" t="s">
        <v>5423</v>
      </c>
      <c r="F261" s="593" t="s">
        <v>3196</v>
      </c>
      <c r="G261" s="634" t="s">
        <v>6215</v>
      </c>
      <c r="H261" s="882"/>
      <c r="I261" s="1266"/>
    </row>
    <row r="262" spans="1:9" hidden="1">
      <c r="A262" s="428" t="s">
        <v>6268</v>
      </c>
      <c r="B262" s="413" t="s">
        <v>123</v>
      </c>
      <c r="C262" s="384">
        <v>1</v>
      </c>
      <c r="D262" s="482" t="s">
        <v>3197</v>
      </c>
      <c r="E262" s="486" t="s">
        <v>5424</v>
      </c>
      <c r="F262" s="593" t="s">
        <v>3198</v>
      </c>
      <c r="G262" s="634" t="s">
        <v>6215</v>
      </c>
      <c r="H262" s="882"/>
      <c r="I262" s="1266"/>
    </row>
    <row r="263" spans="1:9" hidden="1">
      <c r="A263" s="428" t="s">
        <v>6268</v>
      </c>
      <c r="B263" s="413" t="s">
        <v>123</v>
      </c>
      <c r="C263" s="384">
        <v>1</v>
      </c>
      <c r="D263" s="482" t="s">
        <v>3199</v>
      </c>
      <c r="E263" s="486" t="s">
        <v>5425</v>
      </c>
      <c r="F263" s="593" t="s">
        <v>3200</v>
      </c>
      <c r="G263" s="634" t="s">
        <v>6215</v>
      </c>
      <c r="H263" s="882"/>
      <c r="I263" s="1266"/>
    </row>
    <row r="264" spans="1:9" hidden="1">
      <c r="A264" s="428" t="s">
        <v>6268</v>
      </c>
      <c r="B264" s="413" t="s">
        <v>123</v>
      </c>
      <c r="C264" s="384">
        <v>1</v>
      </c>
      <c r="D264" s="482" t="s">
        <v>3201</v>
      </c>
      <c r="E264" s="486" t="s">
        <v>5426</v>
      </c>
      <c r="F264" s="593" t="s">
        <v>3202</v>
      </c>
      <c r="G264" s="634" t="s">
        <v>6215</v>
      </c>
      <c r="H264" s="882"/>
      <c r="I264" s="1266"/>
    </row>
    <row r="265" spans="1:9" hidden="1">
      <c r="A265" s="428" t="s">
        <v>6268</v>
      </c>
      <c r="B265" s="413" t="s">
        <v>123</v>
      </c>
      <c r="C265" s="384">
        <v>1</v>
      </c>
      <c r="D265" s="482" t="s">
        <v>3203</v>
      </c>
      <c r="E265" s="486" t="s">
        <v>5427</v>
      </c>
      <c r="F265" s="593" t="s">
        <v>3204</v>
      </c>
      <c r="G265" s="634" t="s">
        <v>6215</v>
      </c>
      <c r="H265" s="882"/>
      <c r="I265" s="1266"/>
    </row>
    <row r="266" spans="1:9" hidden="1">
      <c r="A266" s="428" t="s">
        <v>6268</v>
      </c>
      <c r="B266" s="413" t="s">
        <v>123</v>
      </c>
      <c r="C266" s="384">
        <v>1</v>
      </c>
      <c r="D266" s="482" t="s">
        <v>3205</v>
      </c>
      <c r="E266" s="486" t="s">
        <v>5428</v>
      </c>
      <c r="F266" s="593" t="s">
        <v>3206</v>
      </c>
      <c r="G266" s="634" t="s">
        <v>6215</v>
      </c>
      <c r="H266" s="882"/>
      <c r="I266" s="1266"/>
    </row>
    <row r="267" spans="1:9" hidden="1">
      <c r="A267" s="428" t="s">
        <v>6268</v>
      </c>
      <c r="B267" s="413" t="s">
        <v>123</v>
      </c>
      <c r="C267" s="384">
        <v>1</v>
      </c>
      <c r="D267" s="482" t="s">
        <v>3207</v>
      </c>
      <c r="E267" s="486" t="s">
        <v>5429</v>
      </c>
      <c r="F267" s="593" t="s">
        <v>3208</v>
      </c>
      <c r="G267" s="634" t="s">
        <v>6215</v>
      </c>
      <c r="H267" s="882"/>
      <c r="I267" s="1266"/>
    </row>
    <row r="268" spans="1:9" hidden="1">
      <c r="A268" s="428" t="s">
        <v>6268</v>
      </c>
      <c r="B268" s="413" t="s">
        <v>123</v>
      </c>
      <c r="C268" s="384">
        <v>1</v>
      </c>
      <c r="D268" s="482" t="s">
        <v>3209</v>
      </c>
      <c r="E268" s="486" t="s">
        <v>5430</v>
      </c>
      <c r="F268" s="593" t="s">
        <v>3210</v>
      </c>
      <c r="G268" s="634" t="s">
        <v>6215</v>
      </c>
      <c r="H268" s="882"/>
      <c r="I268" s="1266"/>
    </row>
    <row r="269" spans="1:9" hidden="1">
      <c r="A269" s="428" t="s">
        <v>6268</v>
      </c>
      <c r="B269" s="413" t="s">
        <v>123</v>
      </c>
      <c r="C269" s="384">
        <v>1</v>
      </c>
      <c r="D269" s="482" t="s">
        <v>3211</v>
      </c>
      <c r="E269" s="486" t="s">
        <v>5431</v>
      </c>
      <c r="F269" s="593" t="s">
        <v>3212</v>
      </c>
      <c r="G269" s="634" t="s">
        <v>6215</v>
      </c>
      <c r="H269" s="882"/>
      <c r="I269" s="1266"/>
    </row>
    <row r="270" spans="1:9" hidden="1">
      <c r="A270" s="428" t="s">
        <v>6268</v>
      </c>
      <c r="B270" s="413" t="s">
        <v>123</v>
      </c>
      <c r="C270" s="384">
        <v>1</v>
      </c>
      <c r="D270" s="482" t="s">
        <v>3213</v>
      </c>
      <c r="E270" s="486" t="s">
        <v>5432</v>
      </c>
      <c r="F270" s="593" t="s">
        <v>3214</v>
      </c>
      <c r="G270" s="634" t="s">
        <v>6215</v>
      </c>
      <c r="H270" s="882"/>
      <c r="I270" s="1266"/>
    </row>
    <row r="271" spans="1:9" hidden="1">
      <c r="A271" s="428" t="s">
        <v>6268</v>
      </c>
      <c r="B271" s="413" t="s">
        <v>123</v>
      </c>
      <c r="C271" s="384">
        <v>1</v>
      </c>
      <c r="D271" s="482" t="s">
        <v>3215</v>
      </c>
      <c r="E271" s="486" t="s">
        <v>5433</v>
      </c>
      <c r="F271" s="593" t="s">
        <v>3216</v>
      </c>
      <c r="G271" s="634" t="s">
        <v>6215</v>
      </c>
      <c r="H271" s="882"/>
      <c r="I271" s="1266"/>
    </row>
    <row r="272" spans="1:9" hidden="1">
      <c r="A272" s="428" t="s">
        <v>6268</v>
      </c>
      <c r="B272" s="413" t="s">
        <v>123</v>
      </c>
      <c r="C272" s="384">
        <v>1</v>
      </c>
      <c r="D272" s="482" t="s">
        <v>3217</v>
      </c>
      <c r="E272" s="486" t="s">
        <v>5434</v>
      </c>
      <c r="F272" s="593" t="s">
        <v>3218</v>
      </c>
      <c r="G272" s="634" t="s">
        <v>6215</v>
      </c>
      <c r="H272" s="882"/>
      <c r="I272" s="1266"/>
    </row>
    <row r="273" spans="1:9" hidden="1">
      <c r="A273" s="428" t="s">
        <v>6268</v>
      </c>
      <c r="B273" s="413" t="s">
        <v>123</v>
      </c>
      <c r="C273" s="384">
        <v>1</v>
      </c>
      <c r="D273" s="482" t="s">
        <v>3219</v>
      </c>
      <c r="E273" s="486" t="s">
        <v>5435</v>
      </c>
      <c r="F273" s="593" t="s">
        <v>3220</v>
      </c>
      <c r="G273" s="634" t="s">
        <v>6215</v>
      </c>
      <c r="H273" s="882"/>
      <c r="I273" s="1266"/>
    </row>
    <row r="274" spans="1:9" hidden="1">
      <c r="A274" s="428" t="s">
        <v>6268</v>
      </c>
      <c r="B274" s="413" t="s">
        <v>123</v>
      </c>
      <c r="C274" s="384">
        <v>1</v>
      </c>
      <c r="D274" s="482" t="s">
        <v>3221</v>
      </c>
      <c r="E274" s="486" t="s">
        <v>5436</v>
      </c>
      <c r="F274" s="593" t="s">
        <v>3222</v>
      </c>
      <c r="G274" s="634" t="s">
        <v>6215</v>
      </c>
      <c r="H274" s="882"/>
      <c r="I274" s="1266"/>
    </row>
    <row r="275" spans="1:9" hidden="1">
      <c r="A275" s="428" t="s">
        <v>6268</v>
      </c>
      <c r="B275" s="413" t="s">
        <v>123</v>
      </c>
      <c r="C275" s="384">
        <v>1</v>
      </c>
      <c r="D275" s="482" t="s">
        <v>3223</v>
      </c>
      <c r="E275" s="486" t="s">
        <v>5437</v>
      </c>
      <c r="F275" s="593" t="s">
        <v>3224</v>
      </c>
      <c r="G275" s="634" t="s">
        <v>6215</v>
      </c>
      <c r="H275" s="882"/>
      <c r="I275" s="1266"/>
    </row>
    <row r="276" spans="1:9" hidden="1">
      <c r="A276" s="428" t="s">
        <v>6268</v>
      </c>
      <c r="B276" s="413" t="s">
        <v>123</v>
      </c>
      <c r="C276" s="384">
        <v>1</v>
      </c>
      <c r="D276" s="482" t="s">
        <v>3225</v>
      </c>
      <c r="E276" s="486" t="s">
        <v>5438</v>
      </c>
      <c r="F276" s="593" t="s">
        <v>3226</v>
      </c>
      <c r="G276" s="634" t="s">
        <v>6215</v>
      </c>
      <c r="H276" s="882"/>
      <c r="I276" s="1266"/>
    </row>
    <row r="277" spans="1:9" hidden="1">
      <c r="A277" s="428" t="s">
        <v>6268</v>
      </c>
      <c r="B277" s="413" t="s">
        <v>123</v>
      </c>
      <c r="C277" s="384">
        <v>1</v>
      </c>
      <c r="D277" s="482" t="s">
        <v>3227</v>
      </c>
      <c r="E277" s="486" t="s">
        <v>5439</v>
      </c>
      <c r="F277" s="593" t="s">
        <v>3228</v>
      </c>
      <c r="G277" s="634" t="s">
        <v>6215</v>
      </c>
      <c r="H277" s="882"/>
      <c r="I277" s="1266"/>
    </row>
    <row r="278" spans="1:9" hidden="1">
      <c r="A278" s="428" t="s">
        <v>6268</v>
      </c>
      <c r="B278" s="413" t="s">
        <v>123</v>
      </c>
      <c r="C278" s="384">
        <v>1</v>
      </c>
      <c r="D278" s="482" t="s">
        <v>3229</v>
      </c>
      <c r="E278" s="486" t="s">
        <v>5440</v>
      </c>
      <c r="F278" s="593" t="s">
        <v>3230</v>
      </c>
      <c r="G278" s="634" t="s">
        <v>6215</v>
      </c>
      <c r="H278" s="882"/>
      <c r="I278" s="1266"/>
    </row>
    <row r="279" spans="1:9" hidden="1">
      <c r="A279" s="428" t="s">
        <v>6268</v>
      </c>
      <c r="B279" s="413" t="s">
        <v>123</v>
      </c>
      <c r="C279" s="384">
        <v>1</v>
      </c>
      <c r="D279" s="482" t="s">
        <v>3231</v>
      </c>
      <c r="E279" s="486" t="s">
        <v>5441</v>
      </c>
      <c r="F279" s="593" t="s">
        <v>3232</v>
      </c>
      <c r="G279" s="634" t="s">
        <v>6215</v>
      </c>
      <c r="H279" s="882"/>
      <c r="I279" s="1266"/>
    </row>
    <row r="280" spans="1:9" hidden="1">
      <c r="A280" s="428" t="s">
        <v>6268</v>
      </c>
      <c r="B280" s="413" t="s">
        <v>123</v>
      </c>
      <c r="C280" s="384">
        <v>1</v>
      </c>
      <c r="D280" s="482" t="s">
        <v>3233</v>
      </c>
      <c r="E280" s="486" t="s">
        <v>5442</v>
      </c>
      <c r="F280" s="593" t="s">
        <v>3234</v>
      </c>
      <c r="G280" s="634" t="s">
        <v>6215</v>
      </c>
      <c r="H280" s="882"/>
      <c r="I280" s="1266"/>
    </row>
    <row r="281" spans="1:9" hidden="1">
      <c r="A281" s="428" t="s">
        <v>6268</v>
      </c>
      <c r="B281" s="413" t="s">
        <v>123</v>
      </c>
      <c r="C281" s="384">
        <v>1</v>
      </c>
      <c r="D281" s="482" t="s">
        <v>3235</v>
      </c>
      <c r="E281" s="486" t="s">
        <v>5443</v>
      </c>
      <c r="F281" s="593" t="s">
        <v>3236</v>
      </c>
      <c r="G281" s="634" t="s">
        <v>6215</v>
      </c>
      <c r="H281" s="882"/>
      <c r="I281" s="1266"/>
    </row>
    <row r="282" spans="1:9" hidden="1">
      <c r="A282" s="428" t="s">
        <v>6268</v>
      </c>
      <c r="B282" s="413" t="s">
        <v>123</v>
      </c>
      <c r="C282" s="384">
        <v>1</v>
      </c>
      <c r="D282" s="482" t="s">
        <v>3237</v>
      </c>
      <c r="E282" s="486" t="s">
        <v>5444</v>
      </c>
      <c r="F282" s="593" t="s">
        <v>3238</v>
      </c>
      <c r="G282" s="634" t="s">
        <v>6215</v>
      </c>
      <c r="H282" s="882"/>
      <c r="I282" s="1266"/>
    </row>
    <row r="283" spans="1:9" hidden="1">
      <c r="A283" s="428" t="s">
        <v>6268</v>
      </c>
      <c r="B283" s="413" t="s">
        <v>123</v>
      </c>
      <c r="C283" s="384">
        <v>1</v>
      </c>
      <c r="D283" s="482" t="s">
        <v>3239</v>
      </c>
      <c r="E283" s="486" t="s">
        <v>5445</v>
      </c>
      <c r="F283" s="593" t="s">
        <v>3240</v>
      </c>
      <c r="G283" s="634" t="s">
        <v>6215</v>
      </c>
      <c r="H283" s="882"/>
      <c r="I283" s="1266"/>
    </row>
    <row r="284" spans="1:9" hidden="1">
      <c r="A284" s="428" t="s">
        <v>6268</v>
      </c>
      <c r="B284" s="413" t="s">
        <v>123</v>
      </c>
      <c r="C284" s="384">
        <v>1</v>
      </c>
      <c r="D284" s="482" t="s">
        <v>3241</v>
      </c>
      <c r="E284" s="486" t="s">
        <v>5446</v>
      </c>
      <c r="F284" s="593" t="s">
        <v>3242</v>
      </c>
      <c r="G284" s="634" t="s">
        <v>6215</v>
      </c>
      <c r="H284" s="882"/>
      <c r="I284" s="1266"/>
    </row>
    <row r="285" spans="1:9" hidden="1">
      <c r="A285" s="428" t="s">
        <v>6268</v>
      </c>
      <c r="B285" s="413" t="s">
        <v>123</v>
      </c>
      <c r="C285" s="384">
        <v>1</v>
      </c>
      <c r="D285" s="482">
        <v>24</v>
      </c>
      <c r="E285" s="486" t="s">
        <v>5447</v>
      </c>
      <c r="F285" s="593" t="s">
        <v>3243</v>
      </c>
      <c r="G285" s="634" t="s">
        <v>6215</v>
      </c>
      <c r="H285" s="882"/>
      <c r="I285" s="1266"/>
    </row>
    <row r="286" spans="1:9" hidden="1">
      <c r="A286" s="428" t="s">
        <v>6268</v>
      </c>
      <c r="B286" s="413" t="s">
        <v>123</v>
      </c>
      <c r="C286" s="384">
        <v>1</v>
      </c>
      <c r="D286" s="482" t="s">
        <v>3244</v>
      </c>
      <c r="E286" s="486" t="s">
        <v>5448</v>
      </c>
      <c r="F286" s="593" t="s">
        <v>3245</v>
      </c>
      <c r="G286" s="634" t="s">
        <v>6215</v>
      </c>
      <c r="H286" s="882"/>
      <c r="I286" s="1266"/>
    </row>
    <row r="287" spans="1:9" hidden="1">
      <c r="A287" s="428" t="s">
        <v>6268</v>
      </c>
      <c r="B287" s="413" t="s">
        <v>123</v>
      </c>
      <c r="C287" s="384">
        <v>1</v>
      </c>
      <c r="D287" s="482" t="s">
        <v>3246</v>
      </c>
      <c r="E287" s="486" t="s">
        <v>5449</v>
      </c>
      <c r="F287" s="593" t="s">
        <v>3247</v>
      </c>
      <c r="G287" s="634" t="s">
        <v>6215</v>
      </c>
      <c r="H287" s="882"/>
      <c r="I287" s="1266"/>
    </row>
    <row r="288" spans="1:9" hidden="1">
      <c r="A288" s="428" t="s">
        <v>6268</v>
      </c>
      <c r="B288" s="413" t="s">
        <v>123</v>
      </c>
      <c r="C288" s="384">
        <v>1</v>
      </c>
      <c r="D288" s="482" t="s">
        <v>3248</v>
      </c>
      <c r="E288" s="486" t="s">
        <v>5450</v>
      </c>
      <c r="F288" s="593" t="s">
        <v>3249</v>
      </c>
      <c r="G288" s="634" t="s">
        <v>6215</v>
      </c>
      <c r="H288" s="882"/>
      <c r="I288" s="1266"/>
    </row>
    <row r="289" spans="1:9" hidden="1">
      <c r="A289" s="428" t="s">
        <v>6268</v>
      </c>
      <c r="B289" s="413" t="s">
        <v>123</v>
      </c>
      <c r="C289" s="384">
        <v>1</v>
      </c>
      <c r="D289" s="482" t="s">
        <v>3250</v>
      </c>
      <c r="E289" s="486" t="s">
        <v>5451</v>
      </c>
      <c r="F289" s="593" t="s">
        <v>3251</v>
      </c>
      <c r="G289" s="634" t="s">
        <v>6215</v>
      </c>
      <c r="H289" s="882"/>
      <c r="I289" s="1266"/>
    </row>
    <row r="290" spans="1:9" hidden="1">
      <c r="A290" s="428" t="s">
        <v>6268</v>
      </c>
      <c r="B290" s="413" t="s">
        <v>123</v>
      </c>
      <c r="C290" s="384">
        <v>1</v>
      </c>
      <c r="D290" s="482" t="s">
        <v>3252</v>
      </c>
      <c r="E290" s="486" t="s">
        <v>5452</v>
      </c>
      <c r="F290" s="593" t="s">
        <v>3253</v>
      </c>
      <c r="G290" s="634" t="s">
        <v>6215</v>
      </c>
      <c r="H290" s="882"/>
      <c r="I290" s="1266"/>
    </row>
    <row r="291" spans="1:9" hidden="1">
      <c r="A291" s="428" t="s">
        <v>6268</v>
      </c>
      <c r="B291" s="413" t="s">
        <v>123</v>
      </c>
      <c r="C291" s="384">
        <v>1</v>
      </c>
      <c r="D291" s="482" t="s">
        <v>3254</v>
      </c>
      <c r="E291" s="486" t="s">
        <v>5453</v>
      </c>
      <c r="F291" s="593" t="s">
        <v>3255</v>
      </c>
      <c r="G291" s="634" t="s">
        <v>6215</v>
      </c>
      <c r="H291" s="882"/>
      <c r="I291" s="1266"/>
    </row>
    <row r="292" spans="1:9" hidden="1">
      <c r="A292" s="428" t="s">
        <v>6268</v>
      </c>
      <c r="B292" s="413" t="s">
        <v>123</v>
      </c>
      <c r="C292" s="384">
        <v>1</v>
      </c>
      <c r="D292" s="482" t="s">
        <v>3256</v>
      </c>
      <c r="E292" s="486" t="s">
        <v>5454</v>
      </c>
      <c r="F292" s="593" t="s">
        <v>3257</v>
      </c>
      <c r="G292" s="634" t="s">
        <v>6215</v>
      </c>
      <c r="H292" s="882"/>
      <c r="I292" s="1266"/>
    </row>
    <row r="293" spans="1:9" hidden="1">
      <c r="A293" s="428" t="s">
        <v>6268</v>
      </c>
      <c r="B293" s="413" t="s">
        <v>123</v>
      </c>
      <c r="C293" s="384">
        <v>1</v>
      </c>
      <c r="D293" s="482" t="s">
        <v>3258</v>
      </c>
      <c r="E293" s="486" t="s">
        <v>5455</v>
      </c>
      <c r="F293" s="593" t="s">
        <v>3259</v>
      </c>
      <c r="G293" s="634" t="s">
        <v>6215</v>
      </c>
      <c r="H293" s="882"/>
      <c r="I293" s="1266"/>
    </row>
    <row r="294" spans="1:9" hidden="1">
      <c r="A294" s="428" t="s">
        <v>6268</v>
      </c>
      <c r="B294" s="413" t="s">
        <v>123</v>
      </c>
      <c r="C294" s="384">
        <v>1</v>
      </c>
      <c r="D294" s="482" t="s">
        <v>3260</v>
      </c>
      <c r="E294" s="486" t="s">
        <v>5456</v>
      </c>
      <c r="F294" s="593" t="s">
        <v>3261</v>
      </c>
      <c r="G294" s="634" t="s">
        <v>6215</v>
      </c>
      <c r="H294" s="882"/>
      <c r="I294" s="1266"/>
    </row>
    <row r="295" spans="1:9" hidden="1">
      <c r="A295" s="428" t="s">
        <v>6268</v>
      </c>
      <c r="B295" s="413" t="s">
        <v>123</v>
      </c>
      <c r="C295" s="384">
        <v>1</v>
      </c>
      <c r="D295" s="482" t="s">
        <v>3262</v>
      </c>
      <c r="E295" s="486" t="s">
        <v>5457</v>
      </c>
      <c r="F295" s="593" t="s">
        <v>3263</v>
      </c>
      <c r="G295" s="634" t="s">
        <v>6215</v>
      </c>
      <c r="H295" s="882"/>
      <c r="I295" s="1266"/>
    </row>
    <row r="296" spans="1:9" hidden="1">
      <c r="A296" s="428" t="s">
        <v>6268</v>
      </c>
      <c r="B296" s="413" t="s">
        <v>123</v>
      </c>
      <c r="C296" s="384">
        <v>1</v>
      </c>
      <c r="D296" s="482" t="s">
        <v>3264</v>
      </c>
      <c r="E296" s="486" t="s">
        <v>5458</v>
      </c>
      <c r="F296" s="593" t="s">
        <v>3265</v>
      </c>
      <c r="G296" s="634" t="s">
        <v>6215</v>
      </c>
      <c r="H296" s="882"/>
      <c r="I296" s="1266"/>
    </row>
    <row r="297" spans="1:9" hidden="1">
      <c r="A297" s="428" t="s">
        <v>6268</v>
      </c>
      <c r="B297" s="413" t="s">
        <v>123</v>
      </c>
      <c r="C297" s="384">
        <v>1</v>
      </c>
      <c r="D297" s="482" t="s">
        <v>3266</v>
      </c>
      <c r="E297" s="486" t="s">
        <v>5459</v>
      </c>
      <c r="F297" s="593" t="s">
        <v>3267</v>
      </c>
      <c r="G297" s="634" t="s">
        <v>6215</v>
      </c>
      <c r="H297" s="882"/>
      <c r="I297" s="1266"/>
    </row>
    <row r="298" spans="1:9" hidden="1">
      <c r="A298" s="428" t="s">
        <v>6268</v>
      </c>
      <c r="B298" s="413" t="s">
        <v>123</v>
      </c>
      <c r="C298" s="384">
        <v>1</v>
      </c>
      <c r="D298" s="482" t="s">
        <v>3268</v>
      </c>
      <c r="E298" s="486" t="s">
        <v>5460</v>
      </c>
      <c r="F298" s="593" t="s">
        <v>3269</v>
      </c>
      <c r="G298" s="634" t="s">
        <v>6215</v>
      </c>
      <c r="H298" s="882"/>
      <c r="I298" s="1266"/>
    </row>
    <row r="299" spans="1:9" hidden="1">
      <c r="A299" s="428" t="s">
        <v>6268</v>
      </c>
      <c r="B299" s="413" t="s">
        <v>123</v>
      </c>
      <c r="C299" s="384">
        <v>1</v>
      </c>
      <c r="D299" s="482" t="s">
        <v>3270</v>
      </c>
      <c r="E299" s="486" t="s">
        <v>5461</v>
      </c>
      <c r="F299" s="593" t="s">
        <v>3271</v>
      </c>
      <c r="G299" s="634" t="s">
        <v>6215</v>
      </c>
      <c r="H299" s="882"/>
      <c r="I299" s="1266"/>
    </row>
    <row r="300" spans="1:9" hidden="1">
      <c r="A300" s="428" t="s">
        <v>6268</v>
      </c>
      <c r="B300" s="413" t="s">
        <v>123</v>
      </c>
      <c r="C300" s="384">
        <v>1</v>
      </c>
      <c r="D300" s="482" t="s">
        <v>3272</v>
      </c>
      <c r="E300" s="486" t="s">
        <v>5462</v>
      </c>
      <c r="F300" s="593" t="s">
        <v>3273</v>
      </c>
      <c r="G300" s="634" t="s">
        <v>6215</v>
      </c>
      <c r="H300" s="882"/>
      <c r="I300" s="1266"/>
    </row>
    <row r="301" spans="1:9" hidden="1">
      <c r="A301" s="428" t="s">
        <v>6268</v>
      </c>
      <c r="B301" s="413" t="s">
        <v>123</v>
      </c>
      <c r="C301" s="384">
        <v>1</v>
      </c>
      <c r="D301" s="482" t="s">
        <v>3274</v>
      </c>
      <c r="E301" s="486" t="s">
        <v>5463</v>
      </c>
      <c r="F301" s="593" t="s">
        <v>3275</v>
      </c>
      <c r="G301" s="634" t="s">
        <v>6215</v>
      </c>
      <c r="H301" s="882"/>
      <c r="I301" s="1266"/>
    </row>
    <row r="302" spans="1:9" hidden="1">
      <c r="A302" s="428" t="s">
        <v>6268</v>
      </c>
      <c r="B302" s="413" t="s">
        <v>123</v>
      </c>
      <c r="C302" s="384">
        <v>1</v>
      </c>
      <c r="D302" s="482" t="s">
        <v>3276</v>
      </c>
      <c r="E302" s="486" t="s">
        <v>5464</v>
      </c>
      <c r="F302" s="593" t="s">
        <v>3277</v>
      </c>
      <c r="G302" s="634" t="s">
        <v>6215</v>
      </c>
      <c r="H302" s="882"/>
      <c r="I302" s="1266"/>
    </row>
    <row r="303" spans="1:9" hidden="1">
      <c r="A303" s="428" t="s">
        <v>6268</v>
      </c>
      <c r="B303" s="413" t="s">
        <v>123</v>
      </c>
      <c r="C303" s="384">
        <v>1</v>
      </c>
      <c r="D303" s="482" t="s">
        <v>3278</v>
      </c>
      <c r="E303" s="486" t="s">
        <v>5465</v>
      </c>
      <c r="F303" s="593" t="s">
        <v>3279</v>
      </c>
      <c r="G303" s="634" t="s">
        <v>6215</v>
      </c>
      <c r="H303" s="882"/>
      <c r="I303" s="1266"/>
    </row>
    <row r="304" spans="1:9" hidden="1">
      <c r="A304" s="428" t="s">
        <v>6268</v>
      </c>
      <c r="B304" s="413" t="s">
        <v>123</v>
      </c>
      <c r="C304" s="384">
        <v>1</v>
      </c>
      <c r="D304" s="482" t="s">
        <v>3280</v>
      </c>
      <c r="E304" s="486" t="s">
        <v>5466</v>
      </c>
      <c r="F304" s="593" t="s">
        <v>3281</v>
      </c>
      <c r="G304" s="634" t="s">
        <v>6215</v>
      </c>
      <c r="H304" s="882"/>
      <c r="I304" s="1266"/>
    </row>
    <row r="305" spans="1:9" hidden="1">
      <c r="A305" s="428" t="s">
        <v>6268</v>
      </c>
      <c r="B305" s="413" t="s">
        <v>123</v>
      </c>
      <c r="C305" s="384">
        <v>1</v>
      </c>
      <c r="D305" s="482">
        <v>25</v>
      </c>
      <c r="E305" s="486" t="s">
        <v>5467</v>
      </c>
      <c r="F305" s="593" t="s">
        <v>3282</v>
      </c>
      <c r="G305" s="634" t="s">
        <v>6215</v>
      </c>
      <c r="H305" s="882"/>
      <c r="I305" s="1266"/>
    </row>
    <row r="306" spans="1:9" hidden="1">
      <c r="A306" s="428" t="s">
        <v>6268</v>
      </c>
      <c r="B306" s="413" t="s">
        <v>123</v>
      </c>
      <c r="C306" s="384">
        <v>1</v>
      </c>
      <c r="D306" s="482" t="s">
        <v>3283</v>
      </c>
      <c r="E306" s="486" t="s">
        <v>5468</v>
      </c>
      <c r="F306" s="593" t="s">
        <v>3284</v>
      </c>
      <c r="G306" s="634" t="s">
        <v>6215</v>
      </c>
      <c r="H306" s="882"/>
      <c r="I306" s="1266"/>
    </row>
    <row r="307" spans="1:9" hidden="1">
      <c r="A307" s="428" t="s">
        <v>6268</v>
      </c>
      <c r="B307" s="413" t="s">
        <v>123</v>
      </c>
      <c r="C307" s="384">
        <v>1</v>
      </c>
      <c r="D307" s="482" t="s">
        <v>3285</v>
      </c>
      <c r="E307" s="486" t="s">
        <v>5469</v>
      </c>
      <c r="F307" s="593" t="s">
        <v>3286</v>
      </c>
      <c r="G307" s="634" t="s">
        <v>6215</v>
      </c>
      <c r="H307" s="882"/>
      <c r="I307" s="1266"/>
    </row>
    <row r="308" spans="1:9" hidden="1">
      <c r="A308" s="428" t="s">
        <v>6268</v>
      </c>
      <c r="B308" s="413" t="s">
        <v>123</v>
      </c>
      <c r="C308" s="384">
        <v>1</v>
      </c>
      <c r="D308" s="482" t="s">
        <v>3287</v>
      </c>
      <c r="E308" s="486" t="s">
        <v>5470</v>
      </c>
      <c r="F308" s="593" t="s">
        <v>3288</v>
      </c>
      <c r="G308" s="634" t="s">
        <v>6215</v>
      </c>
      <c r="H308" s="882"/>
      <c r="I308" s="1266"/>
    </row>
    <row r="309" spans="1:9" hidden="1">
      <c r="A309" s="428" t="s">
        <v>6268</v>
      </c>
      <c r="B309" s="413" t="s">
        <v>123</v>
      </c>
      <c r="C309" s="384">
        <v>1</v>
      </c>
      <c r="D309" s="482" t="s">
        <v>3289</v>
      </c>
      <c r="E309" s="486" t="s">
        <v>5471</v>
      </c>
      <c r="F309" s="593" t="s">
        <v>3290</v>
      </c>
      <c r="G309" s="634" t="s">
        <v>6215</v>
      </c>
      <c r="H309" s="882"/>
      <c r="I309" s="1266"/>
    </row>
    <row r="310" spans="1:9" hidden="1">
      <c r="A310" s="428" t="s">
        <v>6268</v>
      </c>
      <c r="B310" s="413" t="s">
        <v>123</v>
      </c>
      <c r="C310" s="384">
        <v>1</v>
      </c>
      <c r="D310" s="482" t="s">
        <v>3291</v>
      </c>
      <c r="E310" s="486" t="s">
        <v>5472</v>
      </c>
      <c r="F310" s="593" t="s">
        <v>3292</v>
      </c>
      <c r="G310" s="634" t="s">
        <v>6215</v>
      </c>
      <c r="H310" s="882"/>
      <c r="I310" s="1266"/>
    </row>
    <row r="311" spans="1:9" hidden="1">
      <c r="A311" s="428" t="s">
        <v>6268</v>
      </c>
      <c r="B311" s="413" t="s">
        <v>123</v>
      </c>
      <c r="C311" s="384">
        <v>1</v>
      </c>
      <c r="D311" s="482" t="s">
        <v>3293</v>
      </c>
      <c r="E311" s="486" t="s">
        <v>5473</v>
      </c>
      <c r="F311" s="593" t="s">
        <v>3294</v>
      </c>
      <c r="G311" s="634" t="s">
        <v>6215</v>
      </c>
      <c r="H311" s="882"/>
      <c r="I311" s="1266"/>
    </row>
    <row r="312" spans="1:9" hidden="1">
      <c r="A312" s="428" t="s">
        <v>6268</v>
      </c>
      <c r="B312" s="413" t="s">
        <v>123</v>
      </c>
      <c r="C312" s="384">
        <v>1</v>
      </c>
      <c r="D312" s="482" t="s">
        <v>3295</v>
      </c>
      <c r="E312" s="486" t="s">
        <v>5474</v>
      </c>
      <c r="F312" s="593" t="s">
        <v>3296</v>
      </c>
      <c r="G312" s="634" t="s">
        <v>6215</v>
      </c>
      <c r="H312" s="882"/>
      <c r="I312" s="1266"/>
    </row>
    <row r="313" spans="1:9" hidden="1">
      <c r="A313" s="428" t="s">
        <v>6268</v>
      </c>
      <c r="B313" s="413" t="s">
        <v>123</v>
      </c>
      <c r="C313" s="384">
        <v>1</v>
      </c>
      <c r="D313" s="482" t="s">
        <v>3297</v>
      </c>
      <c r="E313" s="486" t="s">
        <v>5475</v>
      </c>
      <c r="F313" s="593" t="s">
        <v>3298</v>
      </c>
      <c r="G313" s="634" t="s">
        <v>6215</v>
      </c>
      <c r="H313" s="882"/>
      <c r="I313" s="1266"/>
    </row>
    <row r="314" spans="1:9" hidden="1">
      <c r="A314" s="428" t="s">
        <v>6268</v>
      </c>
      <c r="B314" s="413" t="s">
        <v>123</v>
      </c>
      <c r="C314" s="384">
        <v>1</v>
      </c>
      <c r="D314" s="482" t="s">
        <v>3299</v>
      </c>
      <c r="E314" s="486" t="s">
        <v>5476</v>
      </c>
      <c r="F314" s="593" t="s">
        <v>3300</v>
      </c>
      <c r="G314" s="634" t="s">
        <v>6215</v>
      </c>
      <c r="H314" s="882"/>
      <c r="I314" s="1266"/>
    </row>
    <row r="315" spans="1:9" hidden="1">
      <c r="A315" s="428" t="s">
        <v>6268</v>
      </c>
      <c r="B315" s="413" t="s">
        <v>123</v>
      </c>
      <c r="C315" s="384">
        <v>1</v>
      </c>
      <c r="D315" s="482" t="s">
        <v>3301</v>
      </c>
      <c r="E315" s="486" t="s">
        <v>5477</v>
      </c>
      <c r="F315" s="593" t="s">
        <v>3302</v>
      </c>
      <c r="G315" s="634" t="s">
        <v>6215</v>
      </c>
      <c r="H315" s="882"/>
      <c r="I315" s="1266"/>
    </row>
    <row r="316" spans="1:9" hidden="1">
      <c r="A316" s="428" t="s">
        <v>6268</v>
      </c>
      <c r="B316" s="413" t="s">
        <v>123</v>
      </c>
      <c r="C316" s="384">
        <v>1</v>
      </c>
      <c r="D316" s="482" t="s">
        <v>3303</v>
      </c>
      <c r="E316" s="486" t="s">
        <v>5478</v>
      </c>
      <c r="F316" s="593" t="s">
        <v>3304</v>
      </c>
      <c r="G316" s="634" t="s">
        <v>6215</v>
      </c>
      <c r="H316" s="882"/>
      <c r="I316" s="1266"/>
    </row>
    <row r="317" spans="1:9" hidden="1">
      <c r="A317" s="428" t="s">
        <v>6268</v>
      </c>
      <c r="B317" s="413" t="s">
        <v>123</v>
      </c>
      <c r="C317" s="384">
        <v>1</v>
      </c>
      <c r="D317" s="482" t="s">
        <v>3305</v>
      </c>
      <c r="E317" s="486" t="s">
        <v>5479</v>
      </c>
      <c r="F317" s="593" t="s">
        <v>3306</v>
      </c>
      <c r="G317" s="634" t="s">
        <v>6215</v>
      </c>
      <c r="H317" s="882"/>
      <c r="I317" s="1266"/>
    </row>
    <row r="318" spans="1:9" hidden="1">
      <c r="A318" s="428" t="s">
        <v>6268</v>
      </c>
      <c r="B318" s="413" t="s">
        <v>123</v>
      </c>
      <c r="C318" s="384">
        <v>1</v>
      </c>
      <c r="D318" s="482" t="s">
        <v>3307</v>
      </c>
      <c r="E318" s="486" t="s">
        <v>5480</v>
      </c>
      <c r="F318" s="593" t="s">
        <v>3308</v>
      </c>
      <c r="G318" s="634" t="s">
        <v>6215</v>
      </c>
      <c r="H318" s="882"/>
      <c r="I318" s="1266"/>
    </row>
    <row r="319" spans="1:9" hidden="1">
      <c r="A319" s="428" t="s">
        <v>6268</v>
      </c>
      <c r="B319" s="413" t="s">
        <v>123</v>
      </c>
      <c r="C319" s="384">
        <v>1</v>
      </c>
      <c r="D319" s="482" t="s">
        <v>3309</v>
      </c>
      <c r="E319" s="486" t="s">
        <v>5481</v>
      </c>
      <c r="F319" s="593" t="s">
        <v>3310</v>
      </c>
      <c r="G319" s="634" t="s">
        <v>6215</v>
      </c>
      <c r="H319" s="882"/>
      <c r="I319" s="1266"/>
    </row>
    <row r="320" spans="1:9" hidden="1">
      <c r="A320" s="428" t="s">
        <v>6268</v>
      </c>
      <c r="B320" s="413" t="s">
        <v>123</v>
      </c>
      <c r="C320" s="384">
        <v>1</v>
      </c>
      <c r="D320" s="482" t="s">
        <v>3311</v>
      </c>
      <c r="E320" s="486" t="s">
        <v>5482</v>
      </c>
      <c r="F320" s="593" t="s">
        <v>3312</v>
      </c>
      <c r="G320" s="634" t="s">
        <v>6215</v>
      </c>
      <c r="H320" s="882"/>
      <c r="I320" s="1266"/>
    </row>
    <row r="321" spans="1:9" hidden="1">
      <c r="A321" s="428" t="s">
        <v>6268</v>
      </c>
      <c r="B321" s="413" t="s">
        <v>123</v>
      </c>
      <c r="C321" s="384">
        <v>1</v>
      </c>
      <c r="D321" s="482" t="s">
        <v>3313</v>
      </c>
      <c r="E321" s="486" t="s">
        <v>5483</v>
      </c>
      <c r="F321" s="593" t="s">
        <v>3314</v>
      </c>
      <c r="G321" s="634" t="s">
        <v>6215</v>
      </c>
      <c r="H321" s="882"/>
      <c r="I321" s="1266"/>
    </row>
    <row r="322" spans="1:9" hidden="1">
      <c r="A322" s="428" t="s">
        <v>6268</v>
      </c>
      <c r="B322" s="413" t="s">
        <v>123</v>
      </c>
      <c r="C322" s="384">
        <v>1</v>
      </c>
      <c r="D322" s="482" t="s">
        <v>3315</v>
      </c>
      <c r="E322" s="486" t="s">
        <v>5484</v>
      </c>
      <c r="F322" s="593" t="s">
        <v>3316</v>
      </c>
      <c r="G322" s="634" t="s">
        <v>6215</v>
      </c>
      <c r="H322" s="882"/>
      <c r="I322" s="1266"/>
    </row>
    <row r="323" spans="1:9" hidden="1">
      <c r="A323" s="428" t="s">
        <v>6268</v>
      </c>
      <c r="B323" s="413" t="s">
        <v>123</v>
      </c>
      <c r="C323" s="384">
        <v>1</v>
      </c>
      <c r="D323" s="482" t="s">
        <v>3317</v>
      </c>
      <c r="E323" s="486" t="s">
        <v>5485</v>
      </c>
      <c r="F323" s="593" t="s">
        <v>3318</v>
      </c>
      <c r="G323" s="634" t="s">
        <v>6215</v>
      </c>
      <c r="H323" s="882"/>
      <c r="I323" s="1266"/>
    </row>
    <row r="324" spans="1:9" hidden="1">
      <c r="A324" s="428" t="s">
        <v>6268</v>
      </c>
      <c r="B324" s="413" t="s">
        <v>123</v>
      </c>
      <c r="C324" s="384">
        <v>1</v>
      </c>
      <c r="D324" s="482" t="s">
        <v>3319</v>
      </c>
      <c r="E324" s="486" t="s">
        <v>5486</v>
      </c>
      <c r="F324" s="593" t="s">
        <v>3320</v>
      </c>
      <c r="G324" s="634" t="s">
        <v>6215</v>
      </c>
      <c r="H324" s="882"/>
      <c r="I324" s="1266"/>
    </row>
    <row r="325" spans="1:9" hidden="1">
      <c r="A325" s="428" t="s">
        <v>6268</v>
      </c>
      <c r="B325" s="413" t="s">
        <v>123</v>
      </c>
      <c r="C325" s="384">
        <v>1</v>
      </c>
      <c r="D325" s="482" t="s">
        <v>3321</v>
      </c>
      <c r="E325" s="486" t="s">
        <v>5487</v>
      </c>
      <c r="F325" s="593" t="s">
        <v>3322</v>
      </c>
      <c r="G325" s="634" t="s">
        <v>6215</v>
      </c>
      <c r="H325" s="882"/>
      <c r="I325" s="1266"/>
    </row>
    <row r="326" spans="1:9" hidden="1">
      <c r="A326" s="428" t="s">
        <v>6268</v>
      </c>
      <c r="B326" s="413" t="s">
        <v>123</v>
      </c>
      <c r="C326" s="384">
        <v>1</v>
      </c>
      <c r="D326" s="482" t="s">
        <v>3323</v>
      </c>
      <c r="E326" s="486" t="s">
        <v>5488</v>
      </c>
      <c r="F326" s="593" t="s">
        <v>3324</v>
      </c>
      <c r="G326" s="634" t="s">
        <v>6215</v>
      </c>
      <c r="H326" s="882"/>
      <c r="I326" s="1266"/>
    </row>
    <row r="327" spans="1:9" hidden="1">
      <c r="A327" s="428" t="s">
        <v>6268</v>
      </c>
      <c r="B327" s="413" t="s">
        <v>123</v>
      </c>
      <c r="C327" s="384">
        <v>1</v>
      </c>
      <c r="D327" s="482">
        <v>26</v>
      </c>
      <c r="E327" s="486" t="s">
        <v>5489</v>
      </c>
      <c r="F327" s="593" t="s">
        <v>3325</v>
      </c>
      <c r="G327" s="634" t="s">
        <v>6215</v>
      </c>
      <c r="H327" s="882"/>
      <c r="I327" s="1266"/>
    </row>
    <row r="328" spans="1:9" hidden="1">
      <c r="A328" s="428" t="s">
        <v>6268</v>
      </c>
      <c r="B328" s="413" t="s">
        <v>123</v>
      </c>
      <c r="C328" s="384">
        <v>1</v>
      </c>
      <c r="D328" s="482" t="s">
        <v>3326</v>
      </c>
      <c r="E328" s="486" t="s">
        <v>5490</v>
      </c>
      <c r="F328" s="593" t="s">
        <v>3327</v>
      </c>
      <c r="G328" s="634" t="s">
        <v>6215</v>
      </c>
      <c r="H328" s="882"/>
      <c r="I328" s="1266"/>
    </row>
    <row r="329" spans="1:9" hidden="1">
      <c r="A329" s="428" t="s">
        <v>6268</v>
      </c>
      <c r="B329" s="413" t="s">
        <v>123</v>
      </c>
      <c r="C329" s="384">
        <v>1</v>
      </c>
      <c r="D329" s="482" t="s">
        <v>3328</v>
      </c>
      <c r="E329" s="486" t="s">
        <v>5491</v>
      </c>
      <c r="F329" s="593" t="s">
        <v>3329</v>
      </c>
      <c r="G329" s="634" t="s">
        <v>6215</v>
      </c>
      <c r="H329" s="882"/>
      <c r="I329" s="1266"/>
    </row>
    <row r="330" spans="1:9" hidden="1">
      <c r="A330" s="428" t="s">
        <v>6268</v>
      </c>
      <c r="B330" s="413" t="s">
        <v>123</v>
      </c>
      <c r="C330" s="384">
        <v>1</v>
      </c>
      <c r="D330" s="482" t="s">
        <v>3330</v>
      </c>
      <c r="E330" s="486" t="s">
        <v>5492</v>
      </c>
      <c r="F330" s="593" t="s">
        <v>3331</v>
      </c>
      <c r="G330" s="634" t="s">
        <v>6215</v>
      </c>
      <c r="H330" s="882"/>
      <c r="I330" s="1266"/>
    </row>
    <row r="331" spans="1:9" hidden="1">
      <c r="A331" s="428" t="s">
        <v>6268</v>
      </c>
      <c r="B331" s="413" t="s">
        <v>123</v>
      </c>
      <c r="C331" s="384">
        <v>1</v>
      </c>
      <c r="D331" s="482" t="s">
        <v>3332</v>
      </c>
      <c r="E331" s="486" t="s">
        <v>5493</v>
      </c>
      <c r="F331" s="593" t="s">
        <v>3333</v>
      </c>
      <c r="G331" s="634" t="s">
        <v>6215</v>
      </c>
      <c r="H331" s="882"/>
      <c r="I331" s="1266"/>
    </row>
    <row r="332" spans="1:9" hidden="1">
      <c r="A332" s="428" t="s">
        <v>6268</v>
      </c>
      <c r="B332" s="413" t="s">
        <v>123</v>
      </c>
      <c r="C332" s="384">
        <v>1</v>
      </c>
      <c r="D332" s="482" t="s">
        <v>3334</v>
      </c>
      <c r="E332" s="486" t="s">
        <v>5494</v>
      </c>
      <c r="F332" s="593" t="s">
        <v>3335</v>
      </c>
      <c r="G332" s="634" t="s">
        <v>6215</v>
      </c>
      <c r="H332" s="882"/>
      <c r="I332" s="1266"/>
    </row>
    <row r="333" spans="1:9" hidden="1">
      <c r="A333" s="428" t="s">
        <v>6268</v>
      </c>
      <c r="B333" s="413" t="s">
        <v>123</v>
      </c>
      <c r="C333" s="384">
        <v>1</v>
      </c>
      <c r="D333" s="482" t="s">
        <v>3336</v>
      </c>
      <c r="E333" s="486" t="s">
        <v>5495</v>
      </c>
      <c r="F333" s="593" t="s">
        <v>3337</v>
      </c>
      <c r="G333" s="634" t="s">
        <v>6215</v>
      </c>
      <c r="H333" s="882"/>
      <c r="I333" s="1266"/>
    </row>
    <row r="334" spans="1:9" hidden="1">
      <c r="A334" s="428" t="s">
        <v>6268</v>
      </c>
      <c r="B334" s="413" t="s">
        <v>123</v>
      </c>
      <c r="C334" s="384">
        <v>1</v>
      </c>
      <c r="D334" s="482" t="s">
        <v>3338</v>
      </c>
      <c r="E334" s="486" t="s">
        <v>5496</v>
      </c>
      <c r="F334" s="593" t="s">
        <v>3339</v>
      </c>
      <c r="G334" s="634" t="s">
        <v>6215</v>
      </c>
      <c r="H334" s="882"/>
      <c r="I334" s="1266"/>
    </row>
    <row r="335" spans="1:9" hidden="1">
      <c r="A335" s="428" t="s">
        <v>6268</v>
      </c>
      <c r="B335" s="413" t="s">
        <v>123</v>
      </c>
      <c r="C335" s="384">
        <v>1</v>
      </c>
      <c r="D335" s="482" t="s">
        <v>3340</v>
      </c>
      <c r="E335" s="486" t="s">
        <v>5497</v>
      </c>
      <c r="F335" s="593" t="s">
        <v>3341</v>
      </c>
      <c r="G335" s="634" t="s">
        <v>6215</v>
      </c>
      <c r="H335" s="882"/>
      <c r="I335" s="1266"/>
    </row>
    <row r="336" spans="1:9" hidden="1">
      <c r="A336" s="428" t="s">
        <v>6268</v>
      </c>
      <c r="B336" s="413" t="s">
        <v>123</v>
      </c>
      <c r="C336" s="384">
        <v>1</v>
      </c>
      <c r="D336" s="482" t="s">
        <v>3342</v>
      </c>
      <c r="E336" s="486" t="s">
        <v>5498</v>
      </c>
      <c r="F336" s="593" t="s">
        <v>3343</v>
      </c>
      <c r="G336" s="634" t="s">
        <v>6215</v>
      </c>
      <c r="H336" s="882"/>
      <c r="I336" s="1266"/>
    </row>
    <row r="337" spans="1:9" hidden="1">
      <c r="A337" s="428" t="s">
        <v>6268</v>
      </c>
      <c r="B337" s="413" t="s">
        <v>123</v>
      </c>
      <c r="C337" s="384">
        <v>1</v>
      </c>
      <c r="D337" s="482" t="s">
        <v>3344</v>
      </c>
      <c r="E337" s="486" t="s">
        <v>5499</v>
      </c>
      <c r="F337" s="593" t="s">
        <v>3345</v>
      </c>
      <c r="G337" s="634" t="s">
        <v>6215</v>
      </c>
      <c r="H337" s="882"/>
      <c r="I337" s="1266"/>
    </row>
    <row r="338" spans="1:9" hidden="1">
      <c r="A338" s="428" t="s">
        <v>6268</v>
      </c>
      <c r="B338" s="413" t="s">
        <v>123</v>
      </c>
      <c r="C338" s="384">
        <v>1</v>
      </c>
      <c r="D338" s="482" t="s">
        <v>3346</v>
      </c>
      <c r="E338" s="486" t="s">
        <v>5500</v>
      </c>
      <c r="F338" s="593" t="s">
        <v>3347</v>
      </c>
      <c r="G338" s="634" t="s">
        <v>6215</v>
      </c>
      <c r="H338" s="882"/>
      <c r="I338" s="1266"/>
    </row>
    <row r="339" spans="1:9" hidden="1">
      <c r="A339" s="428" t="s">
        <v>6268</v>
      </c>
      <c r="B339" s="413" t="s">
        <v>123</v>
      </c>
      <c r="C339" s="384">
        <v>1</v>
      </c>
      <c r="D339" s="482" t="s">
        <v>3348</v>
      </c>
      <c r="E339" s="486" t="s">
        <v>5501</v>
      </c>
      <c r="F339" s="593" t="s">
        <v>3349</v>
      </c>
      <c r="G339" s="634" t="s">
        <v>6215</v>
      </c>
      <c r="H339" s="882"/>
      <c r="I339" s="1266"/>
    </row>
    <row r="340" spans="1:9" hidden="1">
      <c r="A340" s="428" t="s">
        <v>6268</v>
      </c>
      <c r="B340" s="413" t="s">
        <v>123</v>
      </c>
      <c r="C340" s="384">
        <v>1</v>
      </c>
      <c r="D340" s="482" t="s">
        <v>3350</v>
      </c>
      <c r="E340" s="486" t="s">
        <v>5502</v>
      </c>
      <c r="F340" s="593" t="s">
        <v>3351</v>
      </c>
      <c r="G340" s="634" t="s">
        <v>6215</v>
      </c>
      <c r="H340" s="882"/>
      <c r="I340" s="1266"/>
    </row>
    <row r="341" spans="1:9" hidden="1">
      <c r="A341" s="428" t="s">
        <v>6268</v>
      </c>
      <c r="B341" s="413" t="s">
        <v>123</v>
      </c>
      <c r="C341" s="384">
        <v>1</v>
      </c>
      <c r="D341" s="482">
        <v>27</v>
      </c>
      <c r="E341" s="486" t="s">
        <v>5503</v>
      </c>
      <c r="F341" s="593" t="s">
        <v>3352</v>
      </c>
      <c r="G341" s="634" t="s">
        <v>6215</v>
      </c>
      <c r="H341" s="882"/>
      <c r="I341" s="1266"/>
    </row>
    <row r="342" spans="1:9" hidden="1">
      <c r="A342" s="428" t="s">
        <v>6268</v>
      </c>
      <c r="B342" s="413" t="s">
        <v>123</v>
      </c>
      <c r="C342" s="384">
        <v>1</v>
      </c>
      <c r="D342" s="482" t="s">
        <v>3353</v>
      </c>
      <c r="E342" s="486" t="s">
        <v>5504</v>
      </c>
      <c r="F342" s="593" t="s">
        <v>3354</v>
      </c>
      <c r="G342" s="634" t="s">
        <v>6215</v>
      </c>
      <c r="H342" s="882"/>
      <c r="I342" s="1266"/>
    </row>
    <row r="343" spans="1:9" hidden="1">
      <c r="A343" s="428" t="s">
        <v>6268</v>
      </c>
      <c r="B343" s="413" t="s">
        <v>123</v>
      </c>
      <c r="C343" s="384">
        <v>1</v>
      </c>
      <c r="D343" s="482" t="s">
        <v>3355</v>
      </c>
      <c r="E343" s="486" t="s">
        <v>5505</v>
      </c>
      <c r="F343" s="593" t="s">
        <v>3356</v>
      </c>
      <c r="G343" s="634" t="s">
        <v>6215</v>
      </c>
      <c r="H343" s="882"/>
      <c r="I343" s="1266"/>
    </row>
    <row r="344" spans="1:9" hidden="1">
      <c r="A344" s="428" t="s">
        <v>6268</v>
      </c>
      <c r="B344" s="413" t="s">
        <v>123</v>
      </c>
      <c r="C344" s="384">
        <v>1</v>
      </c>
      <c r="D344" s="482" t="s">
        <v>3357</v>
      </c>
      <c r="E344" s="486" t="s">
        <v>5506</v>
      </c>
      <c r="F344" s="593" t="s">
        <v>3358</v>
      </c>
      <c r="G344" s="634" t="s">
        <v>6215</v>
      </c>
      <c r="H344" s="882"/>
      <c r="I344" s="1266"/>
    </row>
    <row r="345" spans="1:9" hidden="1">
      <c r="A345" s="428" t="s">
        <v>6268</v>
      </c>
      <c r="B345" s="413" t="s">
        <v>123</v>
      </c>
      <c r="C345" s="384">
        <v>1</v>
      </c>
      <c r="D345" s="482" t="s">
        <v>3359</v>
      </c>
      <c r="E345" s="486" t="s">
        <v>5507</v>
      </c>
      <c r="F345" s="593" t="s">
        <v>3360</v>
      </c>
      <c r="G345" s="634" t="s">
        <v>6215</v>
      </c>
      <c r="H345" s="882"/>
      <c r="I345" s="1266"/>
    </row>
    <row r="346" spans="1:9" hidden="1">
      <c r="A346" s="428" t="s">
        <v>6268</v>
      </c>
      <c r="B346" s="413" t="s">
        <v>123</v>
      </c>
      <c r="C346" s="384">
        <v>1</v>
      </c>
      <c r="D346" s="482" t="s">
        <v>3361</v>
      </c>
      <c r="E346" s="486" t="s">
        <v>5508</v>
      </c>
      <c r="F346" s="593" t="s">
        <v>3362</v>
      </c>
      <c r="G346" s="634" t="s">
        <v>6215</v>
      </c>
      <c r="H346" s="882"/>
      <c r="I346" s="1266"/>
    </row>
    <row r="347" spans="1:9" hidden="1">
      <c r="A347" s="428" t="s">
        <v>6268</v>
      </c>
      <c r="B347" s="413" t="s">
        <v>123</v>
      </c>
      <c r="C347" s="384">
        <v>1</v>
      </c>
      <c r="D347" s="482" t="s">
        <v>3363</v>
      </c>
      <c r="E347" s="486" t="s">
        <v>5509</v>
      </c>
      <c r="F347" s="593" t="s">
        <v>3364</v>
      </c>
      <c r="G347" s="634" t="s">
        <v>6215</v>
      </c>
      <c r="H347" s="882"/>
      <c r="I347" s="1266"/>
    </row>
    <row r="348" spans="1:9" hidden="1">
      <c r="A348" s="428" t="s">
        <v>6268</v>
      </c>
      <c r="B348" s="413" t="s">
        <v>123</v>
      </c>
      <c r="C348" s="384">
        <v>1</v>
      </c>
      <c r="D348" s="482" t="s">
        <v>3365</v>
      </c>
      <c r="E348" s="486" t="s">
        <v>5510</v>
      </c>
      <c r="F348" s="593" t="s">
        <v>3366</v>
      </c>
      <c r="G348" s="634" t="s">
        <v>6215</v>
      </c>
      <c r="H348" s="882"/>
      <c r="I348" s="1266"/>
    </row>
    <row r="349" spans="1:9" hidden="1">
      <c r="A349" s="428" t="s">
        <v>6268</v>
      </c>
      <c r="B349" s="413" t="s">
        <v>123</v>
      </c>
      <c r="C349" s="384">
        <v>1</v>
      </c>
      <c r="D349" s="482" t="s">
        <v>3367</v>
      </c>
      <c r="E349" s="486" t="s">
        <v>5511</v>
      </c>
      <c r="F349" s="593" t="s">
        <v>3368</v>
      </c>
      <c r="G349" s="634" t="s">
        <v>6215</v>
      </c>
      <c r="H349" s="882"/>
      <c r="I349" s="1266"/>
    </row>
    <row r="350" spans="1:9" hidden="1">
      <c r="A350" s="428" t="s">
        <v>6268</v>
      </c>
      <c r="B350" s="413" t="s">
        <v>123</v>
      </c>
      <c r="C350" s="384">
        <v>1</v>
      </c>
      <c r="D350" s="482" t="s">
        <v>3369</v>
      </c>
      <c r="E350" s="486" t="s">
        <v>5512</v>
      </c>
      <c r="F350" s="593" t="s">
        <v>3370</v>
      </c>
      <c r="G350" s="634" t="s">
        <v>6215</v>
      </c>
      <c r="H350" s="882"/>
      <c r="I350" s="1266"/>
    </row>
    <row r="351" spans="1:9" hidden="1">
      <c r="A351" s="428" t="s">
        <v>6268</v>
      </c>
      <c r="B351" s="413" t="s">
        <v>123</v>
      </c>
      <c r="C351" s="384">
        <v>1</v>
      </c>
      <c r="D351" s="482" t="s">
        <v>3371</v>
      </c>
      <c r="E351" s="486" t="s">
        <v>5513</v>
      </c>
      <c r="F351" s="593" t="s">
        <v>3372</v>
      </c>
      <c r="G351" s="634" t="s">
        <v>6215</v>
      </c>
      <c r="H351" s="882"/>
      <c r="I351" s="1266"/>
    </row>
    <row r="352" spans="1:9" hidden="1">
      <c r="A352" s="428" t="s">
        <v>6268</v>
      </c>
      <c r="B352" s="413" t="s">
        <v>123</v>
      </c>
      <c r="C352" s="384">
        <v>1</v>
      </c>
      <c r="D352" s="482" t="s">
        <v>3373</v>
      </c>
      <c r="E352" s="486" t="s">
        <v>5514</v>
      </c>
      <c r="F352" s="593" t="s">
        <v>3374</v>
      </c>
      <c r="G352" s="634" t="s">
        <v>6215</v>
      </c>
      <c r="H352" s="882"/>
      <c r="I352" s="1266"/>
    </row>
    <row r="353" spans="1:9" hidden="1">
      <c r="A353" s="428" t="s">
        <v>6268</v>
      </c>
      <c r="B353" s="413" t="s">
        <v>123</v>
      </c>
      <c r="C353" s="384">
        <v>1</v>
      </c>
      <c r="D353" s="482" t="s">
        <v>3375</v>
      </c>
      <c r="E353" s="486" t="s">
        <v>5515</v>
      </c>
      <c r="F353" s="593" t="s">
        <v>3376</v>
      </c>
      <c r="G353" s="634" t="s">
        <v>6215</v>
      </c>
      <c r="H353" s="882"/>
      <c r="I353" s="1266"/>
    </row>
    <row r="354" spans="1:9" hidden="1">
      <c r="A354" s="428" t="s">
        <v>6268</v>
      </c>
      <c r="B354" s="413" t="s">
        <v>123</v>
      </c>
      <c r="C354" s="384">
        <v>1</v>
      </c>
      <c r="D354" s="482" t="s">
        <v>3377</v>
      </c>
      <c r="E354" s="486" t="s">
        <v>5516</v>
      </c>
      <c r="F354" s="593" t="s">
        <v>3378</v>
      </c>
      <c r="G354" s="634" t="s">
        <v>6215</v>
      </c>
      <c r="H354" s="882"/>
      <c r="I354" s="1266"/>
    </row>
    <row r="355" spans="1:9" hidden="1">
      <c r="A355" s="428" t="s">
        <v>6268</v>
      </c>
      <c r="B355" s="413" t="s">
        <v>123</v>
      </c>
      <c r="C355" s="384">
        <v>1</v>
      </c>
      <c r="D355" s="482">
        <v>28</v>
      </c>
      <c r="E355" s="486" t="s">
        <v>5517</v>
      </c>
      <c r="F355" s="593" t="s">
        <v>3379</v>
      </c>
      <c r="G355" s="634" t="s">
        <v>6215</v>
      </c>
      <c r="H355" s="882"/>
      <c r="I355" s="1266"/>
    </row>
    <row r="356" spans="1:9" hidden="1">
      <c r="A356" s="428" t="s">
        <v>6268</v>
      </c>
      <c r="B356" s="413" t="s">
        <v>123</v>
      </c>
      <c r="C356" s="384">
        <v>1</v>
      </c>
      <c r="D356" s="482" t="s">
        <v>3380</v>
      </c>
      <c r="E356" s="486" t="s">
        <v>5518</v>
      </c>
      <c r="F356" s="593" t="s">
        <v>3381</v>
      </c>
      <c r="G356" s="634" t="s">
        <v>6215</v>
      </c>
      <c r="H356" s="882"/>
      <c r="I356" s="1266"/>
    </row>
    <row r="357" spans="1:9" hidden="1">
      <c r="A357" s="428" t="s">
        <v>6268</v>
      </c>
      <c r="B357" s="413" t="s">
        <v>123</v>
      </c>
      <c r="C357" s="384">
        <v>1</v>
      </c>
      <c r="D357" s="482" t="s">
        <v>3382</v>
      </c>
      <c r="E357" s="486" t="s">
        <v>5519</v>
      </c>
      <c r="F357" s="593" t="s">
        <v>3383</v>
      </c>
      <c r="G357" s="634" t="s">
        <v>6215</v>
      </c>
      <c r="H357" s="882"/>
      <c r="I357" s="1266"/>
    </row>
    <row r="358" spans="1:9" hidden="1">
      <c r="A358" s="428" t="s">
        <v>6268</v>
      </c>
      <c r="B358" s="413" t="s">
        <v>123</v>
      </c>
      <c r="C358" s="384">
        <v>1</v>
      </c>
      <c r="D358" s="482" t="s">
        <v>3384</v>
      </c>
      <c r="E358" s="486" t="s">
        <v>5520</v>
      </c>
      <c r="F358" s="593" t="s">
        <v>3385</v>
      </c>
      <c r="G358" s="634" t="s">
        <v>6215</v>
      </c>
      <c r="H358" s="882"/>
      <c r="I358" s="1266"/>
    </row>
    <row r="359" spans="1:9" hidden="1">
      <c r="A359" s="428" t="s">
        <v>6268</v>
      </c>
      <c r="B359" s="413" t="s">
        <v>123</v>
      </c>
      <c r="C359" s="384">
        <v>1</v>
      </c>
      <c r="D359" s="482" t="s">
        <v>3386</v>
      </c>
      <c r="E359" s="486" t="s">
        <v>5521</v>
      </c>
      <c r="F359" s="593" t="s">
        <v>3387</v>
      </c>
      <c r="G359" s="634" t="s">
        <v>6215</v>
      </c>
      <c r="H359" s="882"/>
      <c r="I359" s="1266"/>
    </row>
    <row r="360" spans="1:9" hidden="1">
      <c r="A360" s="428" t="s">
        <v>6268</v>
      </c>
      <c r="B360" s="413" t="s">
        <v>123</v>
      </c>
      <c r="C360" s="384">
        <v>1</v>
      </c>
      <c r="D360" s="482" t="s">
        <v>3388</v>
      </c>
      <c r="E360" s="486" t="s">
        <v>5522</v>
      </c>
      <c r="F360" s="593" t="s">
        <v>3389</v>
      </c>
      <c r="G360" s="634" t="s">
        <v>6215</v>
      </c>
      <c r="H360" s="882"/>
      <c r="I360" s="1266"/>
    </row>
    <row r="361" spans="1:9" hidden="1">
      <c r="A361" s="428" t="s">
        <v>6268</v>
      </c>
      <c r="B361" s="413" t="s">
        <v>123</v>
      </c>
      <c r="C361" s="384">
        <v>1</v>
      </c>
      <c r="D361" s="482" t="s">
        <v>3390</v>
      </c>
      <c r="E361" s="486" t="s">
        <v>5523</v>
      </c>
      <c r="F361" s="593" t="s">
        <v>3391</v>
      </c>
      <c r="G361" s="634" t="s">
        <v>6215</v>
      </c>
      <c r="H361" s="882"/>
      <c r="I361" s="1266"/>
    </row>
    <row r="362" spans="1:9" hidden="1">
      <c r="A362" s="428" t="s">
        <v>6268</v>
      </c>
      <c r="B362" s="413" t="s">
        <v>123</v>
      </c>
      <c r="C362" s="384">
        <v>1</v>
      </c>
      <c r="D362" s="482" t="s">
        <v>3392</v>
      </c>
      <c r="E362" s="486" t="s">
        <v>5524</v>
      </c>
      <c r="F362" s="593" t="s">
        <v>3393</v>
      </c>
      <c r="G362" s="634" t="s">
        <v>6215</v>
      </c>
      <c r="H362" s="882"/>
      <c r="I362" s="1266"/>
    </row>
    <row r="363" spans="1:9" hidden="1">
      <c r="A363" s="428" t="s">
        <v>6268</v>
      </c>
      <c r="B363" s="413" t="s">
        <v>123</v>
      </c>
      <c r="C363" s="384">
        <v>1</v>
      </c>
      <c r="D363" s="482" t="s">
        <v>3394</v>
      </c>
      <c r="E363" s="486" t="s">
        <v>5525</v>
      </c>
      <c r="F363" s="593" t="s">
        <v>3395</v>
      </c>
      <c r="G363" s="634" t="s">
        <v>6215</v>
      </c>
      <c r="H363" s="882"/>
      <c r="I363" s="1266"/>
    </row>
    <row r="364" spans="1:9" hidden="1">
      <c r="A364" s="428" t="s">
        <v>6268</v>
      </c>
      <c r="B364" s="413" t="s">
        <v>123</v>
      </c>
      <c r="C364" s="384">
        <v>1</v>
      </c>
      <c r="D364" s="482" t="s">
        <v>3396</v>
      </c>
      <c r="E364" s="486" t="s">
        <v>5526</v>
      </c>
      <c r="F364" s="593" t="s">
        <v>3397</v>
      </c>
      <c r="G364" s="634" t="s">
        <v>6215</v>
      </c>
      <c r="H364" s="882"/>
      <c r="I364" s="1266"/>
    </row>
    <row r="365" spans="1:9" hidden="1">
      <c r="A365" s="428" t="s">
        <v>6268</v>
      </c>
      <c r="B365" s="413" t="s">
        <v>123</v>
      </c>
      <c r="C365" s="384">
        <v>1</v>
      </c>
      <c r="D365" s="482" t="s">
        <v>3398</v>
      </c>
      <c r="E365" s="486" t="s">
        <v>5527</v>
      </c>
      <c r="F365" s="593" t="s">
        <v>3399</v>
      </c>
      <c r="G365" s="634" t="s">
        <v>6215</v>
      </c>
      <c r="H365" s="882"/>
      <c r="I365" s="1266"/>
    </row>
    <row r="366" spans="1:9" hidden="1">
      <c r="A366" s="428" t="s">
        <v>6268</v>
      </c>
      <c r="B366" s="413" t="s">
        <v>123</v>
      </c>
      <c r="C366" s="384">
        <v>1</v>
      </c>
      <c r="D366" s="482" t="s">
        <v>3400</v>
      </c>
      <c r="E366" s="486" t="s">
        <v>5528</v>
      </c>
      <c r="F366" s="593" t="s">
        <v>3401</v>
      </c>
      <c r="G366" s="634" t="s">
        <v>6215</v>
      </c>
      <c r="H366" s="882"/>
      <c r="I366" s="1266"/>
    </row>
    <row r="367" spans="1:9" hidden="1">
      <c r="A367" s="428" t="s">
        <v>6268</v>
      </c>
      <c r="B367" s="413" t="s">
        <v>123</v>
      </c>
      <c r="C367" s="384">
        <v>1</v>
      </c>
      <c r="D367" s="482" t="s">
        <v>3402</v>
      </c>
      <c r="E367" s="486" t="s">
        <v>5529</v>
      </c>
      <c r="F367" s="593" t="s">
        <v>3403</v>
      </c>
      <c r="G367" s="634" t="s">
        <v>6215</v>
      </c>
      <c r="H367" s="882"/>
      <c r="I367" s="1266"/>
    </row>
    <row r="368" spans="1:9" hidden="1">
      <c r="A368" s="428" t="s">
        <v>6268</v>
      </c>
      <c r="B368" s="413" t="s">
        <v>123</v>
      </c>
      <c r="C368" s="384">
        <v>1</v>
      </c>
      <c r="D368" s="482" t="s">
        <v>3404</v>
      </c>
      <c r="E368" s="486" t="s">
        <v>5530</v>
      </c>
      <c r="F368" s="593" t="s">
        <v>3405</v>
      </c>
      <c r="G368" s="634" t="s">
        <v>6215</v>
      </c>
      <c r="H368" s="882"/>
      <c r="I368" s="1266"/>
    </row>
    <row r="369" spans="1:9" hidden="1">
      <c r="A369" s="428" t="s">
        <v>6268</v>
      </c>
      <c r="B369" s="413" t="s">
        <v>123</v>
      </c>
      <c r="C369" s="384">
        <v>1</v>
      </c>
      <c r="D369" s="482" t="s">
        <v>3406</v>
      </c>
      <c r="E369" s="486" t="s">
        <v>5531</v>
      </c>
      <c r="F369" s="593" t="s">
        <v>3407</v>
      </c>
      <c r="G369" s="634" t="s">
        <v>6215</v>
      </c>
      <c r="H369" s="882"/>
      <c r="I369" s="1266"/>
    </row>
    <row r="370" spans="1:9" hidden="1">
      <c r="A370" s="428" t="s">
        <v>6268</v>
      </c>
      <c r="B370" s="413" t="s">
        <v>123</v>
      </c>
      <c r="C370" s="384">
        <v>1</v>
      </c>
      <c r="D370" s="482" t="s">
        <v>3408</v>
      </c>
      <c r="E370" s="486" t="s">
        <v>5532</v>
      </c>
      <c r="F370" s="593" t="s">
        <v>3409</v>
      </c>
      <c r="G370" s="634" t="s">
        <v>6215</v>
      </c>
      <c r="H370" s="882"/>
      <c r="I370" s="1266"/>
    </row>
    <row r="371" spans="1:9" hidden="1">
      <c r="A371" s="428" t="s">
        <v>6268</v>
      </c>
      <c r="B371" s="413" t="s">
        <v>123</v>
      </c>
      <c r="C371" s="384">
        <v>1</v>
      </c>
      <c r="D371" s="482" t="s">
        <v>3410</v>
      </c>
      <c r="E371" s="486" t="s">
        <v>5533</v>
      </c>
      <c r="F371" s="593" t="s">
        <v>3411</v>
      </c>
      <c r="G371" s="634" t="s">
        <v>6215</v>
      </c>
      <c r="H371" s="882"/>
      <c r="I371" s="1266"/>
    </row>
    <row r="372" spans="1:9" hidden="1">
      <c r="A372" s="428" t="s">
        <v>6268</v>
      </c>
      <c r="B372" s="413" t="s">
        <v>123</v>
      </c>
      <c r="C372" s="384">
        <v>1</v>
      </c>
      <c r="D372" s="482" t="s">
        <v>3412</v>
      </c>
      <c r="E372" s="486" t="s">
        <v>5534</v>
      </c>
      <c r="F372" s="593" t="s">
        <v>3413</v>
      </c>
      <c r="G372" s="634" t="s">
        <v>6215</v>
      </c>
      <c r="H372" s="882"/>
      <c r="I372" s="1266"/>
    </row>
    <row r="373" spans="1:9" hidden="1">
      <c r="A373" s="428" t="s">
        <v>6268</v>
      </c>
      <c r="B373" s="413" t="s">
        <v>123</v>
      </c>
      <c r="C373" s="384">
        <v>1</v>
      </c>
      <c r="D373" s="482" t="s">
        <v>3414</v>
      </c>
      <c r="E373" s="486" t="s">
        <v>5535</v>
      </c>
      <c r="F373" s="593" t="s">
        <v>3415</v>
      </c>
      <c r="G373" s="634" t="s">
        <v>6215</v>
      </c>
      <c r="H373" s="882"/>
      <c r="I373" s="1266"/>
    </row>
    <row r="374" spans="1:9" hidden="1">
      <c r="A374" s="428" t="s">
        <v>6268</v>
      </c>
      <c r="B374" s="413" t="s">
        <v>123</v>
      </c>
      <c r="C374" s="384">
        <v>1</v>
      </c>
      <c r="D374" s="482" t="s">
        <v>3416</v>
      </c>
      <c r="E374" s="486" t="s">
        <v>5536</v>
      </c>
      <c r="F374" s="593" t="s">
        <v>3417</v>
      </c>
      <c r="G374" s="634" t="s">
        <v>6215</v>
      </c>
      <c r="H374" s="882"/>
      <c r="I374" s="1266"/>
    </row>
    <row r="375" spans="1:9" hidden="1">
      <c r="A375" s="428" t="s">
        <v>6268</v>
      </c>
      <c r="B375" s="413" t="s">
        <v>123</v>
      </c>
      <c r="C375" s="384">
        <v>1</v>
      </c>
      <c r="D375" s="482" t="s">
        <v>3418</v>
      </c>
      <c r="E375" s="486" t="s">
        <v>5537</v>
      </c>
      <c r="F375" s="593" t="s">
        <v>3419</v>
      </c>
      <c r="G375" s="634" t="s">
        <v>6215</v>
      </c>
      <c r="H375" s="882"/>
      <c r="I375" s="1266"/>
    </row>
    <row r="376" spans="1:9" hidden="1">
      <c r="A376" s="428" t="s">
        <v>6268</v>
      </c>
      <c r="B376" s="413" t="s">
        <v>123</v>
      </c>
      <c r="C376" s="384">
        <v>1</v>
      </c>
      <c r="D376" s="482" t="s">
        <v>3420</v>
      </c>
      <c r="E376" s="486" t="s">
        <v>5538</v>
      </c>
      <c r="F376" s="593" t="s">
        <v>3421</v>
      </c>
      <c r="G376" s="634" t="s">
        <v>6215</v>
      </c>
      <c r="H376" s="882"/>
      <c r="I376" s="1266"/>
    </row>
    <row r="377" spans="1:9" hidden="1">
      <c r="A377" s="428" t="s">
        <v>6268</v>
      </c>
      <c r="B377" s="413" t="s">
        <v>123</v>
      </c>
      <c r="C377" s="384">
        <v>1</v>
      </c>
      <c r="D377" s="482" t="s">
        <v>3422</v>
      </c>
      <c r="E377" s="486" t="s">
        <v>5539</v>
      </c>
      <c r="F377" s="593" t="s">
        <v>3423</v>
      </c>
      <c r="G377" s="634" t="s">
        <v>6215</v>
      </c>
      <c r="H377" s="882"/>
      <c r="I377" s="1266"/>
    </row>
    <row r="378" spans="1:9" hidden="1">
      <c r="A378" s="428" t="s">
        <v>6268</v>
      </c>
      <c r="B378" s="413" t="s">
        <v>123</v>
      </c>
      <c r="C378" s="384">
        <v>1</v>
      </c>
      <c r="D378" s="482" t="s">
        <v>3424</v>
      </c>
      <c r="E378" s="486" t="s">
        <v>5540</v>
      </c>
      <c r="F378" s="593" t="s">
        <v>3425</v>
      </c>
      <c r="G378" s="634" t="s">
        <v>6215</v>
      </c>
      <c r="H378" s="882"/>
      <c r="I378" s="1266"/>
    </row>
    <row r="379" spans="1:9" hidden="1">
      <c r="A379" s="428" t="s">
        <v>6268</v>
      </c>
      <c r="B379" s="413" t="s">
        <v>123</v>
      </c>
      <c r="C379" s="384">
        <v>1</v>
      </c>
      <c r="D379" s="482" t="s">
        <v>3426</v>
      </c>
      <c r="E379" s="486" t="s">
        <v>5541</v>
      </c>
      <c r="F379" s="593" t="s">
        <v>3427</v>
      </c>
      <c r="G379" s="634" t="s">
        <v>6215</v>
      </c>
      <c r="H379" s="882"/>
      <c r="I379" s="1266"/>
    </row>
    <row r="380" spans="1:9" hidden="1">
      <c r="A380" s="428" t="s">
        <v>6268</v>
      </c>
      <c r="B380" s="413" t="s">
        <v>123</v>
      </c>
      <c r="C380" s="384">
        <v>1</v>
      </c>
      <c r="D380" s="482" t="s">
        <v>3428</v>
      </c>
      <c r="E380" s="486" t="s">
        <v>5542</v>
      </c>
      <c r="F380" s="593" t="s">
        <v>3429</v>
      </c>
      <c r="G380" s="634" t="s">
        <v>6215</v>
      </c>
      <c r="H380" s="882"/>
      <c r="I380" s="1266"/>
    </row>
    <row r="381" spans="1:9" hidden="1">
      <c r="A381" s="428" t="s">
        <v>6268</v>
      </c>
      <c r="B381" s="413" t="s">
        <v>123</v>
      </c>
      <c r="C381" s="384">
        <v>1</v>
      </c>
      <c r="D381" s="482">
        <v>29</v>
      </c>
      <c r="E381" s="486" t="s">
        <v>5543</v>
      </c>
      <c r="F381" s="593" t="s">
        <v>3430</v>
      </c>
      <c r="G381" s="634" t="s">
        <v>6215</v>
      </c>
      <c r="H381" s="882"/>
      <c r="I381" s="1266"/>
    </row>
    <row r="382" spans="1:9" hidden="1">
      <c r="A382" s="428" t="s">
        <v>6268</v>
      </c>
      <c r="B382" s="413" t="s">
        <v>123</v>
      </c>
      <c r="C382" s="384">
        <v>1</v>
      </c>
      <c r="D382" s="482" t="s">
        <v>3431</v>
      </c>
      <c r="E382" s="486" t="s">
        <v>5544</v>
      </c>
      <c r="F382" s="593" t="s">
        <v>3432</v>
      </c>
      <c r="G382" s="634" t="s">
        <v>6215</v>
      </c>
      <c r="H382" s="882"/>
      <c r="I382" s="1266"/>
    </row>
    <row r="383" spans="1:9" hidden="1">
      <c r="A383" s="428" t="s">
        <v>6268</v>
      </c>
      <c r="B383" s="413" t="s">
        <v>123</v>
      </c>
      <c r="C383" s="384">
        <v>1</v>
      </c>
      <c r="D383" s="482" t="s">
        <v>3433</v>
      </c>
      <c r="E383" s="486" t="s">
        <v>5545</v>
      </c>
      <c r="F383" s="593" t="s">
        <v>3434</v>
      </c>
      <c r="G383" s="634" t="s">
        <v>6215</v>
      </c>
      <c r="H383" s="882"/>
      <c r="I383" s="1266"/>
    </row>
    <row r="384" spans="1:9" hidden="1">
      <c r="A384" s="428" t="s">
        <v>6268</v>
      </c>
      <c r="B384" s="413" t="s">
        <v>123</v>
      </c>
      <c r="C384" s="384">
        <v>1</v>
      </c>
      <c r="D384" s="482" t="s">
        <v>3435</v>
      </c>
      <c r="E384" s="486" t="s">
        <v>5546</v>
      </c>
      <c r="F384" s="593" t="s">
        <v>3436</v>
      </c>
      <c r="G384" s="634" t="s">
        <v>6215</v>
      </c>
      <c r="H384" s="882"/>
      <c r="I384" s="1266"/>
    </row>
    <row r="385" spans="1:9" hidden="1">
      <c r="A385" s="428" t="s">
        <v>6268</v>
      </c>
      <c r="B385" s="413" t="s">
        <v>123</v>
      </c>
      <c r="C385" s="384">
        <v>1</v>
      </c>
      <c r="D385" s="482" t="s">
        <v>3437</v>
      </c>
      <c r="E385" s="486" t="s">
        <v>5547</v>
      </c>
      <c r="F385" s="593" t="s">
        <v>3438</v>
      </c>
      <c r="G385" s="634" t="s">
        <v>6215</v>
      </c>
      <c r="H385" s="882"/>
      <c r="I385" s="1266"/>
    </row>
    <row r="386" spans="1:9" hidden="1">
      <c r="A386" s="428" t="s">
        <v>6268</v>
      </c>
      <c r="B386" s="413" t="s">
        <v>123</v>
      </c>
      <c r="C386" s="384">
        <v>1</v>
      </c>
      <c r="D386" s="482" t="s">
        <v>3439</v>
      </c>
      <c r="E386" s="486" t="s">
        <v>5548</v>
      </c>
      <c r="F386" s="593" t="s">
        <v>3440</v>
      </c>
      <c r="G386" s="634" t="s">
        <v>6215</v>
      </c>
      <c r="H386" s="882"/>
      <c r="I386" s="1266"/>
    </row>
    <row r="387" spans="1:9" hidden="1">
      <c r="A387" s="428" t="s">
        <v>6268</v>
      </c>
      <c r="B387" s="413" t="s">
        <v>123</v>
      </c>
      <c r="C387" s="384">
        <v>1</v>
      </c>
      <c r="D387" s="482">
        <v>30</v>
      </c>
      <c r="E387" s="486" t="s">
        <v>5549</v>
      </c>
      <c r="F387" s="593" t="s">
        <v>3441</v>
      </c>
      <c r="G387" s="634" t="s">
        <v>6215</v>
      </c>
      <c r="H387" s="882"/>
      <c r="I387" s="1266"/>
    </row>
    <row r="388" spans="1:9" hidden="1">
      <c r="A388" s="428" t="s">
        <v>6268</v>
      </c>
      <c r="B388" s="413" t="s">
        <v>123</v>
      </c>
      <c r="C388" s="384">
        <v>1</v>
      </c>
      <c r="D388" s="482" t="s">
        <v>3442</v>
      </c>
      <c r="E388" s="486" t="s">
        <v>5550</v>
      </c>
      <c r="F388" s="593" t="s">
        <v>3443</v>
      </c>
      <c r="G388" s="634" t="s">
        <v>6215</v>
      </c>
      <c r="H388" s="882"/>
      <c r="I388" s="1266"/>
    </row>
    <row r="389" spans="1:9" hidden="1">
      <c r="A389" s="428" t="s">
        <v>6268</v>
      </c>
      <c r="B389" s="413" t="s">
        <v>123</v>
      </c>
      <c r="C389" s="384">
        <v>1</v>
      </c>
      <c r="D389" s="482" t="s">
        <v>3444</v>
      </c>
      <c r="E389" s="486" t="s">
        <v>5551</v>
      </c>
      <c r="F389" s="593" t="s">
        <v>3445</v>
      </c>
      <c r="G389" s="634" t="s">
        <v>6215</v>
      </c>
      <c r="H389" s="882"/>
      <c r="I389" s="1266"/>
    </row>
    <row r="390" spans="1:9" hidden="1">
      <c r="A390" s="428" t="s">
        <v>6268</v>
      </c>
      <c r="B390" s="413" t="s">
        <v>123</v>
      </c>
      <c r="C390" s="384">
        <v>1</v>
      </c>
      <c r="D390" s="482" t="s">
        <v>3446</v>
      </c>
      <c r="E390" s="486" t="s">
        <v>5552</v>
      </c>
      <c r="F390" s="593" t="s">
        <v>3447</v>
      </c>
      <c r="G390" s="634" t="s">
        <v>6215</v>
      </c>
      <c r="H390" s="882"/>
      <c r="I390" s="1266"/>
    </row>
    <row r="391" spans="1:9" hidden="1">
      <c r="A391" s="428" t="s">
        <v>6268</v>
      </c>
      <c r="B391" s="413" t="s">
        <v>123</v>
      </c>
      <c r="C391" s="384">
        <v>1</v>
      </c>
      <c r="D391" s="482" t="s">
        <v>3448</v>
      </c>
      <c r="E391" s="486" t="s">
        <v>5553</v>
      </c>
      <c r="F391" s="593" t="s">
        <v>3449</v>
      </c>
      <c r="G391" s="634" t="s">
        <v>6215</v>
      </c>
      <c r="H391" s="882"/>
      <c r="I391" s="1266"/>
    </row>
    <row r="392" spans="1:9" hidden="1">
      <c r="A392" s="428" t="s">
        <v>6268</v>
      </c>
      <c r="B392" s="413" t="s">
        <v>123</v>
      </c>
      <c r="C392" s="384">
        <v>1</v>
      </c>
      <c r="D392" s="482" t="s">
        <v>3450</v>
      </c>
      <c r="E392" s="486" t="s">
        <v>5554</v>
      </c>
      <c r="F392" s="593" t="s">
        <v>3451</v>
      </c>
      <c r="G392" s="634" t="s">
        <v>6215</v>
      </c>
      <c r="H392" s="882"/>
      <c r="I392" s="1266"/>
    </row>
    <row r="393" spans="1:9" hidden="1">
      <c r="A393" s="428" t="s">
        <v>6268</v>
      </c>
      <c r="B393" s="413" t="s">
        <v>123</v>
      </c>
      <c r="C393" s="384">
        <v>1</v>
      </c>
      <c r="D393" s="482" t="s">
        <v>3452</v>
      </c>
      <c r="E393" s="486" t="s">
        <v>5555</v>
      </c>
      <c r="F393" s="593" t="s">
        <v>3453</v>
      </c>
      <c r="G393" s="634" t="s">
        <v>6215</v>
      </c>
      <c r="H393" s="882"/>
      <c r="I393" s="1266"/>
    </row>
    <row r="394" spans="1:9" hidden="1">
      <c r="A394" s="428" t="s">
        <v>6268</v>
      </c>
      <c r="B394" s="413" t="s">
        <v>123</v>
      </c>
      <c r="C394" s="384">
        <v>1</v>
      </c>
      <c r="D394" s="482" t="s">
        <v>3454</v>
      </c>
      <c r="E394" s="486" t="s">
        <v>5556</v>
      </c>
      <c r="F394" s="593" t="s">
        <v>3455</v>
      </c>
      <c r="G394" s="634" t="s">
        <v>6215</v>
      </c>
      <c r="H394" s="882"/>
      <c r="I394" s="1266"/>
    </row>
    <row r="395" spans="1:9" hidden="1">
      <c r="A395" s="428" t="s">
        <v>6268</v>
      </c>
      <c r="B395" s="413" t="s">
        <v>123</v>
      </c>
      <c r="C395" s="384">
        <v>1</v>
      </c>
      <c r="D395" s="482" t="s">
        <v>3456</v>
      </c>
      <c r="E395" s="486" t="s">
        <v>5557</v>
      </c>
      <c r="F395" s="593" t="s">
        <v>3457</v>
      </c>
      <c r="G395" s="634" t="s">
        <v>6215</v>
      </c>
      <c r="H395" s="882"/>
      <c r="I395" s="1266"/>
    </row>
    <row r="396" spans="1:9" hidden="1">
      <c r="A396" s="428" t="s">
        <v>6268</v>
      </c>
      <c r="B396" s="413" t="s">
        <v>123</v>
      </c>
      <c r="C396" s="384">
        <v>1</v>
      </c>
      <c r="D396" s="482" t="s">
        <v>3458</v>
      </c>
      <c r="E396" s="486" t="s">
        <v>5558</v>
      </c>
      <c r="F396" s="593" t="s">
        <v>3459</v>
      </c>
      <c r="G396" s="634" t="s">
        <v>6215</v>
      </c>
      <c r="H396" s="882"/>
      <c r="I396" s="1266"/>
    </row>
    <row r="397" spans="1:9" hidden="1">
      <c r="A397" s="428" t="s">
        <v>6268</v>
      </c>
      <c r="B397" s="413" t="s">
        <v>123</v>
      </c>
      <c r="C397" s="384">
        <v>1</v>
      </c>
      <c r="D397" s="482" t="s">
        <v>3460</v>
      </c>
      <c r="E397" s="486" t="s">
        <v>5559</v>
      </c>
      <c r="F397" s="593" t="s">
        <v>3461</v>
      </c>
      <c r="G397" s="634" t="s">
        <v>6215</v>
      </c>
      <c r="H397" s="882"/>
      <c r="I397" s="1266"/>
    </row>
    <row r="398" spans="1:9" hidden="1">
      <c r="A398" s="428" t="s">
        <v>6268</v>
      </c>
      <c r="B398" s="413" t="s">
        <v>123</v>
      </c>
      <c r="C398" s="384">
        <v>1</v>
      </c>
      <c r="D398" s="482">
        <v>31</v>
      </c>
      <c r="E398" s="486" t="s">
        <v>5560</v>
      </c>
      <c r="F398" s="593" t="s">
        <v>3462</v>
      </c>
      <c r="G398" s="634" t="s">
        <v>6215</v>
      </c>
      <c r="H398" s="882"/>
      <c r="I398" s="1266"/>
    </row>
    <row r="399" spans="1:9" hidden="1">
      <c r="A399" s="428" t="s">
        <v>6268</v>
      </c>
      <c r="B399" s="413" t="s">
        <v>123</v>
      </c>
      <c r="C399" s="384">
        <v>1</v>
      </c>
      <c r="D399" s="482" t="s">
        <v>3463</v>
      </c>
      <c r="E399" s="486" t="s">
        <v>5561</v>
      </c>
      <c r="F399" s="593" t="s">
        <v>3464</v>
      </c>
      <c r="G399" s="634" t="s">
        <v>6215</v>
      </c>
      <c r="H399" s="882"/>
      <c r="I399" s="1266"/>
    </row>
    <row r="400" spans="1:9" hidden="1">
      <c r="A400" s="428" t="s">
        <v>6268</v>
      </c>
      <c r="B400" s="413" t="s">
        <v>123</v>
      </c>
      <c r="C400" s="384">
        <v>1</v>
      </c>
      <c r="D400" s="482" t="s">
        <v>3465</v>
      </c>
      <c r="E400" s="486" t="s">
        <v>5562</v>
      </c>
      <c r="F400" s="593" t="s">
        <v>3466</v>
      </c>
      <c r="G400" s="634" t="s">
        <v>6215</v>
      </c>
      <c r="H400" s="882"/>
      <c r="I400" s="1266"/>
    </row>
    <row r="401" spans="1:9" hidden="1">
      <c r="A401" s="428" t="s">
        <v>6268</v>
      </c>
      <c r="B401" s="413" t="s">
        <v>123</v>
      </c>
      <c r="C401" s="384">
        <v>1</v>
      </c>
      <c r="D401" s="482" t="s">
        <v>3467</v>
      </c>
      <c r="E401" s="486" t="s">
        <v>5563</v>
      </c>
      <c r="F401" s="593" t="s">
        <v>3468</v>
      </c>
      <c r="G401" s="634" t="s">
        <v>6215</v>
      </c>
      <c r="H401" s="882"/>
      <c r="I401" s="1266"/>
    </row>
    <row r="402" spans="1:9" hidden="1">
      <c r="A402" s="428" t="s">
        <v>6268</v>
      </c>
      <c r="B402" s="413" t="s">
        <v>123</v>
      </c>
      <c r="C402" s="384">
        <v>1</v>
      </c>
      <c r="D402" s="482" t="s">
        <v>3469</v>
      </c>
      <c r="E402" s="486" t="s">
        <v>5564</v>
      </c>
      <c r="F402" s="593" t="s">
        <v>3470</v>
      </c>
      <c r="G402" s="634" t="s">
        <v>6215</v>
      </c>
      <c r="H402" s="882"/>
      <c r="I402" s="1266"/>
    </row>
    <row r="403" spans="1:9" hidden="1">
      <c r="A403" s="428" t="s">
        <v>6268</v>
      </c>
      <c r="B403" s="413" t="s">
        <v>123</v>
      </c>
      <c r="C403" s="384">
        <v>1</v>
      </c>
      <c r="D403" s="482">
        <v>32</v>
      </c>
      <c r="E403" s="486" t="s">
        <v>5565</v>
      </c>
      <c r="F403" s="593" t="s">
        <v>3471</v>
      </c>
      <c r="G403" s="634" t="s">
        <v>6215</v>
      </c>
      <c r="H403" s="882"/>
      <c r="I403" s="1266"/>
    </row>
    <row r="404" spans="1:9" hidden="1">
      <c r="A404" s="428" t="s">
        <v>6268</v>
      </c>
      <c r="B404" s="413" t="s">
        <v>123</v>
      </c>
      <c r="C404" s="384">
        <v>1</v>
      </c>
      <c r="D404" s="482" t="s">
        <v>3472</v>
      </c>
      <c r="E404" s="486" t="s">
        <v>5566</v>
      </c>
      <c r="F404" s="593" t="s">
        <v>3473</v>
      </c>
      <c r="G404" s="634" t="s">
        <v>6215</v>
      </c>
      <c r="H404" s="882"/>
      <c r="I404" s="1266"/>
    </row>
    <row r="405" spans="1:9" hidden="1">
      <c r="A405" s="428" t="s">
        <v>6268</v>
      </c>
      <c r="B405" s="413" t="s">
        <v>123</v>
      </c>
      <c r="C405" s="384">
        <v>1</v>
      </c>
      <c r="D405" s="482" t="s">
        <v>3474</v>
      </c>
      <c r="E405" s="486" t="s">
        <v>5567</v>
      </c>
      <c r="F405" s="593" t="s">
        <v>3475</v>
      </c>
      <c r="G405" s="634" t="s">
        <v>6215</v>
      </c>
      <c r="H405" s="882"/>
      <c r="I405" s="1266"/>
    </row>
    <row r="406" spans="1:9" hidden="1">
      <c r="A406" s="428" t="s">
        <v>6268</v>
      </c>
      <c r="B406" s="413" t="s">
        <v>123</v>
      </c>
      <c r="C406" s="384">
        <v>1</v>
      </c>
      <c r="D406" s="482" t="s">
        <v>3476</v>
      </c>
      <c r="E406" s="486" t="s">
        <v>5568</v>
      </c>
      <c r="F406" s="593" t="s">
        <v>3477</v>
      </c>
      <c r="G406" s="634" t="s">
        <v>6215</v>
      </c>
      <c r="H406" s="882"/>
      <c r="I406" s="1266"/>
    </row>
    <row r="407" spans="1:9" hidden="1">
      <c r="A407" s="428" t="s">
        <v>6268</v>
      </c>
      <c r="B407" s="413" t="s">
        <v>123</v>
      </c>
      <c r="C407" s="384">
        <v>1</v>
      </c>
      <c r="D407" s="482" t="s">
        <v>3478</v>
      </c>
      <c r="E407" s="486" t="s">
        <v>5569</v>
      </c>
      <c r="F407" s="593" t="s">
        <v>3479</v>
      </c>
      <c r="G407" s="634" t="s">
        <v>6215</v>
      </c>
      <c r="H407" s="882"/>
      <c r="I407" s="1266"/>
    </row>
    <row r="408" spans="1:9" hidden="1">
      <c r="A408" s="428" t="s">
        <v>6268</v>
      </c>
      <c r="B408" s="413" t="s">
        <v>123</v>
      </c>
      <c r="C408" s="384">
        <v>1</v>
      </c>
      <c r="D408" s="482" t="s">
        <v>3480</v>
      </c>
      <c r="E408" s="486" t="s">
        <v>5570</v>
      </c>
      <c r="F408" s="593" t="s">
        <v>3481</v>
      </c>
      <c r="G408" s="634" t="s">
        <v>6215</v>
      </c>
      <c r="H408" s="882"/>
      <c r="I408" s="1266"/>
    </row>
    <row r="409" spans="1:9" hidden="1">
      <c r="A409" s="428" t="s">
        <v>6268</v>
      </c>
      <c r="B409" s="413" t="s">
        <v>123</v>
      </c>
      <c r="C409" s="384">
        <v>1</v>
      </c>
      <c r="D409" s="482" t="s">
        <v>3482</v>
      </c>
      <c r="E409" s="486" t="s">
        <v>5571</v>
      </c>
      <c r="F409" s="593" t="s">
        <v>3483</v>
      </c>
      <c r="G409" s="634" t="s">
        <v>6215</v>
      </c>
      <c r="H409" s="882"/>
      <c r="I409" s="1266"/>
    </row>
    <row r="410" spans="1:9" hidden="1">
      <c r="A410" s="428" t="s">
        <v>6268</v>
      </c>
      <c r="B410" s="413" t="s">
        <v>123</v>
      </c>
      <c r="C410" s="384">
        <v>1</v>
      </c>
      <c r="D410" s="482" t="s">
        <v>3484</v>
      </c>
      <c r="E410" s="486" t="s">
        <v>5572</v>
      </c>
      <c r="F410" s="593" t="s">
        <v>3485</v>
      </c>
      <c r="G410" s="634" t="s">
        <v>6215</v>
      </c>
      <c r="H410" s="882"/>
      <c r="I410" s="1266"/>
    </row>
    <row r="411" spans="1:9" hidden="1">
      <c r="A411" s="428" t="s">
        <v>6268</v>
      </c>
      <c r="B411" s="413" t="s">
        <v>123</v>
      </c>
      <c r="C411" s="384">
        <v>1</v>
      </c>
      <c r="D411" s="482" t="s">
        <v>3486</v>
      </c>
      <c r="E411" s="486" t="s">
        <v>5573</v>
      </c>
      <c r="F411" s="593" t="s">
        <v>3487</v>
      </c>
      <c r="G411" s="634" t="s">
        <v>6215</v>
      </c>
      <c r="H411" s="882"/>
      <c r="I411" s="1266"/>
    </row>
    <row r="412" spans="1:9" hidden="1">
      <c r="A412" s="428" t="s">
        <v>6268</v>
      </c>
      <c r="B412" s="413" t="s">
        <v>123</v>
      </c>
      <c r="C412" s="384">
        <v>1</v>
      </c>
      <c r="D412" s="482" t="s">
        <v>3488</v>
      </c>
      <c r="E412" s="486" t="s">
        <v>5574</v>
      </c>
      <c r="F412" s="593" t="s">
        <v>3489</v>
      </c>
      <c r="G412" s="634" t="s">
        <v>6215</v>
      </c>
      <c r="H412" s="882"/>
      <c r="I412" s="1266"/>
    </row>
    <row r="413" spans="1:9" hidden="1">
      <c r="A413" s="428" t="s">
        <v>6268</v>
      </c>
      <c r="B413" s="413" t="s">
        <v>123</v>
      </c>
      <c r="C413" s="384">
        <v>1</v>
      </c>
      <c r="D413" s="482" t="s">
        <v>3490</v>
      </c>
      <c r="E413" s="486" t="s">
        <v>5575</v>
      </c>
      <c r="F413" s="593" t="s">
        <v>3491</v>
      </c>
      <c r="G413" s="634" t="s">
        <v>6215</v>
      </c>
      <c r="H413" s="882"/>
      <c r="I413" s="1266"/>
    </row>
    <row r="414" spans="1:9" hidden="1">
      <c r="A414" s="428" t="s">
        <v>6268</v>
      </c>
      <c r="B414" s="413" t="s">
        <v>123</v>
      </c>
      <c r="C414" s="384">
        <v>1</v>
      </c>
      <c r="D414" s="482" t="s">
        <v>3492</v>
      </c>
      <c r="E414" s="486" t="s">
        <v>5576</v>
      </c>
      <c r="F414" s="593" t="s">
        <v>3493</v>
      </c>
      <c r="G414" s="634" t="s">
        <v>6215</v>
      </c>
      <c r="H414" s="882"/>
      <c r="I414" s="1266"/>
    </row>
    <row r="415" spans="1:9" hidden="1">
      <c r="A415" s="428" t="s">
        <v>6268</v>
      </c>
      <c r="B415" s="413" t="s">
        <v>123</v>
      </c>
      <c r="C415" s="384">
        <v>1</v>
      </c>
      <c r="D415" s="482">
        <v>33</v>
      </c>
      <c r="E415" s="486" t="s">
        <v>5577</v>
      </c>
      <c r="F415" s="593" t="s">
        <v>3494</v>
      </c>
      <c r="G415" s="634" t="s">
        <v>6215</v>
      </c>
      <c r="H415" s="882"/>
      <c r="I415" s="1266"/>
    </row>
    <row r="416" spans="1:9" hidden="1">
      <c r="A416" s="428" t="s">
        <v>6268</v>
      </c>
      <c r="B416" s="413" t="s">
        <v>123</v>
      </c>
      <c r="C416" s="384">
        <v>1</v>
      </c>
      <c r="D416" s="482" t="s">
        <v>3495</v>
      </c>
      <c r="E416" s="486" t="s">
        <v>5578</v>
      </c>
      <c r="F416" s="593" t="s">
        <v>3496</v>
      </c>
      <c r="G416" s="634" t="s">
        <v>6215</v>
      </c>
      <c r="H416" s="882"/>
      <c r="I416" s="1266"/>
    </row>
    <row r="417" spans="1:9" hidden="1">
      <c r="A417" s="428" t="s">
        <v>6268</v>
      </c>
      <c r="B417" s="413" t="s">
        <v>123</v>
      </c>
      <c r="C417" s="384">
        <v>1</v>
      </c>
      <c r="D417" s="482" t="s">
        <v>3497</v>
      </c>
      <c r="E417" s="486" t="s">
        <v>5579</v>
      </c>
      <c r="F417" s="593" t="s">
        <v>3498</v>
      </c>
      <c r="G417" s="634" t="s">
        <v>6215</v>
      </c>
      <c r="H417" s="882"/>
      <c r="I417" s="1266"/>
    </row>
    <row r="418" spans="1:9" hidden="1">
      <c r="A418" s="428" t="s">
        <v>6268</v>
      </c>
      <c r="B418" s="413" t="s">
        <v>123</v>
      </c>
      <c r="C418" s="384">
        <v>1</v>
      </c>
      <c r="D418" s="482" t="s">
        <v>3499</v>
      </c>
      <c r="E418" s="486" t="s">
        <v>5580</v>
      </c>
      <c r="F418" s="593" t="s">
        <v>3500</v>
      </c>
      <c r="G418" s="634" t="s">
        <v>6215</v>
      </c>
      <c r="H418" s="882"/>
      <c r="I418" s="1266"/>
    </row>
    <row r="419" spans="1:9" hidden="1">
      <c r="A419" s="428" t="s">
        <v>6268</v>
      </c>
      <c r="B419" s="413" t="s">
        <v>123</v>
      </c>
      <c r="C419" s="384">
        <v>1</v>
      </c>
      <c r="D419" s="482" t="s">
        <v>3501</v>
      </c>
      <c r="E419" s="486" t="s">
        <v>5581</v>
      </c>
      <c r="F419" s="593" t="s">
        <v>3502</v>
      </c>
      <c r="G419" s="634" t="s">
        <v>6215</v>
      </c>
      <c r="H419" s="882"/>
      <c r="I419" s="1266"/>
    </row>
    <row r="420" spans="1:9" hidden="1">
      <c r="A420" s="428" t="s">
        <v>6268</v>
      </c>
      <c r="B420" s="413" t="s">
        <v>123</v>
      </c>
      <c r="C420" s="384">
        <v>1</v>
      </c>
      <c r="D420" s="482" t="s">
        <v>3503</v>
      </c>
      <c r="E420" s="486" t="s">
        <v>5582</v>
      </c>
      <c r="F420" s="593" t="s">
        <v>3504</v>
      </c>
      <c r="G420" s="634" t="s">
        <v>6215</v>
      </c>
      <c r="H420" s="882"/>
      <c r="I420" s="1266"/>
    </row>
    <row r="421" spans="1:9" hidden="1">
      <c r="A421" s="428" t="s">
        <v>6268</v>
      </c>
      <c r="B421" s="413" t="s">
        <v>123</v>
      </c>
      <c r="C421" s="384">
        <v>1</v>
      </c>
      <c r="D421" s="482" t="s">
        <v>3505</v>
      </c>
      <c r="E421" s="486" t="s">
        <v>5583</v>
      </c>
      <c r="F421" s="593" t="s">
        <v>3506</v>
      </c>
      <c r="G421" s="634" t="s">
        <v>6215</v>
      </c>
      <c r="H421" s="882"/>
      <c r="I421" s="1266"/>
    </row>
    <row r="422" spans="1:9" hidden="1">
      <c r="A422" s="428" t="s">
        <v>6268</v>
      </c>
      <c r="B422" s="413" t="s">
        <v>123</v>
      </c>
      <c r="C422" s="384">
        <v>1</v>
      </c>
      <c r="D422" s="482" t="s">
        <v>3507</v>
      </c>
      <c r="E422" s="486" t="s">
        <v>5584</v>
      </c>
      <c r="F422" s="593" t="s">
        <v>3508</v>
      </c>
      <c r="G422" s="634" t="s">
        <v>6215</v>
      </c>
      <c r="H422" s="882"/>
      <c r="I422" s="1266"/>
    </row>
    <row r="423" spans="1:9" hidden="1">
      <c r="A423" s="428" t="s">
        <v>6268</v>
      </c>
      <c r="B423" s="413" t="s">
        <v>123</v>
      </c>
      <c r="C423" s="384">
        <v>1</v>
      </c>
      <c r="D423" s="482" t="s">
        <v>3509</v>
      </c>
      <c r="E423" s="486" t="s">
        <v>5585</v>
      </c>
      <c r="F423" s="593" t="s">
        <v>3510</v>
      </c>
      <c r="G423" s="634" t="s">
        <v>6215</v>
      </c>
      <c r="H423" s="882"/>
      <c r="I423" s="1266"/>
    </row>
    <row r="424" spans="1:9" hidden="1">
      <c r="A424" s="428" t="s">
        <v>6268</v>
      </c>
      <c r="B424" s="413" t="s">
        <v>123</v>
      </c>
      <c r="C424" s="384">
        <v>1</v>
      </c>
      <c r="D424" s="482" t="s">
        <v>3511</v>
      </c>
      <c r="E424" s="486" t="s">
        <v>5586</v>
      </c>
      <c r="F424" s="593" t="s">
        <v>3512</v>
      </c>
      <c r="G424" s="634" t="s">
        <v>6215</v>
      </c>
      <c r="H424" s="882"/>
      <c r="I424" s="1266"/>
    </row>
    <row r="425" spans="1:9" hidden="1">
      <c r="A425" s="428" t="s">
        <v>6268</v>
      </c>
      <c r="B425" s="413" t="s">
        <v>123</v>
      </c>
      <c r="C425" s="384">
        <v>1</v>
      </c>
      <c r="D425" s="482" t="s">
        <v>3513</v>
      </c>
      <c r="E425" s="486" t="s">
        <v>5587</v>
      </c>
      <c r="F425" s="593" t="s">
        <v>3514</v>
      </c>
      <c r="G425" s="634" t="s">
        <v>6215</v>
      </c>
      <c r="H425" s="882"/>
      <c r="I425" s="1266"/>
    </row>
    <row r="426" spans="1:9" hidden="1">
      <c r="A426" s="428" t="s">
        <v>6268</v>
      </c>
      <c r="B426" s="413" t="s">
        <v>123</v>
      </c>
      <c r="C426" s="384">
        <v>1</v>
      </c>
      <c r="D426" s="482">
        <v>35</v>
      </c>
      <c r="E426" s="486" t="s">
        <v>5588</v>
      </c>
      <c r="F426" s="593" t="s">
        <v>3515</v>
      </c>
      <c r="G426" s="634" t="s">
        <v>6215</v>
      </c>
      <c r="H426" s="882"/>
      <c r="I426" s="1266"/>
    </row>
    <row r="427" spans="1:9" hidden="1">
      <c r="A427" s="428" t="s">
        <v>6268</v>
      </c>
      <c r="B427" s="413" t="s">
        <v>123</v>
      </c>
      <c r="C427" s="384">
        <v>1</v>
      </c>
      <c r="D427" s="482" t="s">
        <v>3516</v>
      </c>
      <c r="E427" s="486" t="s">
        <v>5589</v>
      </c>
      <c r="F427" s="593" t="s">
        <v>3517</v>
      </c>
      <c r="G427" s="634" t="s">
        <v>6215</v>
      </c>
      <c r="H427" s="882"/>
      <c r="I427" s="1266"/>
    </row>
    <row r="428" spans="1:9" hidden="1">
      <c r="A428" s="428" t="s">
        <v>6268</v>
      </c>
      <c r="B428" s="413" t="s">
        <v>123</v>
      </c>
      <c r="C428" s="384">
        <v>1</v>
      </c>
      <c r="D428" s="482" t="s">
        <v>3518</v>
      </c>
      <c r="E428" s="486" t="s">
        <v>5590</v>
      </c>
      <c r="F428" s="593" t="s">
        <v>3519</v>
      </c>
      <c r="G428" s="634" t="s">
        <v>6215</v>
      </c>
      <c r="H428" s="882"/>
      <c r="I428" s="1266"/>
    </row>
    <row r="429" spans="1:9" hidden="1">
      <c r="A429" s="428" t="s">
        <v>6268</v>
      </c>
      <c r="B429" s="413" t="s">
        <v>123</v>
      </c>
      <c r="C429" s="384">
        <v>1</v>
      </c>
      <c r="D429" s="482" t="s">
        <v>3520</v>
      </c>
      <c r="E429" s="486" t="s">
        <v>5591</v>
      </c>
      <c r="F429" s="593" t="s">
        <v>3521</v>
      </c>
      <c r="G429" s="634" t="s">
        <v>6215</v>
      </c>
      <c r="H429" s="882"/>
      <c r="I429" s="1266"/>
    </row>
    <row r="430" spans="1:9" hidden="1">
      <c r="A430" s="428" t="s">
        <v>6268</v>
      </c>
      <c r="B430" s="413" t="s">
        <v>123</v>
      </c>
      <c r="C430" s="384">
        <v>1</v>
      </c>
      <c r="D430" s="482" t="s">
        <v>3522</v>
      </c>
      <c r="E430" s="486" t="s">
        <v>5592</v>
      </c>
      <c r="F430" s="593" t="s">
        <v>3523</v>
      </c>
      <c r="G430" s="634" t="s">
        <v>6215</v>
      </c>
      <c r="H430" s="882"/>
      <c r="I430" s="1266"/>
    </row>
    <row r="431" spans="1:9" hidden="1">
      <c r="A431" s="428" t="s">
        <v>6268</v>
      </c>
      <c r="B431" s="413" t="s">
        <v>123</v>
      </c>
      <c r="C431" s="384">
        <v>1</v>
      </c>
      <c r="D431" s="482" t="s">
        <v>3524</v>
      </c>
      <c r="E431" s="486" t="s">
        <v>5593</v>
      </c>
      <c r="F431" s="593" t="s">
        <v>3525</v>
      </c>
      <c r="G431" s="634" t="s">
        <v>6215</v>
      </c>
      <c r="H431" s="882"/>
      <c r="I431" s="1266"/>
    </row>
    <row r="432" spans="1:9" hidden="1">
      <c r="A432" s="428" t="s">
        <v>6268</v>
      </c>
      <c r="B432" s="413" t="s">
        <v>123</v>
      </c>
      <c r="C432" s="384">
        <v>1</v>
      </c>
      <c r="D432" s="482" t="s">
        <v>3526</v>
      </c>
      <c r="E432" s="486" t="s">
        <v>5594</v>
      </c>
      <c r="F432" s="593" t="s">
        <v>3527</v>
      </c>
      <c r="G432" s="634" t="s">
        <v>6215</v>
      </c>
      <c r="H432" s="882"/>
      <c r="I432" s="1266"/>
    </row>
    <row r="433" spans="1:9" hidden="1">
      <c r="A433" s="428" t="s">
        <v>6268</v>
      </c>
      <c r="B433" s="413" t="s">
        <v>123</v>
      </c>
      <c r="C433" s="384">
        <v>1</v>
      </c>
      <c r="D433" s="482" t="s">
        <v>3528</v>
      </c>
      <c r="E433" s="486" t="s">
        <v>5595</v>
      </c>
      <c r="F433" s="593" t="s">
        <v>3529</v>
      </c>
      <c r="G433" s="634" t="s">
        <v>6215</v>
      </c>
      <c r="H433" s="882"/>
      <c r="I433" s="1266"/>
    </row>
    <row r="434" spans="1:9" hidden="1">
      <c r="A434" s="428" t="s">
        <v>6268</v>
      </c>
      <c r="B434" s="413" t="s">
        <v>123</v>
      </c>
      <c r="C434" s="384">
        <v>1</v>
      </c>
      <c r="D434" s="482" t="s">
        <v>3530</v>
      </c>
      <c r="E434" s="486" t="s">
        <v>5596</v>
      </c>
      <c r="F434" s="593" t="s">
        <v>3531</v>
      </c>
      <c r="G434" s="634" t="s">
        <v>6215</v>
      </c>
      <c r="H434" s="882"/>
      <c r="I434" s="1266"/>
    </row>
    <row r="435" spans="1:9" hidden="1">
      <c r="A435" s="428" t="s">
        <v>6268</v>
      </c>
      <c r="B435" s="413" t="s">
        <v>123</v>
      </c>
      <c r="C435" s="384">
        <v>1</v>
      </c>
      <c r="D435" s="482" t="s">
        <v>3532</v>
      </c>
      <c r="E435" s="486" t="s">
        <v>5597</v>
      </c>
      <c r="F435" s="593" t="s">
        <v>3533</v>
      </c>
      <c r="G435" s="634" t="s">
        <v>6215</v>
      </c>
      <c r="H435" s="882"/>
      <c r="I435" s="1266"/>
    </row>
    <row r="436" spans="1:9" hidden="1">
      <c r="A436" s="428" t="s">
        <v>6268</v>
      </c>
      <c r="B436" s="413" t="s">
        <v>123</v>
      </c>
      <c r="C436" s="384">
        <v>1</v>
      </c>
      <c r="D436" s="482" t="s">
        <v>3534</v>
      </c>
      <c r="E436" s="486" t="s">
        <v>5598</v>
      </c>
      <c r="F436" s="593" t="s">
        <v>3535</v>
      </c>
      <c r="G436" s="634" t="s">
        <v>6215</v>
      </c>
      <c r="H436" s="882"/>
      <c r="I436" s="1266"/>
    </row>
    <row r="437" spans="1:9" hidden="1">
      <c r="A437" s="428" t="s">
        <v>6268</v>
      </c>
      <c r="B437" s="413" t="s">
        <v>123</v>
      </c>
      <c r="C437" s="384">
        <v>1</v>
      </c>
      <c r="D437" s="482">
        <v>36</v>
      </c>
      <c r="E437" s="486" t="s">
        <v>5599</v>
      </c>
      <c r="F437" s="593" t="s">
        <v>3536</v>
      </c>
      <c r="G437" s="634" t="s">
        <v>6215</v>
      </c>
      <c r="H437" s="882"/>
      <c r="I437" s="1266"/>
    </row>
    <row r="438" spans="1:9" hidden="1">
      <c r="A438" s="428" t="s">
        <v>6268</v>
      </c>
      <c r="B438" s="413" t="s">
        <v>123</v>
      </c>
      <c r="C438" s="384">
        <v>1</v>
      </c>
      <c r="D438" s="482">
        <v>37</v>
      </c>
      <c r="E438" s="486" t="s">
        <v>5600</v>
      </c>
      <c r="F438" s="593" t="s">
        <v>3537</v>
      </c>
      <c r="G438" s="634" t="s">
        <v>6215</v>
      </c>
      <c r="H438" s="882"/>
      <c r="I438" s="1266"/>
    </row>
    <row r="439" spans="1:9" hidden="1">
      <c r="A439" s="428" t="s">
        <v>6268</v>
      </c>
      <c r="B439" s="413" t="s">
        <v>123</v>
      </c>
      <c r="C439" s="384">
        <v>1</v>
      </c>
      <c r="D439" s="482">
        <v>38</v>
      </c>
      <c r="E439" s="486" t="s">
        <v>5601</v>
      </c>
      <c r="F439" s="593" t="s">
        <v>3538</v>
      </c>
      <c r="G439" s="634" t="s">
        <v>6215</v>
      </c>
      <c r="H439" s="882"/>
      <c r="I439" s="1266"/>
    </row>
    <row r="440" spans="1:9" hidden="1">
      <c r="A440" s="428" t="s">
        <v>6268</v>
      </c>
      <c r="B440" s="413" t="s">
        <v>123</v>
      </c>
      <c r="C440" s="384">
        <v>1</v>
      </c>
      <c r="D440" s="482" t="s">
        <v>3539</v>
      </c>
      <c r="E440" s="486" t="s">
        <v>5602</v>
      </c>
      <c r="F440" s="593" t="s">
        <v>3540</v>
      </c>
      <c r="G440" s="634" t="s">
        <v>6215</v>
      </c>
      <c r="H440" s="882"/>
      <c r="I440" s="1266"/>
    </row>
    <row r="441" spans="1:9" hidden="1">
      <c r="A441" s="428" t="s">
        <v>6268</v>
      </c>
      <c r="B441" s="413" t="s">
        <v>123</v>
      </c>
      <c r="C441" s="384">
        <v>1</v>
      </c>
      <c r="D441" s="482" t="s">
        <v>3541</v>
      </c>
      <c r="E441" s="486" t="s">
        <v>5603</v>
      </c>
      <c r="F441" s="593" t="s">
        <v>3542</v>
      </c>
      <c r="G441" s="634" t="s">
        <v>6215</v>
      </c>
      <c r="H441" s="882"/>
      <c r="I441" s="1266"/>
    </row>
    <row r="442" spans="1:9" hidden="1">
      <c r="A442" s="428" t="s">
        <v>6268</v>
      </c>
      <c r="B442" s="413" t="s">
        <v>123</v>
      </c>
      <c r="C442" s="384">
        <v>1</v>
      </c>
      <c r="D442" s="482" t="s">
        <v>3543</v>
      </c>
      <c r="E442" s="486" t="s">
        <v>5604</v>
      </c>
      <c r="F442" s="593" t="s">
        <v>3544</v>
      </c>
      <c r="G442" s="634" t="s">
        <v>6215</v>
      </c>
      <c r="H442" s="882"/>
      <c r="I442" s="1266"/>
    </row>
    <row r="443" spans="1:9" hidden="1">
      <c r="A443" s="428" t="s">
        <v>6268</v>
      </c>
      <c r="B443" s="413" t="s">
        <v>123</v>
      </c>
      <c r="C443" s="384">
        <v>1</v>
      </c>
      <c r="D443" s="482" t="s">
        <v>3545</v>
      </c>
      <c r="E443" s="486" t="s">
        <v>5605</v>
      </c>
      <c r="F443" s="593" t="s">
        <v>3546</v>
      </c>
      <c r="G443" s="634" t="s">
        <v>6215</v>
      </c>
      <c r="H443" s="882"/>
      <c r="I443" s="1266"/>
    </row>
    <row r="444" spans="1:9" hidden="1">
      <c r="A444" s="428" t="s">
        <v>6268</v>
      </c>
      <c r="B444" s="413" t="s">
        <v>123</v>
      </c>
      <c r="C444" s="384">
        <v>1</v>
      </c>
      <c r="D444" s="482" t="s">
        <v>3547</v>
      </c>
      <c r="E444" s="486" t="s">
        <v>5606</v>
      </c>
      <c r="F444" s="593" t="s">
        <v>3548</v>
      </c>
      <c r="G444" s="634" t="s">
        <v>6215</v>
      </c>
      <c r="H444" s="882"/>
      <c r="I444" s="1266"/>
    </row>
    <row r="445" spans="1:9" hidden="1">
      <c r="A445" s="428" t="s">
        <v>6268</v>
      </c>
      <c r="B445" s="413" t="s">
        <v>123</v>
      </c>
      <c r="C445" s="384">
        <v>1</v>
      </c>
      <c r="D445" s="482" t="s">
        <v>3549</v>
      </c>
      <c r="E445" s="486" t="s">
        <v>5607</v>
      </c>
      <c r="F445" s="593" t="s">
        <v>3550</v>
      </c>
      <c r="G445" s="634" t="s">
        <v>6215</v>
      </c>
      <c r="H445" s="882"/>
      <c r="I445" s="1266"/>
    </row>
    <row r="446" spans="1:9" hidden="1">
      <c r="A446" s="428" t="s">
        <v>6268</v>
      </c>
      <c r="B446" s="413" t="s">
        <v>123</v>
      </c>
      <c r="C446" s="384">
        <v>1</v>
      </c>
      <c r="D446" s="482" t="s">
        <v>3551</v>
      </c>
      <c r="E446" s="486" t="s">
        <v>5608</v>
      </c>
      <c r="F446" s="593" t="s">
        <v>3552</v>
      </c>
      <c r="G446" s="634" t="s">
        <v>6215</v>
      </c>
      <c r="H446" s="882"/>
      <c r="I446" s="1266"/>
    </row>
    <row r="447" spans="1:9" hidden="1">
      <c r="A447" s="428" t="s">
        <v>6268</v>
      </c>
      <c r="B447" s="413" t="s">
        <v>123</v>
      </c>
      <c r="C447" s="384">
        <v>1</v>
      </c>
      <c r="D447" s="482" t="s">
        <v>3553</v>
      </c>
      <c r="E447" s="486" t="s">
        <v>5609</v>
      </c>
      <c r="F447" s="593" t="s">
        <v>3554</v>
      </c>
      <c r="G447" s="634" t="s">
        <v>6215</v>
      </c>
      <c r="H447" s="882"/>
      <c r="I447" s="1266"/>
    </row>
    <row r="448" spans="1:9" hidden="1">
      <c r="A448" s="428" t="s">
        <v>6268</v>
      </c>
      <c r="B448" s="413" t="s">
        <v>123</v>
      </c>
      <c r="C448" s="384">
        <v>1</v>
      </c>
      <c r="D448" s="482" t="s">
        <v>3555</v>
      </c>
      <c r="E448" s="486" t="s">
        <v>5610</v>
      </c>
      <c r="F448" s="593" t="s">
        <v>3556</v>
      </c>
      <c r="G448" s="634" t="s">
        <v>6215</v>
      </c>
      <c r="H448" s="882"/>
      <c r="I448" s="1266"/>
    </row>
    <row r="449" spans="1:9" hidden="1">
      <c r="A449" s="428" t="s">
        <v>6268</v>
      </c>
      <c r="B449" s="413" t="s">
        <v>123</v>
      </c>
      <c r="C449" s="384">
        <v>1</v>
      </c>
      <c r="D449" s="482">
        <v>39</v>
      </c>
      <c r="E449" s="486" t="s">
        <v>5611</v>
      </c>
      <c r="F449" s="593" t="s">
        <v>3557</v>
      </c>
      <c r="G449" s="634" t="s">
        <v>6215</v>
      </c>
      <c r="H449" s="882"/>
      <c r="I449" s="1266"/>
    </row>
    <row r="450" spans="1:9" hidden="1">
      <c r="A450" s="428" t="s">
        <v>6268</v>
      </c>
      <c r="B450" s="413" t="s">
        <v>123</v>
      </c>
      <c r="C450" s="384">
        <v>1</v>
      </c>
      <c r="D450" s="482">
        <v>41</v>
      </c>
      <c r="E450" s="486" t="s">
        <v>5612</v>
      </c>
      <c r="F450" s="593" t="s">
        <v>3558</v>
      </c>
      <c r="G450" s="634" t="s">
        <v>6215</v>
      </c>
      <c r="H450" s="882"/>
      <c r="I450" s="1266"/>
    </row>
    <row r="451" spans="1:9" hidden="1">
      <c r="A451" s="428" t="s">
        <v>6268</v>
      </c>
      <c r="B451" s="413" t="s">
        <v>123</v>
      </c>
      <c r="C451" s="384">
        <v>1</v>
      </c>
      <c r="D451" s="482" t="s">
        <v>3559</v>
      </c>
      <c r="E451" s="486" t="s">
        <v>5613</v>
      </c>
      <c r="F451" s="593" t="s">
        <v>3560</v>
      </c>
      <c r="G451" s="634" t="s">
        <v>6215</v>
      </c>
      <c r="H451" s="882"/>
      <c r="I451" s="1266"/>
    </row>
    <row r="452" spans="1:9" hidden="1">
      <c r="A452" s="428" t="s">
        <v>6268</v>
      </c>
      <c r="B452" s="413" t="s">
        <v>123</v>
      </c>
      <c r="C452" s="384">
        <v>1</v>
      </c>
      <c r="D452" s="482" t="s">
        <v>3561</v>
      </c>
      <c r="E452" s="486" t="s">
        <v>5614</v>
      </c>
      <c r="F452" s="593" t="s">
        <v>3562</v>
      </c>
      <c r="G452" s="634" t="s">
        <v>6215</v>
      </c>
      <c r="H452" s="882"/>
      <c r="I452" s="1266"/>
    </row>
    <row r="453" spans="1:9" hidden="1">
      <c r="A453" s="428" t="s">
        <v>6268</v>
      </c>
      <c r="B453" s="413" t="s">
        <v>123</v>
      </c>
      <c r="C453" s="384">
        <v>1</v>
      </c>
      <c r="D453" s="482">
        <v>42</v>
      </c>
      <c r="E453" s="486" t="s">
        <v>5615</v>
      </c>
      <c r="F453" s="593" t="s">
        <v>3563</v>
      </c>
      <c r="G453" s="634" t="s">
        <v>6215</v>
      </c>
      <c r="H453" s="882"/>
      <c r="I453" s="1266"/>
    </row>
    <row r="454" spans="1:9" hidden="1">
      <c r="A454" s="428" t="s">
        <v>6268</v>
      </c>
      <c r="B454" s="413" t="s">
        <v>123</v>
      </c>
      <c r="C454" s="384">
        <v>1</v>
      </c>
      <c r="D454" s="482" t="s">
        <v>3564</v>
      </c>
      <c r="E454" s="486" t="s">
        <v>5616</v>
      </c>
      <c r="F454" s="593" t="s">
        <v>3565</v>
      </c>
      <c r="G454" s="634" t="s">
        <v>6215</v>
      </c>
      <c r="H454" s="882"/>
      <c r="I454" s="1266"/>
    </row>
    <row r="455" spans="1:9" hidden="1">
      <c r="A455" s="428" t="s">
        <v>6268</v>
      </c>
      <c r="B455" s="413" t="s">
        <v>123</v>
      </c>
      <c r="C455" s="384">
        <v>1</v>
      </c>
      <c r="D455" s="482" t="s">
        <v>3566</v>
      </c>
      <c r="E455" s="486" t="s">
        <v>5617</v>
      </c>
      <c r="F455" s="593" t="s">
        <v>3567</v>
      </c>
      <c r="G455" s="634" t="s">
        <v>6215</v>
      </c>
      <c r="H455" s="882"/>
      <c r="I455" s="1266"/>
    </row>
    <row r="456" spans="1:9" hidden="1">
      <c r="A456" s="428" t="s">
        <v>6268</v>
      </c>
      <c r="B456" s="413" t="s">
        <v>123</v>
      </c>
      <c r="C456" s="384">
        <v>1</v>
      </c>
      <c r="D456" s="482" t="s">
        <v>3568</v>
      </c>
      <c r="E456" s="486" t="s">
        <v>5618</v>
      </c>
      <c r="F456" s="593" t="s">
        <v>3569</v>
      </c>
      <c r="G456" s="634" t="s">
        <v>6215</v>
      </c>
      <c r="H456" s="882"/>
      <c r="I456" s="1266"/>
    </row>
    <row r="457" spans="1:9" hidden="1">
      <c r="A457" s="428" t="s">
        <v>6268</v>
      </c>
      <c r="B457" s="413" t="s">
        <v>123</v>
      </c>
      <c r="C457" s="384">
        <v>1</v>
      </c>
      <c r="D457" s="482" t="s">
        <v>3570</v>
      </c>
      <c r="E457" s="486" t="s">
        <v>5619</v>
      </c>
      <c r="F457" s="593" t="s">
        <v>3571</v>
      </c>
      <c r="G457" s="634" t="s">
        <v>6215</v>
      </c>
      <c r="H457" s="882"/>
      <c r="I457" s="1266"/>
    </row>
    <row r="458" spans="1:9" hidden="1">
      <c r="A458" s="428" t="s">
        <v>6268</v>
      </c>
      <c r="B458" s="413" t="s">
        <v>123</v>
      </c>
      <c r="C458" s="384">
        <v>1</v>
      </c>
      <c r="D458" s="482" t="s">
        <v>3572</v>
      </c>
      <c r="E458" s="486" t="s">
        <v>5620</v>
      </c>
      <c r="F458" s="593" t="s">
        <v>3573</v>
      </c>
      <c r="G458" s="634" t="s">
        <v>6215</v>
      </c>
      <c r="H458" s="882"/>
      <c r="I458" s="1266"/>
    </row>
    <row r="459" spans="1:9" hidden="1">
      <c r="A459" s="428" t="s">
        <v>6268</v>
      </c>
      <c r="B459" s="413" t="s">
        <v>123</v>
      </c>
      <c r="C459" s="384">
        <v>1</v>
      </c>
      <c r="D459" s="482" t="s">
        <v>3574</v>
      </c>
      <c r="E459" s="486" t="s">
        <v>5621</v>
      </c>
      <c r="F459" s="593" t="s">
        <v>3575</v>
      </c>
      <c r="G459" s="634" t="s">
        <v>6215</v>
      </c>
      <c r="H459" s="882"/>
      <c r="I459" s="1266"/>
    </row>
    <row r="460" spans="1:9" hidden="1">
      <c r="A460" s="428" t="s">
        <v>6268</v>
      </c>
      <c r="B460" s="413" t="s">
        <v>123</v>
      </c>
      <c r="C460" s="384">
        <v>1</v>
      </c>
      <c r="D460" s="482" t="s">
        <v>3576</v>
      </c>
      <c r="E460" s="486" t="s">
        <v>5622</v>
      </c>
      <c r="F460" s="593" t="s">
        <v>3577</v>
      </c>
      <c r="G460" s="634" t="s">
        <v>6215</v>
      </c>
      <c r="H460" s="882"/>
      <c r="I460" s="1266"/>
    </row>
    <row r="461" spans="1:9" hidden="1">
      <c r="A461" s="428" t="s">
        <v>6268</v>
      </c>
      <c r="B461" s="413" t="s">
        <v>123</v>
      </c>
      <c r="C461" s="384">
        <v>1</v>
      </c>
      <c r="D461" s="482" t="s">
        <v>3578</v>
      </c>
      <c r="E461" s="486" t="s">
        <v>5623</v>
      </c>
      <c r="F461" s="593" t="s">
        <v>3579</v>
      </c>
      <c r="G461" s="634" t="s">
        <v>6215</v>
      </c>
      <c r="H461" s="882"/>
      <c r="I461" s="1266"/>
    </row>
    <row r="462" spans="1:9" hidden="1">
      <c r="A462" s="428" t="s">
        <v>6268</v>
      </c>
      <c r="B462" s="413" t="s">
        <v>123</v>
      </c>
      <c r="C462" s="384">
        <v>1</v>
      </c>
      <c r="D462" s="482" t="s">
        <v>3580</v>
      </c>
      <c r="E462" s="486" t="s">
        <v>5624</v>
      </c>
      <c r="F462" s="593" t="s">
        <v>3581</v>
      </c>
      <c r="G462" s="634" t="s">
        <v>6215</v>
      </c>
      <c r="H462" s="882"/>
      <c r="I462" s="1266"/>
    </row>
    <row r="463" spans="1:9" hidden="1">
      <c r="A463" s="428" t="s">
        <v>6268</v>
      </c>
      <c r="B463" s="413" t="s">
        <v>123</v>
      </c>
      <c r="C463" s="384">
        <v>1</v>
      </c>
      <c r="D463" s="482" t="s">
        <v>3582</v>
      </c>
      <c r="E463" s="486" t="s">
        <v>5625</v>
      </c>
      <c r="F463" s="593" t="s">
        <v>3583</v>
      </c>
      <c r="G463" s="634" t="s">
        <v>6215</v>
      </c>
      <c r="H463" s="882"/>
      <c r="I463" s="1266"/>
    </row>
    <row r="464" spans="1:9" hidden="1">
      <c r="A464" s="428" t="s">
        <v>6268</v>
      </c>
      <c r="B464" s="413" t="s">
        <v>123</v>
      </c>
      <c r="C464" s="384">
        <v>1</v>
      </c>
      <c r="D464" s="482">
        <v>43</v>
      </c>
      <c r="E464" s="486" t="s">
        <v>5626</v>
      </c>
      <c r="F464" s="593" t="s">
        <v>3584</v>
      </c>
      <c r="G464" s="634" t="s">
        <v>6215</v>
      </c>
      <c r="H464" s="882"/>
      <c r="I464" s="1266"/>
    </row>
    <row r="465" spans="1:9" hidden="1">
      <c r="A465" s="428" t="s">
        <v>6268</v>
      </c>
      <c r="B465" s="413" t="s">
        <v>123</v>
      </c>
      <c r="C465" s="384">
        <v>1</v>
      </c>
      <c r="D465" s="482" t="s">
        <v>3585</v>
      </c>
      <c r="E465" s="486" t="s">
        <v>5627</v>
      </c>
      <c r="F465" s="593" t="s">
        <v>3586</v>
      </c>
      <c r="G465" s="634" t="s">
        <v>6215</v>
      </c>
      <c r="H465" s="882"/>
      <c r="I465" s="1266"/>
    </row>
    <row r="466" spans="1:9" hidden="1">
      <c r="A466" s="428" t="s">
        <v>6268</v>
      </c>
      <c r="B466" s="413" t="s">
        <v>123</v>
      </c>
      <c r="C466" s="384">
        <v>1</v>
      </c>
      <c r="D466" s="482" t="s">
        <v>3587</v>
      </c>
      <c r="E466" s="486" t="s">
        <v>5628</v>
      </c>
      <c r="F466" s="593" t="s">
        <v>3588</v>
      </c>
      <c r="G466" s="634" t="s">
        <v>6215</v>
      </c>
      <c r="H466" s="882"/>
      <c r="I466" s="1266"/>
    </row>
    <row r="467" spans="1:9" hidden="1">
      <c r="A467" s="428" t="s">
        <v>6268</v>
      </c>
      <c r="B467" s="413" t="s">
        <v>123</v>
      </c>
      <c r="C467" s="384">
        <v>1</v>
      </c>
      <c r="D467" s="482" t="s">
        <v>3589</v>
      </c>
      <c r="E467" s="486" t="s">
        <v>5629</v>
      </c>
      <c r="F467" s="593" t="s">
        <v>3590</v>
      </c>
      <c r="G467" s="634" t="s">
        <v>6215</v>
      </c>
      <c r="H467" s="882"/>
      <c r="I467" s="1266"/>
    </row>
    <row r="468" spans="1:9" hidden="1">
      <c r="A468" s="428" t="s">
        <v>6268</v>
      </c>
      <c r="B468" s="413" t="s">
        <v>123</v>
      </c>
      <c r="C468" s="384">
        <v>1</v>
      </c>
      <c r="D468" s="482" t="s">
        <v>3591</v>
      </c>
      <c r="E468" s="486" t="s">
        <v>5630</v>
      </c>
      <c r="F468" s="593" t="s">
        <v>3592</v>
      </c>
      <c r="G468" s="634" t="s">
        <v>6215</v>
      </c>
      <c r="H468" s="882"/>
      <c r="I468" s="1266"/>
    </row>
    <row r="469" spans="1:9" hidden="1">
      <c r="A469" s="428" t="s">
        <v>6268</v>
      </c>
      <c r="B469" s="413" t="s">
        <v>123</v>
      </c>
      <c r="C469" s="384">
        <v>1</v>
      </c>
      <c r="D469" s="482" t="s">
        <v>3593</v>
      </c>
      <c r="E469" s="486" t="s">
        <v>5631</v>
      </c>
      <c r="F469" s="593" t="s">
        <v>3594</v>
      </c>
      <c r="G469" s="634" t="s">
        <v>6215</v>
      </c>
      <c r="H469" s="882"/>
      <c r="I469" s="1266"/>
    </row>
    <row r="470" spans="1:9" hidden="1">
      <c r="A470" s="428" t="s">
        <v>6268</v>
      </c>
      <c r="B470" s="413" t="s">
        <v>123</v>
      </c>
      <c r="C470" s="384">
        <v>1</v>
      </c>
      <c r="D470" s="482" t="s">
        <v>3595</v>
      </c>
      <c r="E470" s="486" t="s">
        <v>5632</v>
      </c>
      <c r="F470" s="593" t="s">
        <v>3596</v>
      </c>
      <c r="G470" s="634" t="s">
        <v>6215</v>
      </c>
      <c r="H470" s="882"/>
      <c r="I470" s="1266"/>
    </row>
    <row r="471" spans="1:9" hidden="1">
      <c r="A471" s="428" t="s">
        <v>6268</v>
      </c>
      <c r="B471" s="413" t="s">
        <v>123</v>
      </c>
      <c r="C471" s="384">
        <v>1</v>
      </c>
      <c r="D471" s="482" t="s">
        <v>3597</v>
      </c>
      <c r="E471" s="486" t="s">
        <v>5633</v>
      </c>
      <c r="F471" s="593" t="s">
        <v>3598</v>
      </c>
      <c r="G471" s="634" t="s">
        <v>6215</v>
      </c>
      <c r="H471" s="882"/>
      <c r="I471" s="1266"/>
    </row>
    <row r="472" spans="1:9" hidden="1">
      <c r="A472" s="428" t="s">
        <v>6268</v>
      </c>
      <c r="B472" s="413" t="s">
        <v>123</v>
      </c>
      <c r="C472" s="384">
        <v>1</v>
      </c>
      <c r="D472" s="482" t="s">
        <v>3599</v>
      </c>
      <c r="E472" s="486" t="s">
        <v>5634</v>
      </c>
      <c r="F472" s="593" t="s">
        <v>3600</v>
      </c>
      <c r="G472" s="634" t="s">
        <v>6215</v>
      </c>
      <c r="H472" s="882"/>
      <c r="I472" s="1266"/>
    </row>
    <row r="473" spans="1:9" hidden="1">
      <c r="A473" s="428" t="s">
        <v>6268</v>
      </c>
      <c r="B473" s="413" t="s">
        <v>123</v>
      </c>
      <c r="C473" s="384">
        <v>1</v>
      </c>
      <c r="D473" s="482" t="s">
        <v>3601</v>
      </c>
      <c r="E473" s="486" t="s">
        <v>5635</v>
      </c>
      <c r="F473" s="593" t="s">
        <v>3602</v>
      </c>
      <c r="G473" s="634" t="s">
        <v>6215</v>
      </c>
      <c r="H473" s="882"/>
      <c r="I473" s="1266"/>
    </row>
    <row r="474" spans="1:9" hidden="1">
      <c r="A474" s="428" t="s">
        <v>6268</v>
      </c>
      <c r="B474" s="413" t="s">
        <v>123</v>
      </c>
      <c r="C474" s="384">
        <v>1</v>
      </c>
      <c r="D474" s="482" t="s">
        <v>3603</v>
      </c>
      <c r="E474" s="486" t="s">
        <v>5636</v>
      </c>
      <c r="F474" s="593" t="s">
        <v>3604</v>
      </c>
      <c r="G474" s="634" t="s">
        <v>6215</v>
      </c>
      <c r="H474" s="882"/>
      <c r="I474" s="1266"/>
    </row>
    <row r="475" spans="1:9" hidden="1">
      <c r="A475" s="428" t="s">
        <v>6268</v>
      </c>
      <c r="B475" s="413" t="s">
        <v>123</v>
      </c>
      <c r="C475" s="384">
        <v>1</v>
      </c>
      <c r="D475" s="482" t="s">
        <v>3605</v>
      </c>
      <c r="E475" s="486" t="s">
        <v>5637</v>
      </c>
      <c r="F475" s="593" t="s">
        <v>3606</v>
      </c>
      <c r="G475" s="634" t="s">
        <v>6215</v>
      </c>
      <c r="H475" s="882"/>
      <c r="I475" s="1266"/>
    </row>
    <row r="476" spans="1:9" hidden="1">
      <c r="A476" s="428" t="s">
        <v>6268</v>
      </c>
      <c r="B476" s="413" t="s">
        <v>123</v>
      </c>
      <c r="C476" s="384">
        <v>1</v>
      </c>
      <c r="D476" s="482" t="s">
        <v>3607</v>
      </c>
      <c r="E476" s="486" t="s">
        <v>5638</v>
      </c>
      <c r="F476" s="593" t="s">
        <v>3608</v>
      </c>
      <c r="G476" s="634" t="s">
        <v>6215</v>
      </c>
      <c r="H476" s="882"/>
      <c r="I476" s="1266"/>
    </row>
    <row r="477" spans="1:9" hidden="1">
      <c r="A477" s="428" t="s">
        <v>6268</v>
      </c>
      <c r="B477" s="413" t="s">
        <v>123</v>
      </c>
      <c r="C477" s="384">
        <v>1</v>
      </c>
      <c r="D477" s="482" t="s">
        <v>3609</v>
      </c>
      <c r="E477" s="486" t="s">
        <v>5639</v>
      </c>
      <c r="F477" s="593" t="s">
        <v>3610</v>
      </c>
      <c r="G477" s="634" t="s">
        <v>6215</v>
      </c>
      <c r="H477" s="882"/>
      <c r="I477" s="1266"/>
    </row>
    <row r="478" spans="1:9" hidden="1">
      <c r="A478" s="428" t="s">
        <v>6268</v>
      </c>
      <c r="B478" s="413" t="s">
        <v>123</v>
      </c>
      <c r="C478" s="384">
        <v>1</v>
      </c>
      <c r="D478" s="482" t="s">
        <v>3611</v>
      </c>
      <c r="E478" s="486" t="s">
        <v>5640</v>
      </c>
      <c r="F478" s="593" t="s">
        <v>3612</v>
      </c>
      <c r="G478" s="634" t="s">
        <v>6215</v>
      </c>
      <c r="H478" s="882"/>
      <c r="I478" s="1266"/>
    </row>
    <row r="479" spans="1:9" hidden="1">
      <c r="A479" s="428" t="s">
        <v>6268</v>
      </c>
      <c r="B479" s="413" t="s">
        <v>123</v>
      </c>
      <c r="C479" s="384">
        <v>1</v>
      </c>
      <c r="D479" s="482" t="s">
        <v>3613</v>
      </c>
      <c r="E479" s="486" t="s">
        <v>5641</v>
      </c>
      <c r="F479" s="593" t="s">
        <v>3614</v>
      </c>
      <c r="G479" s="634" t="s">
        <v>6215</v>
      </c>
      <c r="H479" s="882"/>
      <c r="I479" s="1266"/>
    </row>
    <row r="480" spans="1:9" hidden="1">
      <c r="A480" s="428" t="s">
        <v>6268</v>
      </c>
      <c r="B480" s="413" t="s">
        <v>123</v>
      </c>
      <c r="C480" s="384">
        <v>1</v>
      </c>
      <c r="D480" s="482" t="s">
        <v>3615</v>
      </c>
      <c r="E480" s="486" t="s">
        <v>5642</v>
      </c>
      <c r="F480" s="593" t="s">
        <v>3616</v>
      </c>
      <c r="G480" s="634" t="s">
        <v>6215</v>
      </c>
      <c r="H480" s="882"/>
      <c r="I480" s="1266"/>
    </row>
    <row r="481" spans="1:9" hidden="1">
      <c r="A481" s="428" t="s">
        <v>6268</v>
      </c>
      <c r="B481" s="413" t="s">
        <v>123</v>
      </c>
      <c r="C481" s="384">
        <v>1</v>
      </c>
      <c r="D481" s="482" t="s">
        <v>3617</v>
      </c>
      <c r="E481" s="486" t="s">
        <v>5643</v>
      </c>
      <c r="F481" s="593" t="s">
        <v>3618</v>
      </c>
      <c r="G481" s="634" t="s">
        <v>6215</v>
      </c>
      <c r="H481" s="882"/>
      <c r="I481" s="1266"/>
    </row>
    <row r="482" spans="1:9" hidden="1">
      <c r="A482" s="428" t="s">
        <v>6268</v>
      </c>
      <c r="B482" s="413" t="s">
        <v>123</v>
      </c>
      <c r="C482" s="384">
        <v>1</v>
      </c>
      <c r="D482" s="482">
        <v>45</v>
      </c>
      <c r="E482" s="486" t="s">
        <v>5644</v>
      </c>
      <c r="F482" s="593" t="s">
        <v>3619</v>
      </c>
      <c r="G482" s="634" t="s">
        <v>6215</v>
      </c>
      <c r="H482" s="882"/>
      <c r="I482" s="1266"/>
    </row>
    <row r="483" spans="1:9" hidden="1">
      <c r="A483" s="428" t="s">
        <v>6268</v>
      </c>
      <c r="B483" s="413" t="s">
        <v>123</v>
      </c>
      <c r="C483" s="384">
        <v>1</v>
      </c>
      <c r="D483" s="482" t="s">
        <v>3620</v>
      </c>
      <c r="E483" s="486" t="s">
        <v>5645</v>
      </c>
      <c r="F483" s="593" t="s">
        <v>3621</v>
      </c>
      <c r="G483" s="634" t="s">
        <v>6215</v>
      </c>
      <c r="H483" s="882"/>
      <c r="I483" s="1266"/>
    </row>
    <row r="484" spans="1:9" hidden="1">
      <c r="A484" s="428" t="s">
        <v>6268</v>
      </c>
      <c r="B484" s="413" t="s">
        <v>123</v>
      </c>
      <c r="C484" s="384">
        <v>1</v>
      </c>
      <c r="D484" s="482" t="s">
        <v>3622</v>
      </c>
      <c r="E484" s="486" t="s">
        <v>5646</v>
      </c>
      <c r="F484" s="593" t="s">
        <v>3623</v>
      </c>
      <c r="G484" s="634" t="s">
        <v>6215</v>
      </c>
      <c r="H484" s="882"/>
      <c r="I484" s="1266"/>
    </row>
    <row r="485" spans="1:9" hidden="1">
      <c r="A485" s="428" t="s">
        <v>6268</v>
      </c>
      <c r="B485" s="413" t="s">
        <v>123</v>
      </c>
      <c r="C485" s="384">
        <v>1</v>
      </c>
      <c r="D485" s="482" t="s">
        <v>3624</v>
      </c>
      <c r="E485" s="486" t="s">
        <v>5647</v>
      </c>
      <c r="F485" s="593" t="s">
        <v>3625</v>
      </c>
      <c r="G485" s="634" t="s">
        <v>6215</v>
      </c>
      <c r="H485" s="882"/>
      <c r="I485" s="1266"/>
    </row>
    <row r="486" spans="1:9" hidden="1">
      <c r="A486" s="428" t="s">
        <v>6268</v>
      </c>
      <c r="B486" s="413" t="s">
        <v>123</v>
      </c>
      <c r="C486" s="384">
        <v>1</v>
      </c>
      <c r="D486" s="482" t="s">
        <v>3626</v>
      </c>
      <c r="E486" s="486" t="s">
        <v>5648</v>
      </c>
      <c r="F486" s="593" t="s">
        <v>3627</v>
      </c>
      <c r="G486" s="634" t="s">
        <v>6215</v>
      </c>
      <c r="H486" s="882"/>
      <c r="I486" s="1266"/>
    </row>
    <row r="487" spans="1:9" hidden="1">
      <c r="A487" s="428" t="s">
        <v>6268</v>
      </c>
      <c r="B487" s="413" t="s">
        <v>123</v>
      </c>
      <c r="C487" s="384">
        <v>1</v>
      </c>
      <c r="D487" s="482" t="s">
        <v>3628</v>
      </c>
      <c r="E487" s="486" t="s">
        <v>5649</v>
      </c>
      <c r="F487" s="593" t="s">
        <v>3629</v>
      </c>
      <c r="G487" s="634" t="s">
        <v>6215</v>
      </c>
      <c r="H487" s="882"/>
      <c r="I487" s="1266"/>
    </row>
    <row r="488" spans="1:9" hidden="1">
      <c r="A488" s="428" t="s">
        <v>6268</v>
      </c>
      <c r="B488" s="413" t="s">
        <v>123</v>
      </c>
      <c r="C488" s="384">
        <v>1</v>
      </c>
      <c r="D488" s="482" t="s">
        <v>3630</v>
      </c>
      <c r="E488" s="486" t="s">
        <v>5650</v>
      </c>
      <c r="F488" s="593" t="s">
        <v>3631</v>
      </c>
      <c r="G488" s="634" t="s">
        <v>6215</v>
      </c>
      <c r="H488" s="882"/>
      <c r="I488" s="1266"/>
    </row>
    <row r="489" spans="1:9" hidden="1">
      <c r="A489" s="428" t="s">
        <v>6268</v>
      </c>
      <c r="B489" s="413" t="s">
        <v>123</v>
      </c>
      <c r="C489" s="384">
        <v>1</v>
      </c>
      <c r="D489" s="482" t="s">
        <v>3632</v>
      </c>
      <c r="E489" s="486" t="s">
        <v>5651</v>
      </c>
      <c r="F489" s="593" t="s">
        <v>3633</v>
      </c>
      <c r="G489" s="634" t="s">
        <v>6215</v>
      </c>
      <c r="H489" s="882"/>
      <c r="I489" s="1266"/>
    </row>
    <row r="490" spans="1:9" hidden="1">
      <c r="A490" s="428" t="s">
        <v>6268</v>
      </c>
      <c r="B490" s="413" t="s">
        <v>123</v>
      </c>
      <c r="C490" s="384">
        <v>1</v>
      </c>
      <c r="D490" s="482" t="s">
        <v>3634</v>
      </c>
      <c r="E490" s="486" t="s">
        <v>5652</v>
      </c>
      <c r="F490" s="593" t="s">
        <v>3635</v>
      </c>
      <c r="G490" s="634" t="s">
        <v>6215</v>
      </c>
      <c r="H490" s="882"/>
      <c r="I490" s="1266"/>
    </row>
    <row r="491" spans="1:9" hidden="1">
      <c r="A491" s="428" t="s">
        <v>6268</v>
      </c>
      <c r="B491" s="413" t="s">
        <v>123</v>
      </c>
      <c r="C491" s="384">
        <v>1</v>
      </c>
      <c r="D491" s="482">
        <v>46</v>
      </c>
      <c r="E491" s="486" t="s">
        <v>5653</v>
      </c>
      <c r="F491" s="593" t="s">
        <v>3636</v>
      </c>
      <c r="G491" s="634" t="s">
        <v>6215</v>
      </c>
      <c r="H491" s="882"/>
      <c r="I491" s="1266"/>
    </row>
    <row r="492" spans="1:9" hidden="1">
      <c r="A492" s="428" t="s">
        <v>6268</v>
      </c>
      <c r="B492" s="413" t="s">
        <v>123</v>
      </c>
      <c r="C492" s="384">
        <v>1</v>
      </c>
      <c r="D492" s="482" t="s">
        <v>3637</v>
      </c>
      <c r="E492" s="486" t="s">
        <v>5654</v>
      </c>
      <c r="F492" s="593" t="s">
        <v>3638</v>
      </c>
      <c r="G492" s="634" t="s">
        <v>6215</v>
      </c>
      <c r="H492" s="882"/>
      <c r="I492" s="1266"/>
    </row>
    <row r="493" spans="1:9" hidden="1">
      <c r="A493" s="428" t="s">
        <v>6268</v>
      </c>
      <c r="B493" s="413" t="s">
        <v>123</v>
      </c>
      <c r="C493" s="384">
        <v>1</v>
      </c>
      <c r="D493" s="482" t="s">
        <v>3639</v>
      </c>
      <c r="E493" s="486" t="s">
        <v>5655</v>
      </c>
      <c r="F493" s="593" t="s">
        <v>3640</v>
      </c>
      <c r="G493" s="634" t="s">
        <v>6215</v>
      </c>
      <c r="H493" s="882"/>
      <c r="I493" s="1266"/>
    </row>
    <row r="494" spans="1:9" hidden="1">
      <c r="A494" s="428" t="s">
        <v>6268</v>
      </c>
      <c r="B494" s="413" t="s">
        <v>123</v>
      </c>
      <c r="C494" s="384">
        <v>1</v>
      </c>
      <c r="D494" s="482" t="s">
        <v>3641</v>
      </c>
      <c r="E494" s="486" t="s">
        <v>5656</v>
      </c>
      <c r="F494" s="593" t="s">
        <v>3642</v>
      </c>
      <c r="G494" s="634" t="s">
        <v>6215</v>
      </c>
      <c r="H494" s="882"/>
      <c r="I494" s="1266"/>
    </row>
    <row r="495" spans="1:9" hidden="1">
      <c r="A495" s="428" t="s">
        <v>6268</v>
      </c>
      <c r="B495" s="413" t="s">
        <v>123</v>
      </c>
      <c r="C495" s="384">
        <v>1</v>
      </c>
      <c r="D495" s="482" t="s">
        <v>3643</v>
      </c>
      <c r="E495" s="486" t="s">
        <v>5657</v>
      </c>
      <c r="F495" s="593" t="s">
        <v>3644</v>
      </c>
      <c r="G495" s="634" t="s">
        <v>6215</v>
      </c>
      <c r="H495" s="882"/>
      <c r="I495" s="1266"/>
    </row>
    <row r="496" spans="1:9" hidden="1">
      <c r="A496" s="428" t="s">
        <v>6268</v>
      </c>
      <c r="B496" s="413" t="s">
        <v>123</v>
      </c>
      <c r="C496" s="384">
        <v>1</v>
      </c>
      <c r="D496" s="482" t="s">
        <v>3645</v>
      </c>
      <c r="E496" s="486" t="s">
        <v>5658</v>
      </c>
      <c r="F496" s="593" t="s">
        <v>3646</v>
      </c>
      <c r="G496" s="634" t="s">
        <v>6215</v>
      </c>
      <c r="H496" s="882"/>
      <c r="I496" s="1266"/>
    </row>
    <row r="497" spans="1:9" hidden="1">
      <c r="A497" s="428" t="s">
        <v>6268</v>
      </c>
      <c r="B497" s="413" t="s">
        <v>123</v>
      </c>
      <c r="C497" s="384">
        <v>1</v>
      </c>
      <c r="D497" s="482" t="s">
        <v>3647</v>
      </c>
      <c r="E497" s="486" t="s">
        <v>5659</v>
      </c>
      <c r="F497" s="593" t="s">
        <v>3648</v>
      </c>
      <c r="G497" s="634" t="s">
        <v>6215</v>
      </c>
      <c r="H497" s="882"/>
      <c r="I497" s="1266"/>
    </row>
    <row r="498" spans="1:9" hidden="1">
      <c r="A498" s="428" t="s">
        <v>6268</v>
      </c>
      <c r="B498" s="413" t="s">
        <v>123</v>
      </c>
      <c r="C498" s="384">
        <v>1</v>
      </c>
      <c r="D498" s="482" t="s">
        <v>3649</v>
      </c>
      <c r="E498" s="486" t="s">
        <v>5660</v>
      </c>
      <c r="F498" s="593" t="s">
        <v>3650</v>
      </c>
      <c r="G498" s="634" t="s">
        <v>6215</v>
      </c>
      <c r="H498" s="882"/>
      <c r="I498" s="1266"/>
    </row>
    <row r="499" spans="1:9" hidden="1">
      <c r="A499" s="428" t="s">
        <v>6268</v>
      </c>
      <c r="B499" s="413" t="s">
        <v>123</v>
      </c>
      <c r="C499" s="384">
        <v>1</v>
      </c>
      <c r="D499" s="482" t="s">
        <v>3651</v>
      </c>
      <c r="E499" s="486" t="s">
        <v>5661</v>
      </c>
      <c r="F499" s="593" t="s">
        <v>3652</v>
      </c>
      <c r="G499" s="634" t="s">
        <v>6215</v>
      </c>
      <c r="H499" s="882"/>
      <c r="I499" s="1266"/>
    </row>
    <row r="500" spans="1:9" hidden="1">
      <c r="A500" s="428" t="s">
        <v>6268</v>
      </c>
      <c r="B500" s="413" t="s">
        <v>123</v>
      </c>
      <c r="C500" s="384">
        <v>1</v>
      </c>
      <c r="D500" s="482" t="s">
        <v>3653</v>
      </c>
      <c r="E500" s="486" t="s">
        <v>5662</v>
      </c>
      <c r="F500" s="593" t="s">
        <v>3654</v>
      </c>
      <c r="G500" s="634" t="s">
        <v>6215</v>
      </c>
      <c r="H500" s="882"/>
      <c r="I500" s="1266"/>
    </row>
    <row r="501" spans="1:9" hidden="1">
      <c r="A501" s="428" t="s">
        <v>6268</v>
      </c>
      <c r="B501" s="413" t="s">
        <v>123</v>
      </c>
      <c r="C501" s="384">
        <v>1</v>
      </c>
      <c r="D501" s="482" t="s">
        <v>3655</v>
      </c>
      <c r="E501" s="486" t="s">
        <v>5663</v>
      </c>
      <c r="F501" s="593" t="s">
        <v>3656</v>
      </c>
      <c r="G501" s="634" t="s">
        <v>6215</v>
      </c>
      <c r="H501" s="882"/>
      <c r="I501" s="1266"/>
    </row>
    <row r="502" spans="1:9" hidden="1">
      <c r="A502" s="428" t="s">
        <v>6268</v>
      </c>
      <c r="B502" s="413" t="s">
        <v>123</v>
      </c>
      <c r="C502" s="384">
        <v>1</v>
      </c>
      <c r="D502" s="482" t="s">
        <v>3657</v>
      </c>
      <c r="E502" s="486" t="s">
        <v>5664</v>
      </c>
      <c r="F502" s="593" t="s">
        <v>3658</v>
      </c>
      <c r="G502" s="634" t="s">
        <v>6215</v>
      </c>
      <c r="H502" s="882"/>
      <c r="I502" s="1266"/>
    </row>
    <row r="503" spans="1:9" hidden="1">
      <c r="A503" s="428" t="s">
        <v>6268</v>
      </c>
      <c r="B503" s="413" t="s">
        <v>123</v>
      </c>
      <c r="C503" s="384">
        <v>1</v>
      </c>
      <c r="D503" s="482" t="s">
        <v>3659</v>
      </c>
      <c r="E503" s="486" t="s">
        <v>5665</v>
      </c>
      <c r="F503" s="593" t="s">
        <v>3660</v>
      </c>
      <c r="G503" s="634" t="s">
        <v>6215</v>
      </c>
      <c r="H503" s="882"/>
      <c r="I503" s="1266"/>
    </row>
    <row r="504" spans="1:9" hidden="1">
      <c r="A504" s="428" t="s">
        <v>6268</v>
      </c>
      <c r="B504" s="413" t="s">
        <v>123</v>
      </c>
      <c r="C504" s="384">
        <v>1</v>
      </c>
      <c r="D504" s="482" t="s">
        <v>3661</v>
      </c>
      <c r="E504" s="486" t="s">
        <v>5666</v>
      </c>
      <c r="F504" s="593" t="s">
        <v>3662</v>
      </c>
      <c r="G504" s="634" t="s">
        <v>6215</v>
      </c>
      <c r="H504" s="882"/>
      <c r="I504" s="1266"/>
    </row>
    <row r="505" spans="1:9" hidden="1">
      <c r="A505" s="428" t="s">
        <v>6268</v>
      </c>
      <c r="B505" s="413" t="s">
        <v>123</v>
      </c>
      <c r="C505" s="384">
        <v>1</v>
      </c>
      <c r="D505" s="482" t="s">
        <v>3663</v>
      </c>
      <c r="E505" s="486" t="s">
        <v>5667</v>
      </c>
      <c r="F505" s="593" t="s">
        <v>3664</v>
      </c>
      <c r="G505" s="634" t="s">
        <v>6215</v>
      </c>
      <c r="H505" s="882"/>
      <c r="I505" s="1266"/>
    </row>
    <row r="506" spans="1:9" hidden="1">
      <c r="A506" s="428" t="s">
        <v>6268</v>
      </c>
      <c r="B506" s="413" t="s">
        <v>123</v>
      </c>
      <c r="C506" s="384">
        <v>1</v>
      </c>
      <c r="D506" s="482" t="s">
        <v>3665</v>
      </c>
      <c r="E506" s="486" t="s">
        <v>5668</v>
      </c>
      <c r="F506" s="593" t="s">
        <v>3666</v>
      </c>
      <c r="G506" s="634" t="s">
        <v>6215</v>
      </c>
      <c r="H506" s="882"/>
      <c r="I506" s="1266"/>
    </row>
    <row r="507" spans="1:9" hidden="1">
      <c r="A507" s="428" t="s">
        <v>6268</v>
      </c>
      <c r="B507" s="413" t="s">
        <v>123</v>
      </c>
      <c r="C507" s="384">
        <v>1</v>
      </c>
      <c r="D507" s="482" t="s">
        <v>3667</v>
      </c>
      <c r="E507" s="486" t="s">
        <v>5669</v>
      </c>
      <c r="F507" s="593" t="s">
        <v>3668</v>
      </c>
      <c r="G507" s="634" t="s">
        <v>6215</v>
      </c>
      <c r="H507" s="882"/>
      <c r="I507" s="1266"/>
    </row>
    <row r="508" spans="1:9" hidden="1">
      <c r="A508" s="428" t="s">
        <v>6268</v>
      </c>
      <c r="B508" s="413" t="s">
        <v>123</v>
      </c>
      <c r="C508" s="384">
        <v>1</v>
      </c>
      <c r="D508" s="482" t="s">
        <v>3669</v>
      </c>
      <c r="E508" s="486" t="s">
        <v>5670</v>
      </c>
      <c r="F508" s="593" t="s">
        <v>3670</v>
      </c>
      <c r="G508" s="634" t="s">
        <v>6215</v>
      </c>
      <c r="H508" s="882"/>
      <c r="I508" s="1266"/>
    </row>
    <row r="509" spans="1:9" hidden="1">
      <c r="A509" s="428" t="s">
        <v>6268</v>
      </c>
      <c r="B509" s="413" t="s">
        <v>123</v>
      </c>
      <c r="C509" s="384">
        <v>1</v>
      </c>
      <c r="D509" s="482" t="s">
        <v>3671</v>
      </c>
      <c r="E509" s="486" t="s">
        <v>5671</v>
      </c>
      <c r="F509" s="593" t="s">
        <v>3672</v>
      </c>
      <c r="G509" s="634" t="s">
        <v>6215</v>
      </c>
      <c r="H509" s="882"/>
      <c r="I509" s="1266"/>
    </row>
    <row r="510" spans="1:9" hidden="1">
      <c r="A510" s="428" t="s">
        <v>6268</v>
      </c>
      <c r="B510" s="413" t="s">
        <v>123</v>
      </c>
      <c r="C510" s="384">
        <v>1</v>
      </c>
      <c r="D510" s="482" t="s">
        <v>3673</v>
      </c>
      <c r="E510" s="486" t="s">
        <v>5672</v>
      </c>
      <c r="F510" s="593" t="s">
        <v>3674</v>
      </c>
      <c r="G510" s="634" t="s">
        <v>6215</v>
      </c>
      <c r="H510" s="882"/>
      <c r="I510" s="1266"/>
    </row>
    <row r="511" spans="1:9" hidden="1">
      <c r="A511" s="428" t="s">
        <v>6268</v>
      </c>
      <c r="B511" s="413" t="s">
        <v>123</v>
      </c>
      <c r="C511" s="384">
        <v>1</v>
      </c>
      <c r="D511" s="482" t="s">
        <v>3675</v>
      </c>
      <c r="E511" s="486" t="s">
        <v>5673</v>
      </c>
      <c r="F511" s="593" t="s">
        <v>3676</v>
      </c>
      <c r="G511" s="634" t="s">
        <v>6215</v>
      </c>
      <c r="H511" s="882"/>
      <c r="I511" s="1266"/>
    </row>
    <row r="512" spans="1:9" hidden="1">
      <c r="A512" s="428" t="s">
        <v>6268</v>
      </c>
      <c r="B512" s="413" t="s">
        <v>123</v>
      </c>
      <c r="C512" s="384">
        <v>1</v>
      </c>
      <c r="D512" s="482" t="s">
        <v>3677</v>
      </c>
      <c r="E512" s="486" t="s">
        <v>5674</v>
      </c>
      <c r="F512" s="593" t="s">
        <v>3678</v>
      </c>
      <c r="G512" s="634" t="s">
        <v>6215</v>
      </c>
      <c r="H512" s="882"/>
      <c r="I512" s="1266"/>
    </row>
    <row r="513" spans="1:9" hidden="1">
      <c r="A513" s="428" t="s">
        <v>6268</v>
      </c>
      <c r="B513" s="413" t="s">
        <v>123</v>
      </c>
      <c r="C513" s="384">
        <v>1</v>
      </c>
      <c r="D513" s="482" t="s">
        <v>3679</v>
      </c>
      <c r="E513" s="486" t="s">
        <v>5675</v>
      </c>
      <c r="F513" s="593" t="s">
        <v>3680</v>
      </c>
      <c r="G513" s="634" t="s">
        <v>6215</v>
      </c>
      <c r="H513" s="882"/>
      <c r="I513" s="1266"/>
    </row>
    <row r="514" spans="1:9" hidden="1">
      <c r="A514" s="428" t="s">
        <v>6268</v>
      </c>
      <c r="B514" s="413" t="s">
        <v>123</v>
      </c>
      <c r="C514" s="384">
        <v>1</v>
      </c>
      <c r="D514" s="482" t="s">
        <v>3681</v>
      </c>
      <c r="E514" s="486" t="s">
        <v>5676</v>
      </c>
      <c r="F514" s="593" t="s">
        <v>3682</v>
      </c>
      <c r="G514" s="634" t="s">
        <v>6215</v>
      </c>
      <c r="H514" s="882"/>
      <c r="I514" s="1266"/>
    </row>
    <row r="515" spans="1:9" hidden="1">
      <c r="A515" s="428" t="s">
        <v>6268</v>
      </c>
      <c r="B515" s="413" t="s">
        <v>123</v>
      </c>
      <c r="C515" s="384">
        <v>1</v>
      </c>
      <c r="D515" s="482" t="s">
        <v>3683</v>
      </c>
      <c r="E515" s="486" t="s">
        <v>5677</v>
      </c>
      <c r="F515" s="593" t="s">
        <v>3684</v>
      </c>
      <c r="G515" s="634" t="s">
        <v>6215</v>
      </c>
      <c r="H515" s="882"/>
      <c r="I515" s="1266"/>
    </row>
    <row r="516" spans="1:9" hidden="1">
      <c r="A516" s="428" t="s">
        <v>6268</v>
      </c>
      <c r="B516" s="413" t="s">
        <v>123</v>
      </c>
      <c r="C516" s="384">
        <v>1</v>
      </c>
      <c r="D516" s="482" t="s">
        <v>3685</v>
      </c>
      <c r="E516" s="486" t="s">
        <v>5678</v>
      </c>
      <c r="F516" s="593" t="s">
        <v>3686</v>
      </c>
      <c r="G516" s="634" t="s">
        <v>6215</v>
      </c>
      <c r="H516" s="882"/>
      <c r="I516" s="1266"/>
    </row>
    <row r="517" spans="1:9" hidden="1">
      <c r="A517" s="428" t="s">
        <v>6268</v>
      </c>
      <c r="B517" s="413" t="s">
        <v>123</v>
      </c>
      <c r="C517" s="384">
        <v>1</v>
      </c>
      <c r="D517" s="482" t="s">
        <v>3687</v>
      </c>
      <c r="E517" s="486" t="s">
        <v>5679</v>
      </c>
      <c r="F517" s="593" t="s">
        <v>3688</v>
      </c>
      <c r="G517" s="634" t="s">
        <v>6215</v>
      </c>
      <c r="H517" s="882"/>
      <c r="I517" s="1266"/>
    </row>
    <row r="518" spans="1:9" hidden="1">
      <c r="A518" s="428" t="s">
        <v>6268</v>
      </c>
      <c r="B518" s="413" t="s">
        <v>123</v>
      </c>
      <c r="C518" s="384">
        <v>1</v>
      </c>
      <c r="D518" s="482" t="s">
        <v>3689</v>
      </c>
      <c r="E518" s="486" t="s">
        <v>5680</v>
      </c>
      <c r="F518" s="593" t="s">
        <v>3690</v>
      </c>
      <c r="G518" s="634" t="s">
        <v>6215</v>
      </c>
      <c r="H518" s="882"/>
      <c r="I518" s="1266"/>
    </row>
    <row r="519" spans="1:9" hidden="1">
      <c r="A519" s="428" t="s">
        <v>6268</v>
      </c>
      <c r="B519" s="413" t="s">
        <v>123</v>
      </c>
      <c r="C519" s="384">
        <v>1</v>
      </c>
      <c r="D519" s="482" t="s">
        <v>3691</v>
      </c>
      <c r="E519" s="486" t="s">
        <v>5681</v>
      </c>
      <c r="F519" s="593" t="s">
        <v>3692</v>
      </c>
      <c r="G519" s="634" t="s">
        <v>6215</v>
      </c>
      <c r="H519" s="882"/>
      <c r="I519" s="1266"/>
    </row>
    <row r="520" spans="1:9" hidden="1">
      <c r="A520" s="428" t="s">
        <v>6268</v>
      </c>
      <c r="B520" s="413" t="s">
        <v>123</v>
      </c>
      <c r="C520" s="384">
        <v>1</v>
      </c>
      <c r="D520" s="482" t="s">
        <v>3693</v>
      </c>
      <c r="E520" s="486" t="s">
        <v>5682</v>
      </c>
      <c r="F520" s="593" t="s">
        <v>3694</v>
      </c>
      <c r="G520" s="634" t="s">
        <v>6215</v>
      </c>
      <c r="H520" s="882"/>
      <c r="I520" s="1266"/>
    </row>
    <row r="521" spans="1:9" hidden="1">
      <c r="A521" s="428" t="s">
        <v>6268</v>
      </c>
      <c r="B521" s="413" t="s">
        <v>123</v>
      </c>
      <c r="C521" s="384">
        <v>1</v>
      </c>
      <c r="D521" s="482" t="s">
        <v>3695</v>
      </c>
      <c r="E521" s="486" t="s">
        <v>5683</v>
      </c>
      <c r="F521" s="593" t="s">
        <v>3696</v>
      </c>
      <c r="G521" s="634" t="s">
        <v>6215</v>
      </c>
      <c r="H521" s="882"/>
      <c r="I521" s="1266"/>
    </row>
    <row r="522" spans="1:9" hidden="1">
      <c r="A522" s="428" t="s">
        <v>6268</v>
      </c>
      <c r="B522" s="413" t="s">
        <v>123</v>
      </c>
      <c r="C522" s="384">
        <v>1</v>
      </c>
      <c r="D522" s="482" t="s">
        <v>3697</v>
      </c>
      <c r="E522" s="486" t="s">
        <v>5684</v>
      </c>
      <c r="F522" s="593" t="s">
        <v>3698</v>
      </c>
      <c r="G522" s="634" t="s">
        <v>6215</v>
      </c>
      <c r="H522" s="882"/>
      <c r="I522" s="1266"/>
    </row>
    <row r="523" spans="1:9" hidden="1">
      <c r="A523" s="428" t="s">
        <v>6268</v>
      </c>
      <c r="B523" s="413" t="s">
        <v>123</v>
      </c>
      <c r="C523" s="384">
        <v>1</v>
      </c>
      <c r="D523" s="482" t="s">
        <v>3699</v>
      </c>
      <c r="E523" s="486" t="s">
        <v>5685</v>
      </c>
      <c r="F523" s="593" t="s">
        <v>3700</v>
      </c>
      <c r="G523" s="634" t="s">
        <v>6215</v>
      </c>
      <c r="H523" s="882"/>
      <c r="I523" s="1266"/>
    </row>
    <row r="524" spans="1:9" hidden="1">
      <c r="A524" s="428" t="s">
        <v>6268</v>
      </c>
      <c r="B524" s="413" t="s">
        <v>123</v>
      </c>
      <c r="C524" s="384">
        <v>1</v>
      </c>
      <c r="D524" s="482" t="s">
        <v>3701</v>
      </c>
      <c r="E524" s="486" t="s">
        <v>5686</v>
      </c>
      <c r="F524" s="593" t="s">
        <v>3702</v>
      </c>
      <c r="G524" s="634" t="s">
        <v>6215</v>
      </c>
      <c r="H524" s="882"/>
      <c r="I524" s="1266"/>
    </row>
    <row r="525" spans="1:9" hidden="1">
      <c r="A525" s="428" t="s">
        <v>6268</v>
      </c>
      <c r="B525" s="413" t="s">
        <v>123</v>
      </c>
      <c r="C525" s="384">
        <v>1</v>
      </c>
      <c r="D525" s="482" t="s">
        <v>3703</v>
      </c>
      <c r="E525" s="486" t="s">
        <v>5687</v>
      </c>
      <c r="F525" s="593" t="s">
        <v>3704</v>
      </c>
      <c r="G525" s="634" t="s">
        <v>6215</v>
      </c>
      <c r="H525" s="882"/>
      <c r="I525" s="1266"/>
    </row>
    <row r="526" spans="1:9" hidden="1">
      <c r="A526" s="428" t="s">
        <v>6268</v>
      </c>
      <c r="B526" s="413" t="s">
        <v>123</v>
      </c>
      <c r="C526" s="384">
        <v>1</v>
      </c>
      <c r="D526" s="482" t="s">
        <v>3705</v>
      </c>
      <c r="E526" s="486" t="s">
        <v>5688</v>
      </c>
      <c r="F526" s="593" t="s">
        <v>3706</v>
      </c>
      <c r="G526" s="634" t="s">
        <v>6215</v>
      </c>
      <c r="H526" s="882"/>
      <c r="I526" s="1266"/>
    </row>
    <row r="527" spans="1:9" hidden="1">
      <c r="A527" s="428" t="s">
        <v>6268</v>
      </c>
      <c r="B527" s="413" t="s">
        <v>123</v>
      </c>
      <c r="C527" s="384">
        <v>1</v>
      </c>
      <c r="D527" s="482" t="s">
        <v>3707</v>
      </c>
      <c r="E527" s="486" t="s">
        <v>5689</v>
      </c>
      <c r="F527" s="593" t="s">
        <v>3708</v>
      </c>
      <c r="G527" s="634" t="s">
        <v>6215</v>
      </c>
      <c r="H527" s="882"/>
      <c r="I527" s="1266"/>
    </row>
    <row r="528" spans="1:9" hidden="1">
      <c r="A528" s="428" t="s">
        <v>6268</v>
      </c>
      <c r="B528" s="413" t="s">
        <v>123</v>
      </c>
      <c r="C528" s="384">
        <v>1</v>
      </c>
      <c r="D528" s="482" t="s">
        <v>3709</v>
      </c>
      <c r="E528" s="486" t="s">
        <v>5690</v>
      </c>
      <c r="F528" s="593" t="s">
        <v>3710</v>
      </c>
      <c r="G528" s="634" t="s">
        <v>6215</v>
      </c>
      <c r="H528" s="882"/>
      <c r="I528" s="1266"/>
    </row>
    <row r="529" spans="1:9" hidden="1">
      <c r="A529" s="428" t="s">
        <v>6268</v>
      </c>
      <c r="B529" s="413" t="s">
        <v>123</v>
      </c>
      <c r="C529" s="384">
        <v>1</v>
      </c>
      <c r="D529" s="482" t="s">
        <v>3711</v>
      </c>
      <c r="E529" s="486" t="s">
        <v>5691</v>
      </c>
      <c r="F529" s="593" t="s">
        <v>3712</v>
      </c>
      <c r="G529" s="634" t="s">
        <v>6215</v>
      </c>
      <c r="H529" s="882"/>
      <c r="I529" s="1266"/>
    </row>
    <row r="530" spans="1:9" hidden="1">
      <c r="A530" s="428" t="s">
        <v>6268</v>
      </c>
      <c r="B530" s="413" t="s">
        <v>123</v>
      </c>
      <c r="C530" s="384">
        <v>1</v>
      </c>
      <c r="D530" s="482" t="s">
        <v>3713</v>
      </c>
      <c r="E530" s="486" t="s">
        <v>5692</v>
      </c>
      <c r="F530" s="593" t="s">
        <v>3714</v>
      </c>
      <c r="G530" s="634" t="s">
        <v>6215</v>
      </c>
      <c r="H530" s="882"/>
      <c r="I530" s="1266"/>
    </row>
    <row r="531" spans="1:9" hidden="1">
      <c r="A531" s="428" t="s">
        <v>6268</v>
      </c>
      <c r="B531" s="413" t="s">
        <v>123</v>
      </c>
      <c r="C531" s="384">
        <v>1</v>
      </c>
      <c r="D531" s="482" t="s">
        <v>3715</v>
      </c>
      <c r="E531" s="486" t="s">
        <v>5693</v>
      </c>
      <c r="F531" s="593" t="s">
        <v>3716</v>
      </c>
      <c r="G531" s="634" t="s">
        <v>6215</v>
      </c>
      <c r="H531" s="882"/>
      <c r="I531" s="1266"/>
    </row>
    <row r="532" spans="1:9" hidden="1">
      <c r="A532" s="428" t="s">
        <v>6268</v>
      </c>
      <c r="B532" s="413" t="s">
        <v>123</v>
      </c>
      <c r="C532" s="384">
        <v>1</v>
      </c>
      <c r="D532" s="482" t="s">
        <v>3717</v>
      </c>
      <c r="E532" s="486" t="s">
        <v>5694</v>
      </c>
      <c r="F532" s="593" t="s">
        <v>3718</v>
      </c>
      <c r="G532" s="634" t="s">
        <v>6215</v>
      </c>
      <c r="H532" s="882"/>
      <c r="I532" s="1266"/>
    </row>
    <row r="533" spans="1:9" hidden="1">
      <c r="A533" s="428" t="s">
        <v>6268</v>
      </c>
      <c r="B533" s="413" t="s">
        <v>123</v>
      </c>
      <c r="C533" s="384">
        <v>1</v>
      </c>
      <c r="D533" s="482" t="s">
        <v>3719</v>
      </c>
      <c r="E533" s="486" t="s">
        <v>5695</v>
      </c>
      <c r="F533" s="593" t="s">
        <v>3720</v>
      </c>
      <c r="G533" s="634" t="s">
        <v>6215</v>
      </c>
      <c r="H533" s="882"/>
      <c r="I533" s="1266"/>
    </row>
    <row r="534" spans="1:9" hidden="1">
      <c r="A534" s="428" t="s">
        <v>6268</v>
      </c>
      <c r="B534" s="413" t="s">
        <v>123</v>
      </c>
      <c r="C534" s="384">
        <v>1</v>
      </c>
      <c r="D534" s="482" t="s">
        <v>3721</v>
      </c>
      <c r="E534" s="486" t="s">
        <v>5696</v>
      </c>
      <c r="F534" s="593" t="s">
        <v>3722</v>
      </c>
      <c r="G534" s="634" t="s">
        <v>6215</v>
      </c>
      <c r="H534" s="882"/>
      <c r="I534" s="1266"/>
    </row>
    <row r="535" spans="1:9" hidden="1">
      <c r="A535" s="428" t="s">
        <v>6268</v>
      </c>
      <c r="B535" s="413" t="s">
        <v>123</v>
      </c>
      <c r="C535" s="384">
        <v>1</v>
      </c>
      <c r="D535" s="482" t="s">
        <v>3723</v>
      </c>
      <c r="E535" s="486" t="s">
        <v>5697</v>
      </c>
      <c r="F535" s="593" t="s">
        <v>3724</v>
      </c>
      <c r="G535" s="634" t="s">
        <v>6215</v>
      </c>
      <c r="H535" s="882"/>
      <c r="I535" s="1266"/>
    </row>
    <row r="536" spans="1:9" hidden="1">
      <c r="A536" s="428" t="s">
        <v>6268</v>
      </c>
      <c r="B536" s="413" t="s">
        <v>123</v>
      </c>
      <c r="C536" s="384">
        <v>1</v>
      </c>
      <c r="D536" s="482" t="s">
        <v>3725</v>
      </c>
      <c r="E536" s="486" t="s">
        <v>5698</v>
      </c>
      <c r="F536" s="593" t="s">
        <v>3726</v>
      </c>
      <c r="G536" s="634" t="s">
        <v>6215</v>
      </c>
      <c r="H536" s="882"/>
      <c r="I536" s="1266"/>
    </row>
    <row r="537" spans="1:9" hidden="1">
      <c r="A537" s="428" t="s">
        <v>6268</v>
      </c>
      <c r="B537" s="413" t="s">
        <v>123</v>
      </c>
      <c r="C537" s="384">
        <v>1</v>
      </c>
      <c r="D537" s="482" t="s">
        <v>3727</v>
      </c>
      <c r="E537" s="486" t="s">
        <v>5699</v>
      </c>
      <c r="F537" s="593" t="s">
        <v>3728</v>
      </c>
      <c r="G537" s="634" t="s">
        <v>6215</v>
      </c>
      <c r="H537" s="882"/>
      <c r="I537" s="1266"/>
    </row>
    <row r="538" spans="1:9" hidden="1">
      <c r="A538" s="428" t="s">
        <v>6268</v>
      </c>
      <c r="B538" s="413" t="s">
        <v>123</v>
      </c>
      <c r="C538" s="384">
        <v>1</v>
      </c>
      <c r="D538" s="482" t="s">
        <v>3729</v>
      </c>
      <c r="E538" s="486" t="s">
        <v>5700</v>
      </c>
      <c r="F538" s="593" t="s">
        <v>3730</v>
      </c>
      <c r="G538" s="634" t="s">
        <v>6215</v>
      </c>
      <c r="H538" s="882"/>
      <c r="I538" s="1266"/>
    </row>
    <row r="539" spans="1:9" hidden="1">
      <c r="A539" s="428" t="s">
        <v>6268</v>
      </c>
      <c r="B539" s="413" t="s">
        <v>123</v>
      </c>
      <c r="C539" s="384">
        <v>1</v>
      </c>
      <c r="D539" s="482" t="s">
        <v>3731</v>
      </c>
      <c r="E539" s="486" t="s">
        <v>5701</v>
      </c>
      <c r="F539" s="593" t="s">
        <v>3732</v>
      </c>
      <c r="G539" s="634" t="s">
        <v>6215</v>
      </c>
      <c r="H539" s="882"/>
      <c r="I539" s="1266"/>
    </row>
    <row r="540" spans="1:9" hidden="1">
      <c r="A540" s="428" t="s">
        <v>6268</v>
      </c>
      <c r="B540" s="413" t="s">
        <v>123</v>
      </c>
      <c r="C540" s="384">
        <v>1</v>
      </c>
      <c r="D540" s="482" t="s">
        <v>3733</v>
      </c>
      <c r="E540" s="486" t="s">
        <v>5702</v>
      </c>
      <c r="F540" s="593" t="s">
        <v>3734</v>
      </c>
      <c r="G540" s="634" t="s">
        <v>6215</v>
      </c>
      <c r="H540" s="882"/>
      <c r="I540" s="1266"/>
    </row>
    <row r="541" spans="1:9" hidden="1">
      <c r="A541" s="428" t="s">
        <v>6268</v>
      </c>
      <c r="B541" s="413" t="s">
        <v>123</v>
      </c>
      <c r="C541" s="384">
        <v>1</v>
      </c>
      <c r="D541" s="482" t="s">
        <v>3735</v>
      </c>
      <c r="E541" s="486" t="s">
        <v>5703</v>
      </c>
      <c r="F541" s="593" t="s">
        <v>3736</v>
      </c>
      <c r="G541" s="634" t="s">
        <v>6215</v>
      </c>
      <c r="H541" s="882"/>
      <c r="I541" s="1266"/>
    </row>
    <row r="542" spans="1:9" hidden="1">
      <c r="A542" s="428" t="s">
        <v>6268</v>
      </c>
      <c r="B542" s="413" t="s">
        <v>123</v>
      </c>
      <c r="C542" s="384">
        <v>1</v>
      </c>
      <c r="D542" s="482" t="s">
        <v>3737</v>
      </c>
      <c r="E542" s="486" t="s">
        <v>5704</v>
      </c>
      <c r="F542" s="593" t="s">
        <v>3738</v>
      </c>
      <c r="G542" s="634" t="s">
        <v>6215</v>
      </c>
      <c r="H542" s="882"/>
      <c r="I542" s="1266"/>
    </row>
    <row r="543" spans="1:9" hidden="1">
      <c r="A543" s="428" t="s">
        <v>6268</v>
      </c>
      <c r="B543" s="413" t="s">
        <v>123</v>
      </c>
      <c r="C543" s="384">
        <v>1</v>
      </c>
      <c r="D543" s="482" t="s">
        <v>3739</v>
      </c>
      <c r="E543" s="486" t="s">
        <v>5705</v>
      </c>
      <c r="F543" s="593" t="s">
        <v>3740</v>
      </c>
      <c r="G543" s="634" t="s">
        <v>6215</v>
      </c>
      <c r="H543" s="882"/>
      <c r="I543" s="1266"/>
    </row>
    <row r="544" spans="1:9" hidden="1">
      <c r="A544" s="428" t="s">
        <v>6268</v>
      </c>
      <c r="B544" s="413" t="s">
        <v>123</v>
      </c>
      <c r="C544" s="384">
        <v>1</v>
      </c>
      <c r="D544" s="482" t="s">
        <v>3741</v>
      </c>
      <c r="E544" s="486" t="s">
        <v>5706</v>
      </c>
      <c r="F544" s="593" t="s">
        <v>3742</v>
      </c>
      <c r="G544" s="634" t="s">
        <v>6215</v>
      </c>
      <c r="H544" s="882"/>
      <c r="I544" s="1266"/>
    </row>
    <row r="545" spans="1:9" hidden="1">
      <c r="A545" s="428" t="s">
        <v>6268</v>
      </c>
      <c r="B545" s="413" t="s">
        <v>123</v>
      </c>
      <c r="C545" s="384">
        <v>1</v>
      </c>
      <c r="D545" s="482" t="s">
        <v>3743</v>
      </c>
      <c r="E545" s="486" t="s">
        <v>5707</v>
      </c>
      <c r="F545" s="593" t="s">
        <v>3744</v>
      </c>
      <c r="G545" s="634" t="s">
        <v>6215</v>
      </c>
      <c r="H545" s="882"/>
      <c r="I545" s="1266"/>
    </row>
    <row r="546" spans="1:9" hidden="1">
      <c r="A546" s="428" t="s">
        <v>6268</v>
      </c>
      <c r="B546" s="413" t="s">
        <v>123</v>
      </c>
      <c r="C546" s="384">
        <v>1</v>
      </c>
      <c r="D546" s="482" t="s">
        <v>3745</v>
      </c>
      <c r="E546" s="486" t="s">
        <v>5708</v>
      </c>
      <c r="F546" s="593" t="s">
        <v>3746</v>
      </c>
      <c r="G546" s="634" t="s">
        <v>6215</v>
      </c>
      <c r="H546" s="882"/>
      <c r="I546" s="1266"/>
    </row>
    <row r="547" spans="1:9" hidden="1">
      <c r="A547" s="428" t="s">
        <v>6268</v>
      </c>
      <c r="B547" s="413" t="s">
        <v>123</v>
      </c>
      <c r="C547" s="384">
        <v>1</v>
      </c>
      <c r="D547" s="482">
        <v>47</v>
      </c>
      <c r="E547" s="486" t="s">
        <v>5709</v>
      </c>
      <c r="F547" s="593" t="s">
        <v>3747</v>
      </c>
      <c r="G547" s="634" t="s">
        <v>6215</v>
      </c>
      <c r="H547" s="882"/>
      <c r="I547" s="1266"/>
    </row>
    <row r="548" spans="1:9" hidden="1">
      <c r="A548" s="428" t="s">
        <v>6268</v>
      </c>
      <c r="B548" s="413" t="s">
        <v>123</v>
      </c>
      <c r="C548" s="384">
        <v>1</v>
      </c>
      <c r="D548" s="482" t="s">
        <v>3748</v>
      </c>
      <c r="E548" s="486" t="s">
        <v>5710</v>
      </c>
      <c r="F548" s="593" t="s">
        <v>3749</v>
      </c>
      <c r="G548" s="634" t="s">
        <v>6215</v>
      </c>
      <c r="H548" s="882"/>
      <c r="I548" s="1266"/>
    </row>
    <row r="549" spans="1:9" hidden="1">
      <c r="A549" s="428" t="s">
        <v>6268</v>
      </c>
      <c r="B549" s="413" t="s">
        <v>123</v>
      </c>
      <c r="C549" s="384">
        <v>1</v>
      </c>
      <c r="D549" s="482" t="s">
        <v>3750</v>
      </c>
      <c r="E549" s="486" t="s">
        <v>5711</v>
      </c>
      <c r="F549" s="593" t="s">
        <v>3751</v>
      </c>
      <c r="G549" s="634" t="s">
        <v>6215</v>
      </c>
      <c r="H549" s="882"/>
      <c r="I549" s="1266"/>
    </row>
    <row r="550" spans="1:9" hidden="1">
      <c r="A550" s="428" t="s">
        <v>6268</v>
      </c>
      <c r="B550" s="413" t="s">
        <v>123</v>
      </c>
      <c r="C550" s="384">
        <v>1</v>
      </c>
      <c r="D550" s="482" t="s">
        <v>3752</v>
      </c>
      <c r="E550" s="486" t="s">
        <v>5712</v>
      </c>
      <c r="F550" s="593" t="s">
        <v>3753</v>
      </c>
      <c r="G550" s="634" t="s">
        <v>6215</v>
      </c>
      <c r="H550" s="882"/>
      <c r="I550" s="1266"/>
    </row>
    <row r="551" spans="1:9" hidden="1">
      <c r="A551" s="428" t="s">
        <v>6268</v>
      </c>
      <c r="B551" s="413" t="s">
        <v>123</v>
      </c>
      <c r="C551" s="384">
        <v>1</v>
      </c>
      <c r="D551" s="482" t="s">
        <v>3754</v>
      </c>
      <c r="E551" s="486" t="s">
        <v>5713</v>
      </c>
      <c r="F551" s="593" t="s">
        <v>3755</v>
      </c>
      <c r="G551" s="634" t="s">
        <v>6215</v>
      </c>
      <c r="H551" s="882"/>
      <c r="I551" s="1266"/>
    </row>
    <row r="552" spans="1:9" hidden="1">
      <c r="A552" s="428" t="s">
        <v>6268</v>
      </c>
      <c r="B552" s="413" t="s">
        <v>123</v>
      </c>
      <c r="C552" s="384">
        <v>1</v>
      </c>
      <c r="D552" s="482" t="s">
        <v>3756</v>
      </c>
      <c r="E552" s="486" t="s">
        <v>5714</v>
      </c>
      <c r="F552" s="593" t="s">
        <v>3757</v>
      </c>
      <c r="G552" s="634" t="s">
        <v>6215</v>
      </c>
      <c r="H552" s="882"/>
      <c r="I552" s="1266"/>
    </row>
    <row r="553" spans="1:9" hidden="1">
      <c r="A553" s="428" t="s">
        <v>6268</v>
      </c>
      <c r="B553" s="413" t="s">
        <v>123</v>
      </c>
      <c r="C553" s="384">
        <v>1</v>
      </c>
      <c r="D553" s="482" t="s">
        <v>3758</v>
      </c>
      <c r="E553" s="486" t="s">
        <v>5715</v>
      </c>
      <c r="F553" s="593" t="s">
        <v>3759</v>
      </c>
      <c r="G553" s="634" t="s">
        <v>6215</v>
      </c>
      <c r="H553" s="882"/>
      <c r="I553" s="1266"/>
    </row>
    <row r="554" spans="1:9" hidden="1">
      <c r="A554" s="428" t="s">
        <v>6268</v>
      </c>
      <c r="B554" s="413" t="s">
        <v>123</v>
      </c>
      <c r="C554" s="384">
        <v>1</v>
      </c>
      <c r="D554" s="482" t="s">
        <v>3760</v>
      </c>
      <c r="E554" s="486" t="s">
        <v>5716</v>
      </c>
      <c r="F554" s="593" t="s">
        <v>3761</v>
      </c>
      <c r="G554" s="634" t="s">
        <v>6215</v>
      </c>
      <c r="H554" s="882"/>
      <c r="I554" s="1266"/>
    </row>
    <row r="555" spans="1:9" hidden="1">
      <c r="A555" s="428" t="s">
        <v>6268</v>
      </c>
      <c r="B555" s="413" t="s">
        <v>123</v>
      </c>
      <c r="C555" s="384">
        <v>1</v>
      </c>
      <c r="D555" s="482" t="s">
        <v>3762</v>
      </c>
      <c r="E555" s="486" t="s">
        <v>5717</v>
      </c>
      <c r="F555" s="593" t="s">
        <v>3763</v>
      </c>
      <c r="G555" s="634" t="s">
        <v>6215</v>
      </c>
      <c r="H555" s="882"/>
      <c r="I555" s="1266"/>
    </row>
    <row r="556" spans="1:9" hidden="1">
      <c r="A556" s="428" t="s">
        <v>6268</v>
      </c>
      <c r="B556" s="413" t="s">
        <v>123</v>
      </c>
      <c r="C556" s="384">
        <v>1</v>
      </c>
      <c r="D556" s="482" t="s">
        <v>3764</v>
      </c>
      <c r="E556" s="486" t="s">
        <v>5718</v>
      </c>
      <c r="F556" s="593" t="s">
        <v>3765</v>
      </c>
      <c r="G556" s="634" t="s">
        <v>6215</v>
      </c>
      <c r="H556" s="882"/>
      <c r="I556" s="1266"/>
    </row>
    <row r="557" spans="1:9" hidden="1">
      <c r="A557" s="428" t="s">
        <v>6268</v>
      </c>
      <c r="B557" s="413" t="s">
        <v>123</v>
      </c>
      <c r="C557" s="384">
        <v>1</v>
      </c>
      <c r="D557" s="482" t="s">
        <v>3766</v>
      </c>
      <c r="E557" s="486" t="s">
        <v>5719</v>
      </c>
      <c r="F557" s="593" t="s">
        <v>3767</v>
      </c>
      <c r="G557" s="634" t="s">
        <v>6215</v>
      </c>
      <c r="H557" s="882"/>
      <c r="I557" s="1266"/>
    </row>
    <row r="558" spans="1:9" hidden="1">
      <c r="A558" s="428" t="s">
        <v>6268</v>
      </c>
      <c r="B558" s="413" t="s">
        <v>123</v>
      </c>
      <c r="C558" s="384">
        <v>1</v>
      </c>
      <c r="D558" s="482" t="s">
        <v>3768</v>
      </c>
      <c r="E558" s="486" t="s">
        <v>5720</v>
      </c>
      <c r="F558" s="593" t="s">
        <v>3769</v>
      </c>
      <c r="G558" s="634" t="s">
        <v>6215</v>
      </c>
      <c r="H558" s="882"/>
      <c r="I558" s="1266"/>
    </row>
    <row r="559" spans="1:9" hidden="1">
      <c r="A559" s="428" t="s">
        <v>6268</v>
      </c>
      <c r="B559" s="413" t="s">
        <v>123</v>
      </c>
      <c r="C559" s="384">
        <v>1</v>
      </c>
      <c r="D559" s="482" t="s">
        <v>3770</v>
      </c>
      <c r="E559" s="486" t="s">
        <v>5721</v>
      </c>
      <c r="F559" s="593" t="s">
        <v>3771</v>
      </c>
      <c r="G559" s="634" t="s">
        <v>6215</v>
      </c>
      <c r="H559" s="882"/>
      <c r="I559" s="1266"/>
    </row>
    <row r="560" spans="1:9" hidden="1">
      <c r="A560" s="428" t="s">
        <v>6268</v>
      </c>
      <c r="B560" s="413" t="s">
        <v>123</v>
      </c>
      <c r="C560" s="384">
        <v>1</v>
      </c>
      <c r="D560" s="482" t="s">
        <v>3772</v>
      </c>
      <c r="E560" s="486" t="s">
        <v>5722</v>
      </c>
      <c r="F560" s="593" t="s">
        <v>3773</v>
      </c>
      <c r="G560" s="634" t="s">
        <v>6215</v>
      </c>
      <c r="H560" s="882"/>
      <c r="I560" s="1266"/>
    </row>
    <row r="561" spans="1:9" hidden="1">
      <c r="A561" s="428" t="s">
        <v>6268</v>
      </c>
      <c r="B561" s="413" t="s">
        <v>123</v>
      </c>
      <c r="C561" s="384">
        <v>1</v>
      </c>
      <c r="D561" s="482" t="s">
        <v>3774</v>
      </c>
      <c r="E561" s="486" t="s">
        <v>5723</v>
      </c>
      <c r="F561" s="593" t="s">
        <v>3775</v>
      </c>
      <c r="G561" s="634" t="s">
        <v>6215</v>
      </c>
      <c r="H561" s="882"/>
      <c r="I561" s="1266"/>
    </row>
    <row r="562" spans="1:9" hidden="1">
      <c r="A562" s="428" t="s">
        <v>6268</v>
      </c>
      <c r="B562" s="413" t="s">
        <v>123</v>
      </c>
      <c r="C562" s="384">
        <v>1</v>
      </c>
      <c r="D562" s="482" t="s">
        <v>3776</v>
      </c>
      <c r="E562" s="486" t="s">
        <v>5724</v>
      </c>
      <c r="F562" s="593" t="s">
        <v>3777</v>
      </c>
      <c r="G562" s="634" t="s">
        <v>6215</v>
      </c>
      <c r="H562" s="882"/>
      <c r="I562" s="1266"/>
    </row>
    <row r="563" spans="1:9" hidden="1">
      <c r="A563" s="428" t="s">
        <v>6268</v>
      </c>
      <c r="B563" s="413" t="s">
        <v>123</v>
      </c>
      <c r="C563" s="384">
        <v>1</v>
      </c>
      <c r="D563" s="482" t="s">
        <v>3778</v>
      </c>
      <c r="E563" s="486" t="s">
        <v>5725</v>
      </c>
      <c r="F563" s="593" t="s">
        <v>3779</v>
      </c>
      <c r="G563" s="634" t="s">
        <v>6215</v>
      </c>
      <c r="H563" s="882"/>
      <c r="I563" s="1266"/>
    </row>
    <row r="564" spans="1:9" hidden="1">
      <c r="A564" s="428" t="s">
        <v>6268</v>
      </c>
      <c r="B564" s="413" t="s">
        <v>123</v>
      </c>
      <c r="C564" s="384">
        <v>1</v>
      </c>
      <c r="D564" s="482" t="s">
        <v>3780</v>
      </c>
      <c r="E564" s="486" t="s">
        <v>5726</v>
      </c>
      <c r="F564" s="593" t="s">
        <v>3781</v>
      </c>
      <c r="G564" s="634" t="s">
        <v>6215</v>
      </c>
      <c r="H564" s="882"/>
      <c r="I564" s="1266"/>
    </row>
    <row r="565" spans="1:9" hidden="1">
      <c r="A565" s="428" t="s">
        <v>6268</v>
      </c>
      <c r="B565" s="413" t="s">
        <v>123</v>
      </c>
      <c r="C565" s="384">
        <v>1</v>
      </c>
      <c r="D565" s="482" t="s">
        <v>3782</v>
      </c>
      <c r="E565" s="486" t="s">
        <v>5727</v>
      </c>
      <c r="F565" s="593" t="s">
        <v>3783</v>
      </c>
      <c r="G565" s="634" t="s">
        <v>6215</v>
      </c>
      <c r="H565" s="882"/>
      <c r="I565" s="1266"/>
    </row>
    <row r="566" spans="1:9" hidden="1">
      <c r="A566" s="428" t="s">
        <v>6268</v>
      </c>
      <c r="B566" s="413" t="s">
        <v>123</v>
      </c>
      <c r="C566" s="384">
        <v>1</v>
      </c>
      <c r="D566" s="482" t="s">
        <v>3784</v>
      </c>
      <c r="E566" s="486" t="s">
        <v>5728</v>
      </c>
      <c r="F566" s="593" t="s">
        <v>3785</v>
      </c>
      <c r="G566" s="634" t="s">
        <v>6215</v>
      </c>
      <c r="H566" s="882"/>
      <c r="I566" s="1266"/>
    </row>
    <row r="567" spans="1:9" hidden="1">
      <c r="A567" s="428" t="s">
        <v>6268</v>
      </c>
      <c r="B567" s="413" t="s">
        <v>123</v>
      </c>
      <c r="C567" s="384">
        <v>1</v>
      </c>
      <c r="D567" s="482" t="s">
        <v>3786</v>
      </c>
      <c r="E567" s="486" t="s">
        <v>5729</v>
      </c>
      <c r="F567" s="593" t="s">
        <v>3787</v>
      </c>
      <c r="G567" s="634" t="s">
        <v>6215</v>
      </c>
      <c r="H567" s="882"/>
      <c r="I567" s="1266"/>
    </row>
    <row r="568" spans="1:9" hidden="1">
      <c r="A568" s="428" t="s">
        <v>6268</v>
      </c>
      <c r="B568" s="413" t="s">
        <v>123</v>
      </c>
      <c r="C568" s="384">
        <v>1</v>
      </c>
      <c r="D568" s="482" t="s">
        <v>3788</v>
      </c>
      <c r="E568" s="486" t="s">
        <v>5730</v>
      </c>
      <c r="F568" s="593" t="s">
        <v>3789</v>
      </c>
      <c r="G568" s="634" t="s">
        <v>6215</v>
      </c>
      <c r="H568" s="882"/>
      <c r="I568" s="1266"/>
    </row>
    <row r="569" spans="1:9" hidden="1">
      <c r="A569" s="428" t="s">
        <v>6268</v>
      </c>
      <c r="B569" s="413" t="s">
        <v>123</v>
      </c>
      <c r="C569" s="384">
        <v>1</v>
      </c>
      <c r="D569" s="482" t="s">
        <v>3790</v>
      </c>
      <c r="E569" s="486" t="s">
        <v>5731</v>
      </c>
      <c r="F569" s="593" t="s">
        <v>3791</v>
      </c>
      <c r="G569" s="634" t="s">
        <v>6215</v>
      </c>
      <c r="H569" s="882"/>
      <c r="I569" s="1266"/>
    </row>
    <row r="570" spans="1:9" hidden="1">
      <c r="A570" s="428" t="s">
        <v>6268</v>
      </c>
      <c r="B570" s="413" t="s">
        <v>123</v>
      </c>
      <c r="C570" s="384">
        <v>1</v>
      </c>
      <c r="D570" s="482" t="s">
        <v>3792</v>
      </c>
      <c r="E570" s="486" t="s">
        <v>5732</v>
      </c>
      <c r="F570" s="593" t="s">
        <v>3793</v>
      </c>
      <c r="G570" s="634" t="s">
        <v>6215</v>
      </c>
      <c r="H570" s="882"/>
      <c r="I570" s="1266"/>
    </row>
    <row r="571" spans="1:9" hidden="1">
      <c r="A571" s="428" t="s">
        <v>6268</v>
      </c>
      <c r="B571" s="413" t="s">
        <v>123</v>
      </c>
      <c r="C571" s="384">
        <v>1</v>
      </c>
      <c r="D571" s="482" t="s">
        <v>3794</v>
      </c>
      <c r="E571" s="486" t="s">
        <v>5733</v>
      </c>
      <c r="F571" s="593" t="s">
        <v>3795</v>
      </c>
      <c r="G571" s="634" t="s">
        <v>6215</v>
      </c>
      <c r="H571" s="882"/>
      <c r="I571" s="1266"/>
    </row>
    <row r="572" spans="1:9" hidden="1">
      <c r="A572" s="428" t="s">
        <v>6268</v>
      </c>
      <c r="B572" s="413" t="s">
        <v>123</v>
      </c>
      <c r="C572" s="384">
        <v>1</v>
      </c>
      <c r="D572" s="482" t="s">
        <v>3796</v>
      </c>
      <c r="E572" s="486" t="s">
        <v>5734</v>
      </c>
      <c r="F572" s="593" t="s">
        <v>3797</v>
      </c>
      <c r="G572" s="634" t="s">
        <v>6215</v>
      </c>
      <c r="H572" s="882"/>
      <c r="I572" s="1266"/>
    </row>
    <row r="573" spans="1:9" hidden="1">
      <c r="A573" s="428" t="s">
        <v>6268</v>
      </c>
      <c r="B573" s="413" t="s">
        <v>123</v>
      </c>
      <c r="C573" s="384">
        <v>1</v>
      </c>
      <c r="D573" s="482" t="s">
        <v>3798</v>
      </c>
      <c r="E573" s="486" t="s">
        <v>5735</v>
      </c>
      <c r="F573" s="593" t="s">
        <v>3799</v>
      </c>
      <c r="G573" s="634" t="s">
        <v>6215</v>
      </c>
      <c r="H573" s="882"/>
      <c r="I573" s="1266"/>
    </row>
    <row r="574" spans="1:9" hidden="1">
      <c r="A574" s="428" t="s">
        <v>6268</v>
      </c>
      <c r="B574" s="413" t="s">
        <v>123</v>
      </c>
      <c r="C574" s="384">
        <v>1</v>
      </c>
      <c r="D574" s="482" t="s">
        <v>3800</v>
      </c>
      <c r="E574" s="486" t="s">
        <v>5736</v>
      </c>
      <c r="F574" s="593" t="s">
        <v>3801</v>
      </c>
      <c r="G574" s="634" t="s">
        <v>6215</v>
      </c>
      <c r="H574" s="882"/>
      <c r="I574" s="1266"/>
    </row>
    <row r="575" spans="1:9" hidden="1">
      <c r="A575" s="428" t="s">
        <v>6268</v>
      </c>
      <c r="B575" s="413" t="s">
        <v>123</v>
      </c>
      <c r="C575" s="384">
        <v>1</v>
      </c>
      <c r="D575" s="482" t="s">
        <v>3802</v>
      </c>
      <c r="E575" s="486" t="s">
        <v>5737</v>
      </c>
      <c r="F575" s="593" t="s">
        <v>3803</v>
      </c>
      <c r="G575" s="634" t="s">
        <v>6215</v>
      </c>
      <c r="H575" s="882"/>
      <c r="I575" s="1266"/>
    </row>
    <row r="576" spans="1:9" hidden="1">
      <c r="A576" s="428" t="s">
        <v>6268</v>
      </c>
      <c r="B576" s="413" t="s">
        <v>123</v>
      </c>
      <c r="C576" s="384">
        <v>1</v>
      </c>
      <c r="D576" s="482" t="s">
        <v>3804</v>
      </c>
      <c r="E576" s="486" t="s">
        <v>5738</v>
      </c>
      <c r="F576" s="593" t="s">
        <v>3805</v>
      </c>
      <c r="G576" s="634" t="s">
        <v>6215</v>
      </c>
      <c r="H576" s="882"/>
      <c r="I576" s="1266"/>
    </row>
    <row r="577" spans="1:9" hidden="1">
      <c r="A577" s="428" t="s">
        <v>6268</v>
      </c>
      <c r="B577" s="413" t="s">
        <v>123</v>
      </c>
      <c r="C577" s="384">
        <v>1</v>
      </c>
      <c r="D577" s="482" t="s">
        <v>3806</v>
      </c>
      <c r="E577" s="486" t="s">
        <v>5739</v>
      </c>
      <c r="F577" s="593" t="s">
        <v>3807</v>
      </c>
      <c r="G577" s="634" t="s">
        <v>6215</v>
      </c>
      <c r="H577" s="882"/>
      <c r="I577" s="1266"/>
    </row>
    <row r="578" spans="1:9" hidden="1">
      <c r="A578" s="428" t="s">
        <v>6268</v>
      </c>
      <c r="B578" s="413" t="s">
        <v>123</v>
      </c>
      <c r="C578" s="384">
        <v>1</v>
      </c>
      <c r="D578" s="482" t="s">
        <v>3808</v>
      </c>
      <c r="E578" s="486" t="s">
        <v>5740</v>
      </c>
      <c r="F578" s="593" t="s">
        <v>3809</v>
      </c>
      <c r="G578" s="634" t="s">
        <v>6215</v>
      </c>
      <c r="H578" s="882"/>
      <c r="I578" s="1266"/>
    </row>
    <row r="579" spans="1:9" hidden="1">
      <c r="A579" s="428" t="s">
        <v>6268</v>
      </c>
      <c r="B579" s="413" t="s">
        <v>123</v>
      </c>
      <c r="C579" s="384">
        <v>1</v>
      </c>
      <c r="D579" s="482" t="s">
        <v>3810</v>
      </c>
      <c r="E579" s="486" t="s">
        <v>5741</v>
      </c>
      <c r="F579" s="593" t="s">
        <v>3811</v>
      </c>
      <c r="G579" s="634" t="s">
        <v>6215</v>
      </c>
      <c r="H579" s="882"/>
      <c r="I579" s="1266"/>
    </row>
    <row r="580" spans="1:9" hidden="1">
      <c r="A580" s="428" t="s">
        <v>6268</v>
      </c>
      <c r="B580" s="413" t="s">
        <v>123</v>
      </c>
      <c r="C580" s="384">
        <v>1</v>
      </c>
      <c r="D580" s="482" t="s">
        <v>3812</v>
      </c>
      <c r="E580" s="486" t="s">
        <v>5742</v>
      </c>
      <c r="F580" s="593" t="s">
        <v>3813</v>
      </c>
      <c r="G580" s="634" t="s">
        <v>6215</v>
      </c>
      <c r="H580" s="882"/>
      <c r="I580" s="1266"/>
    </row>
    <row r="581" spans="1:9" hidden="1">
      <c r="A581" s="428" t="s">
        <v>6268</v>
      </c>
      <c r="B581" s="413" t="s">
        <v>123</v>
      </c>
      <c r="C581" s="384">
        <v>1</v>
      </c>
      <c r="D581" s="482" t="s">
        <v>3814</v>
      </c>
      <c r="E581" s="486" t="s">
        <v>5743</v>
      </c>
      <c r="F581" s="593" t="s">
        <v>3815</v>
      </c>
      <c r="G581" s="634" t="s">
        <v>6215</v>
      </c>
      <c r="H581" s="882"/>
      <c r="I581" s="1266"/>
    </row>
    <row r="582" spans="1:9" hidden="1">
      <c r="A582" s="428" t="s">
        <v>6268</v>
      </c>
      <c r="B582" s="413" t="s">
        <v>123</v>
      </c>
      <c r="C582" s="384">
        <v>1</v>
      </c>
      <c r="D582" s="482" t="s">
        <v>3816</v>
      </c>
      <c r="E582" s="486" t="s">
        <v>5744</v>
      </c>
      <c r="F582" s="593" t="s">
        <v>3817</v>
      </c>
      <c r="G582" s="634" t="s">
        <v>6215</v>
      </c>
      <c r="H582" s="882"/>
      <c r="I582" s="1266"/>
    </row>
    <row r="583" spans="1:9" hidden="1">
      <c r="A583" s="428" t="s">
        <v>6268</v>
      </c>
      <c r="B583" s="413" t="s">
        <v>123</v>
      </c>
      <c r="C583" s="384">
        <v>1</v>
      </c>
      <c r="D583" s="482" t="s">
        <v>3818</v>
      </c>
      <c r="E583" s="486" t="s">
        <v>5745</v>
      </c>
      <c r="F583" s="593" t="s">
        <v>3819</v>
      </c>
      <c r="G583" s="634" t="s">
        <v>6215</v>
      </c>
      <c r="H583" s="882"/>
      <c r="I583" s="1266"/>
    </row>
    <row r="584" spans="1:9" hidden="1">
      <c r="A584" s="428" t="s">
        <v>6268</v>
      </c>
      <c r="B584" s="413" t="s">
        <v>123</v>
      </c>
      <c r="C584" s="384">
        <v>1</v>
      </c>
      <c r="D584" s="482" t="s">
        <v>3820</v>
      </c>
      <c r="E584" s="486" t="s">
        <v>5746</v>
      </c>
      <c r="F584" s="593" t="s">
        <v>3821</v>
      </c>
      <c r="G584" s="634" t="s">
        <v>6215</v>
      </c>
      <c r="H584" s="882"/>
      <c r="I584" s="1266"/>
    </row>
    <row r="585" spans="1:9" hidden="1">
      <c r="A585" s="428" t="s">
        <v>6268</v>
      </c>
      <c r="B585" s="413" t="s">
        <v>123</v>
      </c>
      <c r="C585" s="384">
        <v>1</v>
      </c>
      <c r="D585" s="482" t="s">
        <v>3822</v>
      </c>
      <c r="E585" s="486" t="s">
        <v>5747</v>
      </c>
      <c r="F585" s="593" t="s">
        <v>3823</v>
      </c>
      <c r="G585" s="634" t="s">
        <v>6215</v>
      </c>
      <c r="H585" s="882"/>
      <c r="I585" s="1266"/>
    </row>
    <row r="586" spans="1:9" hidden="1">
      <c r="A586" s="428" t="s">
        <v>6268</v>
      </c>
      <c r="B586" s="413" t="s">
        <v>123</v>
      </c>
      <c r="C586" s="384">
        <v>1</v>
      </c>
      <c r="D586" s="482" t="s">
        <v>3824</v>
      </c>
      <c r="E586" s="486" t="s">
        <v>5748</v>
      </c>
      <c r="F586" s="593" t="s">
        <v>3825</v>
      </c>
      <c r="G586" s="634" t="s">
        <v>6215</v>
      </c>
      <c r="H586" s="882"/>
      <c r="I586" s="1266"/>
    </row>
    <row r="587" spans="1:9" hidden="1">
      <c r="A587" s="428" t="s">
        <v>6268</v>
      </c>
      <c r="B587" s="413" t="s">
        <v>123</v>
      </c>
      <c r="C587" s="384">
        <v>1</v>
      </c>
      <c r="D587" s="482" t="s">
        <v>3826</v>
      </c>
      <c r="E587" s="486" t="s">
        <v>5749</v>
      </c>
      <c r="F587" s="593" t="s">
        <v>3827</v>
      </c>
      <c r="G587" s="634" t="s">
        <v>6215</v>
      </c>
      <c r="H587" s="882"/>
      <c r="I587" s="1266"/>
    </row>
    <row r="588" spans="1:9" hidden="1">
      <c r="A588" s="428" t="s">
        <v>6268</v>
      </c>
      <c r="B588" s="413" t="s">
        <v>123</v>
      </c>
      <c r="C588" s="384">
        <v>1</v>
      </c>
      <c r="D588" s="482" t="s">
        <v>3828</v>
      </c>
      <c r="E588" s="486" t="s">
        <v>5750</v>
      </c>
      <c r="F588" s="593" t="s">
        <v>3829</v>
      </c>
      <c r="G588" s="634" t="s">
        <v>6215</v>
      </c>
      <c r="H588" s="882"/>
      <c r="I588" s="1266"/>
    </row>
    <row r="589" spans="1:9" hidden="1">
      <c r="A589" s="428" t="s">
        <v>6268</v>
      </c>
      <c r="B589" s="413" t="s">
        <v>123</v>
      </c>
      <c r="C589" s="384">
        <v>1</v>
      </c>
      <c r="D589" s="482" t="s">
        <v>3830</v>
      </c>
      <c r="E589" s="486" t="s">
        <v>5751</v>
      </c>
      <c r="F589" s="593" t="s">
        <v>3831</v>
      </c>
      <c r="G589" s="634" t="s">
        <v>6215</v>
      </c>
      <c r="H589" s="882"/>
      <c r="I589" s="1266"/>
    </row>
    <row r="590" spans="1:9" hidden="1">
      <c r="A590" s="428" t="s">
        <v>6268</v>
      </c>
      <c r="B590" s="413" t="s">
        <v>123</v>
      </c>
      <c r="C590" s="384">
        <v>1</v>
      </c>
      <c r="D590" s="482" t="s">
        <v>3832</v>
      </c>
      <c r="E590" s="486" t="s">
        <v>5752</v>
      </c>
      <c r="F590" s="593" t="s">
        <v>3833</v>
      </c>
      <c r="G590" s="634" t="s">
        <v>6215</v>
      </c>
      <c r="H590" s="882"/>
      <c r="I590" s="1266"/>
    </row>
    <row r="591" spans="1:9" hidden="1">
      <c r="A591" s="428" t="s">
        <v>6268</v>
      </c>
      <c r="B591" s="413" t="s">
        <v>123</v>
      </c>
      <c r="C591" s="384">
        <v>1</v>
      </c>
      <c r="D591" s="482" t="s">
        <v>3834</v>
      </c>
      <c r="E591" s="486" t="s">
        <v>5753</v>
      </c>
      <c r="F591" s="593" t="s">
        <v>3835</v>
      </c>
      <c r="G591" s="634" t="s">
        <v>6215</v>
      </c>
      <c r="H591" s="882"/>
      <c r="I591" s="1266"/>
    </row>
    <row r="592" spans="1:9" hidden="1">
      <c r="A592" s="428" t="s">
        <v>6268</v>
      </c>
      <c r="B592" s="413" t="s">
        <v>123</v>
      </c>
      <c r="C592" s="384">
        <v>1</v>
      </c>
      <c r="D592" s="482" t="s">
        <v>3836</v>
      </c>
      <c r="E592" s="486" t="s">
        <v>5754</v>
      </c>
      <c r="F592" s="593" t="s">
        <v>3837</v>
      </c>
      <c r="G592" s="634" t="s">
        <v>6215</v>
      </c>
      <c r="H592" s="882"/>
      <c r="I592" s="1266"/>
    </row>
    <row r="593" spans="1:9" hidden="1">
      <c r="A593" s="428" t="s">
        <v>6268</v>
      </c>
      <c r="B593" s="413" t="s">
        <v>123</v>
      </c>
      <c r="C593" s="384">
        <v>1</v>
      </c>
      <c r="D593" s="482">
        <v>49</v>
      </c>
      <c r="E593" s="486" t="s">
        <v>5755</v>
      </c>
      <c r="F593" s="593" t="s">
        <v>3838</v>
      </c>
      <c r="G593" s="634" t="s">
        <v>6215</v>
      </c>
      <c r="H593" s="882"/>
      <c r="I593" s="1266"/>
    </row>
    <row r="594" spans="1:9" hidden="1">
      <c r="A594" s="428" t="s">
        <v>6268</v>
      </c>
      <c r="B594" s="413" t="s">
        <v>123</v>
      </c>
      <c r="C594" s="384">
        <v>1</v>
      </c>
      <c r="D594" s="482" t="s">
        <v>3839</v>
      </c>
      <c r="E594" s="486" t="s">
        <v>5756</v>
      </c>
      <c r="F594" s="593" t="s">
        <v>3840</v>
      </c>
      <c r="G594" s="634" t="s">
        <v>6215</v>
      </c>
      <c r="H594" s="882"/>
      <c r="I594" s="1266"/>
    </row>
    <row r="595" spans="1:9" hidden="1">
      <c r="A595" s="428" t="s">
        <v>6268</v>
      </c>
      <c r="B595" s="413" t="s">
        <v>123</v>
      </c>
      <c r="C595" s="384">
        <v>1</v>
      </c>
      <c r="D595" s="482" t="s">
        <v>3841</v>
      </c>
      <c r="E595" s="486" t="s">
        <v>5757</v>
      </c>
      <c r="F595" s="593" t="s">
        <v>3842</v>
      </c>
      <c r="G595" s="634" t="s">
        <v>6215</v>
      </c>
      <c r="H595" s="882"/>
      <c r="I595" s="1266"/>
    </row>
    <row r="596" spans="1:9" hidden="1">
      <c r="A596" s="428" t="s">
        <v>6268</v>
      </c>
      <c r="B596" s="413" t="s">
        <v>123</v>
      </c>
      <c r="C596" s="384">
        <v>1</v>
      </c>
      <c r="D596" s="482" t="s">
        <v>3843</v>
      </c>
      <c r="E596" s="486" t="s">
        <v>5758</v>
      </c>
      <c r="F596" s="593" t="s">
        <v>3844</v>
      </c>
      <c r="G596" s="634" t="s">
        <v>6215</v>
      </c>
      <c r="H596" s="882"/>
      <c r="I596" s="1266"/>
    </row>
    <row r="597" spans="1:9" hidden="1">
      <c r="A597" s="428" t="s">
        <v>6268</v>
      </c>
      <c r="B597" s="413" t="s">
        <v>123</v>
      </c>
      <c r="C597" s="384">
        <v>1</v>
      </c>
      <c r="D597" s="482" t="s">
        <v>3845</v>
      </c>
      <c r="E597" s="486" t="s">
        <v>5759</v>
      </c>
      <c r="F597" s="593" t="s">
        <v>3846</v>
      </c>
      <c r="G597" s="634" t="s">
        <v>6215</v>
      </c>
      <c r="H597" s="882"/>
      <c r="I597" s="1266"/>
    </row>
    <row r="598" spans="1:9" hidden="1">
      <c r="A598" s="428" t="s">
        <v>6268</v>
      </c>
      <c r="B598" s="413" t="s">
        <v>123</v>
      </c>
      <c r="C598" s="384">
        <v>1</v>
      </c>
      <c r="D598" s="482" t="s">
        <v>3847</v>
      </c>
      <c r="E598" s="486" t="s">
        <v>5760</v>
      </c>
      <c r="F598" s="593" t="s">
        <v>3848</v>
      </c>
      <c r="G598" s="634" t="s">
        <v>6215</v>
      </c>
      <c r="H598" s="882"/>
      <c r="I598" s="1266"/>
    </row>
    <row r="599" spans="1:9" hidden="1">
      <c r="A599" s="428" t="s">
        <v>6268</v>
      </c>
      <c r="B599" s="413" t="s">
        <v>123</v>
      </c>
      <c r="C599" s="384">
        <v>1</v>
      </c>
      <c r="D599" s="482" t="s">
        <v>3849</v>
      </c>
      <c r="E599" s="486" t="s">
        <v>5761</v>
      </c>
      <c r="F599" s="593" t="s">
        <v>3850</v>
      </c>
      <c r="G599" s="634" t="s">
        <v>6215</v>
      </c>
      <c r="H599" s="882"/>
      <c r="I599" s="1266"/>
    </row>
    <row r="600" spans="1:9" hidden="1">
      <c r="A600" s="428" t="s">
        <v>6268</v>
      </c>
      <c r="B600" s="413" t="s">
        <v>123</v>
      </c>
      <c r="C600" s="384">
        <v>1</v>
      </c>
      <c r="D600" s="482" t="s">
        <v>3851</v>
      </c>
      <c r="E600" s="486" t="s">
        <v>5762</v>
      </c>
      <c r="F600" s="593" t="s">
        <v>3852</v>
      </c>
      <c r="G600" s="634" t="s">
        <v>6215</v>
      </c>
      <c r="H600" s="882"/>
      <c r="I600" s="1266"/>
    </row>
    <row r="601" spans="1:9" hidden="1">
      <c r="A601" s="428" t="s">
        <v>6268</v>
      </c>
      <c r="B601" s="413" t="s">
        <v>123</v>
      </c>
      <c r="C601" s="384">
        <v>1</v>
      </c>
      <c r="D601" s="482" t="s">
        <v>3853</v>
      </c>
      <c r="E601" s="486" t="s">
        <v>5763</v>
      </c>
      <c r="F601" s="593" t="s">
        <v>3854</v>
      </c>
      <c r="G601" s="634" t="s">
        <v>6215</v>
      </c>
      <c r="H601" s="882"/>
      <c r="I601" s="1266"/>
    </row>
    <row r="602" spans="1:9" hidden="1">
      <c r="A602" s="428" t="s">
        <v>6268</v>
      </c>
      <c r="B602" s="413" t="s">
        <v>123</v>
      </c>
      <c r="C602" s="384">
        <v>1</v>
      </c>
      <c r="D602" s="482" t="s">
        <v>3855</v>
      </c>
      <c r="E602" s="486" t="s">
        <v>5764</v>
      </c>
      <c r="F602" s="593" t="s">
        <v>3856</v>
      </c>
      <c r="G602" s="634" t="s">
        <v>6215</v>
      </c>
      <c r="H602" s="882"/>
      <c r="I602" s="1266"/>
    </row>
    <row r="603" spans="1:9" hidden="1">
      <c r="A603" s="428" t="s">
        <v>6268</v>
      </c>
      <c r="B603" s="413" t="s">
        <v>123</v>
      </c>
      <c r="C603" s="384">
        <v>1</v>
      </c>
      <c r="D603" s="482" t="s">
        <v>3857</v>
      </c>
      <c r="E603" s="486" t="s">
        <v>5765</v>
      </c>
      <c r="F603" s="593" t="s">
        <v>3858</v>
      </c>
      <c r="G603" s="634" t="s">
        <v>6215</v>
      </c>
      <c r="H603" s="882"/>
      <c r="I603" s="1266"/>
    </row>
    <row r="604" spans="1:9" hidden="1">
      <c r="A604" s="428" t="s">
        <v>6268</v>
      </c>
      <c r="B604" s="413" t="s">
        <v>123</v>
      </c>
      <c r="C604" s="384">
        <v>1</v>
      </c>
      <c r="D604" s="482">
        <v>50</v>
      </c>
      <c r="E604" s="486" t="s">
        <v>5766</v>
      </c>
      <c r="F604" s="593" t="s">
        <v>3859</v>
      </c>
      <c r="G604" s="634" t="s">
        <v>6215</v>
      </c>
      <c r="H604" s="882"/>
      <c r="I604" s="1266"/>
    </row>
    <row r="605" spans="1:9" hidden="1">
      <c r="A605" s="428" t="s">
        <v>6268</v>
      </c>
      <c r="B605" s="413" t="s">
        <v>123</v>
      </c>
      <c r="C605" s="384">
        <v>1</v>
      </c>
      <c r="D605" s="482" t="s">
        <v>3860</v>
      </c>
      <c r="E605" s="486" t="s">
        <v>5767</v>
      </c>
      <c r="F605" s="593" t="s">
        <v>3861</v>
      </c>
      <c r="G605" s="634" t="s">
        <v>6215</v>
      </c>
      <c r="H605" s="882"/>
      <c r="I605" s="1266"/>
    </row>
    <row r="606" spans="1:9" hidden="1">
      <c r="A606" s="428" t="s">
        <v>6268</v>
      </c>
      <c r="B606" s="413" t="s">
        <v>123</v>
      </c>
      <c r="C606" s="384">
        <v>1</v>
      </c>
      <c r="D606" s="482" t="s">
        <v>3862</v>
      </c>
      <c r="E606" s="486" t="s">
        <v>5768</v>
      </c>
      <c r="F606" s="593" t="s">
        <v>3863</v>
      </c>
      <c r="G606" s="634" t="s">
        <v>6215</v>
      </c>
      <c r="H606" s="882"/>
      <c r="I606" s="1266"/>
    </row>
    <row r="607" spans="1:9" hidden="1">
      <c r="A607" s="428" t="s">
        <v>6268</v>
      </c>
      <c r="B607" s="413" t="s">
        <v>123</v>
      </c>
      <c r="C607" s="384">
        <v>1</v>
      </c>
      <c r="D607" s="482" t="s">
        <v>3864</v>
      </c>
      <c r="E607" s="486" t="s">
        <v>5769</v>
      </c>
      <c r="F607" s="593" t="s">
        <v>3865</v>
      </c>
      <c r="G607" s="634" t="s">
        <v>6215</v>
      </c>
      <c r="H607" s="882"/>
      <c r="I607" s="1266"/>
    </row>
    <row r="608" spans="1:9" hidden="1">
      <c r="A608" s="428" t="s">
        <v>6268</v>
      </c>
      <c r="B608" s="413" t="s">
        <v>123</v>
      </c>
      <c r="C608" s="384">
        <v>1</v>
      </c>
      <c r="D608" s="482" t="s">
        <v>3866</v>
      </c>
      <c r="E608" s="486" t="s">
        <v>5770</v>
      </c>
      <c r="F608" s="593" t="s">
        <v>3867</v>
      </c>
      <c r="G608" s="634" t="s">
        <v>6215</v>
      </c>
      <c r="H608" s="882"/>
      <c r="I608" s="1266"/>
    </row>
    <row r="609" spans="1:9" hidden="1">
      <c r="A609" s="428" t="s">
        <v>6268</v>
      </c>
      <c r="B609" s="413" t="s">
        <v>123</v>
      </c>
      <c r="C609" s="384">
        <v>1</v>
      </c>
      <c r="D609" s="482">
        <v>51</v>
      </c>
      <c r="E609" s="486" t="s">
        <v>5771</v>
      </c>
      <c r="F609" s="593" t="s">
        <v>3868</v>
      </c>
      <c r="G609" s="634" t="s">
        <v>6215</v>
      </c>
      <c r="H609" s="882"/>
      <c r="I609" s="1266"/>
    </row>
    <row r="610" spans="1:9" hidden="1">
      <c r="A610" s="428" t="s">
        <v>6268</v>
      </c>
      <c r="B610" s="413" t="s">
        <v>123</v>
      </c>
      <c r="C610" s="384">
        <v>1</v>
      </c>
      <c r="D610" s="482" t="s">
        <v>3869</v>
      </c>
      <c r="E610" s="486" t="s">
        <v>5772</v>
      </c>
      <c r="F610" s="593" t="s">
        <v>3870</v>
      </c>
      <c r="G610" s="634" t="s">
        <v>6215</v>
      </c>
      <c r="H610" s="882"/>
      <c r="I610" s="1266"/>
    </row>
    <row r="611" spans="1:9" hidden="1">
      <c r="A611" s="428" t="s">
        <v>6268</v>
      </c>
      <c r="B611" s="413" t="s">
        <v>123</v>
      </c>
      <c r="C611" s="384">
        <v>1</v>
      </c>
      <c r="D611" s="482" t="s">
        <v>3871</v>
      </c>
      <c r="E611" s="486" t="s">
        <v>5773</v>
      </c>
      <c r="F611" s="593" t="s">
        <v>3872</v>
      </c>
      <c r="G611" s="634" t="s">
        <v>6215</v>
      </c>
      <c r="H611" s="882"/>
      <c r="I611" s="1266"/>
    </row>
    <row r="612" spans="1:9" hidden="1">
      <c r="A612" s="428" t="s">
        <v>6268</v>
      </c>
      <c r="B612" s="413" t="s">
        <v>123</v>
      </c>
      <c r="C612" s="384">
        <v>1</v>
      </c>
      <c r="D612" s="482" t="s">
        <v>3873</v>
      </c>
      <c r="E612" s="486" t="s">
        <v>5774</v>
      </c>
      <c r="F612" s="593" t="s">
        <v>3874</v>
      </c>
      <c r="G612" s="634" t="s">
        <v>6215</v>
      </c>
      <c r="H612" s="882"/>
      <c r="I612" s="1266"/>
    </row>
    <row r="613" spans="1:9" hidden="1">
      <c r="A613" s="428" t="s">
        <v>6268</v>
      </c>
      <c r="B613" s="413" t="s">
        <v>123</v>
      </c>
      <c r="C613" s="384">
        <v>1</v>
      </c>
      <c r="D613" s="482" t="s">
        <v>3875</v>
      </c>
      <c r="E613" s="486" t="s">
        <v>5775</v>
      </c>
      <c r="F613" s="593" t="s">
        <v>3876</v>
      </c>
      <c r="G613" s="634" t="s">
        <v>6215</v>
      </c>
      <c r="H613" s="882"/>
      <c r="I613" s="1266"/>
    </row>
    <row r="614" spans="1:9" hidden="1">
      <c r="A614" s="428" t="s">
        <v>6268</v>
      </c>
      <c r="B614" s="413" t="s">
        <v>123</v>
      </c>
      <c r="C614" s="384">
        <v>1</v>
      </c>
      <c r="D614" s="482">
        <v>52</v>
      </c>
      <c r="E614" s="486" t="s">
        <v>5776</v>
      </c>
      <c r="F614" s="593" t="s">
        <v>3877</v>
      </c>
      <c r="G614" s="634" t="s">
        <v>6215</v>
      </c>
      <c r="H614" s="882"/>
      <c r="I614" s="1266"/>
    </row>
    <row r="615" spans="1:9" hidden="1">
      <c r="A615" s="428" t="s">
        <v>6268</v>
      </c>
      <c r="B615" s="413" t="s">
        <v>123</v>
      </c>
      <c r="C615" s="384">
        <v>1</v>
      </c>
      <c r="D615" s="482" t="s">
        <v>3878</v>
      </c>
      <c r="E615" s="486" t="s">
        <v>5777</v>
      </c>
      <c r="F615" s="593" t="s">
        <v>3879</v>
      </c>
      <c r="G615" s="634" t="s">
        <v>6215</v>
      </c>
      <c r="H615" s="882"/>
      <c r="I615" s="1266"/>
    </row>
    <row r="616" spans="1:9" hidden="1">
      <c r="A616" s="428" t="s">
        <v>6268</v>
      </c>
      <c r="B616" s="413" t="s">
        <v>123</v>
      </c>
      <c r="C616" s="384">
        <v>1</v>
      </c>
      <c r="D616" s="482" t="s">
        <v>3880</v>
      </c>
      <c r="E616" s="486" t="s">
        <v>5778</v>
      </c>
      <c r="F616" s="593" t="s">
        <v>3881</v>
      </c>
      <c r="G616" s="634" t="s">
        <v>6215</v>
      </c>
      <c r="H616" s="882"/>
      <c r="I616" s="1266"/>
    </row>
    <row r="617" spans="1:9" hidden="1">
      <c r="A617" s="428" t="s">
        <v>6268</v>
      </c>
      <c r="B617" s="413" t="s">
        <v>123</v>
      </c>
      <c r="C617" s="384">
        <v>1</v>
      </c>
      <c r="D617" s="482" t="s">
        <v>3882</v>
      </c>
      <c r="E617" s="486" t="s">
        <v>5779</v>
      </c>
      <c r="F617" s="593" t="s">
        <v>3883</v>
      </c>
      <c r="G617" s="634" t="s">
        <v>6215</v>
      </c>
      <c r="H617" s="882"/>
      <c r="I617" s="1266"/>
    </row>
    <row r="618" spans="1:9" hidden="1">
      <c r="A618" s="428" t="s">
        <v>6268</v>
      </c>
      <c r="B618" s="413" t="s">
        <v>123</v>
      </c>
      <c r="C618" s="384">
        <v>1</v>
      </c>
      <c r="D618" s="482" t="s">
        <v>3884</v>
      </c>
      <c r="E618" s="486" t="s">
        <v>5780</v>
      </c>
      <c r="F618" s="593" t="s">
        <v>3885</v>
      </c>
      <c r="G618" s="634" t="s">
        <v>6215</v>
      </c>
      <c r="H618" s="882"/>
      <c r="I618" s="1266"/>
    </row>
    <row r="619" spans="1:9" hidden="1">
      <c r="A619" s="428" t="s">
        <v>6268</v>
      </c>
      <c r="B619" s="413" t="s">
        <v>123</v>
      </c>
      <c r="C619" s="384">
        <v>1</v>
      </c>
      <c r="D619" s="482" t="s">
        <v>3886</v>
      </c>
      <c r="E619" s="486" t="s">
        <v>5781</v>
      </c>
      <c r="F619" s="593" t="s">
        <v>3887</v>
      </c>
      <c r="G619" s="634" t="s">
        <v>6215</v>
      </c>
      <c r="H619" s="882"/>
      <c r="I619" s="1266"/>
    </row>
    <row r="620" spans="1:9" hidden="1">
      <c r="A620" s="428" t="s">
        <v>6268</v>
      </c>
      <c r="B620" s="413" t="s">
        <v>123</v>
      </c>
      <c r="C620" s="384">
        <v>1</v>
      </c>
      <c r="D620" s="482" t="s">
        <v>3888</v>
      </c>
      <c r="E620" s="486" t="s">
        <v>5782</v>
      </c>
      <c r="F620" s="593" t="s">
        <v>3889</v>
      </c>
      <c r="G620" s="634" t="s">
        <v>6215</v>
      </c>
      <c r="H620" s="882"/>
      <c r="I620" s="1266"/>
    </row>
    <row r="621" spans="1:9" hidden="1">
      <c r="A621" s="428" t="s">
        <v>6268</v>
      </c>
      <c r="B621" s="413" t="s">
        <v>123</v>
      </c>
      <c r="C621" s="384">
        <v>1</v>
      </c>
      <c r="D621" s="482" t="s">
        <v>3890</v>
      </c>
      <c r="E621" s="486" t="s">
        <v>5783</v>
      </c>
      <c r="F621" s="593" t="s">
        <v>3891</v>
      </c>
      <c r="G621" s="634" t="s">
        <v>6215</v>
      </c>
      <c r="H621" s="882"/>
      <c r="I621" s="1266"/>
    </row>
    <row r="622" spans="1:9" hidden="1">
      <c r="A622" s="428" t="s">
        <v>6268</v>
      </c>
      <c r="B622" s="413" t="s">
        <v>123</v>
      </c>
      <c r="C622" s="384">
        <v>1</v>
      </c>
      <c r="D622" s="482">
        <v>53</v>
      </c>
      <c r="E622" s="486" t="s">
        <v>5784</v>
      </c>
      <c r="F622" s="593" t="s">
        <v>3892</v>
      </c>
      <c r="G622" s="634" t="s">
        <v>6215</v>
      </c>
      <c r="H622" s="882"/>
      <c r="I622" s="1266"/>
    </row>
    <row r="623" spans="1:9" hidden="1">
      <c r="A623" s="428" t="s">
        <v>6268</v>
      </c>
      <c r="B623" s="413" t="s">
        <v>123</v>
      </c>
      <c r="C623" s="384">
        <v>1</v>
      </c>
      <c r="D623" s="482" t="s">
        <v>3893</v>
      </c>
      <c r="E623" s="486" t="s">
        <v>5785</v>
      </c>
      <c r="F623" s="593" t="s">
        <v>3894</v>
      </c>
      <c r="G623" s="634" t="s">
        <v>6215</v>
      </c>
      <c r="H623" s="882"/>
      <c r="I623" s="1266"/>
    </row>
    <row r="624" spans="1:9" hidden="1">
      <c r="A624" s="428" t="s">
        <v>6268</v>
      </c>
      <c r="B624" s="413" t="s">
        <v>123</v>
      </c>
      <c r="C624" s="384">
        <v>1</v>
      </c>
      <c r="D624" s="482" t="s">
        <v>3895</v>
      </c>
      <c r="E624" s="486" t="s">
        <v>5786</v>
      </c>
      <c r="F624" s="593" t="s">
        <v>3896</v>
      </c>
      <c r="G624" s="634" t="s">
        <v>6215</v>
      </c>
      <c r="H624" s="882"/>
      <c r="I624" s="1266"/>
    </row>
    <row r="625" spans="1:9" hidden="1">
      <c r="A625" s="428" t="s">
        <v>6268</v>
      </c>
      <c r="B625" s="413" t="s">
        <v>123</v>
      </c>
      <c r="C625" s="384">
        <v>1</v>
      </c>
      <c r="D625" s="482">
        <v>55</v>
      </c>
      <c r="E625" s="486" t="s">
        <v>5787</v>
      </c>
      <c r="F625" s="593" t="s">
        <v>3897</v>
      </c>
      <c r="G625" s="634" t="s">
        <v>6215</v>
      </c>
      <c r="H625" s="882"/>
      <c r="I625" s="1266"/>
    </row>
    <row r="626" spans="1:9" hidden="1">
      <c r="A626" s="428" t="s">
        <v>6268</v>
      </c>
      <c r="B626" s="413" t="s">
        <v>123</v>
      </c>
      <c r="C626" s="384">
        <v>1</v>
      </c>
      <c r="D626" s="482" t="s">
        <v>3898</v>
      </c>
      <c r="E626" s="486" t="s">
        <v>5788</v>
      </c>
      <c r="F626" s="593" t="s">
        <v>3899</v>
      </c>
      <c r="G626" s="634" t="s">
        <v>6215</v>
      </c>
      <c r="H626" s="882"/>
      <c r="I626" s="1266"/>
    </row>
    <row r="627" spans="1:9" hidden="1">
      <c r="A627" s="428" t="s">
        <v>6268</v>
      </c>
      <c r="B627" s="413" t="s">
        <v>123</v>
      </c>
      <c r="C627" s="384">
        <v>1</v>
      </c>
      <c r="D627" s="482" t="s">
        <v>3900</v>
      </c>
      <c r="E627" s="486" t="s">
        <v>5789</v>
      </c>
      <c r="F627" s="593" t="s">
        <v>3901</v>
      </c>
      <c r="G627" s="634" t="s">
        <v>6215</v>
      </c>
      <c r="H627" s="882"/>
      <c r="I627" s="1266"/>
    </row>
    <row r="628" spans="1:9" hidden="1">
      <c r="A628" s="428" t="s">
        <v>6268</v>
      </c>
      <c r="B628" s="413" t="s">
        <v>123</v>
      </c>
      <c r="C628" s="384">
        <v>1</v>
      </c>
      <c r="D628" s="482" t="s">
        <v>3902</v>
      </c>
      <c r="E628" s="486" t="s">
        <v>5790</v>
      </c>
      <c r="F628" s="593" t="s">
        <v>3903</v>
      </c>
      <c r="G628" s="634" t="s">
        <v>6215</v>
      </c>
      <c r="H628" s="882"/>
      <c r="I628" s="1266"/>
    </row>
    <row r="629" spans="1:9" hidden="1">
      <c r="A629" s="428" t="s">
        <v>6268</v>
      </c>
      <c r="B629" s="413" t="s">
        <v>123</v>
      </c>
      <c r="C629" s="384">
        <v>1</v>
      </c>
      <c r="D629" s="482" t="s">
        <v>3904</v>
      </c>
      <c r="E629" s="486" t="s">
        <v>5791</v>
      </c>
      <c r="F629" s="593" t="s">
        <v>3905</v>
      </c>
      <c r="G629" s="634" t="s">
        <v>6215</v>
      </c>
      <c r="H629" s="882"/>
      <c r="I629" s="1266"/>
    </row>
    <row r="630" spans="1:9" hidden="1">
      <c r="A630" s="428" t="s">
        <v>6268</v>
      </c>
      <c r="B630" s="413" t="s">
        <v>123</v>
      </c>
      <c r="C630" s="384">
        <v>1</v>
      </c>
      <c r="D630" s="482">
        <v>56</v>
      </c>
      <c r="E630" s="486" t="s">
        <v>5792</v>
      </c>
      <c r="F630" s="593" t="s">
        <v>3906</v>
      </c>
      <c r="G630" s="634" t="s">
        <v>6215</v>
      </c>
      <c r="H630" s="882"/>
      <c r="I630" s="1266"/>
    </row>
    <row r="631" spans="1:9" hidden="1">
      <c r="A631" s="428" t="s">
        <v>6268</v>
      </c>
      <c r="B631" s="413" t="s">
        <v>123</v>
      </c>
      <c r="C631" s="384">
        <v>1</v>
      </c>
      <c r="D631" s="482" t="s">
        <v>3907</v>
      </c>
      <c r="E631" s="486" t="s">
        <v>5793</v>
      </c>
      <c r="F631" s="593" t="s">
        <v>3908</v>
      </c>
      <c r="G631" s="634" t="s">
        <v>6215</v>
      </c>
      <c r="H631" s="882"/>
      <c r="I631" s="1266"/>
    </row>
    <row r="632" spans="1:9" hidden="1">
      <c r="A632" s="428" t="s">
        <v>6268</v>
      </c>
      <c r="B632" s="413" t="s">
        <v>123</v>
      </c>
      <c r="C632" s="384">
        <v>1</v>
      </c>
      <c r="D632" s="482" t="s">
        <v>3909</v>
      </c>
      <c r="E632" s="486" t="s">
        <v>5794</v>
      </c>
      <c r="F632" s="593" t="s">
        <v>3910</v>
      </c>
      <c r="G632" s="634" t="s">
        <v>6215</v>
      </c>
      <c r="H632" s="882"/>
      <c r="I632" s="1266"/>
    </row>
    <row r="633" spans="1:9" hidden="1">
      <c r="A633" s="428" t="s">
        <v>6268</v>
      </c>
      <c r="B633" s="413" t="s">
        <v>123</v>
      </c>
      <c r="C633" s="384">
        <v>1</v>
      </c>
      <c r="D633" s="482" t="s">
        <v>3911</v>
      </c>
      <c r="E633" s="486" t="s">
        <v>5795</v>
      </c>
      <c r="F633" s="593" t="s">
        <v>3912</v>
      </c>
      <c r="G633" s="634" t="s">
        <v>6215</v>
      </c>
      <c r="H633" s="882"/>
      <c r="I633" s="1266"/>
    </row>
    <row r="634" spans="1:9" hidden="1">
      <c r="A634" s="428" t="s">
        <v>6268</v>
      </c>
      <c r="B634" s="413" t="s">
        <v>123</v>
      </c>
      <c r="C634" s="384">
        <v>1</v>
      </c>
      <c r="D634" s="482" t="s">
        <v>3913</v>
      </c>
      <c r="E634" s="486" t="s">
        <v>5796</v>
      </c>
      <c r="F634" s="593" t="s">
        <v>3914</v>
      </c>
      <c r="G634" s="634" t="s">
        <v>6215</v>
      </c>
      <c r="H634" s="882"/>
      <c r="I634" s="1266"/>
    </row>
    <row r="635" spans="1:9" hidden="1">
      <c r="A635" s="428" t="s">
        <v>6268</v>
      </c>
      <c r="B635" s="413" t="s">
        <v>123</v>
      </c>
      <c r="C635" s="384">
        <v>1</v>
      </c>
      <c r="D635" s="482" t="s">
        <v>3915</v>
      </c>
      <c r="E635" s="486" t="s">
        <v>5797</v>
      </c>
      <c r="F635" s="593" t="s">
        <v>3916</v>
      </c>
      <c r="G635" s="634" t="s">
        <v>6215</v>
      </c>
      <c r="H635" s="882"/>
      <c r="I635" s="1266"/>
    </row>
    <row r="636" spans="1:9" hidden="1">
      <c r="A636" s="428" t="s">
        <v>6268</v>
      </c>
      <c r="B636" s="413" t="s">
        <v>123</v>
      </c>
      <c r="C636" s="384">
        <v>1</v>
      </c>
      <c r="D636" s="482">
        <v>58</v>
      </c>
      <c r="E636" s="486" t="s">
        <v>5798</v>
      </c>
      <c r="F636" s="593" t="s">
        <v>3917</v>
      </c>
      <c r="G636" s="634" t="s">
        <v>6215</v>
      </c>
      <c r="H636" s="882"/>
      <c r="I636" s="1266"/>
    </row>
    <row r="637" spans="1:9" hidden="1">
      <c r="A637" s="428" t="s">
        <v>6268</v>
      </c>
      <c r="B637" s="413" t="s">
        <v>123</v>
      </c>
      <c r="C637" s="384">
        <v>1</v>
      </c>
      <c r="D637" s="482" t="s">
        <v>3918</v>
      </c>
      <c r="E637" s="486" t="s">
        <v>5799</v>
      </c>
      <c r="F637" s="593" t="s">
        <v>3919</v>
      </c>
      <c r="G637" s="634" t="s">
        <v>6215</v>
      </c>
      <c r="H637" s="882"/>
      <c r="I637" s="1266"/>
    </row>
    <row r="638" spans="1:9" hidden="1">
      <c r="A638" s="428" t="s">
        <v>6268</v>
      </c>
      <c r="B638" s="413" t="s">
        <v>123</v>
      </c>
      <c r="C638" s="384">
        <v>1</v>
      </c>
      <c r="D638" s="482" t="s">
        <v>3920</v>
      </c>
      <c r="E638" s="486" t="s">
        <v>5800</v>
      </c>
      <c r="F638" s="593" t="s">
        <v>3921</v>
      </c>
      <c r="G638" s="634" t="s">
        <v>6215</v>
      </c>
      <c r="H638" s="882"/>
      <c r="I638" s="1266"/>
    </row>
    <row r="639" spans="1:9" hidden="1">
      <c r="A639" s="428" t="s">
        <v>6268</v>
      </c>
      <c r="B639" s="413" t="s">
        <v>123</v>
      </c>
      <c r="C639" s="384">
        <v>1</v>
      </c>
      <c r="D639" s="482" t="s">
        <v>3922</v>
      </c>
      <c r="E639" s="486" t="s">
        <v>5801</v>
      </c>
      <c r="F639" s="593" t="s">
        <v>3923</v>
      </c>
      <c r="G639" s="634" t="s">
        <v>6215</v>
      </c>
      <c r="H639" s="882"/>
      <c r="I639" s="1266"/>
    </row>
    <row r="640" spans="1:9" hidden="1">
      <c r="A640" s="428" t="s">
        <v>6268</v>
      </c>
      <c r="B640" s="413" t="s">
        <v>123</v>
      </c>
      <c r="C640" s="384">
        <v>1</v>
      </c>
      <c r="D640" s="482" t="s">
        <v>3924</v>
      </c>
      <c r="E640" s="486" t="s">
        <v>5802</v>
      </c>
      <c r="F640" s="593" t="s">
        <v>3925</v>
      </c>
      <c r="G640" s="634" t="s">
        <v>6215</v>
      </c>
      <c r="H640" s="882"/>
      <c r="I640" s="1266"/>
    </row>
    <row r="641" spans="1:9" hidden="1">
      <c r="A641" s="428" t="s">
        <v>6268</v>
      </c>
      <c r="B641" s="413" t="s">
        <v>123</v>
      </c>
      <c r="C641" s="384">
        <v>1</v>
      </c>
      <c r="D641" s="482" t="s">
        <v>3926</v>
      </c>
      <c r="E641" s="486" t="s">
        <v>5803</v>
      </c>
      <c r="F641" s="593" t="s">
        <v>3927</v>
      </c>
      <c r="G641" s="634" t="s">
        <v>6215</v>
      </c>
      <c r="H641" s="882"/>
      <c r="I641" s="1266"/>
    </row>
    <row r="642" spans="1:9" hidden="1">
      <c r="A642" s="428" t="s">
        <v>6268</v>
      </c>
      <c r="B642" s="413" t="s">
        <v>123</v>
      </c>
      <c r="C642" s="384">
        <v>1</v>
      </c>
      <c r="D642" s="482" t="s">
        <v>3928</v>
      </c>
      <c r="E642" s="486" t="s">
        <v>5804</v>
      </c>
      <c r="F642" s="593" t="s">
        <v>3929</v>
      </c>
      <c r="G642" s="634" t="s">
        <v>6215</v>
      </c>
      <c r="H642" s="882"/>
      <c r="I642" s="1266"/>
    </row>
    <row r="643" spans="1:9" hidden="1">
      <c r="A643" s="428" t="s">
        <v>6268</v>
      </c>
      <c r="B643" s="413" t="s">
        <v>123</v>
      </c>
      <c r="C643" s="384">
        <v>1</v>
      </c>
      <c r="D643" s="482" t="s">
        <v>3930</v>
      </c>
      <c r="E643" s="486" t="s">
        <v>5805</v>
      </c>
      <c r="F643" s="593" t="s">
        <v>3931</v>
      </c>
      <c r="G643" s="634" t="s">
        <v>6215</v>
      </c>
      <c r="H643" s="882"/>
      <c r="I643" s="1266"/>
    </row>
    <row r="644" spans="1:9" hidden="1">
      <c r="A644" s="428" t="s">
        <v>6268</v>
      </c>
      <c r="B644" s="413" t="s">
        <v>123</v>
      </c>
      <c r="C644" s="384">
        <v>1</v>
      </c>
      <c r="D644" s="482" t="s">
        <v>3932</v>
      </c>
      <c r="E644" s="486" t="s">
        <v>5806</v>
      </c>
      <c r="F644" s="593" t="s">
        <v>3933</v>
      </c>
      <c r="G644" s="634" t="s">
        <v>6215</v>
      </c>
      <c r="H644" s="882"/>
      <c r="I644" s="1266"/>
    </row>
    <row r="645" spans="1:9" hidden="1">
      <c r="A645" s="428" t="s">
        <v>6268</v>
      </c>
      <c r="B645" s="413" t="s">
        <v>123</v>
      </c>
      <c r="C645" s="384">
        <v>1</v>
      </c>
      <c r="D645" s="482" t="s">
        <v>3934</v>
      </c>
      <c r="E645" s="486" t="s">
        <v>5807</v>
      </c>
      <c r="F645" s="593" t="s">
        <v>3935</v>
      </c>
      <c r="G645" s="634" t="s">
        <v>6215</v>
      </c>
      <c r="H645" s="882"/>
      <c r="I645" s="1266"/>
    </row>
    <row r="646" spans="1:9" hidden="1">
      <c r="A646" s="428" t="s">
        <v>6268</v>
      </c>
      <c r="B646" s="413" t="s">
        <v>123</v>
      </c>
      <c r="C646" s="384">
        <v>1</v>
      </c>
      <c r="D646" s="482">
        <v>59</v>
      </c>
      <c r="E646" s="486" t="s">
        <v>5808</v>
      </c>
      <c r="F646" s="593" t="s">
        <v>3936</v>
      </c>
      <c r="G646" s="634" t="s">
        <v>6215</v>
      </c>
      <c r="H646" s="882"/>
      <c r="I646" s="1266"/>
    </row>
    <row r="647" spans="1:9" hidden="1">
      <c r="A647" s="428" t="s">
        <v>6268</v>
      </c>
      <c r="B647" s="413" t="s">
        <v>123</v>
      </c>
      <c r="C647" s="384">
        <v>1</v>
      </c>
      <c r="D647" s="482" t="s">
        <v>3937</v>
      </c>
      <c r="E647" s="486" t="s">
        <v>5809</v>
      </c>
      <c r="F647" s="593" t="s">
        <v>3938</v>
      </c>
      <c r="G647" s="634" t="s">
        <v>6215</v>
      </c>
      <c r="H647" s="882"/>
      <c r="I647" s="1266"/>
    </row>
    <row r="648" spans="1:9" hidden="1">
      <c r="A648" s="428" t="s">
        <v>6268</v>
      </c>
      <c r="B648" s="413" t="s">
        <v>123</v>
      </c>
      <c r="C648" s="384">
        <v>1</v>
      </c>
      <c r="D648" s="482" t="s">
        <v>3939</v>
      </c>
      <c r="E648" s="486" t="s">
        <v>5810</v>
      </c>
      <c r="F648" s="593" t="s">
        <v>3940</v>
      </c>
      <c r="G648" s="634" t="s">
        <v>6215</v>
      </c>
      <c r="H648" s="882"/>
      <c r="I648" s="1266"/>
    </row>
    <row r="649" spans="1:9" hidden="1">
      <c r="A649" s="428" t="s">
        <v>6268</v>
      </c>
      <c r="B649" s="413" t="s">
        <v>123</v>
      </c>
      <c r="C649" s="384">
        <v>1</v>
      </c>
      <c r="D649" s="482" t="s">
        <v>3941</v>
      </c>
      <c r="E649" s="486" t="s">
        <v>5811</v>
      </c>
      <c r="F649" s="593" t="s">
        <v>3942</v>
      </c>
      <c r="G649" s="634" t="s">
        <v>6215</v>
      </c>
      <c r="H649" s="882"/>
      <c r="I649" s="1266"/>
    </row>
    <row r="650" spans="1:9" hidden="1">
      <c r="A650" s="428" t="s">
        <v>6268</v>
      </c>
      <c r="B650" s="413" t="s">
        <v>123</v>
      </c>
      <c r="C650" s="384">
        <v>1</v>
      </c>
      <c r="D650" s="482" t="s">
        <v>3943</v>
      </c>
      <c r="E650" s="486" t="s">
        <v>5812</v>
      </c>
      <c r="F650" s="593" t="s">
        <v>3944</v>
      </c>
      <c r="G650" s="634" t="s">
        <v>6215</v>
      </c>
      <c r="H650" s="882"/>
      <c r="I650" s="1266"/>
    </row>
    <row r="651" spans="1:9" hidden="1">
      <c r="A651" s="428" t="s">
        <v>6268</v>
      </c>
      <c r="B651" s="413" t="s">
        <v>123</v>
      </c>
      <c r="C651" s="384">
        <v>1</v>
      </c>
      <c r="D651" s="482" t="s">
        <v>3945</v>
      </c>
      <c r="E651" s="486" t="s">
        <v>5813</v>
      </c>
      <c r="F651" s="593" t="s">
        <v>3946</v>
      </c>
      <c r="G651" s="634" t="s">
        <v>6215</v>
      </c>
      <c r="H651" s="882"/>
      <c r="I651" s="1266"/>
    </row>
    <row r="652" spans="1:9" hidden="1">
      <c r="A652" s="428" t="s">
        <v>6268</v>
      </c>
      <c r="B652" s="413" t="s">
        <v>123</v>
      </c>
      <c r="C652" s="384">
        <v>1</v>
      </c>
      <c r="D652" s="482" t="s">
        <v>3947</v>
      </c>
      <c r="E652" s="486" t="s">
        <v>5814</v>
      </c>
      <c r="F652" s="593" t="s">
        <v>3948</v>
      </c>
      <c r="G652" s="634" t="s">
        <v>6215</v>
      </c>
      <c r="H652" s="882"/>
      <c r="I652" s="1266"/>
    </row>
    <row r="653" spans="1:9" hidden="1">
      <c r="A653" s="428" t="s">
        <v>6268</v>
      </c>
      <c r="B653" s="413" t="s">
        <v>123</v>
      </c>
      <c r="C653" s="384">
        <v>1</v>
      </c>
      <c r="D653" s="482">
        <v>60</v>
      </c>
      <c r="E653" s="486" t="s">
        <v>5815</v>
      </c>
      <c r="F653" s="593" t="s">
        <v>3949</v>
      </c>
      <c r="G653" s="634" t="s">
        <v>6215</v>
      </c>
      <c r="H653" s="882"/>
      <c r="I653" s="1266"/>
    </row>
    <row r="654" spans="1:9" hidden="1">
      <c r="A654" s="428" t="s">
        <v>6268</v>
      </c>
      <c r="B654" s="413" t="s">
        <v>123</v>
      </c>
      <c r="C654" s="384">
        <v>1</v>
      </c>
      <c r="D654" s="482" t="s">
        <v>3950</v>
      </c>
      <c r="E654" s="486" t="s">
        <v>5816</v>
      </c>
      <c r="F654" s="593" t="s">
        <v>3951</v>
      </c>
      <c r="G654" s="634" t="s">
        <v>6215</v>
      </c>
      <c r="H654" s="882"/>
      <c r="I654" s="1266"/>
    </row>
    <row r="655" spans="1:9" hidden="1">
      <c r="A655" s="428" t="s">
        <v>6268</v>
      </c>
      <c r="B655" s="413" t="s">
        <v>123</v>
      </c>
      <c r="C655" s="384">
        <v>1</v>
      </c>
      <c r="D655" s="482" t="s">
        <v>3952</v>
      </c>
      <c r="E655" s="486" t="s">
        <v>5817</v>
      </c>
      <c r="F655" s="593" t="s">
        <v>3953</v>
      </c>
      <c r="G655" s="634" t="s">
        <v>6215</v>
      </c>
      <c r="H655" s="882"/>
      <c r="I655" s="1266"/>
    </row>
    <row r="656" spans="1:9" hidden="1">
      <c r="A656" s="428" t="s">
        <v>6268</v>
      </c>
      <c r="B656" s="413" t="s">
        <v>123</v>
      </c>
      <c r="C656" s="384">
        <v>1</v>
      </c>
      <c r="D656" s="482">
        <v>61</v>
      </c>
      <c r="E656" s="486" t="s">
        <v>5818</v>
      </c>
      <c r="F656" s="593" t="s">
        <v>3954</v>
      </c>
      <c r="G656" s="634" t="s">
        <v>6215</v>
      </c>
      <c r="H656" s="882"/>
      <c r="I656" s="1266"/>
    </row>
    <row r="657" spans="1:9" hidden="1">
      <c r="A657" s="428" t="s">
        <v>6268</v>
      </c>
      <c r="B657" s="413" t="s">
        <v>123</v>
      </c>
      <c r="C657" s="384">
        <v>1</v>
      </c>
      <c r="D657" s="482" t="s">
        <v>3955</v>
      </c>
      <c r="E657" s="486" t="s">
        <v>5819</v>
      </c>
      <c r="F657" s="593" t="s">
        <v>3956</v>
      </c>
      <c r="G657" s="634" t="s">
        <v>6215</v>
      </c>
      <c r="H657" s="882"/>
      <c r="I657" s="1266"/>
    </row>
    <row r="658" spans="1:9" hidden="1">
      <c r="A658" s="428" t="s">
        <v>6268</v>
      </c>
      <c r="B658" s="413" t="s">
        <v>123</v>
      </c>
      <c r="C658" s="384">
        <v>1</v>
      </c>
      <c r="D658" s="482" t="s">
        <v>3957</v>
      </c>
      <c r="E658" s="486" t="s">
        <v>5820</v>
      </c>
      <c r="F658" s="593" t="s">
        <v>3958</v>
      </c>
      <c r="G658" s="634" t="s">
        <v>6215</v>
      </c>
      <c r="H658" s="882"/>
      <c r="I658" s="1266"/>
    </row>
    <row r="659" spans="1:9" hidden="1">
      <c r="A659" s="428" t="s">
        <v>6268</v>
      </c>
      <c r="B659" s="413" t="s">
        <v>123</v>
      </c>
      <c r="C659" s="384">
        <v>1</v>
      </c>
      <c r="D659" s="482" t="s">
        <v>3959</v>
      </c>
      <c r="E659" s="486" t="s">
        <v>5821</v>
      </c>
      <c r="F659" s="593" t="s">
        <v>3960</v>
      </c>
      <c r="G659" s="634" t="s">
        <v>6215</v>
      </c>
      <c r="H659" s="882"/>
      <c r="I659" s="1266"/>
    </row>
    <row r="660" spans="1:9" hidden="1">
      <c r="A660" s="428" t="s">
        <v>6268</v>
      </c>
      <c r="B660" s="413" t="s">
        <v>123</v>
      </c>
      <c r="C660" s="384">
        <v>1</v>
      </c>
      <c r="D660" s="482" t="s">
        <v>3961</v>
      </c>
      <c r="E660" s="486" t="s">
        <v>5822</v>
      </c>
      <c r="F660" s="593" t="s">
        <v>3962</v>
      </c>
      <c r="G660" s="634" t="s">
        <v>6215</v>
      </c>
      <c r="H660" s="882"/>
      <c r="I660" s="1266"/>
    </row>
    <row r="661" spans="1:9" hidden="1">
      <c r="A661" s="428" t="s">
        <v>6268</v>
      </c>
      <c r="B661" s="413" t="s">
        <v>123</v>
      </c>
      <c r="C661" s="384">
        <v>1</v>
      </c>
      <c r="D661" s="482">
        <v>62</v>
      </c>
      <c r="E661" s="486" t="s">
        <v>5823</v>
      </c>
      <c r="F661" s="593" t="s">
        <v>3963</v>
      </c>
      <c r="G661" s="634" t="s">
        <v>6215</v>
      </c>
      <c r="H661" s="882"/>
      <c r="I661" s="1266"/>
    </row>
    <row r="662" spans="1:9" hidden="1">
      <c r="A662" s="428" t="s">
        <v>6268</v>
      </c>
      <c r="B662" s="413" t="s">
        <v>123</v>
      </c>
      <c r="C662" s="384">
        <v>1</v>
      </c>
      <c r="D662" s="482" t="s">
        <v>3964</v>
      </c>
      <c r="E662" s="486" t="s">
        <v>5824</v>
      </c>
      <c r="F662" s="593" t="s">
        <v>3965</v>
      </c>
      <c r="G662" s="634" t="s">
        <v>6215</v>
      </c>
      <c r="H662" s="882"/>
      <c r="I662" s="1266"/>
    </row>
    <row r="663" spans="1:9" hidden="1">
      <c r="A663" s="428" t="s">
        <v>6268</v>
      </c>
      <c r="B663" s="413" t="s">
        <v>123</v>
      </c>
      <c r="C663" s="384">
        <v>1</v>
      </c>
      <c r="D663" s="482" t="s">
        <v>3966</v>
      </c>
      <c r="E663" s="486" t="s">
        <v>5825</v>
      </c>
      <c r="F663" s="593" t="s">
        <v>3967</v>
      </c>
      <c r="G663" s="634" t="s">
        <v>6215</v>
      </c>
      <c r="H663" s="882"/>
      <c r="I663" s="1266"/>
    </row>
    <row r="664" spans="1:9" hidden="1">
      <c r="A664" s="428" t="s">
        <v>6268</v>
      </c>
      <c r="B664" s="413" t="s">
        <v>123</v>
      </c>
      <c r="C664" s="384">
        <v>1</v>
      </c>
      <c r="D664" s="482" t="s">
        <v>3968</v>
      </c>
      <c r="E664" s="486" t="s">
        <v>5826</v>
      </c>
      <c r="F664" s="593" t="s">
        <v>3969</v>
      </c>
      <c r="G664" s="634" t="s">
        <v>6215</v>
      </c>
      <c r="H664" s="882"/>
      <c r="I664" s="1266"/>
    </row>
    <row r="665" spans="1:9" hidden="1">
      <c r="A665" s="428" t="s">
        <v>6268</v>
      </c>
      <c r="B665" s="413" t="s">
        <v>123</v>
      </c>
      <c r="C665" s="384">
        <v>1</v>
      </c>
      <c r="D665" s="482" t="s">
        <v>3970</v>
      </c>
      <c r="E665" s="486" t="s">
        <v>5827</v>
      </c>
      <c r="F665" s="593" t="s">
        <v>3971</v>
      </c>
      <c r="G665" s="634" t="s">
        <v>6215</v>
      </c>
      <c r="H665" s="882"/>
      <c r="I665" s="1266"/>
    </row>
    <row r="666" spans="1:9" hidden="1">
      <c r="A666" s="428" t="s">
        <v>6268</v>
      </c>
      <c r="B666" s="413" t="s">
        <v>123</v>
      </c>
      <c r="C666" s="384">
        <v>1</v>
      </c>
      <c r="D666" s="482">
        <v>63</v>
      </c>
      <c r="E666" s="486" t="s">
        <v>5828</v>
      </c>
      <c r="F666" s="593" t="s">
        <v>3972</v>
      </c>
      <c r="G666" s="634" t="s">
        <v>6215</v>
      </c>
      <c r="H666" s="882"/>
      <c r="I666" s="1266"/>
    </row>
    <row r="667" spans="1:9" hidden="1">
      <c r="A667" s="428" t="s">
        <v>6268</v>
      </c>
      <c r="B667" s="413" t="s">
        <v>123</v>
      </c>
      <c r="C667" s="384">
        <v>1</v>
      </c>
      <c r="D667" s="482" t="s">
        <v>3973</v>
      </c>
      <c r="E667" s="486" t="s">
        <v>5829</v>
      </c>
      <c r="F667" s="593" t="s">
        <v>3974</v>
      </c>
      <c r="G667" s="634" t="s">
        <v>6215</v>
      </c>
      <c r="H667" s="882"/>
      <c r="I667" s="1266"/>
    </row>
    <row r="668" spans="1:9" hidden="1">
      <c r="A668" s="428" t="s">
        <v>6268</v>
      </c>
      <c r="B668" s="413" t="s">
        <v>123</v>
      </c>
      <c r="C668" s="384">
        <v>1</v>
      </c>
      <c r="D668" s="482" t="s">
        <v>3975</v>
      </c>
      <c r="E668" s="486" t="s">
        <v>5830</v>
      </c>
      <c r="F668" s="593" t="s">
        <v>3976</v>
      </c>
      <c r="G668" s="634" t="s">
        <v>6215</v>
      </c>
      <c r="H668" s="882"/>
      <c r="I668" s="1266"/>
    </row>
    <row r="669" spans="1:9" hidden="1">
      <c r="A669" s="428" t="s">
        <v>6268</v>
      </c>
      <c r="B669" s="413" t="s">
        <v>123</v>
      </c>
      <c r="C669" s="384">
        <v>1</v>
      </c>
      <c r="D669" s="482" t="s">
        <v>3977</v>
      </c>
      <c r="E669" s="486" t="s">
        <v>5831</v>
      </c>
      <c r="F669" s="593" t="s">
        <v>3978</v>
      </c>
      <c r="G669" s="634" t="s">
        <v>6215</v>
      </c>
      <c r="H669" s="882"/>
      <c r="I669" s="1266"/>
    </row>
    <row r="670" spans="1:9" hidden="1">
      <c r="A670" s="428" t="s">
        <v>6268</v>
      </c>
      <c r="B670" s="413" t="s">
        <v>123</v>
      </c>
      <c r="C670" s="384">
        <v>1</v>
      </c>
      <c r="D670" s="482" t="s">
        <v>3979</v>
      </c>
      <c r="E670" s="486" t="s">
        <v>5832</v>
      </c>
      <c r="F670" s="593" t="s">
        <v>3980</v>
      </c>
      <c r="G670" s="634" t="s">
        <v>6215</v>
      </c>
      <c r="H670" s="882"/>
      <c r="I670" s="1266"/>
    </row>
    <row r="671" spans="1:9" hidden="1">
      <c r="A671" s="428" t="s">
        <v>6268</v>
      </c>
      <c r="B671" s="413" t="s">
        <v>123</v>
      </c>
      <c r="C671" s="384">
        <v>1</v>
      </c>
      <c r="D671" s="482" t="s">
        <v>3981</v>
      </c>
      <c r="E671" s="486" t="s">
        <v>5833</v>
      </c>
      <c r="F671" s="593" t="s">
        <v>3982</v>
      </c>
      <c r="G671" s="634" t="s">
        <v>6215</v>
      </c>
      <c r="H671" s="882"/>
      <c r="I671" s="1266"/>
    </row>
    <row r="672" spans="1:9" hidden="1">
      <c r="A672" s="428" t="s">
        <v>6268</v>
      </c>
      <c r="B672" s="413" t="s">
        <v>123</v>
      </c>
      <c r="C672" s="384">
        <v>1</v>
      </c>
      <c r="D672" s="482" t="s">
        <v>3983</v>
      </c>
      <c r="E672" s="486" t="s">
        <v>5834</v>
      </c>
      <c r="F672" s="593" t="s">
        <v>3984</v>
      </c>
      <c r="G672" s="634" t="s">
        <v>6215</v>
      </c>
      <c r="H672" s="882"/>
      <c r="I672" s="1266"/>
    </row>
    <row r="673" spans="1:9" hidden="1">
      <c r="A673" s="428" t="s">
        <v>6268</v>
      </c>
      <c r="B673" s="413" t="s">
        <v>123</v>
      </c>
      <c r="C673" s="384">
        <v>1</v>
      </c>
      <c r="D673" s="482">
        <v>64</v>
      </c>
      <c r="E673" s="486" t="s">
        <v>5835</v>
      </c>
      <c r="F673" s="593" t="s">
        <v>3985</v>
      </c>
      <c r="G673" s="634" t="s">
        <v>6215</v>
      </c>
      <c r="H673" s="882"/>
      <c r="I673" s="1266"/>
    </row>
    <row r="674" spans="1:9" hidden="1">
      <c r="A674" s="428" t="s">
        <v>6268</v>
      </c>
      <c r="B674" s="413" t="s">
        <v>123</v>
      </c>
      <c r="C674" s="384">
        <v>1</v>
      </c>
      <c r="D674" s="482" t="s">
        <v>3986</v>
      </c>
      <c r="E674" s="486" t="s">
        <v>5836</v>
      </c>
      <c r="F674" s="593" t="s">
        <v>3987</v>
      </c>
      <c r="G674" s="634" t="s">
        <v>6215</v>
      </c>
      <c r="H674" s="882"/>
      <c r="I674" s="1266"/>
    </row>
    <row r="675" spans="1:9" hidden="1">
      <c r="A675" s="428" t="s">
        <v>6268</v>
      </c>
      <c r="B675" s="413" t="s">
        <v>123</v>
      </c>
      <c r="C675" s="384">
        <v>1</v>
      </c>
      <c r="D675" s="482" t="s">
        <v>3988</v>
      </c>
      <c r="E675" s="486" t="s">
        <v>5837</v>
      </c>
      <c r="F675" s="593" t="s">
        <v>3989</v>
      </c>
      <c r="G675" s="634" t="s">
        <v>6215</v>
      </c>
      <c r="H675" s="882"/>
      <c r="I675" s="1266"/>
    </row>
    <row r="676" spans="1:9" hidden="1">
      <c r="A676" s="428" t="s">
        <v>6268</v>
      </c>
      <c r="B676" s="413" t="s">
        <v>123</v>
      </c>
      <c r="C676" s="384">
        <v>1</v>
      </c>
      <c r="D676" s="482" t="s">
        <v>3990</v>
      </c>
      <c r="E676" s="486" t="s">
        <v>5838</v>
      </c>
      <c r="F676" s="593" t="s">
        <v>3991</v>
      </c>
      <c r="G676" s="634" t="s">
        <v>6215</v>
      </c>
      <c r="H676" s="882"/>
      <c r="I676" s="1266"/>
    </row>
    <row r="677" spans="1:9" hidden="1">
      <c r="A677" s="428" t="s">
        <v>6268</v>
      </c>
      <c r="B677" s="413" t="s">
        <v>123</v>
      </c>
      <c r="C677" s="384">
        <v>1</v>
      </c>
      <c r="D677" s="482" t="s">
        <v>3992</v>
      </c>
      <c r="E677" s="486" t="s">
        <v>5839</v>
      </c>
      <c r="F677" s="593" t="s">
        <v>3993</v>
      </c>
      <c r="G677" s="634" t="s">
        <v>6215</v>
      </c>
      <c r="H677" s="882"/>
      <c r="I677" s="1266"/>
    </row>
    <row r="678" spans="1:9" hidden="1">
      <c r="A678" s="428" t="s">
        <v>6268</v>
      </c>
      <c r="B678" s="413" t="s">
        <v>123</v>
      </c>
      <c r="C678" s="384">
        <v>1</v>
      </c>
      <c r="D678" s="482" t="s">
        <v>3994</v>
      </c>
      <c r="E678" s="486" t="s">
        <v>5840</v>
      </c>
      <c r="F678" s="593" t="s">
        <v>3995</v>
      </c>
      <c r="G678" s="634" t="s">
        <v>6215</v>
      </c>
      <c r="H678" s="882"/>
      <c r="I678" s="1266"/>
    </row>
    <row r="679" spans="1:9" hidden="1">
      <c r="A679" s="428" t="s">
        <v>6268</v>
      </c>
      <c r="B679" s="413" t="s">
        <v>123</v>
      </c>
      <c r="C679" s="384">
        <v>1</v>
      </c>
      <c r="D679" s="482" t="s">
        <v>3996</v>
      </c>
      <c r="E679" s="486" t="s">
        <v>5841</v>
      </c>
      <c r="F679" s="593" t="s">
        <v>3997</v>
      </c>
      <c r="G679" s="634" t="s">
        <v>6215</v>
      </c>
      <c r="H679" s="882"/>
      <c r="I679" s="1266"/>
    </row>
    <row r="680" spans="1:9" hidden="1">
      <c r="A680" s="428" t="s">
        <v>6268</v>
      </c>
      <c r="B680" s="413" t="s">
        <v>123</v>
      </c>
      <c r="C680" s="384">
        <v>1</v>
      </c>
      <c r="D680" s="482" t="s">
        <v>3998</v>
      </c>
      <c r="E680" s="486" t="s">
        <v>5842</v>
      </c>
      <c r="F680" s="593" t="s">
        <v>3999</v>
      </c>
      <c r="G680" s="634" t="s">
        <v>6215</v>
      </c>
      <c r="H680" s="882"/>
      <c r="I680" s="1266"/>
    </row>
    <row r="681" spans="1:9" hidden="1">
      <c r="A681" s="428" t="s">
        <v>6268</v>
      </c>
      <c r="B681" s="413" t="s">
        <v>123</v>
      </c>
      <c r="C681" s="384">
        <v>1</v>
      </c>
      <c r="D681" s="482" t="s">
        <v>4000</v>
      </c>
      <c r="E681" s="486" t="s">
        <v>5843</v>
      </c>
      <c r="F681" s="593" t="s">
        <v>4001</v>
      </c>
      <c r="G681" s="634" t="s">
        <v>6215</v>
      </c>
      <c r="H681" s="882"/>
      <c r="I681" s="1266"/>
    </row>
    <row r="682" spans="1:9" hidden="1">
      <c r="A682" s="428" t="s">
        <v>6268</v>
      </c>
      <c r="B682" s="413" t="s">
        <v>123</v>
      </c>
      <c r="C682" s="384">
        <v>1</v>
      </c>
      <c r="D682" s="482" t="s">
        <v>4002</v>
      </c>
      <c r="E682" s="486" t="s">
        <v>5844</v>
      </c>
      <c r="F682" s="593" t="s">
        <v>4003</v>
      </c>
      <c r="G682" s="634" t="s">
        <v>6215</v>
      </c>
      <c r="H682" s="882"/>
      <c r="I682" s="1266"/>
    </row>
    <row r="683" spans="1:9" hidden="1">
      <c r="A683" s="428" t="s">
        <v>6268</v>
      </c>
      <c r="B683" s="413" t="s">
        <v>123</v>
      </c>
      <c r="C683" s="384">
        <v>1</v>
      </c>
      <c r="D683" s="482">
        <v>65</v>
      </c>
      <c r="E683" s="486" t="s">
        <v>5845</v>
      </c>
      <c r="F683" s="593" t="s">
        <v>4004</v>
      </c>
      <c r="G683" s="634" t="s">
        <v>6215</v>
      </c>
      <c r="H683" s="882"/>
      <c r="I683" s="1266"/>
    </row>
    <row r="684" spans="1:9" hidden="1">
      <c r="A684" s="428" t="s">
        <v>6268</v>
      </c>
      <c r="B684" s="413" t="s">
        <v>123</v>
      </c>
      <c r="C684" s="384">
        <v>1</v>
      </c>
      <c r="D684" s="482" t="s">
        <v>4005</v>
      </c>
      <c r="E684" s="486" t="s">
        <v>5846</v>
      </c>
      <c r="F684" s="593" t="s">
        <v>4006</v>
      </c>
      <c r="G684" s="634" t="s">
        <v>6215</v>
      </c>
      <c r="H684" s="882"/>
      <c r="I684" s="1266"/>
    </row>
    <row r="685" spans="1:9" hidden="1">
      <c r="A685" s="428" t="s">
        <v>6268</v>
      </c>
      <c r="B685" s="413" t="s">
        <v>123</v>
      </c>
      <c r="C685" s="384">
        <v>1</v>
      </c>
      <c r="D685" s="482" t="s">
        <v>4007</v>
      </c>
      <c r="E685" s="486" t="s">
        <v>5847</v>
      </c>
      <c r="F685" s="593" t="s">
        <v>4008</v>
      </c>
      <c r="G685" s="634" t="s">
        <v>6215</v>
      </c>
      <c r="H685" s="882"/>
      <c r="I685" s="1266"/>
    </row>
    <row r="686" spans="1:9" hidden="1">
      <c r="A686" s="428" t="s">
        <v>6268</v>
      </c>
      <c r="B686" s="413" t="s">
        <v>123</v>
      </c>
      <c r="C686" s="384">
        <v>1</v>
      </c>
      <c r="D686" s="482" t="s">
        <v>4009</v>
      </c>
      <c r="E686" s="486" t="s">
        <v>5848</v>
      </c>
      <c r="F686" s="593" t="s">
        <v>4010</v>
      </c>
      <c r="G686" s="634" t="s">
        <v>6215</v>
      </c>
      <c r="H686" s="882"/>
      <c r="I686" s="1266"/>
    </row>
    <row r="687" spans="1:9" hidden="1">
      <c r="A687" s="428" t="s">
        <v>6268</v>
      </c>
      <c r="B687" s="413" t="s">
        <v>123</v>
      </c>
      <c r="C687" s="384">
        <v>1</v>
      </c>
      <c r="D687" s="482" t="s">
        <v>4011</v>
      </c>
      <c r="E687" s="486" t="s">
        <v>5849</v>
      </c>
      <c r="F687" s="593" t="s">
        <v>4012</v>
      </c>
      <c r="G687" s="634" t="s">
        <v>6215</v>
      </c>
      <c r="H687" s="882"/>
      <c r="I687" s="1266"/>
    </row>
    <row r="688" spans="1:9" hidden="1">
      <c r="A688" s="428" t="s">
        <v>6268</v>
      </c>
      <c r="B688" s="413" t="s">
        <v>123</v>
      </c>
      <c r="C688" s="384">
        <v>1</v>
      </c>
      <c r="D688" s="482" t="s">
        <v>4013</v>
      </c>
      <c r="E688" s="486" t="s">
        <v>5850</v>
      </c>
      <c r="F688" s="593" t="s">
        <v>4014</v>
      </c>
      <c r="G688" s="634" t="s">
        <v>6215</v>
      </c>
      <c r="H688" s="882"/>
      <c r="I688" s="1266"/>
    </row>
    <row r="689" spans="1:9" hidden="1">
      <c r="A689" s="428" t="s">
        <v>6268</v>
      </c>
      <c r="B689" s="413" t="s">
        <v>123</v>
      </c>
      <c r="C689" s="384">
        <v>1</v>
      </c>
      <c r="D689" s="482">
        <v>66</v>
      </c>
      <c r="E689" s="486" t="s">
        <v>5851</v>
      </c>
      <c r="F689" s="593" t="s">
        <v>4015</v>
      </c>
      <c r="G689" s="634" t="s">
        <v>6215</v>
      </c>
      <c r="H689" s="882"/>
      <c r="I689" s="1266"/>
    </row>
    <row r="690" spans="1:9" hidden="1">
      <c r="A690" s="428" t="s">
        <v>6268</v>
      </c>
      <c r="B690" s="413" t="s">
        <v>123</v>
      </c>
      <c r="C690" s="384">
        <v>1</v>
      </c>
      <c r="D690" s="482" t="s">
        <v>4016</v>
      </c>
      <c r="E690" s="486" t="s">
        <v>5852</v>
      </c>
      <c r="F690" s="593" t="s">
        <v>4017</v>
      </c>
      <c r="G690" s="634" t="s">
        <v>6215</v>
      </c>
      <c r="H690" s="882"/>
      <c r="I690" s="1266"/>
    </row>
    <row r="691" spans="1:9" hidden="1">
      <c r="A691" s="428" t="s">
        <v>6268</v>
      </c>
      <c r="B691" s="413" t="s">
        <v>123</v>
      </c>
      <c r="C691" s="384">
        <v>1</v>
      </c>
      <c r="D691" s="482" t="s">
        <v>4018</v>
      </c>
      <c r="E691" s="486" t="s">
        <v>5853</v>
      </c>
      <c r="F691" s="593" t="s">
        <v>4019</v>
      </c>
      <c r="G691" s="634" t="s">
        <v>6215</v>
      </c>
      <c r="H691" s="882"/>
      <c r="I691" s="1266"/>
    </row>
    <row r="692" spans="1:9" hidden="1">
      <c r="A692" s="428" t="s">
        <v>6268</v>
      </c>
      <c r="B692" s="413" t="s">
        <v>123</v>
      </c>
      <c r="C692" s="384">
        <v>1</v>
      </c>
      <c r="D692" s="482" t="s">
        <v>4020</v>
      </c>
      <c r="E692" s="486" t="s">
        <v>5854</v>
      </c>
      <c r="F692" s="593" t="s">
        <v>4021</v>
      </c>
      <c r="G692" s="634" t="s">
        <v>6215</v>
      </c>
      <c r="H692" s="882"/>
      <c r="I692" s="1266"/>
    </row>
    <row r="693" spans="1:9" hidden="1">
      <c r="A693" s="428" t="s">
        <v>6268</v>
      </c>
      <c r="B693" s="413" t="s">
        <v>123</v>
      </c>
      <c r="C693" s="384">
        <v>1</v>
      </c>
      <c r="D693" s="482" t="s">
        <v>4022</v>
      </c>
      <c r="E693" s="486" t="s">
        <v>5855</v>
      </c>
      <c r="F693" s="593" t="s">
        <v>4023</v>
      </c>
      <c r="G693" s="634" t="s">
        <v>6215</v>
      </c>
      <c r="H693" s="882"/>
      <c r="I693" s="1266"/>
    </row>
    <row r="694" spans="1:9" hidden="1">
      <c r="A694" s="428" t="s">
        <v>6268</v>
      </c>
      <c r="B694" s="413" t="s">
        <v>123</v>
      </c>
      <c r="C694" s="384">
        <v>1</v>
      </c>
      <c r="D694" s="482" t="s">
        <v>4024</v>
      </c>
      <c r="E694" s="486" t="s">
        <v>5856</v>
      </c>
      <c r="F694" s="593" t="s">
        <v>4025</v>
      </c>
      <c r="G694" s="634" t="s">
        <v>6215</v>
      </c>
      <c r="H694" s="882"/>
      <c r="I694" s="1266"/>
    </row>
    <row r="695" spans="1:9" hidden="1">
      <c r="A695" s="428" t="s">
        <v>6268</v>
      </c>
      <c r="B695" s="413" t="s">
        <v>123</v>
      </c>
      <c r="C695" s="384">
        <v>1</v>
      </c>
      <c r="D695" s="482" t="s">
        <v>4026</v>
      </c>
      <c r="E695" s="486" t="s">
        <v>5857</v>
      </c>
      <c r="F695" s="593" t="s">
        <v>4027</v>
      </c>
      <c r="G695" s="634" t="s">
        <v>6215</v>
      </c>
      <c r="H695" s="882"/>
      <c r="I695" s="1266"/>
    </row>
    <row r="696" spans="1:9" hidden="1">
      <c r="A696" s="428" t="s">
        <v>6268</v>
      </c>
      <c r="B696" s="413" t="s">
        <v>123</v>
      </c>
      <c r="C696" s="384">
        <v>1</v>
      </c>
      <c r="D696" s="482" t="s">
        <v>4028</v>
      </c>
      <c r="E696" s="486" t="s">
        <v>5858</v>
      </c>
      <c r="F696" s="593" t="s">
        <v>4029</v>
      </c>
      <c r="G696" s="634" t="s">
        <v>6215</v>
      </c>
      <c r="H696" s="882"/>
      <c r="I696" s="1266"/>
    </row>
    <row r="697" spans="1:9" hidden="1">
      <c r="A697" s="428" t="s">
        <v>6268</v>
      </c>
      <c r="B697" s="413" t="s">
        <v>123</v>
      </c>
      <c r="C697" s="384">
        <v>1</v>
      </c>
      <c r="D697" s="482" t="s">
        <v>4030</v>
      </c>
      <c r="E697" s="486" t="s">
        <v>5859</v>
      </c>
      <c r="F697" s="593" t="s">
        <v>4031</v>
      </c>
      <c r="G697" s="634" t="s">
        <v>6215</v>
      </c>
      <c r="H697" s="882"/>
      <c r="I697" s="1266"/>
    </row>
    <row r="698" spans="1:9" hidden="1">
      <c r="A698" s="428" t="s">
        <v>6268</v>
      </c>
      <c r="B698" s="413" t="s">
        <v>123</v>
      </c>
      <c r="C698" s="384">
        <v>1</v>
      </c>
      <c r="D698" s="482" t="s">
        <v>4032</v>
      </c>
      <c r="E698" s="486" t="s">
        <v>5860</v>
      </c>
      <c r="F698" s="593" t="s">
        <v>4033</v>
      </c>
      <c r="G698" s="634" t="s">
        <v>6215</v>
      </c>
      <c r="H698" s="882"/>
      <c r="I698" s="1266"/>
    </row>
    <row r="699" spans="1:9" hidden="1">
      <c r="A699" s="428" t="s">
        <v>6268</v>
      </c>
      <c r="B699" s="413" t="s">
        <v>123</v>
      </c>
      <c r="C699" s="384">
        <v>1</v>
      </c>
      <c r="D699" s="482">
        <v>68</v>
      </c>
      <c r="E699" s="486" t="s">
        <v>5861</v>
      </c>
      <c r="F699" s="593" t="s">
        <v>4034</v>
      </c>
      <c r="G699" s="634" t="s">
        <v>6215</v>
      </c>
      <c r="H699" s="882"/>
      <c r="I699" s="1266"/>
    </row>
    <row r="700" spans="1:9" hidden="1">
      <c r="A700" s="428" t="s">
        <v>6268</v>
      </c>
      <c r="B700" s="413" t="s">
        <v>123</v>
      </c>
      <c r="C700" s="384">
        <v>1</v>
      </c>
      <c r="D700" s="482" t="s">
        <v>4035</v>
      </c>
      <c r="E700" s="486" t="s">
        <v>5862</v>
      </c>
      <c r="F700" s="593" t="s">
        <v>4036</v>
      </c>
      <c r="G700" s="634" t="s">
        <v>6215</v>
      </c>
      <c r="H700" s="882"/>
      <c r="I700" s="1266"/>
    </row>
    <row r="701" spans="1:9" hidden="1">
      <c r="A701" s="428" t="s">
        <v>6268</v>
      </c>
      <c r="B701" s="413" t="s">
        <v>123</v>
      </c>
      <c r="C701" s="384">
        <v>1</v>
      </c>
      <c r="D701" s="482" t="s">
        <v>4037</v>
      </c>
      <c r="E701" s="486" t="s">
        <v>5863</v>
      </c>
      <c r="F701" s="593" t="s">
        <v>4038</v>
      </c>
      <c r="G701" s="634" t="s">
        <v>6215</v>
      </c>
      <c r="H701" s="882"/>
      <c r="I701" s="1266"/>
    </row>
    <row r="702" spans="1:9" hidden="1">
      <c r="A702" s="428" t="s">
        <v>6268</v>
      </c>
      <c r="B702" s="413" t="s">
        <v>123</v>
      </c>
      <c r="C702" s="384">
        <v>1</v>
      </c>
      <c r="D702" s="482" t="s">
        <v>4039</v>
      </c>
      <c r="E702" s="486" t="s">
        <v>5864</v>
      </c>
      <c r="F702" s="593" t="s">
        <v>4040</v>
      </c>
      <c r="G702" s="634" t="s">
        <v>6215</v>
      </c>
      <c r="H702" s="882"/>
      <c r="I702" s="1266"/>
    </row>
    <row r="703" spans="1:9" hidden="1">
      <c r="A703" s="428" t="s">
        <v>6268</v>
      </c>
      <c r="B703" s="413" t="s">
        <v>123</v>
      </c>
      <c r="C703" s="384">
        <v>1</v>
      </c>
      <c r="D703" s="482" t="s">
        <v>4041</v>
      </c>
      <c r="E703" s="486" t="s">
        <v>5865</v>
      </c>
      <c r="F703" s="593" t="s">
        <v>4042</v>
      </c>
      <c r="G703" s="634" t="s">
        <v>6215</v>
      </c>
      <c r="H703" s="882"/>
      <c r="I703" s="1266"/>
    </row>
    <row r="704" spans="1:9" hidden="1">
      <c r="A704" s="428" t="s">
        <v>6268</v>
      </c>
      <c r="B704" s="413" t="s">
        <v>123</v>
      </c>
      <c r="C704" s="384">
        <v>1</v>
      </c>
      <c r="D704" s="482" t="s">
        <v>4043</v>
      </c>
      <c r="E704" s="486" t="s">
        <v>5866</v>
      </c>
      <c r="F704" s="593" t="s">
        <v>4044</v>
      </c>
      <c r="G704" s="634" t="s">
        <v>6215</v>
      </c>
      <c r="H704" s="882"/>
      <c r="I704" s="1266"/>
    </row>
    <row r="705" spans="1:9" hidden="1">
      <c r="A705" s="428" t="s">
        <v>6268</v>
      </c>
      <c r="B705" s="413" t="s">
        <v>123</v>
      </c>
      <c r="C705" s="384">
        <v>1</v>
      </c>
      <c r="D705" s="482">
        <v>69</v>
      </c>
      <c r="E705" s="486" t="s">
        <v>5867</v>
      </c>
      <c r="F705" s="593" t="s">
        <v>4045</v>
      </c>
      <c r="G705" s="634" t="s">
        <v>6215</v>
      </c>
      <c r="H705" s="882"/>
      <c r="I705" s="1266"/>
    </row>
    <row r="706" spans="1:9" hidden="1">
      <c r="A706" s="428" t="s">
        <v>6268</v>
      </c>
      <c r="B706" s="413" t="s">
        <v>123</v>
      </c>
      <c r="C706" s="384">
        <v>1</v>
      </c>
      <c r="D706" s="482" t="s">
        <v>4046</v>
      </c>
      <c r="E706" s="486" t="s">
        <v>5868</v>
      </c>
      <c r="F706" s="593" t="s">
        <v>4047</v>
      </c>
      <c r="G706" s="634" t="s">
        <v>6215</v>
      </c>
      <c r="H706" s="882"/>
      <c r="I706" s="1266"/>
    </row>
    <row r="707" spans="1:9" hidden="1">
      <c r="A707" s="428" t="s">
        <v>6268</v>
      </c>
      <c r="B707" s="413" t="s">
        <v>123</v>
      </c>
      <c r="C707" s="384">
        <v>1</v>
      </c>
      <c r="D707" s="482" t="s">
        <v>4048</v>
      </c>
      <c r="E707" s="486" t="s">
        <v>5869</v>
      </c>
      <c r="F707" s="593" t="s">
        <v>4049</v>
      </c>
      <c r="G707" s="634" t="s">
        <v>6215</v>
      </c>
      <c r="H707" s="882"/>
      <c r="I707" s="1266"/>
    </row>
    <row r="708" spans="1:9" hidden="1">
      <c r="A708" s="428" t="s">
        <v>6268</v>
      </c>
      <c r="B708" s="413" t="s">
        <v>123</v>
      </c>
      <c r="C708" s="384">
        <v>1</v>
      </c>
      <c r="D708" s="482">
        <v>70</v>
      </c>
      <c r="E708" s="486" t="s">
        <v>5870</v>
      </c>
      <c r="F708" s="593" t="s">
        <v>4050</v>
      </c>
      <c r="G708" s="634" t="s">
        <v>6215</v>
      </c>
      <c r="H708" s="882"/>
      <c r="I708" s="1266"/>
    </row>
    <row r="709" spans="1:9" hidden="1">
      <c r="A709" s="428" t="s">
        <v>6268</v>
      </c>
      <c r="B709" s="413" t="s">
        <v>123</v>
      </c>
      <c r="C709" s="384">
        <v>1</v>
      </c>
      <c r="D709" s="482" t="s">
        <v>4051</v>
      </c>
      <c r="E709" s="486" t="s">
        <v>5871</v>
      </c>
      <c r="F709" s="593" t="s">
        <v>4052</v>
      </c>
      <c r="G709" s="634" t="s">
        <v>6215</v>
      </c>
      <c r="H709" s="882"/>
      <c r="I709" s="1266"/>
    </row>
    <row r="710" spans="1:9" hidden="1">
      <c r="A710" s="428" t="s">
        <v>6268</v>
      </c>
      <c r="B710" s="413" t="s">
        <v>123</v>
      </c>
      <c r="C710" s="384">
        <v>1</v>
      </c>
      <c r="D710" s="482" t="s">
        <v>4053</v>
      </c>
      <c r="E710" s="486" t="s">
        <v>5872</v>
      </c>
      <c r="F710" s="593" t="s">
        <v>4054</v>
      </c>
      <c r="G710" s="634" t="s">
        <v>6215</v>
      </c>
      <c r="H710" s="882"/>
      <c r="I710" s="1266"/>
    </row>
    <row r="711" spans="1:9" hidden="1">
      <c r="A711" s="428" t="s">
        <v>6268</v>
      </c>
      <c r="B711" s="413" t="s">
        <v>123</v>
      </c>
      <c r="C711" s="384">
        <v>1</v>
      </c>
      <c r="D711" s="482" t="s">
        <v>4055</v>
      </c>
      <c r="E711" s="486" t="s">
        <v>5873</v>
      </c>
      <c r="F711" s="593" t="s">
        <v>4056</v>
      </c>
      <c r="G711" s="634" t="s">
        <v>6215</v>
      </c>
      <c r="H711" s="882"/>
      <c r="I711" s="1266"/>
    </row>
    <row r="712" spans="1:9" hidden="1">
      <c r="A712" s="428" t="s">
        <v>6268</v>
      </c>
      <c r="B712" s="413" t="s">
        <v>123</v>
      </c>
      <c r="C712" s="384">
        <v>1</v>
      </c>
      <c r="D712" s="482" t="s">
        <v>4057</v>
      </c>
      <c r="E712" s="486" t="s">
        <v>5874</v>
      </c>
      <c r="F712" s="593" t="s">
        <v>4058</v>
      </c>
      <c r="G712" s="634" t="s">
        <v>6215</v>
      </c>
      <c r="H712" s="882"/>
      <c r="I712" s="1266"/>
    </row>
    <row r="713" spans="1:9" hidden="1">
      <c r="A713" s="428" t="s">
        <v>6268</v>
      </c>
      <c r="B713" s="413" t="s">
        <v>123</v>
      </c>
      <c r="C713" s="384">
        <v>1</v>
      </c>
      <c r="D713" s="482">
        <v>71</v>
      </c>
      <c r="E713" s="486" t="s">
        <v>5875</v>
      </c>
      <c r="F713" s="593" t="s">
        <v>4059</v>
      </c>
      <c r="G713" s="634" t="s">
        <v>6215</v>
      </c>
      <c r="H713" s="882"/>
      <c r="I713" s="1266"/>
    </row>
    <row r="714" spans="1:9" hidden="1">
      <c r="A714" s="428" t="s">
        <v>6268</v>
      </c>
      <c r="B714" s="413" t="s">
        <v>123</v>
      </c>
      <c r="C714" s="384">
        <v>1</v>
      </c>
      <c r="D714" s="482" t="s">
        <v>4060</v>
      </c>
      <c r="E714" s="486" t="s">
        <v>5876</v>
      </c>
      <c r="F714" s="593" t="s">
        <v>4061</v>
      </c>
      <c r="G714" s="634" t="s">
        <v>6215</v>
      </c>
      <c r="H714" s="882"/>
      <c r="I714" s="1266"/>
    </row>
    <row r="715" spans="1:9" hidden="1">
      <c r="A715" s="428" t="s">
        <v>6268</v>
      </c>
      <c r="B715" s="413" t="s">
        <v>123</v>
      </c>
      <c r="C715" s="384">
        <v>1</v>
      </c>
      <c r="D715" s="482" t="s">
        <v>4062</v>
      </c>
      <c r="E715" s="486" t="s">
        <v>5877</v>
      </c>
      <c r="F715" s="593" t="s">
        <v>4063</v>
      </c>
      <c r="G715" s="634" t="s">
        <v>6215</v>
      </c>
      <c r="H715" s="882"/>
      <c r="I715" s="1266"/>
    </row>
    <row r="716" spans="1:9" hidden="1">
      <c r="A716" s="428" t="s">
        <v>6268</v>
      </c>
      <c r="B716" s="413" t="s">
        <v>123</v>
      </c>
      <c r="C716" s="384">
        <v>1</v>
      </c>
      <c r="D716" s="482" t="s">
        <v>4064</v>
      </c>
      <c r="E716" s="486" t="s">
        <v>5878</v>
      </c>
      <c r="F716" s="593" t="s">
        <v>4065</v>
      </c>
      <c r="G716" s="634" t="s">
        <v>6215</v>
      </c>
      <c r="H716" s="882"/>
      <c r="I716" s="1266"/>
    </row>
    <row r="717" spans="1:9" hidden="1">
      <c r="A717" s="428" t="s">
        <v>6268</v>
      </c>
      <c r="B717" s="413" t="s">
        <v>123</v>
      </c>
      <c r="C717" s="384">
        <v>1</v>
      </c>
      <c r="D717" s="482" t="s">
        <v>4066</v>
      </c>
      <c r="E717" s="486" t="s">
        <v>5879</v>
      </c>
      <c r="F717" s="593" t="s">
        <v>4067</v>
      </c>
      <c r="G717" s="634" t="s">
        <v>6215</v>
      </c>
      <c r="H717" s="882"/>
      <c r="I717" s="1266"/>
    </row>
    <row r="718" spans="1:9" hidden="1">
      <c r="A718" s="428" t="s">
        <v>6268</v>
      </c>
      <c r="B718" s="413" t="s">
        <v>123</v>
      </c>
      <c r="C718" s="384">
        <v>1</v>
      </c>
      <c r="D718" s="482">
        <v>72</v>
      </c>
      <c r="E718" s="486" t="s">
        <v>5880</v>
      </c>
      <c r="F718" s="593" t="s">
        <v>4068</v>
      </c>
      <c r="G718" s="634" t="s">
        <v>6215</v>
      </c>
      <c r="H718" s="882"/>
      <c r="I718" s="1266"/>
    </row>
    <row r="719" spans="1:9" hidden="1">
      <c r="A719" s="428" t="s">
        <v>6268</v>
      </c>
      <c r="B719" s="413" t="s">
        <v>123</v>
      </c>
      <c r="C719" s="384">
        <v>1</v>
      </c>
      <c r="D719" s="482" t="s">
        <v>4069</v>
      </c>
      <c r="E719" s="486" t="s">
        <v>5881</v>
      </c>
      <c r="F719" s="593" t="s">
        <v>4070</v>
      </c>
      <c r="G719" s="634" t="s">
        <v>6215</v>
      </c>
      <c r="H719" s="882"/>
      <c r="I719" s="1266"/>
    </row>
    <row r="720" spans="1:9" hidden="1">
      <c r="A720" s="428" t="s">
        <v>6268</v>
      </c>
      <c r="B720" s="413" t="s">
        <v>123</v>
      </c>
      <c r="C720" s="384">
        <v>1</v>
      </c>
      <c r="D720" s="482" t="s">
        <v>4071</v>
      </c>
      <c r="E720" s="486" t="s">
        <v>5882</v>
      </c>
      <c r="F720" s="593" t="s">
        <v>4072</v>
      </c>
      <c r="G720" s="634" t="s">
        <v>6215</v>
      </c>
      <c r="H720" s="882"/>
      <c r="I720" s="1266"/>
    </row>
    <row r="721" spans="1:9" hidden="1">
      <c r="A721" s="428" t="s">
        <v>6268</v>
      </c>
      <c r="B721" s="413" t="s">
        <v>123</v>
      </c>
      <c r="C721" s="384">
        <v>1</v>
      </c>
      <c r="D721" s="482" t="s">
        <v>4073</v>
      </c>
      <c r="E721" s="486" t="s">
        <v>5883</v>
      </c>
      <c r="F721" s="593" t="s">
        <v>4074</v>
      </c>
      <c r="G721" s="634" t="s">
        <v>6215</v>
      </c>
      <c r="H721" s="882"/>
      <c r="I721" s="1266"/>
    </row>
    <row r="722" spans="1:9" hidden="1">
      <c r="A722" s="428" t="s">
        <v>6268</v>
      </c>
      <c r="B722" s="413" t="s">
        <v>123</v>
      </c>
      <c r="C722" s="384">
        <v>1</v>
      </c>
      <c r="D722" s="482" t="s">
        <v>4075</v>
      </c>
      <c r="E722" s="486" t="s">
        <v>5884</v>
      </c>
      <c r="F722" s="593" t="s">
        <v>4076</v>
      </c>
      <c r="G722" s="634" t="s">
        <v>6215</v>
      </c>
      <c r="H722" s="882"/>
      <c r="I722" s="1266"/>
    </row>
    <row r="723" spans="1:9" hidden="1">
      <c r="A723" s="428" t="s">
        <v>6268</v>
      </c>
      <c r="B723" s="413" t="s">
        <v>123</v>
      </c>
      <c r="C723" s="384">
        <v>1</v>
      </c>
      <c r="D723" s="482">
        <v>73</v>
      </c>
      <c r="E723" s="486" t="s">
        <v>5885</v>
      </c>
      <c r="F723" s="593" t="s">
        <v>4077</v>
      </c>
      <c r="G723" s="634" t="s">
        <v>6215</v>
      </c>
      <c r="H723" s="882"/>
      <c r="I723" s="1266"/>
    </row>
    <row r="724" spans="1:9" hidden="1">
      <c r="A724" s="428" t="s">
        <v>6268</v>
      </c>
      <c r="B724" s="413" t="s">
        <v>123</v>
      </c>
      <c r="C724" s="384">
        <v>1</v>
      </c>
      <c r="D724" s="482" t="s">
        <v>4078</v>
      </c>
      <c r="E724" s="486" t="s">
        <v>5886</v>
      </c>
      <c r="F724" s="593" t="s">
        <v>4079</v>
      </c>
      <c r="G724" s="634" t="s">
        <v>6215</v>
      </c>
      <c r="H724" s="882"/>
      <c r="I724" s="1266"/>
    </row>
    <row r="725" spans="1:9" hidden="1">
      <c r="A725" s="428" t="s">
        <v>6268</v>
      </c>
      <c r="B725" s="413" t="s">
        <v>123</v>
      </c>
      <c r="C725" s="384">
        <v>1</v>
      </c>
      <c r="D725" s="482" t="s">
        <v>4080</v>
      </c>
      <c r="E725" s="486" t="s">
        <v>5887</v>
      </c>
      <c r="F725" s="593" t="s">
        <v>4081</v>
      </c>
      <c r="G725" s="634" t="s">
        <v>6215</v>
      </c>
      <c r="H725" s="882"/>
      <c r="I725" s="1266"/>
    </row>
    <row r="726" spans="1:9" hidden="1">
      <c r="A726" s="428" t="s">
        <v>6268</v>
      </c>
      <c r="B726" s="413" t="s">
        <v>123</v>
      </c>
      <c r="C726" s="384">
        <v>1</v>
      </c>
      <c r="D726" s="482" t="s">
        <v>4082</v>
      </c>
      <c r="E726" s="486" t="s">
        <v>5888</v>
      </c>
      <c r="F726" s="593" t="s">
        <v>4083</v>
      </c>
      <c r="G726" s="634" t="s">
        <v>6215</v>
      </c>
      <c r="H726" s="882"/>
      <c r="I726" s="1266"/>
    </row>
    <row r="727" spans="1:9" hidden="1">
      <c r="A727" s="428" t="s">
        <v>6268</v>
      </c>
      <c r="B727" s="413" t="s">
        <v>123</v>
      </c>
      <c r="C727" s="384">
        <v>1</v>
      </c>
      <c r="D727" s="482" t="s">
        <v>4084</v>
      </c>
      <c r="E727" s="486" t="s">
        <v>5889</v>
      </c>
      <c r="F727" s="593" t="s">
        <v>4085</v>
      </c>
      <c r="G727" s="634" t="s">
        <v>6215</v>
      </c>
      <c r="H727" s="882"/>
      <c r="I727" s="1266"/>
    </row>
    <row r="728" spans="1:9" hidden="1">
      <c r="A728" s="428" t="s">
        <v>6268</v>
      </c>
      <c r="B728" s="413" t="s">
        <v>123</v>
      </c>
      <c r="C728" s="384">
        <v>1</v>
      </c>
      <c r="D728" s="482">
        <v>74</v>
      </c>
      <c r="E728" s="486" t="s">
        <v>5890</v>
      </c>
      <c r="F728" s="593" t="s">
        <v>4086</v>
      </c>
      <c r="G728" s="634" t="s">
        <v>6215</v>
      </c>
      <c r="H728" s="882"/>
      <c r="I728" s="1266"/>
    </row>
    <row r="729" spans="1:9" hidden="1">
      <c r="A729" s="428" t="s">
        <v>6268</v>
      </c>
      <c r="B729" s="413" t="s">
        <v>123</v>
      </c>
      <c r="C729" s="384">
        <v>1</v>
      </c>
      <c r="D729" s="482" t="s">
        <v>4087</v>
      </c>
      <c r="E729" s="486" t="s">
        <v>5891</v>
      </c>
      <c r="F729" s="593" t="s">
        <v>4088</v>
      </c>
      <c r="G729" s="634" t="s">
        <v>6215</v>
      </c>
      <c r="H729" s="882"/>
      <c r="I729" s="1266"/>
    </row>
    <row r="730" spans="1:9" hidden="1">
      <c r="A730" s="428" t="s">
        <v>6268</v>
      </c>
      <c r="B730" s="413" t="s">
        <v>123</v>
      </c>
      <c r="C730" s="384">
        <v>1</v>
      </c>
      <c r="D730" s="482" t="s">
        <v>4089</v>
      </c>
      <c r="E730" s="486" t="s">
        <v>5892</v>
      </c>
      <c r="F730" s="593" t="s">
        <v>4090</v>
      </c>
      <c r="G730" s="634" t="s">
        <v>6215</v>
      </c>
      <c r="H730" s="882"/>
      <c r="I730" s="1266"/>
    </row>
    <row r="731" spans="1:9" hidden="1">
      <c r="A731" s="428" t="s">
        <v>6268</v>
      </c>
      <c r="B731" s="413" t="s">
        <v>123</v>
      </c>
      <c r="C731" s="384">
        <v>1</v>
      </c>
      <c r="D731" s="482" t="s">
        <v>4091</v>
      </c>
      <c r="E731" s="486" t="s">
        <v>5893</v>
      </c>
      <c r="F731" s="593" t="s">
        <v>4092</v>
      </c>
      <c r="G731" s="634" t="s">
        <v>6215</v>
      </c>
      <c r="H731" s="882"/>
      <c r="I731" s="1266"/>
    </row>
    <row r="732" spans="1:9" hidden="1">
      <c r="A732" s="428" t="s">
        <v>6268</v>
      </c>
      <c r="B732" s="413" t="s">
        <v>123</v>
      </c>
      <c r="C732" s="384">
        <v>1</v>
      </c>
      <c r="D732" s="482" t="s">
        <v>4093</v>
      </c>
      <c r="E732" s="486" t="s">
        <v>5894</v>
      </c>
      <c r="F732" s="593" t="s">
        <v>4094</v>
      </c>
      <c r="G732" s="634" t="s">
        <v>6215</v>
      </c>
      <c r="H732" s="882"/>
      <c r="I732" s="1266"/>
    </row>
    <row r="733" spans="1:9" hidden="1">
      <c r="A733" s="428" t="s">
        <v>6268</v>
      </c>
      <c r="B733" s="413" t="s">
        <v>123</v>
      </c>
      <c r="C733" s="384">
        <v>1</v>
      </c>
      <c r="D733" s="482">
        <v>75</v>
      </c>
      <c r="E733" s="486" t="s">
        <v>5895</v>
      </c>
      <c r="F733" s="593" t="s">
        <v>4095</v>
      </c>
      <c r="G733" s="634" t="s">
        <v>6215</v>
      </c>
      <c r="H733" s="882"/>
      <c r="I733" s="1266"/>
    </row>
    <row r="734" spans="1:9" hidden="1">
      <c r="A734" s="428" t="s">
        <v>6268</v>
      </c>
      <c r="B734" s="413" t="s">
        <v>123</v>
      </c>
      <c r="C734" s="384">
        <v>1</v>
      </c>
      <c r="D734" s="482">
        <v>77</v>
      </c>
      <c r="E734" s="486" t="s">
        <v>5896</v>
      </c>
      <c r="F734" s="593" t="s">
        <v>4096</v>
      </c>
      <c r="G734" s="634" t="s">
        <v>6215</v>
      </c>
      <c r="H734" s="882"/>
      <c r="I734" s="1266"/>
    </row>
    <row r="735" spans="1:9" hidden="1">
      <c r="A735" s="428" t="s">
        <v>6268</v>
      </c>
      <c r="B735" s="413" t="s">
        <v>123</v>
      </c>
      <c r="C735" s="384">
        <v>1</v>
      </c>
      <c r="D735" s="482" t="s">
        <v>4097</v>
      </c>
      <c r="E735" s="486" t="s">
        <v>5897</v>
      </c>
      <c r="F735" s="593" t="s">
        <v>4098</v>
      </c>
      <c r="G735" s="634" t="s">
        <v>6215</v>
      </c>
      <c r="H735" s="882"/>
      <c r="I735" s="1266"/>
    </row>
    <row r="736" spans="1:9" hidden="1">
      <c r="A736" s="428" t="s">
        <v>6268</v>
      </c>
      <c r="B736" s="413" t="s">
        <v>123</v>
      </c>
      <c r="C736" s="384">
        <v>1</v>
      </c>
      <c r="D736" s="482" t="s">
        <v>4099</v>
      </c>
      <c r="E736" s="486" t="s">
        <v>5898</v>
      </c>
      <c r="F736" s="593" t="s">
        <v>4100</v>
      </c>
      <c r="G736" s="634" t="s">
        <v>6215</v>
      </c>
      <c r="H736" s="882"/>
      <c r="I736" s="1266"/>
    </row>
    <row r="737" spans="1:9" hidden="1">
      <c r="A737" s="428" t="s">
        <v>6268</v>
      </c>
      <c r="B737" s="413" t="s">
        <v>123</v>
      </c>
      <c r="C737" s="384">
        <v>1</v>
      </c>
      <c r="D737" s="482" t="s">
        <v>4101</v>
      </c>
      <c r="E737" s="486" t="s">
        <v>5899</v>
      </c>
      <c r="F737" s="593" t="s">
        <v>4102</v>
      </c>
      <c r="G737" s="634" t="s">
        <v>6215</v>
      </c>
      <c r="H737" s="882"/>
      <c r="I737" s="1266"/>
    </row>
    <row r="738" spans="1:9" hidden="1">
      <c r="A738" s="428" t="s">
        <v>6268</v>
      </c>
      <c r="B738" s="413" t="s">
        <v>123</v>
      </c>
      <c r="C738" s="384">
        <v>1</v>
      </c>
      <c r="D738" s="482" t="s">
        <v>4103</v>
      </c>
      <c r="E738" s="486" t="s">
        <v>5900</v>
      </c>
      <c r="F738" s="593" t="s">
        <v>4104</v>
      </c>
      <c r="G738" s="634" t="s">
        <v>6215</v>
      </c>
      <c r="H738" s="882"/>
      <c r="I738" s="1266"/>
    </row>
    <row r="739" spans="1:9" hidden="1">
      <c r="A739" s="428" t="s">
        <v>6268</v>
      </c>
      <c r="B739" s="413" t="s">
        <v>123</v>
      </c>
      <c r="C739" s="384">
        <v>1</v>
      </c>
      <c r="D739" s="482" t="s">
        <v>4105</v>
      </c>
      <c r="E739" s="486" t="s">
        <v>5901</v>
      </c>
      <c r="F739" s="593" t="s">
        <v>4106</v>
      </c>
      <c r="G739" s="634" t="s">
        <v>6215</v>
      </c>
      <c r="H739" s="882"/>
      <c r="I739" s="1266"/>
    </row>
    <row r="740" spans="1:9" hidden="1">
      <c r="A740" s="428" t="s">
        <v>6268</v>
      </c>
      <c r="B740" s="413" t="s">
        <v>123</v>
      </c>
      <c r="C740" s="384">
        <v>1</v>
      </c>
      <c r="D740" s="482" t="s">
        <v>4107</v>
      </c>
      <c r="E740" s="486" t="s">
        <v>5902</v>
      </c>
      <c r="F740" s="593" t="s">
        <v>4108</v>
      </c>
      <c r="G740" s="634" t="s">
        <v>6215</v>
      </c>
      <c r="H740" s="882"/>
      <c r="I740" s="1266"/>
    </row>
    <row r="741" spans="1:9" hidden="1">
      <c r="A741" s="428" t="s">
        <v>6268</v>
      </c>
      <c r="B741" s="413" t="s">
        <v>123</v>
      </c>
      <c r="C741" s="384">
        <v>1</v>
      </c>
      <c r="D741" s="482" t="s">
        <v>4109</v>
      </c>
      <c r="E741" s="486" t="s">
        <v>5903</v>
      </c>
      <c r="F741" s="593" t="s">
        <v>4110</v>
      </c>
      <c r="G741" s="634" t="s">
        <v>6215</v>
      </c>
      <c r="H741" s="882"/>
      <c r="I741" s="1266"/>
    </row>
    <row r="742" spans="1:9" hidden="1">
      <c r="A742" s="428" t="s">
        <v>6268</v>
      </c>
      <c r="B742" s="413" t="s">
        <v>123</v>
      </c>
      <c r="C742" s="384">
        <v>1</v>
      </c>
      <c r="D742" s="482" t="s">
        <v>4111</v>
      </c>
      <c r="E742" s="486" t="s">
        <v>5904</v>
      </c>
      <c r="F742" s="593" t="s">
        <v>4112</v>
      </c>
      <c r="G742" s="634" t="s">
        <v>6215</v>
      </c>
      <c r="H742" s="882"/>
      <c r="I742" s="1266"/>
    </row>
    <row r="743" spans="1:9" hidden="1">
      <c r="A743" s="428" t="s">
        <v>6268</v>
      </c>
      <c r="B743" s="413" t="s">
        <v>123</v>
      </c>
      <c r="C743" s="384">
        <v>1</v>
      </c>
      <c r="D743" s="482" t="s">
        <v>4113</v>
      </c>
      <c r="E743" s="486" t="s">
        <v>5905</v>
      </c>
      <c r="F743" s="593" t="s">
        <v>4114</v>
      </c>
      <c r="G743" s="634" t="s">
        <v>6215</v>
      </c>
      <c r="H743" s="882"/>
      <c r="I743" s="1266"/>
    </row>
    <row r="744" spans="1:9" hidden="1">
      <c r="A744" s="428" t="s">
        <v>6268</v>
      </c>
      <c r="B744" s="413" t="s">
        <v>123</v>
      </c>
      <c r="C744" s="384">
        <v>1</v>
      </c>
      <c r="D744" s="482" t="s">
        <v>4115</v>
      </c>
      <c r="E744" s="486" t="s">
        <v>5906</v>
      </c>
      <c r="F744" s="593" t="s">
        <v>4116</v>
      </c>
      <c r="G744" s="634" t="s">
        <v>6215</v>
      </c>
      <c r="H744" s="882"/>
      <c r="I744" s="1266"/>
    </row>
    <row r="745" spans="1:9" hidden="1">
      <c r="A745" s="428" t="s">
        <v>6268</v>
      </c>
      <c r="B745" s="413" t="s">
        <v>123</v>
      </c>
      <c r="C745" s="384">
        <v>1</v>
      </c>
      <c r="D745" s="482" t="s">
        <v>4117</v>
      </c>
      <c r="E745" s="486" t="s">
        <v>5907</v>
      </c>
      <c r="F745" s="593" t="s">
        <v>4118</v>
      </c>
      <c r="G745" s="634" t="s">
        <v>6215</v>
      </c>
      <c r="H745" s="882"/>
      <c r="I745" s="1266"/>
    </row>
    <row r="746" spans="1:9" hidden="1">
      <c r="A746" s="428" t="s">
        <v>6268</v>
      </c>
      <c r="B746" s="413" t="s">
        <v>123</v>
      </c>
      <c r="C746" s="384">
        <v>1</v>
      </c>
      <c r="D746" s="482" t="s">
        <v>4119</v>
      </c>
      <c r="E746" s="486" t="s">
        <v>5908</v>
      </c>
      <c r="F746" s="593" t="s">
        <v>4120</v>
      </c>
      <c r="G746" s="634" t="s">
        <v>6215</v>
      </c>
      <c r="H746" s="882"/>
      <c r="I746" s="1266"/>
    </row>
    <row r="747" spans="1:9" hidden="1">
      <c r="A747" s="428" t="s">
        <v>6268</v>
      </c>
      <c r="B747" s="413" t="s">
        <v>123</v>
      </c>
      <c r="C747" s="384">
        <v>1</v>
      </c>
      <c r="D747" s="482" t="s">
        <v>4121</v>
      </c>
      <c r="E747" s="486" t="s">
        <v>5909</v>
      </c>
      <c r="F747" s="593" t="s">
        <v>4122</v>
      </c>
      <c r="G747" s="634" t="s">
        <v>6215</v>
      </c>
      <c r="H747" s="882"/>
      <c r="I747" s="1266"/>
    </row>
    <row r="748" spans="1:9" hidden="1">
      <c r="A748" s="428" t="s">
        <v>6268</v>
      </c>
      <c r="B748" s="413" t="s">
        <v>123</v>
      </c>
      <c r="C748" s="384">
        <v>1</v>
      </c>
      <c r="D748" s="482" t="s">
        <v>4123</v>
      </c>
      <c r="E748" s="486" t="s">
        <v>5910</v>
      </c>
      <c r="F748" s="593" t="s">
        <v>4124</v>
      </c>
      <c r="G748" s="634" t="s">
        <v>6215</v>
      </c>
      <c r="H748" s="882"/>
      <c r="I748" s="1266"/>
    </row>
    <row r="749" spans="1:9" hidden="1">
      <c r="A749" s="428" t="s">
        <v>6268</v>
      </c>
      <c r="B749" s="413" t="s">
        <v>123</v>
      </c>
      <c r="C749" s="384">
        <v>1</v>
      </c>
      <c r="D749" s="482" t="s">
        <v>4125</v>
      </c>
      <c r="E749" s="486" t="s">
        <v>5911</v>
      </c>
      <c r="F749" s="593" t="s">
        <v>4126</v>
      </c>
      <c r="G749" s="634" t="s">
        <v>6215</v>
      </c>
      <c r="H749" s="882"/>
      <c r="I749" s="1266"/>
    </row>
    <row r="750" spans="1:9" hidden="1">
      <c r="A750" s="428" t="s">
        <v>6268</v>
      </c>
      <c r="B750" s="413" t="s">
        <v>123</v>
      </c>
      <c r="C750" s="384">
        <v>1</v>
      </c>
      <c r="D750" s="482">
        <v>78</v>
      </c>
      <c r="E750" s="486" t="s">
        <v>5912</v>
      </c>
      <c r="F750" s="593" t="s">
        <v>4127</v>
      </c>
      <c r="G750" s="634" t="s">
        <v>6215</v>
      </c>
      <c r="H750" s="882"/>
      <c r="I750" s="1266"/>
    </row>
    <row r="751" spans="1:9" hidden="1">
      <c r="A751" s="428" t="s">
        <v>6268</v>
      </c>
      <c r="B751" s="413" t="s">
        <v>123</v>
      </c>
      <c r="C751" s="384">
        <v>1</v>
      </c>
      <c r="D751" s="482" t="s">
        <v>4128</v>
      </c>
      <c r="E751" s="486" t="s">
        <v>5913</v>
      </c>
      <c r="F751" s="593" t="s">
        <v>4129</v>
      </c>
      <c r="G751" s="634" t="s">
        <v>6215</v>
      </c>
      <c r="H751" s="882"/>
      <c r="I751" s="1266"/>
    </row>
    <row r="752" spans="1:9" hidden="1">
      <c r="A752" s="428" t="s">
        <v>6268</v>
      </c>
      <c r="B752" s="413" t="s">
        <v>123</v>
      </c>
      <c r="C752" s="384">
        <v>1</v>
      </c>
      <c r="D752" s="482" t="s">
        <v>4130</v>
      </c>
      <c r="E752" s="486" t="s">
        <v>5914</v>
      </c>
      <c r="F752" s="593" t="s">
        <v>4131</v>
      </c>
      <c r="G752" s="634" t="s">
        <v>6215</v>
      </c>
      <c r="H752" s="882"/>
      <c r="I752" s="1266"/>
    </row>
    <row r="753" spans="1:9" hidden="1">
      <c r="A753" s="428" t="s">
        <v>6268</v>
      </c>
      <c r="B753" s="413" t="s">
        <v>123</v>
      </c>
      <c r="C753" s="384">
        <v>1</v>
      </c>
      <c r="D753" s="482" t="s">
        <v>4132</v>
      </c>
      <c r="E753" s="486" t="s">
        <v>5915</v>
      </c>
      <c r="F753" s="593" t="s">
        <v>4133</v>
      </c>
      <c r="G753" s="634" t="s">
        <v>6215</v>
      </c>
      <c r="H753" s="882"/>
      <c r="I753" s="1266"/>
    </row>
    <row r="754" spans="1:9" hidden="1">
      <c r="A754" s="428" t="s">
        <v>6268</v>
      </c>
      <c r="B754" s="413" t="s">
        <v>123</v>
      </c>
      <c r="C754" s="384">
        <v>1</v>
      </c>
      <c r="D754" s="482">
        <v>79</v>
      </c>
      <c r="E754" s="486" t="s">
        <v>5916</v>
      </c>
      <c r="F754" s="593" t="s">
        <v>4134</v>
      </c>
      <c r="G754" s="634" t="s">
        <v>6215</v>
      </c>
      <c r="H754" s="882"/>
      <c r="I754" s="1266"/>
    </row>
    <row r="755" spans="1:9" hidden="1">
      <c r="A755" s="428" t="s">
        <v>6268</v>
      </c>
      <c r="B755" s="413" t="s">
        <v>123</v>
      </c>
      <c r="C755" s="384">
        <v>1</v>
      </c>
      <c r="D755" s="482" t="s">
        <v>4135</v>
      </c>
      <c r="E755" s="486" t="s">
        <v>5917</v>
      </c>
      <c r="F755" s="593" t="s">
        <v>4136</v>
      </c>
      <c r="G755" s="634" t="s">
        <v>6215</v>
      </c>
      <c r="H755" s="882"/>
      <c r="I755" s="1266"/>
    </row>
    <row r="756" spans="1:9" hidden="1">
      <c r="A756" s="428" t="s">
        <v>6268</v>
      </c>
      <c r="B756" s="413" t="s">
        <v>123</v>
      </c>
      <c r="C756" s="384">
        <v>1</v>
      </c>
      <c r="D756" s="482" t="s">
        <v>4137</v>
      </c>
      <c r="E756" s="486" t="s">
        <v>5918</v>
      </c>
      <c r="F756" s="593" t="s">
        <v>4138</v>
      </c>
      <c r="G756" s="634" t="s">
        <v>6215</v>
      </c>
      <c r="H756" s="882"/>
      <c r="I756" s="1266"/>
    </row>
    <row r="757" spans="1:9" hidden="1">
      <c r="A757" s="428" t="s">
        <v>6268</v>
      </c>
      <c r="B757" s="413" t="s">
        <v>123</v>
      </c>
      <c r="C757" s="384">
        <v>1</v>
      </c>
      <c r="D757" s="482" t="s">
        <v>4139</v>
      </c>
      <c r="E757" s="486" t="s">
        <v>5919</v>
      </c>
      <c r="F757" s="593" t="s">
        <v>4140</v>
      </c>
      <c r="G757" s="634" t="s">
        <v>6215</v>
      </c>
      <c r="H757" s="882"/>
      <c r="I757" s="1266"/>
    </row>
    <row r="758" spans="1:9" hidden="1">
      <c r="A758" s="428" t="s">
        <v>6268</v>
      </c>
      <c r="B758" s="413" t="s">
        <v>123</v>
      </c>
      <c r="C758" s="384">
        <v>1</v>
      </c>
      <c r="D758" s="482" t="s">
        <v>4141</v>
      </c>
      <c r="E758" s="486" t="s">
        <v>5920</v>
      </c>
      <c r="F758" s="593" t="s">
        <v>4142</v>
      </c>
      <c r="G758" s="634" t="s">
        <v>6215</v>
      </c>
      <c r="H758" s="882"/>
      <c r="I758" s="1266"/>
    </row>
    <row r="759" spans="1:9" hidden="1">
      <c r="A759" s="428" t="s">
        <v>6268</v>
      </c>
      <c r="B759" s="413" t="s">
        <v>123</v>
      </c>
      <c r="C759" s="384">
        <v>1</v>
      </c>
      <c r="D759" s="482">
        <v>80</v>
      </c>
      <c r="E759" s="486" t="s">
        <v>5921</v>
      </c>
      <c r="F759" s="593" t="s">
        <v>4143</v>
      </c>
      <c r="G759" s="634" t="s">
        <v>6215</v>
      </c>
      <c r="H759" s="882"/>
      <c r="I759" s="1266"/>
    </row>
    <row r="760" spans="1:9" hidden="1">
      <c r="A760" s="428" t="s">
        <v>6268</v>
      </c>
      <c r="B760" s="413" t="s">
        <v>123</v>
      </c>
      <c r="C760" s="384">
        <v>1</v>
      </c>
      <c r="D760" s="482" t="s">
        <v>4144</v>
      </c>
      <c r="E760" s="486" t="s">
        <v>5922</v>
      </c>
      <c r="F760" s="593" t="s">
        <v>4145</v>
      </c>
      <c r="G760" s="634" t="s">
        <v>6215</v>
      </c>
      <c r="H760" s="882"/>
      <c r="I760" s="1266"/>
    </row>
    <row r="761" spans="1:9" hidden="1">
      <c r="A761" s="428" t="s">
        <v>6268</v>
      </c>
      <c r="B761" s="413" t="s">
        <v>123</v>
      </c>
      <c r="C761" s="384">
        <v>1</v>
      </c>
      <c r="D761" s="482" t="s">
        <v>4146</v>
      </c>
      <c r="E761" s="486" t="s">
        <v>5923</v>
      </c>
      <c r="F761" s="593" t="s">
        <v>4147</v>
      </c>
      <c r="G761" s="634" t="s">
        <v>6215</v>
      </c>
      <c r="H761" s="882"/>
      <c r="I761" s="1266"/>
    </row>
    <row r="762" spans="1:9" hidden="1">
      <c r="A762" s="428" t="s">
        <v>6268</v>
      </c>
      <c r="B762" s="413" t="s">
        <v>123</v>
      </c>
      <c r="C762" s="384">
        <v>1</v>
      </c>
      <c r="D762" s="482" t="s">
        <v>4148</v>
      </c>
      <c r="E762" s="486" t="s">
        <v>5924</v>
      </c>
      <c r="F762" s="593" t="s">
        <v>4149</v>
      </c>
      <c r="G762" s="634" t="s">
        <v>6215</v>
      </c>
      <c r="H762" s="882"/>
      <c r="I762" s="1266"/>
    </row>
    <row r="763" spans="1:9" hidden="1">
      <c r="A763" s="428" t="s">
        <v>6268</v>
      </c>
      <c r="B763" s="413" t="s">
        <v>123</v>
      </c>
      <c r="C763" s="384">
        <v>1</v>
      </c>
      <c r="D763" s="482">
        <v>81</v>
      </c>
      <c r="E763" s="486" t="s">
        <v>5925</v>
      </c>
      <c r="F763" s="593" t="s">
        <v>4150</v>
      </c>
      <c r="G763" s="634" t="s">
        <v>6215</v>
      </c>
      <c r="H763" s="882"/>
      <c r="I763" s="1266"/>
    </row>
    <row r="764" spans="1:9" hidden="1">
      <c r="A764" s="428" t="s">
        <v>6268</v>
      </c>
      <c r="B764" s="413" t="s">
        <v>123</v>
      </c>
      <c r="C764" s="384">
        <v>1</v>
      </c>
      <c r="D764" s="482" t="s">
        <v>4151</v>
      </c>
      <c r="E764" s="486" t="s">
        <v>5926</v>
      </c>
      <c r="F764" s="593" t="s">
        <v>4152</v>
      </c>
      <c r="G764" s="634" t="s">
        <v>6215</v>
      </c>
      <c r="H764" s="882"/>
      <c r="I764" s="1266"/>
    </row>
    <row r="765" spans="1:9" hidden="1">
      <c r="A765" s="428" t="s">
        <v>6268</v>
      </c>
      <c r="B765" s="413" t="s">
        <v>123</v>
      </c>
      <c r="C765" s="384">
        <v>1</v>
      </c>
      <c r="D765" s="482" t="s">
        <v>4153</v>
      </c>
      <c r="E765" s="486" t="s">
        <v>5927</v>
      </c>
      <c r="F765" s="593" t="s">
        <v>4154</v>
      </c>
      <c r="G765" s="634" t="s">
        <v>6215</v>
      </c>
      <c r="H765" s="882"/>
      <c r="I765" s="1266"/>
    </row>
    <row r="766" spans="1:9" hidden="1">
      <c r="A766" s="428" t="s">
        <v>6268</v>
      </c>
      <c r="B766" s="413" t="s">
        <v>123</v>
      </c>
      <c r="C766" s="384">
        <v>1</v>
      </c>
      <c r="D766" s="482" t="s">
        <v>4155</v>
      </c>
      <c r="E766" s="486" t="s">
        <v>5928</v>
      </c>
      <c r="F766" s="593" t="s">
        <v>4156</v>
      </c>
      <c r="G766" s="634" t="s">
        <v>6215</v>
      </c>
      <c r="H766" s="882"/>
      <c r="I766" s="1266"/>
    </row>
    <row r="767" spans="1:9" hidden="1">
      <c r="A767" s="428" t="s">
        <v>6268</v>
      </c>
      <c r="B767" s="413" t="s">
        <v>123</v>
      </c>
      <c r="C767" s="384">
        <v>1</v>
      </c>
      <c r="D767" s="482" t="s">
        <v>4157</v>
      </c>
      <c r="E767" s="486" t="s">
        <v>5929</v>
      </c>
      <c r="F767" s="593" t="s">
        <v>4158</v>
      </c>
      <c r="G767" s="634" t="s">
        <v>6215</v>
      </c>
      <c r="H767" s="882"/>
      <c r="I767" s="1266"/>
    </row>
    <row r="768" spans="1:9" hidden="1">
      <c r="A768" s="428" t="s">
        <v>6268</v>
      </c>
      <c r="B768" s="413" t="s">
        <v>123</v>
      </c>
      <c r="C768" s="384">
        <v>1</v>
      </c>
      <c r="D768" s="482" t="s">
        <v>4159</v>
      </c>
      <c r="E768" s="486" t="s">
        <v>5930</v>
      </c>
      <c r="F768" s="593" t="s">
        <v>4160</v>
      </c>
      <c r="G768" s="634" t="s">
        <v>6215</v>
      </c>
      <c r="H768" s="882"/>
      <c r="I768" s="1266"/>
    </row>
    <row r="769" spans="1:9" hidden="1">
      <c r="A769" s="428" t="s">
        <v>6268</v>
      </c>
      <c r="B769" s="413" t="s">
        <v>123</v>
      </c>
      <c r="C769" s="384">
        <v>1</v>
      </c>
      <c r="D769" s="482" t="s">
        <v>4161</v>
      </c>
      <c r="E769" s="486" t="s">
        <v>5931</v>
      </c>
      <c r="F769" s="593" t="s">
        <v>4162</v>
      </c>
      <c r="G769" s="634" t="s">
        <v>6215</v>
      </c>
      <c r="H769" s="882"/>
      <c r="I769" s="1266"/>
    </row>
    <row r="770" spans="1:9" hidden="1">
      <c r="A770" s="428" t="s">
        <v>6268</v>
      </c>
      <c r="B770" s="413" t="s">
        <v>123</v>
      </c>
      <c r="C770" s="384">
        <v>1</v>
      </c>
      <c r="D770" s="482">
        <v>82</v>
      </c>
      <c r="E770" s="486" t="s">
        <v>5932</v>
      </c>
      <c r="F770" s="593" t="s">
        <v>4163</v>
      </c>
      <c r="G770" s="634" t="s">
        <v>6215</v>
      </c>
      <c r="H770" s="882"/>
      <c r="I770" s="1266"/>
    </row>
    <row r="771" spans="1:9" hidden="1">
      <c r="A771" s="428" t="s">
        <v>6268</v>
      </c>
      <c r="B771" s="413" t="s">
        <v>123</v>
      </c>
      <c r="C771" s="384">
        <v>1</v>
      </c>
      <c r="D771" s="482" t="s">
        <v>4164</v>
      </c>
      <c r="E771" s="486" t="s">
        <v>5933</v>
      </c>
      <c r="F771" s="593" t="s">
        <v>4165</v>
      </c>
      <c r="G771" s="634" t="s">
        <v>6215</v>
      </c>
      <c r="H771" s="882"/>
      <c r="I771" s="1266"/>
    </row>
    <row r="772" spans="1:9" hidden="1">
      <c r="A772" s="428" t="s">
        <v>6268</v>
      </c>
      <c r="B772" s="413" t="s">
        <v>123</v>
      </c>
      <c r="C772" s="384">
        <v>1</v>
      </c>
      <c r="D772" s="482" t="s">
        <v>4166</v>
      </c>
      <c r="E772" s="486" t="s">
        <v>5934</v>
      </c>
      <c r="F772" s="593" t="s">
        <v>4167</v>
      </c>
      <c r="G772" s="634" t="s">
        <v>6215</v>
      </c>
      <c r="H772" s="882"/>
      <c r="I772" s="1266"/>
    </row>
    <row r="773" spans="1:9" hidden="1">
      <c r="A773" s="428" t="s">
        <v>6268</v>
      </c>
      <c r="B773" s="413" t="s">
        <v>123</v>
      </c>
      <c r="C773" s="384">
        <v>1</v>
      </c>
      <c r="D773" s="482" t="s">
        <v>4168</v>
      </c>
      <c r="E773" s="486" t="s">
        <v>5935</v>
      </c>
      <c r="F773" s="593" t="s">
        <v>4169</v>
      </c>
      <c r="G773" s="634" t="s">
        <v>6215</v>
      </c>
      <c r="H773" s="882"/>
      <c r="I773" s="1266"/>
    </row>
    <row r="774" spans="1:9" hidden="1">
      <c r="A774" s="428" t="s">
        <v>6268</v>
      </c>
      <c r="B774" s="413" t="s">
        <v>123</v>
      </c>
      <c r="C774" s="384">
        <v>1</v>
      </c>
      <c r="D774" s="482" t="s">
        <v>4170</v>
      </c>
      <c r="E774" s="486" t="s">
        <v>5936</v>
      </c>
      <c r="F774" s="593" t="s">
        <v>4171</v>
      </c>
      <c r="G774" s="634" t="s">
        <v>6215</v>
      </c>
      <c r="H774" s="882"/>
      <c r="I774" s="1266"/>
    </row>
    <row r="775" spans="1:9" hidden="1">
      <c r="A775" s="428" t="s">
        <v>6268</v>
      </c>
      <c r="B775" s="413" t="s">
        <v>123</v>
      </c>
      <c r="C775" s="384">
        <v>1</v>
      </c>
      <c r="D775" s="482" t="s">
        <v>4172</v>
      </c>
      <c r="E775" s="486" t="s">
        <v>5937</v>
      </c>
      <c r="F775" s="593" t="s">
        <v>4173</v>
      </c>
      <c r="G775" s="634" t="s">
        <v>6215</v>
      </c>
      <c r="H775" s="882"/>
      <c r="I775" s="1266"/>
    </row>
    <row r="776" spans="1:9" hidden="1">
      <c r="A776" s="428" t="s">
        <v>6268</v>
      </c>
      <c r="B776" s="413" t="s">
        <v>123</v>
      </c>
      <c r="C776" s="384">
        <v>1</v>
      </c>
      <c r="D776" s="482" t="s">
        <v>4174</v>
      </c>
      <c r="E776" s="486" t="s">
        <v>5938</v>
      </c>
      <c r="F776" s="593" t="s">
        <v>4175</v>
      </c>
      <c r="G776" s="634" t="s">
        <v>6215</v>
      </c>
      <c r="H776" s="882"/>
      <c r="I776" s="1266"/>
    </row>
    <row r="777" spans="1:9" hidden="1">
      <c r="A777" s="428" t="s">
        <v>6268</v>
      </c>
      <c r="B777" s="413" t="s">
        <v>123</v>
      </c>
      <c r="C777" s="384">
        <v>1</v>
      </c>
      <c r="D777" s="482" t="s">
        <v>4176</v>
      </c>
      <c r="E777" s="486" t="s">
        <v>5939</v>
      </c>
      <c r="F777" s="593" t="s">
        <v>4177</v>
      </c>
      <c r="G777" s="634" t="s">
        <v>6215</v>
      </c>
      <c r="H777" s="882"/>
      <c r="I777" s="1266"/>
    </row>
    <row r="778" spans="1:9" hidden="1">
      <c r="A778" s="428" t="s">
        <v>6268</v>
      </c>
      <c r="B778" s="413" t="s">
        <v>123</v>
      </c>
      <c r="C778" s="384">
        <v>1</v>
      </c>
      <c r="D778" s="482" t="s">
        <v>4178</v>
      </c>
      <c r="E778" s="486" t="s">
        <v>5940</v>
      </c>
      <c r="F778" s="593" t="s">
        <v>4179</v>
      </c>
      <c r="G778" s="634" t="s">
        <v>6215</v>
      </c>
      <c r="H778" s="882"/>
      <c r="I778" s="1266"/>
    </row>
    <row r="779" spans="1:9" hidden="1">
      <c r="A779" s="428" t="s">
        <v>6268</v>
      </c>
      <c r="B779" s="413" t="s">
        <v>123</v>
      </c>
      <c r="C779" s="384">
        <v>1</v>
      </c>
      <c r="D779" s="482" t="s">
        <v>4180</v>
      </c>
      <c r="E779" s="486" t="s">
        <v>5941</v>
      </c>
      <c r="F779" s="593" t="s">
        <v>4181</v>
      </c>
      <c r="G779" s="634" t="s">
        <v>6215</v>
      </c>
      <c r="H779" s="882"/>
      <c r="I779" s="1266"/>
    </row>
    <row r="780" spans="1:9" hidden="1">
      <c r="A780" s="428" t="s">
        <v>6268</v>
      </c>
      <c r="B780" s="413" t="s">
        <v>123</v>
      </c>
      <c r="C780" s="384">
        <v>1</v>
      </c>
      <c r="D780" s="482">
        <v>84</v>
      </c>
      <c r="E780" s="486" t="s">
        <v>5942</v>
      </c>
      <c r="F780" s="593" t="s">
        <v>4182</v>
      </c>
      <c r="G780" s="634" t="s">
        <v>6215</v>
      </c>
      <c r="H780" s="882"/>
      <c r="I780" s="1266"/>
    </row>
    <row r="781" spans="1:9" hidden="1">
      <c r="A781" s="428" t="s">
        <v>6268</v>
      </c>
      <c r="B781" s="413" t="s">
        <v>123</v>
      </c>
      <c r="C781" s="384">
        <v>1</v>
      </c>
      <c r="D781" s="482" t="s">
        <v>4183</v>
      </c>
      <c r="E781" s="486" t="s">
        <v>5943</v>
      </c>
      <c r="F781" s="593" t="s">
        <v>4184</v>
      </c>
      <c r="G781" s="634" t="s">
        <v>6215</v>
      </c>
      <c r="H781" s="882"/>
      <c r="I781" s="1266"/>
    </row>
    <row r="782" spans="1:9" hidden="1">
      <c r="A782" s="428" t="s">
        <v>6268</v>
      </c>
      <c r="B782" s="413" t="s">
        <v>123</v>
      </c>
      <c r="C782" s="384">
        <v>1</v>
      </c>
      <c r="D782" s="482" t="s">
        <v>4185</v>
      </c>
      <c r="E782" s="486" t="s">
        <v>5944</v>
      </c>
      <c r="F782" s="593" t="s">
        <v>4186</v>
      </c>
      <c r="G782" s="634" t="s">
        <v>6215</v>
      </c>
      <c r="H782" s="882"/>
      <c r="I782" s="1266"/>
    </row>
    <row r="783" spans="1:9" hidden="1">
      <c r="A783" s="428" t="s">
        <v>6268</v>
      </c>
      <c r="B783" s="413" t="s">
        <v>123</v>
      </c>
      <c r="C783" s="384">
        <v>1</v>
      </c>
      <c r="D783" s="482" t="s">
        <v>4187</v>
      </c>
      <c r="E783" s="486" t="s">
        <v>5945</v>
      </c>
      <c r="F783" s="593" t="s">
        <v>4188</v>
      </c>
      <c r="G783" s="634" t="s">
        <v>6215</v>
      </c>
      <c r="H783" s="882"/>
      <c r="I783" s="1266"/>
    </row>
    <row r="784" spans="1:9" hidden="1">
      <c r="A784" s="428" t="s">
        <v>6268</v>
      </c>
      <c r="B784" s="413" t="s">
        <v>123</v>
      </c>
      <c r="C784" s="384">
        <v>1</v>
      </c>
      <c r="D784" s="482" t="s">
        <v>4189</v>
      </c>
      <c r="E784" s="486" t="s">
        <v>5946</v>
      </c>
      <c r="F784" s="593" t="s">
        <v>4190</v>
      </c>
      <c r="G784" s="634" t="s">
        <v>6215</v>
      </c>
      <c r="H784" s="882"/>
      <c r="I784" s="1266"/>
    </row>
    <row r="785" spans="1:9" hidden="1">
      <c r="A785" s="428" t="s">
        <v>6268</v>
      </c>
      <c r="B785" s="413" t="s">
        <v>123</v>
      </c>
      <c r="C785" s="384">
        <v>1</v>
      </c>
      <c r="D785" s="482" t="s">
        <v>4191</v>
      </c>
      <c r="E785" s="486" t="s">
        <v>5947</v>
      </c>
      <c r="F785" s="593" t="s">
        <v>4192</v>
      </c>
      <c r="G785" s="634" t="s">
        <v>6215</v>
      </c>
      <c r="H785" s="882"/>
      <c r="I785" s="1266"/>
    </row>
    <row r="786" spans="1:9" hidden="1">
      <c r="A786" s="428" t="s">
        <v>6268</v>
      </c>
      <c r="B786" s="413" t="s">
        <v>123</v>
      </c>
      <c r="C786" s="384">
        <v>1</v>
      </c>
      <c r="D786" s="482" t="s">
        <v>4193</v>
      </c>
      <c r="E786" s="486" t="s">
        <v>5948</v>
      </c>
      <c r="F786" s="593" t="s">
        <v>4194</v>
      </c>
      <c r="G786" s="634" t="s">
        <v>6215</v>
      </c>
      <c r="H786" s="882"/>
      <c r="I786" s="1266"/>
    </row>
    <row r="787" spans="1:9" hidden="1">
      <c r="A787" s="428" t="s">
        <v>6268</v>
      </c>
      <c r="B787" s="413" t="s">
        <v>123</v>
      </c>
      <c r="C787" s="384">
        <v>1</v>
      </c>
      <c r="D787" s="482" t="s">
        <v>4195</v>
      </c>
      <c r="E787" s="486" t="s">
        <v>5949</v>
      </c>
      <c r="F787" s="593" t="s">
        <v>4196</v>
      </c>
      <c r="G787" s="634" t="s">
        <v>6215</v>
      </c>
      <c r="H787" s="882"/>
      <c r="I787" s="1266"/>
    </row>
    <row r="788" spans="1:9" hidden="1">
      <c r="A788" s="428" t="s">
        <v>6268</v>
      </c>
      <c r="B788" s="413" t="s">
        <v>123</v>
      </c>
      <c r="C788" s="384">
        <v>1</v>
      </c>
      <c r="D788" s="482" t="s">
        <v>4197</v>
      </c>
      <c r="E788" s="486" t="s">
        <v>5950</v>
      </c>
      <c r="F788" s="593" t="s">
        <v>4198</v>
      </c>
      <c r="G788" s="634" t="s">
        <v>6215</v>
      </c>
      <c r="H788" s="882"/>
      <c r="I788" s="1266"/>
    </row>
    <row r="789" spans="1:9" hidden="1">
      <c r="A789" s="428" t="s">
        <v>6268</v>
      </c>
      <c r="B789" s="413" t="s">
        <v>123</v>
      </c>
      <c r="C789" s="384">
        <v>1</v>
      </c>
      <c r="D789" s="482" t="s">
        <v>4199</v>
      </c>
      <c r="E789" s="486" t="s">
        <v>5951</v>
      </c>
      <c r="F789" s="593" t="s">
        <v>4200</v>
      </c>
      <c r="G789" s="634" t="s">
        <v>6215</v>
      </c>
      <c r="H789" s="882"/>
      <c r="I789" s="1266"/>
    </row>
    <row r="790" spans="1:9" hidden="1">
      <c r="A790" s="428" t="s">
        <v>6268</v>
      </c>
      <c r="B790" s="413" t="s">
        <v>123</v>
      </c>
      <c r="C790" s="384">
        <v>1</v>
      </c>
      <c r="D790" s="482" t="s">
        <v>4201</v>
      </c>
      <c r="E790" s="486" t="s">
        <v>5952</v>
      </c>
      <c r="F790" s="593" t="s">
        <v>4202</v>
      </c>
      <c r="G790" s="634" t="s">
        <v>6215</v>
      </c>
      <c r="H790" s="882"/>
      <c r="I790" s="1266"/>
    </row>
    <row r="791" spans="1:9" hidden="1">
      <c r="A791" s="428" t="s">
        <v>6268</v>
      </c>
      <c r="B791" s="413" t="s">
        <v>123</v>
      </c>
      <c r="C791" s="384">
        <v>1</v>
      </c>
      <c r="D791" s="482" t="s">
        <v>4203</v>
      </c>
      <c r="E791" s="486" t="s">
        <v>5953</v>
      </c>
      <c r="F791" s="593" t="s">
        <v>4204</v>
      </c>
      <c r="G791" s="634" t="s">
        <v>6215</v>
      </c>
      <c r="H791" s="882"/>
      <c r="I791" s="1266"/>
    </row>
    <row r="792" spans="1:9" hidden="1">
      <c r="A792" s="428" t="s">
        <v>6268</v>
      </c>
      <c r="B792" s="413" t="s">
        <v>123</v>
      </c>
      <c r="C792" s="384">
        <v>1</v>
      </c>
      <c r="D792" s="482">
        <v>85</v>
      </c>
      <c r="E792" s="486" t="s">
        <v>5954</v>
      </c>
      <c r="F792" s="593" t="s">
        <v>4205</v>
      </c>
      <c r="G792" s="634" t="s">
        <v>6215</v>
      </c>
      <c r="H792" s="882"/>
      <c r="I792" s="1266"/>
    </row>
    <row r="793" spans="1:9" hidden="1">
      <c r="A793" s="428" t="s">
        <v>6268</v>
      </c>
      <c r="B793" s="413" t="s">
        <v>123</v>
      </c>
      <c r="C793" s="384">
        <v>1</v>
      </c>
      <c r="D793" s="482" t="s">
        <v>4206</v>
      </c>
      <c r="E793" s="486" t="s">
        <v>5955</v>
      </c>
      <c r="F793" s="593" t="s">
        <v>4207</v>
      </c>
      <c r="G793" s="634" t="s">
        <v>6215</v>
      </c>
      <c r="H793" s="882"/>
      <c r="I793" s="1266"/>
    </row>
    <row r="794" spans="1:9" hidden="1">
      <c r="A794" s="428" t="s">
        <v>6268</v>
      </c>
      <c r="B794" s="413" t="s">
        <v>123</v>
      </c>
      <c r="C794" s="384">
        <v>1</v>
      </c>
      <c r="D794" s="482" t="s">
        <v>4208</v>
      </c>
      <c r="E794" s="486" t="s">
        <v>5956</v>
      </c>
      <c r="F794" s="593" t="s">
        <v>4209</v>
      </c>
      <c r="G794" s="634" t="s">
        <v>6215</v>
      </c>
      <c r="H794" s="882"/>
      <c r="I794" s="1266"/>
    </row>
    <row r="795" spans="1:9" hidden="1">
      <c r="A795" s="428" t="s">
        <v>6268</v>
      </c>
      <c r="B795" s="413" t="s">
        <v>123</v>
      </c>
      <c r="C795" s="384">
        <v>1</v>
      </c>
      <c r="D795" s="482" t="s">
        <v>4210</v>
      </c>
      <c r="E795" s="486" t="s">
        <v>5957</v>
      </c>
      <c r="F795" s="593" t="s">
        <v>4211</v>
      </c>
      <c r="G795" s="634" t="s">
        <v>6215</v>
      </c>
      <c r="H795" s="882"/>
      <c r="I795" s="1266"/>
    </row>
    <row r="796" spans="1:9" hidden="1">
      <c r="A796" s="428" t="s">
        <v>6268</v>
      </c>
      <c r="B796" s="413" t="s">
        <v>123</v>
      </c>
      <c r="C796" s="384">
        <v>1</v>
      </c>
      <c r="D796" s="482" t="s">
        <v>4212</v>
      </c>
      <c r="E796" s="486" t="s">
        <v>5958</v>
      </c>
      <c r="F796" s="593" t="s">
        <v>4213</v>
      </c>
      <c r="G796" s="634" t="s">
        <v>6215</v>
      </c>
      <c r="H796" s="882"/>
      <c r="I796" s="1266"/>
    </row>
    <row r="797" spans="1:9" hidden="1">
      <c r="A797" s="428" t="s">
        <v>6268</v>
      </c>
      <c r="B797" s="413" t="s">
        <v>123</v>
      </c>
      <c r="C797" s="384">
        <v>1</v>
      </c>
      <c r="D797" s="482" t="s">
        <v>4214</v>
      </c>
      <c r="E797" s="486" t="s">
        <v>5959</v>
      </c>
      <c r="F797" s="593" t="s">
        <v>4215</v>
      </c>
      <c r="G797" s="634" t="s">
        <v>6215</v>
      </c>
      <c r="H797" s="882"/>
      <c r="I797" s="1266"/>
    </row>
    <row r="798" spans="1:9" hidden="1">
      <c r="A798" s="428" t="s">
        <v>6268</v>
      </c>
      <c r="B798" s="413" t="s">
        <v>123</v>
      </c>
      <c r="C798" s="384">
        <v>1</v>
      </c>
      <c r="D798" s="482" t="s">
        <v>4216</v>
      </c>
      <c r="E798" s="486" t="s">
        <v>5960</v>
      </c>
      <c r="F798" s="593" t="s">
        <v>4217</v>
      </c>
      <c r="G798" s="634" t="s">
        <v>6215</v>
      </c>
      <c r="H798" s="882"/>
      <c r="I798" s="1266"/>
    </row>
    <row r="799" spans="1:9" hidden="1">
      <c r="A799" s="428" t="s">
        <v>6268</v>
      </c>
      <c r="B799" s="413" t="s">
        <v>123</v>
      </c>
      <c r="C799" s="384">
        <v>1</v>
      </c>
      <c r="D799" s="482" t="s">
        <v>4218</v>
      </c>
      <c r="E799" s="486" t="s">
        <v>5961</v>
      </c>
      <c r="F799" s="593" t="s">
        <v>4219</v>
      </c>
      <c r="G799" s="634" t="s">
        <v>6215</v>
      </c>
      <c r="H799" s="882"/>
      <c r="I799" s="1266"/>
    </row>
    <row r="800" spans="1:9" hidden="1">
      <c r="A800" s="428" t="s">
        <v>6268</v>
      </c>
      <c r="B800" s="413" t="s">
        <v>123</v>
      </c>
      <c r="C800" s="384">
        <v>1</v>
      </c>
      <c r="D800" s="482" t="s">
        <v>4220</v>
      </c>
      <c r="E800" s="486" t="s">
        <v>5962</v>
      </c>
      <c r="F800" s="593" t="s">
        <v>4221</v>
      </c>
      <c r="G800" s="634" t="s">
        <v>6215</v>
      </c>
      <c r="H800" s="882"/>
      <c r="I800" s="1266"/>
    </row>
    <row r="801" spans="1:9" hidden="1">
      <c r="A801" s="428" t="s">
        <v>6268</v>
      </c>
      <c r="B801" s="413" t="s">
        <v>123</v>
      </c>
      <c r="C801" s="384">
        <v>1</v>
      </c>
      <c r="D801" s="482" t="s">
        <v>4222</v>
      </c>
      <c r="E801" s="486" t="s">
        <v>5963</v>
      </c>
      <c r="F801" s="593" t="s">
        <v>4223</v>
      </c>
      <c r="G801" s="634" t="s">
        <v>6215</v>
      </c>
      <c r="H801" s="882"/>
      <c r="I801" s="1266"/>
    </row>
    <row r="802" spans="1:9" hidden="1">
      <c r="A802" s="428" t="s">
        <v>6268</v>
      </c>
      <c r="B802" s="413" t="s">
        <v>123</v>
      </c>
      <c r="C802" s="384">
        <v>1</v>
      </c>
      <c r="D802" s="482" t="s">
        <v>4224</v>
      </c>
      <c r="E802" s="486" t="s">
        <v>5964</v>
      </c>
      <c r="F802" s="593" t="s">
        <v>4225</v>
      </c>
      <c r="G802" s="634" t="s">
        <v>6215</v>
      </c>
      <c r="H802" s="882"/>
      <c r="I802" s="1266"/>
    </row>
    <row r="803" spans="1:9" hidden="1">
      <c r="A803" s="428" t="s">
        <v>6268</v>
      </c>
      <c r="B803" s="413" t="s">
        <v>123</v>
      </c>
      <c r="C803" s="384">
        <v>1</v>
      </c>
      <c r="D803" s="482" t="s">
        <v>4226</v>
      </c>
      <c r="E803" s="486" t="s">
        <v>5965</v>
      </c>
      <c r="F803" s="593" t="s">
        <v>4227</v>
      </c>
      <c r="G803" s="634" t="s">
        <v>6215</v>
      </c>
      <c r="H803" s="882"/>
      <c r="I803" s="1266"/>
    </row>
    <row r="804" spans="1:9" hidden="1">
      <c r="A804" s="428" t="s">
        <v>6268</v>
      </c>
      <c r="B804" s="413" t="s">
        <v>123</v>
      </c>
      <c r="C804" s="384">
        <v>1</v>
      </c>
      <c r="D804" s="482" t="s">
        <v>4228</v>
      </c>
      <c r="E804" s="486" t="s">
        <v>5966</v>
      </c>
      <c r="F804" s="593" t="s">
        <v>4229</v>
      </c>
      <c r="G804" s="634" t="s">
        <v>6215</v>
      </c>
      <c r="H804" s="882"/>
      <c r="I804" s="1266"/>
    </row>
    <row r="805" spans="1:9" hidden="1">
      <c r="A805" s="428" t="s">
        <v>6268</v>
      </c>
      <c r="B805" s="413" t="s">
        <v>123</v>
      </c>
      <c r="C805" s="384">
        <v>1</v>
      </c>
      <c r="D805" s="482" t="s">
        <v>4230</v>
      </c>
      <c r="E805" s="486" t="s">
        <v>5967</v>
      </c>
      <c r="F805" s="593" t="s">
        <v>4231</v>
      </c>
      <c r="G805" s="634" t="s">
        <v>6215</v>
      </c>
      <c r="H805" s="882"/>
      <c r="I805" s="1266"/>
    </row>
    <row r="806" spans="1:9" hidden="1">
      <c r="A806" s="428" t="s">
        <v>6268</v>
      </c>
      <c r="B806" s="413" t="s">
        <v>123</v>
      </c>
      <c r="C806" s="384">
        <v>1</v>
      </c>
      <c r="D806" s="482" t="s">
        <v>4232</v>
      </c>
      <c r="E806" s="486" t="s">
        <v>5968</v>
      </c>
      <c r="F806" s="593" t="s">
        <v>4233</v>
      </c>
      <c r="G806" s="634" t="s">
        <v>6215</v>
      </c>
      <c r="H806" s="882"/>
      <c r="I806" s="1266"/>
    </row>
    <row r="807" spans="1:9" hidden="1">
      <c r="A807" s="428" t="s">
        <v>6268</v>
      </c>
      <c r="B807" s="413" t="s">
        <v>123</v>
      </c>
      <c r="C807" s="384">
        <v>1</v>
      </c>
      <c r="D807" s="482">
        <v>86</v>
      </c>
      <c r="E807" s="486" t="s">
        <v>5969</v>
      </c>
      <c r="F807" s="593" t="s">
        <v>4234</v>
      </c>
      <c r="G807" s="634" t="s">
        <v>6215</v>
      </c>
      <c r="H807" s="882"/>
      <c r="I807" s="1266"/>
    </row>
    <row r="808" spans="1:9" hidden="1">
      <c r="A808" s="428" t="s">
        <v>6268</v>
      </c>
      <c r="B808" s="413" t="s">
        <v>123</v>
      </c>
      <c r="C808" s="384">
        <v>1</v>
      </c>
      <c r="D808" s="482" t="s">
        <v>4235</v>
      </c>
      <c r="E808" s="486" t="s">
        <v>5970</v>
      </c>
      <c r="F808" s="593" t="s">
        <v>4236</v>
      </c>
      <c r="G808" s="634" t="s">
        <v>6215</v>
      </c>
      <c r="H808" s="882"/>
      <c r="I808" s="1266"/>
    </row>
    <row r="809" spans="1:9" hidden="1">
      <c r="A809" s="428" t="s">
        <v>6268</v>
      </c>
      <c r="B809" s="413" t="s">
        <v>123</v>
      </c>
      <c r="C809" s="384">
        <v>1</v>
      </c>
      <c r="D809" s="482" t="s">
        <v>4237</v>
      </c>
      <c r="E809" s="486" t="s">
        <v>5971</v>
      </c>
      <c r="F809" s="593" t="s">
        <v>4238</v>
      </c>
      <c r="G809" s="634" t="s">
        <v>6215</v>
      </c>
      <c r="H809" s="882"/>
      <c r="I809" s="1266"/>
    </row>
    <row r="810" spans="1:9" hidden="1">
      <c r="A810" s="428" t="s">
        <v>6268</v>
      </c>
      <c r="B810" s="413" t="s">
        <v>123</v>
      </c>
      <c r="C810" s="384">
        <v>1</v>
      </c>
      <c r="D810" s="482" t="s">
        <v>4239</v>
      </c>
      <c r="E810" s="486" t="s">
        <v>5972</v>
      </c>
      <c r="F810" s="593" t="s">
        <v>4240</v>
      </c>
      <c r="G810" s="634" t="s">
        <v>6215</v>
      </c>
      <c r="H810" s="882"/>
      <c r="I810" s="1266"/>
    </row>
    <row r="811" spans="1:9" hidden="1">
      <c r="A811" s="428" t="s">
        <v>6268</v>
      </c>
      <c r="B811" s="413" t="s">
        <v>123</v>
      </c>
      <c r="C811" s="384">
        <v>1</v>
      </c>
      <c r="D811" s="482" t="s">
        <v>4241</v>
      </c>
      <c r="E811" s="486" t="s">
        <v>5973</v>
      </c>
      <c r="F811" s="593" t="s">
        <v>4242</v>
      </c>
      <c r="G811" s="634" t="s">
        <v>6215</v>
      </c>
      <c r="H811" s="882"/>
      <c r="I811" s="1266"/>
    </row>
    <row r="812" spans="1:9" hidden="1">
      <c r="A812" s="428" t="s">
        <v>6268</v>
      </c>
      <c r="B812" s="413" t="s">
        <v>123</v>
      </c>
      <c r="C812" s="384">
        <v>1</v>
      </c>
      <c r="D812" s="482" t="s">
        <v>4243</v>
      </c>
      <c r="E812" s="486" t="s">
        <v>5974</v>
      </c>
      <c r="F812" s="593" t="s">
        <v>4244</v>
      </c>
      <c r="G812" s="634" t="s">
        <v>6215</v>
      </c>
      <c r="H812" s="882"/>
      <c r="I812" s="1266"/>
    </row>
    <row r="813" spans="1:9" hidden="1">
      <c r="A813" s="428" t="s">
        <v>6268</v>
      </c>
      <c r="B813" s="413" t="s">
        <v>123</v>
      </c>
      <c r="C813" s="384">
        <v>1</v>
      </c>
      <c r="D813" s="482" t="s">
        <v>4245</v>
      </c>
      <c r="E813" s="486" t="s">
        <v>5975</v>
      </c>
      <c r="F813" s="593" t="s">
        <v>4246</v>
      </c>
      <c r="G813" s="634" t="s">
        <v>6215</v>
      </c>
      <c r="H813" s="882"/>
      <c r="I813" s="1266"/>
    </row>
    <row r="814" spans="1:9" hidden="1">
      <c r="A814" s="428" t="s">
        <v>6268</v>
      </c>
      <c r="B814" s="413" t="s">
        <v>123</v>
      </c>
      <c r="C814" s="384">
        <v>1</v>
      </c>
      <c r="D814" s="482">
        <v>87</v>
      </c>
      <c r="E814" s="486" t="s">
        <v>5976</v>
      </c>
      <c r="F814" s="593" t="s">
        <v>4247</v>
      </c>
      <c r="G814" s="634" t="s">
        <v>6215</v>
      </c>
      <c r="H814" s="882"/>
      <c r="I814" s="1266"/>
    </row>
    <row r="815" spans="1:9" hidden="1">
      <c r="A815" s="428" t="s">
        <v>6268</v>
      </c>
      <c r="B815" s="413" t="s">
        <v>123</v>
      </c>
      <c r="C815" s="384">
        <v>1</v>
      </c>
      <c r="D815" s="482" t="s">
        <v>4248</v>
      </c>
      <c r="E815" s="486" t="s">
        <v>5977</v>
      </c>
      <c r="F815" s="593" t="s">
        <v>4249</v>
      </c>
      <c r="G815" s="634" t="s">
        <v>6215</v>
      </c>
      <c r="H815" s="882"/>
      <c r="I815" s="1266"/>
    </row>
    <row r="816" spans="1:9" hidden="1">
      <c r="A816" s="428" t="s">
        <v>6268</v>
      </c>
      <c r="B816" s="413" t="s">
        <v>123</v>
      </c>
      <c r="C816" s="384">
        <v>1</v>
      </c>
      <c r="D816" s="482" t="s">
        <v>4250</v>
      </c>
      <c r="E816" s="486" t="s">
        <v>5978</v>
      </c>
      <c r="F816" s="593" t="s">
        <v>4251</v>
      </c>
      <c r="G816" s="634" t="s">
        <v>6215</v>
      </c>
      <c r="H816" s="882"/>
      <c r="I816" s="1266"/>
    </row>
    <row r="817" spans="1:9" hidden="1">
      <c r="A817" s="428" t="s">
        <v>6268</v>
      </c>
      <c r="B817" s="413" t="s">
        <v>123</v>
      </c>
      <c r="C817" s="384">
        <v>1</v>
      </c>
      <c r="D817" s="482" t="s">
        <v>4252</v>
      </c>
      <c r="E817" s="486" t="s">
        <v>5979</v>
      </c>
      <c r="F817" s="593" t="s">
        <v>4253</v>
      </c>
      <c r="G817" s="634" t="s">
        <v>6215</v>
      </c>
      <c r="H817" s="882"/>
      <c r="I817" s="1266"/>
    </row>
    <row r="818" spans="1:9" hidden="1">
      <c r="A818" s="428" t="s">
        <v>6268</v>
      </c>
      <c r="B818" s="413" t="s">
        <v>123</v>
      </c>
      <c r="C818" s="384">
        <v>1</v>
      </c>
      <c r="D818" s="482" t="s">
        <v>4254</v>
      </c>
      <c r="E818" s="486" t="s">
        <v>5980</v>
      </c>
      <c r="F818" s="593" t="s">
        <v>4255</v>
      </c>
      <c r="G818" s="634" t="s">
        <v>6215</v>
      </c>
      <c r="H818" s="882"/>
      <c r="I818" s="1266"/>
    </row>
    <row r="819" spans="1:9" hidden="1">
      <c r="A819" s="428" t="s">
        <v>6268</v>
      </c>
      <c r="B819" s="413" t="s">
        <v>123</v>
      </c>
      <c r="C819" s="384">
        <v>1</v>
      </c>
      <c r="D819" s="482">
        <v>88</v>
      </c>
      <c r="E819" s="486" t="s">
        <v>5981</v>
      </c>
      <c r="F819" s="593" t="s">
        <v>4256</v>
      </c>
      <c r="G819" s="634" t="s">
        <v>6215</v>
      </c>
      <c r="H819" s="882"/>
      <c r="I819" s="1266"/>
    </row>
    <row r="820" spans="1:9" hidden="1">
      <c r="A820" s="428" t="s">
        <v>6268</v>
      </c>
      <c r="B820" s="413" t="s">
        <v>123</v>
      </c>
      <c r="C820" s="384">
        <v>1</v>
      </c>
      <c r="D820" s="482" t="s">
        <v>4257</v>
      </c>
      <c r="E820" s="486" t="s">
        <v>5982</v>
      </c>
      <c r="F820" s="593" t="s">
        <v>4258</v>
      </c>
      <c r="G820" s="634" t="s">
        <v>6215</v>
      </c>
      <c r="H820" s="882"/>
      <c r="I820" s="1266"/>
    </row>
    <row r="821" spans="1:9" hidden="1">
      <c r="A821" s="428" t="s">
        <v>6268</v>
      </c>
      <c r="B821" s="413" t="s">
        <v>123</v>
      </c>
      <c r="C821" s="384">
        <v>1</v>
      </c>
      <c r="D821" s="482" t="s">
        <v>4259</v>
      </c>
      <c r="E821" s="486" t="s">
        <v>5983</v>
      </c>
      <c r="F821" s="593" t="s">
        <v>4260</v>
      </c>
      <c r="G821" s="634" t="s">
        <v>6215</v>
      </c>
      <c r="H821" s="882"/>
      <c r="I821" s="1266"/>
    </row>
    <row r="822" spans="1:9" hidden="1">
      <c r="A822" s="428" t="s">
        <v>6268</v>
      </c>
      <c r="B822" s="413" t="s">
        <v>123</v>
      </c>
      <c r="C822" s="384">
        <v>1</v>
      </c>
      <c r="D822" s="482" t="s">
        <v>4261</v>
      </c>
      <c r="E822" s="486" t="s">
        <v>5984</v>
      </c>
      <c r="F822" s="593" t="s">
        <v>4262</v>
      </c>
      <c r="G822" s="634" t="s">
        <v>6215</v>
      </c>
      <c r="H822" s="882"/>
      <c r="I822" s="1266"/>
    </row>
    <row r="823" spans="1:9" hidden="1">
      <c r="A823" s="428" t="s">
        <v>6268</v>
      </c>
      <c r="B823" s="413" t="s">
        <v>123</v>
      </c>
      <c r="C823" s="384">
        <v>1</v>
      </c>
      <c r="D823" s="482" t="s">
        <v>4263</v>
      </c>
      <c r="E823" s="486" t="s">
        <v>5985</v>
      </c>
      <c r="F823" s="593" t="s">
        <v>4264</v>
      </c>
      <c r="G823" s="634" t="s">
        <v>6215</v>
      </c>
      <c r="H823" s="882"/>
      <c r="I823" s="1266"/>
    </row>
    <row r="824" spans="1:9" hidden="1">
      <c r="A824" s="428" t="s">
        <v>6268</v>
      </c>
      <c r="B824" s="413" t="s">
        <v>123</v>
      </c>
      <c r="C824" s="384">
        <v>1</v>
      </c>
      <c r="D824" s="482">
        <v>90</v>
      </c>
      <c r="E824" s="486" t="s">
        <v>5986</v>
      </c>
      <c r="F824" s="593" t="s">
        <v>4265</v>
      </c>
      <c r="G824" s="634" t="s">
        <v>6215</v>
      </c>
      <c r="H824" s="882"/>
      <c r="I824" s="1266"/>
    </row>
    <row r="825" spans="1:9" hidden="1">
      <c r="A825" s="428" t="s">
        <v>6268</v>
      </c>
      <c r="B825" s="413" t="s">
        <v>123</v>
      </c>
      <c r="C825" s="384">
        <v>1</v>
      </c>
      <c r="D825" s="482" t="s">
        <v>4266</v>
      </c>
      <c r="E825" s="486" t="s">
        <v>5987</v>
      </c>
      <c r="F825" s="593" t="s">
        <v>4267</v>
      </c>
      <c r="G825" s="634" t="s">
        <v>6215</v>
      </c>
      <c r="H825" s="882"/>
      <c r="I825" s="1266"/>
    </row>
    <row r="826" spans="1:9" hidden="1">
      <c r="A826" s="428" t="s">
        <v>6268</v>
      </c>
      <c r="B826" s="413" t="s">
        <v>123</v>
      </c>
      <c r="C826" s="384">
        <v>1</v>
      </c>
      <c r="D826" s="482" t="s">
        <v>4268</v>
      </c>
      <c r="E826" s="486" t="s">
        <v>5988</v>
      </c>
      <c r="F826" s="593" t="s">
        <v>4269</v>
      </c>
      <c r="G826" s="634" t="s">
        <v>6215</v>
      </c>
      <c r="H826" s="882"/>
      <c r="I826" s="1266"/>
    </row>
    <row r="827" spans="1:9" hidden="1">
      <c r="A827" s="428" t="s">
        <v>6268</v>
      </c>
      <c r="B827" s="413" t="s">
        <v>123</v>
      </c>
      <c r="C827" s="384">
        <v>1</v>
      </c>
      <c r="D827" s="482" t="s">
        <v>4270</v>
      </c>
      <c r="E827" s="486" t="s">
        <v>5989</v>
      </c>
      <c r="F827" s="593" t="s">
        <v>4271</v>
      </c>
      <c r="G827" s="634" t="s">
        <v>6215</v>
      </c>
      <c r="H827" s="882"/>
      <c r="I827" s="1266"/>
    </row>
    <row r="828" spans="1:9" hidden="1">
      <c r="A828" s="428" t="s">
        <v>6268</v>
      </c>
      <c r="B828" s="413" t="s">
        <v>123</v>
      </c>
      <c r="C828" s="384">
        <v>1</v>
      </c>
      <c r="D828" s="482" t="s">
        <v>4272</v>
      </c>
      <c r="E828" s="486" t="s">
        <v>5990</v>
      </c>
      <c r="F828" s="593" t="s">
        <v>4273</v>
      </c>
      <c r="G828" s="634" t="s">
        <v>6215</v>
      </c>
      <c r="H828" s="882"/>
      <c r="I828" s="1266"/>
    </row>
    <row r="829" spans="1:9" hidden="1">
      <c r="A829" s="428" t="s">
        <v>6268</v>
      </c>
      <c r="B829" s="413" t="s">
        <v>123</v>
      </c>
      <c r="C829" s="384">
        <v>1</v>
      </c>
      <c r="D829" s="482">
        <v>91</v>
      </c>
      <c r="E829" s="486" t="s">
        <v>5991</v>
      </c>
      <c r="F829" s="593" t="s">
        <v>4274</v>
      </c>
      <c r="G829" s="634" t="s">
        <v>6215</v>
      </c>
      <c r="H829" s="882"/>
      <c r="I829" s="1266"/>
    </row>
    <row r="830" spans="1:9" hidden="1">
      <c r="A830" s="428" t="s">
        <v>6268</v>
      </c>
      <c r="B830" s="413" t="s">
        <v>123</v>
      </c>
      <c r="C830" s="384">
        <v>1</v>
      </c>
      <c r="D830" s="482" t="s">
        <v>4275</v>
      </c>
      <c r="E830" s="486" t="s">
        <v>5992</v>
      </c>
      <c r="F830" s="593" t="s">
        <v>4276</v>
      </c>
      <c r="G830" s="634" t="s">
        <v>6215</v>
      </c>
      <c r="H830" s="882"/>
      <c r="I830" s="1266"/>
    </row>
    <row r="831" spans="1:9" hidden="1">
      <c r="A831" s="428" t="s">
        <v>6268</v>
      </c>
      <c r="B831" s="413" t="s">
        <v>123</v>
      </c>
      <c r="C831" s="384">
        <v>1</v>
      </c>
      <c r="D831" s="482" t="s">
        <v>4277</v>
      </c>
      <c r="E831" s="486" t="s">
        <v>5993</v>
      </c>
      <c r="F831" s="593" t="s">
        <v>4278</v>
      </c>
      <c r="G831" s="634" t="s">
        <v>6215</v>
      </c>
      <c r="H831" s="882"/>
      <c r="I831" s="1266"/>
    </row>
    <row r="832" spans="1:9" hidden="1">
      <c r="A832" s="428" t="s">
        <v>6268</v>
      </c>
      <c r="B832" s="413" t="s">
        <v>123</v>
      </c>
      <c r="C832" s="384">
        <v>1</v>
      </c>
      <c r="D832" s="482" t="s">
        <v>4279</v>
      </c>
      <c r="E832" s="486" t="s">
        <v>5994</v>
      </c>
      <c r="F832" s="593" t="s">
        <v>4280</v>
      </c>
      <c r="G832" s="634" t="s">
        <v>6215</v>
      </c>
      <c r="H832" s="882"/>
      <c r="I832" s="1266"/>
    </row>
    <row r="833" spans="1:9" hidden="1">
      <c r="A833" s="428" t="s">
        <v>6268</v>
      </c>
      <c r="B833" s="413" t="s">
        <v>123</v>
      </c>
      <c r="C833" s="384">
        <v>1</v>
      </c>
      <c r="D833" s="482" t="s">
        <v>4281</v>
      </c>
      <c r="E833" s="486" t="s">
        <v>5995</v>
      </c>
      <c r="F833" s="593" t="s">
        <v>4282</v>
      </c>
      <c r="G833" s="634" t="s">
        <v>6215</v>
      </c>
      <c r="H833" s="882"/>
      <c r="I833" s="1266"/>
    </row>
    <row r="834" spans="1:9" hidden="1">
      <c r="A834" s="428" t="s">
        <v>6268</v>
      </c>
      <c r="B834" s="413" t="s">
        <v>123</v>
      </c>
      <c r="C834" s="384">
        <v>1</v>
      </c>
      <c r="D834" s="482">
        <v>92</v>
      </c>
      <c r="E834" s="486" t="s">
        <v>5996</v>
      </c>
      <c r="F834" s="593" t="s">
        <v>4283</v>
      </c>
      <c r="G834" s="634" t="s">
        <v>6215</v>
      </c>
      <c r="H834" s="882"/>
      <c r="I834" s="1266"/>
    </row>
    <row r="835" spans="1:9" hidden="1">
      <c r="A835" s="428" t="s">
        <v>6268</v>
      </c>
      <c r="B835" s="413" t="s">
        <v>123</v>
      </c>
      <c r="C835" s="384">
        <v>1</v>
      </c>
      <c r="D835" s="482">
        <v>93</v>
      </c>
      <c r="E835" s="486" t="s">
        <v>5997</v>
      </c>
      <c r="F835" s="593" t="s">
        <v>4284</v>
      </c>
      <c r="G835" s="634" t="s">
        <v>6215</v>
      </c>
      <c r="H835" s="882"/>
      <c r="I835" s="1266"/>
    </row>
    <row r="836" spans="1:9" hidden="1">
      <c r="A836" s="428" t="s">
        <v>6268</v>
      </c>
      <c r="B836" s="413" t="s">
        <v>123</v>
      </c>
      <c r="C836" s="384">
        <v>1</v>
      </c>
      <c r="D836" s="482" t="s">
        <v>4285</v>
      </c>
      <c r="E836" s="486" t="s">
        <v>5998</v>
      </c>
      <c r="F836" s="593" t="s">
        <v>4286</v>
      </c>
      <c r="G836" s="634" t="s">
        <v>6215</v>
      </c>
      <c r="H836" s="882"/>
      <c r="I836" s="1266"/>
    </row>
    <row r="837" spans="1:9" hidden="1">
      <c r="A837" s="428" t="s">
        <v>6268</v>
      </c>
      <c r="B837" s="413" t="s">
        <v>123</v>
      </c>
      <c r="C837" s="384">
        <v>1</v>
      </c>
      <c r="D837" s="482" t="s">
        <v>4287</v>
      </c>
      <c r="E837" s="486" t="s">
        <v>5999</v>
      </c>
      <c r="F837" s="593" t="s">
        <v>4288</v>
      </c>
      <c r="G837" s="634" t="s">
        <v>6215</v>
      </c>
      <c r="H837" s="882"/>
      <c r="I837" s="1266"/>
    </row>
    <row r="838" spans="1:9" hidden="1">
      <c r="A838" s="428" t="s">
        <v>6268</v>
      </c>
      <c r="B838" s="413" t="s">
        <v>123</v>
      </c>
      <c r="C838" s="384">
        <v>1</v>
      </c>
      <c r="D838" s="482" t="s">
        <v>4289</v>
      </c>
      <c r="E838" s="486" t="s">
        <v>6000</v>
      </c>
      <c r="F838" s="593" t="s">
        <v>4290</v>
      </c>
      <c r="G838" s="634" t="s">
        <v>6215</v>
      </c>
      <c r="H838" s="882"/>
      <c r="I838" s="1266"/>
    </row>
    <row r="839" spans="1:9" hidden="1">
      <c r="A839" s="428" t="s">
        <v>6268</v>
      </c>
      <c r="B839" s="413" t="s">
        <v>123</v>
      </c>
      <c r="C839" s="384">
        <v>1</v>
      </c>
      <c r="D839" s="482" t="s">
        <v>4291</v>
      </c>
      <c r="E839" s="486" t="s">
        <v>6001</v>
      </c>
      <c r="F839" s="593" t="s">
        <v>4292</v>
      </c>
      <c r="G839" s="634" t="s">
        <v>6215</v>
      </c>
      <c r="H839" s="882"/>
      <c r="I839" s="1266"/>
    </row>
    <row r="840" spans="1:9" hidden="1">
      <c r="A840" s="428" t="s">
        <v>6268</v>
      </c>
      <c r="B840" s="413" t="s">
        <v>123</v>
      </c>
      <c r="C840" s="384">
        <v>1</v>
      </c>
      <c r="D840" s="482" t="s">
        <v>4293</v>
      </c>
      <c r="E840" s="486" t="s">
        <v>6002</v>
      </c>
      <c r="F840" s="593" t="s">
        <v>4294</v>
      </c>
      <c r="G840" s="634" t="s">
        <v>6215</v>
      </c>
      <c r="H840" s="882"/>
      <c r="I840" s="1266"/>
    </row>
    <row r="841" spans="1:9" hidden="1">
      <c r="A841" s="428" t="s">
        <v>6268</v>
      </c>
      <c r="B841" s="413" t="s">
        <v>123</v>
      </c>
      <c r="C841" s="384">
        <v>1</v>
      </c>
      <c r="D841" s="482" t="s">
        <v>4295</v>
      </c>
      <c r="E841" s="486" t="s">
        <v>6003</v>
      </c>
      <c r="F841" s="593" t="s">
        <v>4296</v>
      </c>
      <c r="G841" s="634" t="s">
        <v>6215</v>
      </c>
      <c r="H841" s="882"/>
      <c r="I841" s="1266"/>
    </row>
    <row r="842" spans="1:9" hidden="1">
      <c r="A842" s="428" t="s">
        <v>6268</v>
      </c>
      <c r="B842" s="413" t="s">
        <v>123</v>
      </c>
      <c r="C842" s="384">
        <v>1</v>
      </c>
      <c r="D842" s="482" t="s">
        <v>4297</v>
      </c>
      <c r="E842" s="486" t="s">
        <v>6004</v>
      </c>
      <c r="F842" s="593" t="s">
        <v>4298</v>
      </c>
      <c r="G842" s="634" t="s">
        <v>6215</v>
      </c>
      <c r="H842" s="882"/>
      <c r="I842" s="1266"/>
    </row>
    <row r="843" spans="1:9" hidden="1">
      <c r="A843" s="428" t="s">
        <v>6268</v>
      </c>
      <c r="B843" s="413" t="s">
        <v>123</v>
      </c>
      <c r="C843" s="384">
        <v>1</v>
      </c>
      <c r="D843" s="482" t="s">
        <v>4299</v>
      </c>
      <c r="E843" s="486" t="s">
        <v>6005</v>
      </c>
      <c r="F843" s="593" t="s">
        <v>4300</v>
      </c>
      <c r="G843" s="634" t="s">
        <v>6215</v>
      </c>
      <c r="H843" s="882"/>
      <c r="I843" s="1266"/>
    </row>
    <row r="844" spans="1:9" hidden="1">
      <c r="A844" s="428" t="s">
        <v>6268</v>
      </c>
      <c r="B844" s="413" t="s">
        <v>123</v>
      </c>
      <c r="C844" s="384">
        <v>1</v>
      </c>
      <c r="D844" s="482">
        <v>94</v>
      </c>
      <c r="E844" s="486" t="s">
        <v>6006</v>
      </c>
      <c r="F844" s="593" t="s">
        <v>4301</v>
      </c>
      <c r="G844" s="634" t="s">
        <v>6215</v>
      </c>
      <c r="H844" s="882"/>
      <c r="I844" s="1266"/>
    </row>
    <row r="845" spans="1:9" hidden="1">
      <c r="A845" s="428" t="s">
        <v>6268</v>
      </c>
      <c r="B845" s="413" t="s">
        <v>123</v>
      </c>
      <c r="C845" s="384">
        <v>1</v>
      </c>
      <c r="D845" s="482" t="s">
        <v>4302</v>
      </c>
      <c r="E845" s="486" t="s">
        <v>6007</v>
      </c>
      <c r="F845" s="593" t="s">
        <v>4303</v>
      </c>
      <c r="G845" s="634" t="s">
        <v>6215</v>
      </c>
      <c r="H845" s="882"/>
      <c r="I845" s="1266"/>
    </row>
    <row r="846" spans="1:9" hidden="1">
      <c r="A846" s="428" t="s">
        <v>6268</v>
      </c>
      <c r="B846" s="413" t="s">
        <v>123</v>
      </c>
      <c r="C846" s="384">
        <v>1</v>
      </c>
      <c r="D846" s="482" t="s">
        <v>4304</v>
      </c>
      <c r="E846" s="486" t="s">
        <v>6008</v>
      </c>
      <c r="F846" s="593" t="s">
        <v>4305</v>
      </c>
      <c r="G846" s="634" t="s">
        <v>6215</v>
      </c>
      <c r="H846" s="882"/>
      <c r="I846" s="1266"/>
    </row>
    <row r="847" spans="1:9" hidden="1">
      <c r="A847" s="428" t="s">
        <v>6268</v>
      </c>
      <c r="B847" s="413" t="s">
        <v>123</v>
      </c>
      <c r="C847" s="384">
        <v>1</v>
      </c>
      <c r="D847" s="482" t="s">
        <v>4306</v>
      </c>
      <c r="E847" s="486" t="s">
        <v>6009</v>
      </c>
      <c r="F847" s="593" t="s">
        <v>4307</v>
      </c>
      <c r="G847" s="634" t="s">
        <v>6215</v>
      </c>
      <c r="H847" s="882"/>
      <c r="I847" s="1266"/>
    </row>
    <row r="848" spans="1:9" hidden="1">
      <c r="A848" s="428" t="s">
        <v>6268</v>
      </c>
      <c r="B848" s="413" t="s">
        <v>123</v>
      </c>
      <c r="C848" s="384">
        <v>1</v>
      </c>
      <c r="D848" s="482" t="s">
        <v>4308</v>
      </c>
      <c r="E848" s="486" t="s">
        <v>6010</v>
      </c>
      <c r="F848" s="593" t="s">
        <v>4309</v>
      </c>
      <c r="G848" s="634" t="s">
        <v>6215</v>
      </c>
      <c r="H848" s="882"/>
      <c r="I848" s="1266"/>
    </row>
    <row r="849" spans="1:9" hidden="1">
      <c r="A849" s="428" t="s">
        <v>6268</v>
      </c>
      <c r="B849" s="413" t="s">
        <v>123</v>
      </c>
      <c r="C849" s="384">
        <v>1</v>
      </c>
      <c r="D849" s="482" t="s">
        <v>4310</v>
      </c>
      <c r="E849" s="486" t="s">
        <v>6011</v>
      </c>
      <c r="F849" s="593" t="s">
        <v>4311</v>
      </c>
      <c r="G849" s="634" t="s">
        <v>6215</v>
      </c>
      <c r="H849" s="882"/>
      <c r="I849" s="1266"/>
    </row>
    <row r="850" spans="1:9" hidden="1">
      <c r="A850" s="428" t="s">
        <v>6268</v>
      </c>
      <c r="B850" s="413" t="s">
        <v>123</v>
      </c>
      <c r="C850" s="384">
        <v>1</v>
      </c>
      <c r="D850" s="482" t="s">
        <v>4312</v>
      </c>
      <c r="E850" s="486" t="s">
        <v>6012</v>
      </c>
      <c r="F850" s="593" t="s">
        <v>4313</v>
      </c>
      <c r="G850" s="634" t="s">
        <v>6215</v>
      </c>
      <c r="H850" s="882"/>
      <c r="I850" s="1266"/>
    </row>
    <row r="851" spans="1:9" hidden="1">
      <c r="A851" s="428" t="s">
        <v>6268</v>
      </c>
      <c r="B851" s="413" t="s">
        <v>123</v>
      </c>
      <c r="C851" s="384">
        <v>1</v>
      </c>
      <c r="D851" s="482" t="s">
        <v>4314</v>
      </c>
      <c r="E851" s="486" t="s">
        <v>6013</v>
      </c>
      <c r="F851" s="593" t="s">
        <v>4315</v>
      </c>
      <c r="G851" s="634" t="s">
        <v>6215</v>
      </c>
      <c r="H851" s="882"/>
      <c r="I851" s="1266"/>
    </row>
    <row r="852" spans="1:9" hidden="1">
      <c r="A852" s="428" t="s">
        <v>6268</v>
      </c>
      <c r="B852" s="413" t="s">
        <v>123</v>
      </c>
      <c r="C852" s="384">
        <v>1</v>
      </c>
      <c r="D852" s="482" t="s">
        <v>4316</v>
      </c>
      <c r="E852" s="486" t="s">
        <v>6014</v>
      </c>
      <c r="F852" s="593" t="s">
        <v>4317</v>
      </c>
      <c r="G852" s="634" t="s">
        <v>6215</v>
      </c>
      <c r="H852" s="882"/>
      <c r="I852" s="1266"/>
    </row>
    <row r="853" spans="1:9" hidden="1">
      <c r="A853" s="428" t="s">
        <v>6268</v>
      </c>
      <c r="B853" s="413" t="s">
        <v>123</v>
      </c>
      <c r="C853" s="384">
        <v>1</v>
      </c>
      <c r="D853" s="482">
        <v>95</v>
      </c>
      <c r="E853" s="486" t="s">
        <v>6015</v>
      </c>
      <c r="F853" s="593" t="s">
        <v>4318</v>
      </c>
      <c r="G853" s="634" t="s">
        <v>6215</v>
      </c>
      <c r="H853" s="882"/>
      <c r="I853" s="1266"/>
    </row>
    <row r="854" spans="1:9" hidden="1">
      <c r="A854" s="428" t="s">
        <v>6268</v>
      </c>
      <c r="B854" s="413" t="s">
        <v>123</v>
      </c>
      <c r="C854" s="384">
        <v>1</v>
      </c>
      <c r="D854" s="482" t="s">
        <v>4319</v>
      </c>
      <c r="E854" s="486" t="s">
        <v>6016</v>
      </c>
      <c r="F854" s="593" t="s">
        <v>4320</v>
      </c>
      <c r="G854" s="634" t="s">
        <v>6215</v>
      </c>
      <c r="H854" s="882"/>
      <c r="I854" s="1266"/>
    </row>
    <row r="855" spans="1:9" hidden="1">
      <c r="A855" s="428" t="s">
        <v>6268</v>
      </c>
      <c r="B855" s="413" t="s">
        <v>123</v>
      </c>
      <c r="C855" s="384">
        <v>1</v>
      </c>
      <c r="D855" s="482" t="s">
        <v>4321</v>
      </c>
      <c r="E855" s="486" t="s">
        <v>6017</v>
      </c>
      <c r="F855" s="593" t="s">
        <v>4322</v>
      </c>
      <c r="G855" s="634" t="s">
        <v>6215</v>
      </c>
      <c r="H855" s="882"/>
      <c r="I855" s="1266"/>
    </row>
    <row r="856" spans="1:9" hidden="1">
      <c r="A856" s="428" t="s">
        <v>6268</v>
      </c>
      <c r="B856" s="413" t="s">
        <v>123</v>
      </c>
      <c r="C856" s="384">
        <v>1</v>
      </c>
      <c r="D856" s="482" t="s">
        <v>4323</v>
      </c>
      <c r="E856" s="486" t="s">
        <v>6018</v>
      </c>
      <c r="F856" s="593" t="s">
        <v>4324</v>
      </c>
      <c r="G856" s="634" t="s">
        <v>6215</v>
      </c>
      <c r="H856" s="882"/>
      <c r="I856" s="1266"/>
    </row>
    <row r="857" spans="1:9" hidden="1">
      <c r="A857" s="428" t="s">
        <v>6268</v>
      </c>
      <c r="B857" s="413" t="s">
        <v>123</v>
      </c>
      <c r="C857" s="384">
        <v>1</v>
      </c>
      <c r="D857" s="482" t="s">
        <v>4325</v>
      </c>
      <c r="E857" s="486" t="s">
        <v>6019</v>
      </c>
      <c r="F857" s="593" t="s">
        <v>4326</v>
      </c>
      <c r="G857" s="634" t="s">
        <v>6215</v>
      </c>
      <c r="H857" s="882"/>
      <c r="I857" s="1266"/>
    </row>
    <row r="858" spans="1:9" hidden="1">
      <c r="A858" s="428" t="s">
        <v>6268</v>
      </c>
      <c r="B858" s="413" t="s">
        <v>123</v>
      </c>
      <c r="C858" s="384">
        <v>1</v>
      </c>
      <c r="D858" s="482" t="s">
        <v>4327</v>
      </c>
      <c r="E858" s="486" t="s">
        <v>6020</v>
      </c>
      <c r="F858" s="593" t="s">
        <v>4328</v>
      </c>
      <c r="G858" s="634" t="s">
        <v>6215</v>
      </c>
      <c r="H858" s="882"/>
      <c r="I858" s="1266"/>
    </row>
    <row r="859" spans="1:9" hidden="1">
      <c r="A859" s="428" t="s">
        <v>6268</v>
      </c>
      <c r="B859" s="413" t="s">
        <v>123</v>
      </c>
      <c r="C859" s="384">
        <v>1</v>
      </c>
      <c r="D859" s="482" t="s">
        <v>4329</v>
      </c>
      <c r="E859" s="486" t="s">
        <v>6021</v>
      </c>
      <c r="F859" s="593" t="s">
        <v>4330</v>
      </c>
      <c r="G859" s="634" t="s">
        <v>6215</v>
      </c>
      <c r="H859" s="882"/>
      <c r="I859" s="1266"/>
    </row>
    <row r="860" spans="1:9" hidden="1">
      <c r="A860" s="428" t="s">
        <v>6268</v>
      </c>
      <c r="B860" s="413" t="s">
        <v>123</v>
      </c>
      <c r="C860" s="384">
        <v>1</v>
      </c>
      <c r="D860" s="482" t="s">
        <v>4331</v>
      </c>
      <c r="E860" s="486" t="s">
        <v>6022</v>
      </c>
      <c r="F860" s="593" t="s">
        <v>4332</v>
      </c>
      <c r="G860" s="634" t="s">
        <v>6215</v>
      </c>
      <c r="H860" s="882"/>
      <c r="I860" s="1266"/>
    </row>
    <row r="861" spans="1:9" hidden="1">
      <c r="A861" s="428" t="s">
        <v>6268</v>
      </c>
      <c r="B861" s="413" t="s">
        <v>123</v>
      </c>
      <c r="C861" s="384">
        <v>1</v>
      </c>
      <c r="D861" s="482" t="s">
        <v>4333</v>
      </c>
      <c r="E861" s="486" t="s">
        <v>6023</v>
      </c>
      <c r="F861" s="593" t="s">
        <v>4334</v>
      </c>
      <c r="G861" s="634" t="s">
        <v>6215</v>
      </c>
      <c r="H861" s="882"/>
      <c r="I861" s="1266"/>
    </row>
    <row r="862" spans="1:9" hidden="1">
      <c r="A862" s="428" t="s">
        <v>6268</v>
      </c>
      <c r="B862" s="413" t="s">
        <v>123</v>
      </c>
      <c r="C862" s="384">
        <v>1</v>
      </c>
      <c r="D862" s="482" t="s">
        <v>4335</v>
      </c>
      <c r="E862" s="486" t="s">
        <v>6024</v>
      </c>
      <c r="F862" s="593" t="s">
        <v>4336</v>
      </c>
      <c r="G862" s="634" t="s">
        <v>6215</v>
      </c>
      <c r="H862" s="882"/>
      <c r="I862" s="1266"/>
    </row>
    <row r="863" spans="1:9" hidden="1">
      <c r="A863" s="428" t="s">
        <v>6268</v>
      </c>
      <c r="B863" s="413" t="s">
        <v>123</v>
      </c>
      <c r="C863" s="384">
        <v>1</v>
      </c>
      <c r="D863" s="482" t="s">
        <v>4337</v>
      </c>
      <c r="E863" s="486" t="s">
        <v>6025</v>
      </c>
      <c r="F863" s="593" t="s">
        <v>4338</v>
      </c>
      <c r="G863" s="634" t="s">
        <v>6215</v>
      </c>
      <c r="H863" s="882"/>
      <c r="I863" s="1266"/>
    </row>
    <row r="864" spans="1:9" hidden="1">
      <c r="A864" s="428" t="s">
        <v>6268</v>
      </c>
      <c r="B864" s="413" t="s">
        <v>123</v>
      </c>
      <c r="C864" s="384">
        <v>1</v>
      </c>
      <c r="D864" s="482">
        <v>96</v>
      </c>
      <c r="E864" s="486" t="s">
        <v>6026</v>
      </c>
      <c r="F864" s="593" t="s">
        <v>4339</v>
      </c>
      <c r="G864" s="634" t="s">
        <v>6215</v>
      </c>
      <c r="H864" s="882"/>
      <c r="I864" s="1266"/>
    </row>
    <row r="865" spans="1:9" hidden="1">
      <c r="A865" s="428" t="s">
        <v>6268</v>
      </c>
      <c r="B865" s="413" t="s">
        <v>123</v>
      </c>
      <c r="C865" s="384">
        <v>1</v>
      </c>
      <c r="D865" s="482" t="s">
        <v>4340</v>
      </c>
      <c r="E865" s="486" t="s">
        <v>6027</v>
      </c>
      <c r="F865" s="593" t="s">
        <v>4341</v>
      </c>
      <c r="G865" s="634" t="s">
        <v>6215</v>
      </c>
      <c r="H865" s="882"/>
      <c r="I865" s="1266"/>
    </row>
    <row r="866" spans="1:9" hidden="1">
      <c r="A866" s="428" t="s">
        <v>6268</v>
      </c>
      <c r="B866" s="413" t="s">
        <v>123</v>
      </c>
      <c r="C866" s="384">
        <v>1</v>
      </c>
      <c r="D866" s="482" t="s">
        <v>4342</v>
      </c>
      <c r="E866" s="486" t="s">
        <v>6028</v>
      </c>
      <c r="F866" s="593" t="s">
        <v>4343</v>
      </c>
      <c r="G866" s="634" t="s">
        <v>6215</v>
      </c>
      <c r="H866" s="882"/>
      <c r="I866" s="1266"/>
    </row>
    <row r="867" spans="1:9" hidden="1">
      <c r="A867" s="428" t="s">
        <v>6268</v>
      </c>
      <c r="B867" s="413" t="s">
        <v>123</v>
      </c>
      <c r="C867" s="384">
        <v>1</v>
      </c>
      <c r="D867" s="482" t="s">
        <v>4344</v>
      </c>
      <c r="E867" s="486" t="s">
        <v>6029</v>
      </c>
      <c r="F867" s="593" t="s">
        <v>4345</v>
      </c>
      <c r="G867" s="634" t="s">
        <v>6215</v>
      </c>
      <c r="H867" s="882"/>
      <c r="I867" s="1266"/>
    </row>
    <row r="868" spans="1:9" hidden="1">
      <c r="A868" s="428" t="s">
        <v>6268</v>
      </c>
      <c r="B868" s="413" t="s">
        <v>123</v>
      </c>
      <c r="C868" s="384">
        <v>1</v>
      </c>
      <c r="D868" s="482" t="s">
        <v>4346</v>
      </c>
      <c r="E868" s="486" t="s">
        <v>6030</v>
      </c>
      <c r="F868" s="593" t="s">
        <v>4347</v>
      </c>
      <c r="G868" s="634" t="s">
        <v>6215</v>
      </c>
      <c r="H868" s="882"/>
      <c r="I868" s="1266"/>
    </row>
    <row r="869" spans="1:9" hidden="1">
      <c r="A869" s="428" t="s">
        <v>6268</v>
      </c>
      <c r="B869" s="413" t="s">
        <v>123</v>
      </c>
      <c r="C869" s="384">
        <v>1</v>
      </c>
      <c r="D869" s="482" t="s">
        <v>4348</v>
      </c>
      <c r="E869" s="486" t="s">
        <v>6031</v>
      </c>
      <c r="F869" s="593" t="s">
        <v>4349</v>
      </c>
      <c r="G869" s="634" t="s">
        <v>6215</v>
      </c>
      <c r="H869" s="882"/>
      <c r="I869" s="1266"/>
    </row>
    <row r="870" spans="1:9" hidden="1">
      <c r="A870" s="428" t="s">
        <v>6268</v>
      </c>
      <c r="B870" s="413" t="s">
        <v>123</v>
      </c>
      <c r="C870" s="384">
        <v>1</v>
      </c>
      <c r="D870" s="482">
        <v>97</v>
      </c>
      <c r="E870" s="486" t="s">
        <v>6032</v>
      </c>
      <c r="F870" s="593" t="s">
        <v>4350</v>
      </c>
      <c r="G870" s="634" t="s">
        <v>6215</v>
      </c>
      <c r="H870" s="882"/>
      <c r="I870" s="1266"/>
    </row>
    <row r="871" spans="1:9" hidden="1">
      <c r="A871" s="428" t="s">
        <v>6268</v>
      </c>
      <c r="B871" s="413" t="s">
        <v>123</v>
      </c>
      <c r="C871" s="384">
        <v>1</v>
      </c>
      <c r="D871" s="482">
        <v>98</v>
      </c>
      <c r="E871" s="486" t="s">
        <v>6033</v>
      </c>
      <c r="F871" s="593" t="s">
        <v>4351</v>
      </c>
      <c r="G871" s="634" t="s">
        <v>6215</v>
      </c>
      <c r="H871" s="882"/>
      <c r="I871" s="1266"/>
    </row>
    <row r="872" spans="1:9" hidden="1">
      <c r="A872" s="428" t="s">
        <v>6268</v>
      </c>
      <c r="B872" s="413" t="s">
        <v>123</v>
      </c>
      <c r="C872" s="384">
        <v>1</v>
      </c>
      <c r="D872" s="482" t="s">
        <v>4352</v>
      </c>
      <c r="E872" s="486" t="s">
        <v>6034</v>
      </c>
      <c r="F872" s="593" t="s">
        <v>4353</v>
      </c>
      <c r="G872" s="634" t="s">
        <v>6215</v>
      </c>
      <c r="H872" s="882"/>
      <c r="I872" s="1266"/>
    </row>
    <row r="873" spans="1:9" hidden="1">
      <c r="A873" s="428" t="s">
        <v>6268</v>
      </c>
      <c r="B873" s="413" t="s">
        <v>123</v>
      </c>
      <c r="C873" s="384">
        <v>1</v>
      </c>
      <c r="D873" s="482" t="s">
        <v>4354</v>
      </c>
      <c r="E873" s="486" t="s">
        <v>6035</v>
      </c>
      <c r="F873" s="593" t="s">
        <v>4355</v>
      </c>
      <c r="G873" s="634" t="s">
        <v>6215</v>
      </c>
      <c r="H873" s="882"/>
      <c r="I873" s="1266"/>
    </row>
    <row r="874" spans="1:9" hidden="1">
      <c r="A874" s="429" t="s">
        <v>6268</v>
      </c>
      <c r="B874" s="415" t="s">
        <v>123</v>
      </c>
      <c r="C874" s="494">
        <v>1</v>
      </c>
      <c r="D874" s="507">
        <v>99</v>
      </c>
      <c r="E874" s="508" t="s">
        <v>6036</v>
      </c>
      <c r="F874" s="595" t="s">
        <v>4356</v>
      </c>
      <c r="G874" s="681" t="s">
        <v>6215</v>
      </c>
      <c r="H874" s="1273"/>
      <c r="I874" s="1274"/>
    </row>
    <row r="875" spans="1:9" hidden="1">
      <c r="A875" s="646" t="s">
        <v>6268</v>
      </c>
      <c r="B875" s="511" t="s">
        <v>112</v>
      </c>
      <c r="C875" s="512">
        <v>1</v>
      </c>
      <c r="D875" s="682" t="s">
        <v>6277</v>
      </c>
      <c r="E875" s="683" t="s">
        <v>6278</v>
      </c>
      <c r="F875" s="684" t="s">
        <v>6278</v>
      </c>
      <c r="G875" s="646"/>
      <c r="H875" s="1275" t="s">
        <v>6279</v>
      </c>
      <c r="I875" s="1294" t="s">
        <v>5</v>
      </c>
    </row>
    <row r="876" spans="1:9" hidden="1">
      <c r="A876" s="605" t="s">
        <v>6268</v>
      </c>
      <c r="B876" s="425" t="s">
        <v>112</v>
      </c>
      <c r="C876" s="493">
        <v>1</v>
      </c>
      <c r="D876" s="501" t="s">
        <v>6280</v>
      </c>
      <c r="E876" s="502" t="s">
        <v>6281</v>
      </c>
      <c r="F876" s="594" t="s">
        <v>6281</v>
      </c>
      <c r="G876" s="605"/>
      <c r="H876" s="1258"/>
      <c r="I876" s="1260"/>
    </row>
    <row r="877" spans="1:9" hidden="1">
      <c r="A877" s="630" t="s">
        <v>6271</v>
      </c>
      <c r="B877" s="414" t="s">
        <v>185</v>
      </c>
      <c r="C877" s="492">
        <v>1</v>
      </c>
      <c r="D877" s="481">
        <v>1</v>
      </c>
      <c r="E877" s="485" t="s">
        <v>4363</v>
      </c>
      <c r="F877" s="620" t="s">
        <v>4363</v>
      </c>
      <c r="G877" s="630"/>
      <c r="H877" s="1257" t="s">
        <v>6282</v>
      </c>
      <c r="I877" s="1261" t="s">
        <v>5</v>
      </c>
    </row>
    <row r="878" spans="1:9" hidden="1">
      <c r="A878" s="631" t="s">
        <v>6271</v>
      </c>
      <c r="B878" s="413" t="s">
        <v>185</v>
      </c>
      <c r="C878" s="384">
        <v>1</v>
      </c>
      <c r="D878" s="482">
        <v>2</v>
      </c>
      <c r="E878" s="486" t="s">
        <v>4368</v>
      </c>
      <c r="F878" s="593" t="s">
        <v>4368</v>
      </c>
      <c r="G878" s="631"/>
      <c r="H878" s="882"/>
      <c r="I878" s="1266"/>
    </row>
    <row r="879" spans="1:9" hidden="1">
      <c r="A879" s="631" t="s">
        <v>6271</v>
      </c>
      <c r="B879" s="413" t="s">
        <v>185</v>
      </c>
      <c r="C879" s="384">
        <v>1</v>
      </c>
      <c r="D879" s="482">
        <v>3</v>
      </c>
      <c r="E879" s="486" t="s">
        <v>4367</v>
      </c>
      <c r="F879" s="593" t="s">
        <v>4367</v>
      </c>
      <c r="G879" s="631"/>
      <c r="H879" s="882"/>
      <c r="I879" s="1266"/>
    </row>
    <row r="880" spans="1:9" hidden="1">
      <c r="A880" s="605" t="s">
        <v>6271</v>
      </c>
      <c r="B880" s="425" t="s">
        <v>185</v>
      </c>
      <c r="C880" s="493">
        <v>1</v>
      </c>
      <c r="D880" s="501">
        <v>4</v>
      </c>
      <c r="E880" s="502" t="s">
        <v>4365</v>
      </c>
      <c r="F880" s="594" t="s">
        <v>4366</v>
      </c>
      <c r="G880" s="605"/>
      <c r="H880" s="1258"/>
      <c r="I880" s="1262"/>
    </row>
    <row r="881" spans="1:9" hidden="1">
      <c r="A881" s="630" t="s">
        <v>6268</v>
      </c>
      <c r="B881" s="414" t="s">
        <v>78</v>
      </c>
      <c r="C881" s="492">
        <v>1</v>
      </c>
      <c r="D881" s="481">
        <v>3</v>
      </c>
      <c r="E881" s="485" t="s">
        <v>2767</v>
      </c>
      <c r="F881" s="620" t="s">
        <v>2768</v>
      </c>
      <c r="G881" s="633" t="s">
        <v>6215</v>
      </c>
      <c r="H881" s="1257" t="s">
        <v>6283</v>
      </c>
      <c r="I881" s="1261" t="s">
        <v>5</v>
      </c>
    </row>
    <row r="882" spans="1:9" hidden="1">
      <c r="A882" s="631" t="s">
        <v>6268</v>
      </c>
      <c r="B882" s="413" t="s">
        <v>78</v>
      </c>
      <c r="C882" s="384">
        <v>1</v>
      </c>
      <c r="D882" s="482">
        <v>4</v>
      </c>
      <c r="E882" s="486" t="s">
        <v>2770</v>
      </c>
      <c r="F882" s="593" t="s">
        <v>2770</v>
      </c>
      <c r="G882" s="634" t="s">
        <v>6215</v>
      </c>
      <c r="H882" s="882"/>
      <c r="I882" s="1266"/>
    </row>
    <row r="883" spans="1:9" hidden="1">
      <c r="A883" s="631" t="s">
        <v>6268</v>
      </c>
      <c r="B883" s="413" t="s">
        <v>78</v>
      </c>
      <c r="C883" s="384">
        <v>1</v>
      </c>
      <c r="D883" s="482">
        <v>5</v>
      </c>
      <c r="E883" s="486" t="s">
        <v>2771</v>
      </c>
      <c r="F883" s="593" t="s">
        <v>2771</v>
      </c>
      <c r="G883" s="634" t="s">
        <v>6215</v>
      </c>
      <c r="H883" s="882"/>
      <c r="I883" s="1266"/>
    </row>
    <row r="884" spans="1:9" hidden="1">
      <c r="A884" s="631" t="s">
        <v>6268</v>
      </c>
      <c r="B884" s="413" t="s">
        <v>78</v>
      </c>
      <c r="C884" s="384">
        <v>1</v>
      </c>
      <c r="D884" s="482">
        <v>8</v>
      </c>
      <c r="E884" s="486" t="s">
        <v>2772</v>
      </c>
      <c r="F884" s="593" t="s">
        <v>2772</v>
      </c>
      <c r="G884" s="634" t="s">
        <v>6215</v>
      </c>
      <c r="H884" s="882"/>
      <c r="I884" s="1266"/>
    </row>
    <row r="885" spans="1:9" hidden="1">
      <c r="A885" s="605" t="s">
        <v>6268</v>
      </c>
      <c r="B885" s="425" t="s">
        <v>78</v>
      </c>
      <c r="C885" s="493">
        <v>1</v>
      </c>
      <c r="D885" s="501">
        <v>9</v>
      </c>
      <c r="E885" s="502" t="s">
        <v>2773</v>
      </c>
      <c r="F885" s="594" t="s">
        <v>2773</v>
      </c>
      <c r="G885" s="632" t="s">
        <v>6215</v>
      </c>
      <c r="H885" s="1258"/>
      <c r="I885" s="1262"/>
    </row>
    <row r="886" spans="1:9" hidden="1">
      <c r="A886" s="630" t="s">
        <v>6268</v>
      </c>
      <c r="B886" s="414" t="s">
        <v>104</v>
      </c>
      <c r="C886" s="492">
        <v>1</v>
      </c>
      <c r="D886" s="481">
        <v>1</v>
      </c>
      <c r="E886" s="485" t="s">
        <v>2723</v>
      </c>
      <c r="F886" s="620" t="s">
        <v>2723</v>
      </c>
      <c r="G886" s="630"/>
      <c r="H886" s="1257" t="s">
        <v>6284</v>
      </c>
      <c r="I886" s="1261" t="s">
        <v>5</v>
      </c>
    </row>
    <row r="887" spans="1:9" hidden="1">
      <c r="A887" s="605" t="s">
        <v>6268</v>
      </c>
      <c r="B887" s="425" t="s">
        <v>104</v>
      </c>
      <c r="C887" s="493">
        <v>1</v>
      </c>
      <c r="D887" s="501">
        <v>2</v>
      </c>
      <c r="E887" s="502" t="s">
        <v>2726</v>
      </c>
      <c r="F887" s="594" t="s">
        <v>2726</v>
      </c>
      <c r="G887" s="605"/>
      <c r="H887" s="1258"/>
      <c r="I887" s="1262"/>
    </row>
    <row r="888" spans="1:9" hidden="1">
      <c r="A888" s="630" t="s">
        <v>6268</v>
      </c>
      <c r="B888" s="414" t="s">
        <v>79</v>
      </c>
      <c r="C888" s="492">
        <v>1</v>
      </c>
      <c r="D888" s="481">
        <v>21</v>
      </c>
      <c r="E888" s="485" t="s">
        <v>2716</v>
      </c>
      <c r="F888" s="620" t="s">
        <v>2716</v>
      </c>
      <c r="G888" s="630"/>
      <c r="H888" s="1257" t="s">
        <v>6285</v>
      </c>
      <c r="I888" s="1261" t="s">
        <v>5</v>
      </c>
    </row>
    <row r="889" spans="1:9" hidden="1">
      <c r="A889" s="631" t="s">
        <v>6268</v>
      </c>
      <c r="B889" s="413" t="s">
        <v>79</v>
      </c>
      <c r="C889" s="384">
        <v>1</v>
      </c>
      <c r="D889" s="482">
        <v>23</v>
      </c>
      <c r="E889" s="486" t="s">
        <v>2719</v>
      </c>
      <c r="F889" s="593" t="s">
        <v>2719</v>
      </c>
      <c r="G889" s="631"/>
      <c r="H889" s="882"/>
      <c r="I889" s="1266"/>
    </row>
    <row r="890" spans="1:9" hidden="1">
      <c r="A890" s="631" t="s">
        <v>6268</v>
      </c>
      <c r="B890" s="413" t="s">
        <v>79</v>
      </c>
      <c r="C890" s="384">
        <v>1</v>
      </c>
      <c r="D890" s="482">
        <v>24</v>
      </c>
      <c r="E890" s="486" t="s">
        <v>2720</v>
      </c>
      <c r="F890" s="593" t="s">
        <v>2720</v>
      </c>
      <c r="G890" s="631"/>
      <c r="H890" s="882"/>
      <c r="I890" s="1266"/>
    </row>
    <row r="891" spans="1:9" hidden="1">
      <c r="A891" s="631" t="s">
        <v>6268</v>
      </c>
      <c r="B891" s="413" t="s">
        <v>79</v>
      </c>
      <c r="C891" s="384">
        <v>1</v>
      </c>
      <c r="D891" s="482">
        <v>25</v>
      </c>
      <c r="E891" s="486" t="s">
        <v>2721</v>
      </c>
      <c r="F891" s="593" t="s">
        <v>2721</v>
      </c>
      <c r="G891" s="631"/>
      <c r="H891" s="882"/>
      <c r="I891" s="1266"/>
    </row>
    <row r="892" spans="1:9" hidden="1">
      <c r="A892" s="605" t="s">
        <v>6268</v>
      </c>
      <c r="B892" s="425" t="s">
        <v>79</v>
      </c>
      <c r="C892" s="493">
        <v>1</v>
      </c>
      <c r="D892" s="501">
        <v>26</v>
      </c>
      <c r="E892" s="502" t="s">
        <v>2722</v>
      </c>
      <c r="F892" s="594" t="s">
        <v>2722</v>
      </c>
      <c r="G892" s="605"/>
      <c r="H892" s="1258"/>
      <c r="I892" s="1262"/>
    </row>
    <row r="893" spans="1:9" hidden="1">
      <c r="A893" s="630" t="s">
        <v>6268</v>
      </c>
      <c r="B893" s="414" t="s">
        <v>81</v>
      </c>
      <c r="C893" s="492">
        <v>1</v>
      </c>
      <c r="D893" s="481" t="s">
        <v>2226</v>
      </c>
      <c r="E893" s="485" t="s">
        <v>2227</v>
      </c>
      <c r="F893" s="620" t="s">
        <v>2227</v>
      </c>
      <c r="G893" s="630"/>
      <c r="H893" s="1267" t="s">
        <v>6286</v>
      </c>
      <c r="I893" s="1270" t="s">
        <v>5</v>
      </c>
    </row>
    <row r="894" spans="1:9" hidden="1">
      <c r="A894" s="631" t="s">
        <v>6268</v>
      </c>
      <c r="B894" s="413" t="s">
        <v>81</v>
      </c>
      <c r="C894" s="384">
        <v>1</v>
      </c>
      <c r="D894" s="482" t="s">
        <v>2228</v>
      </c>
      <c r="E894" s="486" t="s">
        <v>2229</v>
      </c>
      <c r="F894" s="593" t="s">
        <v>2229</v>
      </c>
      <c r="G894" s="631"/>
      <c r="H894" s="1268"/>
      <c r="I894" s="1271"/>
    </row>
    <row r="895" spans="1:9" hidden="1">
      <c r="A895" s="631" t="s">
        <v>6268</v>
      </c>
      <c r="B895" s="413" t="s">
        <v>81</v>
      </c>
      <c r="C895" s="384">
        <v>1</v>
      </c>
      <c r="D895" s="482" t="s">
        <v>2222</v>
      </c>
      <c r="E895" s="486" t="s">
        <v>2223</v>
      </c>
      <c r="F895" s="593" t="s">
        <v>2223</v>
      </c>
      <c r="G895" s="631"/>
      <c r="H895" s="1268"/>
      <c r="I895" s="1271"/>
    </row>
    <row r="896" spans="1:9" hidden="1">
      <c r="A896" s="631" t="s">
        <v>6268</v>
      </c>
      <c r="B896" s="413" t="s">
        <v>81</v>
      </c>
      <c r="C896" s="384">
        <v>1</v>
      </c>
      <c r="D896" s="482" t="s">
        <v>2219</v>
      </c>
      <c r="E896" s="486" t="s">
        <v>2220</v>
      </c>
      <c r="F896" s="593" t="s">
        <v>2220</v>
      </c>
      <c r="G896" s="631"/>
      <c r="H896" s="1268"/>
      <c r="I896" s="1271"/>
    </row>
    <row r="897" spans="1:9" hidden="1">
      <c r="A897" s="631" t="s">
        <v>6268</v>
      </c>
      <c r="B897" s="413" t="s">
        <v>81</v>
      </c>
      <c r="C897" s="384">
        <v>1</v>
      </c>
      <c r="D897" s="482" t="s">
        <v>2224</v>
      </c>
      <c r="E897" s="486" t="s">
        <v>2225</v>
      </c>
      <c r="F897" s="593" t="s">
        <v>2225</v>
      </c>
      <c r="G897" s="631"/>
      <c r="H897" s="1268"/>
      <c r="I897" s="1271"/>
    </row>
    <row r="898" spans="1:9" hidden="1">
      <c r="A898" s="631" t="s">
        <v>6268</v>
      </c>
      <c r="B898" s="413" t="s">
        <v>81</v>
      </c>
      <c r="C898" s="384">
        <v>1</v>
      </c>
      <c r="D898" s="482" t="s">
        <v>2230</v>
      </c>
      <c r="E898" s="486" t="s">
        <v>2231</v>
      </c>
      <c r="F898" s="593" t="s">
        <v>2231</v>
      </c>
      <c r="G898" s="631"/>
      <c r="H898" s="1268"/>
      <c r="I898" s="1271"/>
    </row>
    <row r="899" spans="1:9" hidden="1">
      <c r="A899" s="605" t="s">
        <v>6268</v>
      </c>
      <c r="B899" s="425" t="s">
        <v>81</v>
      </c>
      <c r="C899" s="493">
        <v>1</v>
      </c>
      <c r="D899" s="501" t="s">
        <v>6287</v>
      </c>
      <c r="E899" s="580" t="s">
        <v>422</v>
      </c>
      <c r="F899" s="621" t="s">
        <v>6287</v>
      </c>
      <c r="G899" s="635" t="s">
        <v>6288</v>
      </c>
      <c r="H899" s="1269"/>
      <c r="I899" s="1272"/>
    </row>
    <row r="900" spans="1:9" hidden="1">
      <c r="A900" s="630" t="s">
        <v>6268</v>
      </c>
      <c r="B900" s="414" t="s">
        <v>108</v>
      </c>
      <c r="C900" s="492">
        <v>1</v>
      </c>
      <c r="D900" s="492">
        <v>1</v>
      </c>
      <c r="E900" s="485" t="s">
        <v>2296</v>
      </c>
      <c r="F900" s="620" t="s">
        <v>2300</v>
      </c>
      <c r="G900" s="633" t="s">
        <v>6215</v>
      </c>
      <c r="H900" s="1257" t="s">
        <v>6289</v>
      </c>
      <c r="I900" s="1261" t="s">
        <v>5</v>
      </c>
    </row>
    <row r="901" spans="1:9" hidden="1">
      <c r="A901" s="631" t="s">
        <v>6268</v>
      </c>
      <c r="B901" s="413" t="s">
        <v>108</v>
      </c>
      <c r="C901" s="384">
        <v>1</v>
      </c>
      <c r="D901" s="384">
        <v>3</v>
      </c>
      <c r="E901" s="486" t="s">
        <v>2540</v>
      </c>
      <c r="F901" s="593" t="s">
        <v>2540</v>
      </c>
      <c r="G901" s="634" t="s">
        <v>6215</v>
      </c>
      <c r="H901" s="882"/>
      <c r="I901" s="1266"/>
    </row>
    <row r="902" spans="1:9" hidden="1">
      <c r="A902" s="631" t="s">
        <v>6268</v>
      </c>
      <c r="B902" s="413" t="s">
        <v>108</v>
      </c>
      <c r="C902" s="384">
        <v>1</v>
      </c>
      <c r="D902" s="384">
        <v>8</v>
      </c>
      <c r="E902" s="486" t="s">
        <v>2296</v>
      </c>
      <c r="F902" s="593" t="s">
        <v>2297</v>
      </c>
      <c r="G902" s="634" t="s">
        <v>6215</v>
      </c>
      <c r="H902" s="882"/>
      <c r="I902" s="1266"/>
    </row>
    <row r="903" spans="1:9" hidden="1">
      <c r="A903" s="631" t="s">
        <v>6268</v>
      </c>
      <c r="B903" s="413" t="s">
        <v>108</v>
      </c>
      <c r="C903" s="384">
        <v>1</v>
      </c>
      <c r="D903" s="384">
        <v>12</v>
      </c>
      <c r="E903" s="486" t="s">
        <v>2293</v>
      </c>
      <c r="F903" s="593" t="s">
        <v>2294</v>
      </c>
      <c r="G903" s="634" t="s">
        <v>6215</v>
      </c>
      <c r="H903" s="882"/>
      <c r="I903" s="1266"/>
    </row>
    <row r="904" spans="1:9" hidden="1">
      <c r="A904" s="631" t="s">
        <v>6268</v>
      </c>
      <c r="B904" s="413" t="s">
        <v>108</v>
      </c>
      <c r="C904" s="384">
        <v>1</v>
      </c>
      <c r="D904" s="384">
        <v>16</v>
      </c>
      <c r="E904" s="486" t="s">
        <v>2542</v>
      </c>
      <c r="F904" s="570" t="s">
        <v>2542</v>
      </c>
      <c r="G904" s="634" t="s">
        <v>6215</v>
      </c>
      <c r="H904" s="882"/>
      <c r="I904" s="1266"/>
    </row>
    <row r="905" spans="1:9" hidden="1">
      <c r="A905" s="631" t="s">
        <v>6268</v>
      </c>
      <c r="B905" s="413" t="s">
        <v>108</v>
      </c>
      <c r="C905" s="384">
        <v>1</v>
      </c>
      <c r="D905" s="384">
        <v>18</v>
      </c>
      <c r="E905" s="486" t="s">
        <v>2296</v>
      </c>
      <c r="F905" s="593" t="s">
        <v>2298</v>
      </c>
      <c r="G905" s="634" t="s">
        <v>6215</v>
      </c>
      <c r="H905" s="882"/>
      <c r="I905" s="1266"/>
    </row>
    <row r="906" spans="1:9" hidden="1">
      <c r="A906" s="605" t="s">
        <v>6268</v>
      </c>
      <c r="B906" s="425" t="s">
        <v>108</v>
      </c>
      <c r="C906" s="493">
        <v>1</v>
      </c>
      <c r="D906" s="493">
        <v>19</v>
      </c>
      <c r="E906" s="502" t="s">
        <v>2296</v>
      </c>
      <c r="F906" s="594" t="s">
        <v>2299</v>
      </c>
      <c r="G906" s="632" t="s">
        <v>6215</v>
      </c>
      <c r="H906" s="1258"/>
      <c r="I906" s="1262"/>
    </row>
    <row r="907" spans="1:9" hidden="1">
      <c r="A907" s="630" t="s">
        <v>6268</v>
      </c>
      <c r="B907" s="414" t="s">
        <v>126</v>
      </c>
      <c r="C907" s="492">
        <v>1</v>
      </c>
      <c r="D907" s="481">
        <v>1</v>
      </c>
      <c r="E907" s="485" t="s">
        <v>6290</v>
      </c>
      <c r="F907" s="620" t="s">
        <v>6039</v>
      </c>
      <c r="G907" s="630"/>
      <c r="H907" s="1257" t="s">
        <v>6291</v>
      </c>
      <c r="I907" s="1261" t="s">
        <v>5</v>
      </c>
    </row>
    <row r="908" spans="1:9" hidden="1">
      <c r="A908" s="605" t="s">
        <v>6268</v>
      </c>
      <c r="B908" s="425" t="s">
        <v>126</v>
      </c>
      <c r="C908" s="493">
        <v>1</v>
      </c>
      <c r="D908" s="501">
        <v>2</v>
      </c>
      <c r="E908" s="502" t="s">
        <v>6292</v>
      </c>
      <c r="F908" s="594" t="s">
        <v>6037</v>
      </c>
      <c r="G908" s="605"/>
      <c r="H908" s="1258"/>
      <c r="I908" s="1262"/>
    </row>
    <row r="909" spans="1:9" hidden="1">
      <c r="A909" s="647" t="s">
        <v>6268</v>
      </c>
      <c r="B909" s="527" t="s">
        <v>127</v>
      </c>
      <c r="C909" s="492">
        <v>1</v>
      </c>
      <c r="D909" s="481">
        <v>1</v>
      </c>
      <c r="E909" s="485" t="s">
        <v>6238</v>
      </c>
      <c r="F909" s="620" t="s">
        <v>6237</v>
      </c>
      <c r="G909" s="636"/>
      <c r="H909" s="1257" t="s">
        <v>6293</v>
      </c>
      <c r="I909" s="1263" t="s">
        <v>5</v>
      </c>
    </row>
    <row r="910" spans="1:9" hidden="1">
      <c r="A910" s="648" t="s">
        <v>6268</v>
      </c>
      <c r="B910" s="503" t="s">
        <v>127</v>
      </c>
      <c r="C910" s="384">
        <v>1</v>
      </c>
      <c r="D910" s="482">
        <v>2</v>
      </c>
      <c r="E910" s="486" t="s">
        <v>6241</v>
      </c>
      <c r="F910" s="593" t="s">
        <v>6240</v>
      </c>
      <c r="G910" s="637" t="s">
        <v>6215</v>
      </c>
      <c r="H910" s="882"/>
      <c r="I910" s="1264"/>
    </row>
    <row r="911" spans="1:9" hidden="1">
      <c r="A911" s="648" t="s">
        <v>6268</v>
      </c>
      <c r="B911" s="503" t="s">
        <v>127</v>
      </c>
      <c r="C911" s="384">
        <v>1</v>
      </c>
      <c r="D911" s="482">
        <v>3</v>
      </c>
      <c r="E911" s="486" t="s">
        <v>6244</v>
      </c>
      <c r="F911" s="593" t="s">
        <v>6243</v>
      </c>
      <c r="G911" s="637" t="s">
        <v>6215</v>
      </c>
      <c r="H911" s="882"/>
      <c r="I911" s="1264"/>
    </row>
    <row r="912" spans="1:9" hidden="1">
      <c r="A912" s="649" t="s">
        <v>6268</v>
      </c>
      <c r="B912" s="506" t="s">
        <v>127</v>
      </c>
      <c r="C912" s="493">
        <v>1</v>
      </c>
      <c r="D912" s="501">
        <v>11111111111</v>
      </c>
      <c r="E912" s="502" t="s">
        <v>422</v>
      </c>
      <c r="F912" s="594" t="s">
        <v>2714</v>
      </c>
      <c r="G912" s="638" t="s">
        <v>6215</v>
      </c>
      <c r="H912" s="1258"/>
      <c r="I912" s="1265"/>
    </row>
    <row r="913" spans="1:9" hidden="1">
      <c r="A913" s="630" t="s">
        <v>6271</v>
      </c>
      <c r="B913" s="414" t="s">
        <v>187</v>
      </c>
      <c r="C913" s="492">
        <v>1</v>
      </c>
      <c r="D913" s="481">
        <v>1</v>
      </c>
      <c r="E913" s="485" t="s">
        <v>4357</v>
      </c>
      <c r="F913" s="620" t="s">
        <v>4357</v>
      </c>
      <c r="G913" s="633" t="s">
        <v>6215</v>
      </c>
      <c r="H913" s="1257" t="s">
        <v>6294</v>
      </c>
      <c r="I913" s="1261" t="s">
        <v>5</v>
      </c>
    </row>
    <row r="914" spans="1:9" hidden="1">
      <c r="A914" s="631" t="s">
        <v>6271</v>
      </c>
      <c r="B914" s="413" t="s">
        <v>187</v>
      </c>
      <c r="C914" s="384">
        <v>1</v>
      </c>
      <c r="D914" s="482">
        <v>2</v>
      </c>
      <c r="E914" s="486" t="s">
        <v>4359</v>
      </c>
      <c r="F914" s="593" t="s">
        <v>4359</v>
      </c>
      <c r="G914" s="634" t="s">
        <v>6215</v>
      </c>
      <c r="H914" s="882"/>
      <c r="I914" s="1266"/>
    </row>
    <row r="915" spans="1:9" hidden="1">
      <c r="A915" s="631" t="s">
        <v>6271</v>
      </c>
      <c r="B915" s="413" t="s">
        <v>187</v>
      </c>
      <c r="C915" s="384">
        <v>1</v>
      </c>
      <c r="D915" s="482">
        <v>3</v>
      </c>
      <c r="E915" s="486" t="s">
        <v>4360</v>
      </c>
      <c r="F915" s="593" t="s">
        <v>4361</v>
      </c>
      <c r="G915" s="634" t="s">
        <v>6215</v>
      </c>
      <c r="H915" s="882"/>
      <c r="I915" s="1266"/>
    </row>
    <row r="916" spans="1:9" hidden="1">
      <c r="A916" s="605" t="s">
        <v>6271</v>
      </c>
      <c r="B916" s="425" t="s">
        <v>187</v>
      </c>
      <c r="C916" s="493">
        <v>1</v>
      </c>
      <c r="D916" s="501">
        <v>4</v>
      </c>
      <c r="E916" s="502" t="s">
        <v>4362</v>
      </c>
      <c r="F916" s="594" t="s">
        <v>4362</v>
      </c>
      <c r="G916" s="632" t="s">
        <v>6215</v>
      </c>
      <c r="H916" s="1258"/>
      <c r="I916" s="1262"/>
    </row>
    <row r="917" spans="1:9" hidden="1">
      <c r="A917" s="630" t="s">
        <v>6268</v>
      </c>
      <c r="B917" s="414" t="s">
        <v>128</v>
      </c>
      <c r="C917" s="492">
        <v>1</v>
      </c>
      <c r="D917" s="481" t="s">
        <v>6277</v>
      </c>
      <c r="E917" s="485" t="s">
        <v>6278</v>
      </c>
      <c r="F917" s="620" t="s">
        <v>6278</v>
      </c>
      <c r="G917" s="630"/>
      <c r="H917" s="1257" t="s">
        <v>6295</v>
      </c>
      <c r="I917" s="1259" t="s">
        <v>5</v>
      </c>
    </row>
    <row r="918" spans="1:9" hidden="1">
      <c r="A918" s="605" t="s">
        <v>6268</v>
      </c>
      <c r="B918" s="425" t="s">
        <v>128</v>
      </c>
      <c r="C918" s="493">
        <v>1</v>
      </c>
      <c r="D918" s="501" t="s">
        <v>6280</v>
      </c>
      <c r="E918" s="502" t="s">
        <v>6281</v>
      </c>
      <c r="F918" s="594" t="s">
        <v>6281</v>
      </c>
      <c r="G918" s="605"/>
      <c r="H918" s="1258"/>
      <c r="I918" s="1260"/>
    </row>
    <row r="919" spans="1:9" hidden="1">
      <c r="A919" s="630" t="s">
        <v>6268</v>
      </c>
      <c r="B919" s="414" t="s">
        <v>129</v>
      </c>
      <c r="C919" s="492">
        <v>1</v>
      </c>
      <c r="D919" s="481">
        <v>1</v>
      </c>
      <c r="E919" s="485" t="s">
        <v>2776</v>
      </c>
      <c r="F919" s="620" t="s">
        <v>2776</v>
      </c>
      <c r="G919" s="630"/>
      <c r="H919" s="1257" t="s">
        <v>6296</v>
      </c>
      <c r="I919" s="1261" t="s">
        <v>5</v>
      </c>
    </row>
    <row r="920" spans="1:9" hidden="1">
      <c r="A920" s="605" t="s">
        <v>6268</v>
      </c>
      <c r="B920" s="425" t="s">
        <v>129</v>
      </c>
      <c r="C920" s="493">
        <v>1</v>
      </c>
      <c r="D920" s="501">
        <v>2</v>
      </c>
      <c r="E920" s="502" t="s">
        <v>6297</v>
      </c>
      <c r="F920" s="594" t="s">
        <v>6297</v>
      </c>
      <c r="G920" s="605"/>
      <c r="H920" s="1258"/>
      <c r="I920" s="1262"/>
    </row>
    <row r="921" spans="1:9" hidden="1">
      <c r="A921" s="630" t="s">
        <v>6268</v>
      </c>
      <c r="B921" s="414" t="s">
        <v>82</v>
      </c>
      <c r="C921" s="492">
        <v>1</v>
      </c>
      <c r="D921" s="481">
        <v>1</v>
      </c>
      <c r="E921" s="485" t="s">
        <v>2766</v>
      </c>
      <c r="F921" s="620" t="s">
        <v>2766</v>
      </c>
      <c r="G921" s="630"/>
      <c r="H921" s="1257" t="s">
        <v>6298</v>
      </c>
      <c r="I921" s="1261" t="s">
        <v>5</v>
      </c>
    </row>
    <row r="922" spans="1:9" hidden="1">
      <c r="A922" s="605" t="s">
        <v>6268</v>
      </c>
      <c r="B922" s="425" t="s">
        <v>82</v>
      </c>
      <c r="C922" s="493">
        <v>1</v>
      </c>
      <c r="D922" s="501">
        <v>11</v>
      </c>
      <c r="E922" s="502" t="s">
        <v>2764</v>
      </c>
      <c r="F922" s="594" t="s">
        <v>6299</v>
      </c>
      <c r="G922" s="605"/>
      <c r="H922" s="1258"/>
      <c r="I922" s="1262"/>
    </row>
    <row r="923" spans="1:9" hidden="1">
      <c r="A923" s="630" t="s">
        <v>6268</v>
      </c>
      <c r="B923" s="414" t="s">
        <v>131</v>
      </c>
      <c r="C923" s="492">
        <v>1</v>
      </c>
      <c r="D923" s="481" t="s">
        <v>6277</v>
      </c>
      <c r="E923" s="485" t="s">
        <v>6278</v>
      </c>
      <c r="F923" s="620" t="s">
        <v>6278</v>
      </c>
      <c r="G923" s="630"/>
      <c r="H923" s="1241" t="s">
        <v>6300</v>
      </c>
      <c r="I923" s="1243" t="s">
        <v>5</v>
      </c>
    </row>
    <row r="924" spans="1:9" hidden="1">
      <c r="A924" s="605" t="s">
        <v>6268</v>
      </c>
      <c r="B924" s="425" t="s">
        <v>131</v>
      </c>
      <c r="C924" s="493">
        <v>1</v>
      </c>
      <c r="D924" s="501" t="s">
        <v>6280</v>
      </c>
      <c r="E924" s="502" t="s">
        <v>6281</v>
      </c>
      <c r="F924" s="594" t="s">
        <v>6281</v>
      </c>
      <c r="G924" s="605"/>
      <c r="H924" s="1242"/>
      <c r="I924" s="1244"/>
    </row>
    <row r="925" spans="1:9" hidden="1">
      <c r="A925" s="630" t="s">
        <v>6301</v>
      </c>
      <c r="B925" s="414" t="s">
        <v>219</v>
      </c>
      <c r="C925" s="492">
        <v>1</v>
      </c>
      <c r="D925" s="481">
        <v>1</v>
      </c>
      <c r="E925" s="485" t="s">
        <v>2788</v>
      </c>
      <c r="F925" s="620" t="s">
        <v>2788</v>
      </c>
      <c r="G925" s="630" t="s">
        <v>2221</v>
      </c>
      <c r="H925" s="1241" t="s">
        <v>6302</v>
      </c>
      <c r="I925" s="1249" t="s">
        <v>5</v>
      </c>
    </row>
    <row r="926" spans="1:9" hidden="1">
      <c r="A926" s="631" t="s">
        <v>6301</v>
      </c>
      <c r="B926" s="413" t="s">
        <v>219</v>
      </c>
      <c r="C926" s="384">
        <v>1</v>
      </c>
      <c r="D926" s="482">
        <v>2</v>
      </c>
      <c r="E926" s="486" t="s">
        <v>2790</v>
      </c>
      <c r="F926" s="593" t="s">
        <v>2790</v>
      </c>
      <c r="G926" s="631" t="s">
        <v>2221</v>
      </c>
      <c r="H926" s="1242"/>
      <c r="I926" s="1250"/>
    </row>
    <row r="927" spans="1:9" hidden="1">
      <c r="A927" s="631" t="s">
        <v>6301</v>
      </c>
      <c r="B927" s="413" t="s">
        <v>219</v>
      </c>
      <c r="C927" s="384">
        <v>1</v>
      </c>
      <c r="D927" s="482">
        <v>3</v>
      </c>
      <c r="E927" s="486" t="s">
        <v>6303</v>
      </c>
      <c r="F927" s="593" t="s">
        <v>2792</v>
      </c>
      <c r="G927" s="631" t="s">
        <v>6304</v>
      </c>
      <c r="H927" s="1242"/>
      <c r="I927" s="1250"/>
    </row>
    <row r="928" spans="1:9" hidden="1">
      <c r="A928" s="631" t="s">
        <v>6301</v>
      </c>
      <c r="B928" s="413" t="s">
        <v>219</v>
      </c>
      <c r="C928" s="384">
        <v>1</v>
      </c>
      <c r="D928" s="576">
        <v>4</v>
      </c>
      <c r="E928" s="577" t="s">
        <v>2793</v>
      </c>
      <c r="F928" s="622" t="s">
        <v>2793</v>
      </c>
      <c r="G928" s="639" t="s">
        <v>6305</v>
      </c>
      <c r="H928" s="1242"/>
      <c r="I928" s="1250"/>
    </row>
    <row r="929" spans="1:9" hidden="1">
      <c r="A929" s="605" t="s">
        <v>6301</v>
      </c>
      <c r="B929" s="425" t="s">
        <v>219</v>
      </c>
      <c r="C929" s="493">
        <v>1</v>
      </c>
      <c r="D929" s="501">
        <v>5</v>
      </c>
      <c r="E929" s="502" t="s">
        <v>2795</v>
      </c>
      <c r="F929" s="594" t="s">
        <v>2796</v>
      </c>
      <c r="G929" s="605" t="s">
        <v>2221</v>
      </c>
      <c r="H929" s="1242"/>
      <c r="I929" s="1250"/>
    </row>
    <row r="930" spans="1:9" hidden="1">
      <c r="A930" s="630" t="s">
        <v>6268</v>
      </c>
      <c r="B930" s="414" t="s">
        <v>97</v>
      </c>
      <c r="C930" s="492">
        <v>1</v>
      </c>
      <c r="D930" s="481">
        <v>1</v>
      </c>
      <c r="E930" s="485" t="s">
        <v>2296</v>
      </c>
      <c r="F930" s="620" t="s">
        <v>2300</v>
      </c>
      <c r="G930" s="630"/>
      <c r="H930" s="1241" t="s">
        <v>6306</v>
      </c>
      <c r="I930" s="1249" t="s">
        <v>5</v>
      </c>
    </row>
    <row r="931" spans="1:9" hidden="1">
      <c r="A931" s="631" t="s">
        <v>6268</v>
      </c>
      <c r="B931" s="413" t="s">
        <v>97</v>
      </c>
      <c r="C931" s="384">
        <v>1</v>
      </c>
      <c r="D931" s="482">
        <v>4</v>
      </c>
      <c r="E931" s="486" t="s">
        <v>2282</v>
      </c>
      <c r="F931" s="593" t="s">
        <v>2282</v>
      </c>
      <c r="G931" s="631"/>
      <c r="H931" s="1242"/>
      <c r="I931" s="1250"/>
    </row>
    <row r="932" spans="1:9" hidden="1">
      <c r="A932" s="631" t="s">
        <v>6268</v>
      </c>
      <c r="B932" s="413" t="s">
        <v>97</v>
      </c>
      <c r="C932" s="384">
        <v>1</v>
      </c>
      <c r="D932" s="482">
        <v>8</v>
      </c>
      <c r="E932" s="486" t="s">
        <v>2296</v>
      </c>
      <c r="F932" s="593" t="s">
        <v>2297</v>
      </c>
      <c r="G932" s="631"/>
      <c r="H932" s="1242"/>
      <c r="I932" s="1250"/>
    </row>
    <row r="933" spans="1:9" hidden="1">
      <c r="A933" s="631" t="s">
        <v>6268</v>
      </c>
      <c r="B933" s="413" t="s">
        <v>97</v>
      </c>
      <c r="C933" s="384">
        <v>1</v>
      </c>
      <c r="D933" s="482">
        <v>15</v>
      </c>
      <c r="E933" s="486" t="s">
        <v>2267</v>
      </c>
      <c r="F933" s="593" t="s">
        <v>2655</v>
      </c>
      <c r="G933" s="634" t="s">
        <v>6215</v>
      </c>
      <c r="H933" s="1242"/>
      <c r="I933" s="1250"/>
    </row>
    <row r="934" spans="1:9" hidden="1">
      <c r="A934" s="631" t="s">
        <v>6268</v>
      </c>
      <c r="B934" s="413" t="s">
        <v>97</v>
      </c>
      <c r="C934" s="384">
        <v>1</v>
      </c>
      <c r="D934" s="482">
        <v>18</v>
      </c>
      <c r="E934" s="486" t="s">
        <v>2296</v>
      </c>
      <c r="F934" s="593" t="s">
        <v>2298</v>
      </c>
      <c r="G934" s="631"/>
      <c r="H934" s="1242"/>
      <c r="I934" s="1250"/>
    </row>
    <row r="935" spans="1:9" hidden="1">
      <c r="A935" s="631" t="s">
        <v>6268</v>
      </c>
      <c r="B935" s="413" t="s">
        <v>97</v>
      </c>
      <c r="C935" s="384">
        <v>1</v>
      </c>
      <c r="D935" s="482">
        <v>19</v>
      </c>
      <c r="E935" s="486" t="s">
        <v>2296</v>
      </c>
      <c r="F935" s="593" t="s">
        <v>2299</v>
      </c>
      <c r="G935" s="631"/>
      <c r="H935" s="1242"/>
      <c r="I935" s="1250"/>
    </row>
    <row r="936" spans="1:9" hidden="1">
      <c r="A936" s="605" t="s">
        <v>6268</v>
      </c>
      <c r="B936" s="425" t="s">
        <v>97</v>
      </c>
      <c r="C936" s="493">
        <v>1</v>
      </c>
      <c r="D936" s="501">
        <v>22</v>
      </c>
      <c r="E936" s="502" t="s">
        <v>6233</v>
      </c>
      <c r="F936" s="594" t="s">
        <v>2657</v>
      </c>
      <c r="G936" s="605"/>
      <c r="H936" s="1242"/>
      <c r="I936" s="1250"/>
    </row>
    <row r="937" spans="1:9" hidden="1">
      <c r="A937" s="630" t="s">
        <v>6268</v>
      </c>
      <c r="B937" s="414" t="s">
        <v>97</v>
      </c>
      <c r="C937" s="492">
        <v>2</v>
      </c>
      <c r="D937" s="481">
        <v>1</v>
      </c>
      <c r="E937" s="485" t="s">
        <v>6307</v>
      </c>
      <c r="F937" s="620" t="s">
        <v>2300</v>
      </c>
      <c r="G937" s="630"/>
      <c r="H937" s="1241" t="s">
        <v>6308</v>
      </c>
      <c r="I937" s="1249" t="s">
        <v>5</v>
      </c>
    </row>
    <row r="938" spans="1:9" hidden="1">
      <c r="A938" s="631" t="s">
        <v>6268</v>
      </c>
      <c r="B938" s="413" t="s">
        <v>97</v>
      </c>
      <c r="C938" s="384">
        <v>2</v>
      </c>
      <c r="D938" s="482">
        <v>4</v>
      </c>
      <c r="E938" s="486" t="s">
        <v>6309</v>
      </c>
      <c r="F938" s="593" t="s">
        <v>2282</v>
      </c>
      <c r="G938" s="631"/>
      <c r="H938" s="1242"/>
      <c r="I938" s="1250"/>
    </row>
    <row r="939" spans="1:9" hidden="1">
      <c r="A939" s="631" t="s">
        <v>6268</v>
      </c>
      <c r="B939" s="413" t="s">
        <v>97</v>
      </c>
      <c r="C939" s="384">
        <v>2</v>
      </c>
      <c r="D939" s="482">
        <v>8</v>
      </c>
      <c r="E939" s="486" t="s">
        <v>6310</v>
      </c>
      <c r="F939" s="593" t="s">
        <v>2297</v>
      </c>
      <c r="G939" s="631"/>
      <c r="H939" s="1242"/>
      <c r="I939" s="1250"/>
    </row>
    <row r="940" spans="1:9" hidden="1">
      <c r="A940" s="631" t="s">
        <v>6268</v>
      </c>
      <c r="B940" s="413" t="s">
        <v>97</v>
      </c>
      <c r="C940" s="384">
        <v>2</v>
      </c>
      <c r="D940" s="482">
        <v>15</v>
      </c>
      <c r="E940" s="486" t="s">
        <v>6309</v>
      </c>
      <c r="F940" s="593" t="s">
        <v>2655</v>
      </c>
      <c r="G940" s="634" t="s">
        <v>6215</v>
      </c>
      <c r="H940" s="1242"/>
      <c r="I940" s="1250"/>
    </row>
    <row r="941" spans="1:9" hidden="1">
      <c r="A941" s="631" t="s">
        <v>6268</v>
      </c>
      <c r="B941" s="413" t="s">
        <v>97</v>
      </c>
      <c r="C941" s="384">
        <v>2</v>
      </c>
      <c r="D941" s="482">
        <v>18</v>
      </c>
      <c r="E941" s="486" t="s">
        <v>6309</v>
      </c>
      <c r="F941" s="593" t="s">
        <v>2298</v>
      </c>
      <c r="G941" s="631"/>
      <c r="H941" s="1242"/>
      <c r="I941" s="1250"/>
    </row>
    <row r="942" spans="1:9" hidden="1">
      <c r="A942" s="631" t="s">
        <v>6268</v>
      </c>
      <c r="B942" s="413" t="s">
        <v>97</v>
      </c>
      <c r="C942" s="384">
        <v>2</v>
      </c>
      <c r="D942" s="482">
        <v>19</v>
      </c>
      <c r="E942" s="486" t="s">
        <v>6311</v>
      </c>
      <c r="F942" s="593" t="s">
        <v>2299</v>
      </c>
      <c r="G942" s="631"/>
      <c r="H942" s="1242"/>
      <c r="I942" s="1250"/>
    </row>
    <row r="943" spans="1:9" hidden="1">
      <c r="A943" s="605" t="s">
        <v>6268</v>
      </c>
      <c r="B943" s="425" t="s">
        <v>97</v>
      </c>
      <c r="C943" s="493">
        <v>2</v>
      </c>
      <c r="D943" s="501">
        <v>22</v>
      </c>
      <c r="E943" s="502" t="s">
        <v>6309</v>
      </c>
      <c r="F943" s="594" t="s">
        <v>2657</v>
      </c>
      <c r="G943" s="605"/>
      <c r="H943" s="1242"/>
      <c r="I943" s="1250"/>
    </row>
    <row r="944" spans="1:9" hidden="1">
      <c r="A944" s="630" t="s">
        <v>6268</v>
      </c>
      <c r="B944" s="414" t="s">
        <v>134</v>
      </c>
      <c r="C944" s="492">
        <v>1</v>
      </c>
      <c r="D944" s="481">
        <v>1</v>
      </c>
      <c r="E944" s="485" t="s">
        <v>2729</v>
      </c>
      <c r="F944" s="620" t="s">
        <v>2730</v>
      </c>
      <c r="G944" s="606" t="s">
        <v>6215</v>
      </c>
      <c r="H944" s="1241" t="s">
        <v>6312</v>
      </c>
      <c r="I944" s="1249" t="s">
        <v>5</v>
      </c>
    </row>
    <row r="945" spans="1:9" hidden="1">
      <c r="A945" s="631" t="s">
        <v>6268</v>
      </c>
      <c r="B945" s="413" t="s">
        <v>134</v>
      </c>
      <c r="C945" s="384">
        <v>1</v>
      </c>
      <c r="D945" s="482">
        <v>5</v>
      </c>
      <c r="E945" s="486" t="s">
        <v>2734</v>
      </c>
      <c r="F945" s="593" t="s">
        <v>2735</v>
      </c>
      <c r="G945" s="634" t="s">
        <v>6215</v>
      </c>
      <c r="H945" s="1242"/>
      <c r="I945" s="1250"/>
    </row>
    <row r="946" spans="1:9" hidden="1">
      <c r="A946" s="631" t="s">
        <v>6268</v>
      </c>
      <c r="B946" s="413" t="s">
        <v>134</v>
      </c>
      <c r="C946" s="384">
        <v>1</v>
      </c>
      <c r="D946" s="482">
        <v>7</v>
      </c>
      <c r="E946" s="486" t="s">
        <v>2737</v>
      </c>
      <c r="F946" s="593" t="s">
        <v>2738</v>
      </c>
      <c r="G946" s="634" t="s">
        <v>6215</v>
      </c>
      <c r="H946" s="1242"/>
      <c r="I946" s="1250"/>
    </row>
    <row r="947" spans="1:9" ht="29" hidden="1">
      <c r="A947" s="631" t="s">
        <v>6268</v>
      </c>
      <c r="B947" s="413" t="s">
        <v>134</v>
      </c>
      <c r="C947" s="384">
        <v>1</v>
      </c>
      <c r="D947" s="482">
        <v>8</v>
      </c>
      <c r="E947" s="349" t="s">
        <v>6313</v>
      </c>
      <c r="F947" s="593" t="s">
        <v>2741</v>
      </c>
      <c r="G947" s="634" t="s">
        <v>6215</v>
      </c>
      <c r="H947" s="1242"/>
      <c r="I947" s="1250"/>
    </row>
    <row r="948" spans="1:9" hidden="1">
      <c r="A948" s="631" t="s">
        <v>6268</v>
      </c>
      <c r="B948" s="413" t="s">
        <v>134</v>
      </c>
      <c r="C948" s="384">
        <v>1</v>
      </c>
      <c r="D948" s="482">
        <v>9</v>
      </c>
      <c r="E948" s="486" t="s">
        <v>2750</v>
      </c>
      <c r="F948" s="593" t="s">
        <v>6314</v>
      </c>
      <c r="G948" s="634" t="s">
        <v>6315</v>
      </c>
      <c r="H948" s="1242"/>
      <c r="I948" s="1250"/>
    </row>
    <row r="949" spans="1:9" hidden="1">
      <c r="A949" s="631" t="s">
        <v>6268</v>
      </c>
      <c r="B949" s="413" t="s">
        <v>134</v>
      </c>
      <c r="C949" s="384">
        <v>1</v>
      </c>
      <c r="D949" s="482">
        <v>10</v>
      </c>
      <c r="E949" s="486" t="s">
        <v>6316</v>
      </c>
      <c r="F949" s="593" t="s">
        <v>6317</v>
      </c>
      <c r="G949" s="634" t="s">
        <v>6315</v>
      </c>
      <c r="H949" s="1242"/>
      <c r="I949" s="1250"/>
    </row>
    <row r="950" spans="1:9" hidden="1">
      <c r="A950" s="631" t="s">
        <v>6268</v>
      </c>
      <c r="B950" s="413" t="s">
        <v>134</v>
      </c>
      <c r="C950" s="384">
        <v>1</v>
      </c>
      <c r="D950" s="482">
        <v>11</v>
      </c>
      <c r="E950" s="486" t="s">
        <v>6318</v>
      </c>
      <c r="F950" s="593" t="s">
        <v>6319</v>
      </c>
      <c r="G950" s="634" t="s">
        <v>6315</v>
      </c>
      <c r="H950" s="1242"/>
      <c r="I950" s="1250"/>
    </row>
    <row r="951" spans="1:9" ht="29" hidden="1">
      <c r="A951" s="631" t="s">
        <v>6268</v>
      </c>
      <c r="B951" s="413" t="s">
        <v>134</v>
      </c>
      <c r="C951" s="384">
        <v>1</v>
      </c>
      <c r="D951" s="482">
        <v>12</v>
      </c>
      <c r="E951" s="349" t="s">
        <v>6320</v>
      </c>
      <c r="F951" s="593" t="s">
        <v>6321</v>
      </c>
      <c r="G951" s="634" t="s">
        <v>6315</v>
      </c>
      <c r="H951" s="1242"/>
      <c r="I951" s="1250"/>
    </row>
    <row r="952" spans="1:9" hidden="1">
      <c r="A952" s="605" t="s">
        <v>6268</v>
      </c>
      <c r="B952" s="425" t="s">
        <v>134</v>
      </c>
      <c r="C952" s="493">
        <v>1</v>
      </c>
      <c r="D952" s="501">
        <v>13</v>
      </c>
      <c r="E952" s="502" t="s">
        <v>2744</v>
      </c>
      <c r="F952" s="594" t="s">
        <v>2745</v>
      </c>
      <c r="G952" s="632" t="s">
        <v>6215</v>
      </c>
      <c r="H952" s="1242"/>
      <c r="I952" s="1250"/>
    </row>
    <row r="953" spans="1:9" hidden="1">
      <c r="A953" s="630" t="s">
        <v>6268</v>
      </c>
      <c r="B953" s="414" t="s">
        <v>83</v>
      </c>
      <c r="C953" s="492">
        <v>1</v>
      </c>
      <c r="D953" s="481">
        <v>1</v>
      </c>
      <c r="E953" s="485" t="s">
        <v>2276</v>
      </c>
      <c r="F953" s="620" t="s">
        <v>2276</v>
      </c>
      <c r="G953" s="630" t="s">
        <v>2221</v>
      </c>
      <c r="H953" s="1255" t="s">
        <v>6322</v>
      </c>
      <c r="I953" s="1249" t="s">
        <v>5</v>
      </c>
    </row>
    <row r="954" spans="1:9" hidden="1">
      <c r="A954" s="631" t="s">
        <v>6268</v>
      </c>
      <c r="B954" s="413" t="s">
        <v>83</v>
      </c>
      <c r="C954" s="384">
        <v>1</v>
      </c>
      <c r="D954" s="482">
        <v>2</v>
      </c>
      <c r="E954" s="486" t="s">
        <v>2289</v>
      </c>
      <c r="F954" s="593" t="s">
        <v>2289</v>
      </c>
      <c r="G954" s="631" t="s">
        <v>2221</v>
      </c>
      <c r="H954" s="1256"/>
      <c r="I954" s="1250"/>
    </row>
    <row r="955" spans="1:9" hidden="1">
      <c r="A955" s="631" t="s">
        <v>6268</v>
      </c>
      <c r="B955" s="413" t="s">
        <v>83</v>
      </c>
      <c r="C955" s="384">
        <v>1</v>
      </c>
      <c r="D955" s="482">
        <v>3</v>
      </c>
      <c r="E955" s="486" t="s">
        <v>2278</v>
      </c>
      <c r="F955" s="593" t="s">
        <v>2278</v>
      </c>
      <c r="G955" s="631" t="s">
        <v>2221</v>
      </c>
      <c r="H955" s="1256"/>
      <c r="I955" s="1250"/>
    </row>
    <row r="956" spans="1:9" hidden="1">
      <c r="A956" s="631" t="s">
        <v>6268</v>
      </c>
      <c r="B956" s="413" t="s">
        <v>83</v>
      </c>
      <c r="C956" s="384">
        <v>1</v>
      </c>
      <c r="D956" s="482">
        <v>4</v>
      </c>
      <c r="E956" s="486" t="s">
        <v>2282</v>
      </c>
      <c r="F956" s="593" t="s">
        <v>2282</v>
      </c>
      <c r="G956" s="631" t="s">
        <v>2221</v>
      </c>
      <c r="H956" s="1256"/>
      <c r="I956" s="1250"/>
    </row>
    <row r="957" spans="1:9" hidden="1">
      <c r="A957" s="605" t="s">
        <v>6268</v>
      </c>
      <c r="B957" s="425" t="s">
        <v>83</v>
      </c>
      <c r="C957" s="493">
        <v>1</v>
      </c>
      <c r="D957" s="501">
        <v>5</v>
      </c>
      <c r="E957" s="502" t="s">
        <v>2267</v>
      </c>
      <c r="F957" s="594" t="s">
        <v>2279</v>
      </c>
      <c r="G957" s="605" t="s">
        <v>2221</v>
      </c>
      <c r="H957" s="1256"/>
      <c r="I957" s="1250"/>
    </row>
    <row r="958" spans="1:9">
      <c r="A958" s="630" t="s">
        <v>6268</v>
      </c>
      <c r="B958" s="427" t="s">
        <v>84</v>
      </c>
      <c r="C958" s="492">
        <v>1</v>
      </c>
      <c r="D958" s="490">
        <v>20</v>
      </c>
      <c r="E958" s="487" t="s">
        <v>2263</v>
      </c>
      <c r="F958" s="623" t="s">
        <v>2264</v>
      </c>
      <c r="G958" s="606" t="s">
        <v>6215</v>
      </c>
      <c r="H958" s="1245" t="s">
        <v>6323</v>
      </c>
      <c r="I958" s="1247" t="s">
        <v>5</v>
      </c>
    </row>
    <row r="959" spans="1:9">
      <c r="A959" s="631" t="s">
        <v>6268</v>
      </c>
      <c r="B959" s="424" t="s">
        <v>84</v>
      </c>
      <c r="C959" s="384">
        <v>1</v>
      </c>
      <c r="D959" s="491">
        <v>51</v>
      </c>
      <c r="E959" s="578" t="s">
        <v>2266</v>
      </c>
      <c r="F959" s="624" t="s">
        <v>2266</v>
      </c>
      <c r="G959" s="608" t="s">
        <v>6215</v>
      </c>
      <c r="H959" s="1246"/>
      <c r="I959" s="1248"/>
    </row>
    <row r="960" spans="1:9">
      <c r="A960" s="631" t="s">
        <v>6268</v>
      </c>
      <c r="B960" s="424" t="s">
        <v>84</v>
      </c>
      <c r="C960" s="384">
        <v>1</v>
      </c>
      <c r="D960" s="491">
        <v>71</v>
      </c>
      <c r="E960" s="578" t="s">
        <v>2267</v>
      </c>
      <c r="F960" s="624" t="s">
        <v>2251</v>
      </c>
      <c r="G960" s="608" t="s">
        <v>6215</v>
      </c>
      <c r="H960" s="1246"/>
      <c r="I960" s="1248"/>
    </row>
    <row r="961" spans="1:9">
      <c r="A961" s="631" t="s">
        <v>6268</v>
      </c>
      <c r="B961" s="424" t="s">
        <v>84</v>
      </c>
      <c r="C961" s="384">
        <v>1</v>
      </c>
      <c r="D961" s="491">
        <v>80</v>
      </c>
      <c r="E961" s="578" t="s">
        <v>2268</v>
      </c>
      <c r="F961" s="624" t="s">
        <v>2269</v>
      </c>
      <c r="G961" s="608" t="s">
        <v>6215</v>
      </c>
      <c r="H961" s="1246"/>
      <c r="I961" s="1248"/>
    </row>
    <row r="962" spans="1:9">
      <c r="A962" s="631" t="s">
        <v>6268</v>
      </c>
      <c r="B962" s="424" t="s">
        <v>84</v>
      </c>
      <c r="C962" s="384">
        <v>1</v>
      </c>
      <c r="D962" s="491">
        <v>1000</v>
      </c>
      <c r="E962" s="578" t="s">
        <v>2267</v>
      </c>
      <c r="F962" s="624" t="s">
        <v>2270</v>
      </c>
      <c r="G962" s="608" t="s">
        <v>6215</v>
      </c>
      <c r="H962" s="1246"/>
      <c r="I962" s="1248"/>
    </row>
    <row r="963" spans="1:9">
      <c r="A963" s="631" t="s">
        <v>6268</v>
      </c>
      <c r="B963" s="424" t="s">
        <v>84</v>
      </c>
      <c r="C963" s="384">
        <v>1</v>
      </c>
      <c r="D963" s="491">
        <v>1001</v>
      </c>
      <c r="E963" s="578" t="s">
        <v>2271</v>
      </c>
      <c r="F963" s="624" t="s">
        <v>2271</v>
      </c>
      <c r="G963" s="608" t="s">
        <v>6215</v>
      </c>
      <c r="H963" s="1246"/>
      <c r="I963" s="1248"/>
    </row>
    <row r="964" spans="1:9">
      <c r="A964" s="631" t="s">
        <v>6268</v>
      </c>
      <c r="B964" s="424" t="s">
        <v>84</v>
      </c>
      <c r="C964" s="384">
        <v>1</v>
      </c>
      <c r="D964" s="491">
        <v>1002</v>
      </c>
      <c r="E964" s="578" t="s">
        <v>2272</v>
      </c>
      <c r="F964" s="624" t="s">
        <v>2272</v>
      </c>
      <c r="G964" s="608" t="s">
        <v>6215</v>
      </c>
      <c r="H964" s="1246"/>
      <c r="I964" s="1248"/>
    </row>
    <row r="965" spans="1:9">
      <c r="A965" s="631" t="s">
        <v>6268</v>
      </c>
      <c r="B965" s="424" t="s">
        <v>84</v>
      </c>
      <c r="C965" s="384">
        <v>1</v>
      </c>
      <c r="D965" s="491">
        <v>1003</v>
      </c>
      <c r="E965" s="578" t="s">
        <v>2267</v>
      </c>
      <c r="F965" s="624" t="s">
        <v>2273</v>
      </c>
      <c r="G965" s="608" t="s">
        <v>6215</v>
      </c>
      <c r="H965" s="1246"/>
      <c r="I965" s="1248"/>
    </row>
    <row r="966" spans="1:9">
      <c r="A966" s="631" t="s">
        <v>6268</v>
      </c>
      <c r="B966" s="424" t="s">
        <v>84</v>
      </c>
      <c r="C966" s="384">
        <v>1</v>
      </c>
      <c r="D966" s="491">
        <v>1004</v>
      </c>
      <c r="E966" s="578" t="s">
        <v>2274</v>
      </c>
      <c r="F966" s="624" t="s">
        <v>2275</v>
      </c>
      <c r="G966" s="608" t="s">
        <v>6215</v>
      </c>
      <c r="H966" s="1246"/>
      <c r="I966" s="1248"/>
    </row>
    <row r="967" spans="1:9">
      <c r="A967" s="631" t="s">
        <v>6268</v>
      </c>
      <c r="B967" s="424" t="s">
        <v>84</v>
      </c>
      <c r="C967" s="384">
        <v>1</v>
      </c>
      <c r="D967" s="491">
        <v>1005</v>
      </c>
      <c r="E967" s="578" t="s">
        <v>2267</v>
      </c>
      <c r="F967" s="624" t="s">
        <v>45</v>
      </c>
      <c r="G967" s="604"/>
      <c r="H967" s="1246"/>
      <c r="I967" s="1248"/>
    </row>
    <row r="968" spans="1:9">
      <c r="A968" s="631" t="s">
        <v>6268</v>
      </c>
      <c r="B968" s="424" t="s">
        <v>84</v>
      </c>
      <c r="C968" s="384">
        <v>1</v>
      </c>
      <c r="D968" s="491">
        <v>2001</v>
      </c>
      <c r="E968" s="578" t="s">
        <v>2267</v>
      </c>
      <c r="F968" s="624" t="s">
        <v>6324</v>
      </c>
      <c r="G968" s="604"/>
      <c r="H968" s="1246"/>
      <c r="I968" s="1248"/>
    </row>
    <row r="969" spans="1:9">
      <c r="A969" s="631" t="s">
        <v>6268</v>
      </c>
      <c r="B969" s="424" t="s">
        <v>84</v>
      </c>
      <c r="C969" s="384">
        <v>1</v>
      </c>
      <c r="D969" s="491">
        <v>2002</v>
      </c>
      <c r="E969" s="578" t="s">
        <v>2267</v>
      </c>
      <c r="F969" s="624" t="s">
        <v>43</v>
      </c>
      <c r="G969" s="604"/>
      <c r="H969" s="1246"/>
      <c r="I969" s="1248"/>
    </row>
    <row r="970" spans="1:9">
      <c r="A970" s="631" t="s">
        <v>6268</v>
      </c>
      <c r="B970" s="424" t="s">
        <v>84</v>
      </c>
      <c r="C970" s="384">
        <v>1</v>
      </c>
      <c r="D970" s="491">
        <v>2003</v>
      </c>
      <c r="E970" s="578" t="s">
        <v>2267</v>
      </c>
      <c r="F970" s="624" t="s">
        <v>6325</v>
      </c>
      <c r="G970" s="604"/>
      <c r="H970" s="1246"/>
      <c r="I970" s="1248"/>
    </row>
    <row r="971" spans="1:9">
      <c r="A971" s="631" t="s">
        <v>6268</v>
      </c>
      <c r="B971" s="424" t="s">
        <v>84</v>
      </c>
      <c r="C971" s="384">
        <v>1</v>
      </c>
      <c r="D971" s="491">
        <v>2004</v>
      </c>
      <c r="E971" s="578" t="s">
        <v>2267</v>
      </c>
      <c r="F971" s="624" t="s">
        <v>6326</v>
      </c>
      <c r="G971" s="604"/>
      <c r="H971" s="1246"/>
      <c r="I971" s="1248"/>
    </row>
    <row r="972" spans="1:9">
      <c r="A972" s="631" t="s">
        <v>6268</v>
      </c>
      <c r="B972" s="424" t="s">
        <v>84</v>
      </c>
      <c r="C972" s="384">
        <v>1</v>
      </c>
      <c r="D972" s="491">
        <v>2005</v>
      </c>
      <c r="E972" s="578" t="s">
        <v>2267</v>
      </c>
      <c r="F972" s="624" t="s">
        <v>6327</v>
      </c>
      <c r="G972" s="604"/>
      <c r="H972" s="1246"/>
      <c r="I972" s="1248"/>
    </row>
    <row r="973" spans="1:9">
      <c r="A973" s="631" t="s">
        <v>6268</v>
      </c>
      <c r="B973" s="424" t="s">
        <v>84</v>
      </c>
      <c r="C973" s="384">
        <v>1</v>
      </c>
      <c r="D973" s="491">
        <v>2006</v>
      </c>
      <c r="E973" s="578" t="s">
        <v>2267</v>
      </c>
      <c r="F973" s="624" t="s">
        <v>47</v>
      </c>
      <c r="G973" s="604"/>
      <c r="H973" s="1246"/>
      <c r="I973" s="1248"/>
    </row>
    <row r="974" spans="1:9">
      <c r="A974" s="631" t="s">
        <v>6268</v>
      </c>
      <c r="B974" s="424" t="s">
        <v>84</v>
      </c>
      <c r="C974" s="384">
        <v>1</v>
      </c>
      <c r="D974" s="491">
        <v>2007</v>
      </c>
      <c r="E974" s="578" t="s">
        <v>2267</v>
      </c>
      <c r="F974" s="624" t="s">
        <v>6328</v>
      </c>
      <c r="G974" s="604"/>
      <c r="H974" s="1246"/>
      <c r="I974" s="1248"/>
    </row>
    <row r="975" spans="1:9">
      <c r="A975" s="631" t="s">
        <v>6268</v>
      </c>
      <c r="B975" s="424" t="s">
        <v>84</v>
      </c>
      <c r="C975" s="384">
        <v>1</v>
      </c>
      <c r="D975" s="491">
        <v>2008</v>
      </c>
      <c r="E975" s="578" t="s">
        <v>2267</v>
      </c>
      <c r="F975" s="624" t="s">
        <v>6329</v>
      </c>
      <c r="G975" s="604"/>
      <c r="H975" s="1246"/>
      <c r="I975" s="1248"/>
    </row>
    <row r="976" spans="1:9">
      <c r="A976" s="631" t="s">
        <v>6268</v>
      </c>
      <c r="B976" s="424" t="s">
        <v>84</v>
      </c>
      <c r="C976" s="384">
        <v>1</v>
      </c>
      <c r="D976" s="491">
        <v>2009</v>
      </c>
      <c r="E976" s="578" t="s">
        <v>2267</v>
      </c>
      <c r="F976" s="624" t="s">
        <v>6330</v>
      </c>
      <c r="G976" s="604"/>
      <c r="H976" s="1246"/>
      <c r="I976" s="1248"/>
    </row>
    <row r="977" spans="1:9">
      <c r="A977" s="631" t="s">
        <v>6268</v>
      </c>
      <c r="B977" s="424" t="s">
        <v>84</v>
      </c>
      <c r="C977" s="384">
        <v>1</v>
      </c>
      <c r="D977" s="491">
        <v>2011</v>
      </c>
      <c r="E977" s="578" t="s">
        <v>2267</v>
      </c>
      <c r="F977" s="624" t="s">
        <v>6331</v>
      </c>
      <c r="G977" s="604"/>
      <c r="H977" s="1246"/>
      <c r="I977" s="1248"/>
    </row>
    <row r="978" spans="1:9">
      <c r="A978" s="631" t="s">
        <v>6268</v>
      </c>
      <c r="B978" s="424" t="s">
        <v>84</v>
      </c>
      <c r="C978" s="384">
        <v>1</v>
      </c>
      <c r="D978" s="491">
        <v>2012</v>
      </c>
      <c r="E978" s="578" t="s">
        <v>2267</v>
      </c>
      <c r="F978" s="624" t="s">
        <v>6332</v>
      </c>
      <c r="G978" s="604"/>
      <c r="H978" s="1246"/>
      <c r="I978" s="1248"/>
    </row>
    <row r="979" spans="1:9">
      <c r="A979" s="631" t="s">
        <v>6268</v>
      </c>
      <c r="B979" s="424" t="s">
        <v>84</v>
      </c>
      <c r="C979" s="384">
        <v>1</v>
      </c>
      <c r="D979" s="491">
        <v>2013</v>
      </c>
      <c r="E979" s="578" t="s">
        <v>2267</v>
      </c>
      <c r="F979" s="624" t="s">
        <v>6333</v>
      </c>
      <c r="G979" s="604"/>
      <c r="H979" s="1246"/>
      <c r="I979" s="1248"/>
    </row>
    <row r="980" spans="1:9">
      <c r="A980" s="631" t="s">
        <v>6268</v>
      </c>
      <c r="B980" s="424" t="s">
        <v>84</v>
      </c>
      <c r="C980" s="384">
        <v>1</v>
      </c>
      <c r="D980" s="491">
        <v>2014</v>
      </c>
      <c r="E980" s="578" t="s">
        <v>2267</v>
      </c>
      <c r="F980" s="624" t="s">
        <v>6334</v>
      </c>
      <c r="G980" s="604"/>
      <c r="H980" s="1246"/>
      <c r="I980" s="1248"/>
    </row>
    <row r="981" spans="1:9">
      <c r="A981" s="631" t="s">
        <v>6268</v>
      </c>
      <c r="B981" s="424" t="s">
        <v>84</v>
      </c>
      <c r="C981" s="384">
        <v>1</v>
      </c>
      <c r="D981" s="491">
        <v>2015</v>
      </c>
      <c r="E981" s="578" t="s">
        <v>2267</v>
      </c>
      <c r="F981" s="624" t="s">
        <v>6335</v>
      </c>
      <c r="G981" s="604"/>
      <c r="H981" s="1246"/>
      <c r="I981" s="1248"/>
    </row>
    <row r="982" spans="1:9">
      <c r="A982" s="631" t="s">
        <v>6268</v>
      </c>
      <c r="B982" s="424" t="s">
        <v>84</v>
      </c>
      <c r="C982" s="384">
        <v>1</v>
      </c>
      <c r="D982" s="491">
        <v>2016</v>
      </c>
      <c r="E982" s="578" t="s">
        <v>2267</v>
      </c>
      <c r="F982" s="624" t="s">
        <v>6336</v>
      </c>
      <c r="G982" s="604"/>
      <c r="H982" s="1246"/>
      <c r="I982" s="1248"/>
    </row>
    <row r="983" spans="1:9">
      <c r="A983" s="631" t="s">
        <v>6268</v>
      </c>
      <c r="B983" s="424" t="s">
        <v>84</v>
      </c>
      <c r="C983" s="384">
        <v>1</v>
      </c>
      <c r="D983" s="491">
        <v>2017</v>
      </c>
      <c r="E983" s="578" t="s">
        <v>2267</v>
      </c>
      <c r="F983" s="624" t="s">
        <v>4006</v>
      </c>
      <c r="G983" s="604"/>
      <c r="H983" s="1246"/>
      <c r="I983" s="1248"/>
    </row>
    <row r="984" spans="1:9">
      <c r="A984" s="631" t="s">
        <v>6268</v>
      </c>
      <c r="B984" s="424" t="s">
        <v>84</v>
      </c>
      <c r="C984" s="384">
        <v>1</v>
      </c>
      <c r="D984" s="491">
        <v>2018</v>
      </c>
      <c r="E984" s="578" t="s">
        <v>2267</v>
      </c>
      <c r="F984" s="624" t="s">
        <v>6337</v>
      </c>
      <c r="G984" s="604"/>
      <c r="H984" s="1246"/>
      <c r="I984" s="1248"/>
    </row>
    <row r="985" spans="1:9">
      <c r="A985" s="631" t="s">
        <v>6268</v>
      </c>
      <c r="B985" s="424" t="s">
        <v>84</v>
      </c>
      <c r="C985" s="384">
        <v>1</v>
      </c>
      <c r="D985" s="491">
        <v>2019</v>
      </c>
      <c r="E985" s="578" t="s">
        <v>2267</v>
      </c>
      <c r="F985" s="624" t="s">
        <v>6338</v>
      </c>
      <c r="G985" s="604"/>
      <c r="H985" s="1246"/>
      <c r="I985" s="1248"/>
    </row>
    <row r="986" spans="1:9">
      <c r="A986" s="605" t="s">
        <v>6268</v>
      </c>
      <c r="B986" s="431" t="s">
        <v>84</v>
      </c>
      <c r="C986" s="493">
        <v>1</v>
      </c>
      <c r="D986" s="525">
        <v>2020</v>
      </c>
      <c r="E986" s="579" t="s">
        <v>2267</v>
      </c>
      <c r="F986" s="625" t="s">
        <v>2267</v>
      </c>
      <c r="G986" s="635"/>
      <c r="H986" s="1246"/>
      <c r="I986" s="1248"/>
    </row>
    <row r="987" spans="1:9" hidden="1">
      <c r="A987" s="630" t="s">
        <v>6268</v>
      </c>
      <c r="B987" s="527" t="s">
        <v>85</v>
      </c>
      <c r="C987" s="492">
        <v>1</v>
      </c>
      <c r="D987" s="481">
        <v>1</v>
      </c>
      <c r="E987" s="485" t="s">
        <v>2645</v>
      </c>
      <c r="F987" s="620" t="s">
        <v>2645</v>
      </c>
      <c r="G987" s="630" t="s">
        <v>2221</v>
      </c>
      <c r="H987" s="1241" t="s">
        <v>6339</v>
      </c>
      <c r="I987" s="1249" t="s">
        <v>5</v>
      </c>
    </row>
    <row r="988" spans="1:9" hidden="1">
      <c r="A988" s="631" t="s">
        <v>6268</v>
      </c>
      <c r="B988" s="503" t="s">
        <v>85</v>
      </c>
      <c r="C988" s="384">
        <v>1</v>
      </c>
      <c r="D988" s="482">
        <v>2</v>
      </c>
      <c r="E988" s="486" t="s">
        <v>2648</v>
      </c>
      <c r="F988" s="593" t="s">
        <v>2648</v>
      </c>
      <c r="G988" s="631" t="s">
        <v>2221</v>
      </c>
      <c r="H988" s="1242"/>
      <c r="I988" s="1250"/>
    </row>
    <row r="989" spans="1:9" hidden="1">
      <c r="A989" s="605" t="s">
        <v>6268</v>
      </c>
      <c r="B989" s="506" t="s">
        <v>85</v>
      </c>
      <c r="C989" s="493">
        <v>1</v>
      </c>
      <c r="D989" s="501">
        <v>3</v>
      </c>
      <c r="E989" s="502" t="s">
        <v>2652</v>
      </c>
      <c r="F989" s="594" t="s">
        <v>2652</v>
      </c>
      <c r="G989" s="605" t="s">
        <v>6340</v>
      </c>
      <c r="H989" s="1242"/>
      <c r="I989" s="1250"/>
    </row>
    <row r="990" spans="1:9" hidden="1">
      <c r="A990" s="630" t="s">
        <v>6268</v>
      </c>
      <c r="B990" s="414" t="s">
        <v>85</v>
      </c>
      <c r="C990" s="492">
        <v>2</v>
      </c>
      <c r="D990" s="481">
        <v>1</v>
      </c>
      <c r="E990" s="485" t="s">
        <v>6341</v>
      </c>
      <c r="F990" s="620" t="s">
        <v>2645</v>
      </c>
      <c r="G990" s="630"/>
      <c r="H990" s="1241" t="s">
        <v>6342</v>
      </c>
      <c r="I990" s="1249" t="s">
        <v>5</v>
      </c>
    </row>
    <row r="991" spans="1:9" hidden="1">
      <c r="A991" s="631" t="s">
        <v>6268</v>
      </c>
      <c r="B991" s="413" t="s">
        <v>85</v>
      </c>
      <c r="C991" s="384">
        <v>2</v>
      </c>
      <c r="D991" s="482">
        <v>2</v>
      </c>
      <c r="E991" s="486" t="s">
        <v>6343</v>
      </c>
      <c r="F991" s="593" t="s">
        <v>2648</v>
      </c>
      <c r="G991" s="631"/>
      <c r="H991" s="1242"/>
      <c r="I991" s="1250"/>
    </row>
    <row r="992" spans="1:9" hidden="1">
      <c r="A992" s="605" t="s">
        <v>6268</v>
      </c>
      <c r="B992" s="425" t="s">
        <v>85</v>
      </c>
      <c r="C992" s="493">
        <v>2</v>
      </c>
      <c r="D992" s="501">
        <v>3</v>
      </c>
      <c r="E992" s="502" t="s">
        <v>422</v>
      </c>
      <c r="F992" s="594" t="s">
        <v>2652</v>
      </c>
      <c r="G992" s="605" t="s">
        <v>6344</v>
      </c>
      <c r="H992" s="1242"/>
      <c r="I992" s="1250"/>
    </row>
    <row r="993" spans="1:9" hidden="1">
      <c r="A993" s="630" t="s">
        <v>6301</v>
      </c>
      <c r="B993" s="427" t="s">
        <v>213</v>
      </c>
      <c r="C993" s="492">
        <v>1</v>
      </c>
      <c r="D993" s="581">
        <v>2</v>
      </c>
      <c r="E993" s="582" t="s">
        <v>2236</v>
      </c>
      <c r="F993" s="626" t="s">
        <v>2236</v>
      </c>
      <c r="G993" s="603" t="s">
        <v>6345</v>
      </c>
      <c r="H993" s="1241" t="s">
        <v>6346</v>
      </c>
      <c r="I993" s="1253" t="s">
        <v>5</v>
      </c>
    </row>
    <row r="994" spans="1:9" hidden="1">
      <c r="A994" s="631" t="s">
        <v>6301</v>
      </c>
      <c r="B994" s="424" t="s">
        <v>213</v>
      </c>
      <c r="C994" s="384">
        <v>1</v>
      </c>
      <c r="D994" s="583">
        <v>3</v>
      </c>
      <c r="E994" s="584" t="s">
        <v>2239</v>
      </c>
      <c r="F994" s="627" t="s">
        <v>2240</v>
      </c>
      <c r="G994" s="604" t="s">
        <v>6345</v>
      </c>
      <c r="H994" s="1242"/>
      <c r="I994" s="1254"/>
    </row>
    <row r="995" spans="1:9" hidden="1">
      <c r="A995" s="631" t="s">
        <v>6301</v>
      </c>
      <c r="B995" s="424" t="s">
        <v>213</v>
      </c>
      <c r="C995" s="384">
        <v>1</v>
      </c>
      <c r="D995" s="583">
        <v>4</v>
      </c>
      <c r="E995" s="584" t="s">
        <v>2241</v>
      </c>
      <c r="F995" s="627" t="s">
        <v>2241</v>
      </c>
      <c r="G995" s="604" t="s">
        <v>2237</v>
      </c>
      <c r="H995" s="1242"/>
      <c r="I995" s="1254"/>
    </row>
    <row r="996" spans="1:9" hidden="1">
      <c r="A996" s="631" t="s">
        <v>6301</v>
      </c>
      <c r="B996" s="424" t="s">
        <v>213</v>
      </c>
      <c r="C996" s="384">
        <v>1</v>
      </c>
      <c r="D996" s="583">
        <v>5</v>
      </c>
      <c r="E996" s="584" t="s">
        <v>2242</v>
      </c>
      <c r="F996" s="627" t="s">
        <v>2242</v>
      </c>
      <c r="G996" s="604" t="s">
        <v>2221</v>
      </c>
      <c r="H996" s="1242"/>
      <c r="I996" s="1254"/>
    </row>
    <row r="997" spans="1:9" hidden="1">
      <c r="A997" s="631" t="s">
        <v>6301</v>
      </c>
      <c r="B997" s="424" t="s">
        <v>213</v>
      </c>
      <c r="C997" s="384">
        <v>1</v>
      </c>
      <c r="D997" s="583">
        <v>7</v>
      </c>
      <c r="E997" s="584" t="s">
        <v>2243</v>
      </c>
      <c r="F997" s="627" t="s">
        <v>2243</v>
      </c>
      <c r="G997" s="604" t="s">
        <v>2221</v>
      </c>
      <c r="H997" s="1242"/>
      <c r="I997" s="1254"/>
    </row>
    <row r="998" spans="1:9" hidden="1">
      <c r="A998" s="631" t="s">
        <v>6301</v>
      </c>
      <c r="B998" s="424" t="s">
        <v>213</v>
      </c>
      <c r="C998" s="384">
        <v>1</v>
      </c>
      <c r="D998" s="583">
        <v>8</v>
      </c>
      <c r="E998" s="584" t="s">
        <v>2244</v>
      </c>
      <c r="F998" s="627" t="s">
        <v>2244</v>
      </c>
      <c r="G998" s="604" t="s">
        <v>2221</v>
      </c>
      <c r="H998" s="1242"/>
      <c r="I998" s="1254"/>
    </row>
    <row r="999" spans="1:9" hidden="1">
      <c r="A999" s="631" t="s">
        <v>6301</v>
      </c>
      <c r="B999" s="424" t="s">
        <v>213</v>
      </c>
      <c r="C999" s="384">
        <v>1</v>
      </c>
      <c r="D999" s="583">
        <v>9</v>
      </c>
      <c r="E999" s="584" t="s">
        <v>2245</v>
      </c>
      <c r="F999" s="627" t="s">
        <v>2245</v>
      </c>
      <c r="G999" s="604" t="s">
        <v>2221</v>
      </c>
      <c r="H999" s="1242"/>
      <c r="I999" s="1254"/>
    </row>
    <row r="1000" spans="1:9" hidden="1">
      <c r="A1000" s="631" t="s">
        <v>6301</v>
      </c>
      <c r="B1000" s="424" t="s">
        <v>213</v>
      </c>
      <c r="C1000" s="384">
        <v>1</v>
      </c>
      <c r="D1000" s="583">
        <v>10</v>
      </c>
      <c r="E1000" s="584" t="s">
        <v>2246</v>
      </c>
      <c r="F1000" s="627" t="s">
        <v>2246</v>
      </c>
      <c r="G1000" s="604" t="s">
        <v>2221</v>
      </c>
      <c r="H1000" s="1242"/>
      <c r="I1000" s="1254"/>
    </row>
    <row r="1001" spans="1:9" hidden="1">
      <c r="A1001" s="631" t="s">
        <v>6301</v>
      </c>
      <c r="B1001" s="424" t="s">
        <v>213</v>
      </c>
      <c r="C1001" s="384">
        <v>1</v>
      </c>
      <c r="D1001" s="583">
        <v>12</v>
      </c>
      <c r="E1001" s="584" t="s">
        <v>2247</v>
      </c>
      <c r="F1001" s="627" t="s">
        <v>2247</v>
      </c>
      <c r="G1001" s="604" t="s">
        <v>2221</v>
      </c>
      <c r="H1001" s="1242"/>
      <c r="I1001" s="1254"/>
    </row>
    <row r="1002" spans="1:9" hidden="1">
      <c r="A1002" s="631" t="s">
        <v>6301</v>
      </c>
      <c r="B1002" s="424" t="s">
        <v>213</v>
      </c>
      <c r="C1002" s="384">
        <v>1</v>
      </c>
      <c r="D1002" s="583">
        <v>13</v>
      </c>
      <c r="E1002" s="584" t="s">
        <v>2248</v>
      </c>
      <c r="F1002" s="627" t="s">
        <v>2248</v>
      </c>
      <c r="G1002" s="604" t="s">
        <v>2237</v>
      </c>
      <c r="H1002" s="1242"/>
      <c r="I1002" s="1254"/>
    </row>
    <row r="1003" spans="1:9" hidden="1">
      <c r="A1003" s="631" t="s">
        <v>6301</v>
      </c>
      <c r="B1003" s="424" t="s">
        <v>213</v>
      </c>
      <c r="C1003" s="384">
        <v>1</v>
      </c>
      <c r="D1003" s="583">
        <v>15</v>
      </c>
      <c r="E1003" s="584" t="s">
        <v>2249</v>
      </c>
      <c r="F1003" s="627" t="s">
        <v>2249</v>
      </c>
      <c r="G1003" s="604" t="s">
        <v>2221</v>
      </c>
      <c r="H1003" s="1242"/>
      <c r="I1003" s="1254"/>
    </row>
    <row r="1004" spans="1:9" hidden="1">
      <c r="A1004" s="631" t="s">
        <v>6301</v>
      </c>
      <c r="B1004" s="424" t="s">
        <v>213</v>
      </c>
      <c r="C1004" s="384">
        <v>1</v>
      </c>
      <c r="D1004" s="583">
        <v>16</v>
      </c>
      <c r="E1004" s="584" t="s">
        <v>2250</v>
      </c>
      <c r="F1004" s="627" t="s">
        <v>2250</v>
      </c>
      <c r="G1004" s="604" t="s">
        <v>2237</v>
      </c>
      <c r="H1004" s="1242"/>
      <c r="I1004" s="1254"/>
    </row>
    <row r="1005" spans="1:9" hidden="1">
      <c r="A1005" s="631" t="s">
        <v>6301</v>
      </c>
      <c r="B1005" s="424" t="s">
        <v>213</v>
      </c>
      <c r="C1005" s="384">
        <v>1</v>
      </c>
      <c r="D1005" s="583">
        <v>17</v>
      </c>
      <c r="E1005" s="584" t="s">
        <v>2251</v>
      </c>
      <c r="F1005" s="627" t="s">
        <v>2251</v>
      </c>
      <c r="G1005" s="604" t="s">
        <v>2237</v>
      </c>
      <c r="H1005" s="1242"/>
      <c r="I1005" s="1254"/>
    </row>
    <row r="1006" spans="1:9" hidden="1">
      <c r="A1006" s="631" t="s">
        <v>6301</v>
      </c>
      <c r="B1006" s="424" t="s">
        <v>213</v>
      </c>
      <c r="C1006" s="384">
        <v>1</v>
      </c>
      <c r="D1006" s="583">
        <v>18</v>
      </c>
      <c r="E1006" s="584" t="s">
        <v>2252</v>
      </c>
      <c r="F1006" s="627" t="s">
        <v>2253</v>
      </c>
      <c r="G1006" s="604" t="s">
        <v>2221</v>
      </c>
      <c r="H1006" s="1242"/>
      <c r="I1006" s="1254"/>
    </row>
    <row r="1007" spans="1:9" hidden="1">
      <c r="A1007" s="631" t="s">
        <v>6301</v>
      </c>
      <c r="B1007" s="424" t="s">
        <v>213</v>
      </c>
      <c r="C1007" s="384">
        <v>1</v>
      </c>
      <c r="D1007" s="583">
        <v>51</v>
      </c>
      <c r="E1007" s="584" t="s">
        <v>2259</v>
      </c>
      <c r="F1007" s="627" t="s">
        <v>6347</v>
      </c>
      <c r="G1007" s="604" t="s">
        <v>2237</v>
      </c>
      <c r="H1007" s="1242"/>
      <c r="I1007" s="1254"/>
    </row>
    <row r="1008" spans="1:9" hidden="1">
      <c r="A1008" s="631" t="s">
        <v>6301</v>
      </c>
      <c r="B1008" s="424" t="s">
        <v>213</v>
      </c>
      <c r="C1008" s="384">
        <v>1</v>
      </c>
      <c r="D1008" s="583">
        <v>52</v>
      </c>
      <c r="E1008" s="584" t="s">
        <v>2261</v>
      </c>
      <c r="F1008" s="627" t="s">
        <v>2261</v>
      </c>
      <c r="G1008" s="604" t="s">
        <v>2237</v>
      </c>
      <c r="H1008" s="1242"/>
      <c r="I1008" s="1254"/>
    </row>
    <row r="1009" spans="1:9" hidden="1">
      <c r="A1009" s="605" t="s">
        <v>6301</v>
      </c>
      <c r="B1009" s="431" t="s">
        <v>213</v>
      </c>
      <c r="C1009" s="493">
        <v>1</v>
      </c>
      <c r="D1009" s="585">
        <v>53</v>
      </c>
      <c r="E1009" s="580" t="s">
        <v>2260</v>
      </c>
      <c r="F1009" s="621" t="s">
        <v>2260</v>
      </c>
      <c r="G1009" s="635" t="s">
        <v>2237</v>
      </c>
      <c r="H1009" s="1242"/>
      <c r="I1009" s="1254"/>
    </row>
    <row r="1010" spans="1:9" hidden="1">
      <c r="A1010" s="630" t="s">
        <v>6301</v>
      </c>
      <c r="B1010" s="414" t="s">
        <v>214</v>
      </c>
      <c r="C1010" s="492">
        <v>1</v>
      </c>
      <c r="D1010" s="481">
        <v>1</v>
      </c>
      <c r="E1010" s="485" t="s">
        <v>2781</v>
      </c>
      <c r="F1010" s="620" t="s">
        <v>2781</v>
      </c>
      <c r="G1010" s="633" t="s">
        <v>6215</v>
      </c>
      <c r="H1010" s="1241" t="s">
        <v>6348</v>
      </c>
      <c r="I1010" s="1249" t="s">
        <v>5</v>
      </c>
    </row>
    <row r="1011" spans="1:9" hidden="1">
      <c r="A1011" s="631" t="s">
        <v>6301</v>
      </c>
      <c r="B1011" s="413" t="s">
        <v>214</v>
      </c>
      <c r="C1011" s="384">
        <v>1</v>
      </c>
      <c r="D1011" s="482">
        <v>2</v>
      </c>
      <c r="E1011" s="486" t="s">
        <v>2786</v>
      </c>
      <c r="F1011" s="593" t="s">
        <v>2786</v>
      </c>
      <c r="G1011" s="634" t="s">
        <v>6349</v>
      </c>
      <c r="H1011" s="1242"/>
      <c r="I1011" s="1250"/>
    </row>
    <row r="1012" spans="1:9" hidden="1">
      <c r="A1012" s="631" t="s">
        <v>6301</v>
      </c>
      <c r="B1012" s="413" t="s">
        <v>214</v>
      </c>
      <c r="C1012" s="384">
        <v>1</v>
      </c>
      <c r="D1012" s="482">
        <v>3</v>
      </c>
      <c r="E1012" s="486" t="s">
        <v>2783</v>
      </c>
      <c r="F1012" s="593" t="s">
        <v>2783</v>
      </c>
      <c r="G1012" s="634" t="s">
        <v>6215</v>
      </c>
      <c r="H1012" s="1242"/>
      <c r="I1012" s="1250"/>
    </row>
    <row r="1013" spans="1:9" hidden="1">
      <c r="A1013" s="631" t="s">
        <v>6301</v>
      </c>
      <c r="B1013" s="413" t="s">
        <v>214</v>
      </c>
      <c r="C1013" s="384">
        <v>1</v>
      </c>
      <c r="D1013" s="482">
        <v>4</v>
      </c>
      <c r="E1013" s="486" t="s">
        <v>2785</v>
      </c>
      <c r="F1013" s="593" t="s">
        <v>2785</v>
      </c>
      <c r="G1013" s="634" t="s">
        <v>6215</v>
      </c>
      <c r="H1013" s="1242"/>
      <c r="I1013" s="1250"/>
    </row>
    <row r="1014" spans="1:9" hidden="1">
      <c r="A1014" s="631" t="s">
        <v>6301</v>
      </c>
      <c r="B1014" s="413" t="s">
        <v>214</v>
      </c>
      <c r="C1014" s="384">
        <v>1</v>
      </c>
      <c r="D1014" s="482">
        <v>5</v>
      </c>
      <c r="E1014" s="486" t="s">
        <v>2787</v>
      </c>
      <c r="F1014" s="593" t="s">
        <v>6350</v>
      </c>
      <c r="G1014" s="634" t="s">
        <v>6349</v>
      </c>
      <c r="H1014" s="1242"/>
      <c r="I1014" s="1250"/>
    </row>
    <row r="1015" spans="1:9" hidden="1">
      <c r="A1015" s="605" t="s">
        <v>6301</v>
      </c>
      <c r="B1015" s="425" t="s">
        <v>214</v>
      </c>
      <c r="C1015" s="493">
        <v>1</v>
      </c>
      <c r="D1015" s="501">
        <v>11111111111</v>
      </c>
      <c r="E1015" s="502" t="s">
        <v>422</v>
      </c>
      <c r="F1015" s="594" t="s">
        <v>2714</v>
      </c>
      <c r="G1015" s="632" t="s">
        <v>6215</v>
      </c>
      <c r="H1015" s="1242"/>
      <c r="I1015" s="1250"/>
    </row>
    <row r="1016" spans="1:9" hidden="1">
      <c r="A1016" s="630" t="s">
        <v>6268</v>
      </c>
      <c r="B1016" s="414" t="s">
        <v>135</v>
      </c>
      <c r="C1016" s="492">
        <v>1</v>
      </c>
      <c r="D1016" s="481">
        <v>1</v>
      </c>
      <c r="E1016" s="485" t="s">
        <v>6351</v>
      </c>
      <c r="F1016" s="620" t="s">
        <v>6228</v>
      </c>
      <c r="G1016" s="630"/>
      <c r="H1016" s="1241" t="s">
        <v>6352</v>
      </c>
      <c r="I1016" s="1243" t="s">
        <v>5</v>
      </c>
    </row>
    <row r="1017" spans="1:9" hidden="1">
      <c r="A1017" s="631" t="s">
        <v>6268</v>
      </c>
      <c r="B1017" s="413" t="s">
        <v>135</v>
      </c>
      <c r="C1017" s="384">
        <v>1</v>
      </c>
      <c r="D1017" s="482">
        <v>2</v>
      </c>
      <c r="E1017" s="486" t="s">
        <v>6353</v>
      </c>
      <c r="F1017" s="593" t="s">
        <v>6231</v>
      </c>
      <c r="G1017" s="631"/>
      <c r="H1017" s="1242"/>
      <c r="I1017" s="1244"/>
    </row>
    <row r="1018" spans="1:9" hidden="1">
      <c r="A1018" s="628" t="s">
        <v>6268</v>
      </c>
      <c r="B1018" s="415" t="s">
        <v>135</v>
      </c>
      <c r="C1018" s="494">
        <v>1</v>
      </c>
      <c r="D1018" s="507">
        <v>11111111111</v>
      </c>
      <c r="E1018" s="508" t="s">
        <v>422</v>
      </c>
      <c r="F1018" s="595" t="s">
        <v>422</v>
      </c>
      <c r="G1018" s="628"/>
      <c r="H1018" s="1251"/>
      <c r="I1018" s="1252"/>
    </row>
    <row r="1019" spans="1:9" hidden="1">
      <c r="A1019" s="630" t="s">
        <v>6268</v>
      </c>
      <c r="B1019" s="414" t="s">
        <v>137</v>
      </c>
      <c r="C1019" s="492">
        <v>1</v>
      </c>
      <c r="D1019" s="481">
        <v>1</v>
      </c>
      <c r="E1019" s="485" t="s">
        <v>6354</v>
      </c>
      <c r="F1019" s="620" t="s">
        <v>2792</v>
      </c>
      <c r="G1019" s="630"/>
      <c r="H1019" s="1241" t="s">
        <v>6355</v>
      </c>
      <c r="I1019" s="1243" t="s">
        <v>5</v>
      </c>
    </row>
    <row r="1020" spans="1:9" hidden="1">
      <c r="A1020" s="605" t="s">
        <v>6268</v>
      </c>
      <c r="B1020" s="425" t="s">
        <v>137</v>
      </c>
      <c r="C1020" s="493">
        <v>1</v>
      </c>
      <c r="D1020" s="501">
        <v>2</v>
      </c>
      <c r="E1020" s="502" t="s">
        <v>6356</v>
      </c>
      <c r="F1020" s="594" t="s">
        <v>6357</v>
      </c>
      <c r="G1020" s="605"/>
      <c r="H1020" s="1242"/>
      <c r="I1020" s="1244"/>
    </row>
    <row r="1021" spans="1:9" hidden="1">
      <c r="A1021" s="426" t="s">
        <v>6268</v>
      </c>
      <c r="B1021" s="414" t="s">
        <v>146</v>
      </c>
      <c r="C1021" s="688">
        <v>1</v>
      </c>
      <c r="D1021" s="414">
        <v>260</v>
      </c>
      <c r="E1021" s="414" t="s">
        <v>6358</v>
      </c>
      <c r="F1021" s="414" t="s">
        <v>6359</v>
      </c>
      <c r="G1021" s="414"/>
      <c r="H1021" s="1276" t="s">
        <v>6360</v>
      </c>
      <c r="I1021" s="1279" t="s">
        <v>5</v>
      </c>
    </row>
    <row r="1022" spans="1:9" hidden="1">
      <c r="A1022" s="428" t="s">
        <v>6268</v>
      </c>
      <c r="B1022" s="413" t="s">
        <v>146</v>
      </c>
      <c r="C1022" s="265">
        <v>1</v>
      </c>
      <c r="D1022" s="413">
        <v>265</v>
      </c>
      <c r="E1022" s="413" t="s">
        <v>6358</v>
      </c>
      <c r="F1022" s="413" t="s">
        <v>6361</v>
      </c>
      <c r="G1022" s="413"/>
      <c r="H1022" s="1277"/>
      <c r="I1022" s="1280"/>
    </row>
    <row r="1023" spans="1:9" hidden="1">
      <c r="A1023" s="428" t="s">
        <v>6268</v>
      </c>
      <c r="B1023" s="413" t="s">
        <v>146</v>
      </c>
      <c r="C1023" s="265">
        <v>1</v>
      </c>
      <c r="D1023" s="413">
        <v>270</v>
      </c>
      <c r="E1023" s="413" t="s">
        <v>6358</v>
      </c>
      <c r="F1023" s="413" t="s">
        <v>6362</v>
      </c>
      <c r="G1023" s="413"/>
      <c r="H1023" s="1277"/>
      <c r="I1023" s="1280"/>
    </row>
    <row r="1024" spans="1:9" hidden="1">
      <c r="A1024" s="428" t="s">
        <v>6268</v>
      </c>
      <c r="B1024" s="413" t="s">
        <v>146</v>
      </c>
      <c r="C1024" s="265">
        <v>1</v>
      </c>
      <c r="D1024" s="413">
        <v>275</v>
      </c>
      <c r="E1024" s="413" t="s">
        <v>6358</v>
      </c>
      <c r="F1024" s="413" t="s">
        <v>6363</v>
      </c>
      <c r="G1024" s="413"/>
      <c r="H1024" s="1277"/>
      <c r="I1024" s="1280"/>
    </row>
    <row r="1025" spans="1:9" hidden="1">
      <c r="A1025" s="428" t="s">
        <v>6268</v>
      </c>
      <c r="B1025" s="413" t="s">
        <v>146</v>
      </c>
      <c r="C1025" s="265">
        <v>1</v>
      </c>
      <c r="D1025" s="413">
        <v>280</v>
      </c>
      <c r="E1025" s="413" t="s">
        <v>6358</v>
      </c>
      <c r="F1025" s="413" t="s">
        <v>6364</v>
      </c>
      <c r="G1025" s="413"/>
      <c r="H1025" s="1277"/>
      <c r="I1025" s="1280"/>
    </row>
    <row r="1026" spans="1:9" hidden="1">
      <c r="A1026" s="428" t="s">
        <v>6268</v>
      </c>
      <c r="B1026" s="413" t="s">
        <v>146</v>
      </c>
      <c r="C1026" s="265">
        <v>1</v>
      </c>
      <c r="D1026" s="413">
        <v>285</v>
      </c>
      <c r="E1026" s="413" t="s">
        <v>6358</v>
      </c>
      <c r="F1026" s="413" t="s">
        <v>6365</v>
      </c>
      <c r="G1026" s="413"/>
      <c r="H1026" s="1277"/>
      <c r="I1026" s="1280"/>
    </row>
    <row r="1027" spans="1:9" hidden="1">
      <c r="A1027" s="428" t="s">
        <v>6268</v>
      </c>
      <c r="B1027" s="413" t="s">
        <v>146</v>
      </c>
      <c r="C1027" s="265">
        <v>1</v>
      </c>
      <c r="D1027" s="413">
        <v>290</v>
      </c>
      <c r="E1027" s="413" t="s">
        <v>6358</v>
      </c>
      <c r="F1027" s="413" t="s">
        <v>6366</v>
      </c>
      <c r="G1027" s="413"/>
      <c r="H1027" s="1277"/>
      <c r="I1027" s="1280"/>
    </row>
    <row r="1028" spans="1:9" hidden="1">
      <c r="A1028" s="428" t="s">
        <v>6268</v>
      </c>
      <c r="B1028" s="413" t="s">
        <v>146</v>
      </c>
      <c r="C1028" s="265">
        <v>1</v>
      </c>
      <c r="D1028" s="413">
        <v>300</v>
      </c>
      <c r="E1028" s="413" t="s">
        <v>6358</v>
      </c>
      <c r="F1028" s="413" t="s">
        <v>6367</v>
      </c>
      <c r="G1028" s="413"/>
      <c r="H1028" s="1277"/>
      <c r="I1028" s="1280"/>
    </row>
    <row r="1029" spans="1:9" hidden="1">
      <c r="A1029" s="428" t="s">
        <v>6268</v>
      </c>
      <c r="B1029" s="413" t="s">
        <v>146</v>
      </c>
      <c r="C1029" s="265">
        <v>1</v>
      </c>
      <c r="D1029" s="413">
        <v>320</v>
      </c>
      <c r="E1029" s="413" t="s">
        <v>6358</v>
      </c>
      <c r="F1029" s="413" t="s">
        <v>6368</v>
      </c>
      <c r="G1029" s="413"/>
      <c r="H1029" s="1277"/>
      <c r="I1029" s="1280"/>
    </row>
    <row r="1030" spans="1:9" hidden="1">
      <c r="A1030" s="428" t="s">
        <v>6268</v>
      </c>
      <c r="B1030" s="413" t="s">
        <v>146</v>
      </c>
      <c r="C1030" s="265">
        <v>1</v>
      </c>
      <c r="D1030" s="413">
        <v>325</v>
      </c>
      <c r="E1030" s="413" t="s">
        <v>6358</v>
      </c>
      <c r="F1030" s="413" t="s">
        <v>6369</v>
      </c>
      <c r="G1030" s="413"/>
      <c r="H1030" s="1277"/>
      <c r="I1030" s="1280"/>
    </row>
    <row r="1031" spans="1:9" hidden="1">
      <c r="A1031" s="428" t="s">
        <v>6268</v>
      </c>
      <c r="B1031" s="413" t="s">
        <v>146</v>
      </c>
      <c r="C1031" s="265">
        <v>1</v>
      </c>
      <c r="D1031" s="413">
        <v>345</v>
      </c>
      <c r="E1031" s="413" t="s">
        <v>6358</v>
      </c>
      <c r="F1031" s="413" t="s">
        <v>6370</v>
      </c>
      <c r="G1031" s="413"/>
      <c r="H1031" s="1277"/>
      <c r="I1031" s="1280"/>
    </row>
    <row r="1032" spans="1:9" hidden="1">
      <c r="A1032" s="428" t="s">
        <v>6268</v>
      </c>
      <c r="B1032" s="413" t="s">
        <v>146</v>
      </c>
      <c r="C1032" s="265">
        <v>1</v>
      </c>
      <c r="D1032" s="413">
        <v>350</v>
      </c>
      <c r="E1032" s="413" t="s">
        <v>6358</v>
      </c>
      <c r="F1032" s="413" t="s">
        <v>6371</v>
      </c>
      <c r="G1032" s="413"/>
      <c r="H1032" s="1277"/>
      <c r="I1032" s="1280"/>
    </row>
    <row r="1033" spans="1:9" hidden="1">
      <c r="A1033" s="428" t="s">
        <v>6268</v>
      </c>
      <c r="B1033" s="413" t="s">
        <v>146</v>
      </c>
      <c r="C1033" s="265">
        <v>1</v>
      </c>
      <c r="D1033" s="413">
        <v>355</v>
      </c>
      <c r="E1033" s="413" t="s">
        <v>6358</v>
      </c>
      <c r="F1033" s="413" t="s">
        <v>6372</v>
      </c>
      <c r="G1033" s="413"/>
      <c r="H1033" s="1277"/>
      <c r="I1033" s="1280"/>
    </row>
    <row r="1034" spans="1:9" hidden="1">
      <c r="A1034" s="428" t="s">
        <v>6268</v>
      </c>
      <c r="B1034" s="413" t="s">
        <v>146</v>
      </c>
      <c r="C1034" s="265">
        <v>1</v>
      </c>
      <c r="D1034" s="413">
        <v>360</v>
      </c>
      <c r="E1034" s="413" t="s">
        <v>6358</v>
      </c>
      <c r="F1034" s="413" t="s">
        <v>6373</v>
      </c>
      <c r="G1034" s="413"/>
      <c r="H1034" s="1277"/>
      <c r="I1034" s="1280"/>
    </row>
    <row r="1035" spans="1:9" hidden="1">
      <c r="A1035" s="428" t="s">
        <v>6268</v>
      </c>
      <c r="B1035" s="413" t="s">
        <v>146</v>
      </c>
      <c r="C1035" s="265">
        <v>1</v>
      </c>
      <c r="D1035" s="413">
        <v>365</v>
      </c>
      <c r="E1035" s="413" t="s">
        <v>6358</v>
      </c>
      <c r="F1035" s="413" t="s">
        <v>6374</v>
      </c>
      <c r="G1035" s="413"/>
      <c r="H1035" s="1277"/>
      <c r="I1035" s="1280"/>
    </row>
    <row r="1036" spans="1:9" hidden="1">
      <c r="A1036" s="428" t="s">
        <v>6268</v>
      </c>
      <c r="B1036" s="413" t="s">
        <v>146</v>
      </c>
      <c r="C1036" s="265">
        <v>1</v>
      </c>
      <c r="D1036" s="413">
        <v>375</v>
      </c>
      <c r="E1036" s="413" t="s">
        <v>6358</v>
      </c>
      <c r="F1036" s="413" t="s">
        <v>6375</v>
      </c>
      <c r="G1036" s="413"/>
      <c r="H1036" s="1277"/>
      <c r="I1036" s="1280"/>
    </row>
    <row r="1037" spans="1:9" hidden="1">
      <c r="A1037" s="428" t="s">
        <v>6268</v>
      </c>
      <c r="B1037" s="413" t="s">
        <v>146</v>
      </c>
      <c r="C1037" s="265">
        <v>1</v>
      </c>
      <c r="D1037" s="413">
        <v>379</v>
      </c>
      <c r="E1037" s="413" t="s">
        <v>6358</v>
      </c>
      <c r="F1037" s="413" t="s">
        <v>6376</v>
      </c>
      <c r="G1037" s="413"/>
      <c r="H1037" s="1277"/>
      <c r="I1037" s="1280"/>
    </row>
    <row r="1038" spans="1:9" hidden="1">
      <c r="A1038" s="428" t="s">
        <v>6268</v>
      </c>
      <c r="B1038" s="413" t="s">
        <v>146</v>
      </c>
      <c r="C1038" s="265">
        <v>1</v>
      </c>
      <c r="D1038" s="413" t="s">
        <v>6377</v>
      </c>
      <c r="E1038" s="413" t="s">
        <v>6358</v>
      </c>
      <c r="F1038" s="413" t="s">
        <v>6378</v>
      </c>
      <c r="G1038" s="413"/>
      <c r="H1038" s="1277"/>
      <c r="I1038" s="1280"/>
    </row>
    <row r="1039" spans="1:9" hidden="1">
      <c r="A1039" s="428" t="s">
        <v>6268</v>
      </c>
      <c r="B1039" s="413" t="s">
        <v>146</v>
      </c>
      <c r="C1039" s="265">
        <v>1</v>
      </c>
      <c r="D1039" s="413" t="s">
        <v>6379</v>
      </c>
      <c r="E1039" s="413" t="s">
        <v>6380</v>
      </c>
      <c r="F1039" s="413" t="s">
        <v>6381</v>
      </c>
      <c r="G1039" s="413"/>
      <c r="H1039" s="1277"/>
      <c r="I1039" s="1280"/>
    </row>
    <row r="1040" spans="1:9" hidden="1">
      <c r="A1040" s="428" t="s">
        <v>6268</v>
      </c>
      <c r="B1040" s="413" t="s">
        <v>146</v>
      </c>
      <c r="C1040" s="265">
        <v>1</v>
      </c>
      <c r="D1040" s="413" t="s">
        <v>6382</v>
      </c>
      <c r="E1040" s="413" t="s">
        <v>6358</v>
      </c>
      <c r="F1040" s="413" t="s">
        <v>6383</v>
      </c>
      <c r="G1040" s="413"/>
      <c r="H1040" s="1277"/>
      <c r="I1040" s="1280"/>
    </row>
    <row r="1041" spans="1:9" hidden="1">
      <c r="A1041" s="428" t="s">
        <v>6268</v>
      </c>
      <c r="B1041" s="413" t="s">
        <v>146</v>
      </c>
      <c r="C1041" s="265">
        <v>1</v>
      </c>
      <c r="D1041" s="413" t="s">
        <v>6384</v>
      </c>
      <c r="E1041" s="413" t="s">
        <v>6380</v>
      </c>
      <c r="F1041" s="413" t="s">
        <v>6385</v>
      </c>
      <c r="G1041" s="413"/>
      <c r="H1041" s="1277"/>
      <c r="I1041" s="1280"/>
    </row>
    <row r="1042" spans="1:9" hidden="1">
      <c r="A1042" s="428" t="s">
        <v>6268</v>
      </c>
      <c r="B1042" s="413" t="s">
        <v>146</v>
      </c>
      <c r="C1042" s="265">
        <v>1</v>
      </c>
      <c r="D1042" s="413" t="s">
        <v>6386</v>
      </c>
      <c r="E1042" s="413" t="s">
        <v>6380</v>
      </c>
      <c r="F1042" s="413" t="s">
        <v>6387</v>
      </c>
      <c r="G1042" s="413"/>
      <c r="H1042" s="1277"/>
      <c r="I1042" s="1280"/>
    </row>
    <row r="1043" spans="1:9" hidden="1">
      <c r="A1043" s="428" t="s">
        <v>6268</v>
      </c>
      <c r="B1043" s="413" t="s">
        <v>146</v>
      </c>
      <c r="C1043" s="265">
        <v>1</v>
      </c>
      <c r="D1043" s="413" t="s">
        <v>6388</v>
      </c>
      <c r="E1043" s="413" t="s">
        <v>6358</v>
      </c>
      <c r="F1043" s="413" t="s">
        <v>6389</v>
      </c>
      <c r="G1043" s="413"/>
      <c r="H1043" s="1277"/>
      <c r="I1043" s="1280"/>
    </row>
    <row r="1044" spans="1:9" hidden="1">
      <c r="A1044" s="428" t="s">
        <v>6268</v>
      </c>
      <c r="B1044" s="413" t="s">
        <v>146</v>
      </c>
      <c r="C1044" s="265">
        <v>1</v>
      </c>
      <c r="D1044" s="413" t="s">
        <v>6390</v>
      </c>
      <c r="E1044" s="413" t="s">
        <v>6380</v>
      </c>
      <c r="F1044" s="413" t="s">
        <v>6391</v>
      </c>
      <c r="G1044" s="413"/>
      <c r="H1044" s="1277"/>
      <c r="I1044" s="1280"/>
    </row>
    <row r="1045" spans="1:9" hidden="1">
      <c r="A1045" s="428" t="s">
        <v>6268</v>
      </c>
      <c r="B1045" s="413" t="s">
        <v>146</v>
      </c>
      <c r="C1045" s="265">
        <v>1</v>
      </c>
      <c r="D1045" s="413" t="s">
        <v>6392</v>
      </c>
      <c r="E1045" s="413" t="s">
        <v>6380</v>
      </c>
      <c r="F1045" s="413" t="s">
        <v>6393</v>
      </c>
      <c r="G1045" s="413"/>
      <c r="H1045" s="1277"/>
      <c r="I1045" s="1280"/>
    </row>
    <row r="1046" spans="1:9" hidden="1">
      <c r="A1046" s="428" t="s">
        <v>6268</v>
      </c>
      <c r="B1046" s="413" t="s">
        <v>146</v>
      </c>
      <c r="C1046" s="265">
        <v>1</v>
      </c>
      <c r="D1046" s="413" t="s">
        <v>6394</v>
      </c>
      <c r="E1046" s="413" t="s">
        <v>6358</v>
      </c>
      <c r="F1046" s="413" t="s">
        <v>6395</v>
      </c>
      <c r="G1046" s="413"/>
      <c r="H1046" s="1277"/>
      <c r="I1046" s="1280"/>
    </row>
    <row r="1047" spans="1:9" hidden="1">
      <c r="A1047" s="428" t="s">
        <v>6268</v>
      </c>
      <c r="B1047" s="413" t="s">
        <v>146</v>
      </c>
      <c r="C1047" s="265">
        <v>1</v>
      </c>
      <c r="D1047" s="413" t="s">
        <v>6396</v>
      </c>
      <c r="E1047" s="413" t="s">
        <v>6380</v>
      </c>
      <c r="F1047" s="413" t="s">
        <v>6397</v>
      </c>
      <c r="G1047" s="413"/>
      <c r="H1047" s="1277"/>
      <c r="I1047" s="1280"/>
    </row>
    <row r="1048" spans="1:9" hidden="1">
      <c r="A1048" s="428" t="s">
        <v>6268</v>
      </c>
      <c r="B1048" s="413" t="s">
        <v>146</v>
      </c>
      <c r="C1048" s="265">
        <v>1</v>
      </c>
      <c r="D1048" s="413" t="s">
        <v>6398</v>
      </c>
      <c r="E1048" s="413" t="s">
        <v>6358</v>
      </c>
      <c r="F1048" s="413" t="s">
        <v>6399</v>
      </c>
      <c r="G1048" s="413"/>
      <c r="H1048" s="1277"/>
      <c r="I1048" s="1280"/>
    </row>
    <row r="1049" spans="1:9" hidden="1">
      <c r="A1049" s="428" t="s">
        <v>6268</v>
      </c>
      <c r="B1049" s="413" t="s">
        <v>146</v>
      </c>
      <c r="C1049" s="265">
        <v>1</v>
      </c>
      <c r="D1049" s="413" t="s">
        <v>6400</v>
      </c>
      <c r="E1049" s="413" t="s">
        <v>6380</v>
      </c>
      <c r="F1049" s="413" t="s">
        <v>6401</v>
      </c>
      <c r="G1049" s="413"/>
      <c r="H1049" s="1277"/>
      <c r="I1049" s="1280"/>
    </row>
    <row r="1050" spans="1:9" hidden="1">
      <c r="A1050" s="428" t="s">
        <v>6268</v>
      </c>
      <c r="B1050" s="413" t="s">
        <v>146</v>
      </c>
      <c r="C1050" s="265">
        <v>1</v>
      </c>
      <c r="D1050" s="413" t="s">
        <v>6402</v>
      </c>
      <c r="E1050" s="413" t="s">
        <v>6358</v>
      </c>
      <c r="F1050" s="413" t="s">
        <v>6403</v>
      </c>
      <c r="G1050" s="413"/>
      <c r="H1050" s="1277"/>
      <c r="I1050" s="1280"/>
    </row>
    <row r="1051" spans="1:9" hidden="1">
      <c r="A1051" s="428" t="s">
        <v>6268</v>
      </c>
      <c r="B1051" s="413" t="s">
        <v>146</v>
      </c>
      <c r="C1051" s="265">
        <v>1</v>
      </c>
      <c r="D1051" s="413" t="s">
        <v>6404</v>
      </c>
      <c r="E1051" s="413" t="s">
        <v>6380</v>
      </c>
      <c r="F1051" s="413" t="s">
        <v>6405</v>
      </c>
      <c r="G1051" s="413"/>
      <c r="H1051" s="1277"/>
      <c r="I1051" s="1280"/>
    </row>
    <row r="1052" spans="1:9" hidden="1">
      <c r="A1052" s="428" t="s">
        <v>6268</v>
      </c>
      <c r="B1052" s="413" t="s">
        <v>146</v>
      </c>
      <c r="C1052" s="265">
        <v>1</v>
      </c>
      <c r="D1052" s="413" t="s">
        <v>6406</v>
      </c>
      <c r="E1052" s="413" t="s">
        <v>6358</v>
      </c>
      <c r="F1052" s="413" t="s">
        <v>6407</v>
      </c>
      <c r="G1052" s="413"/>
      <c r="H1052" s="1277"/>
      <c r="I1052" s="1280"/>
    </row>
    <row r="1053" spans="1:9" hidden="1">
      <c r="A1053" s="428" t="s">
        <v>6268</v>
      </c>
      <c r="B1053" s="413" t="s">
        <v>146</v>
      </c>
      <c r="C1053" s="265">
        <v>1</v>
      </c>
      <c r="D1053" s="413" t="s">
        <v>6408</v>
      </c>
      <c r="E1053" s="413" t="s">
        <v>6380</v>
      </c>
      <c r="F1053" s="413" t="s">
        <v>6409</v>
      </c>
      <c r="G1053" s="413"/>
      <c r="H1053" s="1277"/>
      <c r="I1053" s="1280"/>
    </row>
    <row r="1054" spans="1:9" hidden="1">
      <c r="A1054" s="428" t="s">
        <v>6268</v>
      </c>
      <c r="B1054" s="413" t="s">
        <v>146</v>
      </c>
      <c r="C1054" s="265">
        <v>1</v>
      </c>
      <c r="D1054" s="413" t="s">
        <v>6410</v>
      </c>
      <c r="E1054" s="413" t="s">
        <v>6380</v>
      </c>
      <c r="F1054" s="413" t="s">
        <v>6411</v>
      </c>
      <c r="G1054" s="413"/>
      <c r="H1054" s="1277"/>
      <c r="I1054" s="1280"/>
    </row>
    <row r="1055" spans="1:9" hidden="1">
      <c r="A1055" s="428" t="s">
        <v>6268</v>
      </c>
      <c r="B1055" s="413" t="s">
        <v>146</v>
      </c>
      <c r="C1055" s="265">
        <v>1</v>
      </c>
      <c r="D1055" s="413" t="s">
        <v>6412</v>
      </c>
      <c r="E1055" s="413" t="s">
        <v>6358</v>
      </c>
      <c r="F1055" s="413" t="s">
        <v>6413</v>
      </c>
      <c r="G1055" s="413"/>
      <c r="H1055" s="1277"/>
      <c r="I1055" s="1280"/>
    </row>
    <row r="1056" spans="1:9" hidden="1">
      <c r="A1056" s="428" t="s">
        <v>6268</v>
      </c>
      <c r="B1056" s="413" t="s">
        <v>146</v>
      </c>
      <c r="C1056" s="265">
        <v>1</v>
      </c>
      <c r="D1056" s="413" t="s">
        <v>6414</v>
      </c>
      <c r="E1056" s="413" t="s">
        <v>6380</v>
      </c>
      <c r="F1056" s="413" t="s">
        <v>6415</v>
      </c>
      <c r="G1056" s="413"/>
      <c r="H1056" s="1277"/>
      <c r="I1056" s="1280"/>
    </row>
    <row r="1057" spans="1:9" hidden="1">
      <c r="A1057" s="428" t="s">
        <v>6268</v>
      </c>
      <c r="B1057" s="413" t="s">
        <v>146</v>
      </c>
      <c r="C1057" s="265">
        <v>1</v>
      </c>
      <c r="D1057" s="413" t="s">
        <v>6416</v>
      </c>
      <c r="E1057" s="413" t="s">
        <v>6380</v>
      </c>
      <c r="F1057" s="413" t="s">
        <v>6417</v>
      </c>
      <c r="G1057" s="413"/>
      <c r="H1057" s="1277"/>
      <c r="I1057" s="1280"/>
    </row>
    <row r="1058" spans="1:9" hidden="1">
      <c r="A1058" s="428" t="s">
        <v>6268</v>
      </c>
      <c r="B1058" s="413" t="s">
        <v>146</v>
      </c>
      <c r="C1058" s="265">
        <v>1</v>
      </c>
      <c r="D1058" s="413" t="s">
        <v>6418</v>
      </c>
      <c r="E1058" s="413" t="s">
        <v>6358</v>
      </c>
      <c r="F1058" s="413" t="s">
        <v>6419</v>
      </c>
      <c r="G1058" s="413"/>
      <c r="H1058" s="1277"/>
      <c r="I1058" s="1280"/>
    </row>
    <row r="1059" spans="1:9" hidden="1">
      <c r="A1059" s="428" t="s">
        <v>6268</v>
      </c>
      <c r="B1059" s="413" t="s">
        <v>146</v>
      </c>
      <c r="C1059" s="265">
        <v>1</v>
      </c>
      <c r="D1059" s="413" t="s">
        <v>6420</v>
      </c>
      <c r="E1059" s="413" t="s">
        <v>6358</v>
      </c>
      <c r="F1059" s="413" t="s">
        <v>6421</v>
      </c>
      <c r="G1059" s="413"/>
      <c r="H1059" s="1277"/>
      <c r="I1059" s="1280"/>
    </row>
    <row r="1060" spans="1:9" hidden="1">
      <c r="A1060" s="428" t="s">
        <v>6268</v>
      </c>
      <c r="B1060" s="413" t="s">
        <v>146</v>
      </c>
      <c r="C1060" s="265">
        <v>1</v>
      </c>
      <c r="D1060" s="413" t="s">
        <v>6422</v>
      </c>
      <c r="E1060" s="413" t="s">
        <v>6358</v>
      </c>
      <c r="F1060" s="413" t="s">
        <v>6423</v>
      </c>
      <c r="G1060" s="413"/>
      <c r="H1060" s="1277"/>
      <c r="I1060" s="1280"/>
    </row>
    <row r="1061" spans="1:9" hidden="1">
      <c r="A1061" s="428" t="s">
        <v>6268</v>
      </c>
      <c r="B1061" s="413" t="s">
        <v>146</v>
      </c>
      <c r="C1061" s="265">
        <v>1</v>
      </c>
      <c r="D1061" s="413" t="s">
        <v>6424</v>
      </c>
      <c r="E1061" s="413" t="s">
        <v>6380</v>
      </c>
      <c r="F1061" s="413" t="s">
        <v>6425</v>
      </c>
      <c r="G1061" s="413"/>
      <c r="H1061" s="1277"/>
      <c r="I1061" s="1280"/>
    </row>
    <row r="1062" spans="1:9" hidden="1">
      <c r="A1062" s="428" t="s">
        <v>6268</v>
      </c>
      <c r="B1062" s="413" t="s">
        <v>146</v>
      </c>
      <c r="C1062" s="265">
        <v>1</v>
      </c>
      <c r="D1062" s="413" t="s">
        <v>6426</v>
      </c>
      <c r="E1062" s="413" t="s">
        <v>6380</v>
      </c>
      <c r="F1062" s="413" t="s">
        <v>6427</v>
      </c>
      <c r="G1062" s="413"/>
      <c r="H1062" s="1277"/>
      <c r="I1062" s="1280"/>
    </row>
    <row r="1063" spans="1:9" hidden="1">
      <c r="A1063" s="428" t="s">
        <v>6268</v>
      </c>
      <c r="B1063" s="413" t="s">
        <v>146</v>
      </c>
      <c r="C1063" s="265">
        <v>1</v>
      </c>
      <c r="D1063" s="413" t="s">
        <v>6428</v>
      </c>
      <c r="E1063" s="413" t="s">
        <v>6358</v>
      </c>
      <c r="F1063" s="413" t="s">
        <v>6429</v>
      </c>
      <c r="G1063" s="413"/>
      <c r="H1063" s="1277"/>
      <c r="I1063" s="1280"/>
    </row>
    <row r="1064" spans="1:9" hidden="1">
      <c r="A1064" s="428" t="s">
        <v>6268</v>
      </c>
      <c r="B1064" s="413" t="s">
        <v>146</v>
      </c>
      <c r="C1064" s="265">
        <v>1</v>
      </c>
      <c r="D1064" s="413" t="s">
        <v>6430</v>
      </c>
      <c r="E1064" s="413" t="s">
        <v>6380</v>
      </c>
      <c r="F1064" s="413" t="s">
        <v>6431</v>
      </c>
      <c r="G1064" s="413"/>
      <c r="H1064" s="1277"/>
      <c r="I1064" s="1280"/>
    </row>
    <row r="1065" spans="1:9" hidden="1">
      <c r="A1065" s="428" t="s">
        <v>6268</v>
      </c>
      <c r="B1065" s="413" t="s">
        <v>146</v>
      </c>
      <c r="C1065" s="265">
        <v>1</v>
      </c>
      <c r="D1065" s="413" t="s">
        <v>6432</v>
      </c>
      <c r="E1065" s="413" t="s">
        <v>6358</v>
      </c>
      <c r="F1065" s="413" t="s">
        <v>6433</v>
      </c>
      <c r="G1065" s="413"/>
      <c r="H1065" s="1277"/>
      <c r="I1065" s="1280"/>
    </row>
    <row r="1066" spans="1:9" hidden="1">
      <c r="A1066" s="428" t="s">
        <v>6268</v>
      </c>
      <c r="B1066" s="413" t="s">
        <v>146</v>
      </c>
      <c r="C1066" s="265">
        <v>1</v>
      </c>
      <c r="D1066" s="413" t="s">
        <v>6434</v>
      </c>
      <c r="E1066" s="413" t="s">
        <v>6358</v>
      </c>
      <c r="F1066" s="413" t="s">
        <v>6435</v>
      </c>
      <c r="G1066" s="413"/>
      <c r="H1066" s="1277"/>
      <c r="I1066" s="1280"/>
    </row>
    <row r="1067" spans="1:9" hidden="1">
      <c r="A1067" s="428" t="s">
        <v>6268</v>
      </c>
      <c r="B1067" s="413" t="s">
        <v>146</v>
      </c>
      <c r="C1067" s="265">
        <v>1</v>
      </c>
      <c r="D1067" s="413" t="s">
        <v>6436</v>
      </c>
      <c r="E1067" s="413" t="s">
        <v>6358</v>
      </c>
      <c r="F1067" s="413" t="s">
        <v>6437</v>
      </c>
      <c r="G1067" s="413"/>
      <c r="H1067" s="1277"/>
      <c r="I1067" s="1280"/>
    </row>
    <row r="1068" spans="1:9" hidden="1">
      <c r="A1068" s="428" t="s">
        <v>6268</v>
      </c>
      <c r="B1068" s="413" t="s">
        <v>146</v>
      </c>
      <c r="C1068" s="265">
        <v>1</v>
      </c>
      <c r="D1068" s="413" t="s">
        <v>6438</v>
      </c>
      <c r="E1068" s="413" t="s">
        <v>6358</v>
      </c>
      <c r="F1068" s="413" t="s">
        <v>6439</v>
      </c>
      <c r="G1068" s="413"/>
      <c r="H1068" s="1277"/>
      <c r="I1068" s="1280"/>
    </row>
    <row r="1069" spans="1:9" hidden="1">
      <c r="A1069" s="428" t="s">
        <v>6268</v>
      </c>
      <c r="B1069" s="413" t="s">
        <v>146</v>
      </c>
      <c r="C1069" s="265">
        <v>1</v>
      </c>
      <c r="D1069" s="413" t="s">
        <v>6440</v>
      </c>
      <c r="E1069" s="413" t="s">
        <v>6358</v>
      </c>
      <c r="F1069" s="413" t="s">
        <v>6441</v>
      </c>
      <c r="G1069" s="413"/>
      <c r="H1069" s="1277"/>
      <c r="I1069" s="1280"/>
    </row>
    <row r="1070" spans="1:9" hidden="1">
      <c r="A1070" s="428" t="s">
        <v>6268</v>
      </c>
      <c r="B1070" s="413" t="s">
        <v>146</v>
      </c>
      <c r="C1070" s="265">
        <v>1</v>
      </c>
      <c r="D1070" s="413" t="s">
        <v>6442</v>
      </c>
      <c r="E1070" s="413" t="s">
        <v>6358</v>
      </c>
      <c r="F1070" s="413" t="s">
        <v>6443</v>
      </c>
      <c r="G1070" s="413"/>
      <c r="H1070" s="1277"/>
      <c r="I1070" s="1280"/>
    </row>
    <row r="1071" spans="1:9" hidden="1">
      <c r="A1071" s="428" t="s">
        <v>6268</v>
      </c>
      <c r="B1071" s="413" t="s">
        <v>146</v>
      </c>
      <c r="C1071" s="265">
        <v>1</v>
      </c>
      <c r="D1071" s="413" t="s">
        <v>6444</v>
      </c>
      <c r="E1071" s="413" t="s">
        <v>6358</v>
      </c>
      <c r="F1071" s="413" t="s">
        <v>6445</v>
      </c>
      <c r="G1071" s="413"/>
      <c r="H1071" s="1277"/>
      <c r="I1071" s="1280"/>
    </row>
    <row r="1072" spans="1:9" hidden="1">
      <c r="A1072" s="428" t="s">
        <v>6268</v>
      </c>
      <c r="B1072" s="413" t="s">
        <v>146</v>
      </c>
      <c r="C1072" s="265">
        <v>1</v>
      </c>
      <c r="D1072" s="413" t="s">
        <v>6446</v>
      </c>
      <c r="E1072" s="413" t="s">
        <v>6358</v>
      </c>
      <c r="F1072" s="413" t="s">
        <v>6447</v>
      </c>
      <c r="G1072" s="413"/>
      <c r="H1072" s="1277"/>
      <c r="I1072" s="1280"/>
    </row>
    <row r="1073" spans="1:9" hidden="1">
      <c r="A1073" s="428" t="s">
        <v>6268</v>
      </c>
      <c r="B1073" s="413" t="s">
        <v>146</v>
      </c>
      <c r="C1073" s="265">
        <v>1</v>
      </c>
      <c r="D1073" s="413" t="s">
        <v>6448</v>
      </c>
      <c r="E1073" s="413" t="s">
        <v>6358</v>
      </c>
      <c r="F1073" s="413" t="s">
        <v>6449</v>
      </c>
      <c r="G1073" s="413"/>
      <c r="H1073" s="1277"/>
      <c r="I1073" s="1280"/>
    </row>
    <row r="1074" spans="1:9" hidden="1">
      <c r="A1074" s="428" t="s">
        <v>6268</v>
      </c>
      <c r="B1074" s="413" t="s">
        <v>146</v>
      </c>
      <c r="C1074" s="265">
        <v>1</v>
      </c>
      <c r="D1074" s="413" t="s">
        <v>6450</v>
      </c>
      <c r="E1074" s="413" t="s">
        <v>6358</v>
      </c>
      <c r="F1074" s="413" t="s">
        <v>6451</v>
      </c>
      <c r="G1074" s="413"/>
      <c r="H1074" s="1277"/>
      <c r="I1074" s="1280"/>
    </row>
    <row r="1075" spans="1:9" hidden="1">
      <c r="A1075" s="428" t="s">
        <v>6268</v>
      </c>
      <c r="B1075" s="413" t="s">
        <v>146</v>
      </c>
      <c r="C1075" s="265">
        <v>1</v>
      </c>
      <c r="D1075" s="413" t="s">
        <v>6452</v>
      </c>
      <c r="E1075" s="413" t="s">
        <v>6358</v>
      </c>
      <c r="F1075" s="413" t="s">
        <v>6453</v>
      </c>
      <c r="G1075" s="413"/>
      <c r="H1075" s="1277"/>
      <c r="I1075" s="1280"/>
    </row>
    <row r="1076" spans="1:9" hidden="1">
      <c r="A1076" s="428" t="s">
        <v>6268</v>
      </c>
      <c r="B1076" s="413" t="s">
        <v>146</v>
      </c>
      <c r="C1076" s="265">
        <v>1</v>
      </c>
      <c r="D1076" s="413" t="s">
        <v>6454</v>
      </c>
      <c r="E1076" s="413" t="s">
        <v>6358</v>
      </c>
      <c r="F1076" s="413" t="s">
        <v>6455</v>
      </c>
      <c r="G1076" s="413"/>
      <c r="H1076" s="1277"/>
      <c r="I1076" s="1280"/>
    </row>
    <row r="1077" spans="1:9" hidden="1">
      <c r="A1077" s="428" t="s">
        <v>6268</v>
      </c>
      <c r="B1077" s="413" t="s">
        <v>146</v>
      </c>
      <c r="C1077" s="265">
        <v>1</v>
      </c>
      <c r="D1077" s="413" t="s">
        <v>6456</v>
      </c>
      <c r="E1077" s="413" t="s">
        <v>6358</v>
      </c>
      <c r="F1077" s="413" t="s">
        <v>6457</v>
      </c>
      <c r="G1077" s="413"/>
      <c r="H1077" s="1277"/>
      <c r="I1077" s="1280"/>
    </row>
    <row r="1078" spans="1:9" hidden="1">
      <c r="A1078" s="428" t="s">
        <v>6268</v>
      </c>
      <c r="B1078" s="413" t="s">
        <v>146</v>
      </c>
      <c r="C1078" s="265">
        <v>1</v>
      </c>
      <c r="D1078" s="413" t="s">
        <v>6458</v>
      </c>
      <c r="E1078" s="413" t="s">
        <v>6380</v>
      </c>
      <c r="F1078" s="413" t="s">
        <v>6459</v>
      </c>
      <c r="G1078" s="413"/>
      <c r="H1078" s="1277"/>
      <c r="I1078" s="1280"/>
    </row>
    <row r="1079" spans="1:9" hidden="1">
      <c r="A1079" s="428" t="s">
        <v>6268</v>
      </c>
      <c r="B1079" s="413" t="s">
        <v>146</v>
      </c>
      <c r="C1079" s="265">
        <v>1</v>
      </c>
      <c r="D1079" s="413" t="s">
        <v>6460</v>
      </c>
      <c r="E1079" s="413" t="s">
        <v>6358</v>
      </c>
      <c r="F1079" s="413" t="s">
        <v>6461</v>
      </c>
      <c r="G1079" s="413"/>
      <c r="H1079" s="1277"/>
      <c r="I1079" s="1280"/>
    </row>
    <row r="1080" spans="1:9" hidden="1">
      <c r="A1080" s="428" t="s">
        <v>6268</v>
      </c>
      <c r="B1080" s="413" t="s">
        <v>146</v>
      </c>
      <c r="C1080" s="265">
        <v>1</v>
      </c>
      <c r="D1080" s="413" t="s">
        <v>6462</v>
      </c>
      <c r="E1080" s="413" t="s">
        <v>6380</v>
      </c>
      <c r="F1080" s="413" t="s">
        <v>6459</v>
      </c>
      <c r="G1080" s="413"/>
      <c r="H1080" s="1277"/>
      <c r="I1080" s="1280"/>
    </row>
    <row r="1081" spans="1:9" hidden="1">
      <c r="A1081" s="428" t="s">
        <v>6268</v>
      </c>
      <c r="B1081" s="413" t="s">
        <v>146</v>
      </c>
      <c r="C1081" s="265">
        <v>1</v>
      </c>
      <c r="D1081" s="413" t="s">
        <v>6463</v>
      </c>
      <c r="E1081" s="413" t="s">
        <v>6358</v>
      </c>
      <c r="F1081" s="413" t="s">
        <v>6464</v>
      </c>
      <c r="G1081" s="413"/>
      <c r="H1081" s="1277"/>
      <c r="I1081" s="1280"/>
    </row>
    <row r="1082" spans="1:9" hidden="1">
      <c r="A1082" s="428" t="s">
        <v>6268</v>
      </c>
      <c r="B1082" s="413" t="s">
        <v>146</v>
      </c>
      <c r="C1082" s="265">
        <v>1</v>
      </c>
      <c r="D1082" s="413" t="s">
        <v>6465</v>
      </c>
      <c r="E1082" s="413" t="s">
        <v>6358</v>
      </c>
      <c r="F1082" s="413" t="s">
        <v>6466</v>
      </c>
      <c r="G1082" s="413"/>
      <c r="H1082" s="1277"/>
      <c r="I1082" s="1280"/>
    </row>
    <row r="1083" spans="1:9" hidden="1">
      <c r="A1083" s="428" t="s">
        <v>6268</v>
      </c>
      <c r="B1083" s="413" t="s">
        <v>146</v>
      </c>
      <c r="C1083" s="265">
        <v>1</v>
      </c>
      <c r="D1083" s="413" t="s">
        <v>6467</v>
      </c>
      <c r="E1083" s="413" t="s">
        <v>6380</v>
      </c>
      <c r="F1083" s="413" t="s">
        <v>6468</v>
      </c>
      <c r="G1083" s="413"/>
      <c r="H1083" s="1277"/>
      <c r="I1083" s="1280"/>
    </row>
    <row r="1084" spans="1:9" hidden="1">
      <c r="A1084" s="428" t="s">
        <v>6268</v>
      </c>
      <c r="B1084" s="413" t="s">
        <v>146</v>
      </c>
      <c r="C1084" s="265">
        <v>1</v>
      </c>
      <c r="D1084" s="413" t="s">
        <v>2301</v>
      </c>
      <c r="E1084" s="413" t="s">
        <v>6380</v>
      </c>
      <c r="F1084" s="413" t="s">
        <v>6469</v>
      </c>
      <c r="G1084" s="413"/>
      <c r="H1084" s="1277"/>
      <c r="I1084" s="1280"/>
    </row>
    <row r="1085" spans="1:9" hidden="1">
      <c r="A1085" s="428" t="s">
        <v>6268</v>
      </c>
      <c r="B1085" s="413" t="s">
        <v>146</v>
      </c>
      <c r="C1085" s="265">
        <v>1</v>
      </c>
      <c r="D1085" s="413" t="s">
        <v>6470</v>
      </c>
      <c r="E1085" s="413" t="s">
        <v>6358</v>
      </c>
      <c r="F1085" s="413" t="s">
        <v>6471</v>
      </c>
      <c r="G1085" s="413"/>
      <c r="H1085" s="1277"/>
      <c r="I1085" s="1280"/>
    </row>
    <row r="1086" spans="1:9" hidden="1">
      <c r="A1086" s="428" t="s">
        <v>6268</v>
      </c>
      <c r="B1086" s="413" t="s">
        <v>146</v>
      </c>
      <c r="C1086" s="265">
        <v>1</v>
      </c>
      <c r="D1086" s="413" t="s">
        <v>6472</v>
      </c>
      <c r="E1086" s="413" t="s">
        <v>6380</v>
      </c>
      <c r="F1086" s="413" t="s">
        <v>6473</v>
      </c>
      <c r="G1086" s="413"/>
      <c r="H1086" s="1277"/>
      <c r="I1086" s="1280"/>
    </row>
    <row r="1087" spans="1:9" hidden="1">
      <c r="A1087" s="428" t="s">
        <v>6268</v>
      </c>
      <c r="B1087" s="413" t="s">
        <v>146</v>
      </c>
      <c r="C1087" s="265">
        <v>1</v>
      </c>
      <c r="D1087" s="413" t="s">
        <v>6474</v>
      </c>
      <c r="E1087" s="413" t="s">
        <v>6380</v>
      </c>
      <c r="F1087" s="413" t="s">
        <v>6475</v>
      </c>
      <c r="G1087" s="413"/>
      <c r="H1087" s="1277"/>
      <c r="I1087" s="1280"/>
    </row>
    <row r="1088" spans="1:9" hidden="1">
      <c r="A1088" s="428" t="s">
        <v>6268</v>
      </c>
      <c r="B1088" s="413" t="s">
        <v>146</v>
      </c>
      <c r="C1088" s="265">
        <v>1</v>
      </c>
      <c r="D1088" s="413" t="s">
        <v>6476</v>
      </c>
      <c r="E1088" s="413" t="s">
        <v>6380</v>
      </c>
      <c r="F1088" s="413" t="s">
        <v>6477</v>
      </c>
      <c r="G1088" s="413"/>
      <c r="H1088" s="1277"/>
      <c r="I1088" s="1280"/>
    </row>
    <row r="1089" spans="1:9" hidden="1">
      <c r="A1089" s="428" t="s">
        <v>6268</v>
      </c>
      <c r="B1089" s="413" t="s">
        <v>146</v>
      </c>
      <c r="C1089" s="265">
        <v>1</v>
      </c>
      <c r="D1089" s="413" t="s">
        <v>6478</v>
      </c>
      <c r="E1089" s="413" t="s">
        <v>6380</v>
      </c>
      <c r="F1089" s="413" t="s">
        <v>6479</v>
      </c>
      <c r="G1089" s="413"/>
      <c r="H1089" s="1277"/>
      <c r="I1089" s="1280"/>
    </row>
    <row r="1090" spans="1:9" hidden="1">
      <c r="A1090" s="428" t="s">
        <v>6268</v>
      </c>
      <c r="B1090" s="413" t="s">
        <v>146</v>
      </c>
      <c r="C1090" s="265">
        <v>1</v>
      </c>
      <c r="D1090" s="413" t="s">
        <v>6480</v>
      </c>
      <c r="E1090" s="413" t="s">
        <v>6380</v>
      </c>
      <c r="F1090" s="413" t="s">
        <v>6481</v>
      </c>
      <c r="G1090" s="413"/>
      <c r="H1090" s="1277"/>
      <c r="I1090" s="1280"/>
    </row>
    <row r="1091" spans="1:9" hidden="1">
      <c r="A1091" s="428" t="s">
        <v>6268</v>
      </c>
      <c r="B1091" s="413" t="s">
        <v>146</v>
      </c>
      <c r="C1091" s="265">
        <v>1</v>
      </c>
      <c r="D1091" s="413" t="s">
        <v>6482</v>
      </c>
      <c r="E1091" s="413" t="s">
        <v>6380</v>
      </c>
      <c r="F1091" s="413" t="s">
        <v>6483</v>
      </c>
      <c r="G1091" s="413"/>
      <c r="H1091" s="1277"/>
      <c r="I1091" s="1280"/>
    </row>
    <row r="1092" spans="1:9" hidden="1">
      <c r="A1092" s="428" t="s">
        <v>6268</v>
      </c>
      <c r="B1092" s="413" t="s">
        <v>146</v>
      </c>
      <c r="C1092" s="265">
        <v>1</v>
      </c>
      <c r="D1092" s="413" t="s">
        <v>6484</v>
      </c>
      <c r="E1092" s="413" t="s">
        <v>6380</v>
      </c>
      <c r="F1092" s="413" t="s">
        <v>6485</v>
      </c>
      <c r="G1092" s="413"/>
      <c r="H1092" s="1277"/>
      <c r="I1092" s="1280"/>
    </row>
    <row r="1093" spans="1:9" hidden="1">
      <c r="A1093" s="428" t="s">
        <v>6268</v>
      </c>
      <c r="B1093" s="413" t="s">
        <v>146</v>
      </c>
      <c r="C1093" s="265">
        <v>1</v>
      </c>
      <c r="D1093" s="413" t="s">
        <v>6486</v>
      </c>
      <c r="E1093" s="413" t="s">
        <v>6380</v>
      </c>
      <c r="F1093" s="413" t="s">
        <v>6487</v>
      </c>
      <c r="G1093" s="413"/>
      <c r="H1093" s="1277"/>
      <c r="I1093" s="1280"/>
    </row>
    <row r="1094" spans="1:9" hidden="1">
      <c r="A1094" s="428" t="s">
        <v>6268</v>
      </c>
      <c r="B1094" s="413" t="s">
        <v>146</v>
      </c>
      <c r="C1094" s="265">
        <v>1</v>
      </c>
      <c r="D1094" s="413" t="s">
        <v>6488</v>
      </c>
      <c r="E1094" s="413" t="s">
        <v>6380</v>
      </c>
      <c r="F1094" s="413" t="s">
        <v>6489</v>
      </c>
      <c r="G1094" s="413"/>
      <c r="H1094" s="1277"/>
      <c r="I1094" s="1280"/>
    </row>
    <row r="1095" spans="1:9" hidden="1">
      <c r="A1095" s="428" t="s">
        <v>6268</v>
      </c>
      <c r="B1095" s="413" t="s">
        <v>146</v>
      </c>
      <c r="C1095" s="265">
        <v>1</v>
      </c>
      <c r="D1095" s="413" t="s">
        <v>6490</v>
      </c>
      <c r="E1095" s="413" t="s">
        <v>6380</v>
      </c>
      <c r="F1095" s="413" t="s">
        <v>6491</v>
      </c>
      <c r="G1095" s="413"/>
      <c r="H1095" s="1277"/>
      <c r="I1095" s="1280"/>
    </row>
    <row r="1096" spans="1:9" hidden="1">
      <c r="A1096" s="428" t="s">
        <v>6268</v>
      </c>
      <c r="B1096" s="413" t="s">
        <v>146</v>
      </c>
      <c r="C1096" s="265">
        <v>1</v>
      </c>
      <c r="D1096" s="413" t="s">
        <v>6492</v>
      </c>
      <c r="E1096" s="413" t="s">
        <v>6380</v>
      </c>
      <c r="F1096" s="413" t="s">
        <v>6493</v>
      </c>
      <c r="G1096" s="413"/>
      <c r="H1096" s="1277"/>
      <c r="I1096" s="1280"/>
    </row>
    <row r="1097" spans="1:9" hidden="1">
      <c r="A1097" s="428" t="s">
        <v>6268</v>
      </c>
      <c r="B1097" s="413" t="s">
        <v>146</v>
      </c>
      <c r="C1097" s="265">
        <v>1</v>
      </c>
      <c r="D1097" s="413" t="s">
        <v>6494</v>
      </c>
      <c r="E1097" s="413" t="s">
        <v>6380</v>
      </c>
      <c r="F1097" s="413" t="s">
        <v>6495</v>
      </c>
      <c r="G1097" s="413"/>
      <c r="H1097" s="1277"/>
      <c r="I1097" s="1280"/>
    </row>
    <row r="1098" spans="1:9" hidden="1">
      <c r="A1098" s="428" t="s">
        <v>6268</v>
      </c>
      <c r="B1098" s="413" t="s">
        <v>146</v>
      </c>
      <c r="C1098" s="265">
        <v>1</v>
      </c>
      <c r="D1098" s="413" t="s">
        <v>6496</v>
      </c>
      <c r="E1098" s="413" t="s">
        <v>6380</v>
      </c>
      <c r="F1098" s="413" t="s">
        <v>6497</v>
      </c>
      <c r="G1098" s="413"/>
      <c r="H1098" s="1277"/>
      <c r="I1098" s="1280"/>
    </row>
    <row r="1099" spans="1:9" hidden="1">
      <c r="A1099" s="428" t="s">
        <v>6268</v>
      </c>
      <c r="B1099" s="413" t="s">
        <v>146</v>
      </c>
      <c r="C1099" s="265">
        <v>1</v>
      </c>
      <c r="D1099" s="413" t="s">
        <v>6498</v>
      </c>
      <c r="E1099" s="413" t="s">
        <v>6380</v>
      </c>
      <c r="F1099" s="413" t="s">
        <v>6499</v>
      </c>
      <c r="G1099" s="413"/>
      <c r="H1099" s="1277"/>
      <c r="I1099" s="1280"/>
    </row>
    <row r="1100" spans="1:9" hidden="1">
      <c r="A1100" s="428" t="s">
        <v>6268</v>
      </c>
      <c r="B1100" s="413" t="s">
        <v>146</v>
      </c>
      <c r="C1100" s="265">
        <v>1</v>
      </c>
      <c r="D1100" s="413" t="s">
        <v>6500</v>
      </c>
      <c r="E1100" s="413" t="s">
        <v>6380</v>
      </c>
      <c r="F1100" s="413" t="s">
        <v>6501</v>
      </c>
      <c r="G1100" s="413"/>
      <c r="H1100" s="1277"/>
      <c r="I1100" s="1280"/>
    </row>
    <row r="1101" spans="1:9" hidden="1">
      <c r="A1101" s="428" t="s">
        <v>6268</v>
      </c>
      <c r="B1101" s="413" t="s">
        <v>146</v>
      </c>
      <c r="C1101" s="265">
        <v>1</v>
      </c>
      <c r="D1101" s="413" t="s">
        <v>6502</v>
      </c>
      <c r="E1101" s="413" t="s">
        <v>6380</v>
      </c>
      <c r="F1101" s="413" t="s">
        <v>6503</v>
      </c>
      <c r="G1101" s="413"/>
      <c r="H1101" s="1277"/>
      <c r="I1101" s="1280"/>
    </row>
    <row r="1102" spans="1:9" hidden="1">
      <c r="A1102" s="428" t="s">
        <v>6268</v>
      </c>
      <c r="B1102" s="413" t="s">
        <v>146</v>
      </c>
      <c r="C1102" s="265">
        <v>1</v>
      </c>
      <c r="D1102" s="413" t="s">
        <v>6504</v>
      </c>
      <c r="E1102" s="413" t="s">
        <v>6380</v>
      </c>
      <c r="F1102" s="413" t="s">
        <v>6505</v>
      </c>
      <c r="G1102" s="413"/>
      <c r="H1102" s="1277"/>
      <c r="I1102" s="1280"/>
    </row>
    <row r="1103" spans="1:9" hidden="1">
      <c r="A1103" s="428" t="s">
        <v>6268</v>
      </c>
      <c r="B1103" s="413" t="s">
        <v>146</v>
      </c>
      <c r="C1103" s="265">
        <v>1</v>
      </c>
      <c r="D1103" s="413" t="s">
        <v>6506</v>
      </c>
      <c r="E1103" s="413" t="s">
        <v>6380</v>
      </c>
      <c r="F1103" s="413" t="s">
        <v>6507</v>
      </c>
      <c r="G1103" s="413"/>
      <c r="H1103" s="1277"/>
      <c r="I1103" s="1280"/>
    </row>
    <row r="1104" spans="1:9" hidden="1">
      <c r="A1104" s="428" t="s">
        <v>6268</v>
      </c>
      <c r="B1104" s="413" t="s">
        <v>146</v>
      </c>
      <c r="C1104" s="265">
        <v>1</v>
      </c>
      <c r="D1104" s="413" t="s">
        <v>6508</v>
      </c>
      <c r="E1104" s="413" t="s">
        <v>6380</v>
      </c>
      <c r="F1104" s="413" t="s">
        <v>6509</v>
      </c>
      <c r="G1104" s="413"/>
      <c r="H1104" s="1277"/>
      <c r="I1104" s="1280"/>
    </row>
    <row r="1105" spans="1:9" hidden="1">
      <c r="A1105" s="428" t="s">
        <v>6268</v>
      </c>
      <c r="B1105" s="413" t="s">
        <v>146</v>
      </c>
      <c r="C1105" s="265">
        <v>1</v>
      </c>
      <c r="D1105" s="413" t="s">
        <v>6510</v>
      </c>
      <c r="E1105" s="413" t="s">
        <v>6380</v>
      </c>
      <c r="F1105" s="413" t="s">
        <v>6511</v>
      </c>
      <c r="G1105" s="413"/>
      <c r="H1105" s="1277"/>
      <c r="I1105" s="1280"/>
    </row>
    <row r="1106" spans="1:9" hidden="1">
      <c r="A1106" s="428" t="s">
        <v>6268</v>
      </c>
      <c r="B1106" s="413" t="s">
        <v>146</v>
      </c>
      <c r="C1106" s="265">
        <v>1</v>
      </c>
      <c r="D1106" s="413" t="s">
        <v>6512</v>
      </c>
      <c r="E1106" s="413" t="s">
        <v>6380</v>
      </c>
      <c r="F1106" s="413" t="s">
        <v>6513</v>
      </c>
      <c r="G1106" s="413"/>
      <c r="H1106" s="1277"/>
      <c r="I1106" s="1280"/>
    </row>
    <row r="1107" spans="1:9" hidden="1">
      <c r="A1107" s="428" t="s">
        <v>6268</v>
      </c>
      <c r="B1107" s="413" t="s">
        <v>146</v>
      </c>
      <c r="C1107" s="265">
        <v>1</v>
      </c>
      <c r="D1107" s="413" t="s">
        <v>6514</v>
      </c>
      <c r="E1107" s="413" t="s">
        <v>6380</v>
      </c>
      <c r="F1107" s="413" t="s">
        <v>6515</v>
      </c>
      <c r="G1107" s="413"/>
      <c r="H1107" s="1277"/>
      <c r="I1107" s="1280"/>
    </row>
    <row r="1108" spans="1:9" hidden="1">
      <c r="A1108" s="428" t="s">
        <v>6268</v>
      </c>
      <c r="B1108" s="413" t="s">
        <v>146</v>
      </c>
      <c r="C1108" s="265">
        <v>1</v>
      </c>
      <c r="D1108" s="413" t="s">
        <v>6516</v>
      </c>
      <c r="E1108" s="413" t="s">
        <v>6380</v>
      </c>
      <c r="F1108" s="413" t="s">
        <v>6517</v>
      </c>
      <c r="G1108" s="413"/>
      <c r="H1108" s="1277"/>
      <c r="I1108" s="1280"/>
    </row>
    <row r="1109" spans="1:9" hidden="1">
      <c r="A1109" s="428" t="s">
        <v>6268</v>
      </c>
      <c r="B1109" s="413" t="s">
        <v>146</v>
      </c>
      <c r="C1109" s="265">
        <v>1</v>
      </c>
      <c r="D1109" s="413" t="s">
        <v>6518</v>
      </c>
      <c r="E1109" s="413" t="s">
        <v>6380</v>
      </c>
      <c r="F1109" s="413" t="s">
        <v>6519</v>
      </c>
      <c r="G1109" s="413"/>
      <c r="H1109" s="1277"/>
      <c r="I1109" s="1280"/>
    </row>
    <row r="1110" spans="1:9" hidden="1">
      <c r="A1110" s="428" t="s">
        <v>6268</v>
      </c>
      <c r="B1110" s="413" t="s">
        <v>146</v>
      </c>
      <c r="C1110" s="265">
        <v>1</v>
      </c>
      <c r="D1110" s="413" t="s">
        <v>6520</v>
      </c>
      <c r="E1110" s="413" t="s">
        <v>6380</v>
      </c>
      <c r="F1110" s="413" t="s">
        <v>6521</v>
      </c>
      <c r="G1110" s="413"/>
      <c r="H1110" s="1277"/>
      <c r="I1110" s="1280"/>
    </row>
    <row r="1111" spans="1:9" hidden="1">
      <c r="A1111" s="428" t="s">
        <v>6268</v>
      </c>
      <c r="B1111" s="413" t="s">
        <v>146</v>
      </c>
      <c r="C1111" s="265">
        <v>1</v>
      </c>
      <c r="D1111" s="413" t="s">
        <v>6522</v>
      </c>
      <c r="E1111" s="413" t="s">
        <v>6380</v>
      </c>
      <c r="F1111" s="413" t="s">
        <v>6523</v>
      </c>
      <c r="G1111" s="413"/>
      <c r="H1111" s="1277"/>
      <c r="I1111" s="1280"/>
    </row>
    <row r="1112" spans="1:9" hidden="1">
      <c r="A1112" s="428" t="s">
        <v>6268</v>
      </c>
      <c r="B1112" s="413" t="s">
        <v>146</v>
      </c>
      <c r="C1112" s="265">
        <v>1</v>
      </c>
      <c r="D1112" s="413" t="s">
        <v>6524</v>
      </c>
      <c r="E1112" s="413" t="s">
        <v>6380</v>
      </c>
      <c r="F1112" s="413" t="s">
        <v>6525</v>
      </c>
      <c r="G1112" s="413"/>
      <c r="H1112" s="1277"/>
      <c r="I1112" s="1280"/>
    </row>
    <row r="1113" spans="1:9" hidden="1">
      <c r="A1113" s="428" t="s">
        <v>6268</v>
      </c>
      <c r="B1113" s="413" t="s">
        <v>146</v>
      </c>
      <c r="C1113" s="265">
        <v>1</v>
      </c>
      <c r="D1113" s="413" t="s">
        <v>6526</v>
      </c>
      <c r="E1113" s="413" t="s">
        <v>6380</v>
      </c>
      <c r="F1113" s="413" t="s">
        <v>6527</v>
      </c>
      <c r="G1113" s="413"/>
      <c r="H1113" s="1277"/>
      <c r="I1113" s="1280"/>
    </row>
    <row r="1114" spans="1:9" hidden="1">
      <c r="A1114" s="428" t="s">
        <v>6268</v>
      </c>
      <c r="B1114" s="413" t="s">
        <v>146</v>
      </c>
      <c r="C1114" s="265">
        <v>1</v>
      </c>
      <c r="D1114" s="413" t="s">
        <v>6528</v>
      </c>
      <c r="E1114" s="413" t="s">
        <v>6380</v>
      </c>
      <c r="F1114" s="413" t="s">
        <v>6529</v>
      </c>
      <c r="G1114" s="413"/>
      <c r="H1114" s="1277"/>
      <c r="I1114" s="1280"/>
    </row>
    <row r="1115" spans="1:9" hidden="1">
      <c r="A1115" s="428" t="s">
        <v>6268</v>
      </c>
      <c r="B1115" s="413" t="s">
        <v>146</v>
      </c>
      <c r="C1115" s="265">
        <v>1</v>
      </c>
      <c r="D1115" s="413" t="s">
        <v>6530</v>
      </c>
      <c r="E1115" s="413" t="s">
        <v>6380</v>
      </c>
      <c r="F1115" s="413" t="s">
        <v>6531</v>
      </c>
      <c r="G1115" s="413"/>
      <c r="H1115" s="1277"/>
      <c r="I1115" s="1280"/>
    </row>
    <row r="1116" spans="1:9" hidden="1">
      <c r="A1116" s="428" t="s">
        <v>6268</v>
      </c>
      <c r="B1116" s="413" t="s">
        <v>146</v>
      </c>
      <c r="C1116" s="265">
        <v>1</v>
      </c>
      <c r="D1116" s="413" t="s">
        <v>6532</v>
      </c>
      <c r="E1116" s="413" t="s">
        <v>6380</v>
      </c>
      <c r="F1116" s="413" t="s">
        <v>6533</v>
      </c>
      <c r="G1116" s="413"/>
      <c r="H1116" s="1277"/>
      <c r="I1116" s="1280"/>
    </row>
    <row r="1117" spans="1:9" hidden="1">
      <c r="A1117" s="428" t="s">
        <v>6268</v>
      </c>
      <c r="B1117" s="413" t="s">
        <v>146</v>
      </c>
      <c r="C1117" s="265">
        <v>1</v>
      </c>
      <c r="D1117" s="413" t="s">
        <v>6534</v>
      </c>
      <c r="E1117" s="413" t="s">
        <v>6380</v>
      </c>
      <c r="F1117" s="413" t="s">
        <v>6535</v>
      </c>
      <c r="G1117" s="413"/>
      <c r="H1117" s="1277"/>
      <c r="I1117" s="1280"/>
    </row>
    <row r="1118" spans="1:9" hidden="1">
      <c r="A1118" s="428" t="s">
        <v>6268</v>
      </c>
      <c r="B1118" s="413" t="s">
        <v>146</v>
      </c>
      <c r="C1118" s="265">
        <v>1</v>
      </c>
      <c r="D1118" s="413" t="s">
        <v>6536</v>
      </c>
      <c r="E1118" s="413" t="s">
        <v>6380</v>
      </c>
      <c r="F1118" s="413" t="s">
        <v>6537</v>
      </c>
      <c r="G1118" s="413"/>
      <c r="H1118" s="1277"/>
      <c r="I1118" s="1280"/>
    </row>
    <row r="1119" spans="1:9" hidden="1">
      <c r="A1119" s="428" t="s">
        <v>6268</v>
      </c>
      <c r="B1119" s="413" t="s">
        <v>146</v>
      </c>
      <c r="C1119" s="265">
        <v>1</v>
      </c>
      <c r="D1119" s="413" t="s">
        <v>6538</v>
      </c>
      <c r="E1119" s="413" t="s">
        <v>6380</v>
      </c>
      <c r="F1119" s="413" t="s">
        <v>6539</v>
      </c>
      <c r="G1119" s="413"/>
      <c r="H1119" s="1277"/>
      <c r="I1119" s="1280"/>
    </row>
    <row r="1120" spans="1:9" hidden="1">
      <c r="A1120" s="428" t="s">
        <v>6268</v>
      </c>
      <c r="B1120" s="413" t="s">
        <v>146</v>
      </c>
      <c r="C1120" s="265">
        <v>1</v>
      </c>
      <c r="D1120" s="413" t="s">
        <v>6540</v>
      </c>
      <c r="E1120" s="413" t="s">
        <v>6380</v>
      </c>
      <c r="F1120" s="413" t="s">
        <v>6541</v>
      </c>
      <c r="G1120" s="413"/>
      <c r="H1120" s="1277"/>
      <c r="I1120" s="1280"/>
    </row>
    <row r="1121" spans="1:9" hidden="1">
      <c r="A1121" s="428" t="s">
        <v>6268</v>
      </c>
      <c r="B1121" s="413" t="s">
        <v>146</v>
      </c>
      <c r="C1121" s="265">
        <v>1</v>
      </c>
      <c r="D1121" s="413" t="s">
        <v>6542</v>
      </c>
      <c r="E1121" s="413" t="s">
        <v>6380</v>
      </c>
      <c r="F1121" s="413" t="s">
        <v>6543</v>
      </c>
      <c r="G1121" s="413"/>
      <c r="H1121" s="1277"/>
      <c r="I1121" s="1280"/>
    </row>
    <row r="1122" spans="1:9" hidden="1">
      <c r="A1122" s="428" t="s">
        <v>6268</v>
      </c>
      <c r="B1122" s="413" t="s">
        <v>146</v>
      </c>
      <c r="C1122" s="265">
        <v>1</v>
      </c>
      <c r="D1122" s="413" t="s">
        <v>6544</v>
      </c>
      <c r="E1122" s="413" t="s">
        <v>6380</v>
      </c>
      <c r="F1122" s="413" t="s">
        <v>6545</v>
      </c>
      <c r="G1122" s="413"/>
      <c r="H1122" s="1277"/>
      <c r="I1122" s="1280"/>
    </row>
    <row r="1123" spans="1:9" hidden="1">
      <c r="A1123" s="428" t="s">
        <v>6268</v>
      </c>
      <c r="B1123" s="413" t="s">
        <v>146</v>
      </c>
      <c r="C1123" s="265">
        <v>1</v>
      </c>
      <c r="D1123" s="413" t="s">
        <v>6546</v>
      </c>
      <c r="E1123" s="413" t="s">
        <v>6380</v>
      </c>
      <c r="F1123" s="413" t="s">
        <v>6547</v>
      </c>
      <c r="G1123" s="413"/>
      <c r="H1123" s="1277"/>
      <c r="I1123" s="1280"/>
    </row>
    <row r="1124" spans="1:9" hidden="1">
      <c r="A1124" s="428" t="s">
        <v>6268</v>
      </c>
      <c r="B1124" s="413" t="s">
        <v>146</v>
      </c>
      <c r="C1124" s="265">
        <v>1</v>
      </c>
      <c r="D1124" s="413" t="s">
        <v>6548</v>
      </c>
      <c r="E1124" s="413" t="s">
        <v>6380</v>
      </c>
      <c r="F1124" s="413" t="s">
        <v>6549</v>
      </c>
      <c r="G1124" s="413"/>
      <c r="H1124" s="1277"/>
      <c r="I1124" s="1280"/>
    </row>
    <row r="1125" spans="1:9" hidden="1">
      <c r="A1125" s="428" t="s">
        <v>6268</v>
      </c>
      <c r="B1125" s="413" t="s">
        <v>146</v>
      </c>
      <c r="C1125" s="265">
        <v>1</v>
      </c>
      <c r="D1125" s="413" t="s">
        <v>6550</v>
      </c>
      <c r="E1125" s="413" t="s">
        <v>6380</v>
      </c>
      <c r="F1125" s="413" t="s">
        <v>6551</v>
      </c>
      <c r="G1125" s="413"/>
      <c r="H1125" s="1277"/>
      <c r="I1125" s="1280"/>
    </row>
    <row r="1126" spans="1:9" hidden="1">
      <c r="A1126" s="428" t="s">
        <v>6268</v>
      </c>
      <c r="B1126" s="413" t="s">
        <v>146</v>
      </c>
      <c r="C1126" s="265">
        <v>1</v>
      </c>
      <c r="D1126" s="413" t="s">
        <v>6552</v>
      </c>
      <c r="E1126" s="413" t="s">
        <v>6380</v>
      </c>
      <c r="F1126" s="413" t="s">
        <v>6553</v>
      </c>
      <c r="G1126" s="413"/>
      <c r="H1126" s="1277"/>
      <c r="I1126" s="1280"/>
    </row>
    <row r="1127" spans="1:9" hidden="1">
      <c r="A1127" s="428" t="s">
        <v>6268</v>
      </c>
      <c r="B1127" s="413" t="s">
        <v>146</v>
      </c>
      <c r="C1127" s="265">
        <v>1</v>
      </c>
      <c r="D1127" s="413" t="s">
        <v>6554</v>
      </c>
      <c r="E1127" s="413" t="s">
        <v>6380</v>
      </c>
      <c r="F1127" s="413" t="s">
        <v>6555</v>
      </c>
      <c r="G1127" s="413"/>
      <c r="H1127" s="1277"/>
      <c r="I1127" s="1280"/>
    </row>
    <row r="1128" spans="1:9" hidden="1">
      <c r="A1128" s="428" t="s">
        <v>6268</v>
      </c>
      <c r="B1128" s="413" t="s">
        <v>146</v>
      </c>
      <c r="C1128" s="265">
        <v>1</v>
      </c>
      <c r="D1128" s="413" t="s">
        <v>6556</v>
      </c>
      <c r="E1128" s="413" t="s">
        <v>6380</v>
      </c>
      <c r="F1128" s="413" t="s">
        <v>6557</v>
      </c>
      <c r="G1128" s="413"/>
      <c r="H1128" s="1277"/>
      <c r="I1128" s="1280"/>
    </row>
    <row r="1129" spans="1:9" hidden="1">
      <c r="A1129" s="428" t="s">
        <v>6268</v>
      </c>
      <c r="B1129" s="413" t="s">
        <v>146</v>
      </c>
      <c r="C1129" s="265">
        <v>1</v>
      </c>
      <c r="D1129" s="413" t="s">
        <v>6558</v>
      </c>
      <c r="E1129" s="413" t="s">
        <v>6380</v>
      </c>
      <c r="F1129" s="413" t="s">
        <v>6559</v>
      </c>
      <c r="G1129" s="413"/>
      <c r="H1129" s="1277"/>
      <c r="I1129" s="1280"/>
    </row>
    <row r="1130" spans="1:9" hidden="1">
      <c r="A1130" s="428" t="s">
        <v>6268</v>
      </c>
      <c r="B1130" s="413" t="s">
        <v>146</v>
      </c>
      <c r="C1130" s="265">
        <v>1</v>
      </c>
      <c r="D1130" s="413" t="s">
        <v>6560</v>
      </c>
      <c r="E1130" s="413" t="s">
        <v>6380</v>
      </c>
      <c r="F1130" s="413" t="s">
        <v>6561</v>
      </c>
      <c r="G1130" s="413"/>
      <c r="H1130" s="1277"/>
      <c r="I1130" s="1280"/>
    </row>
    <row r="1131" spans="1:9" hidden="1">
      <c r="A1131" s="428" t="s">
        <v>6268</v>
      </c>
      <c r="B1131" s="413" t="s">
        <v>146</v>
      </c>
      <c r="C1131" s="265">
        <v>1</v>
      </c>
      <c r="D1131" s="413" t="s">
        <v>6562</v>
      </c>
      <c r="E1131" s="413" t="s">
        <v>6380</v>
      </c>
      <c r="F1131" s="413" t="s">
        <v>6563</v>
      </c>
      <c r="G1131" s="413"/>
      <c r="H1131" s="1277"/>
      <c r="I1131" s="1280"/>
    </row>
    <row r="1132" spans="1:9" hidden="1">
      <c r="A1132" s="428" t="s">
        <v>6268</v>
      </c>
      <c r="B1132" s="413" t="s">
        <v>146</v>
      </c>
      <c r="C1132" s="265">
        <v>1</v>
      </c>
      <c r="D1132" s="413" t="s">
        <v>6564</v>
      </c>
      <c r="E1132" s="413" t="s">
        <v>6380</v>
      </c>
      <c r="F1132" s="413" t="s">
        <v>6565</v>
      </c>
      <c r="G1132" s="413"/>
      <c r="H1132" s="1277"/>
      <c r="I1132" s="1280"/>
    </row>
    <row r="1133" spans="1:9" hidden="1">
      <c r="A1133" s="428" t="s">
        <v>6268</v>
      </c>
      <c r="B1133" s="413" t="s">
        <v>146</v>
      </c>
      <c r="C1133" s="265">
        <v>1</v>
      </c>
      <c r="D1133" s="413" t="s">
        <v>6566</v>
      </c>
      <c r="E1133" s="413" t="s">
        <v>6380</v>
      </c>
      <c r="F1133" s="413" t="s">
        <v>6567</v>
      </c>
      <c r="G1133" s="413"/>
      <c r="H1133" s="1277"/>
      <c r="I1133" s="1280"/>
    </row>
    <row r="1134" spans="1:9" hidden="1">
      <c r="A1134" s="428" t="s">
        <v>6268</v>
      </c>
      <c r="B1134" s="413" t="s">
        <v>146</v>
      </c>
      <c r="C1134" s="265">
        <v>1</v>
      </c>
      <c r="D1134" s="413" t="s">
        <v>2302</v>
      </c>
      <c r="E1134" s="413" t="s">
        <v>6380</v>
      </c>
      <c r="F1134" s="413" t="s">
        <v>6568</v>
      </c>
      <c r="G1134" s="413"/>
      <c r="H1134" s="1277"/>
      <c r="I1134" s="1280"/>
    </row>
    <row r="1135" spans="1:9" hidden="1">
      <c r="A1135" s="428" t="s">
        <v>6268</v>
      </c>
      <c r="B1135" s="413" t="s">
        <v>146</v>
      </c>
      <c r="C1135" s="265">
        <v>1</v>
      </c>
      <c r="D1135" s="413" t="s">
        <v>2303</v>
      </c>
      <c r="E1135" s="413" t="s">
        <v>6380</v>
      </c>
      <c r="F1135" s="413" t="s">
        <v>6569</v>
      </c>
      <c r="G1135" s="413"/>
      <c r="H1135" s="1277"/>
      <c r="I1135" s="1280"/>
    </row>
    <row r="1136" spans="1:9" hidden="1">
      <c r="A1136" s="428" t="s">
        <v>6268</v>
      </c>
      <c r="B1136" s="413" t="s">
        <v>146</v>
      </c>
      <c r="C1136" s="265">
        <v>1</v>
      </c>
      <c r="D1136" s="413" t="s">
        <v>2304</v>
      </c>
      <c r="E1136" s="413" t="s">
        <v>6380</v>
      </c>
      <c r="F1136" s="413" t="s">
        <v>6570</v>
      </c>
      <c r="G1136" s="413"/>
      <c r="H1136" s="1277"/>
      <c r="I1136" s="1280"/>
    </row>
    <row r="1137" spans="1:9" hidden="1">
      <c r="A1137" s="428" t="s">
        <v>6268</v>
      </c>
      <c r="B1137" s="413" t="s">
        <v>146</v>
      </c>
      <c r="C1137" s="265">
        <v>1</v>
      </c>
      <c r="D1137" s="413" t="s">
        <v>6571</v>
      </c>
      <c r="E1137" s="413" t="s">
        <v>6380</v>
      </c>
      <c r="F1137" s="413" t="s">
        <v>6572</v>
      </c>
      <c r="G1137" s="413"/>
      <c r="H1137" s="1277"/>
      <c r="I1137" s="1280"/>
    </row>
    <row r="1138" spans="1:9" hidden="1">
      <c r="A1138" s="428" t="s">
        <v>6268</v>
      </c>
      <c r="B1138" s="413" t="s">
        <v>146</v>
      </c>
      <c r="C1138" s="265">
        <v>1</v>
      </c>
      <c r="D1138" s="413" t="s">
        <v>6573</v>
      </c>
      <c r="E1138" s="413" t="s">
        <v>6380</v>
      </c>
      <c r="F1138" s="413" t="s">
        <v>6574</v>
      </c>
      <c r="G1138" s="413"/>
      <c r="H1138" s="1277"/>
      <c r="I1138" s="1280"/>
    </row>
    <row r="1139" spans="1:9" hidden="1">
      <c r="A1139" s="428" t="s">
        <v>6268</v>
      </c>
      <c r="B1139" s="413" t="s">
        <v>146</v>
      </c>
      <c r="C1139" s="265">
        <v>1</v>
      </c>
      <c r="D1139" s="413" t="s">
        <v>2325</v>
      </c>
      <c r="E1139" s="413" t="s">
        <v>6380</v>
      </c>
      <c r="F1139" s="413" t="s">
        <v>6575</v>
      </c>
      <c r="G1139" s="413"/>
      <c r="H1139" s="1277"/>
      <c r="I1139" s="1280"/>
    </row>
    <row r="1140" spans="1:9" hidden="1">
      <c r="A1140" s="428" t="s">
        <v>6268</v>
      </c>
      <c r="B1140" s="413" t="s">
        <v>146</v>
      </c>
      <c r="C1140" s="265">
        <v>1</v>
      </c>
      <c r="D1140" s="413" t="s">
        <v>2326</v>
      </c>
      <c r="E1140" s="413" t="s">
        <v>6380</v>
      </c>
      <c r="F1140" s="413" t="s">
        <v>6576</v>
      </c>
      <c r="G1140" s="413"/>
      <c r="H1140" s="1277"/>
      <c r="I1140" s="1280"/>
    </row>
    <row r="1141" spans="1:9" hidden="1">
      <c r="A1141" s="428" t="s">
        <v>6268</v>
      </c>
      <c r="B1141" s="413" t="s">
        <v>146</v>
      </c>
      <c r="C1141" s="265">
        <v>1</v>
      </c>
      <c r="D1141" s="413" t="s">
        <v>6577</v>
      </c>
      <c r="E1141" s="413" t="s">
        <v>6380</v>
      </c>
      <c r="F1141" s="413" t="s">
        <v>6578</v>
      </c>
      <c r="G1141" s="413"/>
      <c r="H1141" s="1277"/>
      <c r="I1141" s="1280"/>
    </row>
    <row r="1142" spans="1:9" hidden="1">
      <c r="A1142" s="428" t="s">
        <v>6268</v>
      </c>
      <c r="B1142" s="413" t="s">
        <v>146</v>
      </c>
      <c r="C1142" s="265">
        <v>1</v>
      </c>
      <c r="D1142" s="413" t="s">
        <v>6579</v>
      </c>
      <c r="E1142" s="413" t="s">
        <v>6380</v>
      </c>
      <c r="F1142" s="413" t="s">
        <v>6580</v>
      </c>
      <c r="G1142" s="413"/>
      <c r="H1142" s="1277"/>
      <c r="I1142" s="1280"/>
    </row>
    <row r="1143" spans="1:9" hidden="1">
      <c r="A1143" s="428" t="s">
        <v>6268</v>
      </c>
      <c r="B1143" s="413" t="s">
        <v>146</v>
      </c>
      <c r="C1143" s="265">
        <v>1</v>
      </c>
      <c r="D1143" s="413" t="s">
        <v>2355</v>
      </c>
      <c r="E1143" s="413" t="s">
        <v>6380</v>
      </c>
      <c r="F1143" s="413" t="s">
        <v>6581</v>
      </c>
      <c r="G1143" s="413"/>
      <c r="H1143" s="1277"/>
      <c r="I1143" s="1280"/>
    </row>
    <row r="1144" spans="1:9" hidden="1">
      <c r="A1144" s="428" t="s">
        <v>6268</v>
      </c>
      <c r="B1144" s="413" t="s">
        <v>146</v>
      </c>
      <c r="C1144" s="265">
        <v>1</v>
      </c>
      <c r="D1144" s="413" t="s">
        <v>2357</v>
      </c>
      <c r="E1144" s="413" t="s">
        <v>6380</v>
      </c>
      <c r="F1144" s="413" t="s">
        <v>6543</v>
      </c>
      <c r="G1144" s="413"/>
      <c r="H1144" s="1277"/>
      <c r="I1144" s="1280"/>
    </row>
    <row r="1145" spans="1:9" hidden="1">
      <c r="A1145" s="428" t="s">
        <v>6268</v>
      </c>
      <c r="B1145" s="413" t="s">
        <v>146</v>
      </c>
      <c r="C1145" s="265">
        <v>1</v>
      </c>
      <c r="D1145" s="413" t="s">
        <v>2366</v>
      </c>
      <c r="E1145" s="413" t="s">
        <v>6358</v>
      </c>
      <c r="F1145" s="413" t="s">
        <v>6361</v>
      </c>
      <c r="G1145" s="413"/>
      <c r="H1145" s="1277"/>
      <c r="I1145" s="1280"/>
    </row>
    <row r="1146" spans="1:9" hidden="1">
      <c r="A1146" s="428" t="s">
        <v>6268</v>
      </c>
      <c r="B1146" s="413" t="s">
        <v>146</v>
      </c>
      <c r="C1146" s="265">
        <v>1</v>
      </c>
      <c r="D1146" s="413" t="s">
        <v>6582</v>
      </c>
      <c r="E1146" s="413" t="s">
        <v>6380</v>
      </c>
      <c r="F1146" s="413" t="s">
        <v>6583</v>
      </c>
      <c r="G1146" s="413"/>
      <c r="H1146" s="1277"/>
      <c r="I1146" s="1280"/>
    </row>
    <row r="1147" spans="1:9" hidden="1">
      <c r="A1147" s="428" t="s">
        <v>6268</v>
      </c>
      <c r="B1147" s="413" t="s">
        <v>146</v>
      </c>
      <c r="C1147" s="265">
        <v>1</v>
      </c>
      <c r="D1147" s="413" t="s">
        <v>2376</v>
      </c>
      <c r="E1147" s="413" t="s">
        <v>6358</v>
      </c>
      <c r="F1147" s="413" t="s">
        <v>6441</v>
      </c>
      <c r="G1147" s="413"/>
      <c r="H1147" s="1277"/>
      <c r="I1147" s="1280"/>
    </row>
    <row r="1148" spans="1:9" hidden="1">
      <c r="A1148" s="428" t="s">
        <v>6268</v>
      </c>
      <c r="B1148" s="413" t="s">
        <v>146</v>
      </c>
      <c r="C1148" s="265">
        <v>1</v>
      </c>
      <c r="D1148" s="413" t="s">
        <v>6584</v>
      </c>
      <c r="E1148" s="413" t="s">
        <v>6380</v>
      </c>
      <c r="F1148" s="413" t="s">
        <v>6585</v>
      </c>
      <c r="G1148" s="413"/>
      <c r="H1148" s="1277"/>
      <c r="I1148" s="1280"/>
    </row>
    <row r="1149" spans="1:9" hidden="1">
      <c r="A1149" s="428" t="s">
        <v>6268</v>
      </c>
      <c r="B1149" s="413" t="s">
        <v>146</v>
      </c>
      <c r="C1149" s="265">
        <v>1</v>
      </c>
      <c r="D1149" s="413" t="s">
        <v>6586</v>
      </c>
      <c r="E1149" s="413" t="s">
        <v>6380</v>
      </c>
      <c r="F1149" s="413" t="s">
        <v>6587</v>
      </c>
      <c r="G1149" s="413"/>
      <c r="H1149" s="1277"/>
      <c r="I1149" s="1280"/>
    </row>
    <row r="1150" spans="1:9" hidden="1">
      <c r="A1150" s="428" t="s">
        <v>6268</v>
      </c>
      <c r="B1150" s="413" t="s">
        <v>146</v>
      </c>
      <c r="C1150" s="265">
        <v>1</v>
      </c>
      <c r="D1150" s="413" t="s">
        <v>6588</v>
      </c>
      <c r="E1150" s="413" t="s">
        <v>6380</v>
      </c>
      <c r="F1150" s="413" t="s">
        <v>6589</v>
      </c>
      <c r="G1150" s="413"/>
      <c r="H1150" s="1277"/>
      <c r="I1150" s="1280"/>
    </row>
    <row r="1151" spans="1:9" hidden="1">
      <c r="A1151" s="428" t="s">
        <v>6268</v>
      </c>
      <c r="B1151" s="413" t="s">
        <v>146</v>
      </c>
      <c r="C1151" s="265">
        <v>1</v>
      </c>
      <c r="D1151" s="413" t="s">
        <v>6590</v>
      </c>
      <c r="E1151" s="413" t="s">
        <v>6380</v>
      </c>
      <c r="F1151" s="413" t="s">
        <v>6591</v>
      </c>
      <c r="G1151" s="413"/>
      <c r="H1151" s="1277"/>
      <c r="I1151" s="1280"/>
    </row>
    <row r="1152" spans="1:9" hidden="1">
      <c r="A1152" s="428" t="s">
        <v>6268</v>
      </c>
      <c r="B1152" s="413" t="s">
        <v>146</v>
      </c>
      <c r="C1152" s="265">
        <v>1</v>
      </c>
      <c r="D1152" s="413" t="s">
        <v>6592</v>
      </c>
      <c r="E1152" s="413" t="s">
        <v>6380</v>
      </c>
      <c r="F1152" s="413" t="s">
        <v>6593</v>
      </c>
      <c r="G1152" s="413"/>
      <c r="H1152" s="1277"/>
      <c r="I1152" s="1280"/>
    </row>
    <row r="1153" spans="1:9" hidden="1">
      <c r="A1153" s="428" t="s">
        <v>6268</v>
      </c>
      <c r="B1153" s="413" t="s">
        <v>146</v>
      </c>
      <c r="C1153" s="265">
        <v>1</v>
      </c>
      <c r="D1153" s="413" t="s">
        <v>6594</v>
      </c>
      <c r="E1153" s="413" t="s">
        <v>6380</v>
      </c>
      <c r="F1153" s="413" t="s">
        <v>6595</v>
      </c>
      <c r="G1153" s="413"/>
      <c r="H1153" s="1277"/>
      <c r="I1153" s="1280"/>
    </row>
    <row r="1154" spans="1:9" hidden="1">
      <c r="A1154" s="428" t="s">
        <v>6268</v>
      </c>
      <c r="B1154" s="413" t="s">
        <v>146</v>
      </c>
      <c r="C1154" s="265">
        <v>1</v>
      </c>
      <c r="D1154" s="413" t="s">
        <v>6596</v>
      </c>
      <c r="E1154" s="413" t="s">
        <v>6380</v>
      </c>
      <c r="F1154" s="413" t="s">
        <v>6597</v>
      </c>
      <c r="G1154" s="413"/>
      <c r="H1154" s="1277"/>
      <c r="I1154" s="1280"/>
    </row>
    <row r="1155" spans="1:9" hidden="1">
      <c r="A1155" s="428" t="s">
        <v>6268</v>
      </c>
      <c r="B1155" s="413" t="s">
        <v>146</v>
      </c>
      <c r="C1155" s="265">
        <v>1</v>
      </c>
      <c r="D1155" s="413" t="s">
        <v>6598</v>
      </c>
      <c r="E1155" s="413" t="s">
        <v>6380</v>
      </c>
      <c r="F1155" s="413" t="s">
        <v>6599</v>
      </c>
      <c r="G1155" s="413"/>
      <c r="H1155" s="1277"/>
      <c r="I1155" s="1280"/>
    </row>
    <row r="1156" spans="1:9" hidden="1">
      <c r="A1156" s="428" t="s">
        <v>6268</v>
      </c>
      <c r="B1156" s="413" t="s">
        <v>146</v>
      </c>
      <c r="C1156" s="265">
        <v>1</v>
      </c>
      <c r="D1156" s="413" t="s">
        <v>6600</v>
      </c>
      <c r="E1156" s="413" t="s">
        <v>6380</v>
      </c>
      <c r="F1156" s="413" t="s">
        <v>6601</v>
      </c>
      <c r="G1156" s="413"/>
      <c r="H1156" s="1277"/>
      <c r="I1156" s="1280"/>
    </row>
    <row r="1157" spans="1:9" hidden="1">
      <c r="A1157" s="428" t="s">
        <v>6268</v>
      </c>
      <c r="B1157" s="413" t="s">
        <v>146</v>
      </c>
      <c r="C1157" s="265">
        <v>1</v>
      </c>
      <c r="D1157" s="413" t="s">
        <v>6602</v>
      </c>
      <c r="E1157" s="413" t="s">
        <v>6358</v>
      </c>
      <c r="F1157" s="413" t="s">
        <v>6603</v>
      </c>
      <c r="G1157" s="413"/>
      <c r="H1157" s="1277"/>
      <c r="I1157" s="1280"/>
    </row>
    <row r="1158" spans="1:9" hidden="1">
      <c r="A1158" s="428" t="s">
        <v>6268</v>
      </c>
      <c r="B1158" s="413" t="s">
        <v>146</v>
      </c>
      <c r="C1158" s="265">
        <v>1</v>
      </c>
      <c r="D1158" s="413" t="s">
        <v>6604</v>
      </c>
      <c r="E1158" s="413" t="s">
        <v>6380</v>
      </c>
      <c r="F1158" s="413" t="s">
        <v>6605</v>
      </c>
      <c r="G1158" s="413"/>
      <c r="H1158" s="1277"/>
      <c r="I1158" s="1280"/>
    </row>
    <row r="1159" spans="1:9" hidden="1">
      <c r="A1159" s="428" t="s">
        <v>6268</v>
      </c>
      <c r="B1159" s="413" t="s">
        <v>146</v>
      </c>
      <c r="C1159" s="265">
        <v>1</v>
      </c>
      <c r="D1159" s="413" t="s">
        <v>6606</v>
      </c>
      <c r="E1159" s="413" t="s">
        <v>6358</v>
      </c>
      <c r="F1159" s="413" t="s">
        <v>6607</v>
      </c>
      <c r="G1159" s="413"/>
      <c r="H1159" s="1277"/>
      <c r="I1159" s="1280"/>
    </row>
    <row r="1160" spans="1:9" hidden="1">
      <c r="A1160" s="428" t="s">
        <v>6268</v>
      </c>
      <c r="B1160" s="413" t="s">
        <v>146</v>
      </c>
      <c r="C1160" s="265">
        <v>1</v>
      </c>
      <c r="D1160" s="413" t="s">
        <v>6608</v>
      </c>
      <c r="E1160" s="413" t="s">
        <v>6358</v>
      </c>
      <c r="F1160" s="413" t="s">
        <v>6609</v>
      </c>
      <c r="G1160" s="413"/>
      <c r="H1160" s="1277"/>
      <c r="I1160" s="1280"/>
    </row>
    <row r="1161" spans="1:9" hidden="1">
      <c r="A1161" s="428" t="s">
        <v>6268</v>
      </c>
      <c r="B1161" s="413" t="s">
        <v>146</v>
      </c>
      <c r="C1161" s="265">
        <v>1</v>
      </c>
      <c r="D1161" s="413" t="s">
        <v>6610</v>
      </c>
      <c r="E1161" s="413" t="s">
        <v>6358</v>
      </c>
      <c r="F1161" s="413" t="s">
        <v>6611</v>
      </c>
      <c r="G1161" s="413"/>
      <c r="H1161" s="1277"/>
      <c r="I1161" s="1280"/>
    </row>
    <row r="1162" spans="1:9" hidden="1">
      <c r="A1162" s="428" t="s">
        <v>6268</v>
      </c>
      <c r="B1162" s="413" t="s">
        <v>146</v>
      </c>
      <c r="C1162" s="265">
        <v>1</v>
      </c>
      <c r="D1162" s="413" t="s">
        <v>6612</v>
      </c>
      <c r="E1162" s="413" t="s">
        <v>6380</v>
      </c>
      <c r="F1162" s="413" t="s">
        <v>6613</v>
      </c>
      <c r="G1162" s="413"/>
      <c r="H1162" s="1277"/>
      <c r="I1162" s="1280"/>
    </row>
    <row r="1163" spans="1:9" hidden="1">
      <c r="A1163" s="428" t="s">
        <v>6268</v>
      </c>
      <c r="B1163" s="413" t="s">
        <v>146</v>
      </c>
      <c r="C1163" s="265">
        <v>1</v>
      </c>
      <c r="D1163" s="413" t="s">
        <v>6614</v>
      </c>
      <c r="E1163" s="413" t="s">
        <v>6380</v>
      </c>
      <c r="F1163" s="413" t="s">
        <v>6615</v>
      </c>
      <c r="G1163" s="413"/>
      <c r="H1163" s="1277"/>
      <c r="I1163" s="1280"/>
    </row>
    <row r="1164" spans="1:9" hidden="1">
      <c r="A1164" s="428" t="s">
        <v>6268</v>
      </c>
      <c r="B1164" s="413" t="s">
        <v>146</v>
      </c>
      <c r="C1164" s="265">
        <v>1</v>
      </c>
      <c r="D1164" s="413" t="s">
        <v>6616</v>
      </c>
      <c r="E1164" s="413" t="s">
        <v>6380</v>
      </c>
      <c r="F1164" s="413" t="s">
        <v>6617</v>
      </c>
      <c r="G1164" s="413"/>
      <c r="H1164" s="1277"/>
      <c r="I1164" s="1280"/>
    </row>
    <row r="1165" spans="1:9" hidden="1">
      <c r="A1165" s="428" t="s">
        <v>6268</v>
      </c>
      <c r="B1165" s="413" t="s">
        <v>146</v>
      </c>
      <c r="C1165" s="265">
        <v>1</v>
      </c>
      <c r="D1165" s="413" t="s">
        <v>6618</v>
      </c>
      <c r="E1165" s="413" t="s">
        <v>6358</v>
      </c>
      <c r="F1165" s="413" t="s">
        <v>6607</v>
      </c>
      <c r="G1165" s="413"/>
      <c r="H1165" s="1277"/>
      <c r="I1165" s="1280"/>
    </row>
    <row r="1166" spans="1:9" hidden="1">
      <c r="A1166" s="428" t="s">
        <v>6268</v>
      </c>
      <c r="B1166" s="413" t="s">
        <v>146</v>
      </c>
      <c r="C1166" s="265">
        <v>1</v>
      </c>
      <c r="D1166" s="413" t="s">
        <v>6619</v>
      </c>
      <c r="E1166" s="413" t="s">
        <v>6380</v>
      </c>
      <c r="F1166" s="413" t="s">
        <v>6620</v>
      </c>
      <c r="G1166" s="413"/>
      <c r="H1166" s="1277"/>
      <c r="I1166" s="1280"/>
    </row>
    <row r="1167" spans="1:9" hidden="1">
      <c r="A1167" s="428" t="s">
        <v>6268</v>
      </c>
      <c r="B1167" s="413" t="s">
        <v>146</v>
      </c>
      <c r="C1167" s="265">
        <v>1</v>
      </c>
      <c r="D1167" s="413" t="s">
        <v>2401</v>
      </c>
      <c r="E1167" s="413" t="s">
        <v>6380</v>
      </c>
      <c r="F1167" s="413" t="s">
        <v>6621</v>
      </c>
      <c r="G1167" s="413"/>
      <c r="H1167" s="1277"/>
      <c r="I1167" s="1280"/>
    </row>
    <row r="1168" spans="1:9" hidden="1">
      <c r="A1168" s="428" t="s">
        <v>6268</v>
      </c>
      <c r="B1168" s="413" t="s">
        <v>146</v>
      </c>
      <c r="C1168" s="265">
        <v>1</v>
      </c>
      <c r="D1168" s="413" t="s">
        <v>2410</v>
      </c>
      <c r="E1168" s="413" t="s">
        <v>6380</v>
      </c>
      <c r="F1168" s="413" t="s">
        <v>6622</v>
      </c>
      <c r="G1168" s="413"/>
      <c r="H1168" s="1277"/>
      <c r="I1168" s="1280"/>
    </row>
    <row r="1169" spans="1:9" hidden="1">
      <c r="A1169" s="428" t="s">
        <v>6268</v>
      </c>
      <c r="B1169" s="413" t="s">
        <v>146</v>
      </c>
      <c r="C1169" s="265">
        <v>1</v>
      </c>
      <c r="D1169" s="413" t="s">
        <v>2411</v>
      </c>
      <c r="E1169" s="413" t="s">
        <v>6380</v>
      </c>
      <c r="F1169" s="413" t="s">
        <v>6623</v>
      </c>
      <c r="G1169" s="413"/>
      <c r="H1169" s="1277"/>
      <c r="I1169" s="1280"/>
    </row>
    <row r="1170" spans="1:9" hidden="1">
      <c r="A1170" s="428" t="s">
        <v>6268</v>
      </c>
      <c r="B1170" s="413" t="s">
        <v>146</v>
      </c>
      <c r="C1170" s="265">
        <v>1</v>
      </c>
      <c r="D1170" s="413" t="s">
        <v>2412</v>
      </c>
      <c r="E1170" s="413" t="s">
        <v>6380</v>
      </c>
      <c r="F1170" s="413" t="s">
        <v>6624</v>
      </c>
      <c r="G1170" s="413"/>
      <c r="H1170" s="1277"/>
      <c r="I1170" s="1280"/>
    </row>
    <row r="1171" spans="1:9" hidden="1">
      <c r="A1171" s="428" t="s">
        <v>6268</v>
      </c>
      <c r="B1171" s="413" t="s">
        <v>146</v>
      </c>
      <c r="C1171" s="265">
        <v>1</v>
      </c>
      <c r="D1171" s="413" t="s">
        <v>2414</v>
      </c>
      <c r="E1171" s="413" t="s">
        <v>6380</v>
      </c>
      <c r="F1171" s="413" t="s">
        <v>6625</v>
      </c>
      <c r="G1171" s="413"/>
      <c r="H1171" s="1277"/>
      <c r="I1171" s="1280"/>
    </row>
    <row r="1172" spans="1:9" hidden="1">
      <c r="A1172" s="428" t="s">
        <v>6268</v>
      </c>
      <c r="B1172" s="413" t="s">
        <v>146</v>
      </c>
      <c r="C1172" s="265">
        <v>1</v>
      </c>
      <c r="D1172" s="413" t="s">
        <v>2415</v>
      </c>
      <c r="E1172" s="413" t="s">
        <v>6380</v>
      </c>
      <c r="F1172" s="413" t="s">
        <v>6626</v>
      </c>
      <c r="G1172" s="413"/>
      <c r="H1172" s="1277"/>
      <c r="I1172" s="1280"/>
    </row>
    <row r="1173" spans="1:9" hidden="1">
      <c r="A1173" s="428" t="s">
        <v>6268</v>
      </c>
      <c r="B1173" s="413" t="s">
        <v>146</v>
      </c>
      <c r="C1173" s="265">
        <v>1</v>
      </c>
      <c r="D1173" s="413" t="s">
        <v>2416</v>
      </c>
      <c r="E1173" s="413" t="s">
        <v>6380</v>
      </c>
      <c r="F1173" s="413" t="s">
        <v>6627</v>
      </c>
      <c r="G1173" s="413"/>
      <c r="H1173" s="1277"/>
      <c r="I1173" s="1280"/>
    </row>
    <row r="1174" spans="1:9" hidden="1">
      <c r="A1174" s="428" t="s">
        <v>6268</v>
      </c>
      <c r="B1174" s="413" t="s">
        <v>146</v>
      </c>
      <c r="C1174" s="265">
        <v>1</v>
      </c>
      <c r="D1174" s="413" t="s">
        <v>2417</v>
      </c>
      <c r="E1174" s="413" t="s">
        <v>6380</v>
      </c>
      <c r="F1174" s="413" t="s">
        <v>6628</v>
      </c>
      <c r="G1174" s="413"/>
      <c r="H1174" s="1277"/>
      <c r="I1174" s="1280"/>
    </row>
    <row r="1175" spans="1:9" hidden="1">
      <c r="A1175" s="428" t="s">
        <v>6268</v>
      </c>
      <c r="B1175" s="413" t="s">
        <v>146</v>
      </c>
      <c r="C1175" s="265">
        <v>1</v>
      </c>
      <c r="D1175" s="413" t="s">
        <v>2418</v>
      </c>
      <c r="E1175" s="413" t="s">
        <v>6380</v>
      </c>
      <c r="F1175" s="413" t="s">
        <v>6629</v>
      </c>
      <c r="G1175" s="413"/>
      <c r="H1175" s="1277"/>
      <c r="I1175" s="1280"/>
    </row>
    <row r="1176" spans="1:9" hidden="1">
      <c r="A1176" s="428" t="s">
        <v>6268</v>
      </c>
      <c r="B1176" s="413" t="s">
        <v>146</v>
      </c>
      <c r="C1176" s="265">
        <v>1</v>
      </c>
      <c r="D1176" s="413" t="s">
        <v>2419</v>
      </c>
      <c r="E1176" s="413" t="s">
        <v>6380</v>
      </c>
      <c r="F1176" s="413" t="s">
        <v>6630</v>
      </c>
      <c r="G1176" s="413"/>
      <c r="H1176" s="1277"/>
      <c r="I1176" s="1280"/>
    </row>
    <row r="1177" spans="1:9" hidden="1">
      <c r="A1177" s="428" t="s">
        <v>6268</v>
      </c>
      <c r="B1177" s="413" t="s">
        <v>146</v>
      </c>
      <c r="C1177" s="265">
        <v>1</v>
      </c>
      <c r="D1177" s="413" t="s">
        <v>6631</v>
      </c>
      <c r="E1177" s="413" t="s">
        <v>6358</v>
      </c>
      <c r="F1177" s="413" t="s">
        <v>6632</v>
      </c>
      <c r="G1177" s="413"/>
      <c r="H1177" s="1277"/>
      <c r="I1177" s="1280"/>
    </row>
    <row r="1178" spans="1:9" hidden="1">
      <c r="A1178" s="428" t="s">
        <v>6268</v>
      </c>
      <c r="B1178" s="413" t="s">
        <v>146</v>
      </c>
      <c r="C1178" s="265">
        <v>1</v>
      </c>
      <c r="D1178" s="413" t="s">
        <v>6633</v>
      </c>
      <c r="E1178" s="413" t="s">
        <v>6358</v>
      </c>
      <c r="F1178" s="413" t="s">
        <v>6634</v>
      </c>
      <c r="G1178" s="413"/>
      <c r="H1178" s="1277"/>
      <c r="I1178" s="1280"/>
    </row>
    <row r="1179" spans="1:9" hidden="1">
      <c r="A1179" s="428" t="s">
        <v>6268</v>
      </c>
      <c r="B1179" s="413" t="s">
        <v>146</v>
      </c>
      <c r="C1179" s="265">
        <v>1</v>
      </c>
      <c r="D1179" s="413" t="s">
        <v>2420</v>
      </c>
      <c r="E1179" s="413" t="s">
        <v>6380</v>
      </c>
      <c r="F1179" s="413" t="s">
        <v>6635</v>
      </c>
      <c r="G1179" s="413"/>
      <c r="H1179" s="1277"/>
      <c r="I1179" s="1280"/>
    </row>
    <row r="1180" spans="1:9" hidden="1">
      <c r="A1180" s="428" t="s">
        <v>6268</v>
      </c>
      <c r="B1180" s="413" t="s">
        <v>146</v>
      </c>
      <c r="C1180" s="265">
        <v>1</v>
      </c>
      <c r="D1180" s="413" t="s">
        <v>2421</v>
      </c>
      <c r="E1180" s="413" t="s">
        <v>6380</v>
      </c>
      <c r="F1180" s="413" t="s">
        <v>6636</v>
      </c>
      <c r="G1180" s="413"/>
      <c r="H1180" s="1277"/>
      <c r="I1180" s="1280"/>
    </row>
    <row r="1181" spans="1:9" hidden="1">
      <c r="A1181" s="428" t="s">
        <v>6268</v>
      </c>
      <c r="B1181" s="413" t="s">
        <v>146</v>
      </c>
      <c r="C1181" s="265">
        <v>1</v>
      </c>
      <c r="D1181" s="413" t="s">
        <v>2423</v>
      </c>
      <c r="E1181" s="413" t="s">
        <v>6380</v>
      </c>
      <c r="F1181" s="413" t="s">
        <v>6637</v>
      </c>
      <c r="G1181" s="413"/>
      <c r="H1181" s="1277"/>
      <c r="I1181" s="1280"/>
    </row>
    <row r="1182" spans="1:9" hidden="1">
      <c r="A1182" s="428" t="s">
        <v>6268</v>
      </c>
      <c r="B1182" s="413" t="s">
        <v>146</v>
      </c>
      <c r="C1182" s="265">
        <v>1</v>
      </c>
      <c r="D1182" s="413" t="s">
        <v>2424</v>
      </c>
      <c r="E1182" s="413" t="s">
        <v>6380</v>
      </c>
      <c r="F1182" s="413" t="s">
        <v>6638</v>
      </c>
      <c r="G1182" s="413"/>
      <c r="H1182" s="1277"/>
      <c r="I1182" s="1280"/>
    </row>
    <row r="1183" spans="1:9" hidden="1">
      <c r="A1183" s="428" t="s">
        <v>6268</v>
      </c>
      <c r="B1183" s="413" t="s">
        <v>146</v>
      </c>
      <c r="C1183" s="265">
        <v>1</v>
      </c>
      <c r="D1183" s="413" t="s">
        <v>2425</v>
      </c>
      <c r="E1183" s="413" t="s">
        <v>6380</v>
      </c>
      <c r="F1183" s="413" t="s">
        <v>6639</v>
      </c>
      <c r="G1183" s="413"/>
      <c r="H1183" s="1277"/>
      <c r="I1183" s="1280"/>
    </row>
    <row r="1184" spans="1:9" hidden="1">
      <c r="A1184" s="428" t="s">
        <v>6268</v>
      </c>
      <c r="B1184" s="413" t="s">
        <v>146</v>
      </c>
      <c r="C1184" s="265">
        <v>1</v>
      </c>
      <c r="D1184" s="413" t="s">
        <v>2426</v>
      </c>
      <c r="E1184" s="413" t="s">
        <v>6380</v>
      </c>
      <c r="F1184" s="413" t="s">
        <v>6640</v>
      </c>
      <c r="G1184" s="413"/>
      <c r="H1184" s="1277"/>
      <c r="I1184" s="1280"/>
    </row>
    <row r="1185" spans="1:9" hidden="1">
      <c r="A1185" s="428" t="s">
        <v>6268</v>
      </c>
      <c r="B1185" s="413" t="s">
        <v>146</v>
      </c>
      <c r="C1185" s="265">
        <v>1</v>
      </c>
      <c r="D1185" s="413" t="s">
        <v>2427</v>
      </c>
      <c r="E1185" s="413" t="s">
        <v>6380</v>
      </c>
      <c r="F1185" s="413" t="s">
        <v>6641</v>
      </c>
      <c r="G1185" s="413"/>
      <c r="H1185" s="1277"/>
      <c r="I1185" s="1280"/>
    </row>
    <row r="1186" spans="1:9" hidden="1">
      <c r="A1186" s="428" t="s">
        <v>6268</v>
      </c>
      <c r="B1186" s="413" t="s">
        <v>146</v>
      </c>
      <c r="C1186" s="265">
        <v>1</v>
      </c>
      <c r="D1186" s="413" t="s">
        <v>2428</v>
      </c>
      <c r="E1186" s="413" t="s">
        <v>6380</v>
      </c>
      <c r="F1186" s="413" t="s">
        <v>6642</v>
      </c>
      <c r="G1186" s="413"/>
      <c r="H1186" s="1277"/>
      <c r="I1186" s="1280"/>
    </row>
    <row r="1187" spans="1:9" hidden="1">
      <c r="A1187" s="428" t="s">
        <v>6268</v>
      </c>
      <c r="B1187" s="413" t="s">
        <v>146</v>
      </c>
      <c r="C1187" s="265">
        <v>1</v>
      </c>
      <c r="D1187" s="413" t="s">
        <v>2429</v>
      </c>
      <c r="E1187" s="413" t="s">
        <v>6380</v>
      </c>
      <c r="F1187" s="413" t="s">
        <v>6643</v>
      </c>
      <c r="G1187" s="413"/>
      <c r="H1187" s="1277"/>
      <c r="I1187" s="1280"/>
    </row>
    <row r="1188" spans="1:9" hidden="1">
      <c r="A1188" s="428" t="s">
        <v>6268</v>
      </c>
      <c r="B1188" s="413" t="s">
        <v>146</v>
      </c>
      <c r="C1188" s="265">
        <v>1</v>
      </c>
      <c r="D1188" s="413" t="s">
        <v>6644</v>
      </c>
      <c r="E1188" s="413" t="s">
        <v>6358</v>
      </c>
      <c r="F1188" s="413" t="s">
        <v>6645</v>
      </c>
      <c r="G1188" s="413"/>
      <c r="H1188" s="1277"/>
      <c r="I1188" s="1280"/>
    </row>
    <row r="1189" spans="1:9" hidden="1">
      <c r="A1189" s="428" t="s">
        <v>6268</v>
      </c>
      <c r="B1189" s="413" t="s">
        <v>146</v>
      </c>
      <c r="C1189" s="265">
        <v>1</v>
      </c>
      <c r="D1189" s="413" t="s">
        <v>2430</v>
      </c>
      <c r="E1189" s="413" t="s">
        <v>6380</v>
      </c>
      <c r="F1189" s="413" t="s">
        <v>6646</v>
      </c>
      <c r="G1189" s="413"/>
      <c r="H1189" s="1277"/>
      <c r="I1189" s="1280"/>
    </row>
    <row r="1190" spans="1:9" hidden="1">
      <c r="A1190" s="428" t="s">
        <v>6268</v>
      </c>
      <c r="B1190" s="413" t="s">
        <v>146</v>
      </c>
      <c r="C1190" s="265">
        <v>1</v>
      </c>
      <c r="D1190" s="413" t="s">
        <v>2431</v>
      </c>
      <c r="E1190" s="413" t="s">
        <v>6380</v>
      </c>
      <c r="F1190" s="413" t="s">
        <v>6647</v>
      </c>
      <c r="G1190" s="413"/>
      <c r="H1190" s="1277"/>
      <c r="I1190" s="1280"/>
    </row>
    <row r="1191" spans="1:9" hidden="1">
      <c r="A1191" s="428" t="s">
        <v>6268</v>
      </c>
      <c r="B1191" s="413" t="s">
        <v>146</v>
      </c>
      <c r="C1191" s="265">
        <v>1</v>
      </c>
      <c r="D1191" s="413" t="s">
        <v>6648</v>
      </c>
      <c r="E1191" s="413" t="s">
        <v>6380</v>
      </c>
      <c r="F1191" s="413" t="s">
        <v>6649</v>
      </c>
      <c r="G1191" s="413"/>
      <c r="H1191" s="1277"/>
      <c r="I1191" s="1280"/>
    </row>
    <row r="1192" spans="1:9" hidden="1">
      <c r="A1192" s="428" t="s">
        <v>6268</v>
      </c>
      <c r="B1192" s="413" t="s">
        <v>146</v>
      </c>
      <c r="C1192" s="265">
        <v>1</v>
      </c>
      <c r="D1192" s="413" t="s">
        <v>6650</v>
      </c>
      <c r="E1192" s="413" t="s">
        <v>6380</v>
      </c>
      <c r="F1192" s="413" t="s">
        <v>6651</v>
      </c>
      <c r="G1192" s="413"/>
      <c r="H1192" s="1277"/>
      <c r="I1192" s="1280"/>
    </row>
    <row r="1193" spans="1:9" hidden="1">
      <c r="A1193" s="428" t="s">
        <v>6268</v>
      </c>
      <c r="B1193" s="413" t="s">
        <v>146</v>
      </c>
      <c r="C1193" s="265">
        <v>1</v>
      </c>
      <c r="D1193" s="413" t="s">
        <v>6652</v>
      </c>
      <c r="E1193" s="413" t="s">
        <v>6380</v>
      </c>
      <c r="F1193" s="413" t="s">
        <v>6653</v>
      </c>
      <c r="G1193" s="413"/>
      <c r="H1193" s="1277"/>
      <c r="I1193" s="1280"/>
    </row>
    <row r="1194" spans="1:9" hidden="1">
      <c r="A1194" s="428" t="s">
        <v>6268</v>
      </c>
      <c r="B1194" s="413" t="s">
        <v>146</v>
      </c>
      <c r="C1194" s="265">
        <v>1</v>
      </c>
      <c r="D1194" s="413" t="s">
        <v>6654</v>
      </c>
      <c r="E1194" s="413" t="s">
        <v>6380</v>
      </c>
      <c r="F1194" s="413" t="s">
        <v>6655</v>
      </c>
      <c r="G1194" s="413"/>
      <c r="H1194" s="1277"/>
      <c r="I1194" s="1280"/>
    </row>
    <row r="1195" spans="1:9" hidden="1">
      <c r="A1195" s="428" t="s">
        <v>6268</v>
      </c>
      <c r="B1195" s="413" t="s">
        <v>146</v>
      </c>
      <c r="C1195" s="265">
        <v>1</v>
      </c>
      <c r="D1195" s="413" t="s">
        <v>6656</v>
      </c>
      <c r="E1195" s="413" t="s">
        <v>6380</v>
      </c>
      <c r="F1195" s="413" t="s">
        <v>6657</v>
      </c>
      <c r="G1195" s="413"/>
      <c r="H1195" s="1277"/>
      <c r="I1195" s="1280"/>
    </row>
    <row r="1196" spans="1:9" hidden="1">
      <c r="A1196" s="428" t="s">
        <v>6268</v>
      </c>
      <c r="B1196" s="413" t="s">
        <v>146</v>
      </c>
      <c r="C1196" s="265">
        <v>1</v>
      </c>
      <c r="D1196" s="413" t="s">
        <v>6658</v>
      </c>
      <c r="E1196" s="413" t="s">
        <v>6380</v>
      </c>
      <c r="F1196" s="413" t="s">
        <v>6659</v>
      </c>
      <c r="G1196" s="413"/>
      <c r="H1196" s="1277"/>
      <c r="I1196" s="1280"/>
    </row>
    <row r="1197" spans="1:9" hidden="1">
      <c r="A1197" s="428" t="s">
        <v>6268</v>
      </c>
      <c r="B1197" s="413" t="s">
        <v>146</v>
      </c>
      <c r="C1197" s="265">
        <v>1</v>
      </c>
      <c r="D1197" s="413" t="s">
        <v>6660</v>
      </c>
      <c r="E1197" s="413" t="s">
        <v>6358</v>
      </c>
      <c r="F1197" s="413" t="s">
        <v>6661</v>
      </c>
      <c r="G1197" s="413"/>
      <c r="H1197" s="1277"/>
      <c r="I1197" s="1280"/>
    </row>
    <row r="1198" spans="1:9" hidden="1">
      <c r="A1198" s="428" t="s">
        <v>6268</v>
      </c>
      <c r="B1198" s="413" t="s">
        <v>146</v>
      </c>
      <c r="C1198" s="265">
        <v>1</v>
      </c>
      <c r="D1198" s="413" t="s">
        <v>6662</v>
      </c>
      <c r="E1198" s="413" t="s">
        <v>6358</v>
      </c>
      <c r="F1198" s="413" t="s">
        <v>6663</v>
      </c>
      <c r="G1198" s="413"/>
      <c r="H1198" s="1277"/>
      <c r="I1198" s="1280"/>
    </row>
    <row r="1199" spans="1:9" hidden="1">
      <c r="A1199" s="428" t="s">
        <v>6268</v>
      </c>
      <c r="B1199" s="413" t="s">
        <v>146</v>
      </c>
      <c r="C1199" s="265">
        <v>1</v>
      </c>
      <c r="D1199" s="413" t="s">
        <v>6664</v>
      </c>
      <c r="E1199" s="413" t="s">
        <v>6358</v>
      </c>
      <c r="F1199" s="413" t="s">
        <v>6665</v>
      </c>
      <c r="G1199" s="413"/>
      <c r="H1199" s="1277"/>
      <c r="I1199" s="1280"/>
    </row>
    <row r="1200" spans="1:9" hidden="1">
      <c r="A1200" s="428" t="s">
        <v>6268</v>
      </c>
      <c r="B1200" s="413" t="s">
        <v>146</v>
      </c>
      <c r="C1200" s="265">
        <v>1</v>
      </c>
      <c r="D1200" s="413" t="s">
        <v>6666</v>
      </c>
      <c r="E1200" s="413" t="s">
        <v>6358</v>
      </c>
      <c r="F1200" s="413" t="s">
        <v>6667</v>
      </c>
      <c r="G1200" s="413"/>
      <c r="H1200" s="1277"/>
      <c r="I1200" s="1280"/>
    </row>
    <row r="1201" spans="1:9" hidden="1">
      <c r="A1201" s="428" t="s">
        <v>6268</v>
      </c>
      <c r="B1201" s="413" t="s">
        <v>146</v>
      </c>
      <c r="C1201" s="265">
        <v>1</v>
      </c>
      <c r="D1201" s="413" t="s">
        <v>6668</v>
      </c>
      <c r="E1201" s="413" t="s">
        <v>6358</v>
      </c>
      <c r="F1201" s="413" t="s">
        <v>6669</v>
      </c>
      <c r="G1201" s="413"/>
      <c r="H1201" s="1277"/>
      <c r="I1201" s="1280"/>
    </row>
    <row r="1202" spans="1:9" hidden="1">
      <c r="A1202" s="428" t="s">
        <v>6268</v>
      </c>
      <c r="B1202" s="413" t="s">
        <v>146</v>
      </c>
      <c r="C1202" s="265">
        <v>1</v>
      </c>
      <c r="D1202" s="413" t="s">
        <v>6670</v>
      </c>
      <c r="E1202" s="413" t="s">
        <v>6358</v>
      </c>
      <c r="F1202" s="413" t="s">
        <v>6671</v>
      </c>
      <c r="G1202" s="413"/>
      <c r="H1202" s="1277"/>
      <c r="I1202" s="1280"/>
    </row>
    <row r="1203" spans="1:9" hidden="1">
      <c r="A1203" s="428" t="s">
        <v>6268</v>
      </c>
      <c r="B1203" s="413" t="s">
        <v>146</v>
      </c>
      <c r="C1203" s="265">
        <v>1</v>
      </c>
      <c r="D1203" s="413" t="s">
        <v>6672</v>
      </c>
      <c r="E1203" s="413" t="s">
        <v>6358</v>
      </c>
      <c r="F1203" s="413" t="s">
        <v>6673</v>
      </c>
      <c r="G1203" s="413"/>
      <c r="H1203" s="1277"/>
      <c r="I1203" s="1280"/>
    </row>
    <row r="1204" spans="1:9" hidden="1">
      <c r="A1204" s="428" t="s">
        <v>6268</v>
      </c>
      <c r="B1204" s="413" t="s">
        <v>146</v>
      </c>
      <c r="C1204" s="265">
        <v>1</v>
      </c>
      <c r="D1204" s="413" t="s">
        <v>6674</v>
      </c>
      <c r="E1204" s="413" t="s">
        <v>6358</v>
      </c>
      <c r="F1204" s="413" t="s">
        <v>6675</v>
      </c>
      <c r="G1204" s="413"/>
      <c r="H1204" s="1277"/>
      <c r="I1204" s="1280"/>
    </row>
    <row r="1205" spans="1:9" hidden="1">
      <c r="A1205" s="428" t="s">
        <v>6268</v>
      </c>
      <c r="B1205" s="413" t="s">
        <v>146</v>
      </c>
      <c r="C1205" s="265">
        <v>1</v>
      </c>
      <c r="D1205" s="413" t="s">
        <v>6676</v>
      </c>
      <c r="E1205" s="413" t="s">
        <v>6380</v>
      </c>
      <c r="F1205" s="413" t="s">
        <v>6677</v>
      </c>
      <c r="G1205" s="413"/>
      <c r="H1205" s="1277"/>
      <c r="I1205" s="1280"/>
    </row>
    <row r="1206" spans="1:9" hidden="1">
      <c r="A1206" s="428" t="s">
        <v>6268</v>
      </c>
      <c r="B1206" s="413" t="s">
        <v>146</v>
      </c>
      <c r="C1206" s="265">
        <v>1</v>
      </c>
      <c r="D1206" s="413" t="s">
        <v>6678</v>
      </c>
      <c r="E1206" s="413" t="s">
        <v>6380</v>
      </c>
      <c r="F1206" s="413" t="s">
        <v>6679</v>
      </c>
      <c r="G1206" s="413"/>
      <c r="H1206" s="1277"/>
      <c r="I1206" s="1280"/>
    </row>
    <row r="1207" spans="1:9" hidden="1">
      <c r="A1207" s="428" t="s">
        <v>6268</v>
      </c>
      <c r="B1207" s="413" t="s">
        <v>146</v>
      </c>
      <c r="C1207" s="265">
        <v>1</v>
      </c>
      <c r="D1207" s="413" t="s">
        <v>6680</v>
      </c>
      <c r="E1207" s="413" t="s">
        <v>6380</v>
      </c>
      <c r="F1207" s="413" t="s">
        <v>6681</v>
      </c>
      <c r="G1207" s="413"/>
      <c r="H1207" s="1277"/>
      <c r="I1207" s="1280"/>
    </row>
    <row r="1208" spans="1:9" hidden="1">
      <c r="A1208" s="428" t="s">
        <v>6268</v>
      </c>
      <c r="B1208" s="413" t="s">
        <v>146</v>
      </c>
      <c r="C1208" s="265">
        <v>1</v>
      </c>
      <c r="D1208" s="413" t="s">
        <v>6682</v>
      </c>
      <c r="E1208" s="413" t="s">
        <v>6358</v>
      </c>
      <c r="F1208" s="413" t="s">
        <v>6683</v>
      </c>
      <c r="G1208" s="413"/>
      <c r="H1208" s="1277"/>
      <c r="I1208" s="1280"/>
    </row>
    <row r="1209" spans="1:9" hidden="1">
      <c r="A1209" s="428" t="s">
        <v>6268</v>
      </c>
      <c r="B1209" s="413" t="s">
        <v>146</v>
      </c>
      <c r="C1209" s="265">
        <v>1</v>
      </c>
      <c r="D1209" s="413" t="s">
        <v>6684</v>
      </c>
      <c r="E1209" s="413" t="s">
        <v>6358</v>
      </c>
      <c r="F1209" s="413" t="s">
        <v>6685</v>
      </c>
      <c r="G1209" s="413"/>
      <c r="H1209" s="1277"/>
      <c r="I1209" s="1280"/>
    </row>
    <row r="1210" spans="1:9" hidden="1">
      <c r="A1210" s="428" t="s">
        <v>6268</v>
      </c>
      <c r="B1210" s="413" t="s">
        <v>146</v>
      </c>
      <c r="C1210" s="265">
        <v>1</v>
      </c>
      <c r="D1210" s="413" t="s">
        <v>6686</v>
      </c>
      <c r="E1210" s="413" t="s">
        <v>6358</v>
      </c>
      <c r="F1210" s="413" t="s">
        <v>6687</v>
      </c>
      <c r="G1210" s="413"/>
      <c r="H1210" s="1277"/>
      <c r="I1210" s="1280"/>
    </row>
    <row r="1211" spans="1:9" hidden="1">
      <c r="A1211" s="428" t="s">
        <v>6268</v>
      </c>
      <c r="B1211" s="413" t="s">
        <v>146</v>
      </c>
      <c r="C1211" s="265">
        <v>1</v>
      </c>
      <c r="D1211" s="413" t="s">
        <v>6688</v>
      </c>
      <c r="E1211" s="413" t="s">
        <v>6358</v>
      </c>
      <c r="F1211" s="413" t="s">
        <v>6689</v>
      </c>
      <c r="G1211" s="413"/>
      <c r="H1211" s="1277"/>
      <c r="I1211" s="1280"/>
    </row>
    <row r="1212" spans="1:9" hidden="1">
      <c r="A1212" s="428" t="s">
        <v>6268</v>
      </c>
      <c r="B1212" s="413" t="s">
        <v>146</v>
      </c>
      <c r="C1212" s="265">
        <v>1</v>
      </c>
      <c r="D1212" s="413" t="s">
        <v>6690</v>
      </c>
      <c r="E1212" s="413" t="s">
        <v>6358</v>
      </c>
      <c r="F1212" s="413" t="s">
        <v>6691</v>
      </c>
      <c r="G1212" s="413"/>
      <c r="H1212" s="1277"/>
      <c r="I1212" s="1280"/>
    </row>
    <row r="1213" spans="1:9" hidden="1">
      <c r="A1213" s="428" t="s">
        <v>6268</v>
      </c>
      <c r="B1213" s="413" t="s">
        <v>146</v>
      </c>
      <c r="C1213" s="265">
        <v>1</v>
      </c>
      <c r="D1213" s="413" t="s">
        <v>6692</v>
      </c>
      <c r="E1213" s="413" t="s">
        <v>6358</v>
      </c>
      <c r="F1213" s="413" t="s">
        <v>6693</v>
      </c>
      <c r="G1213" s="413"/>
      <c r="H1213" s="1277"/>
      <c r="I1213" s="1280"/>
    </row>
    <row r="1214" spans="1:9" hidden="1">
      <c r="A1214" s="428" t="s">
        <v>6268</v>
      </c>
      <c r="B1214" s="413" t="s">
        <v>146</v>
      </c>
      <c r="C1214" s="265">
        <v>1</v>
      </c>
      <c r="D1214" s="413" t="s">
        <v>6694</v>
      </c>
      <c r="E1214" s="413" t="s">
        <v>6358</v>
      </c>
      <c r="F1214" s="413" t="s">
        <v>6695</v>
      </c>
      <c r="G1214" s="413"/>
      <c r="H1214" s="1277"/>
      <c r="I1214" s="1280"/>
    </row>
    <row r="1215" spans="1:9" hidden="1">
      <c r="A1215" s="428" t="s">
        <v>6268</v>
      </c>
      <c r="B1215" s="413" t="s">
        <v>146</v>
      </c>
      <c r="C1215" s="265">
        <v>1</v>
      </c>
      <c r="D1215" s="413" t="s">
        <v>6696</v>
      </c>
      <c r="E1215" s="413" t="s">
        <v>6358</v>
      </c>
      <c r="F1215" s="413" t="s">
        <v>6697</v>
      </c>
      <c r="G1215" s="413"/>
      <c r="H1215" s="1277"/>
      <c r="I1215" s="1280"/>
    </row>
    <row r="1216" spans="1:9" hidden="1">
      <c r="A1216" s="428" t="s">
        <v>6268</v>
      </c>
      <c r="B1216" s="413" t="s">
        <v>146</v>
      </c>
      <c r="C1216" s="265">
        <v>1</v>
      </c>
      <c r="D1216" s="413" t="s">
        <v>6698</v>
      </c>
      <c r="E1216" s="413" t="s">
        <v>6358</v>
      </c>
      <c r="F1216" s="413" t="s">
        <v>6697</v>
      </c>
      <c r="G1216" s="413"/>
      <c r="H1216" s="1277"/>
      <c r="I1216" s="1280"/>
    </row>
    <row r="1217" spans="1:9" hidden="1">
      <c r="A1217" s="428" t="s">
        <v>6268</v>
      </c>
      <c r="B1217" s="413" t="s">
        <v>146</v>
      </c>
      <c r="C1217" s="265">
        <v>1</v>
      </c>
      <c r="D1217" s="413" t="s">
        <v>6699</v>
      </c>
      <c r="E1217" s="413" t="s">
        <v>6358</v>
      </c>
      <c r="F1217" s="413" t="s">
        <v>6700</v>
      </c>
      <c r="G1217" s="413"/>
      <c r="H1217" s="1277"/>
      <c r="I1217" s="1280"/>
    </row>
    <row r="1218" spans="1:9" hidden="1">
      <c r="A1218" s="428" t="s">
        <v>6268</v>
      </c>
      <c r="B1218" s="413" t="s">
        <v>146</v>
      </c>
      <c r="C1218" s="265">
        <v>1</v>
      </c>
      <c r="D1218" s="413" t="s">
        <v>6701</v>
      </c>
      <c r="E1218" s="413" t="s">
        <v>6358</v>
      </c>
      <c r="F1218" s="413" t="s">
        <v>6702</v>
      </c>
      <c r="G1218" s="413"/>
      <c r="H1218" s="1277"/>
      <c r="I1218" s="1280"/>
    </row>
    <row r="1219" spans="1:9" hidden="1">
      <c r="A1219" s="428" t="s">
        <v>6268</v>
      </c>
      <c r="B1219" s="413" t="s">
        <v>146</v>
      </c>
      <c r="C1219" s="265">
        <v>1</v>
      </c>
      <c r="D1219" s="413" t="s">
        <v>6703</v>
      </c>
      <c r="E1219" s="413" t="s">
        <v>6380</v>
      </c>
      <c r="F1219" s="413" t="s">
        <v>6704</v>
      </c>
      <c r="G1219" s="413"/>
      <c r="H1219" s="1277"/>
      <c r="I1219" s="1280"/>
    </row>
    <row r="1220" spans="1:9" hidden="1">
      <c r="A1220" s="428" t="s">
        <v>6268</v>
      </c>
      <c r="B1220" s="413" t="s">
        <v>146</v>
      </c>
      <c r="C1220" s="265">
        <v>1</v>
      </c>
      <c r="D1220" s="413" t="s">
        <v>6705</v>
      </c>
      <c r="E1220" s="413" t="s">
        <v>6380</v>
      </c>
      <c r="F1220" s="413" t="s">
        <v>6706</v>
      </c>
      <c r="G1220" s="413"/>
      <c r="H1220" s="1277"/>
      <c r="I1220" s="1280"/>
    </row>
    <row r="1221" spans="1:9" hidden="1">
      <c r="A1221" s="428" t="s">
        <v>6268</v>
      </c>
      <c r="B1221" s="413" t="s">
        <v>146</v>
      </c>
      <c r="C1221" s="265">
        <v>1</v>
      </c>
      <c r="D1221" s="413" t="s">
        <v>6707</v>
      </c>
      <c r="E1221" s="413" t="s">
        <v>6358</v>
      </c>
      <c r="F1221" s="413" t="s">
        <v>6708</v>
      </c>
      <c r="G1221" s="413"/>
      <c r="H1221" s="1277"/>
      <c r="I1221" s="1280"/>
    </row>
    <row r="1222" spans="1:9" hidden="1">
      <c r="A1222" s="428" t="s">
        <v>6268</v>
      </c>
      <c r="B1222" s="413" t="s">
        <v>146</v>
      </c>
      <c r="C1222" s="265">
        <v>1</v>
      </c>
      <c r="D1222" s="413" t="s">
        <v>6709</v>
      </c>
      <c r="E1222" s="413" t="s">
        <v>6358</v>
      </c>
      <c r="F1222" s="413" t="s">
        <v>6708</v>
      </c>
      <c r="G1222" s="413"/>
      <c r="H1222" s="1277"/>
      <c r="I1222" s="1280"/>
    </row>
    <row r="1223" spans="1:9" hidden="1">
      <c r="A1223" s="428" t="s">
        <v>6268</v>
      </c>
      <c r="B1223" s="413" t="s">
        <v>146</v>
      </c>
      <c r="C1223" s="265">
        <v>1</v>
      </c>
      <c r="D1223" s="413" t="s">
        <v>6710</v>
      </c>
      <c r="E1223" s="413" t="s">
        <v>6358</v>
      </c>
      <c r="F1223" s="413" t="s">
        <v>6711</v>
      </c>
      <c r="G1223" s="413"/>
      <c r="H1223" s="1277"/>
      <c r="I1223" s="1280"/>
    </row>
    <row r="1224" spans="1:9" hidden="1">
      <c r="A1224" s="428" t="s">
        <v>6268</v>
      </c>
      <c r="B1224" s="413" t="s">
        <v>146</v>
      </c>
      <c r="C1224" s="265">
        <v>1</v>
      </c>
      <c r="D1224" s="413" t="s">
        <v>6712</v>
      </c>
      <c r="E1224" s="413" t="s">
        <v>6358</v>
      </c>
      <c r="F1224" s="413" t="s">
        <v>6713</v>
      </c>
      <c r="G1224" s="413"/>
      <c r="H1224" s="1277"/>
      <c r="I1224" s="1280"/>
    </row>
    <row r="1225" spans="1:9" hidden="1">
      <c r="A1225" s="428" t="s">
        <v>6268</v>
      </c>
      <c r="B1225" s="413" t="s">
        <v>146</v>
      </c>
      <c r="C1225" s="265">
        <v>1</v>
      </c>
      <c r="D1225" s="413" t="s">
        <v>6714</v>
      </c>
      <c r="E1225" s="413" t="s">
        <v>6358</v>
      </c>
      <c r="F1225" s="413" t="s">
        <v>6715</v>
      </c>
      <c r="G1225" s="413"/>
      <c r="H1225" s="1277"/>
      <c r="I1225" s="1280"/>
    </row>
    <row r="1226" spans="1:9" hidden="1">
      <c r="A1226" s="428" t="s">
        <v>6268</v>
      </c>
      <c r="B1226" s="413" t="s">
        <v>146</v>
      </c>
      <c r="C1226" s="265">
        <v>1</v>
      </c>
      <c r="D1226" s="413" t="s">
        <v>6716</v>
      </c>
      <c r="E1226" s="413" t="s">
        <v>6358</v>
      </c>
      <c r="F1226" s="413" t="s">
        <v>6717</v>
      </c>
      <c r="G1226" s="413"/>
      <c r="H1226" s="1277"/>
      <c r="I1226" s="1280"/>
    </row>
    <row r="1227" spans="1:9" hidden="1">
      <c r="A1227" s="428" t="s">
        <v>6268</v>
      </c>
      <c r="B1227" s="413" t="s">
        <v>146</v>
      </c>
      <c r="C1227" s="265">
        <v>1</v>
      </c>
      <c r="D1227" s="413" t="s">
        <v>6718</v>
      </c>
      <c r="E1227" s="413" t="s">
        <v>6358</v>
      </c>
      <c r="F1227" s="413" t="s">
        <v>6719</v>
      </c>
      <c r="G1227" s="413"/>
      <c r="H1227" s="1277"/>
      <c r="I1227" s="1280"/>
    </row>
    <row r="1228" spans="1:9" hidden="1">
      <c r="A1228" s="428" t="s">
        <v>6268</v>
      </c>
      <c r="B1228" s="413" t="s">
        <v>146</v>
      </c>
      <c r="C1228" s="265">
        <v>1</v>
      </c>
      <c r="D1228" s="413" t="s">
        <v>6720</v>
      </c>
      <c r="E1228" s="413" t="s">
        <v>6358</v>
      </c>
      <c r="F1228" s="413" t="s">
        <v>6721</v>
      </c>
      <c r="G1228" s="413"/>
      <c r="H1228" s="1277"/>
      <c r="I1228" s="1280"/>
    </row>
    <row r="1229" spans="1:9" hidden="1">
      <c r="A1229" s="428" t="s">
        <v>6268</v>
      </c>
      <c r="B1229" s="413" t="s">
        <v>146</v>
      </c>
      <c r="C1229" s="265">
        <v>1</v>
      </c>
      <c r="D1229" s="413" t="s">
        <v>6722</v>
      </c>
      <c r="E1229" s="413" t="s">
        <v>6358</v>
      </c>
      <c r="F1229" s="413" t="s">
        <v>6723</v>
      </c>
      <c r="G1229" s="413"/>
      <c r="H1229" s="1277"/>
      <c r="I1229" s="1280"/>
    </row>
    <row r="1230" spans="1:9" hidden="1">
      <c r="A1230" s="428" t="s">
        <v>6268</v>
      </c>
      <c r="B1230" s="413" t="s">
        <v>146</v>
      </c>
      <c r="C1230" s="265">
        <v>1</v>
      </c>
      <c r="D1230" s="413" t="s">
        <v>6724</v>
      </c>
      <c r="E1230" s="413" t="s">
        <v>6358</v>
      </c>
      <c r="F1230" s="413" t="s">
        <v>6725</v>
      </c>
      <c r="G1230" s="413"/>
      <c r="H1230" s="1277"/>
      <c r="I1230" s="1280"/>
    </row>
    <row r="1231" spans="1:9" hidden="1">
      <c r="A1231" s="428" t="s">
        <v>6268</v>
      </c>
      <c r="B1231" s="413" t="s">
        <v>146</v>
      </c>
      <c r="C1231" s="265">
        <v>1</v>
      </c>
      <c r="D1231" s="413" t="s">
        <v>6726</v>
      </c>
      <c r="E1231" s="413" t="s">
        <v>6358</v>
      </c>
      <c r="F1231" s="413" t="s">
        <v>6727</v>
      </c>
      <c r="G1231" s="413"/>
      <c r="H1231" s="1277"/>
      <c r="I1231" s="1280"/>
    </row>
    <row r="1232" spans="1:9" hidden="1">
      <c r="A1232" s="428" t="s">
        <v>6268</v>
      </c>
      <c r="B1232" s="413" t="s">
        <v>146</v>
      </c>
      <c r="C1232" s="265">
        <v>1</v>
      </c>
      <c r="D1232" s="413" t="s">
        <v>6728</v>
      </c>
      <c r="E1232" s="413" t="s">
        <v>6358</v>
      </c>
      <c r="F1232" s="413" t="s">
        <v>6729</v>
      </c>
      <c r="G1232" s="413"/>
      <c r="H1232" s="1277"/>
      <c r="I1232" s="1280"/>
    </row>
    <row r="1233" spans="1:9" hidden="1">
      <c r="A1233" s="428" t="s">
        <v>6268</v>
      </c>
      <c r="B1233" s="413" t="s">
        <v>146</v>
      </c>
      <c r="C1233" s="265">
        <v>1</v>
      </c>
      <c r="D1233" s="413" t="s">
        <v>6730</v>
      </c>
      <c r="E1233" s="413" t="s">
        <v>6358</v>
      </c>
      <c r="F1233" s="413" t="s">
        <v>6731</v>
      </c>
      <c r="G1233" s="413"/>
      <c r="H1233" s="1277"/>
      <c r="I1233" s="1280"/>
    </row>
    <row r="1234" spans="1:9" hidden="1">
      <c r="A1234" s="428" t="s">
        <v>6268</v>
      </c>
      <c r="B1234" s="413" t="s">
        <v>146</v>
      </c>
      <c r="C1234" s="265">
        <v>1</v>
      </c>
      <c r="D1234" s="413" t="s">
        <v>6732</v>
      </c>
      <c r="E1234" s="413" t="s">
        <v>6358</v>
      </c>
      <c r="F1234" s="413" t="s">
        <v>6733</v>
      </c>
      <c r="G1234" s="413"/>
      <c r="H1234" s="1277"/>
      <c r="I1234" s="1280"/>
    </row>
    <row r="1235" spans="1:9" hidden="1">
      <c r="A1235" s="428" t="s">
        <v>6268</v>
      </c>
      <c r="B1235" s="413" t="s">
        <v>146</v>
      </c>
      <c r="C1235" s="265">
        <v>1</v>
      </c>
      <c r="D1235" s="413" t="s">
        <v>6734</v>
      </c>
      <c r="E1235" s="413" t="s">
        <v>6380</v>
      </c>
      <c r="F1235" s="413" t="s">
        <v>6735</v>
      </c>
      <c r="G1235" s="413"/>
      <c r="H1235" s="1277"/>
      <c r="I1235" s="1280"/>
    </row>
    <row r="1236" spans="1:9" hidden="1">
      <c r="A1236" s="428" t="s">
        <v>6268</v>
      </c>
      <c r="B1236" s="413" t="s">
        <v>146</v>
      </c>
      <c r="C1236" s="265">
        <v>1</v>
      </c>
      <c r="D1236" s="413" t="s">
        <v>6736</v>
      </c>
      <c r="E1236" s="413" t="s">
        <v>6380</v>
      </c>
      <c r="F1236" s="413" t="s">
        <v>6737</v>
      </c>
      <c r="G1236" s="413"/>
      <c r="H1236" s="1277"/>
      <c r="I1236" s="1280"/>
    </row>
    <row r="1237" spans="1:9" hidden="1">
      <c r="A1237" s="428" t="s">
        <v>6268</v>
      </c>
      <c r="B1237" s="413" t="s">
        <v>146</v>
      </c>
      <c r="C1237" s="265">
        <v>1</v>
      </c>
      <c r="D1237" s="413" t="s">
        <v>6738</v>
      </c>
      <c r="E1237" s="413" t="s">
        <v>6358</v>
      </c>
      <c r="F1237" s="413" t="s">
        <v>6739</v>
      </c>
      <c r="G1237" s="413"/>
      <c r="H1237" s="1277"/>
      <c r="I1237" s="1280"/>
    </row>
    <row r="1238" spans="1:9" hidden="1">
      <c r="A1238" s="428" t="s">
        <v>6268</v>
      </c>
      <c r="B1238" s="413" t="s">
        <v>146</v>
      </c>
      <c r="C1238" s="265">
        <v>1</v>
      </c>
      <c r="D1238" s="413" t="s">
        <v>6740</v>
      </c>
      <c r="E1238" s="413" t="s">
        <v>6358</v>
      </c>
      <c r="F1238" s="413" t="s">
        <v>6741</v>
      </c>
      <c r="G1238" s="413"/>
      <c r="H1238" s="1277"/>
      <c r="I1238" s="1280"/>
    </row>
    <row r="1239" spans="1:9" hidden="1">
      <c r="A1239" s="428" t="s">
        <v>6268</v>
      </c>
      <c r="B1239" s="413" t="s">
        <v>146</v>
      </c>
      <c r="C1239" s="265">
        <v>1</v>
      </c>
      <c r="D1239" s="413" t="s">
        <v>6742</v>
      </c>
      <c r="E1239" s="413" t="s">
        <v>6380</v>
      </c>
      <c r="F1239" s="413" t="s">
        <v>6743</v>
      </c>
      <c r="G1239" s="413"/>
      <c r="H1239" s="1277"/>
      <c r="I1239" s="1280"/>
    </row>
    <row r="1240" spans="1:9" hidden="1">
      <c r="A1240" s="428" t="s">
        <v>6268</v>
      </c>
      <c r="B1240" s="413" t="s">
        <v>146</v>
      </c>
      <c r="C1240" s="265">
        <v>1</v>
      </c>
      <c r="D1240" s="413" t="s">
        <v>6744</v>
      </c>
      <c r="E1240" s="413" t="s">
        <v>6358</v>
      </c>
      <c r="F1240" s="413" t="s">
        <v>6745</v>
      </c>
      <c r="G1240" s="413"/>
      <c r="H1240" s="1277"/>
      <c r="I1240" s="1280"/>
    </row>
    <row r="1241" spans="1:9" hidden="1">
      <c r="A1241" s="428" t="s">
        <v>6268</v>
      </c>
      <c r="B1241" s="413" t="s">
        <v>146</v>
      </c>
      <c r="C1241" s="265">
        <v>1</v>
      </c>
      <c r="D1241" s="413" t="s">
        <v>6746</v>
      </c>
      <c r="E1241" s="413" t="s">
        <v>6358</v>
      </c>
      <c r="F1241" s="413" t="s">
        <v>6747</v>
      </c>
      <c r="G1241" s="413"/>
      <c r="H1241" s="1277"/>
      <c r="I1241" s="1280"/>
    </row>
    <row r="1242" spans="1:9" hidden="1">
      <c r="A1242" s="428" t="s">
        <v>6268</v>
      </c>
      <c r="B1242" s="413" t="s">
        <v>146</v>
      </c>
      <c r="C1242" s="265">
        <v>1</v>
      </c>
      <c r="D1242" s="413" t="s">
        <v>6748</v>
      </c>
      <c r="E1242" s="413" t="s">
        <v>6358</v>
      </c>
      <c r="F1242" s="413" t="s">
        <v>6749</v>
      </c>
      <c r="G1242" s="413"/>
      <c r="H1242" s="1277"/>
      <c r="I1242" s="1280"/>
    </row>
    <row r="1243" spans="1:9" hidden="1">
      <c r="A1243" s="428" t="s">
        <v>6268</v>
      </c>
      <c r="B1243" s="413" t="s">
        <v>146</v>
      </c>
      <c r="C1243" s="265">
        <v>1</v>
      </c>
      <c r="D1243" s="413" t="s">
        <v>6750</v>
      </c>
      <c r="E1243" s="413" t="s">
        <v>6358</v>
      </c>
      <c r="F1243" s="413" t="s">
        <v>6751</v>
      </c>
      <c r="G1243" s="413"/>
      <c r="H1243" s="1277"/>
      <c r="I1243" s="1280"/>
    </row>
    <row r="1244" spans="1:9" hidden="1">
      <c r="A1244" s="428" t="s">
        <v>6268</v>
      </c>
      <c r="B1244" s="413" t="s">
        <v>146</v>
      </c>
      <c r="C1244" s="265">
        <v>1</v>
      </c>
      <c r="D1244" s="413" t="s">
        <v>6752</v>
      </c>
      <c r="E1244" s="413" t="s">
        <v>6380</v>
      </c>
      <c r="F1244" s="413" t="s">
        <v>6753</v>
      </c>
      <c r="G1244" s="413"/>
      <c r="H1244" s="1277"/>
      <c r="I1244" s="1280"/>
    </row>
    <row r="1245" spans="1:9" hidden="1">
      <c r="A1245" s="428" t="s">
        <v>6268</v>
      </c>
      <c r="B1245" s="413" t="s">
        <v>146</v>
      </c>
      <c r="C1245" s="265">
        <v>1</v>
      </c>
      <c r="D1245" s="413" t="s">
        <v>6754</v>
      </c>
      <c r="E1245" s="413" t="s">
        <v>6358</v>
      </c>
      <c r="F1245" s="413" t="s">
        <v>6755</v>
      </c>
      <c r="G1245" s="413"/>
      <c r="H1245" s="1277"/>
      <c r="I1245" s="1280"/>
    </row>
    <row r="1246" spans="1:9" hidden="1">
      <c r="A1246" s="428" t="s">
        <v>6268</v>
      </c>
      <c r="B1246" s="413" t="s">
        <v>146</v>
      </c>
      <c r="C1246" s="265">
        <v>1</v>
      </c>
      <c r="D1246" s="413" t="s">
        <v>6756</v>
      </c>
      <c r="E1246" s="413" t="s">
        <v>6358</v>
      </c>
      <c r="F1246" s="413" t="s">
        <v>6757</v>
      </c>
      <c r="G1246" s="413"/>
      <c r="H1246" s="1277"/>
      <c r="I1246" s="1280"/>
    </row>
    <row r="1247" spans="1:9" hidden="1">
      <c r="A1247" s="428" t="s">
        <v>6268</v>
      </c>
      <c r="B1247" s="413" t="s">
        <v>146</v>
      </c>
      <c r="C1247" s="265">
        <v>1</v>
      </c>
      <c r="D1247" s="413" t="s">
        <v>6758</v>
      </c>
      <c r="E1247" s="413" t="s">
        <v>6358</v>
      </c>
      <c r="F1247" s="413" t="s">
        <v>6759</v>
      </c>
      <c r="G1247" s="413"/>
      <c r="H1247" s="1277"/>
      <c r="I1247" s="1280"/>
    </row>
    <row r="1248" spans="1:9" hidden="1">
      <c r="A1248" s="428" t="s">
        <v>6268</v>
      </c>
      <c r="B1248" s="413" t="s">
        <v>146</v>
      </c>
      <c r="C1248" s="265">
        <v>1</v>
      </c>
      <c r="D1248" s="413" t="s">
        <v>6760</v>
      </c>
      <c r="E1248" s="413" t="s">
        <v>6358</v>
      </c>
      <c r="F1248" s="413" t="s">
        <v>6757</v>
      </c>
      <c r="G1248" s="413"/>
      <c r="H1248" s="1277"/>
      <c r="I1248" s="1280"/>
    </row>
    <row r="1249" spans="1:9" hidden="1">
      <c r="A1249" s="428" t="s">
        <v>6268</v>
      </c>
      <c r="B1249" s="413" t="s">
        <v>146</v>
      </c>
      <c r="C1249" s="265">
        <v>1</v>
      </c>
      <c r="D1249" s="413" t="s">
        <v>6761</v>
      </c>
      <c r="E1249" s="413" t="s">
        <v>6358</v>
      </c>
      <c r="F1249" s="413" t="s">
        <v>6762</v>
      </c>
      <c r="G1249" s="413"/>
      <c r="H1249" s="1277"/>
      <c r="I1249" s="1280"/>
    </row>
    <row r="1250" spans="1:9" hidden="1">
      <c r="A1250" s="428" t="s">
        <v>6268</v>
      </c>
      <c r="B1250" s="413" t="s">
        <v>146</v>
      </c>
      <c r="C1250" s="265">
        <v>1</v>
      </c>
      <c r="D1250" s="413" t="s">
        <v>6763</v>
      </c>
      <c r="E1250" s="413" t="s">
        <v>6358</v>
      </c>
      <c r="F1250" s="413" t="s">
        <v>6764</v>
      </c>
      <c r="G1250" s="413"/>
      <c r="H1250" s="1277"/>
      <c r="I1250" s="1280"/>
    </row>
    <row r="1251" spans="1:9" hidden="1">
      <c r="A1251" s="428" t="s">
        <v>6268</v>
      </c>
      <c r="B1251" s="413" t="s">
        <v>146</v>
      </c>
      <c r="C1251" s="265">
        <v>1</v>
      </c>
      <c r="D1251" s="413" t="s">
        <v>6765</v>
      </c>
      <c r="E1251" s="413" t="s">
        <v>6380</v>
      </c>
      <c r="F1251" s="413" t="s">
        <v>6766</v>
      </c>
      <c r="G1251" s="413"/>
      <c r="H1251" s="1277"/>
      <c r="I1251" s="1280"/>
    </row>
    <row r="1252" spans="1:9" hidden="1">
      <c r="A1252" s="428" t="s">
        <v>6268</v>
      </c>
      <c r="B1252" s="413" t="s">
        <v>146</v>
      </c>
      <c r="C1252" s="265">
        <v>1</v>
      </c>
      <c r="D1252" s="413" t="s">
        <v>6767</v>
      </c>
      <c r="E1252" s="413" t="s">
        <v>6358</v>
      </c>
      <c r="F1252" s="413" t="s">
        <v>6768</v>
      </c>
      <c r="G1252" s="413"/>
      <c r="H1252" s="1277"/>
      <c r="I1252" s="1280"/>
    </row>
    <row r="1253" spans="1:9" hidden="1">
      <c r="A1253" s="428" t="s">
        <v>6268</v>
      </c>
      <c r="B1253" s="413" t="s">
        <v>146</v>
      </c>
      <c r="C1253" s="265">
        <v>1</v>
      </c>
      <c r="D1253" s="413" t="s">
        <v>6769</v>
      </c>
      <c r="E1253" s="413" t="s">
        <v>6358</v>
      </c>
      <c r="F1253" s="413" t="s">
        <v>6770</v>
      </c>
      <c r="G1253" s="413"/>
      <c r="H1253" s="1277"/>
      <c r="I1253" s="1280"/>
    </row>
    <row r="1254" spans="1:9" hidden="1">
      <c r="A1254" s="428" t="s">
        <v>6268</v>
      </c>
      <c r="B1254" s="413" t="s">
        <v>146</v>
      </c>
      <c r="C1254" s="265">
        <v>1</v>
      </c>
      <c r="D1254" s="413" t="s">
        <v>6771</v>
      </c>
      <c r="E1254" s="413" t="s">
        <v>6358</v>
      </c>
      <c r="F1254" s="413" t="s">
        <v>6772</v>
      </c>
      <c r="G1254" s="413"/>
      <c r="H1254" s="1277"/>
      <c r="I1254" s="1280"/>
    </row>
    <row r="1255" spans="1:9" hidden="1">
      <c r="A1255" s="428" t="s">
        <v>6268</v>
      </c>
      <c r="B1255" s="413" t="s">
        <v>146</v>
      </c>
      <c r="C1255" s="265">
        <v>1</v>
      </c>
      <c r="D1255" s="413" t="s">
        <v>6773</v>
      </c>
      <c r="E1255" s="413" t="s">
        <v>6358</v>
      </c>
      <c r="F1255" s="413" t="s">
        <v>6774</v>
      </c>
      <c r="G1255" s="413"/>
      <c r="H1255" s="1277"/>
      <c r="I1255" s="1280"/>
    </row>
    <row r="1256" spans="1:9" hidden="1">
      <c r="A1256" s="428" t="s">
        <v>6268</v>
      </c>
      <c r="B1256" s="413" t="s">
        <v>146</v>
      </c>
      <c r="C1256" s="265">
        <v>1</v>
      </c>
      <c r="D1256" s="413" t="s">
        <v>6775</v>
      </c>
      <c r="E1256" s="413" t="s">
        <v>6358</v>
      </c>
      <c r="F1256" s="413" t="s">
        <v>6776</v>
      </c>
      <c r="G1256" s="413"/>
      <c r="H1256" s="1277"/>
      <c r="I1256" s="1280"/>
    </row>
    <row r="1257" spans="1:9" hidden="1">
      <c r="A1257" s="428" t="s">
        <v>6268</v>
      </c>
      <c r="B1257" s="413" t="s">
        <v>146</v>
      </c>
      <c r="C1257" s="265">
        <v>1</v>
      </c>
      <c r="D1257" s="413" t="s">
        <v>6777</v>
      </c>
      <c r="E1257" s="413" t="s">
        <v>6358</v>
      </c>
      <c r="F1257" s="413" t="s">
        <v>6778</v>
      </c>
      <c r="G1257" s="413"/>
      <c r="H1257" s="1277"/>
      <c r="I1257" s="1280"/>
    </row>
    <row r="1258" spans="1:9" hidden="1">
      <c r="A1258" s="428" t="s">
        <v>6268</v>
      </c>
      <c r="B1258" s="413" t="s">
        <v>146</v>
      </c>
      <c r="C1258" s="265">
        <v>1</v>
      </c>
      <c r="D1258" s="413" t="s">
        <v>6779</v>
      </c>
      <c r="E1258" s="413" t="s">
        <v>6358</v>
      </c>
      <c r="F1258" s="413" t="s">
        <v>6780</v>
      </c>
      <c r="G1258" s="413"/>
      <c r="H1258" s="1277"/>
      <c r="I1258" s="1280"/>
    </row>
    <row r="1259" spans="1:9" hidden="1">
      <c r="A1259" s="428" t="s">
        <v>6268</v>
      </c>
      <c r="B1259" s="413" t="s">
        <v>146</v>
      </c>
      <c r="C1259" s="265">
        <v>1</v>
      </c>
      <c r="D1259" s="413" t="s">
        <v>6781</v>
      </c>
      <c r="E1259" s="413" t="s">
        <v>6358</v>
      </c>
      <c r="F1259" s="413" t="s">
        <v>6782</v>
      </c>
      <c r="G1259" s="413"/>
      <c r="H1259" s="1277"/>
      <c r="I1259" s="1280"/>
    </row>
    <row r="1260" spans="1:9" hidden="1">
      <c r="A1260" s="428" t="s">
        <v>6268</v>
      </c>
      <c r="B1260" s="413" t="s">
        <v>146</v>
      </c>
      <c r="C1260" s="265">
        <v>1</v>
      </c>
      <c r="D1260" s="413" t="s">
        <v>6783</v>
      </c>
      <c r="E1260" s="413" t="s">
        <v>6358</v>
      </c>
      <c r="F1260" s="413" t="s">
        <v>6784</v>
      </c>
      <c r="G1260" s="413"/>
      <c r="H1260" s="1277"/>
      <c r="I1260" s="1280"/>
    </row>
    <row r="1261" spans="1:9" hidden="1">
      <c r="A1261" s="428" t="s">
        <v>6268</v>
      </c>
      <c r="B1261" s="413" t="s">
        <v>146</v>
      </c>
      <c r="C1261" s="265">
        <v>1</v>
      </c>
      <c r="D1261" s="413" t="s">
        <v>6785</v>
      </c>
      <c r="E1261" s="413" t="s">
        <v>6358</v>
      </c>
      <c r="F1261" s="413" t="s">
        <v>6786</v>
      </c>
      <c r="G1261" s="413"/>
      <c r="H1261" s="1277"/>
      <c r="I1261" s="1280"/>
    </row>
    <row r="1262" spans="1:9" hidden="1">
      <c r="A1262" s="428" t="s">
        <v>6268</v>
      </c>
      <c r="B1262" s="413" t="s">
        <v>146</v>
      </c>
      <c r="C1262" s="265">
        <v>1</v>
      </c>
      <c r="D1262" s="413" t="s">
        <v>6787</v>
      </c>
      <c r="E1262" s="413" t="s">
        <v>6380</v>
      </c>
      <c r="F1262" s="413" t="s">
        <v>6788</v>
      </c>
      <c r="G1262" s="413"/>
      <c r="H1262" s="1277"/>
      <c r="I1262" s="1280"/>
    </row>
    <row r="1263" spans="1:9" hidden="1">
      <c r="A1263" s="428" t="s">
        <v>6268</v>
      </c>
      <c r="B1263" s="413" t="s">
        <v>146</v>
      </c>
      <c r="C1263" s="265">
        <v>1</v>
      </c>
      <c r="D1263" s="413" t="s">
        <v>6789</v>
      </c>
      <c r="E1263" s="413" t="s">
        <v>6380</v>
      </c>
      <c r="F1263" s="413" t="s">
        <v>6790</v>
      </c>
      <c r="G1263" s="413"/>
      <c r="H1263" s="1277"/>
      <c r="I1263" s="1280"/>
    </row>
    <row r="1264" spans="1:9" hidden="1">
      <c r="A1264" s="428" t="s">
        <v>6268</v>
      </c>
      <c r="B1264" s="413" t="s">
        <v>146</v>
      </c>
      <c r="C1264" s="265">
        <v>1</v>
      </c>
      <c r="D1264" s="413" t="s">
        <v>6791</v>
      </c>
      <c r="E1264" s="413" t="s">
        <v>6380</v>
      </c>
      <c r="F1264" s="413" t="s">
        <v>6792</v>
      </c>
      <c r="G1264" s="413"/>
      <c r="H1264" s="1277"/>
      <c r="I1264" s="1280"/>
    </row>
    <row r="1265" spans="1:9" hidden="1">
      <c r="A1265" s="428" t="s">
        <v>6268</v>
      </c>
      <c r="B1265" s="413" t="s">
        <v>146</v>
      </c>
      <c r="C1265" s="265">
        <v>1</v>
      </c>
      <c r="D1265" s="413" t="s">
        <v>6793</v>
      </c>
      <c r="E1265" s="413" t="s">
        <v>6380</v>
      </c>
      <c r="F1265" s="413" t="s">
        <v>6794</v>
      </c>
      <c r="G1265" s="413"/>
      <c r="H1265" s="1277"/>
      <c r="I1265" s="1280"/>
    </row>
    <row r="1266" spans="1:9" hidden="1">
      <c r="A1266" s="428" t="s">
        <v>6268</v>
      </c>
      <c r="B1266" s="413" t="s">
        <v>146</v>
      </c>
      <c r="C1266" s="265">
        <v>1</v>
      </c>
      <c r="D1266" s="413" t="s">
        <v>6795</v>
      </c>
      <c r="E1266" s="413" t="s">
        <v>6380</v>
      </c>
      <c r="F1266" s="413" t="s">
        <v>6796</v>
      </c>
      <c r="G1266" s="413"/>
      <c r="H1266" s="1277"/>
      <c r="I1266" s="1280"/>
    </row>
    <row r="1267" spans="1:9" hidden="1">
      <c r="A1267" s="428" t="s">
        <v>6268</v>
      </c>
      <c r="B1267" s="413" t="s">
        <v>146</v>
      </c>
      <c r="C1267" s="265">
        <v>1</v>
      </c>
      <c r="D1267" s="413" t="s">
        <v>6797</v>
      </c>
      <c r="E1267" s="413" t="s">
        <v>6380</v>
      </c>
      <c r="F1267" s="413" t="s">
        <v>6798</v>
      </c>
      <c r="G1267" s="413"/>
      <c r="H1267" s="1277"/>
      <c r="I1267" s="1280"/>
    </row>
    <row r="1268" spans="1:9" hidden="1">
      <c r="A1268" s="428" t="s">
        <v>6268</v>
      </c>
      <c r="B1268" s="413" t="s">
        <v>146</v>
      </c>
      <c r="C1268" s="265">
        <v>1</v>
      </c>
      <c r="D1268" s="413" t="s">
        <v>6799</v>
      </c>
      <c r="E1268" s="413" t="s">
        <v>6380</v>
      </c>
      <c r="F1268" s="413" t="s">
        <v>6800</v>
      </c>
      <c r="G1268" s="413"/>
      <c r="H1268" s="1277"/>
      <c r="I1268" s="1280"/>
    </row>
    <row r="1269" spans="1:9" hidden="1">
      <c r="A1269" s="428" t="s">
        <v>6268</v>
      </c>
      <c r="B1269" s="413" t="s">
        <v>146</v>
      </c>
      <c r="C1269" s="265">
        <v>1</v>
      </c>
      <c r="D1269" s="413" t="s">
        <v>6801</v>
      </c>
      <c r="E1269" s="413" t="s">
        <v>6380</v>
      </c>
      <c r="F1269" s="413" t="s">
        <v>6802</v>
      </c>
      <c r="G1269" s="413"/>
      <c r="H1269" s="1277"/>
      <c r="I1269" s="1280"/>
    </row>
    <row r="1270" spans="1:9" hidden="1">
      <c r="A1270" s="428" t="s">
        <v>6268</v>
      </c>
      <c r="B1270" s="413" t="s">
        <v>146</v>
      </c>
      <c r="C1270" s="265">
        <v>1</v>
      </c>
      <c r="D1270" s="413" t="s">
        <v>6803</v>
      </c>
      <c r="E1270" s="413" t="s">
        <v>6380</v>
      </c>
      <c r="F1270" s="413" t="s">
        <v>6804</v>
      </c>
      <c r="G1270" s="413"/>
      <c r="H1270" s="1277"/>
      <c r="I1270" s="1280"/>
    </row>
    <row r="1271" spans="1:9" hidden="1">
      <c r="A1271" s="428" t="s">
        <v>6268</v>
      </c>
      <c r="B1271" s="413" t="s">
        <v>146</v>
      </c>
      <c r="C1271" s="265">
        <v>1</v>
      </c>
      <c r="D1271" s="413" t="s">
        <v>6805</v>
      </c>
      <c r="E1271" s="413" t="s">
        <v>6380</v>
      </c>
      <c r="F1271" s="413" t="s">
        <v>6806</v>
      </c>
      <c r="G1271" s="413"/>
      <c r="H1271" s="1277"/>
      <c r="I1271" s="1280"/>
    </row>
    <row r="1272" spans="1:9" hidden="1">
      <c r="A1272" s="428" t="s">
        <v>6268</v>
      </c>
      <c r="B1272" s="413" t="s">
        <v>146</v>
      </c>
      <c r="C1272" s="265">
        <v>1</v>
      </c>
      <c r="D1272" s="413" t="s">
        <v>6807</v>
      </c>
      <c r="E1272" s="413" t="s">
        <v>6380</v>
      </c>
      <c r="F1272" s="413" t="s">
        <v>6808</v>
      </c>
      <c r="G1272" s="413"/>
      <c r="H1272" s="1277"/>
      <c r="I1272" s="1280"/>
    </row>
    <row r="1273" spans="1:9" hidden="1">
      <c r="A1273" s="428" t="s">
        <v>6268</v>
      </c>
      <c r="B1273" s="413" t="s">
        <v>146</v>
      </c>
      <c r="C1273" s="265">
        <v>1</v>
      </c>
      <c r="D1273" s="413" t="s">
        <v>6809</v>
      </c>
      <c r="E1273" s="413" t="s">
        <v>6380</v>
      </c>
      <c r="F1273" s="413" t="s">
        <v>6810</v>
      </c>
      <c r="G1273" s="413"/>
      <c r="H1273" s="1277"/>
      <c r="I1273" s="1280"/>
    </row>
    <row r="1274" spans="1:9" hidden="1">
      <c r="A1274" s="428" t="s">
        <v>6268</v>
      </c>
      <c r="B1274" s="413" t="s">
        <v>146</v>
      </c>
      <c r="C1274" s="265">
        <v>1</v>
      </c>
      <c r="D1274" s="413" t="s">
        <v>6811</v>
      </c>
      <c r="E1274" s="413" t="s">
        <v>6380</v>
      </c>
      <c r="F1274" s="413" t="s">
        <v>6812</v>
      </c>
      <c r="G1274" s="413"/>
      <c r="H1274" s="1277"/>
      <c r="I1274" s="1280"/>
    </row>
    <row r="1275" spans="1:9" hidden="1">
      <c r="A1275" s="428" t="s">
        <v>6268</v>
      </c>
      <c r="B1275" s="413" t="s">
        <v>146</v>
      </c>
      <c r="C1275" s="265">
        <v>1</v>
      </c>
      <c r="D1275" s="413" t="s">
        <v>6813</v>
      </c>
      <c r="E1275" s="413" t="s">
        <v>6380</v>
      </c>
      <c r="F1275" s="413" t="s">
        <v>6814</v>
      </c>
      <c r="G1275" s="413"/>
      <c r="H1275" s="1277"/>
      <c r="I1275" s="1280"/>
    </row>
    <row r="1276" spans="1:9" hidden="1">
      <c r="A1276" s="428" t="s">
        <v>6268</v>
      </c>
      <c r="B1276" s="413" t="s">
        <v>146</v>
      </c>
      <c r="C1276" s="265">
        <v>1</v>
      </c>
      <c r="D1276" s="413" t="s">
        <v>6815</v>
      </c>
      <c r="E1276" s="413" t="s">
        <v>6380</v>
      </c>
      <c r="F1276" s="413" t="s">
        <v>6816</v>
      </c>
      <c r="G1276" s="413"/>
      <c r="H1276" s="1277"/>
      <c r="I1276" s="1280"/>
    </row>
    <row r="1277" spans="1:9" hidden="1">
      <c r="A1277" s="428" t="s">
        <v>6268</v>
      </c>
      <c r="B1277" s="413" t="s">
        <v>146</v>
      </c>
      <c r="C1277" s="265">
        <v>1</v>
      </c>
      <c r="D1277" s="413" t="s">
        <v>6817</v>
      </c>
      <c r="E1277" s="413" t="s">
        <v>6380</v>
      </c>
      <c r="F1277" s="413" t="s">
        <v>6818</v>
      </c>
      <c r="G1277" s="413"/>
      <c r="H1277" s="1277"/>
      <c r="I1277" s="1280"/>
    </row>
    <row r="1278" spans="1:9" hidden="1">
      <c r="A1278" s="428" t="s">
        <v>6268</v>
      </c>
      <c r="B1278" s="413" t="s">
        <v>146</v>
      </c>
      <c r="C1278" s="265">
        <v>1</v>
      </c>
      <c r="D1278" s="413" t="s">
        <v>6819</v>
      </c>
      <c r="E1278" s="413" t="s">
        <v>6380</v>
      </c>
      <c r="F1278" s="413" t="s">
        <v>6820</v>
      </c>
      <c r="G1278" s="413"/>
      <c r="H1278" s="1277"/>
      <c r="I1278" s="1280"/>
    </row>
    <row r="1279" spans="1:9" hidden="1">
      <c r="A1279" s="428" t="s">
        <v>6268</v>
      </c>
      <c r="B1279" s="413" t="s">
        <v>146</v>
      </c>
      <c r="C1279" s="265">
        <v>1</v>
      </c>
      <c r="D1279" s="413" t="s">
        <v>6821</v>
      </c>
      <c r="E1279" s="413" t="s">
        <v>6380</v>
      </c>
      <c r="F1279" s="413" t="s">
        <v>6822</v>
      </c>
      <c r="G1279" s="413"/>
      <c r="H1279" s="1277"/>
      <c r="I1279" s="1280"/>
    </row>
    <row r="1280" spans="1:9" hidden="1">
      <c r="A1280" s="428" t="s">
        <v>6268</v>
      </c>
      <c r="B1280" s="413" t="s">
        <v>146</v>
      </c>
      <c r="C1280" s="265">
        <v>1</v>
      </c>
      <c r="D1280" s="413" t="s">
        <v>6823</v>
      </c>
      <c r="E1280" s="413" t="s">
        <v>6380</v>
      </c>
      <c r="F1280" s="413" t="s">
        <v>6824</v>
      </c>
      <c r="G1280" s="413"/>
      <c r="H1280" s="1277"/>
      <c r="I1280" s="1280"/>
    </row>
    <row r="1281" spans="1:9" hidden="1">
      <c r="A1281" s="428" t="s">
        <v>6268</v>
      </c>
      <c r="B1281" s="413" t="s">
        <v>146</v>
      </c>
      <c r="C1281" s="265">
        <v>1</v>
      </c>
      <c r="D1281" s="413" t="s">
        <v>6825</v>
      </c>
      <c r="E1281" s="413" t="s">
        <v>6380</v>
      </c>
      <c r="F1281" s="413" t="s">
        <v>6826</v>
      </c>
      <c r="G1281" s="413"/>
      <c r="H1281" s="1277"/>
      <c r="I1281" s="1280"/>
    </row>
    <row r="1282" spans="1:9" hidden="1">
      <c r="A1282" s="428" t="s">
        <v>6268</v>
      </c>
      <c r="B1282" s="413" t="s">
        <v>146</v>
      </c>
      <c r="C1282" s="265">
        <v>1</v>
      </c>
      <c r="D1282" s="413" t="s">
        <v>6827</v>
      </c>
      <c r="E1282" s="413" t="s">
        <v>6380</v>
      </c>
      <c r="F1282" s="413" t="s">
        <v>6828</v>
      </c>
      <c r="G1282" s="413"/>
      <c r="H1282" s="1277"/>
      <c r="I1282" s="1280"/>
    </row>
    <row r="1283" spans="1:9" hidden="1">
      <c r="A1283" s="428" t="s">
        <v>6268</v>
      </c>
      <c r="B1283" s="413" t="s">
        <v>146</v>
      </c>
      <c r="C1283" s="265">
        <v>1</v>
      </c>
      <c r="D1283" s="413" t="s">
        <v>6829</v>
      </c>
      <c r="E1283" s="413" t="s">
        <v>6380</v>
      </c>
      <c r="F1283" s="413" t="s">
        <v>6830</v>
      </c>
      <c r="G1283" s="413"/>
      <c r="H1283" s="1277"/>
      <c r="I1283" s="1280"/>
    </row>
    <row r="1284" spans="1:9" hidden="1">
      <c r="A1284" s="428" t="s">
        <v>6268</v>
      </c>
      <c r="B1284" s="413" t="s">
        <v>146</v>
      </c>
      <c r="C1284" s="265">
        <v>1</v>
      </c>
      <c r="D1284" s="413" t="s">
        <v>6831</v>
      </c>
      <c r="E1284" s="413" t="s">
        <v>6380</v>
      </c>
      <c r="F1284" s="413" t="s">
        <v>6832</v>
      </c>
      <c r="G1284" s="413"/>
      <c r="H1284" s="1277"/>
      <c r="I1284" s="1280"/>
    </row>
    <row r="1285" spans="1:9" hidden="1">
      <c r="A1285" s="428" t="s">
        <v>6268</v>
      </c>
      <c r="B1285" s="413" t="s">
        <v>146</v>
      </c>
      <c r="C1285" s="265">
        <v>1</v>
      </c>
      <c r="D1285" s="413" t="s">
        <v>6833</v>
      </c>
      <c r="E1285" s="413" t="s">
        <v>6380</v>
      </c>
      <c r="F1285" s="413" t="s">
        <v>6834</v>
      </c>
      <c r="G1285" s="413"/>
      <c r="H1285" s="1277"/>
      <c r="I1285" s="1280"/>
    </row>
    <row r="1286" spans="1:9" hidden="1">
      <c r="A1286" s="428" t="s">
        <v>6268</v>
      </c>
      <c r="B1286" s="413" t="s">
        <v>146</v>
      </c>
      <c r="C1286" s="265">
        <v>1</v>
      </c>
      <c r="D1286" s="413" t="s">
        <v>6835</v>
      </c>
      <c r="E1286" s="413" t="s">
        <v>6380</v>
      </c>
      <c r="F1286" s="413" t="s">
        <v>6836</v>
      </c>
      <c r="G1286" s="413"/>
      <c r="H1286" s="1277"/>
      <c r="I1286" s="1280"/>
    </row>
    <row r="1287" spans="1:9" hidden="1">
      <c r="A1287" s="428" t="s">
        <v>6268</v>
      </c>
      <c r="B1287" s="413" t="s">
        <v>146</v>
      </c>
      <c r="C1287" s="265">
        <v>1</v>
      </c>
      <c r="D1287" s="413" t="s">
        <v>6837</v>
      </c>
      <c r="E1287" s="413" t="s">
        <v>6380</v>
      </c>
      <c r="F1287" s="413" t="s">
        <v>6838</v>
      </c>
      <c r="G1287" s="413"/>
      <c r="H1287" s="1277"/>
      <c r="I1287" s="1280"/>
    </row>
    <row r="1288" spans="1:9" hidden="1">
      <c r="A1288" s="428" t="s">
        <v>6268</v>
      </c>
      <c r="B1288" s="413" t="s">
        <v>146</v>
      </c>
      <c r="C1288" s="265">
        <v>1</v>
      </c>
      <c r="D1288" s="413" t="s">
        <v>6839</v>
      </c>
      <c r="E1288" s="413" t="s">
        <v>6380</v>
      </c>
      <c r="F1288" s="413" t="s">
        <v>6840</v>
      </c>
      <c r="G1288" s="413"/>
      <c r="H1288" s="1277"/>
      <c r="I1288" s="1280"/>
    </row>
    <row r="1289" spans="1:9" hidden="1">
      <c r="A1289" s="428" t="s">
        <v>6268</v>
      </c>
      <c r="B1289" s="413" t="s">
        <v>146</v>
      </c>
      <c r="C1289" s="265">
        <v>1</v>
      </c>
      <c r="D1289" s="413" t="s">
        <v>6841</v>
      </c>
      <c r="E1289" s="413" t="s">
        <v>6380</v>
      </c>
      <c r="F1289" s="413" t="s">
        <v>6842</v>
      </c>
      <c r="G1289" s="413"/>
      <c r="H1289" s="1277"/>
      <c r="I1289" s="1280"/>
    </row>
    <row r="1290" spans="1:9" hidden="1">
      <c r="A1290" s="428" t="s">
        <v>6268</v>
      </c>
      <c r="B1290" s="413" t="s">
        <v>146</v>
      </c>
      <c r="C1290" s="265">
        <v>1</v>
      </c>
      <c r="D1290" s="413" t="s">
        <v>6843</v>
      </c>
      <c r="E1290" s="413" t="s">
        <v>6380</v>
      </c>
      <c r="F1290" s="413" t="s">
        <v>6844</v>
      </c>
      <c r="G1290" s="413"/>
      <c r="H1290" s="1277"/>
      <c r="I1290" s="1280"/>
    </row>
    <row r="1291" spans="1:9" hidden="1">
      <c r="A1291" s="428" t="s">
        <v>6268</v>
      </c>
      <c r="B1291" s="413" t="s">
        <v>146</v>
      </c>
      <c r="C1291" s="265">
        <v>1</v>
      </c>
      <c r="D1291" s="413" t="s">
        <v>6845</v>
      </c>
      <c r="E1291" s="413" t="s">
        <v>6380</v>
      </c>
      <c r="F1291" s="413" t="s">
        <v>6846</v>
      </c>
      <c r="G1291" s="413"/>
      <c r="H1291" s="1277"/>
      <c r="I1291" s="1280"/>
    </row>
    <row r="1292" spans="1:9" hidden="1">
      <c r="A1292" s="428" t="s">
        <v>6268</v>
      </c>
      <c r="B1292" s="413" t="s">
        <v>146</v>
      </c>
      <c r="C1292" s="265">
        <v>1</v>
      </c>
      <c r="D1292" s="413" t="s">
        <v>6847</v>
      </c>
      <c r="E1292" s="413" t="s">
        <v>6380</v>
      </c>
      <c r="F1292" s="413" t="s">
        <v>6848</v>
      </c>
      <c r="G1292" s="413"/>
      <c r="H1292" s="1277"/>
      <c r="I1292" s="1280"/>
    </row>
    <row r="1293" spans="1:9" hidden="1">
      <c r="A1293" s="428" t="s">
        <v>6268</v>
      </c>
      <c r="B1293" s="413" t="s">
        <v>146</v>
      </c>
      <c r="C1293" s="265">
        <v>1</v>
      </c>
      <c r="D1293" s="413" t="s">
        <v>6849</v>
      </c>
      <c r="E1293" s="413" t="s">
        <v>6380</v>
      </c>
      <c r="F1293" s="413" t="s">
        <v>6850</v>
      </c>
      <c r="G1293" s="413"/>
      <c r="H1293" s="1277"/>
      <c r="I1293" s="1280"/>
    </row>
    <row r="1294" spans="1:9" hidden="1">
      <c r="A1294" s="428" t="s">
        <v>6268</v>
      </c>
      <c r="B1294" s="413" t="s">
        <v>146</v>
      </c>
      <c r="C1294" s="265">
        <v>1</v>
      </c>
      <c r="D1294" s="413" t="s">
        <v>6851</v>
      </c>
      <c r="E1294" s="413" t="s">
        <v>6380</v>
      </c>
      <c r="F1294" s="413" t="s">
        <v>6852</v>
      </c>
      <c r="G1294" s="413"/>
      <c r="H1294" s="1277"/>
      <c r="I1294" s="1280"/>
    </row>
    <row r="1295" spans="1:9" hidden="1">
      <c r="A1295" s="428" t="s">
        <v>6268</v>
      </c>
      <c r="B1295" s="413" t="s">
        <v>146</v>
      </c>
      <c r="C1295" s="265">
        <v>1</v>
      </c>
      <c r="D1295" s="413" t="s">
        <v>6853</v>
      </c>
      <c r="E1295" s="413" t="s">
        <v>6380</v>
      </c>
      <c r="F1295" s="413" t="s">
        <v>6854</v>
      </c>
      <c r="G1295" s="413"/>
      <c r="H1295" s="1277"/>
      <c r="I1295" s="1280"/>
    </row>
    <row r="1296" spans="1:9" hidden="1">
      <c r="A1296" s="428" t="s">
        <v>6268</v>
      </c>
      <c r="B1296" s="413" t="s">
        <v>146</v>
      </c>
      <c r="C1296" s="265">
        <v>1</v>
      </c>
      <c r="D1296" s="413" t="s">
        <v>6855</v>
      </c>
      <c r="E1296" s="413" t="s">
        <v>6380</v>
      </c>
      <c r="F1296" s="413" t="s">
        <v>6856</v>
      </c>
      <c r="G1296" s="413"/>
      <c r="H1296" s="1277"/>
      <c r="I1296" s="1280"/>
    </row>
    <row r="1297" spans="1:9" hidden="1">
      <c r="A1297" s="428" t="s">
        <v>6268</v>
      </c>
      <c r="B1297" s="413" t="s">
        <v>146</v>
      </c>
      <c r="C1297" s="265">
        <v>1</v>
      </c>
      <c r="D1297" s="413" t="s">
        <v>6857</v>
      </c>
      <c r="E1297" s="413" t="s">
        <v>6380</v>
      </c>
      <c r="F1297" s="413" t="s">
        <v>6858</v>
      </c>
      <c r="G1297" s="413"/>
      <c r="H1297" s="1277"/>
      <c r="I1297" s="1280"/>
    </row>
    <row r="1298" spans="1:9" hidden="1">
      <c r="A1298" s="428" t="s">
        <v>6268</v>
      </c>
      <c r="B1298" s="413" t="s">
        <v>146</v>
      </c>
      <c r="C1298" s="265">
        <v>1</v>
      </c>
      <c r="D1298" s="413" t="s">
        <v>6859</v>
      </c>
      <c r="E1298" s="413" t="s">
        <v>6380</v>
      </c>
      <c r="F1298" s="413" t="s">
        <v>6860</v>
      </c>
      <c r="G1298" s="413"/>
      <c r="H1298" s="1277"/>
      <c r="I1298" s="1280"/>
    </row>
    <row r="1299" spans="1:9" hidden="1">
      <c r="A1299" s="428" t="s">
        <v>6268</v>
      </c>
      <c r="B1299" s="413" t="s">
        <v>146</v>
      </c>
      <c r="C1299" s="265">
        <v>1</v>
      </c>
      <c r="D1299" s="413" t="s">
        <v>6861</v>
      </c>
      <c r="E1299" s="413" t="s">
        <v>6380</v>
      </c>
      <c r="F1299" s="413" t="s">
        <v>6862</v>
      </c>
      <c r="G1299" s="413"/>
      <c r="H1299" s="1277"/>
      <c r="I1299" s="1280"/>
    </row>
    <row r="1300" spans="1:9" hidden="1">
      <c r="A1300" s="428" t="s">
        <v>6268</v>
      </c>
      <c r="B1300" s="413" t="s">
        <v>146</v>
      </c>
      <c r="C1300" s="265">
        <v>1</v>
      </c>
      <c r="D1300" s="413" t="s">
        <v>6863</v>
      </c>
      <c r="E1300" s="413" t="s">
        <v>6380</v>
      </c>
      <c r="F1300" s="413" t="s">
        <v>6864</v>
      </c>
      <c r="G1300" s="413"/>
      <c r="H1300" s="1277"/>
      <c r="I1300" s="1280"/>
    </row>
    <row r="1301" spans="1:9" hidden="1">
      <c r="A1301" s="428" t="s">
        <v>6268</v>
      </c>
      <c r="B1301" s="413" t="s">
        <v>146</v>
      </c>
      <c r="C1301" s="265">
        <v>1</v>
      </c>
      <c r="D1301" s="413" t="s">
        <v>6865</v>
      </c>
      <c r="E1301" s="413" t="s">
        <v>6380</v>
      </c>
      <c r="F1301" s="413" t="s">
        <v>6866</v>
      </c>
      <c r="G1301" s="413"/>
      <c r="H1301" s="1277"/>
      <c r="I1301" s="1280"/>
    </row>
    <row r="1302" spans="1:9" hidden="1">
      <c r="A1302" s="428" t="s">
        <v>6268</v>
      </c>
      <c r="B1302" s="413" t="s">
        <v>146</v>
      </c>
      <c r="C1302" s="265">
        <v>1</v>
      </c>
      <c r="D1302" s="413" t="s">
        <v>6867</v>
      </c>
      <c r="E1302" s="413" t="s">
        <v>6380</v>
      </c>
      <c r="F1302" s="413" t="s">
        <v>6868</v>
      </c>
      <c r="G1302" s="413"/>
      <c r="H1302" s="1277"/>
      <c r="I1302" s="1280"/>
    </row>
    <row r="1303" spans="1:9" hidden="1">
      <c r="A1303" s="428" t="s">
        <v>6268</v>
      </c>
      <c r="B1303" s="413" t="s">
        <v>146</v>
      </c>
      <c r="C1303" s="265">
        <v>1</v>
      </c>
      <c r="D1303" s="413" t="s">
        <v>6869</v>
      </c>
      <c r="E1303" s="413" t="s">
        <v>6380</v>
      </c>
      <c r="F1303" s="413" t="s">
        <v>6870</v>
      </c>
      <c r="G1303" s="413"/>
      <c r="H1303" s="1277"/>
      <c r="I1303" s="1280"/>
    </row>
    <row r="1304" spans="1:9" hidden="1">
      <c r="A1304" s="428" t="s">
        <v>6268</v>
      </c>
      <c r="B1304" s="413" t="s">
        <v>146</v>
      </c>
      <c r="C1304" s="265">
        <v>1</v>
      </c>
      <c r="D1304" s="413" t="s">
        <v>6871</v>
      </c>
      <c r="E1304" s="413" t="s">
        <v>6380</v>
      </c>
      <c r="F1304" s="413" t="s">
        <v>6872</v>
      </c>
      <c r="G1304" s="413"/>
      <c r="H1304" s="1277"/>
      <c r="I1304" s="1280"/>
    </row>
    <row r="1305" spans="1:9" hidden="1">
      <c r="A1305" s="428" t="s">
        <v>6268</v>
      </c>
      <c r="B1305" s="413" t="s">
        <v>146</v>
      </c>
      <c r="C1305" s="265">
        <v>1</v>
      </c>
      <c r="D1305" s="413" t="s">
        <v>6873</v>
      </c>
      <c r="E1305" s="413" t="s">
        <v>6380</v>
      </c>
      <c r="F1305" s="413" t="s">
        <v>6874</v>
      </c>
      <c r="G1305" s="413"/>
      <c r="H1305" s="1277"/>
      <c r="I1305" s="1280"/>
    </row>
    <row r="1306" spans="1:9" hidden="1">
      <c r="A1306" s="428" t="s">
        <v>6268</v>
      </c>
      <c r="B1306" s="413" t="s">
        <v>146</v>
      </c>
      <c r="C1306" s="265">
        <v>1</v>
      </c>
      <c r="D1306" s="413" t="s">
        <v>6875</v>
      </c>
      <c r="E1306" s="413" t="s">
        <v>6380</v>
      </c>
      <c r="F1306" s="413" t="s">
        <v>6876</v>
      </c>
      <c r="G1306" s="413"/>
      <c r="H1306" s="1277"/>
      <c r="I1306" s="1280"/>
    </row>
    <row r="1307" spans="1:9" hidden="1">
      <c r="A1307" s="428" t="s">
        <v>6268</v>
      </c>
      <c r="B1307" s="413" t="s">
        <v>146</v>
      </c>
      <c r="C1307" s="265">
        <v>1</v>
      </c>
      <c r="D1307" s="413" t="s">
        <v>6877</v>
      </c>
      <c r="E1307" s="413" t="s">
        <v>6380</v>
      </c>
      <c r="F1307" s="413" t="s">
        <v>6878</v>
      </c>
      <c r="G1307" s="413"/>
      <c r="H1307" s="1277"/>
      <c r="I1307" s="1280"/>
    </row>
    <row r="1308" spans="1:9" hidden="1">
      <c r="A1308" s="428" t="s">
        <v>6268</v>
      </c>
      <c r="B1308" s="413" t="s">
        <v>146</v>
      </c>
      <c r="C1308" s="265">
        <v>1</v>
      </c>
      <c r="D1308" s="413" t="s">
        <v>6879</v>
      </c>
      <c r="E1308" s="413" t="s">
        <v>6380</v>
      </c>
      <c r="F1308" s="413" t="s">
        <v>6880</v>
      </c>
      <c r="G1308" s="413"/>
      <c r="H1308" s="1277"/>
      <c r="I1308" s="1280"/>
    </row>
    <row r="1309" spans="1:9" hidden="1">
      <c r="A1309" s="428" t="s">
        <v>6268</v>
      </c>
      <c r="B1309" s="413" t="s">
        <v>146</v>
      </c>
      <c r="C1309" s="265">
        <v>1</v>
      </c>
      <c r="D1309" s="413" t="s">
        <v>6881</v>
      </c>
      <c r="E1309" s="413" t="s">
        <v>6380</v>
      </c>
      <c r="F1309" s="413" t="s">
        <v>6882</v>
      </c>
      <c r="G1309" s="413"/>
      <c r="H1309" s="1277"/>
      <c r="I1309" s="1280"/>
    </row>
    <row r="1310" spans="1:9" hidden="1">
      <c r="A1310" s="428" t="s">
        <v>6268</v>
      </c>
      <c r="B1310" s="413" t="s">
        <v>146</v>
      </c>
      <c r="C1310" s="265">
        <v>1</v>
      </c>
      <c r="D1310" s="413" t="s">
        <v>6883</v>
      </c>
      <c r="E1310" s="413" t="s">
        <v>6380</v>
      </c>
      <c r="F1310" s="413" t="s">
        <v>6884</v>
      </c>
      <c r="G1310" s="413"/>
      <c r="H1310" s="1277"/>
      <c r="I1310" s="1280"/>
    </row>
    <row r="1311" spans="1:9" hidden="1">
      <c r="A1311" s="428" t="s">
        <v>6268</v>
      </c>
      <c r="B1311" s="413" t="s">
        <v>146</v>
      </c>
      <c r="C1311" s="265">
        <v>1</v>
      </c>
      <c r="D1311" s="413" t="s">
        <v>6885</v>
      </c>
      <c r="E1311" s="413" t="s">
        <v>6380</v>
      </c>
      <c r="F1311" s="413" t="s">
        <v>6886</v>
      </c>
      <c r="G1311" s="413"/>
      <c r="H1311" s="1277"/>
      <c r="I1311" s="1280"/>
    </row>
    <row r="1312" spans="1:9" hidden="1">
      <c r="A1312" s="428" t="s">
        <v>6268</v>
      </c>
      <c r="B1312" s="413" t="s">
        <v>146</v>
      </c>
      <c r="C1312" s="265">
        <v>1</v>
      </c>
      <c r="D1312" s="413" t="s">
        <v>6887</v>
      </c>
      <c r="E1312" s="413" t="s">
        <v>6380</v>
      </c>
      <c r="F1312" s="413" t="s">
        <v>6888</v>
      </c>
      <c r="G1312" s="413"/>
      <c r="H1312" s="1277"/>
      <c r="I1312" s="1280"/>
    </row>
    <row r="1313" spans="1:9" hidden="1">
      <c r="A1313" s="428" t="s">
        <v>6268</v>
      </c>
      <c r="B1313" s="413" t="s">
        <v>146</v>
      </c>
      <c r="C1313" s="265">
        <v>1</v>
      </c>
      <c r="D1313" s="413" t="s">
        <v>6889</v>
      </c>
      <c r="E1313" s="413" t="s">
        <v>6380</v>
      </c>
      <c r="F1313" s="413" t="s">
        <v>6890</v>
      </c>
      <c r="G1313" s="413"/>
      <c r="H1313" s="1277"/>
      <c r="I1313" s="1280"/>
    </row>
    <row r="1314" spans="1:9" hidden="1">
      <c r="A1314" s="428" t="s">
        <v>6268</v>
      </c>
      <c r="B1314" s="413" t="s">
        <v>146</v>
      </c>
      <c r="C1314" s="265">
        <v>1</v>
      </c>
      <c r="D1314" s="413" t="s">
        <v>6891</v>
      </c>
      <c r="E1314" s="413" t="s">
        <v>6380</v>
      </c>
      <c r="F1314" s="413" t="s">
        <v>6892</v>
      </c>
      <c r="G1314" s="413"/>
      <c r="H1314" s="1277"/>
      <c r="I1314" s="1280"/>
    </row>
    <row r="1315" spans="1:9" hidden="1">
      <c r="A1315" s="428" t="s">
        <v>6268</v>
      </c>
      <c r="B1315" s="413" t="s">
        <v>146</v>
      </c>
      <c r="C1315" s="265">
        <v>1</v>
      </c>
      <c r="D1315" s="413" t="s">
        <v>6893</v>
      </c>
      <c r="E1315" s="413" t="s">
        <v>6380</v>
      </c>
      <c r="F1315" s="413" t="s">
        <v>6894</v>
      </c>
      <c r="G1315" s="413"/>
      <c r="H1315" s="1277"/>
      <c r="I1315" s="1280"/>
    </row>
    <row r="1316" spans="1:9" hidden="1">
      <c r="A1316" s="428" t="s">
        <v>6268</v>
      </c>
      <c r="B1316" s="413" t="s">
        <v>146</v>
      </c>
      <c r="C1316" s="265">
        <v>1</v>
      </c>
      <c r="D1316" s="413" t="s">
        <v>6895</v>
      </c>
      <c r="E1316" s="413" t="s">
        <v>6380</v>
      </c>
      <c r="F1316" s="413" t="s">
        <v>6896</v>
      </c>
      <c r="G1316" s="413"/>
      <c r="H1316" s="1277"/>
      <c r="I1316" s="1280"/>
    </row>
    <row r="1317" spans="1:9" hidden="1">
      <c r="A1317" s="428" t="s">
        <v>6268</v>
      </c>
      <c r="B1317" s="413" t="s">
        <v>146</v>
      </c>
      <c r="C1317" s="265">
        <v>1</v>
      </c>
      <c r="D1317" s="413" t="s">
        <v>6897</v>
      </c>
      <c r="E1317" s="413" t="s">
        <v>6380</v>
      </c>
      <c r="F1317" s="413" t="s">
        <v>6898</v>
      </c>
      <c r="G1317" s="413"/>
      <c r="H1317" s="1277"/>
      <c r="I1317" s="1280"/>
    </row>
    <row r="1318" spans="1:9" hidden="1">
      <c r="A1318" s="428" t="s">
        <v>6268</v>
      </c>
      <c r="B1318" s="413" t="s">
        <v>146</v>
      </c>
      <c r="C1318" s="265">
        <v>1</v>
      </c>
      <c r="D1318" s="413" t="s">
        <v>6899</v>
      </c>
      <c r="E1318" s="413" t="s">
        <v>6380</v>
      </c>
      <c r="F1318" s="413" t="s">
        <v>6900</v>
      </c>
      <c r="G1318" s="413"/>
      <c r="H1318" s="1277"/>
      <c r="I1318" s="1280"/>
    </row>
    <row r="1319" spans="1:9" hidden="1">
      <c r="A1319" s="428" t="s">
        <v>6268</v>
      </c>
      <c r="B1319" s="413" t="s">
        <v>146</v>
      </c>
      <c r="C1319" s="265">
        <v>1</v>
      </c>
      <c r="D1319" s="413" t="s">
        <v>6901</v>
      </c>
      <c r="E1319" s="413" t="s">
        <v>6380</v>
      </c>
      <c r="F1319" s="413" t="s">
        <v>6902</v>
      </c>
      <c r="G1319" s="413"/>
      <c r="H1319" s="1277"/>
      <c r="I1319" s="1280"/>
    </row>
    <row r="1320" spans="1:9" hidden="1">
      <c r="A1320" s="428" t="s">
        <v>6268</v>
      </c>
      <c r="B1320" s="413" t="s">
        <v>146</v>
      </c>
      <c r="C1320" s="265">
        <v>1</v>
      </c>
      <c r="D1320" s="413" t="s">
        <v>6903</v>
      </c>
      <c r="E1320" s="413" t="s">
        <v>6380</v>
      </c>
      <c r="F1320" s="413" t="s">
        <v>6904</v>
      </c>
      <c r="G1320" s="413"/>
      <c r="H1320" s="1277"/>
      <c r="I1320" s="1280"/>
    </row>
    <row r="1321" spans="1:9" hidden="1">
      <c r="A1321" s="428" t="s">
        <v>6268</v>
      </c>
      <c r="B1321" s="413" t="s">
        <v>146</v>
      </c>
      <c r="C1321" s="265">
        <v>1</v>
      </c>
      <c r="D1321" s="413" t="s">
        <v>6905</v>
      </c>
      <c r="E1321" s="413" t="s">
        <v>6380</v>
      </c>
      <c r="F1321" s="413" t="s">
        <v>6906</v>
      </c>
      <c r="G1321" s="413"/>
      <c r="H1321" s="1277"/>
      <c r="I1321" s="1280"/>
    </row>
    <row r="1322" spans="1:9" hidden="1">
      <c r="A1322" s="428" t="s">
        <v>6268</v>
      </c>
      <c r="B1322" s="413" t="s">
        <v>146</v>
      </c>
      <c r="C1322" s="265">
        <v>1</v>
      </c>
      <c r="D1322" s="413" t="s">
        <v>6907</v>
      </c>
      <c r="E1322" s="413" t="s">
        <v>6380</v>
      </c>
      <c r="F1322" s="413" t="s">
        <v>6908</v>
      </c>
      <c r="G1322" s="413"/>
      <c r="H1322" s="1277"/>
      <c r="I1322" s="1280"/>
    </row>
    <row r="1323" spans="1:9" hidden="1">
      <c r="A1323" s="428" t="s">
        <v>6268</v>
      </c>
      <c r="B1323" s="413" t="s">
        <v>146</v>
      </c>
      <c r="C1323" s="265">
        <v>1</v>
      </c>
      <c r="D1323" s="413" t="s">
        <v>6909</v>
      </c>
      <c r="E1323" s="413" t="s">
        <v>6380</v>
      </c>
      <c r="F1323" s="413" t="s">
        <v>6910</v>
      </c>
      <c r="G1323" s="413"/>
      <c r="H1323" s="1277"/>
      <c r="I1323" s="1280"/>
    </row>
    <row r="1324" spans="1:9" hidden="1">
      <c r="A1324" s="428" t="s">
        <v>6268</v>
      </c>
      <c r="B1324" s="413" t="s">
        <v>146</v>
      </c>
      <c r="C1324" s="265">
        <v>1</v>
      </c>
      <c r="D1324" s="413" t="s">
        <v>6911</v>
      </c>
      <c r="E1324" s="413" t="s">
        <v>6380</v>
      </c>
      <c r="F1324" s="413" t="s">
        <v>6912</v>
      </c>
      <c r="G1324" s="413"/>
      <c r="H1324" s="1277"/>
      <c r="I1324" s="1280"/>
    </row>
    <row r="1325" spans="1:9" hidden="1">
      <c r="A1325" s="428" t="s">
        <v>6268</v>
      </c>
      <c r="B1325" s="413" t="s">
        <v>146</v>
      </c>
      <c r="C1325" s="265">
        <v>1</v>
      </c>
      <c r="D1325" s="413" t="s">
        <v>6913</v>
      </c>
      <c r="E1325" s="413" t="s">
        <v>6380</v>
      </c>
      <c r="F1325" s="413" t="s">
        <v>6914</v>
      </c>
      <c r="G1325" s="413"/>
      <c r="H1325" s="1277"/>
      <c r="I1325" s="1280"/>
    </row>
    <row r="1326" spans="1:9" hidden="1">
      <c r="A1326" s="428" t="s">
        <v>6268</v>
      </c>
      <c r="B1326" s="413" t="s">
        <v>146</v>
      </c>
      <c r="C1326" s="265">
        <v>1</v>
      </c>
      <c r="D1326" s="413" t="s">
        <v>6915</v>
      </c>
      <c r="E1326" s="413" t="s">
        <v>6380</v>
      </c>
      <c r="F1326" s="413" t="s">
        <v>6916</v>
      </c>
      <c r="G1326" s="413"/>
      <c r="H1326" s="1277"/>
      <c r="I1326" s="1280"/>
    </row>
    <row r="1327" spans="1:9" hidden="1">
      <c r="A1327" s="428" t="s">
        <v>6268</v>
      </c>
      <c r="B1327" s="413" t="s">
        <v>146</v>
      </c>
      <c r="C1327" s="265">
        <v>1</v>
      </c>
      <c r="D1327" s="413" t="s">
        <v>6917</v>
      </c>
      <c r="E1327" s="413" t="s">
        <v>6380</v>
      </c>
      <c r="F1327" s="413" t="s">
        <v>6918</v>
      </c>
      <c r="G1327" s="413"/>
      <c r="H1327" s="1277"/>
      <c r="I1327" s="1280"/>
    </row>
    <row r="1328" spans="1:9" hidden="1">
      <c r="A1328" s="428" t="s">
        <v>6268</v>
      </c>
      <c r="B1328" s="413" t="s">
        <v>146</v>
      </c>
      <c r="C1328" s="265">
        <v>1</v>
      </c>
      <c r="D1328" s="413" t="s">
        <v>6919</v>
      </c>
      <c r="E1328" s="413" t="s">
        <v>6380</v>
      </c>
      <c r="F1328" s="413" t="s">
        <v>6920</v>
      </c>
      <c r="G1328" s="413"/>
      <c r="H1328" s="1277"/>
      <c r="I1328" s="1280"/>
    </row>
    <row r="1329" spans="1:9" hidden="1">
      <c r="A1329" s="428" t="s">
        <v>6268</v>
      </c>
      <c r="B1329" s="413" t="s">
        <v>146</v>
      </c>
      <c r="C1329" s="265">
        <v>1</v>
      </c>
      <c r="D1329" s="413" t="s">
        <v>6921</v>
      </c>
      <c r="E1329" s="413" t="s">
        <v>6380</v>
      </c>
      <c r="F1329" s="413" t="s">
        <v>6922</v>
      </c>
      <c r="G1329" s="413"/>
      <c r="H1329" s="1277"/>
      <c r="I1329" s="1280"/>
    </row>
    <row r="1330" spans="1:9" hidden="1">
      <c r="A1330" s="428" t="s">
        <v>6268</v>
      </c>
      <c r="B1330" s="413" t="s">
        <v>146</v>
      </c>
      <c r="C1330" s="265">
        <v>1</v>
      </c>
      <c r="D1330" s="413" t="s">
        <v>6923</v>
      </c>
      <c r="E1330" s="413" t="s">
        <v>6380</v>
      </c>
      <c r="F1330" s="413" t="s">
        <v>6924</v>
      </c>
      <c r="G1330" s="413"/>
      <c r="H1330" s="1277"/>
      <c r="I1330" s="1280"/>
    </row>
    <row r="1331" spans="1:9" hidden="1">
      <c r="A1331" s="428" t="s">
        <v>6268</v>
      </c>
      <c r="B1331" s="413" t="s">
        <v>146</v>
      </c>
      <c r="C1331" s="265">
        <v>1</v>
      </c>
      <c r="D1331" s="413" t="s">
        <v>6925</v>
      </c>
      <c r="E1331" s="413" t="s">
        <v>6380</v>
      </c>
      <c r="F1331" s="413" t="s">
        <v>6926</v>
      </c>
      <c r="G1331" s="413"/>
      <c r="H1331" s="1277"/>
      <c r="I1331" s="1280"/>
    </row>
    <row r="1332" spans="1:9" hidden="1">
      <c r="A1332" s="428" t="s">
        <v>6268</v>
      </c>
      <c r="B1332" s="413" t="s">
        <v>146</v>
      </c>
      <c r="C1332" s="265">
        <v>1</v>
      </c>
      <c r="D1332" s="413" t="s">
        <v>6927</v>
      </c>
      <c r="E1332" s="413" t="s">
        <v>6380</v>
      </c>
      <c r="F1332" s="413" t="s">
        <v>6928</v>
      </c>
      <c r="G1332" s="413"/>
      <c r="H1332" s="1277"/>
      <c r="I1332" s="1280"/>
    </row>
    <row r="1333" spans="1:9" hidden="1">
      <c r="A1333" s="428" t="s">
        <v>6268</v>
      </c>
      <c r="B1333" s="413" t="s">
        <v>146</v>
      </c>
      <c r="C1333" s="265">
        <v>1</v>
      </c>
      <c r="D1333" s="413" t="s">
        <v>6929</v>
      </c>
      <c r="E1333" s="413" t="s">
        <v>6380</v>
      </c>
      <c r="F1333" s="413" t="s">
        <v>6930</v>
      </c>
      <c r="G1333" s="413"/>
      <c r="H1333" s="1277"/>
      <c r="I1333" s="1280"/>
    </row>
    <row r="1334" spans="1:9" hidden="1">
      <c r="A1334" s="428" t="s">
        <v>6268</v>
      </c>
      <c r="B1334" s="413" t="s">
        <v>146</v>
      </c>
      <c r="C1334" s="265">
        <v>1</v>
      </c>
      <c r="D1334" s="413" t="s">
        <v>6931</v>
      </c>
      <c r="E1334" s="413" t="s">
        <v>6380</v>
      </c>
      <c r="F1334" s="413" t="s">
        <v>6932</v>
      </c>
      <c r="G1334" s="413"/>
      <c r="H1334" s="1277"/>
      <c r="I1334" s="1280"/>
    </row>
    <row r="1335" spans="1:9" hidden="1">
      <c r="A1335" s="428" t="s">
        <v>6268</v>
      </c>
      <c r="B1335" s="413" t="s">
        <v>146</v>
      </c>
      <c r="C1335" s="265">
        <v>1</v>
      </c>
      <c r="D1335" s="413" t="s">
        <v>6933</v>
      </c>
      <c r="E1335" s="413" t="s">
        <v>6380</v>
      </c>
      <c r="F1335" s="413" t="s">
        <v>6934</v>
      </c>
      <c r="G1335" s="413"/>
      <c r="H1335" s="1277"/>
      <c r="I1335" s="1280"/>
    </row>
    <row r="1336" spans="1:9" hidden="1">
      <c r="A1336" s="428" t="s">
        <v>6268</v>
      </c>
      <c r="B1336" s="413" t="s">
        <v>146</v>
      </c>
      <c r="C1336" s="265">
        <v>1</v>
      </c>
      <c r="D1336" s="413" t="s">
        <v>6935</v>
      </c>
      <c r="E1336" s="413" t="s">
        <v>6380</v>
      </c>
      <c r="F1336" s="413" t="s">
        <v>6936</v>
      </c>
      <c r="G1336" s="413"/>
      <c r="H1336" s="1277"/>
      <c r="I1336" s="1280"/>
    </row>
    <row r="1337" spans="1:9" hidden="1">
      <c r="A1337" s="428" t="s">
        <v>6268</v>
      </c>
      <c r="B1337" s="413" t="s">
        <v>146</v>
      </c>
      <c r="C1337" s="265">
        <v>1</v>
      </c>
      <c r="D1337" s="413" t="s">
        <v>6937</v>
      </c>
      <c r="E1337" s="413" t="s">
        <v>6380</v>
      </c>
      <c r="F1337" s="413" t="s">
        <v>6938</v>
      </c>
      <c r="G1337" s="413"/>
      <c r="H1337" s="1277"/>
      <c r="I1337" s="1280"/>
    </row>
    <row r="1338" spans="1:9" hidden="1">
      <c r="A1338" s="428" t="s">
        <v>6268</v>
      </c>
      <c r="B1338" s="413" t="s">
        <v>146</v>
      </c>
      <c r="C1338" s="265">
        <v>1</v>
      </c>
      <c r="D1338" s="413" t="s">
        <v>6939</v>
      </c>
      <c r="E1338" s="413" t="s">
        <v>6380</v>
      </c>
      <c r="F1338" s="413" t="s">
        <v>6940</v>
      </c>
      <c r="G1338" s="413"/>
      <c r="H1338" s="1277"/>
      <c r="I1338" s="1280"/>
    </row>
    <row r="1339" spans="1:9" hidden="1">
      <c r="A1339" s="428" t="s">
        <v>6268</v>
      </c>
      <c r="B1339" s="413" t="s">
        <v>146</v>
      </c>
      <c r="C1339" s="265">
        <v>1</v>
      </c>
      <c r="D1339" s="413" t="s">
        <v>6941</v>
      </c>
      <c r="E1339" s="413" t="s">
        <v>6380</v>
      </c>
      <c r="F1339" s="413" t="s">
        <v>6942</v>
      </c>
      <c r="G1339" s="413"/>
      <c r="H1339" s="1277"/>
      <c r="I1339" s="1280"/>
    </row>
    <row r="1340" spans="1:9" hidden="1">
      <c r="A1340" s="428" t="s">
        <v>6268</v>
      </c>
      <c r="B1340" s="413" t="s">
        <v>146</v>
      </c>
      <c r="C1340" s="265">
        <v>1</v>
      </c>
      <c r="D1340" s="413" t="s">
        <v>6943</v>
      </c>
      <c r="E1340" s="413" t="s">
        <v>6380</v>
      </c>
      <c r="F1340" s="413" t="s">
        <v>6944</v>
      </c>
      <c r="G1340" s="413"/>
      <c r="H1340" s="1277"/>
      <c r="I1340" s="1280"/>
    </row>
    <row r="1341" spans="1:9" hidden="1">
      <c r="A1341" s="428" t="s">
        <v>6268</v>
      </c>
      <c r="B1341" s="413" t="s">
        <v>146</v>
      </c>
      <c r="C1341" s="265">
        <v>1</v>
      </c>
      <c r="D1341" s="413" t="s">
        <v>6945</v>
      </c>
      <c r="E1341" s="413" t="s">
        <v>6380</v>
      </c>
      <c r="F1341" s="413" t="s">
        <v>6946</v>
      </c>
      <c r="G1341" s="413"/>
      <c r="H1341" s="1277"/>
      <c r="I1341" s="1280"/>
    </row>
    <row r="1342" spans="1:9" hidden="1">
      <c r="A1342" s="428" t="s">
        <v>6268</v>
      </c>
      <c r="B1342" s="413" t="s">
        <v>146</v>
      </c>
      <c r="C1342" s="265">
        <v>1</v>
      </c>
      <c r="D1342" s="413" t="s">
        <v>6947</v>
      </c>
      <c r="E1342" s="413" t="s">
        <v>6380</v>
      </c>
      <c r="F1342" s="413" t="s">
        <v>6948</v>
      </c>
      <c r="G1342" s="413"/>
      <c r="H1342" s="1277"/>
      <c r="I1342" s="1280"/>
    </row>
    <row r="1343" spans="1:9" hidden="1">
      <c r="A1343" s="428" t="s">
        <v>6268</v>
      </c>
      <c r="B1343" s="413" t="s">
        <v>146</v>
      </c>
      <c r="C1343" s="265">
        <v>1</v>
      </c>
      <c r="D1343" s="413" t="s">
        <v>6949</v>
      </c>
      <c r="E1343" s="413" t="s">
        <v>6380</v>
      </c>
      <c r="F1343" s="413" t="s">
        <v>6950</v>
      </c>
      <c r="G1343" s="413"/>
      <c r="H1343" s="1277"/>
      <c r="I1343" s="1280"/>
    </row>
    <row r="1344" spans="1:9" hidden="1">
      <c r="A1344" s="428" t="s">
        <v>6268</v>
      </c>
      <c r="B1344" s="413" t="s">
        <v>146</v>
      </c>
      <c r="C1344" s="265">
        <v>1</v>
      </c>
      <c r="D1344" s="413" t="s">
        <v>6951</v>
      </c>
      <c r="E1344" s="413" t="s">
        <v>6380</v>
      </c>
      <c r="F1344" s="413" t="s">
        <v>6952</v>
      </c>
      <c r="G1344" s="413"/>
      <c r="H1344" s="1277"/>
      <c r="I1344" s="1280"/>
    </row>
    <row r="1345" spans="1:9" hidden="1">
      <c r="A1345" s="428" t="s">
        <v>6268</v>
      </c>
      <c r="B1345" s="413" t="s">
        <v>146</v>
      </c>
      <c r="C1345" s="265">
        <v>1</v>
      </c>
      <c r="D1345" s="413" t="s">
        <v>6953</v>
      </c>
      <c r="E1345" s="413" t="s">
        <v>6380</v>
      </c>
      <c r="F1345" s="413" t="s">
        <v>6954</v>
      </c>
      <c r="G1345" s="413"/>
      <c r="H1345" s="1277"/>
      <c r="I1345" s="1280"/>
    </row>
    <row r="1346" spans="1:9" hidden="1">
      <c r="A1346" s="428" t="s">
        <v>6268</v>
      </c>
      <c r="B1346" s="413" t="s">
        <v>146</v>
      </c>
      <c r="C1346" s="265">
        <v>1</v>
      </c>
      <c r="D1346" s="413" t="s">
        <v>6955</v>
      </c>
      <c r="E1346" s="413" t="s">
        <v>6380</v>
      </c>
      <c r="F1346" s="413" t="s">
        <v>6956</v>
      </c>
      <c r="G1346" s="413"/>
      <c r="H1346" s="1277"/>
      <c r="I1346" s="1280"/>
    </row>
    <row r="1347" spans="1:9" hidden="1">
      <c r="A1347" s="428" t="s">
        <v>6268</v>
      </c>
      <c r="B1347" s="413" t="s">
        <v>146</v>
      </c>
      <c r="C1347" s="265">
        <v>1</v>
      </c>
      <c r="D1347" s="413" t="s">
        <v>6957</v>
      </c>
      <c r="E1347" s="413" t="s">
        <v>6380</v>
      </c>
      <c r="F1347" s="413" t="s">
        <v>6958</v>
      </c>
      <c r="G1347" s="413"/>
      <c r="H1347" s="1277"/>
      <c r="I1347" s="1280"/>
    </row>
    <row r="1348" spans="1:9" hidden="1">
      <c r="A1348" s="428" t="s">
        <v>6268</v>
      </c>
      <c r="B1348" s="413" t="s">
        <v>146</v>
      </c>
      <c r="C1348" s="265">
        <v>1</v>
      </c>
      <c r="D1348" s="413" t="s">
        <v>6959</v>
      </c>
      <c r="E1348" s="413" t="s">
        <v>6380</v>
      </c>
      <c r="F1348" s="413" t="s">
        <v>6960</v>
      </c>
      <c r="G1348" s="413"/>
      <c r="H1348" s="1277"/>
      <c r="I1348" s="1280"/>
    </row>
    <row r="1349" spans="1:9" hidden="1">
      <c r="A1349" s="428" t="s">
        <v>6268</v>
      </c>
      <c r="B1349" s="413" t="s">
        <v>146</v>
      </c>
      <c r="C1349" s="265">
        <v>1</v>
      </c>
      <c r="D1349" s="413" t="s">
        <v>6961</v>
      </c>
      <c r="E1349" s="413" t="s">
        <v>6380</v>
      </c>
      <c r="F1349" s="413" t="s">
        <v>6962</v>
      </c>
      <c r="G1349" s="413"/>
      <c r="H1349" s="1277"/>
      <c r="I1349" s="1280"/>
    </row>
    <row r="1350" spans="1:9" hidden="1">
      <c r="A1350" s="428" t="s">
        <v>6268</v>
      </c>
      <c r="B1350" s="413" t="s">
        <v>146</v>
      </c>
      <c r="C1350" s="265">
        <v>1</v>
      </c>
      <c r="D1350" s="413" t="s">
        <v>6963</v>
      </c>
      <c r="E1350" s="413" t="s">
        <v>6380</v>
      </c>
      <c r="F1350" s="413" t="s">
        <v>6964</v>
      </c>
      <c r="G1350" s="413"/>
      <c r="H1350" s="1277"/>
      <c r="I1350" s="1280"/>
    </row>
    <row r="1351" spans="1:9" hidden="1">
      <c r="A1351" s="428" t="s">
        <v>6268</v>
      </c>
      <c r="B1351" s="413" t="s">
        <v>146</v>
      </c>
      <c r="C1351" s="265">
        <v>1</v>
      </c>
      <c r="D1351" s="413" t="s">
        <v>6965</v>
      </c>
      <c r="E1351" s="413" t="s">
        <v>6380</v>
      </c>
      <c r="F1351" s="413" t="s">
        <v>6966</v>
      </c>
      <c r="G1351" s="413"/>
      <c r="H1351" s="1277"/>
      <c r="I1351" s="1280"/>
    </row>
    <row r="1352" spans="1:9" hidden="1">
      <c r="A1352" s="428" t="s">
        <v>6268</v>
      </c>
      <c r="B1352" s="413" t="s">
        <v>146</v>
      </c>
      <c r="C1352" s="265">
        <v>1</v>
      </c>
      <c r="D1352" s="413" t="s">
        <v>6967</v>
      </c>
      <c r="E1352" s="413" t="s">
        <v>6380</v>
      </c>
      <c r="F1352" s="413" t="s">
        <v>6968</v>
      </c>
      <c r="G1352" s="413"/>
      <c r="H1352" s="1277"/>
      <c r="I1352" s="1280"/>
    </row>
    <row r="1353" spans="1:9" hidden="1">
      <c r="A1353" s="428" t="s">
        <v>6268</v>
      </c>
      <c r="B1353" s="413" t="s">
        <v>146</v>
      </c>
      <c r="C1353" s="265">
        <v>1</v>
      </c>
      <c r="D1353" s="413" t="s">
        <v>6969</v>
      </c>
      <c r="E1353" s="413" t="s">
        <v>6380</v>
      </c>
      <c r="F1353" s="413" t="s">
        <v>6970</v>
      </c>
      <c r="G1353" s="413"/>
      <c r="H1353" s="1277"/>
      <c r="I1353" s="1280"/>
    </row>
    <row r="1354" spans="1:9" hidden="1">
      <c r="A1354" s="428" t="s">
        <v>6268</v>
      </c>
      <c r="B1354" s="413" t="s">
        <v>146</v>
      </c>
      <c r="C1354" s="265">
        <v>1</v>
      </c>
      <c r="D1354" s="413" t="s">
        <v>6971</v>
      </c>
      <c r="E1354" s="413" t="s">
        <v>6380</v>
      </c>
      <c r="F1354" s="413" t="s">
        <v>6972</v>
      </c>
      <c r="G1354" s="413"/>
      <c r="H1354" s="1277"/>
      <c r="I1354" s="1280"/>
    </row>
    <row r="1355" spans="1:9" hidden="1">
      <c r="A1355" s="428" t="s">
        <v>6268</v>
      </c>
      <c r="B1355" s="413" t="s">
        <v>146</v>
      </c>
      <c r="C1355" s="265">
        <v>1</v>
      </c>
      <c r="D1355" s="413" t="s">
        <v>6973</v>
      </c>
      <c r="E1355" s="413" t="s">
        <v>6380</v>
      </c>
      <c r="F1355" s="413" t="s">
        <v>6974</v>
      </c>
      <c r="G1355" s="413"/>
      <c r="H1355" s="1277"/>
      <c r="I1355" s="1280"/>
    </row>
    <row r="1356" spans="1:9" hidden="1">
      <c r="A1356" s="428" t="s">
        <v>6268</v>
      </c>
      <c r="B1356" s="413" t="s">
        <v>146</v>
      </c>
      <c r="C1356" s="265">
        <v>1</v>
      </c>
      <c r="D1356" s="413" t="s">
        <v>6975</v>
      </c>
      <c r="E1356" s="413" t="s">
        <v>6380</v>
      </c>
      <c r="F1356" s="413" t="s">
        <v>6976</v>
      </c>
      <c r="G1356" s="413"/>
      <c r="H1356" s="1277"/>
      <c r="I1356" s="1280"/>
    </row>
    <row r="1357" spans="1:9" hidden="1">
      <c r="A1357" s="428" t="s">
        <v>6268</v>
      </c>
      <c r="B1357" s="413" t="s">
        <v>146</v>
      </c>
      <c r="C1357" s="265">
        <v>1</v>
      </c>
      <c r="D1357" s="413" t="s">
        <v>6977</v>
      </c>
      <c r="E1357" s="413" t="s">
        <v>6380</v>
      </c>
      <c r="F1357" s="413" t="s">
        <v>6978</v>
      </c>
      <c r="G1357" s="413"/>
      <c r="H1357" s="1277"/>
      <c r="I1357" s="1280"/>
    </row>
    <row r="1358" spans="1:9" hidden="1">
      <c r="A1358" s="428" t="s">
        <v>6268</v>
      </c>
      <c r="B1358" s="413" t="s">
        <v>146</v>
      </c>
      <c r="C1358" s="265">
        <v>1</v>
      </c>
      <c r="D1358" s="413" t="s">
        <v>6979</v>
      </c>
      <c r="E1358" s="413" t="s">
        <v>6380</v>
      </c>
      <c r="F1358" s="413" t="s">
        <v>6980</v>
      </c>
      <c r="G1358" s="413"/>
      <c r="H1358" s="1277"/>
      <c r="I1358" s="1280"/>
    </row>
    <row r="1359" spans="1:9" hidden="1">
      <c r="A1359" s="428" t="s">
        <v>6268</v>
      </c>
      <c r="B1359" s="413" t="s">
        <v>146</v>
      </c>
      <c r="C1359" s="265">
        <v>1</v>
      </c>
      <c r="D1359" s="413" t="s">
        <v>6981</v>
      </c>
      <c r="E1359" s="413" t="s">
        <v>6380</v>
      </c>
      <c r="F1359" s="413" t="s">
        <v>6982</v>
      </c>
      <c r="G1359" s="413"/>
      <c r="H1359" s="1277"/>
      <c r="I1359" s="1280"/>
    </row>
    <row r="1360" spans="1:9" hidden="1">
      <c r="A1360" s="428" t="s">
        <v>6268</v>
      </c>
      <c r="B1360" s="413" t="s">
        <v>146</v>
      </c>
      <c r="C1360" s="265">
        <v>1</v>
      </c>
      <c r="D1360" s="413" t="s">
        <v>6983</v>
      </c>
      <c r="E1360" s="413" t="s">
        <v>6380</v>
      </c>
      <c r="F1360" s="413" t="s">
        <v>6984</v>
      </c>
      <c r="G1360" s="413"/>
      <c r="H1360" s="1277"/>
      <c r="I1360" s="1280"/>
    </row>
    <row r="1361" spans="1:9" hidden="1">
      <c r="A1361" s="428" t="s">
        <v>6268</v>
      </c>
      <c r="B1361" s="413" t="s">
        <v>146</v>
      </c>
      <c r="C1361" s="265">
        <v>1</v>
      </c>
      <c r="D1361" s="413" t="s">
        <v>6985</v>
      </c>
      <c r="E1361" s="413" t="s">
        <v>6380</v>
      </c>
      <c r="F1361" s="413" t="s">
        <v>6986</v>
      </c>
      <c r="G1361" s="413"/>
      <c r="H1361" s="1277"/>
      <c r="I1361" s="1280"/>
    </row>
    <row r="1362" spans="1:9" hidden="1">
      <c r="A1362" s="428" t="s">
        <v>6268</v>
      </c>
      <c r="B1362" s="413" t="s">
        <v>146</v>
      </c>
      <c r="C1362" s="265">
        <v>1</v>
      </c>
      <c r="D1362" s="413" t="s">
        <v>6987</v>
      </c>
      <c r="E1362" s="413" t="s">
        <v>6358</v>
      </c>
      <c r="F1362" s="413" t="s">
        <v>6988</v>
      </c>
      <c r="G1362" s="413"/>
      <c r="H1362" s="1277"/>
      <c r="I1362" s="1280"/>
    </row>
    <row r="1363" spans="1:9" hidden="1">
      <c r="A1363" s="428" t="s">
        <v>6268</v>
      </c>
      <c r="B1363" s="413" t="s">
        <v>146</v>
      </c>
      <c r="C1363" s="265">
        <v>1</v>
      </c>
      <c r="D1363" s="413" t="s">
        <v>6989</v>
      </c>
      <c r="E1363" s="413" t="s">
        <v>6358</v>
      </c>
      <c r="F1363" s="413" t="s">
        <v>6990</v>
      </c>
      <c r="G1363" s="413"/>
      <c r="H1363" s="1277"/>
      <c r="I1363" s="1280"/>
    </row>
    <row r="1364" spans="1:9" hidden="1">
      <c r="A1364" s="428" t="s">
        <v>6268</v>
      </c>
      <c r="B1364" s="413" t="s">
        <v>146</v>
      </c>
      <c r="C1364" s="265">
        <v>1</v>
      </c>
      <c r="D1364" s="413" t="s">
        <v>6991</v>
      </c>
      <c r="E1364" s="413" t="s">
        <v>6358</v>
      </c>
      <c r="F1364" s="413" t="s">
        <v>6992</v>
      </c>
      <c r="G1364" s="413"/>
      <c r="H1364" s="1277"/>
      <c r="I1364" s="1280"/>
    </row>
    <row r="1365" spans="1:9" hidden="1">
      <c r="A1365" s="428" t="s">
        <v>6268</v>
      </c>
      <c r="B1365" s="413" t="s">
        <v>146</v>
      </c>
      <c r="C1365" s="265">
        <v>1</v>
      </c>
      <c r="D1365" s="413" t="s">
        <v>6993</v>
      </c>
      <c r="E1365" s="413" t="s">
        <v>6358</v>
      </c>
      <c r="F1365" s="413" t="s">
        <v>6994</v>
      </c>
      <c r="G1365" s="413"/>
      <c r="H1365" s="1277"/>
      <c r="I1365" s="1280"/>
    </row>
    <row r="1366" spans="1:9" hidden="1">
      <c r="A1366" s="428" t="s">
        <v>6268</v>
      </c>
      <c r="B1366" s="413" t="s">
        <v>146</v>
      </c>
      <c r="C1366" s="265">
        <v>1</v>
      </c>
      <c r="D1366" s="413" t="s">
        <v>6995</v>
      </c>
      <c r="E1366" s="413" t="s">
        <v>6358</v>
      </c>
      <c r="F1366" s="413" t="s">
        <v>6996</v>
      </c>
      <c r="G1366" s="413"/>
      <c r="H1366" s="1277"/>
      <c r="I1366" s="1280"/>
    </row>
    <row r="1367" spans="1:9" hidden="1">
      <c r="A1367" s="428" t="s">
        <v>6268</v>
      </c>
      <c r="B1367" s="413" t="s">
        <v>146</v>
      </c>
      <c r="C1367" s="265">
        <v>1</v>
      </c>
      <c r="D1367" s="413" t="s">
        <v>6997</v>
      </c>
      <c r="E1367" s="413" t="s">
        <v>6380</v>
      </c>
      <c r="F1367" s="413" t="s">
        <v>6998</v>
      </c>
      <c r="G1367" s="413"/>
      <c r="H1367" s="1277"/>
      <c r="I1367" s="1280"/>
    </row>
    <row r="1368" spans="1:9" hidden="1">
      <c r="A1368" s="428" t="s">
        <v>6268</v>
      </c>
      <c r="B1368" s="413" t="s">
        <v>146</v>
      </c>
      <c r="C1368" s="265">
        <v>1</v>
      </c>
      <c r="D1368" s="413" t="s">
        <v>6999</v>
      </c>
      <c r="E1368" s="413" t="s">
        <v>6380</v>
      </c>
      <c r="F1368" s="413" t="s">
        <v>7000</v>
      </c>
      <c r="G1368" s="413"/>
      <c r="H1368" s="1277"/>
      <c r="I1368" s="1280"/>
    </row>
    <row r="1369" spans="1:9" hidden="1">
      <c r="A1369" s="428" t="s">
        <v>6268</v>
      </c>
      <c r="B1369" s="413" t="s">
        <v>146</v>
      </c>
      <c r="C1369" s="265">
        <v>1</v>
      </c>
      <c r="D1369" s="413" t="s">
        <v>7001</v>
      </c>
      <c r="E1369" s="413" t="s">
        <v>6380</v>
      </c>
      <c r="F1369" s="413" t="s">
        <v>7002</v>
      </c>
      <c r="G1369" s="413"/>
      <c r="H1369" s="1277"/>
      <c r="I1369" s="1280"/>
    </row>
    <row r="1370" spans="1:9" hidden="1">
      <c r="A1370" s="428" t="s">
        <v>6268</v>
      </c>
      <c r="B1370" s="413" t="s">
        <v>146</v>
      </c>
      <c r="C1370" s="265">
        <v>1</v>
      </c>
      <c r="D1370" s="413" t="s">
        <v>7003</v>
      </c>
      <c r="E1370" s="413" t="s">
        <v>6380</v>
      </c>
      <c r="F1370" s="413" t="s">
        <v>7004</v>
      </c>
      <c r="G1370" s="413"/>
      <c r="H1370" s="1277"/>
      <c r="I1370" s="1280"/>
    </row>
    <row r="1371" spans="1:9" hidden="1">
      <c r="A1371" s="428" t="s">
        <v>6268</v>
      </c>
      <c r="B1371" s="413" t="s">
        <v>146</v>
      </c>
      <c r="C1371" s="265">
        <v>1</v>
      </c>
      <c r="D1371" s="413" t="s">
        <v>7005</v>
      </c>
      <c r="E1371" s="413" t="s">
        <v>6380</v>
      </c>
      <c r="F1371" s="413" t="s">
        <v>7006</v>
      </c>
      <c r="G1371" s="413"/>
      <c r="H1371" s="1277"/>
      <c r="I1371" s="1280"/>
    </row>
    <row r="1372" spans="1:9" hidden="1">
      <c r="A1372" s="428" t="s">
        <v>6268</v>
      </c>
      <c r="B1372" s="413" t="s">
        <v>146</v>
      </c>
      <c r="C1372" s="265">
        <v>1</v>
      </c>
      <c r="D1372" s="413" t="s">
        <v>7007</v>
      </c>
      <c r="E1372" s="413" t="s">
        <v>6380</v>
      </c>
      <c r="F1372" s="413" t="s">
        <v>7008</v>
      </c>
      <c r="G1372" s="413"/>
      <c r="H1372" s="1277"/>
      <c r="I1372" s="1280"/>
    </row>
    <row r="1373" spans="1:9" hidden="1">
      <c r="A1373" s="428" t="s">
        <v>6268</v>
      </c>
      <c r="B1373" s="413" t="s">
        <v>146</v>
      </c>
      <c r="C1373" s="265">
        <v>1</v>
      </c>
      <c r="D1373" s="413" t="s">
        <v>7009</v>
      </c>
      <c r="E1373" s="413" t="s">
        <v>6380</v>
      </c>
      <c r="F1373" s="413" t="s">
        <v>7010</v>
      </c>
      <c r="G1373" s="413"/>
      <c r="H1373" s="1277"/>
      <c r="I1373" s="1280"/>
    </row>
    <row r="1374" spans="1:9" hidden="1">
      <c r="A1374" s="428" t="s">
        <v>6268</v>
      </c>
      <c r="B1374" s="413" t="s">
        <v>146</v>
      </c>
      <c r="C1374" s="265">
        <v>1</v>
      </c>
      <c r="D1374" s="413" t="s">
        <v>7011</v>
      </c>
      <c r="E1374" s="413" t="s">
        <v>6380</v>
      </c>
      <c r="F1374" s="413" t="s">
        <v>7012</v>
      </c>
      <c r="G1374" s="413"/>
      <c r="H1374" s="1277"/>
      <c r="I1374" s="1280"/>
    </row>
    <row r="1375" spans="1:9" hidden="1">
      <c r="A1375" s="428" t="s">
        <v>6268</v>
      </c>
      <c r="B1375" s="413" t="s">
        <v>146</v>
      </c>
      <c r="C1375" s="265">
        <v>1</v>
      </c>
      <c r="D1375" s="413" t="s">
        <v>7013</v>
      </c>
      <c r="E1375" s="413" t="s">
        <v>6380</v>
      </c>
      <c r="F1375" s="413" t="s">
        <v>7014</v>
      </c>
      <c r="G1375" s="413"/>
      <c r="H1375" s="1277"/>
      <c r="I1375" s="1280"/>
    </row>
    <row r="1376" spans="1:9" hidden="1">
      <c r="A1376" s="428" t="s">
        <v>6268</v>
      </c>
      <c r="B1376" s="413" t="s">
        <v>146</v>
      </c>
      <c r="C1376" s="265">
        <v>1</v>
      </c>
      <c r="D1376" s="413" t="s">
        <v>7015</v>
      </c>
      <c r="E1376" s="413" t="s">
        <v>6380</v>
      </c>
      <c r="F1376" s="413" t="s">
        <v>7016</v>
      </c>
      <c r="G1376" s="413"/>
      <c r="H1376" s="1277"/>
      <c r="I1376" s="1280"/>
    </row>
    <row r="1377" spans="1:9" hidden="1">
      <c r="A1377" s="428" t="s">
        <v>6268</v>
      </c>
      <c r="B1377" s="413" t="s">
        <v>146</v>
      </c>
      <c r="C1377" s="265">
        <v>1</v>
      </c>
      <c r="D1377" s="413" t="s">
        <v>7017</v>
      </c>
      <c r="E1377" s="413" t="s">
        <v>6380</v>
      </c>
      <c r="F1377" s="413" t="s">
        <v>7018</v>
      </c>
      <c r="G1377" s="413"/>
      <c r="H1377" s="1277"/>
      <c r="I1377" s="1280"/>
    </row>
    <row r="1378" spans="1:9" hidden="1">
      <c r="A1378" s="428" t="s">
        <v>6268</v>
      </c>
      <c r="B1378" s="413" t="s">
        <v>146</v>
      </c>
      <c r="C1378" s="265">
        <v>1</v>
      </c>
      <c r="D1378" s="413" t="s">
        <v>7019</v>
      </c>
      <c r="E1378" s="413" t="s">
        <v>6380</v>
      </c>
      <c r="F1378" s="413" t="s">
        <v>7020</v>
      </c>
      <c r="G1378" s="413"/>
      <c r="H1378" s="1277"/>
      <c r="I1378" s="1280"/>
    </row>
    <row r="1379" spans="1:9" hidden="1">
      <c r="A1379" s="428" t="s">
        <v>6268</v>
      </c>
      <c r="B1379" s="413" t="s">
        <v>146</v>
      </c>
      <c r="C1379" s="265">
        <v>1</v>
      </c>
      <c r="D1379" s="413" t="s">
        <v>7021</v>
      </c>
      <c r="E1379" s="413" t="s">
        <v>6380</v>
      </c>
      <c r="F1379" s="413" t="s">
        <v>7022</v>
      </c>
      <c r="G1379" s="413"/>
      <c r="H1379" s="1277"/>
      <c r="I1379" s="1280"/>
    </row>
    <row r="1380" spans="1:9" hidden="1">
      <c r="A1380" s="428" t="s">
        <v>6268</v>
      </c>
      <c r="B1380" s="413" t="s">
        <v>146</v>
      </c>
      <c r="C1380" s="265">
        <v>1</v>
      </c>
      <c r="D1380" s="413" t="s">
        <v>7023</v>
      </c>
      <c r="E1380" s="413" t="s">
        <v>6380</v>
      </c>
      <c r="F1380" s="413" t="s">
        <v>7024</v>
      </c>
      <c r="G1380" s="413"/>
      <c r="H1380" s="1277"/>
      <c r="I1380" s="1280"/>
    </row>
    <row r="1381" spans="1:9" hidden="1">
      <c r="A1381" s="428" t="s">
        <v>6268</v>
      </c>
      <c r="B1381" s="413" t="s">
        <v>146</v>
      </c>
      <c r="C1381" s="265">
        <v>1</v>
      </c>
      <c r="D1381" s="413" t="s">
        <v>7025</v>
      </c>
      <c r="E1381" s="413" t="s">
        <v>6380</v>
      </c>
      <c r="F1381" s="413" t="s">
        <v>7026</v>
      </c>
      <c r="G1381" s="413"/>
      <c r="H1381" s="1277"/>
      <c r="I1381" s="1280"/>
    </row>
    <row r="1382" spans="1:9" hidden="1">
      <c r="A1382" s="428" t="s">
        <v>6268</v>
      </c>
      <c r="B1382" s="413" t="s">
        <v>146</v>
      </c>
      <c r="C1382" s="265">
        <v>1</v>
      </c>
      <c r="D1382" s="413" t="s">
        <v>7027</v>
      </c>
      <c r="E1382" s="413" t="s">
        <v>6380</v>
      </c>
      <c r="F1382" s="413" t="s">
        <v>7028</v>
      </c>
      <c r="G1382" s="413"/>
      <c r="H1382" s="1277"/>
      <c r="I1382" s="1280"/>
    </row>
    <row r="1383" spans="1:9" hidden="1">
      <c r="A1383" s="428" t="s">
        <v>6268</v>
      </c>
      <c r="B1383" s="413" t="s">
        <v>146</v>
      </c>
      <c r="C1383" s="265">
        <v>1</v>
      </c>
      <c r="D1383" s="413" t="s">
        <v>7029</v>
      </c>
      <c r="E1383" s="413" t="s">
        <v>6380</v>
      </c>
      <c r="F1383" s="413" t="s">
        <v>7030</v>
      </c>
      <c r="G1383" s="413"/>
      <c r="H1383" s="1277"/>
      <c r="I1383" s="1280"/>
    </row>
    <row r="1384" spans="1:9" hidden="1">
      <c r="A1384" s="428" t="s">
        <v>6268</v>
      </c>
      <c r="B1384" s="413" t="s">
        <v>146</v>
      </c>
      <c r="C1384" s="265">
        <v>1</v>
      </c>
      <c r="D1384" s="413" t="s">
        <v>7031</v>
      </c>
      <c r="E1384" s="413" t="s">
        <v>6380</v>
      </c>
      <c r="F1384" s="413" t="s">
        <v>7032</v>
      </c>
      <c r="G1384" s="413"/>
      <c r="H1384" s="1277"/>
      <c r="I1384" s="1280"/>
    </row>
    <row r="1385" spans="1:9" hidden="1">
      <c r="A1385" s="428" t="s">
        <v>6268</v>
      </c>
      <c r="B1385" s="413" t="s">
        <v>146</v>
      </c>
      <c r="C1385" s="265">
        <v>1</v>
      </c>
      <c r="D1385" s="413" t="s">
        <v>7033</v>
      </c>
      <c r="E1385" s="413" t="s">
        <v>6380</v>
      </c>
      <c r="F1385" s="413" t="s">
        <v>7034</v>
      </c>
      <c r="G1385" s="413"/>
      <c r="H1385" s="1277"/>
      <c r="I1385" s="1280"/>
    </row>
    <row r="1386" spans="1:9" hidden="1">
      <c r="A1386" s="428" t="s">
        <v>6268</v>
      </c>
      <c r="B1386" s="413" t="s">
        <v>146</v>
      </c>
      <c r="C1386" s="265">
        <v>1</v>
      </c>
      <c r="D1386" s="413" t="s">
        <v>7035</v>
      </c>
      <c r="E1386" s="413" t="s">
        <v>6380</v>
      </c>
      <c r="F1386" s="413" t="s">
        <v>7036</v>
      </c>
      <c r="G1386" s="413"/>
      <c r="H1386" s="1277"/>
      <c r="I1386" s="1280"/>
    </row>
    <row r="1387" spans="1:9" hidden="1">
      <c r="A1387" s="428" t="s">
        <v>6268</v>
      </c>
      <c r="B1387" s="413" t="s">
        <v>146</v>
      </c>
      <c r="C1387" s="265">
        <v>1</v>
      </c>
      <c r="D1387" s="413" t="s">
        <v>7037</v>
      </c>
      <c r="E1387" s="413" t="s">
        <v>6380</v>
      </c>
      <c r="F1387" s="413" t="s">
        <v>7038</v>
      </c>
      <c r="G1387" s="413"/>
      <c r="H1387" s="1277"/>
      <c r="I1387" s="1280"/>
    </row>
    <row r="1388" spans="1:9" hidden="1">
      <c r="A1388" s="428" t="s">
        <v>6268</v>
      </c>
      <c r="B1388" s="413" t="s">
        <v>146</v>
      </c>
      <c r="C1388" s="265">
        <v>1</v>
      </c>
      <c r="D1388" s="413" t="s">
        <v>7039</v>
      </c>
      <c r="E1388" s="413" t="s">
        <v>6380</v>
      </c>
      <c r="F1388" s="413" t="s">
        <v>7040</v>
      </c>
      <c r="G1388" s="413"/>
      <c r="H1388" s="1277"/>
      <c r="I1388" s="1280"/>
    </row>
    <row r="1389" spans="1:9" hidden="1">
      <c r="A1389" s="428" t="s">
        <v>6268</v>
      </c>
      <c r="B1389" s="413" t="s">
        <v>146</v>
      </c>
      <c r="C1389" s="265">
        <v>1</v>
      </c>
      <c r="D1389" s="413" t="s">
        <v>7041</v>
      </c>
      <c r="E1389" s="413" t="s">
        <v>6380</v>
      </c>
      <c r="F1389" s="413" t="s">
        <v>7042</v>
      </c>
      <c r="G1389" s="413"/>
      <c r="H1389" s="1277"/>
      <c r="I1389" s="1280"/>
    </row>
    <row r="1390" spans="1:9" hidden="1">
      <c r="A1390" s="428" t="s">
        <v>6268</v>
      </c>
      <c r="B1390" s="413" t="s">
        <v>146</v>
      </c>
      <c r="C1390" s="265">
        <v>1</v>
      </c>
      <c r="D1390" s="413" t="s">
        <v>7043</v>
      </c>
      <c r="E1390" s="413" t="s">
        <v>6380</v>
      </c>
      <c r="F1390" s="413" t="s">
        <v>7044</v>
      </c>
      <c r="G1390" s="413"/>
      <c r="H1390" s="1277"/>
      <c r="I1390" s="1280"/>
    </row>
    <row r="1391" spans="1:9" hidden="1">
      <c r="A1391" s="428" t="s">
        <v>6268</v>
      </c>
      <c r="B1391" s="413" t="s">
        <v>146</v>
      </c>
      <c r="C1391" s="265">
        <v>1</v>
      </c>
      <c r="D1391" s="413" t="s">
        <v>7045</v>
      </c>
      <c r="E1391" s="413" t="s">
        <v>6380</v>
      </c>
      <c r="F1391" s="413" t="s">
        <v>7046</v>
      </c>
      <c r="G1391" s="413"/>
      <c r="H1391" s="1277"/>
      <c r="I1391" s="1280"/>
    </row>
    <row r="1392" spans="1:9" hidden="1">
      <c r="A1392" s="428" t="s">
        <v>6268</v>
      </c>
      <c r="B1392" s="413" t="s">
        <v>146</v>
      </c>
      <c r="C1392" s="265">
        <v>1</v>
      </c>
      <c r="D1392" s="413" t="s">
        <v>7047</v>
      </c>
      <c r="E1392" s="413" t="s">
        <v>6380</v>
      </c>
      <c r="F1392" s="413" t="s">
        <v>7048</v>
      </c>
      <c r="G1392" s="413"/>
      <c r="H1392" s="1277"/>
      <c r="I1392" s="1280"/>
    </row>
    <row r="1393" spans="1:9" hidden="1">
      <c r="A1393" s="428" t="s">
        <v>6268</v>
      </c>
      <c r="B1393" s="413" t="s">
        <v>146</v>
      </c>
      <c r="C1393" s="265">
        <v>1</v>
      </c>
      <c r="D1393" s="413" t="s">
        <v>7049</v>
      </c>
      <c r="E1393" s="413" t="s">
        <v>6380</v>
      </c>
      <c r="F1393" s="413" t="s">
        <v>7050</v>
      </c>
      <c r="G1393" s="413"/>
      <c r="H1393" s="1277"/>
      <c r="I1393" s="1280"/>
    </row>
    <row r="1394" spans="1:9" hidden="1">
      <c r="A1394" s="428" t="s">
        <v>6268</v>
      </c>
      <c r="B1394" s="413" t="s">
        <v>146</v>
      </c>
      <c r="C1394" s="265">
        <v>1</v>
      </c>
      <c r="D1394" s="413" t="s">
        <v>7051</v>
      </c>
      <c r="E1394" s="413" t="s">
        <v>6380</v>
      </c>
      <c r="F1394" s="413" t="s">
        <v>7052</v>
      </c>
      <c r="G1394" s="413"/>
      <c r="H1394" s="1277"/>
      <c r="I1394" s="1280"/>
    </row>
    <row r="1395" spans="1:9" hidden="1">
      <c r="A1395" s="428" t="s">
        <v>6268</v>
      </c>
      <c r="B1395" s="413" t="s">
        <v>146</v>
      </c>
      <c r="C1395" s="265">
        <v>1</v>
      </c>
      <c r="D1395" s="413" t="s">
        <v>7053</v>
      </c>
      <c r="E1395" s="413" t="s">
        <v>6380</v>
      </c>
      <c r="F1395" s="413" t="s">
        <v>7054</v>
      </c>
      <c r="G1395" s="413"/>
      <c r="H1395" s="1277"/>
      <c r="I1395" s="1280"/>
    </row>
    <row r="1396" spans="1:9" hidden="1">
      <c r="A1396" s="428" t="s">
        <v>6268</v>
      </c>
      <c r="B1396" s="413" t="s">
        <v>146</v>
      </c>
      <c r="C1396" s="265">
        <v>1</v>
      </c>
      <c r="D1396" s="413" t="s">
        <v>7055</v>
      </c>
      <c r="E1396" s="413" t="s">
        <v>6380</v>
      </c>
      <c r="F1396" s="413" t="s">
        <v>7056</v>
      </c>
      <c r="G1396" s="413"/>
      <c r="H1396" s="1277"/>
      <c r="I1396" s="1280"/>
    </row>
    <row r="1397" spans="1:9" hidden="1">
      <c r="A1397" s="428" t="s">
        <v>6268</v>
      </c>
      <c r="B1397" s="413" t="s">
        <v>146</v>
      </c>
      <c r="C1397" s="265">
        <v>1</v>
      </c>
      <c r="D1397" s="413" t="s">
        <v>7057</v>
      </c>
      <c r="E1397" s="413" t="s">
        <v>6380</v>
      </c>
      <c r="F1397" s="413" t="s">
        <v>7058</v>
      </c>
      <c r="G1397" s="413"/>
      <c r="H1397" s="1277"/>
      <c r="I1397" s="1280"/>
    </row>
    <row r="1398" spans="1:9" hidden="1">
      <c r="A1398" s="428" t="s">
        <v>6268</v>
      </c>
      <c r="B1398" s="413" t="s">
        <v>146</v>
      </c>
      <c r="C1398" s="265">
        <v>1</v>
      </c>
      <c r="D1398" s="413" t="s">
        <v>7059</v>
      </c>
      <c r="E1398" s="413" t="s">
        <v>6380</v>
      </c>
      <c r="F1398" s="413" t="s">
        <v>7060</v>
      </c>
      <c r="G1398" s="413"/>
      <c r="H1398" s="1277"/>
      <c r="I1398" s="1280"/>
    </row>
    <row r="1399" spans="1:9" hidden="1">
      <c r="A1399" s="428" t="s">
        <v>6268</v>
      </c>
      <c r="B1399" s="413" t="s">
        <v>146</v>
      </c>
      <c r="C1399" s="265">
        <v>1</v>
      </c>
      <c r="D1399" s="413" t="s">
        <v>7061</v>
      </c>
      <c r="E1399" s="413" t="s">
        <v>6380</v>
      </c>
      <c r="F1399" s="413" t="s">
        <v>7062</v>
      </c>
      <c r="G1399" s="413"/>
      <c r="H1399" s="1277"/>
      <c r="I1399" s="1280"/>
    </row>
    <row r="1400" spans="1:9" hidden="1">
      <c r="A1400" s="428" t="s">
        <v>6268</v>
      </c>
      <c r="B1400" s="413" t="s">
        <v>146</v>
      </c>
      <c r="C1400" s="265">
        <v>1</v>
      </c>
      <c r="D1400" s="413" t="s">
        <v>7063</v>
      </c>
      <c r="E1400" s="413" t="s">
        <v>6380</v>
      </c>
      <c r="F1400" s="413" t="s">
        <v>7064</v>
      </c>
      <c r="G1400" s="413"/>
      <c r="H1400" s="1277"/>
      <c r="I1400" s="1280"/>
    </row>
    <row r="1401" spans="1:9" hidden="1">
      <c r="A1401" s="428" t="s">
        <v>6268</v>
      </c>
      <c r="B1401" s="413" t="s">
        <v>146</v>
      </c>
      <c r="C1401" s="265">
        <v>1</v>
      </c>
      <c r="D1401" s="413" t="s">
        <v>7065</v>
      </c>
      <c r="E1401" s="413" t="s">
        <v>6380</v>
      </c>
      <c r="F1401" s="413" t="s">
        <v>7066</v>
      </c>
      <c r="G1401" s="413"/>
      <c r="H1401" s="1277"/>
      <c r="I1401" s="1280"/>
    </row>
    <row r="1402" spans="1:9" hidden="1">
      <c r="A1402" s="428" t="s">
        <v>6268</v>
      </c>
      <c r="B1402" s="413" t="s">
        <v>146</v>
      </c>
      <c r="C1402" s="265">
        <v>1</v>
      </c>
      <c r="D1402" s="413" t="s">
        <v>7067</v>
      </c>
      <c r="E1402" s="413" t="s">
        <v>6380</v>
      </c>
      <c r="F1402" s="413" t="s">
        <v>7068</v>
      </c>
      <c r="G1402" s="413"/>
      <c r="H1402" s="1277"/>
      <c r="I1402" s="1280"/>
    </row>
    <row r="1403" spans="1:9" hidden="1">
      <c r="A1403" s="428" t="s">
        <v>6268</v>
      </c>
      <c r="B1403" s="413" t="s">
        <v>146</v>
      </c>
      <c r="C1403" s="265">
        <v>1</v>
      </c>
      <c r="D1403" s="413" t="s">
        <v>7069</v>
      </c>
      <c r="E1403" s="413" t="s">
        <v>6380</v>
      </c>
      <c r="F1403" s="413" t="s">
        <v>7070</v>
      </c>
      <c r="G1403" s="413"/>
      <c r="H1403" s="1277"/>
      <c r="I1403" s="1280"/>
    </row>
    <row r="1404" spans="1:9" hidden="1">
      <c r="A1404" s="428" t="s">
        <v>6268</v>
      </c>
      <c r="B1404" s="413" t="s">
        <v>146</v>
      </c>
      <c r="C1404" s="265">
        <v>1</v>
      </c>
      <c r="D1404" s="413" t="s">
        <v>7071</v>
      </c>
      <c r="E1404" s="413" t="s">
        <v>6380</v>
      </c>
      <c r="F1404" s="413" t="s">
        <v>7072</v>
      </c>
      <c r="G1404" s="413"/>
      <c r="H1404" s="1277"/>
      <c r="I1404" s="1280"/>
    </row>
    <row r="1405" spans="1:9" hidden="1">
      <c r="A1405" s="428" t="s">
        <v>6268</v>
      </c>
      <c r="B1405" s="413" t="s">
        <v>146</v>
      </c>
      <c r="C1405" s="265">
        <v>1</v>
      </c>
      <c r="D1405" s="413" t="s">
        <v>7073</v>
      </c>
      <c r="E1405" s="413" t="s">
        <v>6380</v>
      </c>
      <c r="F1405" s="413" t="s">
        <v>7074</v>
      </c>
      <c r="G1405" s="413"/>
      <c r="H1405" s="1277"/>
      <c r="I1405" s="1280"/>
    </row>
    <row r="1406" spans="1:9" hidden="1">
      <c r="A1406" s="428" t="s">
        <v>6268</v>
      </c>
      <c r="B1406" s="413" t="s">
        <v>146</v>
      </c>
      <c r="C1406" s="265">
        <v>1</v>
      </c>
      <c r="D1406" s="413" t="s">
        <v>7075</v>
      </c>
      <c r="E1406" s="413" t="s">
        <v>6380</v>
      </c>
      <c r="F1406" s="413" t="s">
        <v>7076</v>
      </c>
      <c r="G1406" s="413"/>
      <c r="H1406" s="1277"/>
      <c r="I1406" s="1280"/>
    </row>
    <row r="1407" spans="1:9" hidden="1">
      <c r="A1407" s="428" t="s">
        <v>6268</v>
      </c>
      <c r="B1407" s="413" t="s">
        <v>146</v>
      </c>
      <c r="C1407" s="265">
        <v>1</v>
      </c>
      <c r="D1407" s="413" t="s">
        <v>7077</v>
      </c>
      <c r="E1407" s="413" t="s">
        <v>6380</v>
      </c>
      <c r="F1407" s="413" t="s">
        <v>7078</v>
      </c>
      <c r="G1407" s="413"/>
      <c r="H1407" s="1277"/>
      <c r="I1407" s="1280"/>
    </row>
    <row r="1408" spans="1:9" hidden="1">
      <c r="A1408" s="428" t="s">
        <v>6268</v>
      </c>
      <c r="B1408" s="413" t="s">
        <v>146</v>
      </c>
      <c r="C1408" s="265">
        <v>1</v>
      </c>
      <c r="D1408" s="413" t="s">
        <v>7079</v>
      </c>
      <c r="E1408" s="413" t="s">
        <v>6380</v>
      </c>
      <c r="F1408" s="413" t="s">
        <v>7080</v>
      </c>
      <c r="G1408" s="413"/>
      <c r="H1408" s="1277"/>
      <c r="I1408" s="1280"/>
    </row>
    <row r="1409" spans="1:9" hidden="1">
      <c r="A1409" s="428" t="s">
        <v>6268</v>
      </c>
      <c r="B1409" s="413" t="s">
        <v>146</v>
      </c>
      <c r="C1409" s="265">
        <v>1</v>
      </c>
      <c r="D1409" s="413" t="s">
        <v>7081</v>
      </c>
      <c r="E1409" s="413" t="s">
        <v>6380</v>
      </c>
      <c r="F1409" s="413" t="s">
        <v>7082</v>
      </c>
      <c r="G1409" s="413"/>
      <c r="H1409" s="1277"/>
      <c r="I1409" s="1280"/>
    </row>
    <row r="1410" spans="1:9" hidden="1">
      <c r="A1410" s="428" t="s">
        <v>6268</v>
      </c>
      <c r="B1410" s="413" t="s">
        <v>146</v>
      </c>
      <c r="C1410" s="265">
        <v>1</v>
      </c>
      <c r="D1410" s="413" t="s">
        <v>7083</v>
      </c>
      <c r="E1410" s="413" t="s">
        <v>6380</v>
      </c>
      <c r="F1410" s="413" t="s">
        <v>7084</v>
      </c>
      <c r="G1410" s="413"/>
      <c r="H1410" s="1277"/>
      <c r="I1410" s="1280"/>
    </row>
    <row r="1411" spans="1:9" hidden="1">
      <c r="A1411" s="428" t="s">
        <v>6268</v>
      </c>
      <c r="B1411" s="413" t="s">
        <v>146</v>
      </c>
      <c r="C1411" s="265">
        <v>1</v>
      </c>
      <c r="D1411" s="413" t="s">
        <v>7085</v>
      </c>
      <c r="E1411" s="413" t="s">
        <v>6380</v>
      </c>
      <c r="F1411" s="413" t="s">
        <v>7086</v>
      </c>
      <c r="G1411" s="413"/>
      <c r="H1411" s="1277"/>
      <c r="I1411" s="1280"/>
    </row>
    <row r="1412" spans="1:9" hidden="1">
      <c r="A1412" s="428" t="s">
        <v>6268</v>
      </c>
      <c r="B1412" s="413" t="s">
        <v>146</v>
      </c>
      <c r="C1412" s="265">
        <v>1</v>
      </c>
      <c r="D1412" s="413" t="s">
        <v>7087</v>
      </c>
      <c r="E1412" s="413" t="s">
        <v>6380</v>
      </c>
      <c r="F1412" s="413" t="s">
        <v>7088</v>
      </c>
      <c r="G1412" s="413"/>
      <c r="H1412" s="1277"/>
      <c r="I1412" s="1280"/>
    </row>
    <row r="1413" spans="1:9" hidden="1">
      <c r="A1413" s="428" t="s">
        <v>6268</v>
      </c>
      <c r="B1413" s="413" t="s">
        <v>146</v>
      </c>
      <c r="C1413" s="265">
        <v>1</v>
      </c>
      <c r="D1413" s="413" t="s">
        <v>7089</v>
      </c>
      <c r="E1413" s="413" t="s">
        <v>6380</v>
      </c>
      <c r="F1413" s="413" t="s">
        <v>7090</v>
      </c>
      <c r="G1413" s="413"/>
      <c r="H1413" s="1277"/>
      <c r="I1413" s="1280"/>
    </row>
    <row r="1414" spans="1:9" hidden="1">
      <c r="A1414" s="428" t="s">
        <v>6268</v>
      </c>
      <c r="B1414" s="413" t="s">
        <v>146</v>
      </c>
      <c r="C1414" s="265">
        <v>1</v>
      </c>
      <c r="D1414" s="413" t="s">
        <v>7091</v>
      </c>
      <c r="E1414" s="413" t="s">
        <v>6380</v>
      </c>
      <c r="F1414" s="413" t="s">
        <v>7092</v>
      </c>
      <c r="G1414" s="413"/>
      <c r="H1414" s="1277"/>
      <c r="I1414" s="1280"/>
    </row>
    <row r="1415" spans="1:9" hidden="1">
      <c r="A1415" s="428" t="s">
        <v>6268</v>
      </c>
      <c r="B1415" s="413" t="s">
        <v>146</v>
      </c>
      <c r="C1415" s="265">
        <v>1</v>
      </c>
      <c r="D1415" s="413" t="s">
        <v>7093</v>
      </c>
      <c r="E1415" s="413" t="s">
        <v>6380</v>
      </c>
      <c r="F1415" s="413" t="s">
        <v>7094</v>
      </c>
      <c r="G1415" s="413"/>
      <c r="H1415" s="1277"/>
      <c r="I1415" s="1280"/>
    </row>
    <row r="1416" spans="1:9" hidden="1">
      <c r="A1416" s="428" t="s">
        <v>6268</v>
      </c>
      <c r="B1416" s="413" t="s">
        <v>146</v>
      </c>
      <c r="C1416" s="265">
        <v>1</v>
      </c>
      <c r="D1416" s="413" t="s">
        <v>7095</v>
      </c>
      <c r="E1416" s="413" t="s">
        <v>6380</v>
      </c>
      <c r="F1416" s="413" t="s">
        <v>7096</v>
      </c>
      <c r="G1416" s="413"/>
      <c r="H1416" s="1277"/>
      <c r="I1416" s="1280"/>
    </row>
    <row r="1417" spans="1:9" hidden="1">
      <c r="A1417" s="428" t="s">
        <v>6268</v>
      </c>
      <c r="B1417" s="413" t="s">
        <v>146</v>
      </c>
      <c r="C1417" s="265">
        <v>1</v>
      </c>
      <c r="D1417" s="413" t="s">
        <v>7097</v>
      </c>
      <c r="E1417" s="413" t="s">
        <v>6380</v>
      </c>
      <c r="F1417" s="413" t="s">
        <v>7098</v>
      </c>
      <c r="G1417" s="413"/>
      <c r="H1417" s="1277"/>
      <c r="I1417" s="1280"/>
    </row>
    <row r="1418" spans="1:9" hidden="1">
      <c r="A1418" s="428" t="s">
        <v>6268</v>
      </c>
      <c r="B1418" s="413" t="s">
        <v>146</v>
      </c>
      <c r="C1418" s="265">
        <v>1</v>
      </c>
      <c r="D1418" s="413" t="s">
        <v>7099</v>
      </c>
      <c r="E1418" s="413" t="s">
        <v>6380</v>
      </c>
      <c r="F1418" s="413" t="s">
        <v>7100</v>
      </c>
      <c r="G1418" s="413"/>
      <c r="H1418" s="1277"/>
      <c r="I1418" s="1280"/>
    </row>
    <row r="1419" spans="1:9" hidden="1">
      <c r="A1419" s="428" t="s">
        <v>6268</v>
      </c>
      <c r="B1419" s="413" t="s">
        <v>146</v>
      </c>
      <c r="C1419" s="265">
        <v>1</v>
      </c>
      <c r="D1419" s="413" t="s">
        <v>7101</v>
      </c>
      <c r="E1419" s="413" t="s">
        <v>6380</v>
      </c>
      <c r="F1419" s="413" t="s">
        <v>7102</v>
      </c>
      <c r="G1419" s="413"/>
      <c r="H1419" s="1277"/>
      <c r="I1419" s="1280"/>
    </row>
    <row r="1420" spans="1:9" hidden="1">
      <c r="A1420" s="428" t="s">
        <v>6268</v>
      </c>
      <c r="B1420" s="413" t="s">
        <v>146</v>
      </c>
      <c r="C1420" s="265">
        <v>1</v>
      </c>
      <c r="D1420" s="413" t="s">
        <v>7103</v>
      </c>
      <c r="E1420" s="413" t="s">
        <v>6380</v>
      </c>
      <c r="F1420" s="413" t="s">
        <v>7104</v>
      </c>
      <c r="G1420" s="413"/>
      <c r="H1420" s="1277"/>
      <c r="I1420" s="1280"/>
    </row>
    <row r="1421" spans="1:9" hidden="1">
      <c r="A1421" s="428" t="s">
        <v>6268</v>
      </c>
      <c r="B1421" s="413" t="s">
        <v>146</v>
      </c>
      <c r="C1421" s="265">
        <v>1</v>
      </c>
      <c r="D1421" s="413" t="s">
        <v>7105</v>
      </c>
      <c r="E1421" s="413" t="s">
        <v>6380</v>
      </c>
      <c r="F1421" s="413" t="s">
        <v>7106</v>
      </c>
      <c r="G1421" s="413"/>
      <c r="H1421" s="1277"/>
      <c r="I1421" s="1280"/>
    </row>
    <row r="1422" spans="1:9" hidden="1">
      <c r="A1422" s="428" t="s">
        <v>6268</v>
      </c>
      <c r="B1422" s="413" t="s">
        <v>146</v>
      </c>
      <c r="C1422" s="265">
        <v>1</v>
      </c>
      <c r="D1422" s="413" t="s">
        <v>7107</v>
      </c>
      <c r="E1422" s="413" t="s">
        <v>6380</v>
      </c>
      <c r="F1422" s="413" t="s">
        <v>7108</v>
      </c>
      <c r="G1422" s="413"/>
      <c r="H1422" s="1277"/>
      <c r="I1422" s="1280"/>
    </row>
    <row r="1423" spans="1:9" hidden="1">
      <c r="A1423" s="428" t="s">
        <v>6268</v>
      </c>
      <c r="B1423" s="413" t="s">
        <v>146</v>
      </c>
      <c r="C1423" s="265">
        <v>1</v>
      </c>
      <c r="D1423" s="413" t="s">
        <v>7109</v>
      </c>
      <c r="E1423" s="413" t="s">
        <v>6380</v>
      </c>
      <c r="F1423" s="413" t="s">
        <v>7110</v>
      </c>
      <c r="G1423" s="413"/>
      <c r="H1423" s="1277"/>
      <c r="I1423" s="1280"/>
    </row>
    <row r="1424" spans="1:9" hidden="1">
      <c r="A1424" s="428" t="s">
        <v>6268</v>
      </c>
      <c r="B1424" s="413" t="s">
        <v>146</v>
      </c>
      <c r="C1424" s="265">
        <v>1</v>
      </c>
      <c r="D1424" s="413" t="s">
        <v>7111</v>
      </c>
      <c r="E1424" s="413" t="s">
        <v>6380</v>
      </c>
      <c r="F1424" s="413" t="s">
        <v>7112</v>
      </c>
      <c r="G1424" s="413"/>
      <c r="H1424" s="1277"/>
      <c r="I1424" s="1280"/>
    </row>
    <row r="1425" spans="1:9" hidden="1">
      <c r="A1425" s="428" t="s">
        <v>6268</v>
      </c>
      <c r="B1425" s="413" t="s">
        <v>146</v>
      </c>
      <c r="C1425" s="265">
        <v>1</v>
      </c>
      <c r="D1425" s="413" t="s">
        <v>7113</v>
      </c>
      <c r="E1425" s="413" t="s">
        <v>6380</v>
      </c>
      <c r="F1425" s="413" t="s">
        <v>7114</v>
      </c>
      <c r="G1425" s="413"/>
      <c r="H1425" s="1277"/>
      <c r="I1425" s="1280"/>
    </row>
    <row r="1426" spans="1:9" hidden="1">
      <c r="A1426" s="428" t="s">
        <v>6268</v>
      </c>
      <c r="B1426" s="413" t="s">
        <v>146</v>
      </c>
      <c r="C1426" s="265">
        <v>1</v>
      </c>
      <c r="D1426" s="413" t="s">
        <v>7115</v>
      </c>
      <c r="E1426" s="413" t="s">
        <v>6380</v>
      </c>
      <c r="F1426" s="413" t="s">
        <v>7116</v>
      </c>
      <c r="G1426" s="413"/>
      <c r="H1426" s="1277"/>
      <c r="I1426" s="1280"/>
    </row>
    <row r="1427" spans="1:9" hidden="1">
      <c r="A1427" s="428" t="s">
        <v>6268</v>
      </c>
      <c r="B1427" s="413" t="s">
        <v>146</v>
      </c>
      <c r="C1427" s="265">
        <v>1</v>
      </c>
      <c r="D1427" s="413" t="s">
        <v>7117</v>
      </c>
      <c r="E1427" s="413" t="s">
        <v>6380</v>
      </c>
      <c r="F1427" s="413" t="s">
        <v>7118</v>
      </c>
      <c r="G1427" s="413"/>
      <c r="H1427" s="1277"/>
      <c r="I1427" s="1280"/>
    </row>
    <row r="1428" spans="1:9" hidden="1">
      <c r="A1428" s="428" t="s">
        <v>6268</v>
      </c>
      <c r="B1428" s="413" t="s">
        <v>146</v>
      </c>
      <c r="C1428" s="265">
        <v>1</v>
      </c>
      <c r="D1428" s="413" t="s">
        <v>7119</v>
      </c>
      <c r="E1428" s="413" t="s">
        <v>6380</v>
      </c>
      <c r="F1428" s="413" t="s">
        <v>7120</v>
      </c>
      <c r="G1428" s="413"/>
      <c r="H1428" s="1277"/>
      <c r="I1428" s="1280"/>
    </row>
    <row r="1429" spans="1:9" hidden="1">
      <c r="A1429" s="428" t="s">
        <v>6268</v>
      </c>
      <c r="B1429" s="413" t="s">
        <v>146</v>
      </c>
      <c r="C1429" s="265">
        <v>1</v>
      </c>
      <c r="D1429" s="413" t="s">
        <v>7121</v>
      </c>
      <c r="E1429" s="413" t="s">
        <v>6380</v>
      </c>
      <c r="F1429" s="413" t="s">
        <v>7122</v>
      </c>
      <c r="G1429" s="413"/>
      <c r="H1429" s="1277"/>
      <c r="I1429" s="1280"/>
    </row>
    <row r="1430" spans="1:9" hidden="1">
      <c r="A1430" s="428" t="s">
        <v>6268</v>
      </c>
      <c r="B1430" s="413" t="s">
        <v>146</v>
      </c>
      <c r="C1430" s="265">
        <v>1</v>
      </c>
      <c r="D1430" s="413" t="s">
        <v>7123</v>
      </c>
      <c r="E1430" s="413" t="s">
        <v>6380</v>
      </c>
      <c r="F1430" s="413" t="s">
        <v>7124</v>
      </c>
      <c r="G1430" s="413"/>
      <c r="H1430" s="1277"/>
      <c r="I1430" s="1280"/>
    </row>
    <row r="1431" spans="1:9" hidden="1">
      <c r="A1431" s="428" t="s">
        <v>6268</v>
      </c>
      <c r="B1431" s="413" t="s">
        <v>146</v>
      </c>
      <c r="C1431" s="265">
        <v>1</v>
      </c>
      <c r="D1431" s="413" t="s">
        <v>7125</v>
      </c>
      <c r="E1431" s="413" t="s">
        <v>6380</v>
      </c>
      <c r="F1431" s="413" t="s">
        <v>7126</v>
      </c>
      <c r="G1431" s="413"/>
      <c r="H1431" s="1277"/>
      <c r="I1431" s="1280"/>
    </row>
    <row r="1432" spans="1:9" hidden="1">
      <c r="A1432" s="428" t="s">
        <v>6268</v>
      </c>
      <c r="B1432" s="413" t="s">
        <v>146</v>
      </c>
      <c r="C1432" s="265">
        <v>1</v>
      </c>
      <c r="D1432" s="413" t="s">
        <v>7127</v>
      </c>
      <c r="E1432" s="413" t="s">
        <v>6380</v>
      </c>
      <c r="F1432" s="413" t="s">
        <v>7128</v>
      </c>
      <c r="G1432" s="413"/>
      <c r="H1432" s="1277"/>
      <c r="I1432" s="1280"/>
    </row>
    <row r="1433" spans="1:9" hidden="1">
      <c r="A1433" s="428" t="s">
        <v>6268</v>
      </c>
      <c r="B1433" s="413" t="s">
        <v>146</v>
      </c>
      <c r="C1433" s="265">
        <v>1</v>
      </c>
      <c r="D1433" s="413" t="s">
        <v>7129</v>
      </c>
      <c r="E1433" s="413" t="s">
        <v>6380</v>
      </c>
      <c r="F1433" s="413" t="s">
        <v>7130</v>
      </c>
      <c r="G1433" s="413"/>
      <c r="H1433" s="1277"/>
      <c r="I1433" s="1280"/>
    </row>
    <row r="1434" spans="1:9" hidden="1">
      <c r="A1434" s="428" t="s">
        <v>6268</v>
      </c>
      <c r="B1434" s="413" t="s">
        <v>146</v>
      </c>
      <c r="C1434" s="265">
        <v>1</v>
      </c>
      <c r="D1434" s="413" t="s">
        <v>7131</v>
      </c>
      <c r="E1434" s="413" t="s">
        <v>6380</v>
      </c>
      <c r="F1434" s="413" t="s">
        <v>7132</v>
      </c>
      <c r="G1434" s="413"/>
      <c r="H1434" s="1277"/>
      <c r="I1434" s="1280"/>
    </row>
    <row r="1435" spans="1:9" hidden="1">
      <c r="A1435" s="428" t="s">
        <v>6268</v>
      </c>
      <c r="B1435" s="413" t="s">
        <v>146</v>
      </c>
      <c r="C1435" s="265">
        <v>1</v>
      </c>
      <c r="D1435" s="413" t="s">
        <v>7133</v>
      </c>
      <c r="E1435" s="413" t="s">
        <v>6380</v>
      </c>
      <c r="F1435" s="413" t="s">
        <v>7134</v>
      </c>
      <c r="G1435" s="413"/>
      <c r="H1435" s="1277"/>
      <c r="I1435" s="1280"/>
    </row>
    <row r="1436" spans="1:9" hidden="1">
      <c r="A1436" s="428" t="s">
        <v>6268</v>
      </c>
      <c r="B1436" s="413" t="s">
        <v>146</v>
      </c>
      <c r="C1436" s="265">
        <v>1</v>
      </c>
      <c r="D1436" s="413" t="s">
        <v>7135</v>
      </c>
      <c r="E1436" s="413" t="s">
        <v>6380</v>
      </c>
      <c r="F1436" s="413" t="s">
        <v>7136</v>
      </c>
      <c r="G1436" s="413"/>
      <c r="H1436" s="1277"/>
      <c r="I1436" s="1280"/>
    </row>
    <row r="1437" spans="1:9" hidden="1">
      <c r="A1437" s="428" t="s">
        <v>6268</v>
      </c>
      <c r="B1437" s="413" t="s">
        <v>146</v>
      </c>
      <c r="C1437" s="265">
        <v>1</v>
      </c>
      <c r="D1437" s="413" t="s">
        <v>7137</v>
      </c>
      <c r="E1437" s="413" t="s">
        <v>6380</v>
      </c>
      <c r="F1437" s="413" t="s">
        <v>7138</v>
      </c>
      <c r="G1437" s="413"/>
      <c r="H1437" s="1277"/>
      <c r="I1437" s="1280"/>
    </row>
    <row r="1438" spans="1:9" hidden="1">
      <c r="A1438" s="428" t="s">
        <v>6268</v>
      </c>
      <c r="B1438" s="413" t="s">
        <v>146</v>
      </c>
      <c r="C1438" s="265">
        <v>1</v>
      </c>
      <c r="D1438" s="413" t="s">
        <v>7139</v>
      </c>
      <c r="E1438" s="413" t="s">
        <v>6380</v>
      </c>
      <c r="F1438" s="413" t="s">
        <v>7140</v>
      </c>
      <c r="G1438" s="413"/>
      <c r="H1438" s="1277"/>
      <c r="I1438" s="1280"/>
    </row>
    <row r="1439" spans="1:9" hidden="1">
      <c r="A1439" s="428" t="s">
        <v>6268</v>
      </c>
      <c r="B1439" s="413" t="s">
        <v>146</v>
      </c>
      <c r="C1439" s="265">
        <v>1</v>
      </c>
      <c r="D1439" s="413" t="s">
        <v>7141</v>
      </c>
      <c r="E1439" s="413" t="s">
        <v>6380</v>
      </c>
      <c r="F1439" s="413" t="s">
        <v>7142</v>
      </c>
      <c r="G1439" s="413"/>
      <c r="H1439" s="1277"/>
      <c r="I1439" s="1280"/>
    </row>
    <row r="1440" spans="1:9" hidden="1">
      <c r="A1440" s="428" t="s">
        <v>6268</v>
      </c>
      <c r="B1440" s="413" t="s">
        <v>146</v>
      </c>
      <c r="C1440" s="265">
        <v>1</v>
      </c>
      <c r="D1440" s="413" t="s">
        <v>7143</v>
      </c>
      <c r="E1440" s="413" t="s">
        <v>6380</v>
      </c>
      <c r="F1440" s="413" t="s">
        <v>7144</v>
      </c>
      <c r="G1440" s="413"/>
      <c r="H1440" s="1277"/>
      <c r="I1440" s="1280"/>
    </row>
    <row r="1441" spans="1:9" hidden="1">
      <c r="A1441" s="428" t="s">
        <v>6268</v>
      </c>
      <c r="B1441" s="413" t="s">
        <v>146</v>
      </c>
      <c r="C1441" s="265">
        <v>1</v>
      </c>
      <c r="D1441" s="413" t="s">
        <v>7145</v>
      </c>
      <c r="E1441" s="413" t="s">
        <v>6380</v>
      </c>
      <c r="F1441" s="413" t="s">
        <v>7146</v>
      </c>
      <c r="G1441" s="413"/>
      <c r="H1441" s="1277"/>
      <c r="I1441" s="1280"/>
    </row>
    <row r="1442" spans="1:9" hidden="1">
      <c r="A1442" s="428" t="s">
        <v>6268</v>
      </c>
      <c r="B1442" s="413" t="s">
        <v>146</v>
      </c>
      <c r="C1442" s="265">
        <v>1</v>
      </c>
      <c r="D1442" s="413" t="s">
        <v>7147</v>
      </c>
      <c r="E1442" s="413" t="s">
        <v>6380</v>
      </c>
      <c r="F1442" s="413" t="s">
        <v>7148</v>
      </c>
      <c r="G1442" s="413"/>
      <c r="H1442" s="1277"/>
      <c r="I1442" s="1280"/>
    </row>
    <row r="1443" spans="1:9" hidden="1">
      <c r="A1443" s="428" t="s">
        <v>6268</v>
      </c>
      <c r="B1443" s="413" t="s">
        <v>146</v>
      </c>
      <c r="C1443" s="265">
        <v>1</v>
      </c>
      <c r="D1443" s="413" t="s">
        <v>7149</v>
      </c>
      <c r="E1443" s="413" t="s">
        <v>6380</v>
      </c>
      <c r="F1443" s="413" t="s">
        <v>7150</v>
      </c>
      <c r="G1443" s="413"/>
      <c r="H1443" s="1277"/>
      <c r="I1443" s="1280"/>
    </row>
    <row r="1444" spans="1:9" hidden="1">
      <c r="A1444" s="428" t="s">
        <v>6268</v>
      </c>
      <c r="B1444" s="413" t="s">
        <v>146</v>
      </c>
      <c r="C1444" s="265">
        <v>1</v>
      </c>
      <c r="D1444" s="413" t="s">
        <v>7151</v>
      </c>
      <c r="E1444" s="413" t="s">
        <v>6380</v>
      </c>
      <c r="F1444" s="413" t="s">
        <v>7152</v>
      </c>
      <c r="G1444" s="413"/>
      <c r="H1444" s="1277"/>
      <c r="I1444" s="1280"/>
    </row>
    <row r="1445" spans="1:9" hidden="1">
      <c r="A1445" s="428" t="s">
        <v>6268</v>
      </c>
      <c r="B1445" s="413" t="s">
        <v>146</v>
      </c>
      <c r="C1445" s="265">
        <v>1</v>
      </c>
      <c r="D1445" s="413" t="s">
        <v>7153</v>
      </c>
      <c r="E1445" s="413" t="s">
        <v>6380</v>
      </c>
      <c r="F1445" s="413" t="s">
        <v>7154</v>
      </c>
      <c r="G1445" s="413"/>
      <c r="H1445" s="1277"/>
      <c r="I1445" s="1280"/>
    </row>
    <row r="1446" spans="1:9" hidden="1">
      <c r="A1446" s="428" t="s">
        <v>6268</v>
      </c>
      <c r="B1446" s="413" t="s">
        <v>146</v>
      </c>
      <c r="C1446" s="265">
        <v>1</v>
      </c>
      <c r="D1446" s="413" t="s">
        <v>7155</v>
      </c>
      <c r="E1446" s="413" t="s">
        <v>6380</v>
      </c>
      <c r="F1446" s="413" t="s">
        <v>7156</v>
      </c>
      <c r="G1446" s="413"/>
      <c r="H1446" s="1277"/>
      <c r="I1446" s="1280"/>
    </row>
    <row r="1447" spans="1:9" hidden="1">
      <c r="A1447" s="428" t="s">
        <v>6268</v>
      </c>
      <c r="B1447" s="413" t="s">
        <v>146</v>
      </c>
      <c r="C1447" s="265">
        <v>1</v>
      </c>
      <c r="D1447" s="413" t="s">
        <v>7157</v>
      </c>
      <c r="E1447" s="413" t="s">
        <v>6380</v>
      </c>
      <c r="F1447" s="413" t="s">
        <v>7158</v>
      </c>
      <c r="G1447" s="413"/>
      <c r="H1447" s="1277"/>
      <c r="I1447" s="1280"/>
    </row>
    <row r="1448" spans="1:9" hidden="1">
      <c r="A1448" s="428" t="s">
        <v>6268</v>
      </c>
      <c r="B1448" s="413" t="s">
        <v>146</v>
      </c>
      <c r="C1448" s="265">
        <v>1</v>
      </c>
      <c r="D1448" s="413" t="s">
        <v>7159</v>
      </c>
      <c r="E1448" s="413" t="s">
        <v>6380</v>
      </c>
      <c r="F1448" s="413" t="s">
        <v>7160</v>
      </c>
      <c r="G1448" s="413"/>
      <c r="H1448" s="1277"/>
      <c r="I1448" s="1280"/>
    </row>
    <row r="1449" spans="1:9" hidden="1">
      <c r="A1449" s="428" t="s">
        <v>6268</v>
      </c>
      <c r="B1449" s="413" t="s">
        <v>146</v>
      </c>
      <c r="C1449" s="265">
        <v>1</v>
      </c>
      <c r="D1449" s="413" t="s">
        <v>7161</v>
      </c>
      <c r="E1449" s="413" t="s">
        <v>6380</v>
      </c>
      <c r="F1449" s="413" t="s">
        <v>7162</v>
      </c>
      <c r="G1449" s="413"/>
      <c r="H1449" s="1277"/>
      <c r="I1449" s="1280"/>
    </row>
    <row r="1450" spans="1:9" hidden="1">
      <c r="A1450" s="428" t="s">
        <v>6268</v>
      </c>
      <c r="B1450" s="413" t="s">
        <v>146</v>
      </c>
      <c r="C1450" s="265">
        <v>1</v>
      </c>
      <c r="D1450" s="413" t="s">
        <v>7163</v>
      </c>
      <c r="E1450" s="413" t="s">
        <v>6380</v>
      </c>
      <c r="F1450" s="413" t="s">
        <v>7164</v>
      </c>
      <c r="G1450" s="413"/>
      <c r="H1450" s="1277"/>
      <c r="I1450" s="1280"/>
    </row>
    <row r="1451" spans="1:9" hidden="1">
      <c r="A1451" s="428" t="s">
        <v>6268</v>
      </c>
      <c r="B1451" s="413" t="s">
        <v>146</v>
      </c>
      <c r="C1451" s="265">
        <v>1</v>
      </c>
      <c r="D1451" s="413" t="s">
        <v>7165</v>
      </c>
      <c r="E1451" s="413" t="s">
        <v>6380</v>
      </c>
      <c r="F1451" s="413" t="s">
        <v>7166</v>
      </c>
      <c r="G1451" s="413"/>
      <c r="H1451" s="1277"/>
      <c r="I1451" s="1280"/>
    </row>
    <row r="1452" spans="1:9" hidden="1">
      <c r="A1452" s="428" t="s">
        <v>6268</v>
      </c>
      <c r="B1452" s="413" t="s">
        <v>146</v>
      </c>
      <c r="C1452" s="265">
        <v>1</v>
      </c>
      <c r="D1452" s="413" t="s">
        <v>7167</v>
      </c>
      <c r="E1452" s="413" t="s">
        <v>6380</v>
      </c>
      <c r="F1452" s="413" t="s">
        <v>7168</v>
      </c>
      <c r="G1452" s="413"/>
      <c r="H1452" s="1277"/>
      <c r="I1452" s="1280"/>
    </row>
    <row r="1453" spans="1:9" hidden="1">
      <c r="A1453" s="428" t="s">
        <v>6268</v>
      </c>
      <c r="B1453" s="413" t="s">
        <v>146</v>
      </c>
      <c r="C1453" s="265">
        <v>1</v>
      </c>
      <c r="D1453" s="413" t="s">
        <v>7169</v>
      </c>
      <c r="E1453" s="413" t="s">
        <v>6380</v>
      </c>
      <c r="F1453" s="413" t="s">
        <v>7170</v>
      </c>
      <c r="G1453" s="413"/>
      <c r="H1453" s="1277"/>
      <c r="I1453" s="1280"/>
    </row>
    <row r="1454" spans="1:9" hidden="1">
      <c r="A1454" s="428" t="s">
        <v>6268</v>
      </c>
      <c r="B1454" s="413" t="s">
        <v>146</v>
      </c>
      <c r="C1454" s="265">
        <v>1</v>
      </c>
      <c r="D1454" s="413" t="s">
        <v>7171</v>
      </c>
      <c r="E1454" s="413" t="s">
        <v>6380</v>
      </c>
      <c r="F1454" s="413" t="s">
        <v>7172</v>
      </c>
      <c r="G1454" s="413"/>
      <c r="H1454" s="1277"/>
      <c r="I1454" s="1280"/>
    </row>
    <row r="1455" spans="1:9" hidden="1">
      <c r="A1455" s="428" t="s">
        <v>6268</v>
      </c>
      <c r="B1455" s="413" t="s">
        <v>146</v>
      </c>
      <c r="C1455" s="265">
        <v>1</v>
      </c>
      <c r="D1455" s="413" t="s">
        <v>7173</v>
      </c>
      <c r="E1455" s="413" t="s">
        <v>6380</v>
      </c>
      <c r="F1455" s="413" t="s">
        <v>7174</v>
      </c>
      <c r="G1455" s="413"/>
      <c r="H1455" s="1277"/>
      <c r="I1455" s="1280"/>
    </row>
    <row r="1456" spans="1:9" hidden="1">
      <c r="A1456" s="428" t="s">
        <v>6268</v>
      </c>
      <c r="B1456" s="413" t="s">
        <v>146</v>
      </c>
      <c r="C1456" s="265">
        <v>1</v>
      </c>
      <c r="D1456" s="413" t="s">
        <v>7175</v>
      </c>
      <c r="E1456" s="413" t="s">
        <v>6380</v>
      </c>
      <c r="F1456" s="413" t="s">
        <v>7176</v>
      </c>
      <c r="G1456" s="413"/>
      <c r="H1456" s="1277"/>
      <c r="I1456" s="1280"/>
    </row>
    <row r="1457" spans="1:9" hidden="1">
      <c r="A1457" s="428" t="s">
        <v>6268</v>
      </c>
      <c r="B1457" s="413" t="s">
        <v>146</v>
      </c>
      <c r="C1457" s="265">
        <v>1</v>
      </c>
      <c r="D1457" s="413" t="s">
        <v>7177</v>
      </c>
      <c r="E1457" s="413" t="s">
        <v>6380</v>
      </c>
      <c r="F1457" s="413" t="s">
        <v>7178</v>
      </c>
      <c r="G1457" s="413"/>
      <c r="H1457" s="1277"/>
      <c r="I1457" s="1280"/>
    </row>
    <row r="1458" spans="1:9" hidden="1">
      <c r="A1458" s="428" t="s">
        <v>6268</v>
      </c>
      <c r="B1458" s="413" t="s">
        <v>146</v>
      </c>
      <c r="C1458" s="265">
        <v>1</v>
      </c>
      <c r="D1458" s="413" t="s">
        <v>7179</v>
      </c>
      <c r="E1458" s="413" t="s">
        <v>6380</v>
      </c>
      <c r="F1458" s="413" t="s">
        <v>7180</v>
      </c>
      <c r="G1458" s="413"/>
      <c r="H1458" s="1277"/>
      <c r="I1458" s="1280"/>
    </row>
    <row r="1459" spans="1:9" hidden="1">
      <c r="A1459" s="428" t="s">
        <v>6268</v>
      </c>
      <c r="B1459" s="413" t="s">
        <v>146</v>
      </c>
      <c r="C1459" s="265">
        <v>1</v>
      </c>
      <c r="D1459" s="413" t="s">
        <v>7181</v>
      </c>
      <c r="E1459" s="413" t="s">
        <v>6380</v>
      </c>
      <c r="F1459" s="413" t="s">
        <v>7182</v>
      </c>
      <c r="G1459" s="413"/>
      <c r="H1459" s="1277"/>
      <c r="I1459" s="1280"/>
    </row>
    <row r="1460" spans="1:9" hidden="1">
      <c r="A1460" s="428" t="s">
        <v>6268</v>
      </c>
      <c r="B1460" s="413" t="s">
        <v>146</v>
      </c>
      <c r="C1460" s="265">
        <v>1</v>
      </c>
      <c r="D1460" s="413" t="s">
        <v>7183</v>
      </c>
      <c r="E1460" s="413" t="s">
        <v>6380</v>
      </c>
      <c r="F1460" s="413" t="s">
        <v>7184</v>
      </c>
      <c r="G1460" s="413"/>
      <c r="H1460" s="1277"/>
      <c r="I1460" s="1280"/>
    </row>
    <row r="1461" spans="1:9" hidden="1">
      <c r="A1461" s="428" t="s">
        <v>6268</v>
      </c>
      <c r="B1461" s="413" t="s">
        <v>146</v>
      </c>
      <c r="C1461" s="265">
        <v>1</v>
      </c>
      <c r="D1461" s="413" t="s">
        <v>7185</v>
      </c>
      <c r="E1461" s="413" t="s">
        <v>6380</v>
      </c>
      <c r="F1461" s="413" t="s">
        <v>7186</v>
      </c>
      <c r="G1461" s="413"/>
      <c r="H1461" s="1277"/>
      <c r="I1461" s="1280"/>
    </row>
    <row r="1462" spans="1:9" hidden="1">
      <c r="A1462" s="428" t="s">
        <v>6268</v>
      </c>
      <c r="B1462" s="413" t="s">
        <v>146</v>
      </c>
      <c r="C1462" s="265">
        <v>1</v>
      </c>
      <c r="D1462" s="413" t="s">
        <v>7187</v>
      </c>
      <c r="E1462" s="413" t="s">
        <v>6380</v>
      </c>
      <c r="F1462" s="413" t="s">
        <v>7188</v>
      </c>
      <c r="G1462" s="413"/>
      <c r="H1462" s="1277"/>
      <c r="I1462" s="1280"/>
    </row>
    <row r="1463" spans="1:9" hidden="1">
      <c r="A1463" s="428" t="s">
        <v>6268</v>
      </c>
      <c r="B1463" s="413" t="s">
        <v>146</v>
      </c>
      <c r="C1463" s="265">
        <v>1</v>
      </c>
      <c r="D1463" s="413" t="s">
        <v>7189</v>
      </c>
      <c r="E1463" s="413" t="s">
        <v>6380</v>
      </c>
      <c r="F1463" s="413" t="s">
        <v>7190</v>
      </c>
      <c r="G1463" s="413"/>
      <c r="H1463" s="1277"/>
      <c r="I1463" s="1280"/>
    </row>
    <row r="1464" spans="1:9" hidden="1">
      <c r="A1464" s="428" t="s">
        <v>6268</v>
      </c>
      <c r="B1464" s="413" t="s">
        <v>146</v>
      </c>
      <c r="C1464" s="265">
        <v>1</v>
      </c>
      <c r="D1464" s="413" t="s">
        <v>7191</v>
      </c>
      <c r="E1464" s="413" t="s">
        <v>6380</v>
      </c>
      <c r="F1464" s="413" t="s">
        <v>7192</v>
      </c>
      <c r="G1464" s="413"/>
      <c r="H1464" s="1277"/>
      <c r="I1464" s="1280"/>
    </row>
    <row r="1465" spans="1:9" hidden="1">
      <c r="A1465" s="428" t="s">
        <v>6268</v>
      </c>
      <c r="B1465" s="413" t="s">
        <v>146</v>
      </c>
      <c r="C1465" s="265">
        <v>1</v>
      </c>
      <c r="D1465" s="413" t="s">
        <v>7193</v>
      </c>
      <c r="E1465" s="413" t="s">
        <v>6380</v>
      </c>
      <c r="F1465" s="413" t="s">
        <v>7194</v>
      </c>
      <c r="G1465" s="413"/>
      <c r="H1465" s="1277"/>
      <c r="I1465" s="1280"/>
    </row>
    <row r="1466" spans="1:9" hidden="1">
      <c r="A1466" s="428" t="s">
        <v>6268</v>
      </c>
      <c r="B1466" s="413" t="s">
        <v>146</v>
      </c>
      <c r="C1466" s="265">
        <v>1</v>
      </c>
      <c r="D1466" s="413" t="s">
        <v>7195</v>
      </c>
      <c r="E1466" s="413" t="s">
        <v>6380</v>
      </c>
      <c r="F1466" s="413" t="s">
        <v>7196</v>
      </c>
      <c r="G1466" s="413"/>
      <c r="H1466" s="1277"/>
      <c r="I1466" s="1280"/>
    </row>
    <row r="1467" spans="1:9" hidden="1">
      <c r="A1467" s="428" t="s">
        <v>6268</v>
      </c>
      <c r="B1467" s="413" t="s">
        <v>146</v>
      </c>
      <c r="C1467" s="265">
        <v>1</v>
      </c>
      <c r="D1467" s="413" t="s">
        <v>7197</v>
      </c>
      <c r="E1467" s="413" t="s">
        <v>6380</v>
      </c>
      <c r="F1467" s="413" t="s">
        <v>7198</v>
      </c>
      <c r="G1467" s="413"/>
      <c r="H1467" s="1277"/>
      <c r="I1467" s="1280"/>
    </row>
    <row r="1468" spans="1:9" hidden="1">
      <c r="A1468" s="428" t="s">
        <v>6268</v>
      </c>
      <c r="B1468" s="413" t="s">
        <v>146</v>
      </c>
      <c r="C1468" s="265">
        <v>1</v>
      </c>
      <c r="D1468" s="413" t="s">
        <v>7199</v>
      </c>
      <c r="E1468" s="413" t="s">
        <v>6380</v>
      </c>
      <c r="F1468" s="413" t="s">
        <v>7200</v>
      </c>
      <c r="G1468" s="413"/>
      <c r="H1468" s="1277"/>
      <c r="I1468" s="1280"/>
    </row>
    <row r="1469" spans="1:9" hidden="1">
      <c r="A1469" s="428" t="s">
        <v>6268</v>
      </c>
      <c r="B1469" s="413" t="s">
        <v>146</v>
      </c>
      <c r="C1469" s="265">
        <v>1</v>
      </c>
      <c r="D1469" s="413" t="s">
        <v>7201</v>
      </c>
      <c r="E1469" s="413" t="s">
        <v>6380</v>
      </c>
      <c r="F1469" s="413" t="s">
        <v>7202</v>
      </c>
      <c r="G1469" s="413"/>
      <c r="H1469" s="1277"/>
      <c r="I1469" s="1280"/>
    </row>
    <row r="1470" spans="1:9" hidden="1">
      <c r="A1470" s="428" t="s">
        <v>6268</v>
      </c>
      <c r="B1470" s="413" t="s">
        <v>146</v>
      </c>
      <c r="C1470" s="265">
        <v>1</v>
      </c>
      <c r="D1470" s="413" t="s">
        <v>7203</v>
      </c>
      <c r="E1470" s="413" t="s">
        <v>6380</v>
      </c>
      <c r="F1470" s="413" t="s">
        <v>7204</v>
      </c>
      <c r="G1470" s="413"/>
      <c r="H1470" s="1277"/>
      <c r="I1470" s="1280"/>
    </row>
    <row r="1471" spans="1:9" hidden="1">
      <c r="A1471" s="428" t="s">
        <v>6268</v>
      </c>
      <c r="B1471" s="413" t="s">
        <v>146</v>
      </c>
      <c r="C1471" s="265">
        <v>1</v>
      </c>
      <c r="D1471" s="413" t="s">
        <v>7205</v>
      </c>
      <c r="E1471" s="413" t="s">
        <v>6380</v>
      </c>
      <c r="F1471" s="413" t="s">
        <v>7206</v>
      </c>
      <c r="G1471" s="413"/>
      <c r="H1471" s="1277"/>
      <c r="I1471" s="1280"/>
    </row>
    <row r="1472" spans="1:9" hidden="1">
      <c r="A1472" s="428" t="s">
        <v>6268</v>
      </c>
      <c r="B1472" s="413" t="s">
        <v>146</v>
      </c>
      <c r="C1472" s="265">
        <v>1</v>
      </c>
      <c r="D1472" s="413" t="s">
        <v>7207</v>
      </c>
      <c r="E1472" s="413" t="s">
        <v>6380</v>
      </c>
      <c r="F1472" s="413" t="s">
        <v>7208</v>
      </c>
      <c r="G1472" s="413"/>
      <c r="H1472" s="1277"/>
      <c r="I1472" s="1280"/>
    </row>
    <row r="1473" spans="1:9" hidden="1">
      <c r="A1473" s="428" t="s">
        <v>6268</v>
      </c>
      <c r="B1473" s="413" t="s">
        <v>146</v>
      </c>
      <c r="C1473" s="265">
        <v>1</v>
      </c>
      <c r="D1473" s="413" t="s">
        <v>7209</v>
      </c>
      <c r="E1473" s="413" t="s">
        <v>6380</v>
      </c>
      <c r="F1473" s="413" t="s">
        <v>7210</v>
      </c>
      <c r="G1473" s="413"/>
      <c r="H1473" s="1277"/>
      <c r="I1473" s="1280"/>
    </row>
    <row r="1474" spans="1:9" hidden="1">
      <c r="A1474" s="428" t="s">
        <v>6268</v>
      </c>
      <c r="B1474" s="413" t="s">
        <v>146</v>
      </c>
      <c r="C1474" s="265">
        <v>1</v>
      </c>
      <c r="D1474" s="413" t="s">
        <v>7211</v>
      </c>
      <c r="E1474" s="413" t="s">
        <v>6380</v>
      </c>
      <c r="F1474" s="413" t="s">
        <v>7212</v>
      </c>
      <c r="G1474" s="413"/>
      <c r="H1474" s="1277"/>
      <c r="I1474" s="1280"/>
    </row>
    <row r="1475" spans="1:9" hidden="1">
      <c r="A1475" s="428" t="s">
        <v>6268</v>
      </c>
      <c r="B1475" s="413" t="s">
        <v>146</v>
      </c>
      <c r="C1475" s="265">
        <v>1</v>
      </c>
      <c r="D1475" s="413" t="s">
        <v>7213</v>
      </c>
      <c r="E1475" s="413" t="s">
        <v>6380</v>
      </c>
      <c r="F1475" s="413" t="s">
        <v>7214</v>
      </c>
      <c r="G1475" s="413"/>
      <c r="H1475" s="1277"/>
      <c r="I1475" s="1280"/>
    </row>
    <row r="1476" spans="1:9" hidden="1">
      <c r="A1476" s="428" t="s">
        <v>6268</v>
      </c>
      <c r="B1476" s="413" t="s">
        <v>146</v>
      </c>
      <c r="C1476" s="265">
        <v>1</v>
      </c>
      <c r="D1476" s="413" t="s">
        <v>7215</v>
      </c>
      <c r="E1476" s="413" t="s">
        <v>6380</v>
      </c>
      <c r="F1476" s="413" t="s">
        <v>7216</v>
      </c>
      <c r="G1476" s="413"/>
      <c r="H1476" s="1277"/>
      <c r="I1476" s="1280"/>
    </row>
    <row r="1477" spans="1:9" hidden="1">
      <c r="A1477" s="428" t="s">
        <v>6268</v>
      </c>
      <c r="B1477" s="413" t="s">
        <v>146</v>
      </c>
      <c r="C1477" s="265">
        <v>1</v>
      </c>
      <c r="D1477" s="413" t="s">
        <v>7217</v>
      </c>
      <c r="E1477" s="413" t="s">
        <v>6380</v>
      </c>
      <c r="F1477" s="413" t="s">
        <v>7218</v>
      </c>
      <c r="G1477" s="413"/>
      <c r="H1477" s="1277"/>
      <c r="I1477" s="1280"/>
    </row>
    <row r="1478" spans="1:9" hidden="1">
      <c r="A1478" s="428" t="s">
        <v>6268</v>
      </c>
      <c r="B1478" s="413" t="s">
        <v>146</v>
      </c>
      <c r="C1478" s="265">
        <v>1</v>
      </c>
      <c r="D1478" s="413" t="s">
        <v>7219</v>
      </c>
      <c r="E1478" s="413" t="s">
        <v>6380</v>
      </c>
      <c r="F1478" s="413" t="s">
        <v>7220</v>
      </c>
      <c r="G1478" s="413"/>
      <c r="H1478" s="1277"/>
      <c r="I1478" s="1280"/>
    </row>
    <row r="1479" spans="1:9" hidden="1">
      <c r="A1479" s="428" t="s">
        <v>6268</v>
      </c>
      <c r="B1479" s="413" t="s">
        <v>146</v>
      </c>
      <c r="C1479" s="265">
        <v>1</v>
      </c>
      <c r="D1479" s="413" t="s">
        <v>7221</v>
      </c>
      <c r="E1479" s="413" t="s">
        <v>6380</v>
      </c>
      <c r="F1479" s="413" t="s">
        <v>7222</v>
      </c>
      <c r="G1479" s="413"/>
      <c r="H1479" s="1277"/>
      <c r="I1479" s="1280"/>
    </row>
    <row r="1480" spans="1:9" hidden="1">
      <c r="A1480" s="428" t="s">
        <v>6268</v>
      </c>
      <c r="B1480" s="413" t="s">
        <v>146</v>
      </c>
      <c r="C1480" s="265">
        <v>1</v>
      </c>
      <c r="D1480" s="413" t="s">
        <v>7223</v>
      </c>
      <c r="E1480" s="413" t="s">
        <v>6380</v>
      </c>
      <c r="F1480" s="413" t="s">
        <v>7224</v>
      </c>
      <c r="G1480" s="413"/>
      <c r="H1480" s="1277"/>
      <c r="I1480" s="1280"/>
    </row>
    <row r="1481" spans="1:9" hidden="1">
      <c r="A1481" s="428" t="s">
        <v>6268</v>
      </c>
      <c r="B1481" s="413" t="s">
        <v>146</v>
      </c>
      <c r="C1481" s="265">
        <v>1</v>
      </c>
      <c r="D1481" s="413" t="s">
        <v>7225</v>
      </c>
      <c r="E1481" s="413" t="s">
        <v>6380</v>
      </c>
      <c r="F1481" s="413" t="s">
        <v>7226</v>
      </c>
      <c r="G1481" s="413"/>
      <c r="H1481" s="1277"/>
      <c r="I1481" s="1280"/>
    </row>
    <row r="1482" spans="1:9" hidden="1">
      <c r="A1482" s="428" t="s">
        <v>6268</v>
      </c>
      <c r="B1482" s="413" t="s">
        <v>146</v>
      </c>
      <c r="C1482" s="265">
        <v>1</v>
      </c>
      <c r="D1482" s="413" t="s">
        <v>7227</v>
      </c>
      <c r="E1482" s="413" t="s">
        <v>6380</v>
      </c>
      <c r="F1482" s="413" t="s">
        <v>7228</v>
      </c>
      <c r="G1482" s="413"/>
      <c r="H1482" s="1277"/>
      <c r="I1482" s="1280"/>
    </row>
    <row r="1483" spans="1:9" hidden="1">
      <c r="A1483" s="428" t="s">
        <v>6268</v>
      </c>
      <c r="B1483" s="413" t="s">
        <v>146</v>
      </c>
      <c r="C1483" s="265">
        <v>1</v>
      </c>
      <c r="D1483" s="413" t="s">
        <v>7229</v>
      </c>
      <c r="E1483" s="413" t="s">
        <v>6380</v>
      </c>
      <c r="F1483" s="413" t="s">
        <v>7230</v>
      </c>
      <c r="G1483" s="413"/>
      <c r="H1483" s="1277"/>
      <c r="I1483" s="1280"/>
    </row>
    <row r="1484" spans="1:9" hidden="1">
      <c r="A1484" s="428" t="s">
        <v>6268</v>
      </c>
      <c r="B1484" s="413" t="s">
        <v>146</v>
      </c>
      <c r="C1484" s="265">
        <v>1</v>
      </c>
      <c r="D1484" s="413" t="s">
        <v>7231</v>
      </c>
      <c r="E1484" s="413" t="s">
        <v>6380</v>
      </c>
      <c r="F1484" s="413" t="s">
        <v>7232</v>
      </c>
      <c r="G1484" s="413"/>
      <c r="H1484" s="1277"/>
      <c r="I1484" s="1280"/>
    </row>
    <row r="1485" spans="1:9" hidden="1">
      <c r="A1485" s="428" t="s">
        <v>6268</v>
      </c>
      <c r="B1485" s="413" t="s">
        <v>146</v>
      </c>
      <c r="C1485" s="265">
        <v>1</v>
      </c>
      <c r="D1485" s="413" t="s">
        <v>7233</v>
      </c>
      <c r="E1485" s="413" t="s">
        <v>6380</v>
      </c>
      <c r="F1485" s="413" t="s">
        <v>7234</v>
      </c>
      <c r="G1485" s="413"/>
      <c r="H1485" s="1277"/>
      <c r="I1485" s="1280"/>
    </row>
    <row r="1486" spans="1:9" hidden="1">
      <c r="A1486" s="428" t="s">
        <v>6268</v>
      </c>
      <c r="B1486" s="413" t="s">
        <v>146</v>
      </c>
      <c r="C1486" s="265">
        <v>1</v>
      </c>
      <c r="D1486" s="413" t="s">
        <v>7235</v>
      </c>
      <c r="E1486" s="413" t="s">
        <v>6380</v>
      </c>
      <c r="F1486" s="413" t="s">
        <v>7236</v>
      </c>
      <c r="G1486" s="413"/>
      <c r="H1486" s="1277"/>
      <c r="I1486" s="1280"/>
    </row>
    <row r="1487" spans="1:9" hidden="1">
      <c r="A1487" s="428" t="s">
        <v>6268</v>
      </c>
      <c r="B1487" s="413" t="s">
        <v>146</v>
      </c>
      <c r="C1487" s="265">
        <v>1</v>
      </c>
      <c r="D1487" s="413" t="s">
        <v>7237</v>
      </c>
      <c r="E1487" s="413" t="s">
        <v>6380</v>
      </c>
      <c r="F1487" s="413" t="s">
        <v>7238</v>
      </c>
      <c r="G1487" s="413"/>
      <c r="H1487" s="1277"/>
      <c r="I1487" s="1280"/>
    </row>
    <row r="1488" spans="1:9" hidden="1">
      <c r="A1488" s="428" t="s">
        <v>6268</v>
      </c>
      <c r="B1488" s="413" t="s">
        <v>146</v>
      </c>
      <c r="C1488" s="265">
        <v>1</v>
      </c>
      <c r="D1488" s="413" t="s">
        <v>7239</v>
      </c>
      <c r="E1488" s="413" t="s">
        <v>6380</v>
      </c>
      <c r="F1488" s="413" t="s">
        <v>7240</v>
      </c>
      <c r="G1488" s="413"/>
      <c r="H1488" s="1277"/>
      <c r="I1488" s="1280"/>
    </row>
    <row r="1489" spans="1:9" hidden="1">
      <c r="A1489" s="428" t="s">
        <v>6268</v>
      </c>
      <c r="B1489" s="413" t="s">
        <v>146</v>
      </c>
      <c r="C1489" s="265">
        <v>1</v>
      </c>
      <c r="D1489" s="413" t="s">
        <v>7241</v>
      </c>
      <c r="E1489" s="413" t="s">
        <v>6380</v>
      </c>
      <c r="F1489" s="413" t="s">
        <v>7242</v>
      </c>
      <c r="G1489" s="413"/>
      <c r="H1489" s="1277"/>
      <c r="I1489" s="1280"/>
    </row>
    <row r="1490" spans="1:9" hidden="1">
      <c r="A1490" s="428" t="s">
        <v>6268</v>
      </c>
      <c r="B1490" s="413" t="s">
        <v>146</v>
      </c>
      <c r="C1490" s="265">
        <v>1</v>
      </c>
      <c r="D1490" s="413" t="s">
        <v>7243</v>
      </c>
      <c r="E1490" s="413" t="s">
        <v>6380</v>
      </c>
      <c r="F1490" s="413" t="s">
        <v>7244</v>
      </c>
      <c r="G1490" s="413"/>
      <c r="H1490" s="1277"/>
      <c r="I1490" s="1280"/>
    </row>
    <row r="1491" spans="1:9" hidden="1">
      <c r="A1491" s="428" t="s">
        <v>6268</v>
      </c>
      <c r="B1491" s="413" t="s">
        <v>146</v>
      </c>
      <c r="C1491" s="265">
        <v>1</v>
      </c>
      <c r="D1491" s="413" t="s">
        <v>7245</v>
      </c>
      <c r="E1491" s="413" t="s">
        <v>6380</v>
      </c>
      <c r="F1491" s="413" t="s">
        <v>7246</v>
      </c>
      <c r="G1491" s="413"/>
      <c r="H1491" s="1277"/>
      <c r="I1491" s="1280"/>
    </row>
    <row r="1492" spans="1:9" hidden="1">
      <c r="A1492" s="428" t="s">
        <v>6268</v>
      </c>
      <c r="B1492" s="413" t="s">
        <v>146</v>
      </c>
      <c r="C1492" s="265">
        <v>1</v>
      </c>
      <c r="D1492" s="413" t="s">
        <v>7247</v>
      </c>
      <c r="E1492" s="413" t="s">
        <v>6380</v>
      </c>
      <c r="F1492" s="413" t="s">
        <v>7248</v>
      </c>
      <c r="G1492" s="413"/>
      <c r="H1492" s="1277"/>
      <c r="I1492" s="1280"/>
    </row>
    <row r="1493" spans="1:9" hidden="1">
      <c r="A1493" s="428" t="s">
        <v>6268</v>
      </c>
      <c r="B1493" s="413" t="s">
        <v>146</v>
      </c>
      <c r="C1493" s="265">
        <v>1</v>
      </c>
      <c r="D1493" s="413" t="s">
        <v>7249</v>
      </c>
      <c r="E1493" s="413" t="s">
        <v>6380</v>
      </c>
      <c r="F1493" s="413" t="s">
        <v>7250</v>
      </c>
      <c r="G1493" s="413"/>
      <c r="H1493" s="1277"/>
      <c r="I1493" s="1280"/>
    </row>
    <row r="1494" spans="1:9" hidden="1">
      <c r="A1494" s="428" t="s">
        <v>6268</v>
      </c>
      <c r="B1494" s="413" t="s">
        <v>146</v>
      </c>
      <c r="C1494" s="265">
        <v>1</v>
      </c>
      <c r="D1494" s="413" t="s">
        <v>7251</v>
      </c>
      <c r="E1494" s="413" t="s">
        <v>6380</v>
      </c>
      <c r="F1494" s="413" t="s">
        <v>7252</v>
      </c>
      <c r="G1494" s="413"/>
      <c r="H1494" s="1277"/>
      <c r="I1494" s="1280"/>
    </row>
    <row r="1495" spans="1:9" hidden="1">
      <c r="A1495" s="428" t="s">
        <v>6268</v>
      </c>
      <c r="B1495" s="413" t="s">
        <v>146</v>
      </c>
      <c r="C1495" s="265">
        <v>1</v>
      </c>
      <c r="D1495" s="413" t="s">
        <v>7253</v>
      </c>
      <c r="E1495" s="413" t="s">
        <v>6380</v>
      </c>
      <c r="F1495" s="413" t="s">
        <v>7254</v>
      </c>
      <c r="G1495" s="413"/>
      <c r="H1495" s="1277"/>
      <c r="I1495" s="1280"/>
    </row>
    <row r="1496" spans="1:9" hidden="1">
      <c r="A1496" s="428" t="s">
        <v>6268</v>
      </c>
      <c r="B1496" s="413" t="s">
        <v>146</v>
      </c>
      <c r="C1496" s="265">
        <v>1</v>
      </c>
      <c r="D1496" s="413" t="s">
        <v>7255</v>
      </c>
      <c r="E1496" s="413" t="s">
        <v>6380</v>
      </c>
      <c r="F1496" s="413" t="s">
        <v>7256</v>
      </c>
      <c r="G1496" s="413"/>
      <c r="H1496" s="1277"/>
      <c r="I1496" s="1280"/>
    </row>
    <row r="1497" spans="1:9" hidden="1">
      <c r="A1497" s="428" t="s">
        <v>6268</v>
      </c>
      <c r="B1497" s="413" t="s">
        <v>146</v>
      </c>
      <c r="C1497" s="265">
        <v>1</v>
      </c>
      <c r="D1497" s="413" t="s">
        <v>7257</v>
      </c>
      <c r="E1497" s="413" t="s">
        <v>6380</v>
      </c>
      <c r="F1497" s="413" t="s">
        <v>7258</v>
      </c>
      <c r="G1497" s="413"/>
      <c r="H1497" s="1277"/>
      <c r="I1497" s="1280"/>
    </row>
    <row r="1498" spans="1:9" hidden="1">
      <c r="A1498" s="428" t="s">
        <v>6268</v>
      </c>
      <c r="B1498" s="413" t="s">
        <v>146</v>
      </c>
      <c r="C1498" s="265">
        <v>1</v>
      </c>
      <c r="D1498" s="413" t="s">
        <v>7259</v>
      </c>
      <c r="E1498" s="413" t="s">
        <v>6380</v>
      </c>
      <c r="F1498" s="413" t="s">
        <v>7260</v>
      </c>
      <c r="G1498" s="413"/>
      <c r="H1498" s="1277"/>
      <c r="I1498" s="1280"/>
    </row>
    <row r="1499" spans="1:9" hidden="1">
      <c r="A1499" s="428" t="s">
        <v>6268</v>
      </c>
      <c r="B1499" s="413" t="s">
        <v>146</v>
      </c>
      <c r="C1499" s="265">
        <v>1</v>
      </c>
      <c r="D1499" s="413" t="s">
        <v>7261</v>
      </c>
      <c r="E1499" s="413" t="s">
        <v>6380</v>
      </c>
      <c r="F1499" s="413" t="s">
        <v>7262</v>
      </c>
      <c r="G1499" s="413"/>
      <c r="H1499" s="1277"/>
      <c r="I1499" s="1280"/>
    </row>
    <row r="1500" spans="1:9" hidden="1">
      <c r="A1500" s="428" t="s">
        <v>6268</v>
      </c>
      <c r="B1500" s="413" t="s">
        <v>146</v>
      </c>
      <c r="C1500" s="265">
        <v>1</v>
      </c>
      <c r="D1500" s="413" t="s">
        <v>7263</v>
      </c>
      <c r="E1500" s="413" t="s">
        <v>6380</v>
      </c>
      <c r="F1500" s="413" t="s">
        <v>7264</v>
      </c>
      <c r="G1500" s="413"/>
      <c r="H1500" s="1277"/>
      <c r="I1500" s="1280"/>
    </row>
    <row r="1501" spans="1:9" hidden="1">
      <c r="A1501" s="428" t="s">
        <v>6268</v>
      </c>
      <c r="B1501" s="413" t="s">
        <v>146</v>
      </c>
      <c r="C1501" s="265">
        <v>1</v>
      </c>
      <c r="D1501" s="413" t="s">
        <v>7265</v>
      </c>
      <c r="E1501" s="413" t="s">
        <v>6380</v>
      </c>
      <c r="F1501" s="413" t="s">
        <v>7266</v>
      </c>
      <c r="G1501" s="413"/>
      <c r="H1501" s="1277"/>
      <c r="I1501" s="1280"/>
    </row>
    <row r="1502" spans="1:9" hidden="1">
      <c r="A1502" s="428" t="s">
        <v>6268</v>
      </c>
      <c r="B1502" s="413" t="s">
        <v>146</v>
      </c>
      <c r="C1502" s="265">
        <v>1</v>
      </c>
      <c r="D1502" s="413" t="s">
        <v>7267</v>
      </c>
      <c r="E1502" s="413" t="s">
        <v>6380</v>
      </c>
      <c r="F1502" s="413" t="s">
        <v>7268</v>
      </c>
      <c r="G1502" s="413"/>
      <c r="H1502" s="1277"/>
      <c r="I1502" s="1280"/>
    </row>
    <row r="1503" spans="1:9" hidden="1">
      <c r="A1503" s="428" t="s">
        <v>6268</v>
      </c>
      <c r="B1503" s="413" t="s">
        <v>146</v>
      </c>
      <c r="C1503" s="265">
        <v>1</v>
      </c>
      <c r="D1503" s="413" t="s">
        <v>7269</v>
      </c>
      <c r="E1503" s="413" t="s">
        <v>6380</v>
      </c>
      <c r="F1503" s="413" t="s">
        <v>7270</v>
      </c>
      <c r="G1503" s="413"/>
      <c r="H1503" s="1277"/>
      <c r="I1503" s="1280"/>
    </row>
    <row r="1504" spans="1:9" hidden="1">
      <c r="A1504" s="428" t="s">
        <v>6268</v>
      </c>
      <c r="B1504" s="413" t="s">
        <v>146</v>
      </c>
      <c r="C1504" s="265">
        <v>1</v>
      </c>
      <c r="D1504" s="413" t="s">
        <v>7271</v>
      </c>
      <c r="E1504" s="413" t="s">
        <v>6380</v>
      </c>
      <c r="F1504" s="413" t="s">
        <v>7272</v>
      </c>
      <c r="G1504" s="413"/>
      <c r="H1504" s="1277"/>
      <c r="I1504" s="1280"/>
    </row>
    <row r="1505" spans="1:9" hidden="1">
      <c r="A1505" s="428" t="s">
        <v>6268</v>
      </c>
      <c r="B1505" s="413" t="s">
        <v>146</v>
      </c>
      <c r="C1505" s="265">
        <v>1</v>
      </c>
      <c r="D1505" s="413" t="s">
        <v>7273</v>
      </c>
      <c r="E1505" s="413" t="s">
        <v>6380</v>
      </c>
      <c r="F1505" s="413" t="s">
        <v>7274</v>
      </c>
      <c r="G1505" s="413"/>
      <c r="H1505" s="1277"/>
      <c r="I1505" s="1280"/>
    </row>
    <row r="1506" spans="1:9" hidden="1">
      <c r="A1506" s="428" t="s">
        <v>6268</v>
      </c>
      <c r="B1506" s="413" t="s">
        <v>146</v>
      </c>
      <c r="C1506" s="265">
        <v>1</v>
      </c>
      <c r="D1506" s="413" t="s">
        <v>7275</v>
      </c>
      <c r="E1506" s="413" t="s">
        <v>6380</v>
      </c>
      <c r="F1506" s="413" t="s">
        <v>7276</v>
      </c>
      <c r="G1506" s="413"/>
      <c r="H1506" s="1277"/>
      <c r="I1506" s="1280"/>
    </row>
    <row r="1507" spans="1:9" hidden="1">
      <c r="A1507" s="428" t="s">
        <v>6268</v>
      </c>
      <c r="B1507" s="413" t="s">
        <v>146</v>
      </c>
      <c r="C1507" s="265">
        <v>1</v>
      </c>
      <c r="D1507" s="413" t="s">
        <v>7277</v>
      </c>
      <c r="E1507" s="413" t="s">
        <v>6380</v>
      </c>
      <c r="F1507" s="413" t="s">
        <v>7278</v>
      </c>
      <c r="G1507" s="413"/>
      <c r="H1507" s="1277"/>
      <c r="I1507" s="1280"/>
    </row>
    <row r="1508" spans="1:9" hidden="1">
      <c r="A1508" s="428" t="s">
        <v>6268</v>
      </c>
      <c r="B1508" s="413" t="s">
        <v>146</v>
      </c>
      <c r="C1508" s="265">
        <v>1</v>
      </c>
      <c r="D1508" s="413" t="s">
        <v>7279</v>
      </c>
      <c r="E1508" s="413" t="s">
        <v>6380</v>
      </c>
      <c r="F1508" s="413" t="s">
        <v>7280</v>
      </c>
      <c r="G1508" s="413"/>
      <c r="H1508" s="1277"/>
      <c r="I1508" s="1280"/>
    </row>
    <row r="1509" spans="1:9" hidden="1">
      <c r="A1509" s="428" t="s">
        <v>6268</v>
      </c>
      <c r="B1509" s="413" t="s">
        <v>146</v>
      </c>
      <c r="C1509" s="265">
        <v>1</v>
      </c>
      <c r="D1509" s="413" t="s">
        <v>7281</v>
      </c>
      <c r="E1509" s="413" t="s">
        <v>6380</v>
      </c>
      <c r="F1509" s="413" t="s">
        <v>7282</v>
      </c>
      <c r="G1509" s="413"/>
      <c r="H1509" s="1277"/>
      <c r="I1509" s="1280"/>
    </row>
    <row r="1510" spans="1:9" hidden="1">
      <c r="A1510" s="428" t="s">
        <v>6268</v>
      </c>
      <c r="B1510" s="413" t="s">
        <v>146</v>
      </c>
      <c r="C1510" s="265">
        <v>1</v>
      </c>
      <c r="D1510" s="413" t="s">
        <v>7283</v>
      </c>
      <c r="E1510" s="413" t="s">
        <v>6380</v>
      </c>
      <c r="F1510" s="413" t="s">
        <v>7284</v>
      </c>
      <c r="G1510" s="413"/>
      <c r="H1510" s="1277"/>
      <c r="I1510" s="1280"/>
    </row>
    <row r="1511" spans="1:9" hidden="1">
      <c r="A1511" s="428" t="s">
        <v>6268</v>
      </c>
      <c r="B1511" s="413" t="s">
        <v>146</v>
      </c>
      <c r="C1511" s="265">
        <v>1</v>
      </c>
      <c r="D1511" s="413" t="s">
        <v>7285</v>
      </c>
      <c r="E1511" s="413" t="s">
        <v>6380</v>
      </c>
      <c r="F1511" s="413" t="s">
        <v>7286</v>
      </c>
      <c r="G1511" s="413"/>
      <c r="H1511" s="1277"/>
      <c r="I1511" s="1280"/>
    </row>
    <row r="1512" spans="1:9" hidden="1">
      <c r="A1512" s="428" t="s">
        <v>6268</v>
      </c>
      <c r="B1512" s="413" t="s">
        <v>146</v>
      </c>
      <c r="C1512" s="265">
        <v>1</v>
      </c>
      <c r="D1512" s="413" t="s">
        <v>7287</v>
      </c>
      <c r="E1512" s="413" t="s">
        <v>6380</v>
      </c>
      <c r="F1512" s="413" t="s">
        <v>7288</v>
      </c>
      <c r="G1512" s="413"/>
      <c r="H1512" s="1277"/>
      <c r="I1512" s="1280"/>
    </row>
    <row r="1513" spans="1:9" hidden="1">
      <c r="A1513" s="428" t="s">
        <v>6268</v>
      </c>
      <c r="B1513" s="413" t="s">
        <v>146</v>
      </c>
      <c r="C1513" s="265">
        <v>1</v>
      </c>
      <c r="D1513" s="413" t="s">
        <v>7289</v>
      </c>
      <c r="E1513" s="413" t="s">
        <v>6358</v>
      </c>
      <c r="F1513" s="413" t="s">
        <v>7290</v>
      </c>
      <c r="G1513" s="413"/>
      <c r="H1513" s="1277"/>
      <c r="I1513" s="1280"/>
    </row>
    <row r="1514" spans="1:9" hidden="1">
      <c r="A1514" s="428" t="s">
        <v>6268</v>
      </c>
      <c r="B1514" s="413" t="s">
        <v>146</v>
      </c>
      <c r="C1514" s="265">
        <v>1</v>
      </c>
      <c r="D1514" s="413" t="s">
        <v>7291</v>
      </c>
      <c r="E1514" s="413" t="s">
        <v>6380</v>
      </c>
      <c r="F1514" s="413" t="s">
        <v>7292</v>
      </c>
      <c r="G1514" s="413"/>
      <c r="H1514" s="1277"/>
      <c r="I1514" s="1280"/>
    </row>
    <row r="1515" spans="1:9" hidden="1">
      <c r="A1515" s="428" t="s">
        <v>6268</v>
      </c>
      <c r="B1515" s="413" t="s">
        <v>146</v>
      </c>
      <c r="C1515" s="265">
        <v>1</v>
      </c>
      <c r="D1515" s="413" t="s">
        <v>7293</v>
      </c>
      <c r="E1515" s="413" t="s">
        <v>6380</v>
      </c>
      <c r="F1515" s="413" t="s">
        <v>7294</v>
      </c>
      <c r="G1515" s="413"/>
      <c r="H1515" s="1277"/>
      <c r="I1515" s="1280"/>
    </row>
    <row r="1516" spans="1:9" hidden="1">
      <c r="A1516" s="428" t="s">
        <v>6268</v>
      </c>
      <c r="B1516" s="413" t="s">
        <v>146</v>
      </c>
      <c r="C1516" s="265">
        <v>1</v>
      </c>
      <c r="D1516" s="413" t="s">
        <v>7295</v>
      </c>
      <c r="E1516" s="413" t="s">
        <v>6380</v>
      </c>
      <c r="F1516" s="413" t="s">
        <v>7296</v>
      </c>
      <c r="G1516" s="413"/>
      <c r="H1516" s="1277"/>
      <c r="I1516" s="1280"/>
    </row>
    <row r="1517" spans="1:9" hidden="1">
      <c r="A1517" s="428" t="s">
        <v>6268</v>
      </c>
      <c r="B1517" s="413" t="s">
        <v>146</v>
      </c>
      <c r="C1517" s="265">
        <v>1</v>
      </c>
      <c r="D1517" s="413" t="s">
        <v>7297</v>
      </c>
      <c r="E1517" s="413" t="s">
        <v>6380</v>
      </c>
      <c r="F1517" s="413" t="s">
        <v>7298</v>
      </c>
      <c r="G1517" s="413"/>
      <c r="H1517" s="1277"/>
      <c r="I1517" s="1280"/>
    </row>
    <row r="1518" spans="1:9" hidden="1">
      <c r="A1518" s="428" t="s">
        <v>6268</v>
      </c>
      <c r="B1518" s="413" t="s">
        <v>146</v>
      </c>
      <c r="C1518" s="265">
        <v>1</v>
      </c>
      <c r="D1518" s="413" t="s">
        <v>7299</v>
      </c>
      <c r="E1518" s="413" t="s">
        <v>6380</v>
      </c>
      <c r="F1518" s="413" t="s">
        <v>7300</v>
      </c>
      <c r="G1518" s="413"/>
      <c r="H1518" s="1277"/>
      <c r="I1518" s="1280"/>
    </row>
    <row r="1519" spans="1:9" hidden="1">
      <c r="A1519" s="428" t="s">
        <v>6268</v>
      </c>
      <c r="B1519" s="413" t="s">
        <v>146</v>
      </c>
      <c r="C1519" s="265">
        <v>1</v>
      </c>
      <c r="D1519" s="413" t="s">
        <v>7301</v>
      </c>
      <c r="E1519" s="413" t="s">
        <v>6380</v>
      </c>
      <c r="F1519" s="413" t="s">
        <v>7302</v>
      </c>
      <c r="G1519" s="413"/>
      <c r="H1519" s="1277"/>
      <c r="I1519" s="1280"/>
    </row>
    <row r="1520" spans="1:9" hidden="1">
      <c r="A1520" s="428" t="s">
        <v>6268</v>
      </c>
      <c r="B1520" s="413" t="s">
        <v>146</v>
      </c>
      <c r="C1520" s="265">
        <v>1</v>
      </c>
      <c r="D1520" s="413" t="s">
        <v>7303</v>
      </c>
      <c r="E1520" s="413" t="s">
        <v>6380</v>
      </c>
      <c r="F1520" s="413" t="s">
        <v>7304</v>
      </c>
      <c r="G1520" s="413"/>
      <c r="H1520" s="1277"/>
      <c r="I1520" s="1280"/>
    </row>
    <row r="1521" spans="1:9" hidden="1">
      <c r="A1521" s="428" t="s">
        <v>6268</v>
      </c>
      <c r="B1521" s="413" t="s">
        <v>146</v>
      </c>
      <c r="C1521" s="265">
        <v>1</v>
      </c>
      <c r="D1521" s="413" t="s">
        <v>7305</v>
      </c>
      <c r="E1521" s="413" t="s">
        <v>6380</v>
      </c>
      <c r="F1521" s="413" t="s">
        <v>7306</v>
      </c>
      <c r="G1521" s="413"/>
      <c r="H1521" s="1277"/>
      <c r="I1521" s="1280"/>
    </row>
    <row r="1522" spans="1:9" hidden="1">
      <c r="A1522" s="428" t="s">
        <v>6268</v>
      </c>
      <c r="B1522" s="413" t="s">
        <v>146</v>
      </c>
      <c r="C1522" s="265">
        <v>1</v>
      </c>
      <c r="D1522" s="413" t="s">
        <v>7307</v>
      </c>
      <c r="E1522" s="413" t="s">
        <v>6380</v>
      </c>
      <c r="F1522" s="413" t="s">
        <v>7308</v>
      </c>
      <c r="G1522" s="413"/>
      <c r="H1522" s="1277"/>
      <c r="I1522" s="1280"/>
    </row>
    <row r="1523" spans="1:9" hidden="1">
      <c r="A1523" s="428" t="s">
        <v>6268</v>
      </c>
      <c r="B1523" s="413" t="s">
        <v>146</v>
      </c>
      <c r="C1523" s="265">
        <v>1</v>
      </c>
      <c r="D1523" s="413" t="s">
        <v>7309</v>
      </c>
      <c r="E1523" s="413" t="s">
        <v>6380</v>
      </c>
      <c r="F1523" s="413" t="s">
        <v>7310</v>
      </c>
      <c r="G1523" s="413"/>
      <c r="H1523" s="1277"/>
      <c r="I1523" s="1280"/>
    </row>
    <row r="1524" spans="1:9" hidden="1">
      <c r="A1524" s="428" t="s">
        <v>6268</v>
      </c>
      <c r="B1524" s="413" t="s">
        <v>146</v>
      </c>
      <c r="C1524" s="265">
        <v>1</v>
      </c>
      <c r="D1524" s="413" t="s">
        <v>7311</v>
      </c>
      <c r="E1524" s="413" t="s">
        <v>6380</v>
      </c>
      <c r="F1524" s="413" t="s">
        <v>7312</v>
      </c>
      <c r="G1524" s="413"/>
      <c r="H1524" s="1277"/>
      <c r="I1524" s="1280"/>
    </row>
    <row r="1525" spans="1:9" hidden="1">
      <c r="A1525" s="428" t="s">
        <v>6268</v>
      </c>
      <c r="B1525" s="413" t="s">
        <v>146</v>
      </c>
      <c r="C1525" s="265">
        <v>1</v>
      </c>
      <c r="D1525" s="413" t="s">
        <v>7313</v>
      </c>
      <c r="E1525" s="413" t="s">
        <v>6380</v>
      </c>
      <c r="F1525" s="413" t="s">
        <v>7314</v>
      </c>
      <c r="G1525" s="413"/>
      <c r="H1525" s="1277"/>
      <c r="I1525" s="1280"/>
    </row>
    <row r="1526" spans="1:9" hidden="1">
      <c r="A1526" s="428" t="s">
        <v>6268</v>
      </c>
      <c r="B1526" s="413" t="s">
        <v>146</v>
      </c>
      <c r="C1526" s="265">
        <v>1</v>
      </c>
      <c r="D1526" s="413" t="s">
        <v>7315</v>
      </c>
      <c r="E1526" s="413" t="s">
        <v>6380</v>
      </c>
      <c r="F1526" s="413" t="s">
        <v>7316</v>
      </c>
      <c r="G1526" s="413"/>
      <c r="H1526" s="1277"/>
      <c r="I1526" s="1280"/>
    </row>
    <row r="1527" spans="1:9" hidden="1">
      <c r="A1527" s="428" t="s">
        <v>6268</v>
      </c>
      <c r="B1527" s="413" t="s">
        <v>146</v>
      </c>
      <c r="C1527" s="265">
        <v>1</v>
      </c>
      <c r="D1527" s="413" t="s">
        <v>7317</v>
      </c>
      <c r="E1527" s="413" t="s">
        <v>6380</v>
      </c>
      <c r="F1527" s="413" t="s">
        <v>7318</v>
      </c>
      <c r="G1527" s="413"/>
      <c r="H1527" s="1277"/>
      <c r="I1527" s="1280"/>
    </row>
    <row r="1528" spans="1:9" hidden="1">
      <c r="A1528" s="428" t="s">
        <v>6268</v>
      </c>
      <c r="B1528" s="413" t="s">
        <v>146</v>
      </c>
      <c r="C1528" s="265">
        <v>1</v>
      </c>
      <c r="D1528" s="413" t="s">
        <v>7319</v>
      </c>
      <c r="E1528" s="413" t="s">
        <v>6380</v>
      </c>
      <c r="F1528" s="413" t="s">
        <v>7320</v>
      </c>
      <c r="G1528" s="413"/>
      <c r="H1528" s="1277"/>
      <c r="I1528" s="1280"/>
    </row>
    <row r="1529" spans="1:9" hidden="1">
      <c r="A1529" s="428" t="s">
        <v>6268</v>
      </c>
      <c r="B1529" s="413" t="s">
        <v>146</v>
      </c>
      <c r="C1529" s="265">
        <v>1</v>
      </c>
      <c r="D1529" s="413" t="s">
        <v>7321</v>
      </c>
      <c r="E1529" s="413" t="s">
        <v>6380</v>
      </c>
      <c r="F1529" s="413" t="s">
        <v>7322</v>
      </c>
      <c r="G1529" s="413"/>
      <c r="H1529" s="1277"/>
      <c r="I1529" s="1280"/>
    </row>
    <row r="1530" spans="1:9" hidden="1">
      <c r="A1530" s="428" t="s">
        <v>6268</v>
      </c>
      <c r="B1530" s="413" t="s">
        <v>146</v>
      </c>
      <c r="C1530" s="265">
        <v>1</v>
      </c>
      <c r="D1530" s="413" t="s">
        <v>7323</v>
      </c>
      <c r="E1530" s="413" t="s">
        <v>6380</v>
      </c>
      <c r="F1530" s="413" t="s">
        <v>7324</v>
      </c>
      <c r="G1530" s="413"/>
      <c r="H1530" s="1277"/>
      <c r="I1530" s="1280"/>
    </row>
    <row r="1531" spans="1:9" hidden="1">
      <c r="A1531" s="428" t="s">
        <v>6268</v>
      </c>
      <c r="B1531" s="413" t="s">
        <v>146</v>
      </c>
      <c r="C1531" s="265">
        <v>1</v>
      </c>
      <c r="D1531" s="413" t="s">
        <v>7325</v>
      </c>
      <c r="E1531" s="413" t="s">
        <v>6380</v>
      </c>
      <c r="F1531" s="413" t="s">
        <v>7326</v>
      </c>
      <c r="G1531" s="413"/>
      <c r="H1531" s="1277"/>
      <c r="I1531" s="1280"/>
    </row>
    <row r="1532" spans="1:9" hidden="1">
      <c r="A1532" s="428" t="s">
        <v>6268</v>
      </c>
      <c r="B1532" s="413" t="s">
        <v>146</v>
      </c>
      <c r="C1532" s="265">
        <v>1</v>
      </c>
      <c r="D1532" s="413" t="s">
        <v>7327</v>
      </c>
      <c r="E1532" s="413" t="s">
        <v>6380</v>
      </c>
      <c r="F1532" s="413" t="s">
        <v>7328</v>
      </c>
      <c r="G1532" s="413"/>
      <c r="H1532" s="1277"/>
      <c r="I1532" s="1280"/>
    </row>
    <row r="1533" spans="1:9" hidden="1">
      <c r="A1533" s="428" t="s">
        <v>6268</v>
      </c>
      <c r="B1533" s="413" t="s">
        <v>146</v>
      </c>
      <c r="C1533" s="265">
        <v>1</v>
      </c>
      <c r="D1533" s="413" t="s">
        <v>7329</v>
      </c>
      <c r="E1533" s="413" t="s">
        <v>6380</v>
      </c>
      <c r="F1533" s="413" t="s">
        <v>7330</v>
      </c>
      <c r="G1533" s="413"/>
      <c r="H1533" s="1277"/>
      <c r="I1533" s="1280"/>
    </row>
    <row r="1534" spans="1:9" hidden="1">
      <c r="A1534" s="428" t="s">
        <v>6268</v>
      </c>
      <c r="B1534" s="413" t="s">
        <v>146</v>
      </c>
      <c r="C1534" s="265">
        <v>1</v>
      </c>
      <c r="D1534" s="413" t="s">
        <v>7331</v>
      </c>
      <c r="E1534" s="413" t="s">
        <v>6380</v>
      </c>
      <c r="F1534" s="413" t="s">
        <v>7332</v>
      </c>
      <c r="G1534" s="413"/>
      <c r="H1534" s="1277"/>
      <c r="I1534" s="1280"/>
    </row>
    <row r="1535" spans="1:9" hidden="1">
      <c r="A1535" s="428" t="s">
        <v>6268</v>
      </c>
      <c r="B1535" s="413" t="s">
        <v>146</v>
      </c>
      <c r="C1535" s="265">
        <v>1</v>
      </c>
      <c r="D1535" s="413" t="s">
        <v>7333</v>
      </c>
      <c r="E1535" s="413" t="s">
        <v>6380</v>
      </c>
      <c r="F1535" s="413" t="s">
        <v>7334</v>
      </c>
      <c r="G1535" s="413"/>
      <c r="H1535" s="1277"/>
      <c r="I1535" s="1280"/>
    </row>
    <row r="1536" spans="1:9" hidden="1">
      <c r="A1536" s="428" t="s">
        <v>6268</v>
      </c>
      <c r="B1536" s="413" t="s">
        <v>146</v>
      </c>
      <c r="C1536" s="265">
        <v>1</v>
      </c>
      <c r="D1536" s="413" t="s">
        <v>7335</v>
      </c>
      <c r="E1536" s="413" t="s">
        <v>6380</v>
      </c>
      <c r="F1536" s="413" t="s">
        <v>7336</v>
      </c>
      <c r="G1536" s="413"/>
      <c r="H1536" s="1277"/>
      <c r="I1536" s="1280"/>
    </row>
    <row r="1537" spans="1:9" hidden="1">
      <c r="A1537" s="428" t="s">
        <v>6268</v>
      </c>
      <c r="B1537" s="413" t="s">
        <v>146</v>
      </c>
      <c r="C1537" s="265">
        <v>1</v>
      </c>
      <c r="D1537" s="413" t="s">
        <v>7337</v>
      </c>
      <c r="E1537" s="413" t="s">
        <v>6380</v>
      </c>
      <c r="F1537" s="413" t="s">
        <v>7338</v>
      </c>
      <c r="G1537" s="413"/>
      <c r="H1537" s="1277"/>
      <c r="I1537" s="1280"/>
    </row>
    <row r="1538" spans="1:9" hidden="1">
      <c r="A1538" s="428" t="s">
        <v>6268</v>
      </c>
      <c r="B1538" s="413" t="s">
        <v>146</v>
      </c>
      <c r="C1538" s="265">
        <v>1</v>
      </c>
      <c r="D1538" s="413" t="s">
        <v>7339</v>
      </c>
      <c r="E1538" s="413" t="s">
        <v>6380</v>
      </c>
      <c r="F1538" s="413" t="s">
        <v>7340</v>
      </c>
      <c r="G1538" s="413"/>
      <c r="H1538" s="1277"/>
      <c r="I1538" s="1280"/>
    </row>
    <row r="1539" spans="1:9" hidden="1">
      <c r="A1539" s="428" t="s">
        <v>6268</v>
      </c>
      <c r="B1539" s="413" t="s">
        <v>146</v>
      </c>
      <c r="C1539" s="265">
        <v>1</v>
      </c>
      <c r="D1539" s="413" t="s">
        <v>7341</v>
      </c>
      <c r="E1539" s="413" t="s">
        <v>6380</v>
      </c>
      <c r="F1539" s="413" t="s">
        <v>7342</v>
      </c>
      <c r="G1539" s="413"/>
      <c r="H1539" s="1277"/>
      <c r="I1539" s="1280"/>
    </row>
    <row r="1540" spans="1:9" hidden="1">
      <c r="A1540" s="428" t="s">
        <v>6268</v>
      </c>
      <c r="B1540" s="413" t="s">
        <v>146</v>
      </c>
      <c r="C1540" s="265">
        <v>1</v>
      </c>
      <c r="D1540" s="413" t="s">
        <v>7343</v>
      </c>
      <c r="E1540" s="413" t="s">
        <v>6380</v>
      </c>
      <c r="F1540" s="413" t="s">
        <v>7344</v>
      </c>
      <c r="G1540" s="413"/>
      <c r="H1540" s="1277"/>
      <c r="I1540" s="1280"/>
    </row>
    <row r="1541" spans="1:9" hidden="1">
      <c r="A1541" s="428" t="s">
        <v>6268</v>
      </c>
      <c r="B1541" s="413" t="s">
        <v>146</v>
      </c>
      <c r="C1541" s="265">
        <v>1</v>
      </c>
      <c r="D1541" s="413" t="s">
        <v>7345</v>
      </c>
      <c r="E1541" s="413" t="s">
        <v>6380</v>
      </c>
      <c r="F1541" s="413" t="s">
        <v>7346</v>
      </c>
      <c r="G1541" s="413"/>
      <c r="H1541" s="1277"/>
      <c r="I1541" s="1280"/>
    </row>
    <row r="1542" spans="1:9" hidden="1">
      <c r="A1542" s="428" t="s">
        <v>6268</v>
      </c>
      <c r="B1542" s="413" t="s">
        <v>146</v>
      </c>
      <c r="C1542" s="265">
        <v>1</v>
      </c>
      <c r="D1542" s="413" t="s">
        <v>7347</v>
      </c>
      <c r="E1542" s="413" t="s">
        <v>6380</v>
      </c>
      <c r="F1542" s="413" t="s">
        <v>7348</v>
      </c>
      <c r="G1542" s="413"/>
      <c r="H1542" s="1277"/>
      <c r="I1542" s="1280"/>
    </row>
    <row r="1543" spans="1:9" hidden="1">
      <c r="A1543" s="428" t="s">
        <v>6268</v>
      </c>
      <c r="B1543" s="413" t="s">
        <v>146</v>
      </c>
      <c r="C1543" s="265">
        <v>1</v>
      </c>
      <c r="D1543" s="413" t="s">
        <v>7349</v>
      </c>
      <c r="E1543" s="413" t="s">
        <v>6380</v>
      </c>
      <c r="F1543" s="413" t="s">
        <v>7350</v>
      </c>
      <c r="G1543" s="413"/>
      <c r="H1543" s="1277"/>
      <c r="I1543" s="1280"/>
    </row>
    <row r="1544" spans="1:9" hidden="1">
      <c r="A1544" s="428" t="s">
        <v>6268</v>
      </c>
      <c r="B1544" s="413" t="s">
        <v>146</v>
      </c>
      <c r="C1544" s="265">
        <v>1</v>
      </c>
      <c r="D1544" s="413" t="s">
        <v>7351</v>
      </c>
      <c r="E1544" s="413" t="s">
        <v>6380</v>
      </c>
      <c r="F1544" s="413" t="s">
        <v>7352</v>
      </c>
      <c r="G1544" s="413"/>
      <c r="H1544" s="1277"/>
      <c r="I1544" s="1280"/>
    </row>
    <row r="1545" spans="1:9" hidden="1">
      <c r="A1545" s="428" t="s">
        <v>6268</v>
      </c>
      <c r="B1545" s="413" t="s">
        <v>146</v>
      </c>
      <c r="C1545" s="265">
        <v>1</v>
      </c>
      <c r="D1545" s="413" t="s">
        <v>7353</v>
      </c>
      <c r="E1545" s="413" t="s">
        <v>6380</v>
      </c>
      <c r="F1545" s="413" t="s">
        <v>7354</v>
      </c>
      <c r="G1545" s="413"/>
      <c r="H1545" s="1277"/>
      <c r="I1545" s="1280"/>
    </row>
    <row r="1546" spans="1:9" hidden="1">
      <c r="A1546" s="428" t="s">
        <v>6268</v>
      </c>
      <c r="B1546" s="413" t="s">
        <v>146</v>
      </c>
      <c r="C1546" s="265">
        <v>1</v>
      </c>
      <c r="D1546" s="413" t="s">
        <v>7355</v>
      </c>
      <c r="E1546" s="413" t="s">
        <v>6380</v>
      </c>
      <c r="F1546" s="413" t="s">
        <v>7356</v>
      </c>
      <c r="G1546" s="413"/>
      <c r="H1546" s="1277"/>
      <c r="I1546" s="1280"/>
    </row>
    <row r="1547" spans="1:9" hidden="1">
      <c r="A1547" s="428" t="s">
        <v>6268</v>
      </c>
      <c r="B1547" s="413" t="s">
        <v>146</v>
      </c>
      <c r="C1547" s="265">
        <v>1</v>
      </c>
      <c r="D1547" s="413" t="s">
        <v>7357</v>
      </c>
      <c r="E1547" s="413" t="s">
        <v>6380</v>
      </c>
      <c r="F1547" s="413" t="s">
        <v>7358</v>
      </c>
      <c r="G1547" s="413"/>
      <c r="H1547" s="1277"/>
      <c r="I1547" s="1280"/>
    </row>
    <row r="1548" spans="1:9" hidden="1">
      <c r="A1548" s="428" t="s">
        <v>6268</v>
      </c>
      <c r="B1548" s="413" t="s">
        <v>146</v>
      </c>
      <c r="C1548" s="265">
        <v>1</v>
      </c>
      <c r="D1548" s="413" t="s">
        <v>7359</v>
      </c>
      <c r="E1548" s="413" t="s">
        <v>6380</v>
      </c>
      <c r="F1548" s="413" t="s">
        <v>7360</v>
      </c>
      <c r="G1548" s="413"/>
      <c r="H1548" s="1277"/>
      <c r="I1548" s="1280"/>
    </row>
    <row r="1549" spans="1:9" hidden="1">
      <c r="A1549" s="428" t="s">
        <v>6268</v>
      </c>
      <c r="B1549" s="413" t="s">
        <v>146</v>
      </c>
      <c r="C1549" s="265">
        <v>1</v>
      </c>
      <c r="D1549" s="413" t="s">
        <v>7361</v>
      </c>
      <c r="E1549" s="413" t="s">
        <v>6380</v>
      </c>
      <c r="F1549" s="413" t="s">
        <v>7362</v>
      </c>
      <c r="G1549" s="413"/>
      <c r="H1549" s="1277"/>
      <c r="I1549" s="1280"/>
    </row>
    <row r="1550" spans="1:9" hidden="1">
      <c r="A1550" s="428" t="s">
        <v>6268</v>
      </c>
      <c r="B1550" s="413" t="s">
        <v>146</v>
      </c>
      <c r="C1550" s="265">
        <v>1</v>
      </c>
      <c r="D1550" s="413" t="s">
        <v>7363</v>
      </c>
      <c r="E1550" s="413" t="s">
        <v>6380</v>
      </c>
      <c r="F1550" s="413" t="s">
        <v>7364</v>
      </c>
      <c r="G1550" s="413"/>
      <c r="H1550" s="1277"/>
      <c r="I1550" s="1280"/>
    </row>
    <row r="1551" spans="1:9" hidden="1">
      <c r="A1551" s="428" t="s">
        <v>6268</v>
      </c>
      <c r="B1551" s="413" t="s">
        <v>146</v>
      </c>
      <c r="C1551" s="265">
        <v>1</v>
      </c>
      <c r="D1551" s="413" t="s">
        <v>7365</v>
      </c>
      <c r="E1551" s="413" t="s">
        <v>6380</v>
      </c>
      <c r="F1551" s="413" t="s">
        <v>7366</v>
      </c>
      <c r="G1551" s="413"/>
      <c r="H1551" s="1277"/>
      <c r="I1551" s="1280"/>
    </row>
    <row r="1552" spans="1:9" hidden="1">
      <c r="A1552" s="428" t="s">
        <v>6268</v>
      </c>
      <c r="B1552" s="413" t="s">
        <v>146</v>
      </c>
      <c r="C1552" s="265">
        <v>1</v>
      </c>
      <c r="D1552" s="413" t="s">
        <v>7367</v>
      </c>
      <c r="E1552" s="413" t="s">
        <v>6380</v>
      </c>
      <c r="F1552" s="413" t="s">
        <v>7368</v>
      </c>
      <c r="G1552" s="413"/>
      <c r="H1552" s="1277"/>
      <c r="I1552" s="1280"/>
    </row>
    <row r="1553" spans="1:9" hidden="1">
      <c r="A1553" s="428" t="s">
        <v>6268</v>
      </c>
      <c r="B1553" s="413" t="s">
        <v>146</v>
      </c>
      <c r="C1553" s="265">
        <v>1</v>
      </c>
      <c r="D1553" s="413" t="s">
        <v>7369</v>
      </c>
      <c r="E1553" s="413" t="s">
        <v>6380</v>
      </c>
      <c r="F1553" s="413" t="s">
        <v>7370</v>
      </c>
      <c r="G1553" s="413"/>
      <c r="H1553" s="1277"/>
      <c r="I1553" s="1280"/>
    </row>
    <row r="1554" spans="1:9" hidden="1">
      <c r="A1554" s="428" t="s">
        <v>6268</v>
      </c>
      <c r="B1554" s="413" t="s">
        <v>146</v>
      </c>
      <c r="C1554" s="265">
        <v>1</v>
      </c>
      <c r="D1554" s="413" t="s">
        <v>7371</v>
      </c>
      <c r="E1554" s="413" t="s">
        <v>6380</v>
      </c>
      <c r="F1554" s="413" t="s">
        <v>7372</v>
      </c>
      <c r="G1554" s="413"/>
      <c r="H1554" s="1277"/>
      <c r="I1554" s="1280"/>
    </row>
    <row r="1555" spans="1:9" hidden="1">
      <c r="A1555" s="428" t="s">
        <v>6268</v>
      </c>
      <c r="B1555" s="413" t="s">
        <v>146</v>
      </c>
      <c r="C1555" s="265">
        <v>1</v>
      </c>
      <c r="D1555" s="413" t="s">
        <v>7373</v>
      </c>
      <c r="E1555" s="413" t="s">
        <v>6380</v>
      </c>
      <c r="F1555" s="413" t="s">
        <v>7374</v>
      </c>
      <c r="G1555" s="413"/>
      <c r="H1555" s="1277"/>
      <c r="I1555" s="1280"/>
    </row>
    <row r="1556" spans="1:9" hidden="1">
      <c r="A1556" s="428" t="s">
        <v>6268</v>
      </c>
      <c r="B1556" s="413" t="s">
        <v>146</v>
      </c>
      <c r="C1556" s="265">
        <v>1</v>
      </c>
      <c r="D1556" s="413" t="s">
        <v>7375</v>
      </c>
      <c r="E1556" s="413" t="s">
        <v>6380</v>
      </c>
      <c r="F1556" s="413" t="s">
        <v>7376</v>
      </c>
      <c r="G1556" s="413"/>
      <c r="H1556" s="1277"/>
      <c r="I1556" s="1280"/>
    </row>
    <row r="1557" spans="1:9" hidden="1">
      <c r="A1557" s="428" t="s">
        <v>6268</v>
      </c>
      <c r="B1557" s="413" t="s">
        <v>146</v>
      </c>
      <c r="C1557" s="265">
        <v>1</v>
      </c>
      <c r="D1557" s="413" t="s">
        <v>7377</v>
      </c>
      <c r="E1557" s="413" t="s">
        <v>6380</v>
      </c>
      <c r="F1557" s="413" t="s">
        <v>7378</v>
      </c>
      <c r="G1557" s="413"/>
      <c r="H1557" s="1277"/>
      <c r="I1557" s="1280"/>
    </row>
    <row r="1558" spans="1:9" hidden="1">
      <c r="A1558" s="428" t="s">
        <v>6268</v>
      </c>
      <c r="B1558" s="413" t="s">
        <v>146</v>
      </c>
      <c r="C1558" s="265">
        <v>1</v>
      </c>
      <c r="D1558" s="413" t="s">
        <v>7379</v>
      </c>
      <c r="E1558" s="413" t="s">
        <v>6380</v>
      </c>
      <c r="F1558" s="413" t="s">
        <v>7380</v>
      </c>
      <c r="G1558" s="413"/>
      <c r="H1558" s="1277"/>
      <c r="I1558" s="1280"/>
    </row>
    <row r="1559" spans="1:9" hidden="1">
      <c r="A1559" s="428" t="s">
        <v>6268</v>
      </c>
      <c r="B1559" s="413" t="s">
        <v>146</v>
      </c>
      <c r="C1559" s="265">
        <v>1</v>
      </c>
      <c r="D1559" s="413" t="s">
        <v>7381</v>
      </c>
      <c r="E1559" s="413" t="s">
        <v>6380</v>
      </c>
      <c r="F1559" s="413" t="s">
        <v>7382</v>
      </c>
      <c r="G1559" s="413"/>
      <c r="H1559" s="1277"/>
      <c r="I1559" s="1280"/>
    </row>
    <row r="1560" spans="1:9" hidden="1">
      <c r="A1560" s="428" t="s">
        <v>6268</v>
      </c>
      <c r="B1560" s="413" t="s">
        <v>146</v>
      </c>
      <c r="C1560" s="265">
        <v>1</v>
      </c>
      <c r="D1560" s="413" t="s">
        <v>7383</v>
      </c>
      <c r="E1560" s="413" t="s">
        <v>6380</v>
      </c>
      <c r="F1560" s="413" t="s">
        <v>7384</v>
      </c>
      <c r="G1560" s="413"/>
      <c r="H1560" s="1277"/>
      <c r="I1560" s="1280"/>
    </row>
    <row r="1561" spans="1:9" hidden="1">
      <c r="A1561" s="428" t="s">
        <v>6268</v>
      </c>
      <c r="B1561" s="413" t="s">
        <v>146</v>
      </c>
      <c r="C1561" s="265">
        <v>1</v>
      </c>
      <c r="D1561" s="413" t="s">
        <v>7385</v>
      </c>
      <c r="E1561" s="413" t="s">
        <v>6380</v>
      </c>
      <c r="F1561" s="413" t="s">
        <v>7386</v>
      </c>
      <c r="G1561" s="413"/>
      <c r="H1561" s="1277"/>
      <c r="I1561" s="1280"/>
    </row>
    <row r="1562" spans="1:9" hidden="1">
      <c r="A1562" s="428" t="s">
        <v>6268</v>
      </c>
      <c r="B1562" s="413" t="s">
        <v>146</v>
      </c>
      <c r="C1562" s="265">
        <v>1</v>
      </c>
      <c r="D1562" s="413" t="s">
        <v>7387</v>
      </c>
      <c r="E1562" s="413" t="s">
        <v>6380</v>
      </c>
      <c r="F1562" s="413" t="s">
        <v>7388</v>
      </c>
      <c r="G1562" s="413"/>
      <c r="H1562" s="1277"/>
      <c r="I1562" s="1280"/>
    </row>
    <row r="1563" spans="1:9" hidden="1">
      <c r="A1563" s="428" t="s">
        <v>6268</v>
      </c>
      <c r="B1563" s="413" t="s">
        <v>146</v>
      </c>
      <c r="C1563" s="265">
        <v>1</v>
      </c>
      <c r="D1563" s="413" t="s">
        <v>7389</v>
      </c>
      <c r="E1563" s="413" t="s">
        <v>6380</v>
      </c>
      <c r="F1563" s="413" t="s">
        <v>7390</v>
      </c>
      <c r="G1563" s="413"/>
      <c r="H1563" s="1277"/>
      <c r="I1563" s="1280"/>
    </row>
    <row r="1564" spans="1:9" hidden="1">
      <c r="A1564" s="428" t="s">
        <v>6268</v>
      </c>
      <c r="B1564" s="413" t="s">
        <v>146</v>
      </c>
      <c r="C1564" s="265">
        <v>1</v>
      </c>
      <c r="D1564" s="413" t="s">
        <v>7391</v>
      </c>
      <c r="E1564" s="413" t="s">
        <v>6380</v>
      </c>
      <c r="F1564" s="413" t="s">
        <v>7392</v>
      </c>
      <c r="G1564" s="413"/>
      <c r="H1564" s="1277"/>
      <c r="I1564" s="1280"/>
    </row>
    <row r="1565" spans="1:9" hidden="1">
      <c r="A1565" s="428" t="s">
        <v>6268</v>
      </c>
      <c r="B1565" s="413" t="s">
        <v>146</v>
      </c>
      <c r="C1565" s="265">
        <v>1</v>
      </c>
      <c r="D1565" s="413" t="s">
        <v>7393</v>
      </c>
      <c r="E1565" s="413" t="s">
        <v>6380</v>
      </c>
      <c r="F1565" s="413" t="s">
        <v>7394</v>
      </c>
      <c r="G1565" s="413"/>
      <c r="H1565" s="1277"/>
      <c r="I1565" s="1280"/>
    </row>
    <row r="1566" spans="1:9" hidden="1">
      <c r="A1566" s="428" t="s">
        <v>6268</v>
      </c>
      <c r="B1566" s="413" t="s">
        <v>146</v>
      </c>
      <c r="C1566" s="265">
        <v>1</v>
      </c>
      <c r="D1566" s="413" t="s">
        <v>2441</v>
      </c>
      <c r="E1566" s="413" t="s">
        <v>6380</v>
      </c>
      <c r="F1566" s="413" t="s">
        <v>7395</v>
      </c>
      <c r="G1566" s="413"/>
      <c r="H1566" s="1277"/>
      <c r="I1566" s="1280"/>
    </row>
    <row r="1567" spans="1:9" hidden="1">
      <c r="A1567" s="428" t="s">
        <v>6268</v>
      </c>
      <c r="B1567" s="413" t="s">
        <v>146</v>
      </c>
      <c r="C1567" s="265">
        <v>1</v>
      </c>
      <c r="D1567" s="413" t="s">
        <v>2442</v>
      </c>
      <c r="E1567" s="413" t="s">
        <v>6380</v>
      </c>
      <c r="F1567" s="413" t="s">
        <v>7396</v>
      </c>
      <c r="G1567" s="413"/>
      <c r="H1567" s="1277"/>
      <c r="I1567" s="1280"/>
    </row>
    <row r="1568" spans="1:9" hidden="1">
      <c r="A1568" s="428" t="s">
        <v>6268</v>
      </c>
      <c r="B1568" s="413" t="s">
        <v>146</v>
      </c>
      <c r="C1568" s="265">
        <v>1</v>
      </c>
      <c r="D1568" s="413" t="s">
        <v>2443</v>
      </c>
      <c r="E1568" s="413" t="s">
        <v>6358</v>
      </c>
      <c r="F1568" s="413" t="s">
        <v>7397</v>
      </c>
      <c r="G1568" s="413"/>
      <c r="H1568" s="1277"/>
      <c r="I1568" s="1280"/>
    </row>
    <row r="1569" spans="1:9" hidden="1">
      <c r="A1569" s="428" t="s">
        <v>6268</v>
      </c>
      <c r="B1569" s="413" t="s">
        <v>146</v>
      </c>
      <c r="C1569" s="265">
        <v>1</v>
      </c>
      <c r="D1569" s="413" t="s">
        <v>7398</v>
      </c>
      <c r="E1569" s="413" t="s">
        <v>6380</v>
      </c>
      <c r="F1569" s="413" t="s">
        <v>7399</v>
      </c>
      <c r="G1569" s="413"/>
      <c r="H1569" s="1277"/>
      <c r="I1569" s="1280"/>
    </row>
    <row r="1570" spans="1:9" hidden="1">
      <c r="A1570" s="428" t="s">
        <v>6268</v>
      </c>
      <c r="B1570" s="413" t="s">
        <v>146</v>
      </c>
      <c r="C1570" s="265">
        <v>1</v>
      </c>
      <c r="D1570" s="413" t="s">
        <v>7400</v>
      </c>
      <c r="E1570" s="413" t="s">
        <v>6380</v>
      </c>
      <c r="F1570" s="413" t="s">
        <v>7401</v>
      </c>
      <c r="G1570" s="413"/>
      <c r="H1570" s="1277"/>
      <c r="I1570" s="1280"/>
    </row>
    <row r="1571" spans="1:9" hidden="1">
      <c r="A1571" s="428" t="s">
        <v>6268</v>
      </c>
      <c r="B1571" s="413" t="s">
        <v>146</v>
      </c>
      <c r="C1571" s="265">
        <v>1</v>
      </c>
      <c r="D1571" s="413" t="s">
        <v>7402</v>
      </c>
      <c r="E1571" s="413" t="s">
        <v>6380</v>
      </c>
      <c r="F1571" s="413" t="s">
        <v>7403</v>
      </c>
      <c r="G1571" s="413"/>
      <c r="H1571" s="1277"/>
      <c r="I1571" s="1280"/>
    </row>
    <row r="1572" spans="1:9" hidden="1">
      <c r="A1572" s="428" t="s">
        <v>6268</v>
      </c>
      <c r="B1572" s="413" t="s">
        <v>146</v>
      </c>
      <c r="C1572" s="265">
        <v>1</v>
      </c>
      <c r="D1572" s="413" t="s">
        <v>7404</v>
      </c>
      <c r="E1572" s="413" t="s">
        <v>6380</v>
      </c>
      <c r="F1572" s="413" t="s">
        <v>7405</v>
      </c>
      <c r="G1572" s="413"/>
      <c r="H1572" s="1277"/>
      <c r="I1572" s="1280"/>
    </row>
    <row r="1573" spans="1:9" hidden="1">
      <c r="A1573" s="428" t="s">
        <v>6268</v>
      </c>
      <c r="B1573" s="413" t="s">
        <v>146</v>
      </c>
      <c r="C1573" s="265">
        <v>1</v>
      </c>
      <c r="D1573" s="413" t="s">
        <v>7406</v>
      </c>
      <c r="E1573" s="413" t="s">
        <v>6380</v>
      </c>
      <c r="F1573" s="413" t="s">
        <v>7407</v>
      </c>
      <c r="G1573" s="413"/>
      <c r="H1573" s="1277"/>
      <c r="I1573" s="1280"/>
    </row>
    <row r="1574" spans="1:9" hidden="1">
      <c r="A1574" s="428" t="s">
        <v>6268</v>
      </c>
      <c r="B1574" s="413" t="s">
        <v>146</v>
      </c>
      <c r="C1574" s="265">
        <v>1</v>
      </c>
      <c r="D1574" s="413" t="s">
        <v>7408</v>
      </c>
      <c r="E1574" s="413" t="s">
        <v>6380</v>
      </c>
      <c r="F1574" s="413" t="s">
        <v>7409</v>
      </c>
      <c r="G1574" s="413"/>
      <c r="H1574" s="1277"/>
      <c r="I1574" s="1280"/>
    </row>
    <row r="1575" spans="1:9" hidden="1">
      <c r="A1575" s="428" t="s">
        <v>6268</v>
      </c>
      <c r="B1575" s="413" t="s">
        <v>146</v>
      </c>
      <c r="C1575" s="265">
        <v>1</v>
      </c>
      <c r="D1575" s="413" t="s">
        <v>7410</v>
      </c>
      <c r="E1575" s="413" t="s">
        <v>6358</v>
      </c>
      <c r="F1575" s="413" t="s">
        <v>7411</v>
      </c>
      <c r="G1575" s="413"/>
      <c r="H1575" s="1277"/>
      <c r="I1575" s="1280"/>
    </row>
    <row r="1576" spans="1:9" hidden="1">
      <c r="A1576" s="428" t="s">
        <v>6268</v>
      </c>
      <c r="B1576" s="413" t="s">
        <v>146</v>
      </c>
      <c r="C1576" s="265">
        <v>1</v>
      </c>
      <c r="D1576" s="413" t="s">
        <v>7412</v>
      </c>
      <c r="E1576" s="413" t="s">
        <v>6358</v>
      </c>
      <c r="F1576" s="413" t="s">
        <v>7413</v>
      </c>
      <c r="G1576" s="413"/>
      <c r="H1576" s="1277"/>
      <c r="I1576" s="1280"/>
    </row>
    <row r="1577" spans="1:9" hidden="1">
      <c r="A1577" s="428" t="s">
        <v>6268</v>
      </c>
      <c r="B1577" s="413" t="s">
        <v>146</v>
      </c>
      <c r="C1577" s="265">
        <v>1</v>
      </c>
      <c r="D1577" s="413" t="s">
        <v>7414</v>
      </c>
      <c r="E1577" s="413" t="s">
        <v>6358</v>
      </c>
      <c r="F1577" s="413" t="s">
        <v>7415</v>
      </c>
      <c r="G1577" s="413"/>
      <c r="H1577" s="1277"/>
      <c r="I1577" s="1280"/>
    </row>
    <row r="1578" spans="1:9" hidden="1">
      <c r="A1578" s="428" t="s">
        <v>6268</v>
      </c>
      <c r="B1578" s="413" t="s">
        <v>146</v>
      </c>
      <c r="C1578" s="265">
        <v>1</v>
      </c>
      <c r="D1578" s="413" t="s">
        <v>7416</v>
      </c>
      <c r="E1578" s="413" t="s">
        <v>6358</v>
      </c>
      <c r="F1578" s="413" t="s">
        <v>7417</v>
      </c>
      <c r="G1578" s="413"/>
      <c r="H1578" s="1277"/>
      <c r="I1578" s="1280"/>
    </row>
    <row r="1579" spans="1:9" hidden="1">
      <c r="A1579" s="428" t="s">
        <v>6268</v>
      </c>
      <c r="B1579" s="413" t="s">
        <v>146</v>
      </c>
      <c r="C1579" s="265">
        <v>1</v>
      </c>
      <c r="D1579" s="413" t="s">
        <v>7418</v>
      </c>
      <c r="E1579" s="413" t="s">
        <v>6358</v>
      </c>
      <c r="F1579" s="413" t="s">
        <v>7419</v>
      </c>
      <c r="G1579" s="413"/>
      <c r="H1579" s="1277"/>
      <c r="I1579" s="1280"/>
    </row>
    <row r="1580" spans="1:9" hidden="1">
      <c r="A1580" s="428" t="s">
        <v>6268</v>
      </c>
      <c r="B1580" s="413" t="s">
        <v>146</v>
      </c>
      <c r="C1580" s="265">
        <v>1</v>
      </c>
      <c r="D1580" s="413" t="s">
        <v>7420</v>
      </c>
      <c r="E1580" s="413" t="s">
        <v>6380</v>
      </c>
      <c r="F1580" s="413" t="s">
        <v>7421</v>
      </c>
      <c r="G1580" s="413"/>
      <c r="H1580" s="1277"/>
      <c r="I1580" s="1280"/>
    </row>
    <row r="1581" spans="1:9" hidden="1">
      <c r="A1581" s="428" t="s">
        <v>6268</v>
      </c>
      <c r="B1581" s="413" t="s">
        <v>146</v>
      </c>
      <c r="C1581" s="265">
        <v>1</v>
      </c>
      <c r="D1581" s="413" t="s">
        <v>7422</v>
      </c>
      <c r="E1581" s="413" t="s">
        <v>6380</v>
      </c>
      <c r="F1581" s="413" t="s">
        <v>7423</v>
      </c>
      <c r="G1581" s="413"/>
      <c r="H1581" s="1277"/>
      <c r="I1581" s="1280"/>
    </row>
    <row r="1582" spans="1:9" hidden="1">
      <c r="A1582" s="428" t="s">
        <v>6268</v>
      </c>
      <c r="B1582" s="413" t="s">
        <v>146</v>
      </c>
      <c r="C1582" s="265">
        <v>1</v>
      </c>
      <c r="D1582" s="413" t="s">
        <v>7424</v>
      </c>
      <c r="E1582" s="413" t="s">
        <v>6380</v>
      </c>
      <c r="F1582" s="413" t="s">
        <v>7425</v>
      </c>
      <c r="G1582" s="413"/>
      <c r="H1582" s="1277"/>
      <c r="I1582" s="1280"/>
    </row>
    <row r="1583" spans="1:9" hidden="1">
      <c r="A1583" s="428" t="s">
        <v>6268</v>
      </c>
      <c r="B1583" s="413" t="s">
        <v>146</v>
      </c>
      <c r="C1583" s="265">
        <v>1</v>
      </c>
      <c r="D1583" s="413" t="s">
        <v>7426</v>
      </c>
      <c r="E1583" s="413" t="s">
        <v>6380</v>
      </c>
      <c r="F1583" s="413" t="s">
        <v>7427</v>
      </c>
      <c r="G1583" s="413"/>
      <c r="H1583" s="1277"/>
      <c r="I1583" s="1280"/>
    </row>
    <row r="1584" spans="1:9" hidden="1">
      <c r="A1584" s="428" t="s">
        <v>6268</v>
      </c>
      <c r="B1584" s="413" t="s">
        <v>146</v>
      </c>
      <c r="C1584" s="265">
        <v>1</v>
      </c>
      <c r="D1584" s="413" t="s">
        <v>7428</v>
      </c>
      <c r="E1584" s="413" t="s">
        <v>6380</v>
      </c>
      <c r="F1584" s="413" t="s">
        <v>7429</v>
      </c>
      <c r="G1584" s="413"/>
      <c r="H1584" s="1277"/>
      <c r="I1584" s="1280"/>
    </row>
    <row r="1585" spans="1:9" hidden="1">
      <c r="A1585" s="428" t="s">
        <v>6268</v>
      </c>
      <c r="B1585" s="413" t="s">
        <v>146</v>
      </c>
      <c r="C1585" s="265">
        <v>1</v>
      </c>
      <c r="D1585" s="413" t="s">
        <v>7430</v>
      </c>
      <c r="E1585" s="413" t="s">
        <v>6380</v>
      </c>
      <c r="F1585" s="413" t="s">
        <v>7431</v>
      </c>
      <c r="G1585" s="413"/>
      <c r="H1585" s="1277"/>
      <c r="I1585" s="1280"/>
    </row>
    <row r="1586" spans="1:9" hidden="1">
      <c r="A1586" s="428" t="s">
        <v>6268</v>
      </c>
      <c r="B1586" s="413" t="s">
        <v>146</v>
      </c>
      <c r="C1586" s="265">
        <v>1</v>
      </c>
      <c r="D1586" s="413" t="s">
        <v>7432</v>
      </c>
      <c r="E1586" s="413" t="s">
        <v>6380</v>
      </c>
      <c r="F1586" s="413" t="s">
        <v>7433</v>
      </c>
      <c r="G1586" s="413"/>
      <c r="H1586" s="1277"/>
      <c r="I1586" s="1280"/>
    </row>
    <row r="1587" spans="1:9" hidden="1">
      <c r="A1587" s="428" t="s">
        <v>6268</v>
      </c>
      <c r="B1587" s="413" t="s">
        <v>146</v>
      </c>
      <c r="C1587" s="265">
        <v>1</v>
      </c>
      <c r="D1587" s="413" t="s">
        <v>7434</v>
      </c>
      <c r="E1587" s="413" t="s">
        <v>6380</v>
      </c>
      <c r="F1587" s="413" t="s">
        <v>7434</v>
      </c>
      <c r="G1587" s="413"/>
      <c r="H1587" s="1277"/>
      <c r="I1587" s="1280"/>
    </row>
    <row r="1588" spans="1:9" hidden="1">
      <c r="A1588" s="428" t="s">
        <v>6268</v>
      </c>
      <c r="B1588" s="413" t="s">
        <v>146</v>
      </c>
      <c r="C1588" s="265">
        <v>1</v>
      </c>
      <c r="D1588" s="413" t="s">
        <v>7435</v>
      </c>
      <c r="E1588" s="413" t="s">
        <v>6380</v>
      </c>
      <c r="F1588" s="413" t="s">
        <v>7436</v>
      </c>
      <c r="G1588" s="413"/>
      <c r="H1588" s="1277"/>
      <c r="I1588" s="1280"/>
    </row>
    <row r="1589" spans="1:9" hidden="1">
      <c r="A1589" s="428" t="s">
        <v>6268</v>
      </c>
      <c r="B1589" s="413" t="s">
        <v>146</v>
      </c>
      <c r="C1589" s="265">
        <v>1</v>
      </c>
      <c r="D1589" s="413" t="s">
        <v>7437</v>
      </c>
      <c r="E1589" s="413" t="s">
        <v>6380</v>
      </c>
      <c r="F1589" s="413" t="s">
        <v>7438</v>
      </c>
      <c r="G1589" s="413"/>
      <c r="H1589" s="1277"/>
      <c r="I1589" s="1280"/>
    </row>
    <row r="1590" spans="1:9" hidden="1">
      <c r="A1590" s="428" t="s">
        <v>6268</v>
      </c>
      <c r="B1590" s="413" t="s">
        <v>146</v>
      </c>
      <c r="C1590" s="265">
        <v>1</v>
      </c>
      <c r="D1590" s="413" t="s">
        <v>7439</v>
      </c>
      <c r="E1590" s="413" t="s">
        <v>6358</v>
      </c>
      <c r="F1590" s="413" t="s">
        <v>7440</v>
      </c>
      <c r="G1590" s="413"/>
      <c r="H1590" s="1277"/>
      <c r="I1590" s="1280"/>
    </row>
    <row r="1591" spans="1:9" hidden="1">
      <c r="A1591" s="428" t="s">
        <v>6268</v>
      </c>
      <c r="B1591" s="413" t="s">
        <v>146</v>
      </c>
      <c r="C1591" s="265">
        <v>1</v>
      </c>
      <c r="D1591" s="413" t="s">
        <v>7441</v>
      </c>
      <c r="E1591" s="413" t="s">
        <v>6358</v>
      </c>
      <c r="F1591" s="413" t="s">
        <v>7442</v>
      </c>
      <c r="G1591" s="413"/>
      <c r="H1591" s="1277"/>
      <c r="I1591" s="1280"/>
    </row>
    <row r="1592" spans="1:9" hidden="1">
      <c r="A1592" s="428" t="s">
        <v>6268</v>
      </c>
      <c r="B1592" s="413" t="s">
        <v>146</v>
      </c>
      <c r="C1592" s="265">
        <v>1</v>
      </c>
      <c r="D1592" s="413" t="s">
        <v>7443</v>
      </c>
      <c r="E1592" s="413" t="s">
        <v>6380</v>
      </c>
      <c r="F1592" s="413" t="s">
        <v>7444</v>
      </c>
      <c r="G1592" s="413"/>
      <c r="H1592" s="1277"/>
      <c r="I1592" s="1280"/>
    </row>
    <row r="1593" spans="1:9" hidden="1">
      <c r="A1593" s="428" t="s">
        <v>6268</v>
      </c>
      <c r="B1593" s="413" t="s">
        <v>146</v>
      </c>
      <c r="C1593" s="265">
        <v>1</v>
      </c>
      <c r="D1593" s="413" t="s">
        <v>7445</v>
      </c>
      <c r="E1593" s="413" t="s">
        <v>6380</v>
      </c>
      <c r="F1593" s="413" t="s">
        <v>7446</v>
      </c>
      <c r="G1593" s="413"/>
      <c r="H1593" s="1277"/>
      <c r="I1593" s="1280"/>
    </row>
    <row r="1594" spans="1:9" hidden="1">
      <c r="A1594" s="428" t="s">
        <v>6268</v>
      </c>
      <c r="B1594" s="413" t="s">
        <v>146</v>
      </c>
      <c r="C1594" s="265">
        <v>1</v>
      </c>
      <c r="D1594" s="413" t="s">
        <v>7447</v>
      </c>
      <c r="E1594" s="413" t="s">
        <v>6380</v>
      </c>
      <c r="F1594" s="413" t="s">
        <v>7448</v>
      </c>
      <c r="G1594" s="413"/>
      <c r="H1594" s="1277"/>
      <c r="I1594" s="1280"/>
    </row>
    <row r="1595" spans="1:9" hidden="1">
      <c r="A1595" s="428" t="s">
        <v>6268</v>
      </c>
      <c r="B1595" s="413" t="s">
        <v>146</v>
      </c>
      <c r="C1595" s="265">
        <v>1</v>
      </c>
      <c r="D1595" s="413" t="s">
        <v>7449</v>
      </c>
      <c r="E1595" s="413" t="s">
        <v>6380</v>
      </c>
      <c r="F1595" s="413" t="s">
        <v>7436</v>
      </c>
      <c r="G1595" s="413"/>
      <c r="H1595" s="1277"/>
      <c r="I1595" s="1280"/>
    </row>
    <row r="1596" spans="1:9" hidden="1">
      <c r="A1596" s="428" t="s">
        <v>6268</v>
      </c>
      <c r="B1596" s="413" t="s">
        <v>146</v>
      </c>
      <c r="C1596" s="265">
        <v>1</v>
      </c>
      <c r="D1596" s="413" t="s">
        <v>7450</v>
      </c>
      <c r="E1596" s="413" t="s">
        <v>6380</v>
      </c>
      <c r="F1596" s="413" t="s">
        <v>7451</v>
      </c>
      <c r="G1596" s="413"/>
      <c r="H1596" s="1277"/>
      <c r="I1596" s="1280"/>
    </row>
    <row r="1597" spans="1:9" hidden="1">
      <c r="A1597" s="428" t="s">
        <v>6268</v>
      </c>
      <c r="B1597" s="413" t="s">
        <v>146</v>
      </c>
      <c r="C1597" s="265">
        <v>1</v>
      </c>
      <c r="D1597" s="413" t="s">
        <v>7452</v>
      </c>
      <c r="E1597" s="413" t="s">
        <v>6380</v>
      </c>
      <c r="F1597" s="413" t="s">
        <v>6840</v>
      </c>
      <c r="G1597" s="413"/>
      <c r="H1597" s="1277"/>
      <c r="I1597" s="1280"/>
    </row>
    <row r="1598" spans="1:9" hidden="1">
      <c r="A1598" s="428" t="s">
        <v>6268</v>
      </c>
      <c r="B1598" s="413" t="s">
        <v>146</v>
      </c>
      <c r="C1598" s="265">
        <v>1</v>
      </c>
      <c r="D1598" s="413" t="s">
        <v>7453</v>
      </c>
      <c r="E1598" s="413" t="s">
        <v>6380</v>
      </c>
      <c r="F1598" s="413" t="s">
        <v>7454</v>
      </c>
      <c r="G1598" s="413"/>
      <c r="H1598" s="1277"/>
      <c r="I1598" s="1280"/>
    </row>
    <row r="1599" spans="1:9" hidden="1">
      <c r="A1599" s="428" t="s">
        <v>6268</v>
      </c>
      <c r="B1599" s="413" t="s">
        <v>146</v>
      </c>
      <c r="C1599" s="265">
        <v>1</v>
      </c>
      <c r="D1599" s="413" t="s">
        <v>7455</v>
      </c>
      <c r="E1599" s="413" t="s">
        <v>6380</v>
      </c>
      <c r="F1599" s="413" t="s">
        <v>7436</v>
      </c>
      <c r="G1599" s="413"/>
      <c r="H1599" s="1277"/>
      <c r="I1599" s="1280"/>
    </row>
    <row r="1600" spans="1:9" hidden="1">
      <c r="A1600" s="428" t="s">
        <v>6268</v>
      </c>
      <c r="B1600" s="413" t="s">
        <v>146</v>
      </c>
      <c r="C1600" s="265">
        <v>1</v>
      </c>
      <c r="D1600" s="413" t="s">
        <v>7456</v>
      </c>
      <c r="E1600" s="413" t="s">
        <v>6380</v>
      </c>
      <c r="F1600" s="413" t="s">
        <v>7457</v>
      </c>
      <c r="G1600" s="413"/>
      <c r="H1600" s="1277"/>
      <c r="I1600" s="1280"/>
    </row>
    <row r="1601" spans="1:9" hidden="1">
      <c r="A1601" s="428" t="s">
        <v>6268</v>
      </c>
      <c r="B1601" s="413" t="s">
        <v>146</v>
      </c>
      <c r="C1601" s="265">
        <v>1</v>
      </c>
      <c r="D1601" s="413" t="s">
        <v>7458</v>
      </c>
      <c r="E1601" s="413" t="s">
        <v>6380</v>
      </c>
      <c r="F1601" s="413" t="s">
        <v>7459</v>
      </c>
      <c r="G1601" s="413"/>
      <c r="H1601" s="1277"/>
      <c r="I1601" s="1280"/>
    </row>
    <row r="1602" spans="1:9" hidden="1">
      <c r="A1602" s="428" t="s">
        <v>6268</v>
      </c>
      <c r="B1602" s="413" t="s">
        <v>146</v>
      </c>
      <c r="C1602" s="265">
        <v>1</v>
      </c>
      <c r="D1602" s="413" t="s">
        <v>7460</v>
      </c>
      <c r="E1602" s="413" t="s">
        <v>6380</v>
      </c>
      <c r="F1602" s="413" t="s">
        <v>7461</v>
      </c>
      <c r="G1602" s="413"/>
      <c r="H1602" s="1277"/>
      <c r="I1602" s="1280"/>
    </row>
    <row r="1603" spans="1:9" hidden="1">
      <c r="A1603" s="428" t="s">
        <v>6268</v>
      </c>
      <c r="B1603" s="413" t="s">
        <v>146</v>
      </c>
      <c r="C1603" s="265">
        <v>1</v>
      </c>
      <c r="D1603" s="413" t="s">
        <v>7462</v>
      </c>
      <c r="E1603" s="413" t="s">
        <v>6380</v>
      </c>
      <c r="F1603" s="413" t="s">
        <v>7463</v>
      </c>
      <c r="G1603" s="413"/>
      <c r="H1603" s="1277"/>
      <c r="I1603" s="1280"/>
    </row>
    <row r="1604" spans="1:9" hidden="1">
      <c r="A1604" s="428" t="s">
        <v>6268</v>
      </c>
      <c r="B1604" s="413" t="s">
        <v>146</v>
      </c>
      <c r="C1604" s="265">
        <v>1</v>
      </c>
      <c r="D1604" s="413" t="s">
        <v>7464</v>
      </c>
      <c r="E1604" s="413" t="s">
        <v>6380</v>
      </c>
      <c r="F1604" s="413" t="s">
        <v>7286</v>
      </c>
      <c r="G1604" s="413"/>
      <c r="H1604" s="1277"/>
      <c r="I1604" s="1280"/>
    </row>
    <row r="1605" spans="1:9" hidden="1">
      <c r="A1605" s="428" t="s">
        <v>6268</v>
      </c>
      <c r="B1605" s="413" t="s">
        <v>146</v>
      </c>
      <c r="C1605" s="265">
        <v>1</v>
      </c>
      <c r="D1605" s="413" t="s">
        <v>7465</v>
      </c>
      <c r="E1605" s="413" t="s">
        <v>6380</v>
      </c>
      <c r="F1605" s="413" t="s">
        <v>7436</v>
      </c>
      <c r="G1605" s="413"/>
      <c r="H1605" s="1277"/>
      <c r="I1605" s="1280"/>
    </row>
    <row r="1606" spans="1:9" hidden="1">
      <c r="A1606" s="428" t="s">
        <v>6268</v>
      </c>
      <c r="B1606" s="413" t="s">
        <v>146</v>
      </c>
      <c r="C1606" s="265">
        <v>1</v>
      </c>
      <c r="D1606" s="413" t="s">
        <v>7466</v>
      </c>
      <c r="E1606" s="413" t="s">
        <v>6380</v>
      </c>
      <c r="F1606" s="413" t="s">
        <v>7436</v>
      </c>
      <c r="G1606" s="413"/>
      <c r="H1606" s="1277"/>
      <c r="I1606" s="1280"/>
    </row>
    <row r="1607" spans="1:9" hidden="1">
      <c r="A1607" s="428" t="s">
        <v>6268</v>
      </c>
      <c r="B1607" s="413" t="s">
        <v>146</v>
      </c>
      <c r="C1607" s="265">
        <v>1</v>
      </c>
      <c r="D1607" s="413" t="s">
        <v>7467</v>
      </c>
      <c r="E1607" s="413" t="s">
        <v>6380</v>
      </c>
      <c r="F1607" s="413" t="s">
        <v>7468</v>
      </c>
      <c r="G1607" s="413"/>
      <c r="H1607" s="1277"/>
      <c r="I1607" s="1280"/>
    </row>
    <row r="1608" spans="1:9" hidden="1">
      <c r="A1608" s="428" t="s">
        <v>6268</v>
      </c>
      <c r="B1608" s="413" t="s">
        <v>146</v>
      </c>
      <c r="C1608" s="265">
        <v>1</v>
      </c>
      <c r="D1608" s="413" t="s">
        <v>7469</v>
      </c>
      <c r="E1608" s="413" t="s">
        <v>6380</v>
      </c>
      <c r="F1608" s="413" t="s">
        <v>7470</v>
      </c>
      <c r="G1608" s="413"/>
      <c r="H1608" s="1277"/>
      <c r="I1608" s="1280"/>
    </row>
    <row r="1609" spans="1:9" hidden="1">
      <c r="A1609" s="428" t="s">
        <v>6268</v>
      </c>
      <c r="B1609" s="413" t="s">
        <v>146</v>
      </c>
      <c r="C1609" s="265">
        <v>1</v>
      </c>
      <c r="D1609" s="413" t="s">
        <v>7471</v>
      </c>
      <c r="E1609" s="413" t="s">
        <v>6380</v>
      </c>
      <c r="F1609" s="413" t="s">
        <v>7472</v>
      </c>
      <c r="G1609" s="413"/>
      <c r="H1609" s="1277"/>
      <c r="I1609" s="1280"/>
    </row>
    <row r="1610" spans="1:9" hidden="1">
      <c r="A1610" s="428" t="s">
        <v>6268</v>
      </c>
      <c r="B1610" s="413" t="s">
        <v>146</v>
      </c>
      <c r="C1610" s="265">
        <v>1</v>
      </c>
      <c r="D1610" s="413" t="s">
        <v>7473</v>
      </c>
      <c r="E1610" s="413" t="s">
        <v>6380</v>
      </c>
      <c r="F1610" s="413" t="s">
        <v>7474</v>
      </c>
      <c r="G1610" s="413"/>
      <c r="H1610" s="1277"/>
      <c r="I1610" s="1280"/>
    </row>
    <row r="1611" spans="1:9" hidden="1">
      <c r="A1611" s="428" t="s">
        <v>6268</v>
      </c>
      <c r="B1611" s="413" t="s">
        <v>146</v>
      </c>
      <c r="C1611" s="265">
        <v>1</v>
      </c>
      <c r="D1611" s="413" t="s">
        <v>7475</v>
      </c>
      <c r="E1611" s="413" t="s">
        <v>6380</v>
      </c>
      <c r="F1611" s="413" t="s">
        <v>7476</v>
      </c>
      <c r="G1611" s="413"/>
      <c r="H1611" s="1277"/>
      <c r="I1611" s="1280"/>
    </row>
    <row r="1612" spans="1:9" hidden="1">
      <c r="A1612" s="428" t="s">
        <v>6268</v>
      </c>
      <c r="B1612" s="413" t="s">
        <v>146</v>
      </c>
      <c r="C1612" s="265">
        <v>1</v>
      </c>
      <c r="D1612" s="413" t="s">
        <v>7477</v>
      </c>
      <c r="E1612" s="413" t="s">
        <v>6380</v>
      </c>
      <c r="F1612" s="413" t="s">
        <v>7478</v>
      </c>
      <c r="G1612" s="413"/>
      <c r="H1612" s="1277"/>
      <c r="I1612" s="1280"/>
    </row>
    <row r="1613" spans="1:9" hidden="1">
      <c r="A1613" s="428" t="s">
        <v>6268</v>
      </c>
      <c r="B1613" s="413" t="s">
        <v>146</v>
      </c>
      <c r="C1613" s="265">
        <v>1</v>
      </c>
      <c r="D1613" s="413" t="s">
        <v>7479</v>
      </c>
      <c r="E1613" s="413" t="s">
        <v>6380</v>
      </c>
      <c r="F1613" s="413" t="s">
        <v>7436</v>
      </c>
      <c r="G1613" s="413"/>
      <c r="H1613" s="1277"/>
      <c r="I1613" s="1280"/>
    </row>
    <row r="1614" spans="1:9" hidden="1">
      <c r="A1614" s="428" t="s">
        <v>6268</v>
      </c>
      <c r="B1614" s="413" t="s">
        <v>146</v>
      </c>
      <c r="C1614" s="265">
        <v>1</v>
      </c>
      <c r="D1614" s="413" t="s">
        <v>7480</v>
      </c>
      <c r="E1614" s="413" t="s">
        <v>6380</v>
      </c>
      <c r="F1614" s="413" t="s">
        <v>7481</v>
      </c>
      <c r="G1614" s="413"/>
      <c r="H1614" s="1277"/>
      <c r="I1614" s="1280"/>
    </row>
    <row r="1615" spans="1:9" hidden="1">
      <c r="A1615" s="428" t="s">
        <v>6268</v>
      </c>
      <c r="B1615" s="413" t="s">
        <v>146</v>
      </c>
      <c r="C1615" s="265">
        <v>1</v>
      </c>
      <c r="D1615" s="413" t="s">
        <v>7482</v>
      </c>
      <c r="E1615" s="413" t="s">
        <v>6380</v>
      </c>
      <c r="F1615" s="413" t="s">
        <v>7483</v>
      </c>
      <c r="G1615" s="413"/>
      <c r="H1615" s="1277"/>
      <c r="I1615" s="1280"/>
    </row>
    <row r="1616" spans="1:9" hidden="1">
      <c r="A1616" s="428" t="s">
        <v>6268</v>
      </c>
      <c r="B1616" s="413" t="s">
        <v>146</v>
      </c>
      <c r="C1616" s="265">
        <v>1</v>
      </c>
      <c r="D1616" s="413" t="s">
        <v>7484</v>
      </c>
      <c r="E1616" s="413" t="s">
        <v>6380</v>
      </c>
      <c r="F1616" s="413" t="s">
        <v>7485</v>
      </c>
      <c r="G1616" s="413"/>
      <c r="H1616" s="1277"/>
      <c r="I1616" s="1280"/>
    </row>
    <row r="1617" spans="1:9" hidden="1">
      <c r="A1617" s="428" t="s">
        <v>6268</v>
      </c>
      <c r="B1617" s="413" t="s">
        <v>146</v>
      </c>
      <c r="C1617" s="265">
        <v>1</v>
      </c>
      <c r="D1617" s="413" t="s">
        <v>7486</v>
      </c>
      <c r="E1617" s="413" t="s">
        <v>6380</v>
      </c>
      <c r="F1617" s="413" t="s">
        <v>7487</v>
      </c>
      <c r="G1617" s="413"/>
      <c r="H1617" s="1277"/>
      <c r="I1617" s="1280"/>
    </row>
    <row r="1618" spans="1:9" hidden="1">
      <c r="A1618" s="428" t="s">
        <v>6268</v>
      </c>
      <c r="B1618" s="413" t="s">
        <v>146</v>
      </c>
      <c r="C1618" s="265">
        <v>1</v>
      </c>
      <c r="D1618" s="413" t="s">
        <v>7488</v>
      </c>
      <c r="E1618" s="413" t="s">
        <v>6380</v>
      </c>
      <c r="F1618" s="413" t="s">
        <v>7485</v>
      </c>
      <c r="G1618" s="413"/>
      <c r="H1618" s="1277"/>
      <c r="I1618" s="1280"/>
    </row>
    <row r="1619" spans="1:9" hidden="1">
      <c r="A1619" s="428" t="s">
        <v>6268</v>
      </c>
      <c r="B1619" s="413" t="s">
        <v>146</v>
      </c>
      <c r="C1619" s="265">
        <v>1</v>
      </c>
      <c r="D1619" s="413" t="s">
        <v>7489</v>
      </c>
      <c r="E1619" s="413" t="s">
        <v>6380</v>
      </c>
      <c r="F1619" s="413" t="s">
        <v>7490</v>
      </c>
      <c r="G1619" s="413"/>
      <c r="H1619" s="1277"/>
      <c r="I1619" s="1280"/>
    </row>
    <row r="1620" spans="1:9" hidden="1">
      <c r="A1620" s="428" t="s">
        <v>6268</v>
      </c>
      <c r="B1620" s="413" t="s">
        <v>146</v>
      </c>
      <c r="C1620" s="265">
        <v>1</v>
      </c>
      <c r="D1620" s="413" t="s">
        <v>7491</v>
      </c>
      <c r="E1620" s="413" t="s">
        <v>6380</v>
      </c>
      <c r="F1620" s="413" t="s">
        <v>7485</v>
      </c>
      <c r="G1620" s="413"/>
      <c r="H1620" s="1277"/>
      <c r="I1620" s="1280"/>
    </row>
    <row r="1621" spans="1:9" hidden="1">
      <c r="A1621" s="428" t="s">
        <v>6268</v>
      </c>
      <c r="B1621" s="413" t="s">
        <v>146</v>
      </c>
      <c r="C1621" s="265">
        <v>1</v>
      </c>
      <c r="D1621" s="413" t="s">
        <v>7492</v>
      </c>
      <c r="E1621" s="413" t="s">
        <v>6380</v>
      </c>
      <c r="F1621" s="413" t="s">
        <v>7493</v>
      </c>
      <c r="G1621" s="413"/>
      <c r="H1621" s="1277"/>
      <c r="I1621" s="1280"/>
    </row>
    <row r="1622" spans="1:9" hidden="1">
      <c r="A1622" s="428" t="s">
        <v>6268</v>
      </c>
      <c r="B1622" s="413" t="s">
        <v>146</v>
      </c>
      <c r="C1622" s="265">
        <v>1</v>
      </c>
      <c r="D1622" s="413" t="s">
        <v>7494</v>
      </c>
      <c r="E1622" s="413" t="s">
        <v>6380</v>
      </c>
      <c r="F1622" s="413" t="s">
        <v>7495</v>
      </c>
      <c r="G1622" s="413"/>
      <c r="H1622" s="1277"/>
      <c r="I1622" s="1280"/>
    </row>
    <row r="1623" spans="1:9" hidden="1">
      <c r="A1623" s="428" t="s">
        <v>6268</v>
      </c>
      <c r="B1623" s="413" t="s">
        <v>146</v>
      </c>
      <c r="C1623" s="265">
        <v>1</v>
      </c>
      <c r="D1623" s="413" t="s">
        <v>7496</v>
      </c>
      <c r="E1623" s="413" t="s">
        <v>6380</v>
      </c>
      <c r="F1623" s="413" t="s">
        <v>7497</v>
      </c>
      <c r="G1623" s="413"/>
      <c r="H1623" s="1277"/>
      <c r="I1623" s="1280"/>
    </row>
    <row r="1624" spans="1:9" hidden="1">
      <c r="A1624" s="428" t="s">
        <v>6268</v>
      </c>
      <c r="B1624" s="413" t="s">
        <v>146</v>
      </c>
      <c r="C1624" s="265">
        <v>1</v>
      </c>
      <c r="D1624" s="413" t="s">
        <v>7498</v>
      </c>
      <c r="E1624" s="413" t="s">
        <v>6380</v>
      </c>
      <c r="F1624" s="413" t="s">
        <v>7499</v>
      </c>
      <c r="G1624" s="413"/>
      <c r="H1624" s="1277"/>
      <c r="I1624" s="1280"/>
    </row>
    <row r="1625" spans="1:9" hidden="1">
      <c r="A1625" s="428" t="s">
        <v>6268</v>
      </c>
      <c r="B1625" s="413" t="s">
        <v>146</v>
      </c>
      <c r="C1625" s="265">
        <v>1</v>
      </c>
      <c r="D1625" s="413" t="s">
        <v>7500</v>
      </c>
      <c r="E1625" s="413" t="s">
        <v>6380</v>
      </c>
      <c r="F1625" s="413" t="s">
        <v>7485</v>
      </c>
      <c r="G1625" s="413"/>
      <c r="H1625" s="1277"/>
      <c r="I1625" s="1280"/>
    </row>
    <row r="1626" spans="1:9" hidden="1">
      <c r="A1626" s="428" t="s">
        <v>6268</v>
      </c>
      <c r="B1626" s="413" t="s">
        <v>146</v>
      </c>
      <c r="C1626" s="265">
        <v>1</v>
      </c>
      <c r="D1626" s="413" t="s">
        <v>7501</v>
      </c>
      <c r="E1626" s="413" t="s">
        <v>6358</v>
      </c>
      <c r="F1626" s="413" t="s">
        <v>7502</v>
      </c>
      <c r="G1626" s="413"/>
      <c r="H1626" s="1277"/>
      <c r="I1626" s="1280"/>
    </row>
    <row r="1627" spans="1:9" hidden="1">
      <c r="A1627" s="428" t="s">
        <v>6268</v>
      </c>
      <c r="B1627" s="413" t="s">
        <v>146</v>
      </c>
      <c r="C1627" s="265">
        <v>1</v>
      </c>
      <c r="D1627" s="413" t="s">
        <v>7503</v>
      </c>
      <c r="E1627" s="413" t="s">
        <v>6358</v>
      </c>
      <c r="F1627" s="413" t="s">
        <v>7504</v>
      </c>
      <c r="G1627" s="413"/>
      <c r="H1627" s="1277"/>
      <c r="I1627" s="1280"/>
    </row>
    <row r="1628" spans="1:9" hidden="1">
      <c r="A1628" s="428" t="s">
        <v>6268</v>
      </c>
      <c r="B1628" s="413" t="s">
        <v>146</v>
      </c>
      <c r="C1628" s="265">
        <v>1</v>
      </c>
      <c r="D1628" s="413" t="s">
        <v>7505</v>
      </c>
      <c r="E1628" s="413" t="s">
        <v>6380</v>
      </c>
      <c r="F1628" s="413" t="s">
        <v>7506</v>
      </c>
      <c r="G1628" s="413"/>
      <c r="H1628" s="1277"/>
      <c r="I1628" s="1280"/>
    </row>
    <row r="1629" spans="1:9" hidden="1">
      <c r="A1629" s="428" t="s">
        <v>6268</v>
      </c>
      <c r="B1629" s="413" t="s">
        <v>146</v>
      </c>
      <c r="C1629" s="265">
        <v>1</v>
      </c>
      <c r="D1629" s="413" t="s">
        <v>7507</v>
      </c>
      <c r="E1629" s="413" t="s">
        <v>6380</v>
      </c>
      <c r="F1629" s="413" t="s">
        <v>7485</v>
      </c>
      <c r="G1629" s="413"/>
      <c r="H1629" s="1277"/>
      <c r="I1629" s="1280"/>
    </row>
    <row r="1630" spans="1:9" hidden="1">
      <c r="A1630" s="428" t="s">
        <v>6268</v>
      </c>
      <c r="B1630" s="413" t="s">
        <v>146</v>
      </c>
      <c r="C1630" s="265">
        <v>1</v>
      </c>
      <c r="D1630" s="413" t="s">
        <v>7508</v>
      </c>
      <c r="E1630" s="413" t="s">
        <v>6380</v>
      </c>
      <c r="F1630" s="413" t="s">
        <v>7509</v>
      </c>
      <c r="G1630" s="413"/>
      <c r="H1630" s="1277"/>
      <c r="I1630" s="1280"/>
    </row>
    <row r="1631" spans="1:9" hidden="1">
      <c r="A1631" s="428" t="s">
        <v>6268</v>
      </c>
      <c r="B1631" s="413" t="s">
        <v>146</v>
      </c>
      <c r="C1631" s="265">
        <v>1</v>
      </c>
      <c r="D1631" s="413" t="s">
        <v>7510</v>
      </c>
      <c r="E1631" s="413" t="s">
        <v>6380</v>
      </c>
      <c r="F1631" s="413" t="s">
        <v>7511</v>
      </c>
      <c r="G1631" s="413"/>
      <c r="H1631" s="1277"/>
      <c r="I1631" s="1280"/>
    </row>
    <row r="1632" spans="1:9" hidden="1">
      <c r="A1632" s="428" t="s">
        <v>6268</v>
      </c>
      <c r="B1632" s="413" t="s">
        <v>146</v>
      </c>
      <c r="C1632" s="265">
        <v>1</v>
      </c>
      <c r="D1632" s="413" t="s">
        <v>7512</v>
      </c>
      <c r="E1632" s="413" t="s">
        <v>6380</v>
      </c>
      <c r="F1632" s="413" t="s">
        <v>7513</v>
      </c>
      <c r="G1632" s="413"/>
      <c r="H1632" s="1277"/>
      <c r="I1632" s="1280"/>
    </row>
    <row r="1633" spans="1:9" hidden="1">
      <c r="A1633" s="428" t="s">
        <v>6268</v>
      </c>
      <c r="B1633" s="413" t="s">
        <v>146</v>
      </c>
      <c r="C1633" s="265">
        <v>1</v>
      </c>
      <c r="D1633" s="413" t="s">
        <v>7514</v>
      </c>
      <c r="E1633" s="413" t="s">
        <v>6380</v>
      </c>
      <c r="F1633" s="413" t="s">
        <v>7515</v>
      </c>
      <c r="G1633" s="413"/>
      <c r="H1633" s="1277"/>
      <c r="I1633" s="1280"/>
    </row>
    <row r="1634" spans="1:9" hidden="1">
      <c r="A1634" s="428" t="s">
        <v>6268</v>
      </c>
      <c r="B1634" s="413" t="s">
        <v>146</v>
      </c>
      <c r="C1634" s="265">
        <v>1</v>
      </c>
      <c r="D1634" s="413" t="s">
        <v>7516</v>
      </c>
      <c r="E1634" s="413" t="s">
        <v>6358</v>
      </c>
      <c r="F1634" s="413" t="s">
        <v>7517</v>
      </c>
      <c r="G1634" s="413"/>
      <c r="H1634" s="1277"/>
      <c r="I1634" s="1280"/>
    </row>
    <row r="1635" spans="1:9" hidden="1">
      <c r="A1635" s="428" t="s">
        <v>6268</v>
      </c>
      <c r="B1635" s="413" t="s">
        <v>146</v>
      </c>
      <c r="C1635" s="265">
        <v>1</v>
      </c>
      <c r="D1635" s="413" t="s">
        <v>7518</v>
      </c>
      <c r="E1635" s="413" t="s">
        <v>6358</v>
      </c>
      <c r="F1635" s="413" t="s">
        <v>7519</v>
      </c>
      <c r="G1635" s="413"/>
      <c r="H1635" s="1277"/>
      <c r="I1635" s="1280"/>
    </row>
    <row r="1636" spans="1:9" hidden="1">
      <c r="A1636" s="428" t="s">
        <v>6268</v>
      </c>
      <c r="B1636" s="413" t="s">
        <v>146</v>
      </c>
      <c r="C1636" s="265">
        <v>1</v>
      </c>
      <c r="D1636" s="413" t="s">
        <v>7520</v>
      </c>
      <c r="E1636" s="413" t="s">
        <v>6358</v>
      </c>
      <c r="F1636" s="413" t="s">
        <v>7521</v>
      </c>
      <c r="G1636" s="413"/>
      <c r="H1636" s="1277"/>
      <c r="I1636" s="1280"/>
    </row>
    <row r="1637" spans="1:9" hidden="1">
      <c r="A1637" s="428" t="s">
        <v>6268</v>
      </c>
      <c r="B1637" s="413" t="s">
        <v>146</v>
      </c>
      <c r="C1637" s="265">
        <v>1</v>
      </c>
      <c r="D1637" s="413" t="s">
        <v>7522</v>
      </c>
      <c r="E1637" s="413" t="s">
        <v>6358</v>
      </c>
      <c r="F1637" s="413" t="s">
        <v>7523</v>
      </c>
      <c r="G1637" s="413"/>
      <c r="H1637" s="1277"/>
      <c r="I1637" s="1280"/>
    </row>
    <row r="1638" spans="1:9" hidden="1">
      <c r="A1638" s="428" t="s">
        <v>6268</v>
      </c>
      <c r="B1638" s="413" t="s">
        <v>146</v>
      </c>
      <c r="C1638" s="265">
        <v>1</v>
      </c>
      <c r="D1638" s="413" t="s">
        <v>7524</v>
      </c>
      <c r="E1638" s="413" t="s">
        <v>6380</v>
      </c>
      <c r="F1638" s="413" t="s">
        <v>7525</v>
      </c>
      <c r="G1638" s="413"/>
      <c r="H1638" s="1277"/>
      <c r="I1638" s="1280"/>
    </row>
    <row r="1639" spans="1:9" hidden="1">
      <c r="A1639" s="428" t="s">
        <v>6268</v>
      </c>
      <c r="B1639" s="413" t="s">
        <v>146</v>
      </c>
      <c r="C1639" s="265">
        <v>1</v>
      </c>
      <c r="D1639" s="413" t="s">
        <v>7526</v>
      </c>
      <c r="E1639" s="413" t="s">
        <v>6380</v>
      </c>
      <c r="F1639" s="413" t="s">
        <v>7525</v>
      </c>
      <c r="G1639" s="413"/>
      <c r="H1639" s="1277"/>
      <c r="I1639" s="1280"/>
    </row>
    <row r="1640" spans="1:9" hidden="1">
      <c r="A1640" s="428" t="s">
        <v>6268</v>
      </c>
      <c r="B1640" s="413" t="s">
        <v>146</v>
      </c>
      <c r="C1640" s="265">
        <v>1</v>
      </c>
      <c r="D1640" s="413" t="s">
        <v>7527</v>
      </c>
      <c r="E1640" s="413" t="s">
        <v>6380</v>
      </c>
      <c r="F1640" s="413" t="s">
        <v>7528</v>
      </c>
      <c r="G1640" s="413"/>
      <c r="H1640" s="1277"/>
      <c r="I1640" s="1280"/>
    </row>
    <row r="1641" spans="1:9" hidden="1">
      <c r="A1641" s="428" t="s">
        <v>6268</v>
      </c>
      <c r="B1641" s="413" t="s">
        <v>146</v>
      </c>
      <c r="C1641" s="265">
        <v>1</v>
      </c>
      <c r="D1641" s="413" t="s">
        <v>7529</v>
      </c>
      <c r="E1641" s="413" t="s">
        <v>6380</v>
      </c>
      <c r="F1641" s="413" t="s">
        <v>7525</v>
      </c>
      <c r="G1641" s="413"/>
      <c r="H1641" s="1277"/>
      <c r="I1641" s="1280"/>
    </row>
    <row r="1642" spans="1:9" hidden="1">
      <c r="A1642" s="428" t="s">
        <v>6268</v>
      </c>
      <c r="B1642" s="413" t="s">
        <v>146</v>
      </c>
      <c r="C1642" s="265">
        <v>1</v>
      </c>
      <c r="D1642" s="413" t="s">
        <v>7530</v>
      </c>
      <c r="E1642" s="413" t="s">
        <v>6380</v>
      </c>
      <c r="F1642" s="413" t="s">
        <v>7531</v>
      </c>
      <c r="G1642" s="413"/>
      <c r="H1642" s="1277"/>
      <c r="I1642" s="1280"/>
    </row>
    <row r="1643" spans="1:9" hidden="1">
      <c r="A1643" s="428" t="s">
        <v>6268</v>
      </c>
      <c r="B1643" s="413" t="s">
        <v>146</v>
      </c>
      <c r="C1643" s="265">
        <v>1</v>
      </c>
      <c r="D1643" s="413" t="s">
        <v>7532</v>
      </c>
      <c r="E1643" s="413" t="s">
        <v>6380</v>
      </c>
      <c r="F1643" s="413" t="s">
        <v>7532</v>
      </c>
      <c r="G1643" s="413"/>
      <c r="H1643" s="1277"/>
      <c r="I1643" s="1280"/>
    </row>
    <row r="1644" spans="1:9" hidden="1">
      <c r="A1644" s="428" t="s">
        <v>6268</v>
      </c>
      <c r="B1644" s="413" t="s">
        <v>146</v>
      </c>
      <c r="C1644" s="265">
        <v>1</v>
      </c>
      <c r="D1644" s="413" t="s">
        <v>7533</v>
      </c>
      <c r="E1644" s="413" t="s">
        <v>6380</v>
      </c>
      <c r="F1644" s="413" t="s">
        <v>7533</v>
      </c>
      <c r="G1644" s="413"/>
      <c r="H1644" s="1277"/>
      <c r="I1644" s="1280"/>
    </row>
    <row r="1645" spans="1:9" hidden="1">
      <c r="A1645" s="428" t="s">
        <v>6268</v>
      </c>
      <c r="B1645" s="413" t="s">
        <v>146</v>
      </c>
      <c r="C1645" s="265">
        <v>1</v>
      </c>
      <c r="D1645" s="413" t="s">
        <v>7534</v>
      </c>
      <c r="E1645" s="413" t="s">
        <v>6380</v>
      </c>
      <c r="F1645" s="413" t="s">
        <v>7535</v>
      </c>
      <c r="G1645" s="413"/>
      <c r="H1645" s="1277"/>
      <c r="I1645" s="1280"/>
    </row>
    <row r="1646" spans="1:9" hidden="1">
      <c r="A1646" s="428" t="s">
        <v>6268</v>
      </c>
      <c r="B1646" s="413" t="s">
        <v>146</v>
      </c>
      <c r="C1646" s="265">
        <v>1</v>
      </c>
      <c r="D1646" s="413" t="s">
        <v>2543</v>
      </c>
      <c r="E1646" s="413" t="s">
        <v>6380</v>
      </c>
      <c r="F1646" s="413" t="s">
        <v>7536</v>
      </c>
      <c r="G1646" s="413"/>
      <c r="H1646" s="1277"/>
      <c r="I1646" s="1280"/>
    </row>
    <row r="1647" spans="1:9" hidden="1">
      <c r="A1647" s="428" t="s">
        <v>6268</v>
      </c>
      <c r="B1647" s="413" t="s">
        <v>146</v>
      </c>
      <c r="C1647" s="265">
        <v>1</v>
      </c>
      <c r="D1647" s="413" t="s">
        <v>2544</v>
      </c>
      <c r="E1647" s="413" t="s">
        <v>6380</v>
      </c>
      <c r="F1647" s="413" t="s">
        <v>7536</v>
      </c>
      <c r="G1647" s="413"/>
      <c r="H1647" s="1277"/>
      <c r="I1647" s="1280"/>
    </row>
    <row r="1648" spans="1:9" hidden="1">
      <c r="A1648" s="428" t="s">
        <v>6268</v>
      </c>
      <c r="B1648" s="413" t="s">
        <v>146</v>
      </c>
      <c r="C1648" s="265">
        <v>1</v>
      </c>
      <c r="D1648" s="413" t="s">
        <v>2548</v>
      </c>
      <c r="E1648" s="413" t="s">
        <v>6380</v>
      </c>
      <c r="F1648" s="413" t="s">
        <v>7537</v>
      </c>
      <c r="G1648" s="413"/>
      <c r="H1648" s="1277"/>
      <c r="I1648" s="1280"/>
    </row>
    <row r="1649" spans="1:9" hidden="1">
      <c r="A1649" s="428" t="s">
        <v>6268</v>
      </c>
      <c r="B1649" s="413" t="s">
        <v>146</v>
      </c>
      <c r="C1649" s="265">
        <v>1</v>
      </c>
      <c r="D1649" s="413" t="s">
        <v>2549</v>
      </c>
      <c r="E1649" s="413" t="s">
        <v>6380</v>
      </c>
      <c r="F1649" s="413" t="s">
        <v>7538</v>
      </c>
      <c r="G1649" s="413"/>
      <c r="H1649" s="1277"/>
      <c r="I1649" s="1280"/>
    </row>
    <row r="1650" spans="1:9" hidden="1">
      <c r="A1650" s="428" t="s">
        <v>6268</v>
      </c>
      <c r="B1650" s="413" t="s">
        <v>146</v>
      </c>
      <c r="C1650" s="265">
        <v>1</v>
      </c>
      <c r="D1650" s="413" t="s">
        <v>2550</v>
      </c>
      <c r="E1650" s="413" t="s">
        <v>6380</v>
      </c>
      <c r="F1650" s="413" t="s">
        <v>7539</v>
      </c>
      <c r="G1650" s="413"/>
      <c r="H1650" s="1277"/>
      <c r="I1650" s="1280"/>
    </row>
    <row r="1651" spans="1:9" hidden="1">
      <c r="A1651" s="428" t="s">
        <v>6268</v>
      </c>
      <c r="B1651" s="413" t="s">
        <v>146</v>
      </c>
      <c r="C1651" s="265">
        <v>1</v>
      </c>
      <c r="D1651" s="413" t="s">
        <v>2551</v>
      </c>
      <c r="E1651" s="413" t="s">
        <v>6380</v>
      </c>
      <c r="F1651" s="413" t="s">
        <v>7540</v>
      </c>
      <c r="G1651" s="413"/>
      <c r="H1651" s="1277"/>
      <c r="I1651" s="1280"/>
    </row>
    <row r="1652" spans="1:9" hidden="1">
      <c r="A1652" s="428" t="s">
        <v>6268</v>
      </c>
      <c r="B1652" s="413" t="s">
        <v>146</v>
      </c>
      <c r="C1652" s="265">
        <v>1</v>
      </c>
      <c r="D1652" s="413" t="s">
        <v>2552</v>
      </c>
      <c r="E1652" s="413" t="s">
        <v>6380</v>
      </c>
      <c r="F1652" s="413" t="s">
        <v>7541</v>
      </c>
      <c r="G1652" s="413"/>
      <c r="H1652" s="1277"/>
      <c r="I1652" s="1280"/>
    </row>
    <row r="1653" spans="1:9" hidden="1">
      <c r="A1653" s="428" t="s">
        <v>6268</v>
      </c>
      <c r="B1653" s="413" t="s">
        <v>146</v>
      </c>
      <c r="C1653" s="265">
        <v>1</v>
      </c>
      <c r="D1653" s="413" t="s">
        <v>2553</v>
      </c>
      <c r="E1653" s="413" t="s">
        <v>6380</v>
      </c>
      <c r="F1653" s="413" t="s">
        <v>7542</v>
      </c>
      <c r="G1653" s="413"/>
      <c r="H1653" s="1277"/>
      <c r="I1653" s="1280"/>
    </row>
    <row r="1654" spans="1:9" hidden="1">
      <c r="A1654" s="428" t="s">
        <v>6268</v>
      </c>
      <c r="B1654" s="413" t="s">
        <v>146</v>
      </c>
      <c r="C1654" s="265">
        <v>1</v>
      </c>
      <c r="D1654" s="413" t="s">
        <v>2554</v>
      </c>
      <c r="E1654" s="413" t="s">
        <v>6380</v>
      </c>
      <c r="F1654" s="413" t="s">
        <v>7543</v>
      </c>
      <c r="G1654" s="413"/>
      <c r="H1654" s="1277"/>
      <c r="I1654" s="1280"/>
    </row>
    <row r="1655" spans="1:9" hidden="1">
      <c r="A1655" s="428" t="s">
        <v>6268</v>
      </c>
      <c r="B1655" s="413" t="s">
        <v>146</v>
      </c>
      <c r="C1655" s="265">
        <v>1</v>
      </c>
      <c r="D1655" s="413" t="s">
        <v>2555</v>
      </c>
      <c r="E1655" s="413" t="s">
        <v>6380</v>
      </c>
      <c r="F1655" s="413" t="s">
        <v>7544</v>
      </c>
      <c r="G1655" s="413"/>
      <c r="H1655" s="1277"/>
      <c r="I1655" s="1280"/>
    </row>
    <row r="1656" spans="1:9" hidden="1">
      <c r="A1656" s="428" t="s">
        <v>6268</v>
      </c>
      <c r="B1656" s="413" t="s">
        <v>146</v>
      </c>
      <c r="C1656" s="265">
        <v>1</v>
      </c>
      <c r="D1656" s="413" t="s">
        <v>2556</v>
      </c>
      <c r="E1656" s="413" t="s">
        <v>6380</v>
      </c>
      <c r="F1656" s="413" t="s">
        <v>7545</v>
      </c>
      <c r="G1656" s="413"/>
      <c r="H1656" s="1277"/>
      <c r="I1656" s="1280"/>
    </row>
    <row r="1657" spans="1:9" hidden="1">
      <c r="A1657" s="428" t="s">
        <v>6268</v>
      </c>
      <c r="B1657" s="413" t="s">
        <v>146</v>
      </c>
      <c r="C1657" s="265">
        <v>1</v>
      </c>
      <c r="D1657" s="413" t="s">
        <v>2557</v>
      </c>
      <c r="E1657" s="413" t="s">
        <v>6380</v>
      </c>
      <c r="F1657" s="413" t="s">
        <v>7546</v>
      </c>
      <c r="G1657" s="413"/>
      <c r="H1657" s="1277"/>
      <c r="I1657" s="1280"/>
    </row>
    <row r="1658" spans="1:9" hidden="1">
      <c r="A1658" s="428" t="s">
        <v>6268</v>
      </c>
      <c r="B1658" s="413" t="s">
        <v>146</v>
      </c>
      <c r="C1658" s="265">
        <v>1</v>
      </c>
      <c r="D1658" s="413" t="s">
        <v>2558</v>
      </c>
      <c r="E1658" s="413" t="s">
        <v>6380</v>
      </c>
      <c r="F1658" s="413" t="s">
        <v>7547</v>
      </c>
      <c r="G1658" s="413"/>
      <c r="H1658" s="1277"/>
      <c r="I1658" s="1280"/>
    </row>
    <row r="1659" spans="1:9" hidden="1">
      <c r="A1659" s="428" t="s">
        <v>6268</v>
      </c>
      <c r="B1659" s="413" t="s">
        <v>146</v>
      </c>
      <c r="C1659" s="265">
        <v>1</v>
      </c>
      <c r="D1659" s="413" t="s">
        <v>2559</v>
      </c>
      <c r="E1659" s="413" t="s">
        <v>6380</v>
      </c>
      <c r="F1659" s="413" t="s">
        <v>7548</v>
      </c>
      <c r="G1659" s="413"/>
      <c r="H1659" s="1277"/>
      <c r="I1659" s="1280"/>
    </row>
    <row r="1660" spans="1:9" hidden="1">
      <c r="A1660" s="428" t="s">
        <v>6268</v>
      </c>
      <c r="B1660" s="413" t="s">
        <v>146</v>
      </c>
      <c r="C1660" s="265">
        <v>1</v>
      </c>
      <c r="D1660" s="413" t="s">
        <v>2560</v>
      </c>
      <c r="E1660" s="413" t="s">
        <v>6380</v>
      </c>
      <c r="F1660" s="413" t="s">
        <v>7549</v>
      </c>
      <c r="G1660" s="413"/>
      <c r="H1660" s="1277"/>
      <c r="I1660" s="1280"/>
    </row>
    <row r="1661" spans="1:9" hidden="1">
      <c r="A1661" s="428" t="s">
        <v>6268</v>
      </c>
      <c r="B1661" s="413" t="s">
        <v>146</v>
      </c>
      <c r="C1661" s="265">
        <v>1</v>
      </c>
      <c r="D1661" s="413" t="s">
        <v>2561</v>
      </c>
      <c r="E1661" s="413" t="s">
        <v>6380</v>
      </c>
      <c r="F1661" s="413" t="s">
        <v>7550</v>
      </c>
      <c r="G1661" s="413"/>
      <c r="H1661" s="1277"/>
      <c r="I1661" s="1280"/>
    </row>
    <row r="1662" spans="1:9" hidden="1">
      <c r="A1662" s="428" t="s">
        <v>6268</v>
      </c>
      <c r="B1662" s="413" t="s">
        <v>146</v>
      </c>
      <c r="C1662" s="265">
        <v>1</v>
      </c>
      <c r="D1662" s="413" t="s">
        <v>2562</v>
      </c>
      <c r="E1662" s="413" t="s">
        <v>6380</v>
      </c>
      <c r="F1662" s="413" t="s">
        <v>7551</v>
      </c>
      <c r="G1662" s="413"/>
      <c r="H1662" s="1277"/>
      <c r="I1662" s="1280"/>
    </row>
    <row r="1663" spans="1:9" hidden="1">
      <c r="A1663" s="428" t="s">
        <v>6268</v>
      </c>
      <c r="B1663" s="413" t="s">
        <v>146</v>
      </c>
      <c r="C1663" s="265">
        <v>1</v>
      </c>
      <c r="D1663" s="413" t="s">
        <v>2563</v>
      </c>
      <c r="E1663" s="413" t="s">
        <v>6380</v>
      </c>
      <c r="F1663" s="413" t="s">
        <v>7552</v>
      </c>
      <c r="G1663" s="413"/>
      <c r="H1663" s="1277"/>
      <c r="I1663" s="1280"/>
    </row>
    <row r="1664" spans="1:9" hidden="1">
      <c r="A1664" s="428" t="s">
        <v>6268</v>
      </c>
      <c r="B1664" s="413" t="s">
        <v>146</v>
      </c>
      <c r="C1664" s="265">
        <v>1</v>
      </c>
      <c r="D1664" s="413" t="s">
        <v>2582</v>
      </c>
      <c r="E1664" s="413" t="s">
        <v>6380</v>
      </c>
      <c r="F1664" s="413" t="s">
        <v>7553</v>
      </c>
      <c r="G1664" s="413"/>
      <c r="H1664" s="1277"/>
      <c r="I1664" s="1280"/>
    </row>
    <row r="1665" spans="1:9" hidden="1">
      <c r="A1665" s="428" t="s">
        <v>6268</v>
      </c>
      <c r="B1665" s="413" t="s">
        <v>146</v>
      </c>
      <c r="C1665" s="265">
        <v>1</v>
      </c>
      <c r="D1665" s="413" t="s">
        <v>2592</v>
      </c>
      <c r="E1665" s="413" t="s">
        <v>6380</v>
      </c>
      <c r="F1665" s="413" t="s">
        <v>7554</v>
      </c>
      <c r="G1665" s="413"/>
      <c r="H1665" s="1277"/>
      <c r="I1665" s="1280"/>
    </row>
    <row r="1666" spans="1:9" hidden="1">
      <c r="A1666" s="428" t="s">
        <v>6268</v>
      </c>
      <c r="B1666" s="413" t="s">
        <v>146</v>
      </c>
      <c r="C1666" s="265">
        <v>1</v>
      </c>
      <c r="D1666" s="413" t="s">
        <v>2602</v>
      </c>
      <c r="E1666" s="413" t="s">
        <v>6380</v>
      </c>
      <c r="F1666" s="413" t="s">
        <v>7555</v>
      </c>
      <c r="G1666" s="413"/>
      <c r="H1666" s="1277"/>
      <c r="I1666" s="1280"/>
    </row>
    <row r="1667" spans="1:9" hidden="1">
      <c r="A1667" s="428" t="s">
        <v>6268</v>
      </c>
      <c r="B1667" s="413" t="s">
        <v>146</v>
      </c>
      <c r="C1667" s="265">
        <v>1</v>
      </c>
      <c r="D1667" s="413" t="s">
        <v>2603</v>
      </c>
      <c r="E1667" s="413" t="s">
        <v>6380</v>
      </c>
      <c r="F1667" s="413" t="s">
        <v>7556</v>
      </c>
      <c r="G1667" s="413"/>
      <c r="H1667" s="1277"/>
      <c r="I1667" s="1280"/>
    </row>
    <row r="1668" spans="1:9" hidden="1">
      <c r="A1668" s="428" t="s">
        <v>6268</v>
      </c>
      <c r="B1668" s="413" t="s">
        <v>146</v>
      </c>
      <c r="C1668" s="265">
        <v>1</v>
      </c>
      <c r="D1668" s="413" t="s">
        <v>2604</v>
      </c>
      <c r="E1668" s="413" t="s">
        <v>6380</v>
      </c>
      <c r="F1668" s="413" t="s">
        <v>7557</v>
      </c>
      <c r="G1668" s="413"/>
      <c r="H1668" s="1277"/>
      <c r="I1668" s="1280"/>
    </row>
    <row r="1669" spans="1:9" hidden="1">
      <c r="A1669" s="428" t="s">
        <v>6268</v>
      </c>
      <c r="B1669" s="413" t="s">
        <v>146</v>
      </c>
      <c r="C1669" s="265">
        <v>1</v>
      </c>
      <c r="D1669" s="413" t="s">
        <v>2605</v>
      </c>
      <c r="E1669" s="413" t="s">
        <v>6380</v>
      </c>
      <c r="F1669" s="413" t="s">
        <v>7558</v>
      </c>
      <c r="G1669" s="413"/>
      <c r="H1669" s="1277"/>
      <c r="I1669" s="1280"/>
    </row>
    <row r="1670" spans="1:9" hidden="1">
      <c r="A1670" s="428" t="s">
        <v>6268</v>
      </c>
      <c r="B1670" s="413" t="s">
        <v>146</v>
      </c>
      <c r="C1670" s="265">
        <v>1</v>
      </c>
      <c r="D1670" s="413" t="s">
        <v>2606</v>
      </c>
      <c r="E1670" s="413" t="s">
        <v>6380</v>
      </c>
      <c r="F1670" s="413" t="s">
        <v>7559</v>
      </c>
      <c r="G1670" s="413"/>
      <c r="H1670" s="1277"/>
      <c r="I1670" s="1280"/>
    </row>
    <row r="1671" spans="1:9" hidden="1">
      <c r="A1671" s="428" t="s">
        <v>6268</v>
      </c>
      <c r="B1671" s="413" t="s">
        <v>146</v>
      </c>
      <c r="C1671" s="265">
        <v>1</v>
      </c>
      <c r="D1671" s="413" t="s">
        <v>2607</v>
      </c>
      <c r="E1671" s="413" t="s">
        <v>6380</v>
      </c>
      <c r="F1671" s="413" t="s">
        <v>7560</v>
      </c>
      <c r="G1671" s="413"/>
      <c r="H1671" s="1277"/>
      <c r="I1671" s="1280"/>
    </row>
    <row r="1672" spans="1:9" hidden="1">
      <c r="A1672" s="428" t="s">
        <v>6268</v>
      </c>
      <c r="B1672" s="413" t="s">
        <v>146</v>
      </c>
      <c r="C1672" s="265">
        <v>1</v>
      </c>
      <c r="D1672" s="413" t="s">
        <v>2611</v>
      </c>
      <c r="E1672" s="413" t="s">
        <v>6380</v>
      </c>
      <c r="F1672" s="413" t="s">
        <v>7561</v>
      </c>
      <c r="G1672" s="413"/>
      <c r="H1672" s="1277"/>
      <c r="I1672" s="1280"/>
    </row>
    <row r="1673" spans="1:9" hidden="1">
      <c r="A1673" s="428" t="s">
        <v>6268</v>
      </c>
      <c r="B1673" s="413" t="s">
        <v>146</v>
      </c>
      <c r="C1673" s="265">
        <v>1</v>
      </c>
      <c r="D1673" s="413" t="s">
        <v>2612</v>
      </c>
      <c r="E1673" s="413" t="s">
        <v>6380</v>
      </c>
      <c r="F1673" s="413" t="s">
        <v>7562</v>
      </c>
      <c r="G1673" s="413"/>
      <c r="H1673" s="1277"/>
      <c r="I1673" s="1280"/>
    </row>
    <row r="1674" spans="1:9" hidden="1">
      <c r="A1674" s="428" t="s">
        <v>6268</v>
      </c>
      <c r="B1674" s="413" t="s">
        <v>146</v>
      </c>
      <c r="C1674" s="265">
        <v>1</v>
      </c>
      <c r="D1674" s="413" t="s">
        <v>2613</v>
      </c>
      <c r="E1674" s="413" t="s">
        <v>6380</v>
      </c>
      <c r="F1674" s="413" t="s">
        <v>7563</v>
      </c>
      <c r="G1674" s="413"/>
      <c r="H1674" s="1277"/>
      <c r="I1674" s="1280"/>
    </row>
    <row r="1675" spans="1:9" hidden="1">
      <c r="A1675" s="428" t="s">
        <v>6268</v>
      </c>
      <c r="B1675" s="413" t="s">
        <v>146</v>
      </c>
      <c r="C1675" s="265">
        <v>1</v>
      </c>
      <c r="D1675" s="413" t="s">
        <v>2614</v>
      </c>
      <c r="E1675" s="413" t="s">
        <v>6380</v>
      </c>
      <c r="F1675" s="413" t="s">
        <v>7564</v>
      </c>
      <c r="G1675" s="413"/>
      <c r="H1675" s="1277"/>
      <c r="I1675" s="1280"/>
    </row>
    <row r="1676" spans="1:9" hidden="1">
      <c r="A1676" s="428" t="s">
        <v>6268</v>
      </c>
      <c r="B1676" s="413" t="s">
        <v>146</v>
      </c>
      <c r="C1676" s="265">
        <v>1</v>
      </c>
      <c r="D1676" s="413" t="s">
        <v>2615</v>
      </c>
      <c r="E1676" s="413" t="s">
        <v>6380</v>
      </c>
      <c r="F1676" s="413" t="s">
        <v>7338</v>
      </c>
      <c r="G1676" s="413"/>
      <c r="H1676" s="1277"/>
      <c r="I1676" s="1280"/>
    </row>
    <row r="1677" spans="1:9" hidden="1">
      <c r="A1677" s="428" t="s">
        <v>6268</v>
      </c>
      <c r="B1677" s="413" t="s">
        <v>146</v>
      </c>
      <c r="C1677" s="265">
        <v>1</v>
      </c>
      <c r="D1677" s="413" t="s">
        <v>2633</v>
      </c>
      <c r="E1677" s="413" t="s">
        <v>6380</v>
      </c>
      <c r="F1677" s="413" t="s">
        <v>7565</v>
      </c>
      <c r="G1677" s="413"/>
      <c r="H1677" s="1277"/>
      <c r="I1677" s="1280"/>
    </row>
    <row r="1678" spans="1:9" hidden="1">
      <c r="A1678" s="428" t="s">
        <v>6268</v>
      </c>
      <c r="B1678" s="413" t="s">
        <v>146</v>
      </c>
      <c r="C1678" s="265">
        <v>1</v>
      </c>
      <c r="D1678" s="413" t="s">
        <v>7566</v>
      </c>
      <c r="E1678" s="413" t="s">
        <v>6380</v>
      </c>
      <c r="F1678" s="413" t="s">
        <v>7567</v>
      </c>
      <c r="G1678" s="413"/>
      <c r="H1678" s="1277"/>
      <c r="I1678" s="1280"/>
    </row>
    <row r="1679" spans="1:9" hidden="1">
      <c r="A1679" s="428" t="s">
        <v>6268</v>
      </c>
      <c r="B1679" s="413" t="s">
        <v>146</v>
      </c>
      <c r="C1679" s="265">
        <v>1</v>
      </c>
      <c r="D1679" s="413" t="s">
        <v>7568</v>
      </c>
      <c r="E1679" s="413" t="s">
        <v>6380</v>
      </c>
      <c r="F1679" s="413" t="s">
        <v>7569</v>
      </c>
      <c r="G1679" s="413"/>
      <c r="H1679" s="1277"/>
      <c r="I1679" s="1280"/>
    </row>
    <row r="1680" spans="1:9" hidden="1">
      <c r="A1680" s="428" t="s">
        <v>6268</v>
      </c>
      <c r="B1680" s="413" t="s">
        <v>146</v>
      </c>
      <c r="C1680" s="265">
        <v>1</v>
      </c>
      <c r="D1680" s="413" t="s">
        <v>7570</v>
      </c>
      <c r="E1680" s="413" t="s">
        <v>6380</v>
      </c>
      <c r="F1680" s="413" t="s">
        <v>7571</v>
      </c>
      <c r="G1680" s="413"/>
      <c r="H1680" s="1277"/>
      <c r="I1680" s="1280"/>
    </row>
    <row r="1681" spans="1:9" hidden="1">
      <c r="A1681" s="428" t="s">
        <v>6268</v>
      </c>
      <c r="B1681" s="413" t="s">
        <v>146</v>
      </c>
      <c r="C1681" s="265">
        <v>1</v>
      </c>
      <c r="D1681" s="413" t="s">
        <v>7572</v>
      </c>
      <c r="E1681" s="413" t="s">
        <v>6380</v>
      </c>
      <c r="F1681" s="413" t="s">
        <v>7573</v>
      </c>
      <c r="G1681" s="413"/>
      <c r="H1681" s="1277"/>
      <c r="I1681" s="1280"/>
    </row>
    <row r="1682" spans="1:9" hidden="1">
      <c r="A1682" s="428" t="s">
        <v>6268</v>
      </c>
      <c r="B1682" s="413" t="s">
        <v>146</v>
      </c>
      <c r="C1682" s="265">
        <v>1</v>
      </c>
      <c r="D1682" s="413" t="s">
        <v>7574</v>
      </c>
      <c r="E1682" s="413" t="s">
        <v>6380</v>
      </c>
      <c r="F1682" s="413" t="s">
        <v>7575</v>
      </c>
      <c r="G1682" s="413"/>
      <c r="H1682" s="1277"/>
      <c r="I1682" s="1280"/>
    </row>
    <row r="1683" spans="1:9" hidden="1">
      <c r="A1683" s="428" t="s">
        <v>6268</v>
      </c>
      <c r="B1683" s="413" t="s">
        <v>146</v>
      </c>
      <c r="C1683" s="265">
        <v>1</v>
      </c>
      <c r="D1683" s="413" t="s">
        <v>7576</v>
      </c>
      <c r="E1683" s="413" t="s">
        <v>6380</v>
      </c>
      <c r="F1683" s="413" t="s">
        <v>7577</v>
      </c>
      <c r="G1683" s="413"/>
      <c r="H1683" s="1277"/>
      <c r="I1683" s="1280"/>
    </row>
    <row r="1684" spans="1:9" hidden="1">
      <c r="A1684" s="428" t="s">
        <v>6268</v>
      </c>
      <c r="B1684" s="413" t="s">
        <v>146</v>
      </c>
      <c r="C1684" s="265">
        <v>1</v>
      </c>
      <c r="D1684" s="413" t="s">
        <v>7578</v>
      </c>
      <c r="E1684" s="413" t="s">
        <v>6380</v>
      </c>
      <c r="F1684" s="413" t="s">
        <v>7577</v>
      </c>
      <c r="G1684" s="413"/>
      <c r="H1684" s="1277"/>
      <c r="I1684" s="1280"/>
    </row>
    <row r="1685" spans="1:9" hidden="1">
      <c r="A1685" s="428" t="s">
        <v>6268</v>
      </c>
      <c r="B1685" s="413" t="s">
        <v>146</v>
      </c>
      <c r="C1685" s="265">
        <v>1</v>
      </c>
      <c r="D1685" s="413" t="s">
        <v>7579</v>
      </c>
      <c r="E1685" s="413" t="s">
        <v>6380</v>
      </c>
      <c r="F1685" s="413" t="s">
        <v>7580</v>
      </c>
      <c r="G1685" s="413"/>
      <c r="H1685" s="1277"/>
      <c r="I1685" s="1280"/>
    </row>
    <row r="1686" spans="1:9" hidden="1">
      <c r="A1686" s="428" t="s">
        <v>6268</v>
      </c>
      <c r="B1686" s="413" t="s">
        <v>146</v>
      </c>
      <c r="C1686" s="265">
        <v>1</v>
      </c>
      <c r="D1686" s="413" t="s">
        <v>7581</v>
      </c>
      <c r="E1686" s="413" t="s">
        <v>6380</v>
      </c>
      <c r="F1686" s="413" t="s">
        <v>7582</v>
      </c>
      <c r="G1686" s="413"/>
      <c r="H1686" s="1277"/>
      <c r="I1686" s="1280"/>
    </row>
    <row r="1687" spans="1:9" hidden="1">
      <c r="A1687" s="428" t="s">
        <v>6268</v>
      </c>
      <c r="B1687" s="413" t="s">
        <v>146</v>
      </c>
      <c r="C1687" s="265">
        <v>1</v>
      </c>
      <c r="D1687" s="413" t="s">
        <v>7583</v>
      </c>
      <c r="E1687" s="413" t="s">
        <v>6380</v>
      </c>
      <c r="F1687" s="413" t="s">
        <v>7577</v>
      </c>
      <c r="G1687" s="413"/>
      <c r="H1687" s="1277"/>
      <c r="I1687" s="1280"/>
    </row>
    <row r="1688" spans="1:9" hidden="1">
      <c r="A1688" s="428" t="s">
        <v>6268</v>
      </c>
      <c r="B1688" s="413" t="s">
        <v>146</v>
      </c>
      <c r="C1688" s="265">
        <v>1</v>
      </c>
      <c r="D1688" s="413" t="s">
        <v>7584</v>
      </c>
      <c r="E1688" s="413" t="s">
        <v>6380</v>
      </c>
      <c r="F1688" s="413" t="s">
        <v>7585</v>
      </c>
      <c r="G1688" s="413"/>
      <c r="H1688" s="1277"/>
      <c r="I1688" s="1280"/>
    </row>
    <row r="1689" spans="1:9" hidden="1">
      <c r="A1689" s="428" t="s">
        <v>6268</v>
      </c>
      <c r="B1689" s="413" t="s">
        <v>146</v>
      </c>
      <c r="C1689" s="265">
        <v>1</v>
      </c>
      <c r="D1689" s="413" t="s">
        <v>7586</v>
      </c>
      <c r="E1689" s="413" t="s">
        <v>6380</v>
      </c>
      <c r="F1689" s="413" t="s">
        <v>7587</v>
      </c>
      <c r="G1689" s="413"/>
      <c r="H1689" s="1277"/>
      <c r="I1689" s="1280"/>
    </row>
    <row r="1690" spans="1:9" hidden="1">
      <c r="A1690" s="428" t="s">
        <v>6268</v>
      </c>
      <c r="B1690" s="413" t="s">
        <v>146</v>
      </c>
      <c r="C1690" s="265">
        <v>1</v>
      </c>
      <c r="D1690" s="413" t="s">
        <v>7588</v>
      </c>
      <c r="E1690" s="413" t="s">
        <v>6380</v>
      </c>
      <c r="F1690" s="413" t="s">
        <v>7589</v>
      </c>
      <c r="G1690" s="413"/>
      <c r="H1690" s="1277"/>
      <c r="I1690" s="1280"/>
    </row>
    <row r="1691" spans="1:9" hidden="1">
      <c r="A1691" s="428" t="s">
        <v>6268</v>
      </c>
      <c r="B1691" s="413" t="s">
        <v>146</v>
      </c>
      <c r="C1691" s="265">
        <v>1</v>
      </c>
      <c r="D1691" s="413" t="s">
        <v>7590</v>
      </c>
      <c r="E1691" s="413" t="s">
        <v>6380</v>
      </c>
      <c r="F1691" s="413" t="s">
        <v>7591</v>
      </c>
      <c r="G1691" s="413"/>
      <c r="H1691" s="1277"/>
      <c r="I1691" s="1280"/>
    </row>
    <row r="1692" spans="1:9" hidden="1">
      <c r="A1692" s="428" t="s">
        <v>6268</v>
      </c>
      <c r="B1692" s="413" t="s">
        <v>146</v>
      </c>
      <c r="C1692" s="265">
        <v>1</v>
      </c>
      <c r="D1692" s="413" t="s">
        <v>7592</v>
      </c>
      <c r="E1692" s="413" t="s">
        <v>6380</v>
      </c>
      <c r="F1692" s="413" t="s">
        <v>7593</v>
      </c>
      <c r="G1692" s="413"/>
      <c r="H1692" s="1277"/>
      <c r="I1692" s="1280"/>
    </row>
    <row r="1693" spans="1:9" hidden="1">
      <c r="A1693" s="428" t="s">
        <v>6268</v>
      </c>
      <c r="B1693" s="413" t="s">
        <v>146</v>
      </c>
      <c r="C1693" s="265">
        <v>1</v>
      </c>
      <c r="D1693" s="413" t="s">
        <v>5175</v>
      </c>
      <c r="E1693" s="413" t="s">
        <v>6380</v>
      </c>
      <c r="F1693" s="413" t="s">
        <v>7594</v>
      </c>
      <c r="G1693" s="413"/>
      <c r="H1693" s="1277"/>
      <c r="I1693" s="1280"/>
    </row>
    <row r="1694" spans="1:9" hidden="1">
      <c r="A1694" s="428" t="s">
        <v>6268</v>
      </c>
      <c r="B1694" s="413" t="s">
        <v>146</v>
      </c>
      <c r="C1694" s="265">
        <v>1</v>
      </c>
      <c r="D1694" s="413" t="s">
        <v>7595</v>
      </c>
      <c r="E1694" s="413" t="s">
        <v>6380</v>
      </c>
      <c r="F1694" s="413" t="s">
        <v>7596</v>
      </c>
      <c r="G1694" s="413"/>
      <c r="H1694" s="1277"/>
      <c r="I1694" s="1280"/>
    </row>
    <row r="1695" spans="1:9" hidden="1">
      <c r="A1695" s="428" t="s">
        <v>6268</v>
      </c>
      <c r="B1695" s="413" t="s">
        <v>146</v>
      </c>
      <c r="C1695" s="265">
        <v>1</v>
      </c>
      <c r="D1695" s="413" t="s">
        <v>7597</v>
      </c>
      <c r="E1695" s="413" t="s">
        <v>6380</v>
      </c>
      <c r="F1695" s="413" t="s">
        <v>7598</v>
      </c>
      <c r="G1695" s="413"/>
      <c r="H1695" s="1277"/>
      <c r="I1695" s="1280"/>
    </row>
    <row r="1696" spans="1:9" hidden="1">
      <c r="A1696" s="428" t="s">
        <v>6268</v>
      </c>
      <c r="B1696" s="413" t="s">
        <v>146</v>
      </c>
      <c r="C1696" s="265">
        <v>1</v>
      </c>
      <c r="D1696" s="413" t="s">
        <v>7599</v>
      </c>
      <c r="E1696" s="413" t="s">
        <v>6380</v>
      </c>
      <c r="F1696" s="413" t="s">
        <v>7600</v>
      </c>
      <c r="G1696" s="413"/>
      <c r="H1696" s="1277"/>
      <c r="I1696" s="1280"/>
    </row>
    <row r="1697" spans="1:9" hidden="1">
      <c r="A1697" s="428" t="s">
        <v>6268</v>
      </c>
      <c r="B1697" s="413" t="s">
        <v>146</v>
      </c>
      <c r="C1697" s="265">
        <v>1</v>
      </c>
      <c r="D1697" s="413" t="s">
        <v>7601</v>
      </c>
      <c r="E1697" s="413" t="s">
        <v>6358</v>
      </c>
      <c r="F1697" s="413" t="s">
        <v>6611</v>
      </c>
      <c r="G1697" s="413"/>
      <c r="H1697" s="1277"/>
      <c r="I1697" s="1280"/>
    </row>
    <row r="1698" spans="1:9" hidden="1">
      <c r="A1698" s="428" t="s">
        <v>6268</v>
      </c>
      <c r="B1698" s="413" t="s">
        <v>146</v>
      </c>
      <c r="C1698" s="265">
        <v>1</v>
      </c>
      <c r="D1698" s="413" t="s">
        <v>7602</v>
      </c>
      <c r="E1698" s="413" t="s">
        <v>6358</v>
      </c>
      <c r="F1698" s="413" t="s">
        <v>7603</v>
      </c>
      <c r="G1698" s="413"/>
      <c r="H1698" s="1277"/>
      <c r="I1698" s="1280"/>
    </row>
    <row r="1699" spans="1:9" hidden="1">
      <c r="A1699" s="428" t="s">
        <v>6268</v>
      </c>
      <c r="B1699" s="413" t="s">
        <v>146</v>
      </c>
      <c r="C1699" s="265">
        <v>1</v>
      </c>
      <c r="D1699" s="413" t="s">
        <v>7604</v>
      </c>
      <c r="E1699" s="413" t="s">
        <v>6358</v>
      </c>
      <c r="F1699" s="413" t="s">
        <v>7605</v>
      </c>
      <c r="G1699" s="413"/>
      <c r="H1699" s="1277"/>
      <c r="I1699" s="1280"/>
    </row>
    <row r="1700" spans="1:9" hidden="1">
      <c r="A1700" s="428" t="s">
        <v>6268</v>
      </c>
      <c r="B1700" s="413" t="s">
        <v>146</v>
      </c>
      <c r="C1700" s="265">
        <v>1</v>
      </c>
      <c r="D1700" s="413" t="s">
        <v>7606</v>
      </c>
      <c r="E1700" s="413" t="s">
        <v>6380</v>
      </c>
      <c r="F1700" s="413" t="s">
        <v>7607</v>
      </c>
      <c r="G1700" s="413"/>
      <c r="H1700" s="1277"/>
      <c r="I1700" s="1280"/>
    </row>
    <row r="1701" spans="1:9" hidden="1">
      <c r="A1701" s="428" t="s">
        <v>6268</v>
      </c>
      <c r="B1701" s="413" t="s">
        <v>146</v>
      </c>
      <c r="C1701" s="265">
        <v>1</v>
      </c>
      <c r="D1701" s="413" t="s">
        <v>7608</v>
      </c>
      <c r="E1701" s="413" t="s">
        <v>6380</v>
      </c>
      <c r="F1701" s="413" t="s">
        <v>7609</v>
      </c>
      <c r="G1701" s="413"/>
      <c r="H1701" s="1277"/>
      <c r="I1701" s="1280"/>
    </row>
    <row r="1702" spans="1:9" hidden="1">
      <c r="A1702" s="428" t="s">
        <v>6268</v>
      </c>
      <c r="B1702" s="413" t="s">
        <v>146</v>
      </c>
      <c r="C1702" s="265">
        <v>1</v>
      </c>
      <c r="D1702" s="413" t="s">
        <v>7610</v>
      </c>
      <c r="E1702" s="413" t="s">
        <v>6380</v>
      </c>
      <c r="F1702" s="413" t="s">
        <v>7611</v>
      </c>
      <c r="G1702" s="413"/>
      <c r="H1702" s="1277"/>
      <c r="I1702" s="1280"/>
    </row>
    <row r="1703" spans="1:9" hidden="1">
      <c r="A1703" s="428" t="s">
        <v>6268</v>
      </c>
      <c r="B1703" s="413" t="s">
        <v>146</v>
      </c>
      <c r="C1703" s="265">
        <v>1</v>
      </c>
      <c r="D1703" s="413" t="s">
        <v>7612</v>
      </c>
      <c r="E1703" s="413" t="s">
        <v>6380</v>
      </c>
      <c r="F1703" s="413" t="s">
        <v>7613</v>
      </c>
      <c r="G1703" s="413"/>
      <c r="H1703" s="1277"/>
      <c r="I1703" s="1280"/>
    </row>
    <row r="1704" spans="1:9" hidden="1">
      <c r="A1704" s="428" t="s">
        <v>6268</v>
      </c>
      <c r="B1704" s="413" t="s">
        <v>146</v>
      </c>
      <c r="C1704" s="265">
        <v>1</v>
      </c>
      <c r="D1704" s="413" t="s">
        <v>7614</v>
      </c>
      <c r="E1704" s="413" t="s">
        <v>6358</v>
      </c>
      <c r="F1704" s="413" t="s">
        <v>7615</v>
      </c>
      <c r="G1704" s="413"/>
      <c r="H1704" s="1277"/>
      <c r="I1704" s="1280"/>
    </row>
    <row r="1705" spans="1:9" hidden="1">
      <c r="A1705" s="428" t="s">
        <v>6268</v>
      </c>
      <c r="B1705" s="413" t="s">
        <v>146</v>
      </c>
      <c r="C1705" s="265">
        <v>1</v>
      </c>
      <c r="D1705" s="413" t="s">
        <v>7616</v>
      </c>
      <c r="E1705" s="413" t="s">
        <v>6380</v>
      </c>
      <c r="F1705" s="413" t="s">
        <v>7617</v>
      </c>
      <c r="G1705" s="413"/>
      <c r="H1705" s="1277"/>
      <c r="I1705" s="1280"/>
    </row>
    <row r="1706" spans="1:9" hidden="1">
      <c r="A1706" s="428" t="s">
        <v>6268</v>
      </c>
      <c r="B1706" s="413" t="s">
        <v>146</v>
      </c>
      <c r="C1706" s="265">
        <v>1</v>
      </c>
      <c r="D1706" s="413" t="s">
        <v>7618</v>
      </c>
      <c r="E1706" s="413" t="s">
        <v>6380</v>
      </c>
      <c r="F1706" s="413" t="s">
        <v>7619</v>
      </c>
      <c r="G1706" s="413"/>
      <c r="H1706" s="1277"/>
      <c r="I1706" s="1280"/>
    </row>
    <row r="1707" spans="1:9" hidden="1">
      <c r="A1707" s="428" t="s">
        <v>6268</v>
      </c>
      <c r="B1707" s="413" t="s">
        <v>146</v>
      </c>
      <c r="C1707" s="265">
        <v>1</v>
      </c>
      <c r="D1707" s="413" t="s">
        <v>7620</v>
      </c>
      <c r="E1707" s="413" t="s">
        <v>6380</v>
      </c>
      <c r="F1707" s="413" t="s">
        <v>7621</v>
      </c>
      <c r="G1707" s="413"/>
      <c r="H1707" s="1277"/>
      <c r="I1707" s="1280"/>
    </row>
    <row r="1708" spans="1:9" hidden="1">
      <c r="A1708" s="428" t="s">
        <v>6268</v>
      </c>
      <c r="B1708" s="413" t="s">
        <v>146</v>
      </c>
      <c r="C1708" s="265">
        <v>1</v>
      </c>
      <c r="D1708" s="413" t="s">
        <v>7622</v>
      </c>
      <c r="E1708" s="413" t="s">
        <v>6380</v>
      </c>
      <c r="F1708" s="413" t="s">
        <v>7623</v>
      </c>
      <c r="G1708" s="413"/>
      <c r="H1708" s="1277"/>
      <c r="I1708" s="1280"/>
    </row>
    <row r="1709" spans="1:9" hidden="1">
      <c r="A1709" s="428" t="s">
        <v>6268</v>
      </c>
      <c r="B1709" s="413" t="s">
        <v>146</v>
      </c>
      <c r="C1709" s="265">
        <v>1</v>
      </c>
      <c r="D1709" s="413" t="s">
        <v>7624</v>
      </c>
      <c r="E1709" s="413" t="s">
        <v>6380</v>
      </c>
      <c r="F1709" s="413" t="s">
        <v>7625</v>
      </c>
      <c r="G1709" s="413"/>
      <c r="H1709" s="1277"/>
      <c r="I1709" s="1280"/>
    </row>
    <row r="1710" spans="1:9" hidden="1">
      <c r="A1710" s="428" t="s">
        <v>6268</v>
      </c>
      <c r="B1710" s="413" t="s">
        <v>146</v>
      </c>
      <c r="C1710" s="265">
        <v>1</v>
      </c>
      <c r="D1710" s="413" t="s">
        <v>7626</v>
      </c>
      <c r="E1710" s="413" t="s">
        <v>6380</v>
      </c>
      <c r="F1710" s="413" t="s">
        <v>7627</v>
      </c>
      <c r="G1710" s="413"/>
      <c r="H1710" s="1277"/>
      <c r="I1710" s="1280"/>
    </row>
    <row r="1711" spans="1:9" hidden="1">
      <c r="A1711" s="428" t="s">
        <v>6268</v>
      </c>
      <c r="B1711" s="413" t="s">
        <v>146</v>
      </c>
      <c r="C1711" s="265">
        <v>1</v>
      </c>
      <c r="D1711" s="413" t="s">
        <v>7628</v>
      </c>
      <c r="E1711" s="413" t="s">
        <v>6380</v>
      </c>
      <c r="F1711" s="413" t="s">
        <v>7629</v>
      </c>
      <c r="G1711" s="413"/>
      <c r="H1711" s="1277"/>
      <c r="I1711" s="1280"/>
    </row>
    <row r="1712" spans="1:9" hidden="1">
      <c r="A1712" s="428" t="s">
        <v>6268</v>
      </c>
      <c r="B1712" s="413" t="s">
        <v>146</v>
      </c>
      <c r="C1712" s="265">
        <v>1</v>
      </c>
      <c r="D1712" s="413" t="s">
        <v>7630</v>
      </c>
      <c r="E1712" s="413" t="s">
        <v>6380</v>
      </c>
      <c r="F1712" s="413" t="s">
        <v>7631</v>
      </c>
      <c r="G1712" s="413"/>
      <c r="H1712" s="1277"/>
      <c r="I1712" s="1280"/>
    </row>
    <row r="1713" spans="1:9" hidden="1">
      <c r="A1713" s="428" t="s">
        <v>6268</v>
      </c>
      <c r="B1713" s="413" t="s">
        <v>146</v>
      </c>
      <c r="C1713" s="265">
        <v>1</v>
      </c>
      <c r="D1713" s="413" t="s">
        <v>7632</v>
      </c>
      <c r="E1713" s="413" t="s">
        <v>6380</v>
      </c>
      <c r="F1713" s="413" t="s">
        <v>7633</v>
      </c>
      <c r="G1713" s="413"/>
      <c r="H1713" s="1277"/>
      <c r="I1713" s="1280"/>
    </row>
    <row r="1714" spans="1:9" hidden="1">
      <c r="A1714" s="428" t="s">
        <v>6268</v>
      </c>
      <c r="B1714" s="413" t="s">
        <v>146</v>
      </c>
      <c r="C1714" s="265">
        <v>1</v>
      </c>
      <c r="D1714" s="413" t="s">
        <v>7634</v>
      </c>
      <c r="E1714" s="413" t="s">
        <v>6380</v>
      </c>
      <c r="F1714" s="413" t="s">
        <v>7635</v>
      </c>
      <c r="G1714" s="413"/>
      <c r="H1714" s="1277"/>
      <c r="I1714" s="1280"/>
    </row>
    <row r="1715" spans="1:9" hidden="1">
      <c r="A1715" s="428" t="s">
        <v>6268</v>
      </c>
      <c r="B1715" s="413" t="s">
        <v>146</v>
      </c>
      <c r="C1715" s="265">
        <v>1</v>
      </c>
      <c r="D1715" s="413" t="s">
        <v>7636</v>
      </c>
      <c r="E1715" s="413" t="s">
        <v>6380</v>
      </c>
      <c r="F1715" s="413" t="s">
        <v>7637</v>
      </c>
      <c r="G1715" s="413"/>
      <c r="H1715" s="1277"/>
      <c r="I1715" s="1280"/>
    </row>
    <row r="1716" spans="1:9" hidden="1">
      <c r="A1716" s="428" t="s">
        <v>6268</v>
      </c>
      <c r="B1716" s="413" t="s">
        <v>146</v>
      </c>
      <c r="C1716" s="265">
        <v>1</v>
      </c>
      <c r="D1716" s="413" t="s">
        <v>7638</v>
      </c>
      <c r="E1716" s="413" t="s">
        <v>6380</v>
      </c>
      <c r="F1716" s="413" t="s">
        <v>7639</v>
      </c>
      <c r="G1716" s="413"/>
      <c r="H1716" s="1277"/>
      <c r="I1716" s="1280"/>
    </row>
    <row r="1717" spans="1:9" hidden="1">
      <c r="A1717" s="428" t="s">
        <v>6268</v>
      </c>
      <c r="B1717" s="413" t="s">
        <v>146</v>
      </c>
      <c r="C1717" s="265">
        <v>1</v>
      </c>
      <c r="D1717" s="413" t="s">
        <v>7640</v>
      </c>
      <c r="E1717" s="413" t="s">
        <v>6380</v>
      </c>
      <c r="F1717" s="413" t="s">
        <v>7641</v>
      </c>
      <c r="G1717" s="413"/>
      <c r="H1717" s="1277"/>
      <c r="I1717" s="1280"/>
    </row>
    <row r="1718" spans="1:9" hidden="1">
      <c r="A1718" s="428" t="s">
        <v>6268</v>
      </c>
      <c r="B1718" s="413" t="s">
        <v>146</v>
      </c>
      <c r="C1718" s="265">
        <v>1</v>
      </c>
      <c r="D1718" s="413" t="s">
        <v>7642</v>
      </c>
      <c r="E1718" s="413" t="s">
        <v>6380</v>
      </c>
      <c r="F1718" s="413" t="s">
        <v>7643</v>
      </c>
      <c r="G1718" s="413"/>
      <c r="H1718" s="1277"/>
      <c r="I1718" s="1280"/>
    </row>
    <row r="1719" spans="1:9" hidden="1">
      <c r="A1719" s="428" t="s">
        <v>6268</v>
      </c>
      <c r="B1719" s="413" t="s">
        <v>146</v>
      </c>
      <c r="C1719" s="265">
        <v>1</v>
      </c>
      <c r="D1719" s="413" t="s">
        <v>7644</v>
      </c>
      <c r="E1719" s="413" t="s">
        <v>6380</v>
      </c>
      <c r="F1719" s="413" t="s">
        <v>7645</v>
      </c>
      <c r="G1719" s="413"/>
      <c r="H1719" s="1277"/>
      <c r="I1719" s="1280"/>
    </row>
    <row r="1720" spans="1:9" hidden="1">
      <c r="A1720" s="428" t="s">
        <v>6268</v>
      </c>
      <c r="B1720" s="413" t="s">
        <v>146</v>
      </c>
      <c r="C1720" s="265">
        <v>1</v>
      </c>
      <c r="D1720" s="413" t="s">
        <v>7646</v>
      </c>
      <c r="E1720" s="413" t="s">
        <v>6380</v>
      </c>
      <c r="F1720" s="413" t="s">
        <v>7647</v>
      </c>
      <c r="G1720" s="413"/>
      <c r="H1720" s="1277"/>
      <c r="I1720" s="1280"/>
    </row>
    <row r="1721" spans="1:9" hidden="1">
      <c r="A1721" s="428" t="s">
        <v>6268</v>
      </c>
      <c r="B1721" s="413" t="s">
        <v>146</v>
      </c>
      <c r="C1721" s="265">
        <v>1</v>
      </c>
      <c r="D1721" s="413" t="s">
        <v>7648</v>
      </c>
      <c r="E1721" s="413" t="s">
        <v>6380</v>
      </c>
      <c r="F1721" s="413" t="s">
        <v>7649</v>
      </c>
      <c r="G1721" s="413"/>
      <c r="H1721" s="1277"/>
      <c r="I1721" s="1280"/>
    </row>
    <row r="1722" spans="1:9" hidden="1">
      <c r="A1722" s="428" t="s">
        <v>6268</v>
      </c>
      <c r="B1722" s="413" t="s">
        <v>146</v>
      </c>
      <c r="C1722" s="265">
        <v>1</v>
      </c>
      <c r="D1722" s="413" t="s">
        <v>7650</v>
      </c>
      <c r="E1722" s="413" t="s">
        <v>6380</v>
      </c>
      <c r="F1722" s="413" t="s">
        <v>7651</v>
      </c>
      <c r="G1722" s="413"/>
      <c r="H1722" s="1277"/>
      <c r="I1722" s="1280"/>
    </row>
    <row r="1723" spans="1:9" hidden="1">
      <c r="A1723" s="428" t="s">
        <v>6268</v>
      </c>
      <c r="B1723" s="413" t="s">
        <v>146</v>
      </c>
      <c r="C1723" s="265">
        <v>1</v>
      </c>
      <c r="D1723" s="413" t="s">
        <v>7652</v>
      </c>
      <c r="E1723" s="413" t="s">
        <v>6380</v>
      </c>
      <c r="F1723" s="413" t="s">
        <v>7653</v>
      </c>
      <c r="G1723" s="413"/>
      <c r="H1723" s="1277"/>
      <c r="I1723" s="1280"/>
    </row>
    <row r="1724" spans="1:9" hidden="1">
      <c r="A1724" s="428" t="s">
        <v>6268</v>
      </c>
      <c r="B1724" s="413" t="s">
        <v>146</v>
      </c>
      <c r="C1724" s="265">
        <v>1</v>
      </c>
      <c r="D1724" s="413" t="s">
        <v>7654</v>
      </c>
      <c r="E1724" s="413" t="s">
        <v>6380</v>
      </c>
      <c r="F1724" s="413" t="s">
        <v>7655</v>
      </c>
      <c r="G1724" s="413"/>
      <c r="H1724" s="1277"/>
      <c r="I1724" s="1280"/>
    </row>
    <row r="1725" spans="1:9" hidden="1">
      <c r="A1725" s="428" t="s">
        <v>6268</v>
      </c>
      <c r="B1725" s="413" t="s">
        <v>146</v>
      </c>
      <c r="C1725" s="265">
        <v>1</v>
      </c>
      <c r="D1725" s="413" t="s">
        <v>7656</v>
      </c>
      <c r="E1725" s="413" t="s">
        <v>6380</v>
      </c>
      <c r="F1725" s="413" t="s">
        <v>7657</v>
      </c>
      <c r="G1725" s="413"/>
      <c r="H1725" s="1277"/>
      <c r="I1725" s="1280"/>
    </row>
    <row r="1726" spans="1:9" hidden="1">
      <c r="A1726" s="428" t="s">
        <v>6268</v>
      </c>
      <c r="B1726" s="413" t="s">
        <v>146</v>
      </c>
      <c r="C1726" s="265">
        <v>1</v>
      </c>
      <c r="D1726" s="413" t="s">
        <v>7658</v>
      </c>
      <c r="E1726" s="413" t="s">
        <v>6380</v>
      </c>
      <c r="F1726" s="413" t="s">
        <v>7659</v>
      </c>
      <c r="G1726" s="413"/>
      <c r="H1726" s="1277"/>
      <c r="I1726" s="1280"/>
    </row>
    <row r="1727" spans="1:9" hidden="1">
      <c r="A1727" s="428" t="s">
        <v>6268</v>
      </c>
      <c r="B1727" s="413" t="s">
        <v>146</v>
      </c>
      <c r="C1727" s="265">
        <v>1</v>
      </c>
      <c r="D1727" s="413" t="s">
        <v>7660</v>
      </c>
      <c r="E1727" s="413" t="s">
        <v>6380</v>
      </c>
      <c r="F1727" s="413" t="s">
        <v>7661</v>
      </c>
      <c r="G1727" s="413"/>
      <c r="H1727" s="1277"/>
      <c r="I1727" s="1280"/>
    </row>
    <row r="1728" spans="1:9" hidden="1">
      <c r="A1728" s="428" t="s">
        <v>6268</v>
      </c>
      <c r="B1728" s="413" t="s">
        <v>146</v>
      </c>
      <c r="C1728" s="265">
        <v>1</v>
      </c>
      <c r="D1728" s="413" t="s">
        <v>7662</v>
      </c>
      <c r="E1728" s="413" t="s">
        <v>6380</v>
      </c>
      <c r="F1728" s="413" t="s">
        <v>7663</v>
      </c>
      <c r="G1728" s="413"/>
      <c r="H1728" s="1277"/>
      <c r="I1728" s="1280"/>
    </row>
    <row r="1729" spans="1:9" hidden="1">
      <c r="A1729" s="428" t="s">
        <v>6268</v>
      </c>
      <c r="B1729" s="413" t="s">
        <v>146</v>
      </c>
      <c r="C1729" s="265">
        <v>1</v>
      </c>
      <c r="D1729" s="413" t="s">
        <v>7664</v>
      </c>
      <c r="E1729" s="413" t="s">
        <v>6380</v>
      </c>
      <c r="F1729" s="413" t="s">
        <v>7665</v>
      </c>
      <c r="G1729" s="413"/>
      <c r="H1729" s="1277"/>
      <c r="I1729" s="1280"/>
    </row>
    <row r="1730" spans="1:9" hidden="1">
      <c r="A1730" s="428" t="s">
        <v>6268</v>
      </c>
      <c r="B1730" s="413" t="s">
        <v>146</v>
      </c>
      <c r="C1730" s="265">
        <v>1</v>
      </c>
      <c r="D1730" s="413" t="s">
        <v>7666</v>
      </c>
      <c r="E1730" s="413" t="s">
        <v>6380</v>
      </c>
      <c r="F1730" s="413" t="s">
        <v>7667</v>
      </c>
      <c r="G1730" s="413"/>
      <c r="H1730" s="1277"/>
      <c r="I1730" s="1280"/>
    </row>
    <row r="1731" spans="1:9" hidden="1">
      <c r="A1731" s="428" t="s">
        <v>6268</v>
      </c>
      <c r="B1731" s="413" t="s">
        <v>146</v>
      </c>
      <c r="C1731" s="265">
        <v>1</v>
      </c>
      <c r="D1731" s="413" t="s">
        <v>7668</v>
      </c>
      <c r="E1731" s="413" t="s">
        <v>6380</v>
      </c>
      <c r="F1731" s="413" t="s">
        <v>7669</v>
      </c>
      <c r="G1731" s="413"/>
      <c r="H1731" s="1277"/>
      <c r="I1731" s="1280"/>
    </row>
    <row r="1732" spans="1:9" hidden="1">
      <c r="A1732" s="428" t="s">
        <v>6268</v>
      </c>
      <c r="B1732" s="413" t="s">
        <v>146</v>
      </c>
      <c r="C1732" s="265">
        <v>1</v>
      </c>
      <c r="D1732" s="413" t="s">
        <v>7670</v>
      </c>
      <c r="E1732" s="413" t="s">
        <v>6380</v>
      </c>
      <c r="F1732" s="413" t="s">
        <v>7671</v>
      </c>
      <c r="G1732" s="413"/>
      <c r="H1732" s="1277"/>
      <c r="I1732" s="1280"/>
    </row>
    <row r="1733" spans="1:9" hidden="1">
      <c r="A1733" s="428" t="s">
        <v>6268</v>
      </c>
      <c r="B1733" s="413" t="s">
        <v>146</v>
      </c>
      <c r="C1733" s="265">
        <v>1</v>
      </c>
      <c r="D1733" s="413" t="s">
        <v>7672</v>
      </c>
      <c r="E1733" s="413" t="s">
        <v>6380</v>
      </c>
      <c r="F1733" s="413" t="s">
        <v>7673</v>
      </c>
      <c r="G1733" s="413"/>
      <c r="H1733" s="1277"/>
      <c r="I1733" s="1280"/>
    </row>
    <row r="1734" spans="1:9" hidden="1">
      <c r="A1734" s="428" t="s">
        <v>6268</v>
      </c>
      <c r="B1734" s="413" t="s">
        <v>146</v>
      </c>
      <c r="C1734" s="265">
        <v>1</v>
      </c>
      <c r="D1734" s="413" t="s">
        <v>7674</v>
      </c>
      <c r="E1734" s="413" t="s">
        <v>6380</v>
      </c>
      <c r="F1734" s="413" t="s">
        <v>7675</v>
      </c>
      <c r="G1734" s="413"/>
      <c r="H1734" s="1277"/>
      <c r="I1734" s="1280"/>
    </row>
    <row r="1735" spans="1:9" hidden="1">
      <c r="A1735" s="428" t="s">
        <v>6268</v>
      </c>
      <c r="B1735" s="413" t="s">
        <v>146</v>
      </c>
      <c r="C1735" s="265">
        <v>1</v>
      </c>
      <c r="D1735" s="413" t="s">
        <v>7676</v>
      </c>
      <c r="E1735" s="413" t="s">
        <v>6380</v>
      </c>
      <c r="F1735" s="413" t="s">
        <v>7677</v>
      </c>
      <c r="G1735" s="413"/>
      <c r="H1735" s="1277"/>
      <c r="I1735" s="1280"/>
    </row>
    <row r="1736" spans="1:9" hidden="1">
      <c r="A1736" s="428" t="s">
        <v>6268</v>
      </c>
      <c r="B1736" s="413" t="s">
        <v>146</v>
      </c>
      <c r="C1736" s="265">
        <v>1</v>
      </c>
      <c r="D1736" s="413" t="s">
        <v>7678</v>
      </c>
      <c r="E1736" s="413" t="s">
        <v>6380</v>
      </c>
      <c r="F1736" s="413" t="s">
        <v>7679</v>
      </c>
      <c r="G1736" s="413"/>
      <c r="H1736" s="1277"/>
      <c r="I1736" s="1280"/>
    </row>
    <row r="1737" spans="1:9" hidden="1">
      <c r="A1737" s="428" t="s">
        <v>6268</v>
      </c>
      <c r="B1737" s="413" t="s">
        <v>146</v>
      </c>
      <c r="C1737" s="265">
        <v>1</v>
      </c>
      <c r="D1737" s="413" t="s">
        <v>7680</v>
      </c>
      <c r="E1737" s="413" t="s">
        <v>6380</v>
      </c>
      <c r="F1737" s="413" t="s">
        <v>7681</v>
      </c>
      <c r="G1737" s="413"/>
      <c r="H1737" s="1277"/>
      <c r="I1737" s="1280"/>
    </row>
    <row r="1738" spans="1:9" hidden="1">
      <c r="A1738" s="428" t="s">
        <v>6268</v>
      </c>
      <c r="B1738" s="413" t="s">
        <v>146</v>
      </c>
      <c r="C1738" s="265">
        <v>1</v>
      </c>
      <c r="D1738" s="413" t="s">
        <v>7682</v>
      </c>
      <c r="E1738" s="413" t="s">
        <v>6380</v>
      </c>
      <c r="F1738" s="413" t="s">
        <v>7683</v>
      </c>
      <c r="G1738" s="413"/>
      <c r="H1738" s="1277"/>
      <c r="I1738" s="1280"/>
    </row>
    <row r="1739" spans="1:9" hidden="1">
      <c r="A1739" s="428" t="s">
        <v>6268</v>
      </c>
      <c r="B1739" s="413" t="s">
        <v>146</v>
      </c>
      <c r="C1739" s="265">
        <v>1</v>
      </c>
      <c r="D1739" s="413" t="s">
        <v>7684</v>
      </c>
      <c r="E1739" s="413" t="s">
        <v>6358</v>
      </c>
      <c r="F1739" s="413" t="s">
        <v>7685</v>
      </c>
      <c r="G1739" s="413"/>
      <c r="H1739" s="1277"/>
      <c r="I1739" s="1280"/>
    </row>
    <row r="1740" spans="1:9" hidden="1">
      <c r="A1740" s="428" t="s">
        <v>6268</v>
      </c>
      <c r="B1740" s="413" t="s">
        <v>146</v>
      </c>
      <c r="C1740" s="265">
        <v>1</v>
      </c>
      <c r="D1740" s="413" t="s">
        <v>7686</v>
      </c>
      <c r="E1740" s="413" t="s">
        <v>6358</v>
      </c>
      <c r="F1740" s="413" t="s">
        <v>7687</v>
      </c>
      <c r="G1740" s="413"/>
      <c r="H1740" s="1277"/>
      <c r="I1740" s="1280"/>
    </row>
    <row r="1741" spans="1:9" hidden="1">
      <c r="A1741" s="428" t="s">
        <v>6268</v>
      </c>
      <c r="B1741" s="413" t="s">
        <v>146</v>
      </c>
      <c r="C1741" s="265">
        <v>1</v>
      </c>
      <c r="D1741" s="413" t="s">
        <v>7688</v>
      </c>
      <c r="E1741" s="413" t="s">
        <v>6380</v>
      </c>
      <c r="F1741" s="413" t="s">
        <v>7689</v>
      </c>
      <c r="G1741" s="413"/>
      <c r="H1741" s="1277"/>
      <c r="I1741" s="1280"/>
    </row>
    <row r="1742" spans="1:9" hidden="1">
      <c r="A1742" s="428" t="s">
        <v>6268</v>
      </c>
      <c r="B1742" s="413" t="s">
        <v>146</v>
      </c>
      <c r="C1742" s="265">
        <v>1</v>
      </c>
      <c r="D1742" s="413" t="s">
        <v>7690</v>
      </c>
      <c r="E1742" s="413" t="s">
        <v>6380</v>
      </c>
      <c r="F1742" s="413" t="s">
        <v>7691</v>
      </c>
      <c r="G1742" s="413"/>
      <c r="H1742" s="1277"/>
      <c r="I1742" s="1280"/>
    </row>
    <row r="1743" spans="1:9" hidden="1">
      <c r="A1743" s="428" t="s">
        <v>6268</v>
      </c>
      <c r="B1743" s="413" t="s">
        <v>146</v>
      </c>
      <c r="C1743" s="265">
        <v>1</v>
      </c>
      <c r="D1743" s="413" t="s">
        <v>7692</v>
      </c>
      <c r="E1743" s="413" t="s">
        <v>6380</v>
      </c>
      <c r="F1743" s="413" t="s">
        <v>7693</v>
      </c>
      <c r="G1743" s="413"/>
      <c r="H1743" s="1277"/>
      <c r="I1743" s="1280"/>
    </row>
    <row r="1744" spans="1:9" hidden="1">
      <c r="A1744" s="428" t="s">
        <v>6268</v>
      </c>
      <c r="B1744" s="413" t="s">
        <v>146</v>
      </c>
      <c r="C1744" s="265">
        <v>1</v>
      </c>
      <c r="D1744" s="413" t="s">
        <v>7694</v>
      </c>
      <c r="E1744" s="413" t="s">
        <v>6380</v>
      </c>
      <c r="F1744" s="413" t="s">
        <v>7695</v>
      </c>
      <c r="G1744" s="413"/>
      <c r="H1744" s="1277"/>
      <c r="I1744" s="1280"/>
    </row>
    <row r="1745" spans="1:9" hidden="1">
      <c r="A1745" s="428" t="s">
        <v>6268</v>
      </c>
      <c r="B1745" s="413" t="s">
        <v>146</v>
      </c>
      <c r="C1745" s="265">
        <v>1</v>
      </c>
      <c r="D1745" s="413" t="s">
        <v>7696</v>
      </c>
      <c r="E1745" s="413" t="s">
        <v>6380</v>
      </c>
      <c r="F1745" s="413" t="s">
        <v>7697</v>
      </c>
      <c r="G1745" s="413"/>
      <c r="H1745" s="1277"/>
      <c r="I1745" s="1280"/>
    </row>
    <row r="1746" spans="1:9" hidden="1">
      <c r="A1746" s="428" t="s">
        <v>6268</v>
      </c>
      <c r="B1746" s="413" t="s">
        <v>146</v>
      </c>
      <c r="C1746" s="265">
        <v>1</v>
      </c>
      <c r="D1746" s="413" t="s">
        <v>7698</v>
      </c>
      <c r="E1746" s="413" t="s">
        <v>6380</v>
      </c>
      <c r="F1746" s="413" t="s">
        <v>7699</v>
      </c>
      <c r="G1746" s="413"/>
      <c r="H1746" s="1277"/>
      <c r="I1746" s="1280"/>
    </row>
    <row r="1747" spans="1:9" hidden="1">
      <c r="A1747" s="428" t="s">
        <v>6268</v>
      </c>
      <c r="B1747" s="413" t="s">
        <v>146</v>
      </c>
      <c r="C1747" s="265">
        <v>1</v>
      </c>
      <c r="D1747" s="413" t="s">
        <v>7700</v>
      </c>
      <c r="E1747" s="413" t="s">
        <v>6380</v>
      </c>
      <c r="F1747" s="413" t="s">
        <v>7701</v>
      </c>
      <c r="G1747" s="413"/>
      <c r="H1747" s="1277"/>
      <c r="I1747" s="1280"/>
    </row>
    <row r="1748" spans="1:9" hidden="1">
      <c r="A1748" s="428" t="s">
        <v>6268</v>
      </c>
      <c r="B1748" s="413" t="s">
        <v>146</v>
      </c>
      <c r="C1748" s="265">
        <v>1</v>
      </c>
      <c r="D1748" s="413" t="s">
        <v>7702</v>
      </c>
      <c r="E1748" s="413" t="s">
        <v>6380</v>
      </c>
      <c r="F1748" s="413" t="s">
        <v>7703</v>
      </c>
      <c r="G1748" s="413"/>
      <c r="H1748" s="1277"/>
      <c r="I1748" s="1280"/>
    </row>
    <row r="1749" spans="1:9" hidden="1">
      <c r="A1749" s="428" t="s">
        <v>6268</v>
      </c>
      <c r="B1749" s="413" t="s">
        <v>146</v>
      </c>
      <c r="C1749" s="265">
        <v>1</v>
      </c>
      <c r="D1749" s="413" t="s">
        <v>7704</v>
      </c>
      <c r="E1749" s="413" t="s">
        <v>6380</v>
      </c>
      <c r="F1749" s="413" t="s">
        <v>7705</v>
      </c>
      <c r="G1749" s="413"/>
      <c r="H1749" s="1277"/>
      <c r="I1749" s="1280"/>
    </row>
    <row r="1750" spans="1:9" hidden="1">
      <c r="A1750" s="428" t="s">
        <v>6268</v>
      </c>
      <c r="B1750" s="413" t="s">
        <v>146</v>
      </c>
      <c r="C1750" s="265">
        <v>1</v>
      </c>
      <c r="D1750" s="413" t="s">
        <v>7706</v>
      </c>
      <c r="E1750" s="413" t="s">
        <v>6380</v>
      </c>
      <c r="F1750" s="413" t="s">
        <v>7707</v>
      </c>
      <c r="G1750" s="413"/>
      <c r="H1750" s="1277"/>
      <c r="I1750" s="1280"/>
    </row>
    <row r="1751" spans="1:9" hidden="1">
      <c r="A1751" s="428" t="s">
        <v>6268</v>
      </c>
      <c r="B1751" s="413" t="s">
        <v>146</v>
      </c>
      <c r="C1751" s="265">
        <v>1</v>
      </c>
      <c r="D1751" s="413" t="s">
        <v>7708</v>
      </c>
      <c r="E1751" s="413" t="s">
        <v>6380</v>
      </c>
      <c r="F1751" s="413" t="s">
        <v>7709</v>
      </c>
      <c r="G1751" s="413"/>
      <c r="H1751" s="1277"/>
      <c r="I1751" s="1280"/>
    </row>
    <row r="1752" spans="1:9" hidden="1">
      <c r="A1752" s="428" t="s">
        <v>6268</v>
      </c>
      <c r="B1752" s="413" t="s">
        <v>146</v>
      </c>
      <c r="C1752" s="265">
        <v>1</v>
      </c>
      <c r="D1752" s="413" t="s">
        <v>7710</v>
      </c>
      <c r="E1752" s="413" t="s">
        <v>6380</v>
      </c>
      <c r="F1752" s="413" t="s">
        <v>7711</v>
      </c>
      <c r="G1752" s="413"/>
      <c r="H1752" s="1277"/>
      <c r="I1752" s="1280"/>
    </row>
    <row r="1753" spans="1:9" hidden="1">
      <c r="A1753" s="428" t="s">
        <v>6268</v>
      </c>
      <c r="B1753" s="413" t="s">
        <v>146</v>
      </c>
      <c r="C1753" s="265">
        <v>1</v>
      </c>
      <c r="D1753" s="413" t="s">
        <v>7712</v>
      </c>
      <c r="E1753" s="413" t="s">
        <v>6380</v>
      </c>
      <c r="F1753" s="413" t="s">
        <v>7713</v>
      </c>
      <c r="G1753" s="413"/>
      <c r="H1753" s="1277"/>
      <c r="I1753" s="1280"/>
    </row>
    <row r="1754" spans="1:9" hidden="1">
      <c r="A1754" s="428" t="s">
        <v>6268</v>
      </c>
      <c r="B1754" s="413" t="s">
        <v>146</v>
      </c>
      <c r="C1754" s="265">
        <v>1</v>
      </c>
      <c r="D1754" s="413" t="s">
        <v>7714</v>
      </c>
      <c r="E1754" s="413" t="s">
        <v>6380</v>
      </c>
      <c r="F1754" s="413" t="s">
        <v>7715</v>
      </c>
      <c r="G1754" s="413"/>
      <c r="H1754" s="1277"/>
      <c r="I1754" s="1280"/>
    </row>
    <row r="1755" spans="1:9" hidden="1">
      <c r="A1755" s="428" t="s">
        <v>6268</v>
      </c>
      <c r="B1755" s="413" t="s">
        <v>146</v>
      </c>
      <c r="C1755" s="265">
        <v>1</v>
      </c>
      <c r="D1755" s="413" t="s">
        <v>7716</v>
      </c>
      <c r="E1755" s="413" t="s">
        <v>6380</v>
      </c>
      <c r="F1755" s="413" t="s">
        <v>7717</v>
      </c>
      <c r="G1755" s="413"/>
      <c r="H1755" s="1277"/>
      <c r="I1755" s="1280"/>
    </row>
    <row r="1756" spans="1:9" hidden="1">
      <c r="A1756" s="428" t="s">
        <v>6268</v>
      </c>
      <c r="B1756" s="413" t="s">
        <v>146</v>
      </c>
      <c r="C1756" s="265">
        <v>1</v>
      </c>
      <c r="D1756" s="413" t="s">
        <v>7718</v>
      </c>
      <c r="E1756" s="413" t="s">
        <v>6380</v>
      </c>
      <c r="F1756" s="413" t="s">
        <v>7719</v>
      </c>
      <c r="G1756" s="413"/>
      <c r="H1756" s="1277"/>
      <c r="I1756" s="1280"/>
    </row>
    <row r="1757" spans="1:9" hidden="1">
      <c r="A1757" s="428" t="s">
        <v>6268</v>
      </c>
      <c r="B1757" s="413" t="s">
        <v>146</v>
      </c>
      <c r="C1757" s="265">
        <v>1</v>
      </c>
      <c r="D1757" s="413" t="s">
        <v>7720</v>
      </c>
      <c r="E1757" s="413" t="s">
        <v>6380</v>
      </c>
      <c r="F1757" s="413" t="s">
        <v>7721</v>
      </c>
      <c r="G1757" s="413"/>
      <c r="H1757" s="1277"/>
      <c r="I1757" s="1280"/>
    </row>
    <row r="1758" spans="1:9" hidden="1">
      <c r="A1758" s="428" t="s">
        <v>6268</v>
      </c>
      <c r="B1758" s="413" t="s">
        <v>146</v>
      </c>
      <c r="C1758" s="265">
        <v>1</v>
      </c>
      <c r="D1758" s="413" t="s">
        <v>7722</v>
      </c>
      <c r="E1758" s="413" t="s">
        <v>6380</v>
      </c>
      <c r="F1758" s="413" t="s">
        <v>7723</v>
      </c>
      <c r="G1758" s="413"/>
      <c r="H1758" s="1277"/>
      <c r="I1758" s="1280"/>
    </row>
    <row r="1759" spans="1:9" hidden="1">
      <c r="A1759" s="428" t="s">
        <v>6268</v>
      </c>
      <c r="B1759" s="413" t="s">
        <v>146</v>
      </c>
      <c r="C1759" s="265">
        <v>1</v>
      </c>
      <c r="D1759" s="413" t="s">
        <v>7724</v>
      </c>
      <c r="E1759" s="413" t="s">
        <v>6380</v>
      </c>
      <c r="F1759" s="413" t="s">
        <v>7725</v>
      </c>
      <c r="G1759" s="413"/>
      <c r="H1759" s="1277"/>
      <c r="I1759" s="1280"/>
    </row>
    <row r="1760" spans="1:9" hidden="1">
      <c r="A1760" s="428" t="s">
        <v>6268</v>
      </c>
      <c r="B1760" s="413" t="s">
        <v>146</v>
      </c>
      <c r="C1760" s="265">
        <v>1</v>
      </c>
      <c r="D1760" s="413" t="s">
        <v>7726</v>
      </c>
      <c r="E1760" s="413" t="s">
        <v>6380</v>
      </c>
      <c r="F1760" s="413" t="s">
        <v>7727</v>
      </c>
      <c r="G1760" s="413"/>
      <c r="H1760" s="1277"/>
      <c r="I1760" s="1280"/>
    </row>
    <row r="1761" spans="1:9" hidden="1">
      <c r="A1761" s="428" t="s">
        <v>6268</v>
      </c>
      <c r="B1761" s="413" t="s">
        <v>146</v>
      </c>
      <c r="C1761" s="265">
        <v>1</v>
      </c>
      <c r="D1761" s="413" t="s">
        <v>7728</v>
      </c>
      <c r="E1761" s="413" t="s">
        <v>6380</v>
      </c>
      <c r="F1761" s="413" t="s">
        <v>7729</v>
      </c>
      <c r="G1761" s="413"/>
      <c r="H1761" s="1277"/>
      <c r="I1761" s="1280"/>
    </row>
    <row r="1762" spans="1:9" hidden="1">
      <c r="A1762" s="428" t="s">
        <v>6268</v>
      </c>
      <c r="B1762" s="413" t="s">
        <v>146</v>
      </c>
      <c r="C1762" s="265">
        <v>1</v>
      </c>
      <c r="D1762" s="413" t="s">
        <v>7730</v>
      </c>
      <c r="E1762" s="413" t="s">
        <v>6380</v>
      </c>
      <c r="F1762" s="413" t="s">
        <v>7731</v>
      </c>
      <c r="G1762" s="413"/>
      <c r="H1762" s="1277"/>
      <c r="I1762" s="1280"/>
    </row>
    <row r="1763" spans="1:9" hidden="1">
      <c r="A1763" s="428" t="s">
        <v>6268</v>
      </c>
      <c r="B1763" s="413" t="s">
        <v>146</v>
      </c>
      <c r="C1763" s="265">
        <v>1</v>
      </c>
      <c r="D1763" s="413" t="s">
        <v>7732</v>
      </c>
      <c r="E1763" s="413" t="s">
        <v>6380</v>
      </c>
      <c r="F1763" s="413" t="s">
        <v>7733</v>
      </c>
      <c r="G1763" s="413"/>
      <c r="H1763" s="1277"/>
      <c r="I1763" s="1280"/>
    </row>
    <row r="1764" spans="1:9" hidden="1">
      <c r="A1764" s="428" t="s">
        <v>6268</v>
      </c>
      <c r="B1764" s="413" t="s">
        <v>146</v>
      </c>
      <c r="C1764" s="265">
        <v>1</v>
      </c>
      <c r="D1764" s="413" t="s">
        <v>7734</v>
      </c>
      <c r="E1764" s="413" t="s">
        <v>6380</v>
      </c>
      <c r="F1764" s="413" t="s">
        <v>7735</v>
      </c>
      <c r="G1764" s="413"/>
      <c r="H1764" s="1277"/>
      <c r="I1764" s="1280"/>
    </row>
    <row r="1765" spans="1:9" hidden="1">
      <c r="A1765" s="428" t="s">
        <v>6268</v>
      </c>
      <c r="B1765" s="413" t="s">
        <v>146</v>
      </c>
      <c r="C1765" s="265">
        <v>1</v>
      </c>
      <c r="D1765" s="413" t="s">
        <v>7736</v>
      </c>
      <c r="E1765" s="413" t="s">
        <v>6380</v>
      </c>
      <c r="F1765" s="413" t="s">
        <v>7737</v>
      </c>
      <c r="G1765" s="413"/>
      <c r="H1765" s="1277"/>
      <c r="I1765" s="1280"/>
    </row>
    <row r="1766" spans="1:9" hidden="1">
      <c r="A1766" s="428" t="s">
        <v>6268</v>
      </c>
      <c r="B1766" s="413" t="s">
        <v>146</v>
      </c>
      <c r="C1766" s="265">
        <v>1</v>
      </c>
      <c r="D1766" s="413" t="s">
        <v>7738</v>
      </c>
      <c r="E1766" s="413" t="s">
        <v>6380</v>
      </c>
      <c r="F1766" s="413" t="s">
        <v>7739</v>
      </c>
      <c r="G1766" s="413"/>
      <c r="H1766" s="1277"/>
      <c r="I1766" s="1280"/>
    </row>
    <row r="1767" spans="1:9" hidden="1">
      <c r="A1767" s="428" t="s">
        <v>6268</v>
      </c>
      <c r="B1767" s="413" t="s">
        <v>146</v>
      </c>
      <c r="C1767" s="265">
        <v>1</v>
      </c>
      <c r="D1767" s="413" t="s">
        <v>7740</v>
      </c>
      <c r="E1767" s="413" t="s">
        <v>6380</v>
      </c>
      <c r="F1767" s="413" t="s">
        <v>7741</v>
      </c>
      <c r="G1767" s="413"/>
      <c r="H1767" s="1277"/>
      <c r="I1767" s="1280"/>
    </row>
    <row r="1768" spans="1:9" hidden="1">
      <c r="A1768" s="428" t="s">
        <v>6268</v>
      </c>
      <c r="B1768" s="413" t="s">
        <v>146</v>
      </c>
      <c r="C1768" s="265">
        <v>1</v>
      </c>
      <c r="D1768" s="413" t="s">
        <v>7742</v>
      </c>
      <c r="E1768" s="413" t="s">
        <v>6380</v>
      </c>
      <c r="F1768" s="413" t="s">
        <v>7743</v>
      </c>
      <c r="G1768" s="413"/>
      <c r="H1768" s="1277"/>
      <c r="I1768" s="1280"/>
    </row>
    <row r="1769" spans="1:9" hidden="1">
      <c r="A1769" s="428" t="s">
        <v>6268</v>
      </c>
      <c r="B1769" s="413" t="s">
        <v>146</v>
      </c>
      <c r="C1769" s="265">
        <v>1</v>
      </c>
      <c r="D1769" s="413" t="s">
        <v>7744</v>
      </c>
      <c r="E1769" s="413" t="s">
        <v>6380</v>
      </c>
      <c r="F1769" s="413" t="s">
        <v>7745</v>
      </c>
      <c r="G1769" s="413"/>
      <c r="H1769" s="1277"/>
      <c r="I1769" s="1280"/>
    </row>
    <row r="1770" spans="1:9" hidden="1">
      <c r="A1770" s="428" t="s">
        <v>6268</v>
      </c>
      <c r="B1770" s="413" t="s">
        <v>146</v>
      </c>
      <c r="C1770" s="265">
        <v>1</v>
      </c>
      <c r="D1770" s="413" t="s">
        <v>7746</v>
      </c>
      <c r="E1770" s="413" t="s">
        <v>6380</v>
      </c>
      <c r="F1770" s="413" t="s">
        <v>7747</v>
      </c>
      <c r="G1770" s="413"/>
      <c r="H1770" s="1277"/>
      <c r="I1770" s="1280"/>
    </row>
    <row r="1771" spans="1:9" hidden="1">
      <c r="A1771" s="428" t="s">
        <v>6268</v>
      </c>
      <c r="B1771" s="413" t="s">
        <v>146</v>
      </c>
      <c r="C1771" s="265">
        <v>1</v>
      </c>
      <c r="D1771" s="413" t="s">
        <v>7748</v>
      </c>
      <c r="E1771" s="413" t="s">
        <v>6380</v>
      </c>
      <c r="F1771" s="413" t="s">
        <v>7749</v>
      </c>
      <c r="G1771" s="413"/>
      <c r="H1771" s="1277"/>
      <c r="I1771" s="1280"/>
    </row>
    <row r="1772" spans="1:9" hidden="1">
      <c r="A1772" s="428" t="s">
        <v>6268</v>
      </c>
      <c r="B1772" s="413" t="s">
        <v>146</v>
      </c>
      <c r="C1772" s="265">
        <v>1</v>
      </c>
      <c r="D1772" s="413" t="s">
        <v>7750</v>
      </c>
      <c r="E1772" s="413" t="s">
        <v>6380</v>
      </c>
      <c r="F1772" s="413" t="s">
        <v>7751</v>
      </c>
      <c r="G1772" s="413"/>
      <c r="H1772" s="1277"/>
      <c r="I1772" s="1280"/>
    </row>
    <row r="1773" spans="1:9" hidden="1">
      <c r="A1773" s="428" t="s">
        <v>6268</v>
      </c>
      <c r="B1773" s="413" t="s">
        <v>146</v>
      </c>
      <c r="C1773" s="265">
        <v>1</v>
      </c>
      <c r="D1773" s="413" t="s">
        <v>7752</v>
      </c>
      <c r="E1773" s="413" t="s">
        <v>6380</v>
      </c>
      <c r="F1773" s="413" t="s">
        <v>7753</v>
      </c>
      <c r="G1773" s="413"/>
      <c r="H1773" s="1277"/>
      <c r="I1773" s="1280"/>
    </row>
    <row r="1774" spans="1:9" hidden="1">
      <c r="A1774" s="428" t="s">
        <v>6268</v>
      </c>
      <c r="B1774" s="413" t="s">
        <v>146</v>
      </c>
      <c r="C1774" s="265">
        <v>1</v>
      </c>
      <c r="D1774" s="413" t="s">
        <v>7754</v>
      </c>
      <c r="E1774" s="413" t="s">
        <v>6380</v>
      </c>
      <c r="F1774" s="413" t="s">
        <v>7755</v>
      </c>
      <c r="G1774" s="413"/>
      <c r="H1774" s="1277"/>
      <c r="I1774" s="1280"/>
    </row>
    <row r="1775" spans="1:9" hidden="1">
      <c r="A1775" s="428" t="s">
        <v>6268</v>
      </c>
      <c r="B1775" s="413" t="s">
        <v>146</v>
      </c>
      <c r="C1775" s="265">
        <v>1</v>
      </c>
      <c r="D1775" s="413" t="s">
        <v>7756</v>
      </c>
      <c r="E1775" s="413" t="s">
        <v>6380</v>
      </c>
      <c r="F1775" s="413" t="s">
        <v>6553</v>
      </c>
      <c r="G1775" s="413"/>
      <c r="H1775" s="1277"/>
      <c r="I1775" s="1280"/>
    </row>
    <row r="1776" spans="1:9" hidden="1">
      <c r="A1776" s="428" t="s">
        <v>6268</v>
      </c>
      <c r="B1776" s="413" t="s">
        <v>146</v>
      </c>
      <c r="C1776" s="265">
        <v>1</v>
      </c>
      <c r="D1776" s="413" t="s">
        <v>7757</v>
      </c>
      <c r="E1776" s="413" t="s">
        <v>6380</v>
      </c>
      <c r="F1776" s="413" t="s">
        <v>6704</v>
      </c>
      <c r="G1776" s="413"/>
      <c r="H1776" s="1277"/>
      <c r="I1776" s="1280"/>
    </row>
    <row r="1777" spans="1:9" hidden="1">
      <c r="A1777" s="428" t="s">
        <v>6268</v>
      </c>
      <c r="B1777" s="413" t="s">
        <v>146</v>
      </c>
      <c r="C1777" s="265">
        <v>1</v>
      </c>
      <c r="D1777" s="413" t="s">
        <v>7758</v>
      </c>
      <c r="E1777" s="413" t="s">
        <v>6380</v>
      </c>
      <c r="F1777" s="413" t="s">
        <v>6743</v>
      </c>
      <c r="G1777" s="413"/>
      <c r="H1777" s="1277"/>
      <c r="I1777" s="1280"/>
    </row>
    <row r="1778" spans="1:9" hidden="1">
      <c r="A1778" s="428" t="s">
        <v>6268</v>
      </c>
      <c r="B1778" s="413" t="s">
        <v>146</v>
      </c>
      <c r="C1778" s="265">
        <v>1</v>
      </c>
      <c r="D1778" s="413" t="s">
        <v>7759</v>
      </c>
      <c r="E1778" s="413" t="s">
        <v>6380</v>
      </c>
      <c r="F1778" s="413" t="s">
        <v>7760</v>
      </c>
      <c r="G1778" s="413"/>
      <c r="H1778" s="1277"/>
      <c r="I1778" s="1280"/>
    </row>
    <row r="1779" spans="1:9" hidden="1">
      <c r="A1779" s="428" t="s">
        <v>6268</v>
      </c>
      <c r="B1779" s="413" t="s">
        <v>146</v>
      </c>
      <c r="C1779" s="265">
        <v>1</v>
      </c>
      <c r="D1779" s="413" t="s">
        <v>7761</v>
      </c>
      <c r="E1779" s="413" t="s">
        <v>6380</v>
      </c>
      <c r="F1779" s="413" t="s">
        <v>7762</v>
      </c>
      <c r="G1779" s="413"/>
      <c r="H1779" s="1277"/>
      <c r="I1779" s="1280"/>
    </row>
    <row r="1780" spans="1:9" hidden="1">
      <c r="A1780" s="428" t="s">
        <v>6268</v>
      </c>
      <c r="B1780" s="413" t="s">
        <v>146</v>
      </c>
      <c r="C1780" s="265">
        <v>1</v>
      </c>
      <c r="D1780" s="413" t="s">
        <v>7763</v>
      </c>
      <c r="E1780" s="413" t="s">
        <v>6380</v>
      </c>
      <c r="F1780" s="413" t="s">
        <v>7764</v>
      </c>
      <c r="G1780" s="413"/>
      <c r="H1780" s="1277"/>
      <c r="I1780" s="1280"/>
    </row>
    <row r="1781" spans="1:9" hidden="1">
      <c r="A1781" s="428" t="s">
        <v>6268</v>
      </c>
      <c r="B1781" s="413" t="s">
        <v>146</v>
      </c>
      <c r="C1781" s="265">
        <v>1</v>
      </c>
      <c r="D1781" s="413" t="s">
        <v>7765</v>
      </c>
      <c r="E1781" s="413" t="s">
        <v>6380</v>
      </c>
      <c r="F1781" s="413" t="s">
        <v>7262</v>
      </c>
      <c r="G1781" s="413"/>
      <c r="H1781" s="1277"/>
      <c r="I1781" s="1280"/>
    </row>
    <row r="1782" spans="1:9" hidden="1">
      <c r="A1782" s="428" t="s">
        <v>6268</v>
      </c>
      <c r="B1782" s="413" t="s">
        <v>146</v>
      </c>
      <c r="C1782" s="265">
        <v>1</v>
      </c>
      <c r="D1782" s="413" t="s">
        <v>7766</v>
      </c>
      <c r="E1782" s="413" t="s">
        <v>6380</v>
      </c>
      <c r="F1782" s="413" t="s">
        <v>7767</v>
      </c>
      <c r="G1782" s="413"/>
      <c r="H1782" s="1277"/>
      <c r="I1782" s="1280"/>
    </row>
    <row r="1783" spans="1:9" hidden="1">
      <c r="A1783" s="428" t="s">
        <v>6268</v>
      </c>
      <c r="B1783" s="413" t="s">
        <v>146</v>
      </c>
      <c r="C1783" s="265">
        <v>1</v>
      </c>
      <c r="D1783" s="413" t="s">
        <v>7768</v>
      </c>
      <c r="E1783" s="413" t="s">
        <v>6380</v>
      </c>
      <c r="F1783" s="413" t="s">
        <v>7769</v>
      </c>
      <c r="G1783" s="413"/>
      <c r="H1783" s="1277"/>
      <c r="I1783" s="1280"/>
    </row>
    <row r="1784" spans="1:9" hidden="1">
      <c r="A1784" s="428" t="s">
        <v>6268</v>
      </c>
      <c r="B1784" s="413" t="s">
        <v>146</v>
      </c>
      <c r="C1784" s="265">
        <v>1</v>
      </c>
      <c r="D1784" s="413" t="s">
        <v>7770</v>
      </c>
      <c r="E1784" s="413" t="s">
        <v>6380</v>
      </c>
      <c r="F1784" s="413" t="s">
        <v>7653</v>
      </c>
      <c r="G1784" s="413"/>
      <c r="H1784" s="1277"/>
      <c r="I1784" s="1280"/>
    </row>
    <row r="1785" spans="1:9" hidden="1">
      <c r="A1785" s="428" t="s">
        <v>6268</v>
      </c>
      <c r="B1785" s="413" t="s">
        <v>146</v>
      </c>
      <c r="C1785" s="265">
        <v>1</v>
      </c>
      <c r="D1785" s="413" t="s">
        <v>7771</v>
      </c>
      <c r="E1785" s="413" t="s">
        <v>6380</v>
      </c>
      <c r="F1785" s="413" t="s">
        <v>7772</v>
      </c>
      <c r="G1785" s="413"/>
      <c r="H1785" s="1277"/>
      <c r="I1785" s="1280"/>
    </row>
    <row r="1786" spans="1:9" hidden="1">
      <c r="A1786" s="428" t="s">
        <v>6268</v>
      </c>
      <c r="B1786" s="413" t="s">
        <v>146</v>
      </c>
      <c r="C1786" s="265">
        <v>1</v>
      </c>
      <c r="D1786" s="413" t="s">
        <v>7773</v>
      </c>
      <c r="E1786" s="413" t="s">
        <v>6380</v>
      </c>
      <c r="F1786" s="413" t="s">
        <v>7774</v>
      </c>
      <c r="G1786" s="413"/>
      <c r="H1786" s="1277"/>
      <c r="I1786" s="1280"/>
    </row>
    <row r="1787" spans="1:9" hidden="1">
      <c r="A1787" s="428" t="s">
        <v>6268</v>
      </c>
      <c r="B1787" s="413" t="s">
        <v>146</v>
      </c>
      <c r="C1787" s="265">
        <v>1</v>
      </c>
      <c r="D1787" s="413" t="s">
        <v>7775</v>
      </c>
      <c r="E1787" s="413" t="s">
        <v>6380</v>
      </c>
      <c r="F1787" s="413" t="s">
        <v>7776</v>
      </c>
      <c r="G1787" s="413"/>
      <c r="H1787" s="1277"/>
      <c r="I1787" s="1280"/>
    </row>
    <row r="1788" spans="1:9" hidden="1">
      <c r="A1788" s="428" t="s">
        <v>6268</v>
      </c>
      <c r="B1788" s="413" t="s">
        <v>146</v>
      </c>
      <c r="C1788" s="265">
        <v>1</v>
      </c>
      <c r="D1788" s="413" t="s">
        <v>7777</v>
      </c>
      <c r="E1788" s="413" t="s">
        <v>6380</v>
      </c>
      <c r="F1788" s="413" t="s">
        <v>7778</v>
      </c>
      <c r="G1788" s="413"/>
      <c r="H1788" s="1277"/>
      <c r="I1788" s="1280"/>
    </row>
    <row r="1789" spans="1:9" hidden="1">
      <c r="A1789" s="428" t="s">
        <v>6268</v>
      </c>
      <c r="B1789" s="413" t="s">
        <v>146</v>
      </c>
      <c r="C1789" s="265">
        <v>1</v>
      </c>
      <c r="D1789" s="413" t="s">
        <v>7779</v>
      </c>
      <c r="E1789" s="413" t="s">
        <v>6380</v>
      </c>
      <c r="F1789" s="413" t="s">
        <v>7780</v>
      </c>
      <c r="G1789" s="413"/>
      <c r="H1789" s="1277"/>
      <c r="I1789" s="1280"/>
    </row>
    <row r="1790" spans="1:9" hidden="1">
      <c r="A1790" s="428" t="s">
        <v>6268</v>
      </c>
      <c r="B1790" s="413" t="s">
        <v>146</v>
      </c>
      <c r="C1790" s="265">
        <v>1</v>
      </c>
      <c r="D1790" s="413" t="s">
        <v>7781</v>
      </c>
      <c r="E1790" s="413" t="s">
        <v>6380</v>
      </c>
      <c r="F1790" s="413" t="s">
        <v>7782</v>
      </c>
      <c r="G1790" s="413"/>
      <c r="H1790" s="1277"/>
      <c r="I1790" s="1280"/>
    </row>
    <row r="1791" spans="1:9" hidden="1">
      <c r="A1791" s="428" t="s">
        <v>6268</v>
      </c>
      <c r="B1791" s="413" t="s">
        <v>146</v>
      </c>
      <c r="C1791" s="265">
        <v>1</v>
      </c>
      <c r="D1791" s="413" t="s">
        <v>7783</v>
      </c>
      <c r="E1791" s="413" t="s">
        <v>6380</v>
      </c>
      <c r="F1791" s="413" t="s">
        <v>7784</v>
      </c>
      <c r="G1791" s="413"/>
      <c r="H1791" s="1277"/>
      <c r="I1791" s="1280"/>
    </row>
    <row r="1792" spans="1:9" hidden="1">
      <c r="A1792" s="428" t="s">
        <v>6268</v>
      </c>
      <c r="B1792" s="413" t="s">
        <v>146</v>
      </c>
      <c r="C1792" s="265">
        <v>1</v>
      </c>
      <c r="D1792" s="413" t="s">
        <v>7785</v>
      </c>
      <c r="E1792" s="413" t="s">
        <v>6358</v>
      </c>
      <c r="F1792" s="413" t="s">
        <v>7786</v>
      </c>
      <c r="G1792" s="413"/>
      <c r="H1792" s="1277"/>
      <c r="I1792" s="1280"/>
    </row>
    <row r="1793" spans="1:9" hidden="1">
      <c r="A1793" s="428" t="s">
        <v>6268</v>
      </c>
      <c r="B1793" s="413" t="s">
        <v>146</v>
      </c>
      <c r="C1793" s="265">
        <v>1</v>
      </c>
      <c r="D1793" s="413" t="s">
        <v>7787</v>
      </c>
      <c r="E1793" s="413" t="s">
        <v>6380</v>
      </c>
      <c r="F1793" s="413" t="s">
        <v>7788</v>
      </c>
      <c r="G1793" s="413"/>
      <c r="H1793" s="1277"/>
      <c r="I1793" s="1280"/>
    </row>
    <row r="1794" spans="1:9" hidden="1">
      <c r="A1794" s="428" t="s">
        <v>6268</v>
      </c>
      <c r="B1794" s="413" t="s">
        <v>146</v>
      </c>
      <c r="C1794" s="265">
        <v>1</v>
      </c>
      <c r="D1794" s="413" t="s">
        <v>7789</v>
      </c>
      <c r="E1794" s="413" t="s">
        <v>6380</v>
      </c>
      <c r="F1794" s="413" t="s">
        <v>7790</v>
      </c>
      <c r="G1794" s="413"/>
      <c r="H1794" s="1277"/>
      <c r="I1794" s="1280"/>
    </row>
    <row r="1795" spans="1:9" hidden="1">
      <c r="A1795" s="428" t="s">
        <v>6268</v>
      </c>
      <c r="B1795" s="413" t="s">
        <v>146</v>
      </c>
      <c r="C1795" s="265">
        <v>1</v>
      </c>
      <c r="D1795" s="413" t="s">
        <v>7791</v>
      </c>
      <c r="E1795" s="413" t="s">
        <v>6380</v>
      </c>
      <c r="F1795" s="413" t="s">
        <v>7792</v>
      </c>
      <c r="G1795" s="413"/>
      <c r="H1795" s="1277"/>
      <c r="I1795" s="1280"/>
    </row>
    <row r="1796" spans="1:9" hidden="1">
      <c r="A1796" s="428" t="s">
        <v>6268</v>
      </c>
      <c r="B1796" s="413" t="s">
        <v>146</v>
      </c>
      <c r="C1796" s="265">
        <v>1</v>
      </c>
      <c r="D1796" s="413" t="s">
        <v>7793</v>
      </c>
      <c r="E1796" s="413" t="s">
        <v>6380</v>
      </c>
      <c r="F1796" s="413" t="s">
        <v>7794</v>
      </c>
      <c r="G1796" s="413"/>
      <c r="H1796" s="1277"/>
      <c r="I1796" s="1280"/>
    </row>
    <row r="1797" spans="1:9" hidden="1">
      <c r="A1797" s="428" t="s">
        <v>6268</v>
      </c>
      <c r="B1797" s="413" t="s">
        <v>146</v>
      </c>
      <c r="C1797" s="265">
        <v>1</v>
      </c>
      <c r="D1797" s="413" t="s">
        <v>7795</v>
      </c>
      <c r="E1797" s="413" t="s">
        <v>6358</v>
      </c>
      <c r="F1797" s="413" t="s">
        <v>7796</v>
      </c>
      <c r="G1797" s="413"/>
      <c r="H1797" s="1277"/>
      <c r="I1797" s="1280"/>
    </row>
    <row r="1798" spans="1:9" hidden="1">
      <c r="A1798" s="428" t="s">
        <v>6268</v>
      </c>
      <c r="B1798" s="413" t="s">
        <v>146</v>
      </c>
      <c r="C1798" s="265">
        <v>1</v>
      </c>
      <c r="D1798" s="413" t="s">
        <v>7797</v>
      </c>
      <c r="E1798" s="413" t="s">
        <v>6380</v>
      </c>
      <c r="F1798" s="413" t="s">
        <v>7798</v>
      </c>
      <c r="G1798" s="413"/>
      <c r="H1798" s="1277"/>
      <c r="I1798" s="1280"/>
    </row>
    <row r="1799" spans="1:9" hidden="1">
      <c r="A1799" s="428" t="s">
        <v>6268</v>
      </c>
      <c r="B1799" s="413" t="s">
        <v>146</v>
      </c>
      <c r="C1799" s="265">
        <v>1</v>
      </c>
      <c r="D1799" s="413" t="s">
        <v>7799</v>
      </c>
      <c r="E1799" s="413" t="s">
        <v>6380</v>
      </c>
      <c r="F1799" s="413" t="s">
        <v>7800</v>
      </c>
      <c r="G1799" s="413"/>
      <c r="H1799" s="1277"/>
      <c r="I1799" s="1280"/>
    </row>
    <row r="1800" spans="1:9" hidden="1">
      <c r="A1800" s="428" t="s">
        <v>6268</v>
      </c>
      <c r="B1800" s="413" t="s">
        <v>146</v>
      </c>
      <c r="C1800" s="265">
        <v>1</v>
      </c>
      <c r="D1800" s="413" t="s">
        <v>7801</v>
      </c>
      <c r="E1800" s="413" t="s">
        <v>6380</v>
      </c>
      <c r="F1800" s="413" t="s">
        <v>7802</v>
      </c>
      <c r="G1800" s="413"/>
      <c r="H1800" s="1277"/>
      <c r="I1800" s="1280"/>
    </row>
    <row r="1801" spans="1:9" hidden="1">
      <c r="A1801" s="428" t="s">
        <v>6268</v>
      </c>
      <c r="B1801" s="413" t="s">
        <v>146</v>
      </c>
      <c r="C1801" s="265">
        <v>1</v>
      </c>
      <c r="D1801" s="413" t="s">
        <v>7803</v>
      </c>
      <c r="E1801" s="413" t="s">
        <v>6380</v>
      </c>
      <c r="F1801" s="413" t="s">
        <v>7804</v>
      </c>
      <c r="G1801" s="413"/>
      <c r="H1801" s="1277"/>
      <c r="I1801" s="1280"/>
    </row>
    <row r="1802" spans="1:9" hidden="1">
      <c r="A1802" s="428" t="s">
        <v>6268</v>
      </c>
      <c r="B1802" s="413" t="s">
        <v>146</v>
      </c>
      <c r="C1802" s="265">
        <v>1</v>
      </c>
      <c r="D1802" s="413" t="s">
        <v>7805</v>
      </c>
      <c r="E1802" s="413" t="s">
        <v>6380</v>
      </c>
      <c r="F1802" s="413" t="s">
        <v>7806</v>
      </c>
      <c r="G1802" s="413"/>
      <c r="H1802" s="1277"/>
      <c r="I1802" s="1280"/>
    </row>
    <row r="1803" spans="1:9" hidden="1">
      <c r="A1803" s="428" t="s">
        <v>6268</v>
      </c>
      <c r="B1803" s="413" t="s">
        <v>146</v>
      </c>
      <c r="C1803" s="265">
        <v>1</v>
      </c>
      <c r="D1803" s="413" t="s">
        <v>7807</v>
      </c>
      <c r="E1803" s="413" t="s">
        <v>6380</v>
      </c>
      <c r="F1803" s="413" t="s">
        <v>7808</v>
      </c>
      <c r="G1803" s="413"/>
      <c r="H1803" s="1277"/>
      <c r="I1803" s="1280"/>
    </row>
    <row r="1804" spans="1:9" hidden="1">
      <c r="A1804" s="428" t="s">
        <v>6268</v>
      </c>
      <c r="B1804" s="413" t="s">
        <v>146</v>
      </c>
      <c r="C1804" s="265">
        <v>1</v>
      </c>
      <c r="D1804" s="413" t="s">
        <v>7809</v>
      </c>
      <c r="E1804" s="413" t="s">
        <v>6380</v>
      </c>
      <c r="F1804" s="413" t="s">
        <v>7810</v>
      </c>
      <c r="G1804" s="413"/>
      <c r="H1804" s="1277"/>
      <c r="I1804" s="1280"/>
    </row>
    <row r="1805" spans="1:9" hidden="1">
      <c r="A1805" s="428" t="s">
        <v>6268</v>
      </c>
      <c r="B1805" s="413" t="s">
        <v>146</v>
      </c>
      <c r="C1805" s="265">
        <v>1</v>
      </c>
      <c r="D1805" s="413" t="s">
        <v>7811</v>
      </c>
      <c r="E1805" s="413" t="s">
        <v>6380</v>
      </c>
      <c r="F1805" s="413" t="s">
        <v>7812</v>
      </c>
      <c r="G1805" s="413"/>
      <c r="H1805" s="1277"/>
      <c r="I1805" s="1280"/>
    </row>
    <row r="1806" spans="1:9" hidden="1">
      <c r="A1806" s="428" t="s">
        <v>6268</v>
      </c>
      <c r="B1806" s="413" t="s">
        <v>146</v>
      </c>
      <c r="C1806" s="265">
        <v>1</v>
      </c>
      <c r="D1806" s="413" t="s">
        <v>7813</v>
      </c>
      <c r="E1806" s="413" t="s">
        <v>6380</v>
      </c>
      <c r="F1806" s="413" t="s">
        <v>7814</v>
      </c>
      <c r="G1806" s="413"/>
      <c r="H1806" s="1277"/>
      <c r="I1806" s="1280"/>
    </row>
    <row r="1807" spans="1:9" hidden="1">
      <c r="A1807" s="428" t="s">
        <v>6268</v>
      </c>
      <c r="B1807" s="413" t="s">
        <v>146</v>
      </c>
      <c r="C1807" s="265">
        <v>1</v>
      </c>
      <c r="D1807" s="413" t="s">
        <v>7815</v>
      </c>
      <c r="E1807" s="413" t="s">
        <v>6380</v>
      </c>
      <c r="F1807" s="413" t="s">
        <v>7816</v>
      </c>
      <c r="G1807" s="413"/>
      <c r="H1807" s="1277"/>
      <c r="I1807" s="1280"/>
    </row>
    <row r="1808" spans="1:9" hidden="1">
      <c r="A1808" s="428" t="s">
        <v>6268</v>
      </c>
      <c r="B1808" s="413" t="s">
        <v>146</v>
      </c>
      <c r="C1808" s="265">
        <v>1</v>
      </c>
      <c r="D1808" s="413" t="s">
        <v>7817</v>
      </c>
      <c r="E1808" s="413" t="s">
        <v>6380</v>
      </c>
      <c r="F1808" s="413" t="s">
        <v>7818</v>
      </c>
      <c r="G1808" s="413"/>
      <c r="H1808" s="1277"/>
      <c r="I1808" s="1280"/>
    </row>
    <row r="1809" spans="1:9" hidden="1">
      <c r="A1809" s="428" t="s">
        <v>6268</v>
      </c>
      <c r="B1809" s="413" t="s">
        <v>146</v>
      </c>
      <c r="C1809" s="265">
        <v>1</v>
      </c>
      <c r="D1809" s="413" t="s">
        <v>7819</v>
      </c>
      <c r="E1809" s="413" t="s">
        <v>6380</v>
      </c>
      <c r="F1809" s="413" t="s">
        <v>7820</v>
      </c>
      <c r="G1809" s="413"/>
      <c r="H1809" s="1277"/>
      <c r="I1809" s="1280"/>
    </row>
    <row r="1810" spans="1:9" hidden="1">
      <c r="A1810" s="428" t="s">
        <v>6268</v>
      </c>
      <c r="B1810" s="413" t="s">
        <v>146</v>
      </c>
      <c r="C1810" s="265">
        <v>1</v>
      </c>
      <c r="D1810" s="413" t="s">
        <v>7821</v>
      </c>
      <c r="E1810" s="413" t="s">
        <v>6380</v>
      </c>
      <c r="F1810" s="413" t="s">
        <v>7822</v>
      </c>
      <c r="G1810" s="413"/>
      <c r="H1810" s="1277"/>
      <c r="I1810" s="1280"/>
    </row>
    <row r="1811" spans="1:9" hidden="1">
      <c r="A1811" s="428" t="s">
        <v>6268</v>
      </c>
      <c r="B1811" s="413" t="s">
        <v>146</v>
      </c>
      <c r="C1811" s="265">
        <v>1</v>
      </c>
      <c r="D1811" s="413" t="s">
        <v>7823</v>
      </c>
      <c r="E1811" s="413" t="s">
        <v>6380</v>
      </c>
      <c r="F1811" s="413" t="s">
        <v>7824</v>
      </c>
      <c r="G1811" s="413"/>
      <c r="H1811" s="1277"/>
      <c r="I1811" s="1280"/>
    </row>
    <row r="1812" spans="1:9" hidden="1">
      <c r="A1812" s="428" t="s">
        <v>6268</v>
      </c>
      <c r="B1812" s="413" t="s">
        <v>146</v>
      </c>
      <c r="C1812" s="265">
        <v>1</v>
      </c>
      <c r="D1812" s="413" t="s">
        <v>7825</v>
      </c>
      <c r="E1812" s="413" t="s">
        <v>6380</v>
      </c>
      <c r="F1812" s="413" t="s">
        <v>7826</v>
      </c>
      <c r="G1812" s="413"/>
      <c r="H1812" s="1277"/>
      <c r="I1812" s="1280"/>
    </row>
    <row r="1813" spans="1:9" hidden="1">
      <c r="A1813" s="428" t="s">
        <v>6268</v>
      </c>
      <c r="B1813" s="413" t="s">
        <v>146</v>
      </c>
      <c r="C1813" s="265">
        <v>1</v>
      </c>
      <c r="D1813" s="413" t="s">
        <v>7827</v>
      </c>
      <c r="E1813" s="413" t="s">
        <v>6380</v>
      </c>
      <c r="F1813" s="413" t="s">
        <v>7828</v>
      </c>
      <c r="G1813" s="413"/>
      <c r="H1813" s="1277"/>
      <c r="I1813" s="1280"/>
    </row>
    <row r="1814" spans="1:9" hidden="1">
      <c r="A1814" s="428" t="s">
        <v>6268</v>
      </c>
      <c r="B1814" s="413" t="s">
        <v>146</v>
      </c>
      <c r="C1814" s="265">
        <v>1</v>
      </c>
      <c r="D1814" s="413" t="s">
        <v>7829</v>
      </c>
      <c r="E1814" s="413" t="s">
        <v>6380</v>
      </c>
      <c r="F1814" s="413" t="s">
        <v>7830</v>
      </c>
      <c r="G1814" s="413"/>
      <c r="H1814" s="1277"/>
      <c r="I1814" s="1280"/>
    </row>
    <row r="1815" spans="1:9" hidden="1">
      <c r="A1815" s="428" t="s">
        <v>6268</v>
      </c>
      <c r="B1815" s="413" t="s">
        <v>146</v>
      </c>
      <c r="C1815" s="265">
        <v>1</v>
      </c>
      <c r="D1815" s="413" t="s">
        <v>7831</v>
      </c>
      <c r="E1815" s="413" t="s">
        <v>6358</v>
      </c>
      <c r="F1815" s="413" t="s">
        <v>7832</v>
      </c>
      <c r="G1815" s="413"/>
      <c r="H1815" s="1277"/>
      <c r="I1815" s="1280"/>
    </row>
    <row r="1816" spans="1:9" hidden="1">
      <c r="A1816" s="428" t="s">
        <v>6268</v>
      </c>
      <c r="B1816" s="413" t="s">
        <v>146</v>
      </c>
      <c r="C1816" s="265">
        <v>1</v>
      </c>
      <c r="D1816" s="413" t="s">
        <v>7833</v>
      </c>
      <c r="E1816" s="413" t="s">
        <v>6358</v>
      </c>
      <c r="F1816" s="413" t="s">
        <v>7834</v>
      </c>
      <c r="G1816" s="413"/>
      <c r="H1816" s="1277"/>
      <c r="I1816" s="1280"/>
    </row>
    <row r="1817" spans="1:9" hidden="1">
      <c r="A1817" s="428" t="s">
        <v>6268</v>
      </c>
      <c r="B1817" s="413" t="s">
        <v>146</v>
      </c>
      <c r="C1817" s="265">
        <v>1</v>
      </c>
      <c r="D1817" s="413" t="s">
        <v>7835</v>
      </c>
      <c r="E1817" s="413" t="s">
        <v>6358</v>
      </c>
      <c r="F1817" s="413" t="s">
        <v>7836</v>
      </c>
      <c r="G1817" s="413"/>
      <c r="H1817" s="1277"/>
      <c r="I1817" s="1280"/>
    </row>
    <row r="1818" spans="1:9" hidden="1">
      <c r="A1818" s="428" t="s">
        <v>6268</v>
      </c>
      <c r="B1818" s="413" t="s">
        <v>146</v>
      </c>
      <c r="C1818" s="265">
        <v>1</v>
      </c>
      <c r="D1818" s="413" t="s">
        <v>7837</v>
      </c>
      <c r="E1818" s="413" t="s">
        <v>6358</v>
      </c>
      <c r="F1818" s="413" t="s">
        <v>7838</v>
      </c>
      <c r="G1818" s="413"/>
      <c r="H1818" s="1277"/>
      <c r="I1818" s="1280"/>
    </row>
    <row r="1819" spans="1:9" hidden="1">
      <c r="A1819" s="428" t="s">
        <v>6268</v>
      </c>
      <c r="B1819" s="413" t="s">
        <v>146</v>
      </c>
      <c r="C1819" s="265">
        <v>1</v>
      </c>
      <c r="D1819" s="413" t="s">
        <v>7839</v>
      </c>
      <c r="E1819" s="413" t="s">
        <v>6358</v>
      </c>
      <c r="F1819" s="413" t="s">
        <v>7840</v>
      </c>
      <c r="G1819" s="413"/>
      <c r="H1819" s="1277"/>
      <c r="I1819" s="1280"/>
    </row>
    <row r="1820" spans="1:9" hidden="1">
      <c r="A1820" s="428" t="s">
        <v>6268</v>
      </c>
      <c r="B1820" s="413" t="s">
        <v>146</v>
      </c>
      <c r="C1820" s="265">
        <v>1</v>
      </c>
      <c r="D1820" s="413" t="s">
        <v>7841</v>
      </c>
      <c r="E1820" s="413" t="s">
        <v>6358</v>
      </c>
      <c r="F1820" s="413" t="s">
        <v>7842</v>
      </c>
      <c r="G1820" s="413"/>
      <c r="H1820" s="1277"/>
      <c r="I1820" s="1280"/>
    </row>
    <row r="1821" spans="1:9" hidden="1">
      <c r="A1821" s="428" t="s">
        <v>6268</v>
      </c>
      <c r="B1821" s="413" t="s">
        <v>146</v>
      </c>
      <c r="C1821" s="265">
        <v>1</v>
      </c>
      <c r="D1821" s="413" t="s">
        <v>7843</v>
      </c>
      <c r="E1821" s="413" t="s">
        <v>6358</v>
      </c>
      <c r="F1821" s="413" t="s">
        <v>7844</v>
      </c>
      <c r="G1821" s="413"/>
      <c r="H1821" s="1277"/>
      <c r="I1821" s="1280"/>
    </row>
    <row r="1822" spans="1:9" hidden="1">
      <c r="A1822" s="428" t="s">
        <v>6268</v>
      </c>
      <c r="B1822" s="413" t="s">
        <v>146</v>
      </c>
      <c r="C1822" s="265">
        <v>1</v>
      </c>
      <c r="D1822" s="413" t="s">
        <v>7845</v>
      </c>
      <c r="E1822" s="413" t="s">
        <v>6358</v>
      </c>
      <c r="F1822" s="413" t="s">
        <v>7846</v>
      </c>
      <c r="G1822" s="413"/>
      <c r="H1822" s="1277"/>
      <c r="I1822" s="1280"/>
    </row>
    <row r="1823" spans="1:9" hidden="1">
      <c r="A1823" s="428" t="s">
        <v>6268</v>
      </c>
      <c r="B1823" s="413" t="s">
        <v>146</v>
      </c>
      <c r="C1823" s="265">
        <v>1</v>
      </c>
      <c r="D1823" s="413" t="s">
        <v>7847</v>
      </c>
      <c r="E1823" s="413" t="s">
        <v>6380</v>
      </c>
      <c r="F1823" s="413" t="s">
        <v>7848</v>
      </c>
      <c r="G1823" s="413"/>
      <c r="H1823" s="1277"/>
      <c r="I1823" s="1280"/>
    </row>
    <row r="1824" spans="1:9" hidden="1">
      <c r="A1824" s="428" t="s">
        <v>6268</v>
      </c>
      <c r="B1824" s="413" t="s">
        <v>146</v>
      </c>
      <c r="C1824" s="265">
        <v>1</v>
      </c>
      <c r="D1824" s="413" t="s">
        <v>7849</v>
      </c>
      <c r="E1824" s="413" t="s">
        <v>6380</v>
      </c>
      <c r="F1824" s="413" t="s">
        <v>7850</v>
      </c>
      <c r="G1824" s="413"/>
      <c r="H1824" s="1277"/>
      <c r="I1824" s="1280"/>
    </row>
    <row r="1825" spans="1:9" hidden="1">
      <c r="A1825" s="428" t="s">
        <v>6268</v>
      </c>
      <c r="B1825" s="413" t="s">
        <v>146</v>
      </c>
      <c r="C1825" s="265">
        <v>1</v>
      </c>
      <c r="D1825" s="413" t="s">
        <v>7851</v>
      </c>
      <c r="E1825" s="413" t="s">
        <v>6380</v>
      </c>
      <c r="F1825" s="413" t="s">
        <v>7852</v>
      </c>
      <c r="G1825" s="413"/>
      <c r="H1825" s="1277"/>
      <c r="I1825" s="1280"/>
    </row>
    <row r="1826" spans="1:9" hidden="1">
      <c r="A1826" s="428" t="s">
        <v>6268</v>
      </c>
      <c r="B1826" s="413" t="s">
        <v>146</v>
      </c>
      <c r="C1826" s="265">
        <v>1</v>
      </c>
      <c r="D1826" s="413" t="s">
        <v>7853</v>
      </c>
      <c r="E1826" s="413" t="s">
        <v>6380</v>
      </c>
      <c r="F1826" s="413" t="s">
        <v>7854</v>
      </c>
      <c r="G1826" s="413"/>
      <c r="H1826" s="1277"/>
      <c r="I1826" s="1280"/>
    </row>
    <row r="1827" spans="1:9" hidden="1">
      <c r="A1827" s="428" t="s">
        <v>6268</v>
      </c>
      <c r="B1827" s="413" t="s">
        <v>146</v>
      </c>
      <c r="C1827" s="265">
        <v>1</v>
      </c>
      <c r="D1827" s="413" t="s">
        <v>7855</v>
      </c>
      <c r="E1827" s="413" t="s">
        <v>6380</v>
      </c>
      <c r="F1827" s="413" t="s">
        <v>7856</v>
      </c>
      <c r="G1827" s="413"/>
      <c r="H1827" s="1277"/>
      <c r="I1827" s="1280"/>
    </row>
    <row r="1828" spans="1:9" hidden="1">
      <c r="A1828" s="428" t="s">
        <v>6268</v>
      </c>
      <c r="B1828" s="413" t="s">
        <v>146</v>
      </c>
      <c r="C1828" s="265">
        <v>1</v>
      </c>
      <c r="D1828" s="413" t="s">
        <v>7857</v>
      </c>
      <c r="E1828" s="413" t="s">
        <v>6380</v>
      </c>
      <c r="F1828" s="413" t="s">
        <v>7858</v>
      </c>
      <c r="G1828" s="413"/>
      <c r="H1828" s="1277"/>
      <c r="I1828" s="1280"/>
    </row>
    <row r="1829" spans="1:9" hidden="1">
      <c r="A1829" s="428" t="s">
        <v>6268</v>
      </c>
      <c r="B1829" s="413" t="s">
        <v>146</v>
      </c>
      <c r="C1829" s="265">
        <v>1</v>
      </c>
      <c r="D1829" s="413" t="s">
        <v>7859</v>
      </c>
      <c r="E1829" s="413" t="s">
        <v>6380</v>
      </c>
      <c r="F1829" s="413" t="s">
        <v>7860</v>
      </c>
      <c r="G1829" s="413"/>
      <c r="H1829" s="1277"/>
      <c r="I1829" s="1280"/>
    </row>
    <row r="1830" spans="1:9" hidden="1">
      <c r="A1830" s="428" t="s">
        <v>6268</v>
      </c>
      <c r="B1830" s="413" t="s">
        <v>146</v>
      </c>
      <c r="C1830" s="265">
        <v>1</v>
      </c>
      <c r="D1830" s="413" t="s">
        <v>7861</v>
      </c>
      <c r="E1830" s="413" t="s">
        <v>6380</v>
      </c>
      <c r="F1830" s="413" t="s">
        <v>7862</v>
      </c>
      <c r="G1830" s="413"/>
      <c r="H1830" s="1277"/>
      <c r="I1830" s="1280"/>
    </row>
    <row r="1831" spans="1:9" hidden="1">
      <c r="A1831" s="428" t="s">
        <v>6268</v>
      </c>
      <c r="B1831" s="413" t="s">
        <v>146</v>
      </c>
      <c r="C1831" s="265">
        <v>1</v>
      </c>
      <c r="D1831" s="413" t="s">
        <v>7863</v>
      </c>
      <c r="E1831" s="413" t="s">
        <v>6358</v>
      </c>
      <c r="F1831" s="413" t="s">
        <v>7864</v>
      </c>
      <c r="G1831" s="413"/>
      <c r="H1831" s="1277"/>
      <c r="I1831" s="1280"/>
    </row>
    <row r="1832" spans="1:9" hidden="1">
      <c r="A1832" s="428" t="s">
        <v>6268</v>
      </c>
      <c r="B1832" s="413" t="s">
        <v>146</v>
      </c>
      <c r="C1832" s="265">
        <v>1</v>
      </c>
      <c r="D1832" s="413" t="s">
        <v>7865</v>
      </c>
      <c r="E1832" s="413" t="s">
        <v>6380</v>
      </c>
      <c r="F1832" s="413" t="s">
        <v>7866</v>
      </c>
      <c r="G1832" s="413"/>
      <c r="H1832" s="1277"/>
      <c r="I1832" s="1280"/>
    </row>
    <row r="1833" spans="1:9" hidden="1">
      <c r="A1833" s="428" t="s">
        <v>6268</v>
      </c>
      <c r="B1833" s="413" t="s">
        <v>146</v>
      </c>
      <c r="C1833" s="265">
        <v>1</v>
      </c>
      <c r="D1833" s="413" t="s">
        <v>7867</v>
      </c>
      <c r="E1833" s="413" t="s">
        <v>6358</v>
      </c>
      <c r="F1833" s="413" t="s">
        <v>7868</v>
      </c>
      <c r="G1833" s="413"/>
      <c r="H1833" s="1277"/>
      <c r="I1833" s="1280"/>
    </row>
    <row r="1834" spans="1:9" hidden="1">
      <c r="A1834" s="428" t="s">
        <v>6268</v>
      </c>
      <c r="B1834" s="413" t="s">
        <v>146</v>
      </c>
      <c r="C1834" s="265">
        <v>1</v>
      </c>
      <c r="D1834" s="413" t="s">
        <v>7869</v>
      </c>
      <c r="E1834" s="413" t="s">
        <v>6380</v>
      </c>
      <c r="F1834" s="413" t="s">
        <v>7806</v>
      </c>
      <c r="G1834" s="413"/>
      <c r="H1834" s="1277"/>
      <c r="I1834" s="1280"/>
    </row>
    <row r="1835" spans="1:9" hidden="1">
      <c r="A1835" s="428" t="s">
        <v>6268</v>
      </c>
      <c r="B1835" s="413" t="s">
        <v>146</v>
      </c>
      <c r="C1835" s="265">
        <v>1</v>
      </c>
      <c r="D1835" s="413" t="s">
        <v>7870</v>
      </c>
      <c r="E1835" s="413" t="s">
        <v>6380</v>
      </c>
      <c r="F1835" s="413" t="s">
        <v>7871</v>
      </c>
      <c r="G1835" s="413"/>
      <c r="H1835" s="1277"/>
      <c r="I1835" s="1280"/>
    </row>
    <row r="1836" spans="1:9" hidden="1">
      <c r="A1836" s="428" t="s">
        <v>6268</v>
      </c>
      <c r="B1836" s="413" t="s">
        <v>146</v>
      </c>
      <c r="C1836" s="265">
        <v>1</v>
      </c>
      <c r="D1836" s="413" t="s">
        <v>7872</v>
      </c>
      <c r="E1836" s="413" t="s">
        <v>6380</v>
      </c>
      <c r="F1836" s="413" t="s">
        <v>7873</v>
      </c>
      <c r="G1836" s="413"/>
      <c r="H1836" s="1277"/>
      <c r="I1836" s="1280"/>
    </row>
    <row r="1837" spans="1:9" hidden="1">
      <c r="A1837" s="428" t="s">
        <v>6268</v>
      </c>
      <c r="B1837" s="413" t="s">
        <v>146</v>
      </c>
      <c r="C1837" s="265">
        <v>1</v>
      </c>
      <c r="D1837" s="413" t="s">
        <v>7874</v>
      </c>
      <c r="E1837" s="413" t="s">
        <v>6380</v>
      </c>
      <c r="F1837" s="413" t="s">
        <v>7875</v>
      </c>
      <c r="G1837" s="413"/>
      <c r="H1837" s="1277"/>
      <c r="I1837" s="1280"/>
    </row>
    <row r="1838" spans="1:9" hidden="1">
      <c r="A1838" s="428" t="s">
        <v>6268</v>
      </c>
      <c r="B1838" s="413" t="s">
        <v>146</v>
      </c>
      <c r="C1838" s="265">
        <v>1</v>
      </c>
      <c r="D1838" s="413" t="s">
        <v>7876</v>
      </c>
      <c r="E1838" s="413" t="s">
        <v>6380</v>
      </c>
      <c r="F1838" s="413" t="s">
        <v>7877</v>
      </c>
      <c r="G1838" s="413"/>
      <c r="H1838" s="1277"/>
      <c r="I1838" s="1280"/>
    </row>
    <row r="1839" spans="1:9" hidden="1">
      <c r="A1839" s="428" t="s">
        <v>6268</v>
      </c>
      <c r="B1839" s="413" t="s">
        <v>146</v>
      </c>
      <c r="C1839" s="265">
        <v>1</v>
      </c>
      <c r="D1839" s="413" t="s">
        <v>7878</v>
      </c>
      <c r="E1839" s="413" t="s">
        <v>6380</v>
      </c>
      <c r="F1839" s="413" t="s">
        <v>7879</v>
      </c>
      <c r="G1839" s="413"/>
      <c r="H1839" s="1277"/>
      <c r="I1839" s="1280"/>
    </row>
    <row r="1840" spans="1:9" hidden="1">
      <c r="A1840" s="428" t="s">
        <v>6268</v>
      </c>
      <c r="B1840" s="413" t="s">
        <v>146</v>
      </c>
      <c r="C1840" s="265">
        <v>1</v>
      </c>
      <c r="D1840" s="413" t="s">
        <v>7880</v>
      </c>
      <c r="E1840" s="413" t="s">
        <v>6380</v>
      </c>
      <c r="F1840" s="413" t="s">
        <v>7790</v>
      </c>
      <c r="G1840" s="413"/>
      <c r="H1840" s="1277"/>
      <c r="I1840" s="1280"/>
    </row>
    <row r="1841" spans="1:9" hidden="1">
      <c r="A1841" s="428" t="s">
        <v>6268</v>
      </c>
      <c r="B1841" s="413" t="s">
        <v>146</v>
      </c>
      <c r="C1841" s="265">
        <v>1</v>
      </c>
      <c r="D1841" s="413" t="s">
        <v>7881</v>
      </c>
      <c r="E1841" s="413" t="s">
        <v>6380</v>
      </c>
      <c r="F1841" s="413" t="s">
        <v>7882</v>
      </c>
      <c r="G1841" s="413"/>
      <c r="H1841" s="1277"/>
      <c r="I1841" s="1280"/>
    </row>
    <row r="1842" spans="1:9" hidden="1">
      <c r="A1842" s="428" t="s">
        <v>6268</v>
      </c>
      <c r="B1842" s="413" t="s">
        <v>146</v>
      </c>
      <c r="C1842" s="265">
        <v>1</v>
      </c>
      <c r="D1842" s="413" t="s">
        <v>7883</v>
      </c>
      <c r="E1842" s="413" t="s">
        <v>6380</v>
      </c>
      <c r="F1842" s="413" t="s">
        <v>7884</v>
      </c>
      <c r="G1842" s="413"/>
      <c r="H1842" s="1277"/>
      <c r="I1842" s="1280"/>
    </row>
    <row r="1843" spans="1:9" hidden="1">
      <c r="A1843" s="428" t="s">
        <v>6268</v>
      </c>
      <c r="B1843" s="413" t="s">
        <v>146</v>
      </c>
      <c r="C1843" s="265">
        <v>1</v>
      </c>
      <c r="D1843" s="413" t="s">
        <v>7885</v>
      </c>
      <c r="E1843" s="413" t="s">
        <v>6380</v>
      </c>
      <c r="F1843" s="413" t="s">
        <v>7885</v>
      </c>
      <c r="G1843" s="413"/>
      <c r="H1843" s="1277"/>
      <c r="I1843" s="1280"/>
    </row>
    <row r="1844" spans="1:9" hidden="1">
      <c r="A1844" s="428" t="s">
        <v>6268</v>
      </c>
      <c r="B1844" s="413" t="s">
        <v>146</v>
      </c>
      <c r="C1844" s="265">
        <v>1</v>
      </c>
      <c r="D1844" s="413" t="s">
        <v>7886</v>
      </c>
      <c r="E1844" s="413" t="s">
        <v>6380</v>
      </c>
      <c r="F1844" s="413" t="s">
        <v>7887</v>
      </c>
      <c r="G1844" s="413"/>
      <c r="H1844" s="1277"/>
      <c r="I1844" s="1280"/>
    </row>
    <row r="1845" spans="1:9" hidden="1">
      <c r="A1845" s="428" t="s">
        <v>6268</v>
      </c>
      <c r="B1845" s="413" t="s">
        <v>146</v>
      </c>
      <c r="C1845" s="265">
        <v>1</v>
      </c>
      <c r="D1845" s="413" t="s">
        <v>7888</v>
      </c>
      <c r="E1845" s="413" t="s">
        <v>6380</v>
      </c>
      <c r="F1845" s="413" t="s">
        <v>7889</v>
      </c>
      <c r="G1845" s="413"/>
      <c r="H1845" s="1277"/>
      <c r="I1845" s="1280"/>
    </row>
    <row r="1846" spans="1:9" hidden="1">
      <c r="A1846" s="428" t="s">
        <v>6268</v>
      </c>
      <c r="B1846" s="413" t="s">
        <v>146</v>
      </c>
      <c r="C1846" s="265">
        <v>1</v>
      </c>
      <c r="D1846" s="413" t="s">
        <v>7890</v>
      </c>
      <c r="E1846" s="413" t="s">
        <v>6380</v>
      </c>
      <c r="F1846" s="413" t="s">
        <v>7891</v>
      </c>
      <c r="G1846" s="413"/>
      <c r="H1846" s="1277"/>
      <c r="I1846" s="1280"/>
    </row>
    <row r="1847" spans="1:9" hidden="1">
      <c r="A1847" s="428" t="s">
        <v>6268</v>
      </c>
      <c r="B1847" s="413" t="s">
        <v>146</v>
      </c>
      <c r="C1847" s="265">
        <v>1</v>
      </c>
      <c r="D1847" s="413" t="s">
        <v>7892</v>
      </c>
      <c r="E1847" s="413" t="s">
        <v>6380</v>
      </c>
      <c r="F1847" s="413" t="s">
        <v>7893</v>
      </c>
      <c r="G1847" s="413"/>
      <c r="H1847" s="1277"/>
      <c r="I1847" s="1280"/>
    </row>
    <row r="1848" spans="1:9" hidden="1">
      <c r="A1848" s="428" t="s">
        <v>6268</v>
      </c>
      <c r="B1848" s="413" t="s">
        <v>146</v>
      </c>
      <c r="C1848" s="265">
        <v>1</v>
      </c>
      <c r="D1848" s="413" t="s">
        <v>7894</v>
      </c>
      <c r="E1848" s="413" t="s">
        <v>6380</v>
      </c>
      <c r="F1848" s="413" t="s">
        <v>7895</v>
      </c>
      <c r="G1848" s="413"/>
      <c r="H1848" s="1277"/>
      <c r="I1848" s="1280"/>
    </row>
    <row r="1849" spans="1:9" hidden="1">
      <c r="A1849" s="428" t="s">
        <v>6268</v>
      </c>
      <c r="B1849" s="413" t="s">
        <v>146</v>
      </c>
      <c r="C1849" s="265">
        <v>1</v>
      </c>
      <c r="D1849" s="413" t="s">
        <v>7896</v>
      </c>
      <c r="E1849" s="413" t="s">
        <v>6380</v>
      </c>
      <c r="F1849" s="413" t="s">
        <v>7897</v>
      </c>
      <c r="G1849" s="413"/>
      <c r="H1849" s="1277"/>
      <c r="I1849" s="1280"/>
    </row>
    <row r="1850" spans="1:9" hidden="1">
      <c r="A1850" s="428" t="s">
        <v>6268</v>
      </c>
      <c r="B1850" s="413" t="s">
        <v>146</v>
      </c>
      <c r="C1850" s="265">
        <v>1</v>
      </c>
      <c r="D1850" s="413" t="s">
        <v>7898</v>
      </c>
      <c r="E1850" s="413" t="s">
        <v>6380</v>
      </c>
      <c r="F1850" s="413" t="s">
        <v>7897</v>
      </c>
      <c r="G1850" s="413"/>
      <c r="H1850" s="1277"/>
      <c r="I1850" s="1280"/>
    </row>
    <row r="1851" spans="1:9" hidden="1">
      <c r="A1851" s="428" t="s">
        <v>6268</v>
      </c>
      <c r="B1851" s="413" t="s">
        <v>146</v>
      </c>
      <c r="C1851" s="265">
        <v>1</v>
      </c>
      <c r="D1851" s="413" t="s">
        <v>7899</v>
      </c>
      <c r="E1851" s="413" t="s">
        <v>6380</v>
      </c>
      <c r="F1851" s="413" t="s">
        <v>7900</v>
      </c>
      <c r="G1851" s="413"/>
      <c r="H1851" s="1277"/>
      <c r="I1851" s="1280"/>
    </row>
    <row r="1852" spans="1:9" hidden="1">
      <c r="A1852" s="428" t="s">
        <v>6268</v>
      </c>
      <c r="B1852" s="413" t="s">
        <v>146</v>
      </c>
      <c r="C1852" s="265">
        <v>1</v>
      </c>
      <c r="D1852" s="413" t="s">
        <v>7901</v>
      </c>
      <c r="E1852" s="413" t="s">
        <v>6380</v>
      </c>
      <c r="F1852" s="413" t="s">
        <v>7902</v>
      </c>
      <c r="G1852" s="413"/>
      <c r="H1852" s="1277"/>
      <c r="I1852" s="1280"/>
    </row>
    <row r="1853" spans="1:9" hidden="1">
      <c r="A1853" s="428" t="s">
        <v>6268</v>
      </c>
      <c r="B1853" s="413" t="s">
        <v>146</v>
      </c>
      <c r="C1853" s="265">
        <v>1</v>
      </c>
      <c r="D1853" s="413" t="s">
        <v>7903</v>
      </c>
      <c r="E1853" s="413" t="s">
        <v>6380</v>
      </c>
      <c r="F1853" s="413" t="s">
        <v>7904</v>
      </c>
      <c r="G1853" s="413"/>
      <c r="H1853" s="1277"/>
      <c r="I1853" s="1280"/>
    </row>
    <row r="1854" spans="1:9" hidden="1">
      <c r="A1854" s="428" t="s">
        <v>6268</v>
      </c>
      <c r="B1854" s="413" t="s">
        <v>146</v>
      </c>
      <c r="C1854" s="265">
        <v>1</v>
      </c>
      <c r="D1854" s="413" t="s">
        <v>7905</v>
      </c>
      <c r="E1854" s="413" t="s">
        <v>6380</v>
      </c>
      <c r="F1854" s="413" t="s">
        <v>7906</v>
      </c>
      <c r="G1854" s="413"/>
      <c r="H1854" s="1277"/>
      <c r="I1854" s="1280"/>
    </row>
    <row r="1855" spans="1:9" hidden="1">
      <c r="A1855" s="428" t="s">
        <v>6268</v>
      </c>
      <c r="B1855" s="413" t="s">
        <v>146</v>
      </c>
      <c r="C1855" s="265">
        <v>1</v>
      </c>
      <c r="D1855" s="413" t="s">
        <v>7907</v>
      </c>
      <c r="E1855" s="413" t="s">
        <v>6380</v>
      </c>
      <c r="F1855" s="413" t="s">
        <v>7908</v>
      </c>
      <c r="G1855" s="413"/>
      <c r="H1855" s="1277"/>
      <c r="I1855" s="1280"/>
    </row>
    <row r="1856" spans="1:9" hidden="1">
      <c r="A1856" s="428" t="s">
        <v>6268</v>
      </c>
      <c r="B1856" s="413" t="s">
        <v>146</v>
      </c>
      <c r="C1856" s="265">
        <v>1</v>
      </c>
      <c r="D1856" s="413" t="s">
        <v>7909</v>
      </c>
      <c r="E1856" s="413" t="s">
        <v>6380</v>
      </c>
      <c r="F1856" s="413" t="s">
        <v>7910</v>
      </c>
      <c r="G1856" s="413"/>
      <c r="H1856" s="1277"/>
      <c r="I1856" s="1280"/>
    </row>
    <row r="1857" spans="1:9" hidden="1">
      <c r="A1857" s="428" t="s">
        <v>6268</v>
      </c>
      <c r="B1857" s="413" t="s">
        <v>146</v>
      </c>
      <c r="C1857" s="265">
        <v>1</v>
      </c>
      <c r="D1857" s="413" t="s">
        <v>7911</v>
      </c>
      <c r="E1857" s="413" t="s">
        <v>6380</v>
      </c>
      <c r="F1857" s="413" t="s">
        <v>7912</v>
      </c>
      <c r="G1857" s="413"/>
      <c r="H1857" s="1277"/>
      <c r="I1857" s="1280"/>
    </row>
    <row r="1858" spans="1:9" hidden="1">
      <c r="A1858" s="428" t="s">
        <v>6268</v>
      </c>
      <c r="B1858" s="413" t="s">
        <v>146</v>
      </c>
      <c r="C1858" s="265">
        <v>1</v>
      </c>
      <c r="D1858" s="413" t="s">
        <v>7913</v>
      </c>
      <c r="E1858" s="413" t="s">
        <v>6380</v>
      </c>
      <c r="F1858" s="413" t="s">
        <v>7800</v>
      </c>
      <c r="G1858" s="413"/>
      <c r="H1858" s="1277"/>
      <c r="I1858" s="1280"/>
    </row>
    <row r="1859" spans="1:9" hidden="1">
      <c r="A1859" s="428" t="s">
        <v>6268</v>
      </c>
      <c r="B1859" s="413" t="s">
        <v>146</v>
      </c>
      <c r="C1859" s="265">
        <v>1</v>
      </c>
      <c r="D1859" s="413" t="s">
        <v>7914</v>
      </c>
      <c r="E1859" s="413" t="s">
        <v>6380</v>
      </c>
      <c r="F1859" s="413" t="s">
        <v>7915</v>
      </c>
      <c r="G1859" s="413"/>
      <c r="H1859" s="1277"/>
      <c r="I1859" s="1280"/>
    </row>
    <row r="1860" spans="1:9" hidden="1">
      <c r="A1860" s="428" t="s">
        <v>6268</v>
      </c>
      <c r="B1860" s="413" t="s">
        <v>146</v>
      </c>
      <c r="C1860" s="265">
        <v>1</v>
      </c>
      <c r="D1860" s="413" t="s">
        <v>7916</v>
      </c>
      <c r="E1860" s="413" t="s">
        <v>6380</v>
      </c>
      <c r="F1860" s="413" t="s">
        <v>7917</v>
      </c>
      <c r="G1860" s="413"/>
      <c r="H1860" s="1277"/>
      <c r="I1860" s="1280"/>
    </row>
    <row r="1861" spans="1:9" hidden="1">
      <c r="A1861" s="428" t="s">
        <v>6268</v>
      </c>
      <c r="B1861" s="413" t="s">
        <v>146</v>
      </c>
      <c r="C1861" s="265">
        <v>1</v>
      </c>
      <c r="D1861" s="413" t="s">
        <v>7918</v>
      </c>
      <c r="E1861" s="413" t="s">
        <v>6358</v>
      </c>
      <c r="F1861" s="413" t="s">
        <v>7919</v>
      </c>
      <c r="G1861" s="413"/>
      <c r="H1861" s="1277"/>
      <c r="I1861" s="1280"/>
    </row>
    <row r="1862" spans="1:9" hidden="1">
      <c r="A1862" s="428" t="s">
        <v>6268</v>
      </c>
      <c r="B1862" s="413" t="s">
        <v>146</v>
      </c>
      <c r="C1862" s="265">
        <v>1</v>
      </c>
      <c r="D1862" s="413" t="s">
        <v>7920</v>
      </c>
      <c r="E1862" s="413" t="s">
        <v>6380</v>
      </c>
      <c r="F1862" s="413" t="s">
        <v>7921</v>
      </c>
      <c r="G1862" s="413"/>
      <c r="H1862" s="1277"/>
      <c r="I1862" s="1280"/>
    </row>
    <row r="1863" spans="1:9" hidden="1">
      <c r="A1863" s="428" t="s">
        <v>6268</v>
      </c>
      <c r="B1863" s="413" t="s">
        <v>146</v>
      </c>
      <c r="C1863" s="265">
        <v>1</v>
      </c>
      <c r="D1863" s="413" t="s">
        <v>7922</v>
      </c>
      <c r="E1863" s="413" t="s">
        <v>6380</v>
      </c>
      <c r="F1863" s="413" t="s">
        <v>7923</v>
      </c>
      <c r="G1863" s="413"/>
      <c r="H1863" s="1277"/>
      <c r="I1863" s="1280"/>
    </row>
    <row r="1864" spans="1:9" hidden="1">
      <c r="A1864" s="428" t="s">
        <v>6268</v>
      </c>
      <c r="B1864" s="413" t="s">
        <v>146</v>
      </c>
      <c r="C1864" s="265">
        <v>1</v>
      </c>
      <c r="D1864" s="413" t="s">
        <v>7924</v>
      </c>
      <c r="E1864" s="413" t="s">
        <v>6380</v>
      </c>
      <c r="F1864" s="413" t="s">
        <v>7921</v>
      </c>
      <c r="G1864" s="413"/>
      <c r="H1864" s="1277"/>
      <c r="I1864" s="1280"/>
    </row>
    <row r="1865" spans="1:9" hidden="1">
      <c r="A1865" s="428" t="s">
        <v>6268</v>
      </c>
      <c r="B1865" s="413" t="s">
        <v>146</v>
      </c>
      <c r="C1865" s="265">
        <v>1</v>
      </c>
      <c r="D1865" s="413" t="s">
        <v>7925</v>
      </c>
      <c r="E1865" s="413" t="s">
        <v>6380</v>
      </c>
      <c r="F1865" s="413" t="s">
        <v>7926</v>
      </c>
      <c r="G1865" s="413"/>
      <c r="H1865" s="1277"/>
      <c r="I1865" s="1280"/>
    </row>
    <row r="1866" spans="1:9" hidden="1">
      <c r="A1866" s="428" t="s">
        <v>6268</v>
      </c>
      <c r="B1866" s="413" t="s">
        <v>146</v>
      </c>
      <c r="C1866" s="265">
        <v>1</v>
      </c>
      <c r="D1866" s="413" t="s">
        <v>7927</v>
      </c>
      <c r="E1866" s="413" t="s">
        <v>6380</v>
      </c>
      <c r="F1866" s="413" t="s">
        <v>7928</v>
      </c>
      <c r="G1866" s="413"/>
      <c r="H1866" s="1277"/>
      <c r="I1866" s="1280"/>
    </row>
    <row r="1867" spans="1:9" hidden="1">
      <c r="A1867" s="428" t="s">
        <v>6268</v>
      </c>
      <c r="B1867" s="413" t="s">
        <v>146</v>
      </c>
      <c r="C1867" s="265">
        <v>1</v>
      </c>
      <c r="D1867" s="413" t="s">
        <v>7929</v>
      </c>
      <c r="E1867" s="413" t="s">
        <v>6358</v>
      </c>
      <c r="F1867" s="413" t="s">
        <v>7930</v>
      </c>
      <c r="G1867" s="413"/>
      <c r="H1867" s="1277"/>
      <c r="I1867" s="1280"/>
    </row>
    <row r="1868" spans="1:9" hidden="1">
      <c r="A1868" s="428" t="s">
        <v>6268</v>
      </c>
      <c r="B1868" s="413" t="s">
        <v>146</v>
      </c>
      <c r="C1868" s="265">
        <v>1</v>
      </c>
      <c r="D1868" s="413" t="s">
        <v>7931</v>
      </c>
      <c r="E1868" s="413" t="s">
        <v>6380</v>
      </c>
      <c r="F1868" s="413" t="s">
        <v>7932</v>
      </c>
      <c r="G1868" s="413"/>
      <c r="H1868" s="1277"/>
      <c r="I1868" s="1280"/>
    </row>
    <row r="1869" spans="1:9" hidden="1">
      <c r="A1869" s="428" t="s">
        <v>6268</v>
      </c>
      <c r="B1869" s="413" t="s">
        <v>146</v>
      </c>
      <c r="C1869" s="265">
        <v>1</v>
      </c>
      <c r="D1869" s="413" t="s">
        <v>7933</v>
      </c>
      <c r="E1869" s="413" t="s">
        <v>6380</v>
      </c>
      <c r="F1869" s="413" t="s">
        <v>7932</v>
      </c>
      <c r="G1869" s="413"/>
      <c r="H1869" s="1277"/>
      <c r="I1869" s="1280"/>
    </row>
    <row r="1870" spans="1:9" hidden="1">
      <c r="A1870" s="428" t="s">
        <v>6268</v>
      </c>
      <c r="B1870" s="413" t="s">
        <v>146</v>
      </c>
      <c r="C1870" s="265">
        <v>1</v>
      </c>
      <c r="D1870" s="413" t="s">
        <v>7934</v>
      </c>
      <c r="E1870" s="413" t="s">
        <v>6380</v>
      </c>
      <c r="F1870" s="413" t="s">
        <v>7932</v>
      </c>
      <c r="G1870" s="413"/>
      <c r="H1870" s="1277"/>
      <c r="I1870" s="1280"/>
    </row>
    <row r="1871" spans="1:9" hidden="1">
      <c r="A1871" s="428" t="s">
        <v>6268</v>
      </c>
      <c r="B1871" s="413" t="s">
        <v>146</v>
      </c>
      <c r="C1871" s="265">
        <v>1</v>
      </c>
      <c r="D1871" s="413" t="s">
        <v>7935</v>
      </c>
      <c r="E1871" s="413" t="s">
        <v>6380</v>
      </c>
      <c r="F1871" s="413" t="s">
        <v>7932</v>
      </c>
      <c r="G1871" s="413"/>
      <c r="H1871" s="1277"/>
      <c r="I1871" s="1280"/>
    </row>
    <row r="1872" spans="1:9" hidden="1">
      <c r="A1872" s="428" t="s">
        <v>6268</v>
      </c>
      <c r="B1872" s="413" t="s">
        <v>146</v>
      </c>
      <c r="C1872" s="265">
        <v>1</v>
      </c>
      <c r="D1872" s="413" t="s">
        <v>7936</v>
      </c>
      <c r="E1872" s="413" t="s">
        <v>6380</v>
      </c>
      <c r="F1872" s="413" t="s">
        <v>7932</v>
      </c>
      <c r="G1872" s="413"/>
      <c r="H1872" s="1277"/>
      <c r="I1872" s="1280"/>
    </row>
    <row r="1873" spans="1:9" hidden="1">
      <c r="A1873" s="428" t="s">
        <v>6268</v>
      </c>
      <c r="B1873" s="413" t="s">
        <v>146</v>
      </c>
      <c r="C1873" s="265">
        <v>1</v>
      </c>
      <c r="D1873" s="413" t="s">
        <v>7937</v>
      </c>
      <c r="E1873" s="413" t="s">
        <v>6380</v>
      </c>
      <c r="F1873" s="413" t="s">
        <v>7932</v>
      </c>
      <c r="G1873" s="413"/>
      <c r="H1873" s="1277"/>
      <c r="I1873" s="1280"/>
    </row>
    <row r="1874" spans="1:9" hidden="1">
      <c r="A1874" s="428" t="s">
        <v>6268</v>
      </c>
      <c r="B1874" s="413" t="s">
        <v>146</v>
      </c>
      <c r="C1874" s="265">
        <v>1</v>
      </c>
      <c r="D1874" s="413" t="s">
        <v>7938</v>
      </c>
      <c r="E1874" s="413" t="s">
        <v>6380</v>
      </c>
      <c r="F1874" s="413" t="s">
        <v>7932</v>
      </c>
      <c r="G1874" s="413"/>
      <c r="H1874" s="1277"/>
      <c r="I1874" s="1280"/>
    </row>
    <row r="1875" spans="1:9" hidden="1">
      <c r="A1875" s="428" t="s">
        <v>6268</v>
      </c>
      <c r="B1875" s="413" t="s">
        <v>146</v>
      </c>
      <c r="C1875" s="265">
        <v>1</v>
      </c>
      <c r="D1875" s="413" t="s">
        <v>7939</v>
      </c>
      <c r="E1875" s="413" t="s">
        <v>6380</v>
      </c>
      <c r="F1875" s="413" t="s">
        <v>7932</v>
      </c>
      <c r="G1875" s="413"/>
      <c r="H1875" s="1277"/>
      <c r="I1875" s="1280"/>
    </row>
    <row r="1876" spans="1:9" hidden="1">
      <c r="A1876" s="428" t="s">
        <v>6268</v>
      </c>
      <c r="B1876" s="413" t="s">
        <v>146</v>
      </c>
      <c r="C1876" s="265">
        <v>1</v>
      </c>
      <c r="D1876" s="413" t="s">
        <v>7940</v>
      </c>
      <c r="E1876" s="413" t="s">
        <v>6380</v>
      </c>
      <c r="F1876" s="413" t="s">
        <v>7932</v>
      </c>
      <c r="G1876" s="413"/>
      <c r="H1876" s="1277"/>
      <c r="I1876" s="1280"/>
    </row>
    <row r="1877" spans="1:9" hidden="1">
      <c r="A1877" s="428" t="s">
        <v>6268</v>
      </c>
      <c r="B1877" s="413" t="s">
        <v>146</v>
      </c>
      <c r="C1877" s="265">
        <v>1</v>
      </c>
      <c r="D1877" s="413" t="s">
        <v>7941</v>
      </c>
      <c r="E1877" s="413" t="s">
        <v>6380</v>
      </c>
      <c r="F1877" s="413" t="s">
        <v>7932</v>
      </c>
      <c r="G1877" s="413"/>
      <c r="H1877" s="1277"/>
      <c r="I1877" s="1280"/>
    </row>
    <row r="1878" spans="1:9" hidden="1">
      <c r="A1878" s="428" t="s">
        <v>6268</v>
      </c>
      <c r="B1878" s="413" t="s">
        <v>146</v>
      </c>
      <c r="C1878" s="265">
        <v>1</v>
      </c>
      <c r="D1878" s="413" t="s">
        <v>7942</v>
      </c>
      <c r="E1878" s="413" t="s">
        <v>6380</v>
      </c>
      <c r="F1878" s="413" t="s">
        <v>7932</v>
      </c>
      <c r="G1878" s="413"/>
      <c r="H1878" s="1277"/>
      <c r="I1878" s="1280"/>
    </row>
    <row r="1879" spans="1:9" hidden="1">
      <c r="A1879" s="428" t="s">
        <v>6268</v>
      </c>
      <c r="B1879" s="413" t="s">
        <v>146</v>
      </c>
      <c r="C1879" s="265">
        <v>1</v>
      </c>
      <c r="D1879" s="413" t="s">
        <v>7943</v>
      </c>
      <c r="E1879" s="413" t="s">
        <v>6380</v>
      </c>
      <c r="F1879" s="413" t="s">
        <v>7932</v>
      </c>
      <c r="G1879" s="413"/>
      <c r="H1879" s="1277"/>
      <c r="I1879" s="1280"/>
    </row>
    <row r="1880" spans="1:9" hidden="1">
      <c r="A1880" s="428" t="s">
        <v>6268</v>
      </c>
      <c r="B1880" s="413" t="s">
        <v>146</v>
      </c>
      <c r="C1880" s="265">
        <v>1</v>
      </c>
      <c r="D1880" s="413" t="s">
        <v>7944</v>
      </c>
      <c r="E1880" s="413" t="s">
        <v>6380</v>
      </c>
      <c r="F1880" s="413" t="s">
        <v>7932</v>
      </c>
      <c r="G1880" s="413"/>
      <c r="H1880" s="1277"/>
      <c r="I1880" s="1280"/>
    </row>
    <row r="1881" spans="1:9" hidden="1">
      <c r="A1881" s="428" t="s">
        <v>6268</v>
      </c>
      <c r="B1881" s="413" t="s">
        <v>146</v>
      </c>
      <c r="C1881" s="265">
        <v>1</v>
      </c>
      <c r="D1881" s="413" t="s">
        <v>7945</v>
      </c>
      <c r="E1881" s="413" t="s">
        <v>6380</v>
      </c>
      <c r="F1881" s="413" t="s">
        <v>7932</v>
      </c>
      <c r="G1881" s="413"/>
      <c r="H1881" s="1277"/>
      <c r="I1881" s="1280"/>
    </row>
    <row r="1882" spans="1:9" hidden="1">
      <c r="A1882" s="428" t="s">
        <v>6268</v>
      </c>
      <c r="B1882" s="413" t="s">
        <v>146</v>
      </c>
      <c r="C1882" s="265">
        <v>1</v>
      </c>
      <c r="D1882" s="413" t="s">
        <v>7946</v>
      </c>
      <c r="E1882" s="413" t="s">
        <v>6380</v>
      </c>
      <c r="F1882" s="413" t="s">
        <v>7932</v>
      </c>
      <c r="G1882" s="413"/>
      <c r="H1882" s="1277"/>
      <c r="I1882" s="1280"/>
    </row>
    <row r="1883" spans="1:9" hidden="1">
      <c r="A1883" s="428" t="s">
        <v>6268</v>
      </c>
      <c r="B1883" s="413" t="s">
        <v>146</v>
      </c>
      <c r="C1883" s="265">
        <v>1</v>
      </c>
      <c r="D1883" s="413" t="s">
        <v>7947</v>
      </c>
      <c r="E1883" s="413" t="s">
        <v>6380</v>
      </c>
      <c r="F1883" s="413" t="s">
        <v>7932</v>
      </c>
      <c r="G1883" s="413"/>
      <c r="H1883" s="1277"/>
      <c r="I1883" s="1280"/>
    </row>
    <row r="1884" spans="1:9" hidden="1">
      <c r="A1884" s="428" t="s">
        <v>6268</v>
      </c>
      <c r="B1884" s="413" t="s">
        <v>146</v>
      </c>
      <c r="C1884" s="265">
        <v>1</v>
      </c>
      <c r="D1884" s="413" t="s">
        <v>7948</v>
      </c>
      <c r="E1884" s="413" t="s">
        <v>6380</v>
      </c>
      <c r="F1884" s="413" t="s">
        <v>7932</v>
      </c>
      <c r="G1884" s="413"/>
      <c r="H1884" s="1277"/>
      <c r="I1884" s="1280"/>
    </row>
    <row r="1885" spans="1:9" hidden="1">
      <c r="A1885" s="428" t="s">
        <v>6268</v>
      </c>
      <c r="B1885" s="413" t="s">
        <v>146</v>
      </c>
      <c r="C1885" s="265">
        <v>1</v>
      </c>
      <c r="D1885" s="413" t="s">
        <v>7949</v>
      </c>
      <c r="E1885" s="413" t="s">
        <v>6380</v>
      </c>
      <c r="F1885" s="413" t="s">
        <v>7932</v>
      </c>
      <c r="G1885" s="413"/>
      <c r="H1885" s="1277"/>
      <c r="I1885" s="1280"/>
    </row>
    <row r="1886" spans="1:9" hidden="1">
      <c r="A1886" s="428" t="s">
        <v>6268</v>
      </c>
      <c r="B1886" s="413" t="s">
        <v>146</v>
      </c>
      <c r="C1886" s="265">
        <v>1</v>
      </c>
      <c r="D1886" s="413" t="s">
        <v>7950</v>
      </c>
      <c r="E1886" s="413" t="s">
        <v>6380</v>
      </c>
      <c r="F1886" s="413" t="s">
        <v>7932</v>
      </c>
      <c r="G1886" s="413"/>
      <c r="H1886" s="1277"/>
      <c r="I1886" s="1280"/>
    </row>
    <row r="1887" spans="1:9" hidden="1">
      <c r="A1887" s="428" t="s">
        <v>6268</v>
      </c>
      <c r="B1887" s="413" t="s">
        <v>146</v>
      </c>
      <c r="C1887" s="265">
        <v>1</v>
      </c>
      <c r="D1887" s="413" t="s">
        <v>7951</v>
      </c>
      <c r="E1887" s="413" t="s">
        <v>6380</v>
      </c>
      <c r="F1887" s="413" t="s">
        <v>7932</v>
      </c>
      <c r="G1887" s="413"/>
      <c r="H1887" s="1277"/>
      <c r="I1887" s="1280"/>
    </row>
    <row r="1888" spans="1:9" hidden="1">
      <c r="A1888" s="428" t="s">
        <v>6268</v>
      </c>
      <c r="B1888" s="413" t="s">
        <v>146</v>
      </c>
      <c r="C1888" s="265">
        <v>1</v>
      </c>
      <c r="D1888" s="413" t="s">
        <v>7952</v>
      </c>
      <c r="E1888" s="413" t="s">
        <v>6380</v>
      </c>
      <c r="F1888" s="413" t="s">
        <v>7932</v>
      </c>
      <c r="G1888" s="413"/>
      <c r="H1888" s="1277"/>
      <c r="I1888" s="1280"/>
    </row>
    <row r="1889" spans="1:9" hidden="1">
      <c r="A1889" s="428" t="s">
        <v>6268</v>
      </c>
      <c r="B1889" s="413" t="s">
        <v>146</v>
      </c>
      <c r="C1889" s="265">
        <v>1</v>
      </c>
      <c r="D1889" s="413" t="s">
        <v>7953</v>
      </c>
      <c r="E1889" s="413" t="s">
        <v>6358</v>
      </c>
      <c r="F1889" s="413" t="s">
        <v>7954</v>
      </c>
      <c r="G1889" s="413"/>
      <c r="H1889" s="1277"/>
      <c r="I1889" s="1280"/>
    </row>
    <row r="1890" spans="1:9" hidden="1">
      <c r="A1890" s="428" t="s">
        <v>6268</v>
      </c>
      <c r="B1890" s="413" t="s">
        <v>146</v>
      </c>
      <c r="C1890" s="265">
        <v>1</v>
      </c>
      <c r="D1890" s="413" t="s">
        <v>7955</v>
      </c>
      <c r="E1890" s="413" t="s">
        <v>6380</v>
      </c>
      <c r="F1890" s="413" t="s">
        <v>7956</v>
      </c>
      <c r="G1890" s="413"/>
      <c r="H1890" s="1277"/>
      <c r="I1890" s="1280"/>
    </row>
    <row r="1891" spans="1:9" hidden="1">
      <c r="A1891" s="428" t="s">
        <v>6268</v>
      </c>
      <c r="B1891" s="413" t="s">
        <v>146</v>
      </c>
      <c r="C1891" s="265">
        <v>1</v>
      </c>
      <c r="D1891" s="413" t="s">
        <v>7957</v>
      </c>
      <c r="E1891" s="413" t="s">
        <v>6380</v>
      </c>
      <c r="F1891" s="413" t="s">
        <v>7958</v>
      </c>
      <c r="G1891" s="413"/>
      <c r="H1891" s="1277"/>
      <c r="I1891" s="1280"/>
    </row>
    <row r="1892" spans="1:9" hidden="1">
      <c r="A1892" s="428" t="s">
        <v>6268</v>
      </c>
      <c r="B1892" s="413" t="s">
        <v>146</v>
      </c>
      <c r="C1892" s="265">
        <v>1</v>
      </c>
      <c r="D1892" s="413" t="s">
        <v>7959</v>
      </c>
      <c r="E1892" s="413" t="s">
        <v>6380</v>
      </c>
      <c r="F1892" s="413" t="s">
        <v>7960</v>
      </c>
      <c r="G1892" s="413"/>
      <c r="H1892" s="1277"/>
      <c r="I1892" s="1280"/>
    </row>
    <row r="1893" spans="1:9" hidden="1">
      <c r="A1893" s="428" t="s">
        <v>6268</v>
      </c>
      <c r="B1893" s="413" t="s">
        <v>146</v>
      </c>
      <c r="C1893" s="265">
        <v>1</v>
      </c>
      <c r="D1893" s="413" t="s">
        <v>7961</v>
      </c>
      <c r="E1893" s="413" t="s">
        <v>6380</v>
      </c>
      <c r="F1893" s="413" t="s">
        <v>7962</v>
      </c>
      <c r="G1893" s="413"/>
      <c r="H1893" s="1277"/>
      <c r="I1893" s="1280"/>
    </row>
    <row r="1894" spans="1:9" hidden="1">
      <c r="A1894" s="428" t="s">
        <v>6268</v>
      </c>
      <c r="B1894" s="413" t="s">
        <v>146</v>
      </c>
      <c r="C1894" s="265">
        <v>1</v>
      </c>
      <c r="D1894" s="413" t="s">
        <v>7963</v>
      </c>
      <c r="E1894" s="413" t="s">
        <v>6380</v>
      </c>
      <c r="F1894" s="413" t="s">
        <v>7964</v>
      </c>
      <c r="G1894" s="413"/>
      <c r="H1894" s="1277"/>
      <c r="I1894" s="1280"/>
    </row>
    <row r="1895" spans="1:9" hidden="1">
      <c r="A1895" s="428" t="s">
        <v>6268</v>
      </c>
      <c r="B1895" s="413" t="s">
        <v>146</v>
      </c>
      <c r="C1895" s="265">
        <v>1</v>
      </c>
      <c r="D1895" s="413" t="s">
        <v>7965</v>
      </c>
      <c r="E1895" s="413" t="s">
        <v>6380</v>
      </c>
      <c r="F1895" s="413" t="s">
        <v>7966</v>
      </c>
      <c r="G1895" s="413"/>
      <c r="H1895" s="1277"/>
      <c r="I1895" s="1280"/>
    </row>
    <row r="1896" spans="1:9" hidden="1">
      <c r="A1896" s="428" t="s">
        <v>6268</v>
      </c>
      <c r="B1896" s="413" t="s">
        <v>146</v>
      </c>
      <c r="C1896" s="265">
        <v>1</v>
      </c>
      <c r="D1896" s="413" t="s">
        <v>7967</v>
      </c>
      <c r="E1896" s="413" t="s">
        <v>6380</v>
      </c>
      <c r="F1896" s="413" t="s">
        <v>7968</v>
      </c>
      <c r="G1896" s="413"/>
      <c r="H1896" s="1277"/>
      <c r="I1896" s="1280"/>
    </row>
    <row r="1897" spans="1:9" hidden="1">
      <c r="A1897" s="428" t="s">
        <v>6268</v>
      </c>
      <c r="B1897" s="413" t="s">
        <v>146</v>
      </c>
      <c r="C1897" s="265">
        <v>1</v>
      </c>
      <c r="D1897" s="413" t="s">
        <v>7969</v>
      </c>
      <c r="E1897" s="413" t="s">
        <v>6380</v>
      </c>
      <c r="F1897" s="413" t="s">
        <v>7970</v>
      </c>
      <c r="G1897" s="413"/>
      <c r="H1897" s="1277"/>
      <c r="I1897" s="1280"/>
    </row>
    <row r="1898" spans="1:9" hidden="1">
      <c r="A1898" s="428" t="s">
        <v>6268</v>
      </c>
      <c r="B1898" s="413" t="s">
        <v>146</v>
      </c>
      <c r="C1898" s="265">
        <v>1</v>
      </c>
      <c r="D1898" s="413" t="s">
        <v>7971</v>
      </c>
      <c r="E1898" s="413" t="s">
        <v>6380</v>
      </c>
      <c r="F1898" s="413" t="s">
        <v>7972</v>
      </c>
      <c r="G1898" s="413"/>
      <c r="H1898" s="1277"/>
      <c r="I1898" s="1280"/>
    </row>
    <row r="1899" spans="1:9" hidden="1">
      <c r="A1899" s="428" t="s">
        <v>6268</v>
      </c>
      <c r="B1899" s="413" t="s">
        <v>146</v>
      </c>
      <c r="C1899" s="265">
        <v>1</v>
      </c>
      <c r="D1899" s="413" t="s">
        <v>7973</v>
      </c>
      <c r="E1899" s="413" t="s">
        <v>6380</v>
      </c>
      <c r="F1899" s="413" t="s">
        <v>7974</v>
      </c>
      <c r="G1899" s="413"/>
      <c r="H1899" s="1277"/>
      <c r="I1899" s="1280"/>
    </row>
    <row r="1900" spans="1:9" hidden="1">
      <c r="A1900" s="428" t="s">
        <v>6268</v>
      </c>
      <c r="B1900" s="413" t="s">
        <v>146</v>
      </c>
      <c r="C1900" s="265">
        <v>1</v>
      </c>
      <c r="D1900" s="413" t="s">
        <v>7975</v>
      </c>
      <c r="E1900" s="413" t="s">
        <v>6380</v>
      </c>
      <c r="F1900" s="413" t="s">
        <v>7976</v>
      </c>
      <c r="G1900" s="413"/>
      <c r="H1900" s="1277"/>
      <c r="I1900" s="1280"/>
    </row>
    <row r="1901" spans="1:9" hidden="1">
      <c r="A1901" s="428" t="s">
        <v>6268</v>
      </c>
      <c r="B1901" s="413" t="s">
        <v>146</v>
      </c>
      <c r="C1901" s="265">
        <v>1</v>
      </c>
      <c r="D1901" s="413" t="s">
        <v>7977</v>
      </c>
      <c r="E1901" s="413" t="s">
        <v>6380</v>
      </c>
      <c r="F1901" s="413" t="s">
        <v>7978</v>
      </c>
      <c r="G1901" s="413"/>
      <c r="H1901" s="1277"/>
      <c r="I1901" s="1280"/>
    </row>
    <row r="1902" spans="1:9" hidden="1">
      <c r="A1902" s="428" t="s">
        <v>6268</v>
      </c>
      <c r="B1902" s="413" t="s">
        <v>146</v>
      </c>
      <c r="C1902" s="265">
        <v>1</v>
      </c>
      <c r="D1902" s="413" t="s">
        <v>7979</v>
      </c>
      <c r="E1902" s="413" t="s">
        <v>6380</v>
      </c>
      <c r="F1902" s="413" t="s">
        <v>7980</v>
      </c>
      <c r="G1902" s="413"/>
      <c r="H1902" s="1277"/>
      <c r="I1902" s="1280"/>
    </row>
    <row r="1903" spans="1:9" hidden="1">
      <c r="A1903" s="428" t="s">
        <v>6268</v>
      </c>
      <c r="B1903" s="413" t="s">
        <v>146</v>
      </c>
      <c r="C1903" s="265">
        <v>1</v>
      </c>
      <c r="D1903" s="413" t="s">
        <v>7981</v>
      </c>
      <c r="E1903" s="413" t="s">
        <v>6380</v>
      </c>
      <c r="F1903" s="413" t="s">
        <v>7982</v>
      </c>
      <c r="G1903" s="413"/>
      <c r="H1903" s="1277"/>
      <c r="I1903" s="1280"/>
    </row>
    <row r="1904" spans="1:9" hidden="1">
      <c r="A1904" s="428" t="s">
        <v>6268</v>
      </c>
      <c r="B1904" s="413" t="s">
        <v>146</v>
      </c>
      <c r="C1904" s="265">
        <v>1</v>
      </c>
      <c r="D1904" s="413" t="s">
        <v>7983</v>
      </c>
      <c r="E1904" s="413" t="s">
        <v>6380</v>
      </c>
      <c r="F1904" s="413" t="s">
        <v>7984</v>
      </c>
      <c r="G1904" s="413"/>
      <c r="H1904" s="1277"/>
      <c r="I1904" s="1280"/>
    </row>
    <row r="1905" spans="1:9" hidden="1">
      <c r="A1905" s="428" t="s">
        <v>6268</v>
      </c>
      <c r="B1905" s="413" t="s">
        <v>146</v>
      </c>
      <c r="C1905" s="265">
        <v>1</v>
      </c>
      <c r="D1905" s="413" t="s">
        <v>7985</v>
      </c>
      <c r="E1905" s="413" t="s">
        <v>6380</v>
      </c>
      <c r="F1905" s="413" t="s">
        <v>7986</v>
      </c>
      <c r="G1905" s="413"/>
      <c r="H1905" s="1277"/>
      <c r="I1905" s="1280"/>
    </row>
    <row r="1906" spans="1:9" hidden="1">
      <c r="A1906" s="428" t="s">
        <v>6268</v>
      </c>
      <c r="B1906" s="413" t="s">
        <v>146</v>
      </c>
      <c r="C1906" s="265">
        <v>1</v>
      </c>
      <c r="D1906" s="413" t="s">
        <v>7987</v>
      </c>
      <c r="E1906" s="413" t="s">
        <v>6380</v>
      </c>
      <c r="F1906" s="413" t="s">
        <v>7988</v>
      </c>
      <c r="G1906" s="413"/>
      <c r="H1906" s="1277"/>
      <c r="I1906" s="1280"/>
    </row>
    <row r="1907" spans="1:9" hidden="1">
      <c r="A1907" s="428" t="s">
        <v>6268</v>
      </c>
      <c r="B1907" s="413" t="s">
        <v>146</v>
      </c>
      <c r="C1907" s="265">
        <v>1</v>
      </c>
      <c r="D1907" s="413" t="s">
        <v>7989</v>
      </c>
      <c r="E1907" s="413" t="s">
        <v>6380</v>
      </c>
      <c r="F1907" s="413" t="s">
        <v>7990</v>
      </c>
      <c r="G1907" s="413"/>
      <c r="H1907" s="1277"/>
      <c r="I1907" s="1280"/>
    </row>
    <row r="1908" spans="1:9" hidden="1">
      <c r="A1908" s="428" t="s">
        <v>6268</v>
      </c>
      <c r="B1908" s="413" t="s">
        <v>146</v>
      </c>
      <c r="C1908" s="265">
        <v>1</v>
      </c>
      <c r="D1908" s="413" t="s">
        <v>7991</v>
      </c>
      <c r="E1908" s="413" t="s">
        <v>6380</v>
      </c>
      <c r="F1908" s="413" t="s">
        <v>7992</v>
      </c>
      <c r="G1908" s="413"/>
      <c r="H1908" s="1277"/>
      <c r="I1908" s="1280"/>
    </row>
    <row r="1909" spans="1:9" hidden="1">
      <c r="A1909" s="428" t="s">
        <v>6268</v>
      </c>
      <c r="B1909" s="413" t="s">
        <v>146</v>
      </c>
      <c r="C1909" s="265">
        <v>1</v>
      </c>
      <c r="D1909" s="413" t="s">
        <v>7993</v>
      </c>
      <c r="E1909" s="413" t="s">
        <v>6380</v>
      </c>
      <c r="F1909" s="413" t="s">
        <v>7994</v>
      </c>
      <c r="G1909" s="413"/>
      <c r="H1909" s="1277"/>
      <c r="I1909" s="1280"/>
    </row>
    <row r="1910" spans="1:9" hidden="1">
      <c r="A1910" s="428" t="s">
        <v>6268</v>
      </c>
      <c r="B1910" s="413" t="s">
        <v>146</v>
      </c>
      <c r="C1910" s="265">
        <v>1</v>
      </c>
      <c r="D1910" s="413" t="s">
        <v>7995</v>
      </c>
      <c r="E1910" s="413" t="s">
        <v>6380</v>
      </c>
      <c r="F1910" s="413" t="s">
        <v>7996</v>
      </c>
      <c r="G1910" s="413"/>
      <c r="H1910" s="1277"/>
      <c r="I1910" s="1280"/>
    </row>
    <row r="1911" spans="1:9" hidden="1">
      <c r="A1911" s="428" t="s">
        <v>6268</v>
      </c>
      <c r="B1911" s="413" t="s">
        <v>146</v>
      </c>
      <c r="C1911" s="265">
        <v>1</v>
      </c>
      <c r="D1911" s="413" t="s">
        <v>7997</v>
      </c>
      <c r="E1911" s="413" t="s">
        <v>6380</v>
      </c>
      <c r="F1911" s="413" t="s">
        <v>2291</v>
      </c>
      <c r="G1911" s="413"/>
      <c r="H1911" s="1277"/>
      <c r="I1911" s="1280"/>
    </row>
    <row r="1912" spans="1:9" hidden="1">
      <c r="A1912" s="428" t="s">
        <v>6268</v>
      </c>
      <c r="B1912" s="413" t="s">
        <v>146</v>
      </c>
      <c r="C1912" s="265">
        <v>1</v>
      </c>
      <c r="D1912" s="413" t="s">
        <v>7998</v>
      </c>
      <c r="E1912" s="413" t="s">
        <v>6380</v>
      </c>
      <c r="F1912" s="413" t="s">
        <v>7463</v>
      </c>
      <c r="G1912" s="413"/>
      <c r="H1912" s="1277"/>
      <c r="I1912" s="1280"/>
    </row>
    <row r="1913" spans="1:9" hidden="1">
      <c r="A1913" s="428" t="s">
        <v>6268</v>
      </c>
      <c r="B1913" s="413" t="s">
        <v>146</v>
      </c>
      <c r="C1913" s="265">
        <v>1</v>
      </c>
      <c r="D1913" s="413" t="s">
        <v>7999</v>
      </c>
      <c r="E1913" s="413" t="s">
        <v>6380</v>
      </c>
      <c r="F1913" s="413" t="s">
        <v>8000</v>
      </c>
      <c r="G1913" s="413"/>
      <c r="H1913" s="1277"/>
      <c r="I1913" s="1280"/>
    </row>
    <row r="1914" spans="1:9" hidden="1">
      <c r="A1914" s="428" t="s">
        <v>6268</v>
      </c>
      <c r="B1914" s="413" t="s">
        <v>146</v>
      </c>
      <c r="C1914" s="265">
        <v>1</v>
      </c>
      <c r="D1914" s="413" t="s">
        <v>8001</v>
      </c>
      <c r="E1914" s="413" t="s">
        <v>6380</v>
      </c>
      <c r="F1914" s="413" t="s">
        <v>8002</v>
      </c>
      <c r="G1914" s="413"/>
      <c r="H1914" s="1277"/>
      <c r="I1914" s="1280"/>
    </row>
    <row r="1915" spans="1:9" hidden="1">
      <c r="A1915" s="428" t="s">
        <v>6268</v>
      </c>
      <c r="B1915" s="413" t="s">
        <v>146</v>
      </c>
      <c r="C1915" s="265">
        <v>1</v>
      </c>
      <c r="D1915" s="413" t="s">
        <v>8003</v>
      </c>
      <c r="E1915" s="413" t="s">
        <v>6380</v>
      </c>
      <c r="F1915" s="413" t="s">
        <v>8004</v>
      </c>
      <c r="G1915" s="413"/>
      <c r="H1915" s="1277"/>
      <c r="I1915" s="1280"/>
    </row>
    <row r="1916" spans="1:9" hidden="1">
      <c r="A1916" s="428" t="s">
        <v>6268</v>
      </c>
      <c r="B1916" s="413" t="s">
        <v>146</v>
      </c>
      <c r="C1916" s="265">
        <v>1</v>
      </c>
      <c r="D1916" s="413" t="s">
        <v>8005</v>
      </c>
      <c r="E1916" s="413" t="s">
        <v>6380</v>
      </c>
      <c r="F1916" s="413" t="s">
        <v>8006</v>
      </c>
      <c r="G1916" s="413"/>
      <c r="H1916" s="1277"/>
      <c r="I1916" s="1280"/>
    </row>
    <row r="1917" spans="1:9" hidden="1">
      <c r="A1917" s="428" t="s">
        <v>6268</v>
      </c>
      <c r="B1917" s="413" t="s">
        <v>146</v>
      </c>
      <c r="C1917" s="265">
        <v>1</v>
      </c>
      <c r="D1917" s="413" t="s">
        <v>8007</v>
      </c>
      <c r="E1917" s="413" t="s">
        <v>6380</v>
      </c>
      <c r="F1917" s="413" t="s">
        <v>8008</v>
      </c>
      <c r="G1917" s="413"/>
      <c r="H1917" s="1277"/>
      <c r="I1917" s="1280"/>
    </row>
    <row r="1918" spans="1:9" hidden="1">
      <c r="A1918" s="428" t="s">
        <v>6268</v>
      </c>
      <c r="B1918" s="413" t="s">
        <v>146</v>
      </c>
      <c r="C1918" s="265">
        <v>1</v>
      </c>
      <c r="D1918" s="413" t="s">
        <v>8009</v>
      </c>
      <c r="E1918" s="413" t="s">
        <v>6380</v>
      </c>
      <c r="F1918" s="413" t="s">
        <v>8010</v>
      </c>
      <c r="G1918" s="413"/>
      <c r="H1918" s="1277"/>
      <c r="I1918" s="1280"/>
    </row>
    <row r="1919" spans="1:9" hidden="1">
      <c r="A1919" s="428" t="s">
        <v>6268</v>
      </c>
      <c r="B1919" s="413" t="s">
        <v>146</v>
      </c>
      <c r="C1919" s="265">
        <v>1</v>
      </c>
      <c r="D1919" s="413" t="s">
        <v>8011</v>
      </c>
      <c r="E1919" s="413" t="s">
        <v>6380</v>
      </c>
      <c r="F1919" s="413" t="s">
        <v>8012</v>
      </c>
      <c r="G1919" s="413"/>
      <c r="H1919" s="1277"/>
      <c r="I1919" s="1280"/>
    </row>
    <row r="1920" spans="1:9" hidden="1">
      <c r="A1920" s="428" t="s">
        <v>6268</v>
      </c>
      <c r="B1920" s="413" t="s">
        <v>146</v>
      </c>
      <c r="C1920" s="265">
        <v>1</v>
      </c>
      <c r="D1920" s="413" t="s">
        <v>8013</v>
      </c>
      <c r="E1920" s="413" t="s">
        <v>6380</v>
      </c>
      <c r="F1920" s="413" t="s">
        <v>8014</v>
      </c>
      <c r="G1920" s="413"/>
      <c r="H1920" s="1277"/>
      <c r="I1920" s="1280"/>
    </row>
    <row r="1921" spans="1:9" hidden="1">
      <c r="A1921" s="428" t="s">
        <v>6268</v>
      </c>
      <c r="B1921" s="413" t="s">
        <v>146</v>
      </c>
      <c r="C1921" s="265">
        <v>1</v>
      </c>
      <c r="D1921" s="413" t="s">
        <v>8015</v>
      </c>
      <c r="E1921" s="413" t="s">
        <v>6380</v>
      </c>
      <c r="F1921" s="413" t="s">
        <v>8016</v>
      </c>
      <c r="G1921" s="413"/>
      <c r="H1921" s="1277"/>
      <c r="I1921" s="1280"/>
    </row>
    <row r="1922" spans="1:9" hidden="1">
      <c r="A1922" s="428" t="s">
        <v>6268</v>
      </c>
      <c r="B1922" s="413" t="s">
        <v>146</v>
      </c>
      <c r="C1922" s="265">
        <v>1</v>
      </c>
      <c r="D1922" s="413" t="s">
        <v>8017</v>
      </c>
      <c r="E1922" s="413" t="s">
        <v>6380</v>
      </c>
      <c r="F1922" s="413" t="s">
        <v>8018</v>
      </c>
      <c r="G1922" s="413"/>
      <c r="H1922" s="1277"/>
      <c r="I1922" s="1280"/>
    </row>
    <row r="1923" spans="1:9" hidden="1">
      <c r="A1923" s="428" t="s">
        <v>6268</v>
      </c>
      <c r="B1923" s="413" t="s">
        <v>146</v>
      </c>
      <c r="C1923" s="265">
        <v>1</v>
      </c>
      <c r="D1923" s="413" t="s">
        <v>8019</v>
      </c>
      <c r="E1923" s="413" t="s">
        <v>6380</v>
      </c>
      <c r="F1923" s="413" t="s">
        <v>8020</v>
      </c>
      <c r="G1923" s="413"/>
      <c r="H1923" s="1277"/>
      <c r="I1923" s="1280"/>
    </row>
    <row r="1924" spans="1:9" hidden="1">
      <c r="A1924" s="428" t="s">
        <v>6268</v>
      </c>
      <c r="B1924" s="413" t="s">
        <v>146</v>
      </c>
      <c r="C1924" s="265">
        <v>1</v>
      </c>
      <c r="D1924" s="413" t="s">
        <v>8021</v>
      </c>
      <c r="E1924" s="413" t="s">
        <v>6380</v>
      </c>
      <c r="F1924" s="413" t="s">
        <v>8022</v>
      </c>
      <c r="G1924" s="413"/>
      <c r="H1924" s="1277"/>
      <c r="I1924" s="1280"/>
    </row>
    <row r="1925" spans="1:9" hidden="1">
      <c r="A1925" s="428" t="s">
        <v>6268</v>
      </c>
      <c r="B1925" s="413" t="s">
        <v>146</v>
      </c>
      <c r="C1925" s="265">
        <v>1</v>
      </c>
      <c r="D1925" s="413" t="s">
        <v>8023</v>
      </c>
      <c r="E1925" s="413" t="s">
        <v>6380</v>
      </c>
      <c r="F1925" s="413" t="s">
        <v>8024</v>
      </c>
      <c r="G1925" s="413"/>
      <c r="H1925" s="1277"/>
      <c r="I1925" s="1280"/>
    </row>
    <row r="1926" spans="1:9" hidden="1">
      <c r="A1926" s="428" t="s">
        <v>6268</v>
      </c>
      <c r="B1926" s="413" t="s">
        <v>146</v>
      </c>
      <c r="C1926" s="265">
        <v>1</v>
      </c>
      <c r="D1926" s="413" t="s">
        <v>8025</v>
      </c>
      <c r="E1926" s="413" t="s">
        <v>6380</v>
      </c>
      <c r="F1926" s="413" t="s">
        <v>8026</v>
      </c>
      <c r="G1926" s="413"/>
      <c r="H1926" s="1277"/>
      <c r="I1926" s="1280"/>
    </row>
    <row r="1927" spans="1:9" hidden="1">
      <c r="A1927" s="428" t="s">
        <v>6268</v>
      </c>
      <c r="B1927" s="413" t="s">
        <v>146</v>
      </c>
      <c r="C1927" s="265">
        <v>1</v>
      </c>
      <c r="D1927" s="413" t="s">
        <v>8027</v>
      </c>
      <c r="E1927" s="413" t="s">
        <v>6380</v>
      </c>
      <c r="F1927" s="413" t="s">
        <v>8028</v>
      </c>
      <c r="G1927" s="413"/>
      <c r="H1927" s="1277"/>
      <c r="I1927" s="1280"/>
    </row>
    <row r="1928" spans="1:9" hidden="1">
      <c r="A1928" s="428" t="s">
        <v>6268</v>
      </c>
      <c r="B1928" s="413" t="s">
        <v>146</v>
      </c>
      <c r="C1928" s="265">
        <v>1</v>
      </c>
      <c r="D1928" s="413" t="s">
        <v>8029</v>
      </c>
      <c r="E1928" s="413" t="s">
        <v>6380</v>
      </c>
      <c r="F1928" s="413" t="s">
        <v>8030</v>
      </c>
      <c r="G1928" s="413"/>
      <c r="H1928" s="1277"/>
      <c r="I1928" s="1280"/>
    </row>
    <row r="1929" spans="1:9" hidden="1">
      <c r="A1929" s="428" t="s">
        <v>6268</v>
      </c>
      <c r="B1929" s="413" t="s">
        <v>146</v>
      </c>
      <c r="C1929" s="265">
        <v>1</v>
      </c>
      <c r="D1929" s="413" t="s">
        <v>8031</v>
      </c>
      <c r="E1929" s="413" t="s">
        <v>6380</v>
      </c>
      <c r="F1929" s="413" t="s">
        <v>8032</v>
      </c>
      <c r="G1929" s="413"/>
      <c r="H1929" s="1277"/>
      <c r="I1929" s="1280"/>
    </row>
    <row r="1930" spans="1:9" hidden="1">
      <c r="A1930" s="428" t="s">
        <v>6268</v>
      </c>
      <c r="B1930" s="413" t="s">
        <v>146</v>
      </c>
      <c r="C1930" s="265">
        <v>1</v>
      </c>
      <c r="D1930" s="413" t="s">
        <v>8033</v>
      </c>
      <c r="E1930" s="413" t="s">
        <v>6380</v>
      </c>
      <c r="F1930" s="413" t="s">
        <v>8034</v>
      </c>
      <c r="G1930" s="413"/>
      <c r="H1930" s="1277"/>
      <c r="I1930" s="1280"/>
    </row>
    <row r="1931" spans="1:9" hidden="1">
      <c r="A1931" s="428" t="s">
        <v>6268</v>
      </c>
      <c r="B1931" s="413" t="s">
        <v>146</v>
      </c>
      <c r="C1931" s="265">
        <v>1</v>
      </c>
      <c r="D1931" s="413" t="s">
        <v>8035</v>
      </c>
      <c r="E1931" s="413" t="s">
        <v>6380</v>
      </c>
      <c r="F1931" s="413" t="s">
        <v>8036</v>
      </c>
      <c r="G1931" s="413"/>
      <c r="H1931" s="1277"/>
      <c r="I1931" s="1280"/>
    </row>
    <row r="1932" spans="1:9" hidden="1">
      <c r="A1932" s="428" t="s">
        <v>6268</v>
      </c>
      <c r="B1932" s="413" t="s">
        <v>146</v>
      </c>
      <c r="C1932" s="265">
        <v>1</v>
      </c>
      <c r="D1932" s="413" t="s">
        <v>8037</v>
      </c>
      <c r="E1932" s="413" t="s">
        <v>6380</v>
      </c>
      <c r="F1932" s="413" t="s">
        <v>8038</v>
      </c>
      <c r="G1932" s="413"/>
      <c r="H1932" s="1277"/>
      <c r="I1932" s="1280"/>
    </row>
    <row r="1933" spans="1:9" hidden="1">
      <c r="A1933" s="428" t="s">
        <v>6268</v>
      </c>
      <c r="B1933" s="413" t="s">
        <v>146</v>
      </c>
      <c r="C1933" s="265">
        <v>1</v>
      </c>
      <c r="D1933" s="413" t="s">
        <v>8039</v>
      </c>
      <c r="E1933" s="413" t="s">
        <v>6380</v>
      </c>
      <c r="F1933" s="413" t="s">
        <v>8040</v>
      </c>
      <c r="G1933" s="413"/>
      <c r="H1933" s="1277"/>
      <c r="I1933" s="1280"/>
    </row>
    <row r="1934" spans="1:9" hidden="1">
      <c r="A1934" s="428" t="s">
        <v>6268</v>
      </c>
      <c r="B1934" s="413" t="s">
        <v>146</v>
      </c>
      <c r="C1934" s="265">
        <v>1</v>
      </c>
      <c r="D1934" s="413" t="s">
        <v>8041</v>
      </c>
      <c r="E1934" s="413" t="s">
        <v>6380</v>
      </c>
      <c r="F1934" s="413" t="s">
        <v>8042</v>
      </c>
      <c r="G1934" s="413"/>
      <c r="H1934" s="1277"/>
      <c r="I1934" s="1280"/>
    </row>
    <row r="1935" spans="1:9" hidden="1">
      <c r="A1935" s="428" t="s">
        <v>6268</v>
      </c>
      <c r="B1935" s="413" t="s">
        <v>146</v>
      </c>
      <c r="C1935" s="265">
        <v>1</v>
      </c>
      <c r="D1935" s="413" t="s">
        <v>8043</v>
      </c>
      <c r="E1935" s="413" t="s">
        <v>6380</v>
      </c>
      <c r="F1935" s="413" t="s">
        <v>8044</v>
      </c>
      <c r="G1935" s="413"/>
      <c r="H1935" s="1277"/>
      <c r="I1935" s="1280"/>
    </row>
    <row r="1936" spans="1:9" hidden="1">
      <c r="A1936" s="428" t="s">
        <v>6268</v>
      </c>
      <c r="B1936" s="413" t="s">
        <v>146</v>
      </c>
      <c r="C1936" s="265">
        <v>1</v>
      </c>
      <c r="D1936" s="413" t="s">
        <v>8045</v>
      </c>
      <c r="E1936" s="413" t="s">
        <v>6380</v>
      </c>
      <c r="F1936" s="413" t="s">
        <v>8046</v>
      </c>
      <c r="G1936" s="413"/>
      <c r="H1936" s="1277"/>
      <c r="I1936" s="1280"/>
    </row>
    <row r="1937" spans="1:9" hidden="1">
      <c r="A1937" s="428" t="s">
        <v>6268</v>
      </c>
      <c r="B1937" s="413" t="s">
        <v>146</v>
      </c>
      <c r="C1937" s="265">
        <v>1</v>
      </c>
      <c r="D1937" s="413" t="s">
        <v>8047</v>
      </c>
      <c r="E1937" s="413" t="s">
        <v>6380</v>
      </c>
      <c r="F1937" s="413" t="s">
        <v>8048</v>
      </c>
      <c r="G1937" s="413"/>
      <c r="H1937" s="1277"/>
      <c r="I1937" s="1280"/>
    </row>
    <row r="1938" spans="1:9" hidden="1">
      <c r="A1938" s="428" t="s">
        <v>6268</v>
      </c>
      <c r="B1938" s="413" t="s">
        <v>146</v>
      </c>
      <c r="C1938" s="265">
        <v>1</v>
      </c>
      <c r="D1938" s="413" t="s">
        <v>8049</v>
      </c>
      <c r="E1938" s="413" t="s">
        <v>6380</v>
      </c>
      <c r="F1938" s="413" t="s">
        <v>8050</v>
      </c>
      <c r="G1938" s="413"/>
      <c r="H1938" s="1277"/>
      <c r="I1938" s="1280"/>
    </row>
    <row r="1939" spans="1:9" hidden="1">
      <c r="A1939" s="428" t="s">
        <v>6268</v>
      </c>
      <c r="B1939" s="413" t="s">
        <v>146</v>
      </c>
      <c r="C1939" s="265">
        <v>1</v>
      </c>
      <c r="D1939" s="413" t="s">
        <v>8051</v>
      </c>
      <c r="E1939" s="413" t="s">
        <v>6380</v>
      </c>
      <c r="F1939" s="413" t="s">
        <v>8052</v>
      </c>
      <c r="G1939" s="413"/>
      <c r="H1939" s="1277"/>
      <c r="I1939" s="1280"/>
    </row>
    <row r="1940" spans="1:9" hidden="1">
      <c r="A1940" s="428" t="s">
        <v>6268</v>
      </c>
      <c r="B1940" s="413" t="s">
        <v>146</v>
      </c>
      <c r="C1940" s="265">
        <v>1</v>
      </c>
      <c r="D1940" s="413" t="s">
        <v>8053</v>
      </c>
      <c r="E1940" s="413" t="s">
        <v>6380</v>
      </c>
      <c r="F1940" s="413" t="s">
        <v>8054</v>
      </c>
      <c r="G1940" s="413"/>
      <c r="H1940" s="1277"/>
      <c r="I1940" s="1280"/>
    </row>
    <row r="1941" spans="1:9" hidden="1">
      <c r="A1941" s="428" t="s">
        <v>6268</v>
      </c>
      <c r="B1941" s="413" t="s">
        <v>146</v>
      </c>
      <c r="C1941" s="265">
        <v>1</v>
      </c>
      <c r="D1941" s="413" t="s">
        <v>8055</v>
      </c>
      <c r="E1941" s="413" t="s">
        <v>6380</v>
      </c>
      <c r="F1941" s="413" t="s">
        <v>8056</v>
      </c>
      <c r="G1941" s="413"/>
      <c r="H1941" s="1277"/>
      <c r="I1941" s="1280"/>
    </row>
    <row r="1942" spans="1:9" hidden="1">
      <c r="A1942" s="428" t="s">
        <v>6268</v>
      </c>
      <c r="B1942" s="413" t="s">
        <v>146</v>
      </c>
      <c r="C1942" s="265">
        <v>1</v>
      </c>
      <c r="D1942" s="413" t="s">
        <v>8057</v>
      </c>
      <c r="E1942" s="413" t="s">
        <v>6380</v>
      </c>
      <c r="F1942" s="413" t="s">
        <v>8058</v>
      </c>
      <c r="G1942" s="413"/>
      <c r="H1942" s="1277"/>
      <c r="I1942" s="1280"/>
    </row>
    <row r="1943" spans="1:9" hidden="1">
      <c r="A1943" s="428" t="s">
        <v>6268</v>
      </c>
      <c r="B1943" s="413" t="s">
        <v>146</v>
      </c>
      <c r="C1943" s="265">
        <v>1</v>
      </c>
      <c r="D1943" s="413" t="s">
        <v>8059</v>
      </c>
      <c r="E1943" s="413" t="s">
        <v>6380</v>
      </c>
      <c r="F1943" s="413" t="s">
        <v>8060</v>
      </c>
      <c r="G1943" s="413"/>
      <c r="H1943" s="1277"/>
      <c r="I1943" s="1280"/>
    </row>
    <row r="1944" spans="1:9" hidden="1">
      <c r="A1944" s="428" t="s">
        <v>6268</v>
      </c>
      <c r="B1944" s="413" t="s">
        <v>146</v>
      </c>
      <c r="C1944" s="265">
        <v>1</v>
      </c>
      <c r="D1944" s="413" t="s">
        <v>8061</v>
      </c>
      <c r="E1944" s="413" t="s">
        <v>6380</v>
      </c>
      <c r="F1944" s="413" t="s">
        <v>8062</v>
      </c>
      <c r="G1944" s="413"/>
      <c r="H1944" s="1277"/>
      <c r="I1944" s="1280"/>
    </row>
    <row r="1945" spans="1:9" hidden="1">
      <c r="A1945" s="428" t="s">
        <v>6268</v>
      </c>
      <c r="B1945" s="413" t="s">
        <v>146</v>
      </c>
      <c r="C1945" s="265">
        <v>1</v>
      </c>
      <c r="D1945" s="413" t="s">
        <v>8063</v>
      </c>
      <c r="E1945" s="413" t="s">
        <v>6380</v>
      </c>
      <c r="F1945" s="413" t="s">
        <v>8064</v>
      </c>
      <c r="G1945" s="413"/>
      <c r="H1945" s="1277"/>
      <c r="I1945" s="1280"/>
    </row>
    <row r="1946" spans="1:9" hidden="1">
      <c r="A1946" s="428" t="s">
        <v>6268</v>
      </c>
      <c r="B1946" s="413" t="s">
        <v>146</v>
      </c>
      <c r="C1946" s="265">
        <v>1</v>
      </c>
      <c r="D1946" s="413" t="s">
        <v>8065</v>
      </c>
      <c r="E1946" s="413" t="s">
        <v>6380</v>
      </c>
      <c r="F1946" s="413" t="s">
        <v>8066</v>
      </c>
      <c r="G1946" s="413"/>
      <c r="H1946" s="1277"/>
      <c r="I1946" s="1280"/>
    </row>
    <row r="1947" spans="1:9" hidden="1">
      <c r="A1947" s="428" t="s">
        <v>6268</v>
      </c>
      <c r="B1947" s="413" t="s">
        <v>146</v>
      </c>
      <c r="C1947" s="265">
        <v>1</v>
      </c>
      <c r="D1947" s="413" t="s">
        <v>8067</v>
      </c>
      <c r="E1947" s="413" t="s">
        <v>6380</v>
      </c>
      <c r="F1947" s="413" t="s">
        <v>8068</v>
      </c>
      <c r="G1947" s="413"/>
      <c r="H1947" s="1277"/>
      <c r="I1947" s="1280"/>
    </row>
    <row r="1948" spans="1:9" hidden="1">
      <c r="A1948" s="428" t="s">
        <v>6268</v>
      </c>
      <c r="B1948" s="413" t="s">
        <v>146</v>
      </c>
      <c r="C1948" s="265">
        <v>1</v>
      </c>
      <c r="D1948" s="413" t="s">
        <v>8069</v>
      </c>
      <c r="E1948" s="413" t="s">
        <v>6380</v>
      </c>
      <c r="F1948" s="413" t="s">
        <v>8070</v>
      </c>
      <c r="G1948" s="413"/>
      <c r="H1948" s="1277"/>
      <c r="I1948" s="1280"/>
    </row>
    <row r="1949" spans="1:9" hidden="1">
      <c r="A1949" s="428" t="s">
        <v>6268</v>
      </c>
      <c r="B1949" s="413" t="s">
        <v>146</v>
      </c>
      <c r="C1949" s="265">
        <v>1</v>
      </c>
      <c r="D1949" s="413" t="s">
        <v>8071</v>
      </c>
      <c r="E1949" s="413" t="s">
        <v>6380</v>
      </c>
      <c r="F1949" s="413" t="s">
        <v>8072</v>
      </c>
      <c r="G1949" s="413"/>
      <c r="H1949" s="1277"/>
      <c r="I1949" s="1280"/>
    </row>
    <row r="1950" spans="1:9" hidden="1">
      <c r="A1950" s="428" t="s">
        <v>6268</v>
      </c>
      <c r="B1950" s="413" t="s">
        <v>146</v>
      </c>
      <c r="C1950" s="265">
        <v>1</v>
      </c>
      <c r="D1950" s="413" t="s">
        <v>8073</v>
      </c>
      <c r="E1950" s="413" t="s">
        <v>6380</v>
      </c>
      <c r="F1950" s="413" t="s">
        <v>8074</v>
      </c>
      <c r="G1950" s="413"/>
      <c r="H1950" s="1277"/>
      <c r="I1950" s="1280"/>
    </row>
    <row r="1951" spans="1:9" hidden="1">
      <c r="A1951" s="428" t="s">
        <v>6268</v>
      </c>
      <c r="B1951" s="413" t="s">
        <v>146</v>
      </c>
      <c r="C1951" s="265">
        <v>1</v>
      </c>
      <c r="D1951" s="413" t="s">
        <v>8075</v>
      </c>
      <c r="E1951" s="413" t="s">
        <v>6380</v>
      </c>
      <c r="F1951" s="413" t="s">
        <v>8076</v>
      </c>
      <c r="G1951" s="413"/>
      <c r="H1951" s="1277"/>
      <c r="I1951" s="1280"/>
    </row>
    <row r="1952" spans="1:9" hidden="1">
      <c r="A1952" s="428" t="s">
        <v>6268</v>
      </c>
      <c r="B1952" s="413" t="s">
        <v>146</v>
      </c>
      <c r="C1952" s="265">
        <v>1</v>
      </c>
      <c r="D1952" s="413" t="s">
        <v>8077</v>
      </c>
      <c r="E1952" s="413" t="s">
        <v>6380</v>
      </c>
      <c r="F1952" s="413" t="s">
        <v>8078</v>
      </c>
      <c r="G1952" s="413"/>
      <c r="H1952" s="1277"/>
      <c r="I1952" s="1280"/>
    </row>
    <row r="1953" spans="1:9" hidden="1">
      <c r="A1953" s="428" t="s">
        <v>6268</v>
      </c>
      <c r="B1953" s="413" t="s">
        <v>146</v>
      </c>
      <c r="C1953" s="265">
        <v>1</v>
      </c>
      <c r="D1953" s="413" t="s">
        <v>8079</v>
      </c>
      <c r="E1953" s="413" t="s">
        <v>6380</v>
      </c>
      <c r="F1953" s="413" t="s">
        <v>8080</v>
      </c>
      <c r="G1953" s="413"/>
      <c r="H1953" s="1277"/>
      <c r="I1953" s="1280"/>
    </row>
    <row r="1954" spans="1:9" hidden="1">
      <c r="A1954" s="428" t="s">
        <v>6268</v>
      </c>
      <c r="B1954" s="413" t="s">
        <v>146</v>
      </c>
      <c r="C1954" s="265">
        <v>1</v>
      </c>
      <c r="D1954" s="413" t="s">
        <v>8081</v>
      </c>
      <c r="E1954" s="413" t="s">
        <v>6380</v>
      </c>
      <c r="F1954" s="413" t="s">
        <v>8082</v>
      </c>
      <c r="G1954" s="413"/>
      <c r="H1954" s="1277"/>
      <c r="I1954" s="1280"/>
    </row>
    <row r="1955" spans="1:9" hidden="1">
      <c r="A1955" s="428" t="s">
        <v>6268</v>
      </c>
      <c r="B1955" s="413" t="s">
        <v>146</v>
      </c>
      <c r="C1955" s="265">
        <v>1</v>
      </c>
      <c r="D1955" s="413" t="s">
        <v>8083</v>
      </c>
      <c r="E1955" s="413" t="s">
        <v>6380</v>
      </c>
      <c r="F1955" s="413" t="s">
        <v>8084</v>
      </c>
      <c r="G1955" s="413"/>
      <c r="H1955" s="1277"/>
      <c r="I1955" s="1280"/>
    </row>
    <row r="1956" spans="1:9" hidden="1">
      <c r="A1956" s="428" t="s">
        <v>6268</v>
      </c>
      <c r="B1956" s="413" t="s">
        <v>146</v>
      </c>
      <c r="C1956" s="265">
        <v>1</v>
      </c>
      <c r="D1956" s="413" t="s">
        <v>8085</v>
      </c>
      <c r="E1956" s="413" t="s">
        <v>6380</v>
      </c>
      <c r="F1956" s="413" t="s">
        <v>8086</v>
      </c>
      <c r="G1956" s="413"/>
      <c r="H1956" s="1277"/>
      <c r="I1956" s="1280"/>
    </row>
    <row r="1957" spans="1:9" hidden="1">
      <c r="A1957" s="428" t="s">
        <v>6268</v>
      </c>
      <c r="B1957" s="413" t="s">
        <v>146</v>
      </c>
      <c r="C1957" s="265">
        <v>1</v>
      </c>
      <c r="D1957" s="413" t="s">
        <v>8087</v>
      </c>
      <c r="E1957" s="413" t="s">
        <v>6380</v>
      </c>
      <c r="F1957" s="413" t="s">
        <v>8088</v>
      </c>
      <c r="G1957" s="413"/>
      <c r="H1957" s="1277"/>
      <c r="I1957" s="1280"/>
    </row>
    <row r="1958" spans="1:9" hidden="1">
      <c r="A1958" s="428" t="s">
        <v>6268</v>
      </c>
      <c r="B1958" s="413" t="s">
        <v>146</v>
      </c>
      <c r="C1958" s="265">
        <v>1</v>
      </c>
      <c r="D1958" s="413" t="s">
        <v>8089</v>
      </c>
      <c r="E1958" s="413" t="s">
        <v>6380</v>
      </c>
      <c r="F1958" s="413" t="s">
        <v>6535</v>
      </c>
      <c r="G1958" s="413"/>
      <c r="H1958" s="1277"/>
      <c r="I1958" s="1280"/>
    </row>
    <row r="1959" spans="1:9" hidden="1">
      <c r="A1959" s="428" t="s">
        <v>6268</v>
      </c>
      <c r="B1959" s="413" t="s">
        <v>146</v>
      </c>
      <c r="C1959" s="265">
        <v>1</v>
      </c>
      <c r="D1959" s="413" t="s">
        <v>8090</v>
      </c>
      <c r="E1959" s="413" t="s">
        <v>6380</v>
      </c>
      <c r="F1959" s="413" t="s">
        <v>6537</v>
      </c>
      <c r="G1959" s="413"/>
      <c r="H1959" s="1277"/>
      <c r="I1959" s="1280"/>
    </row>
    <row r="1960" spans="1:9" hidden="1">
      <c r="A1960" s="428" t="s">
        <v>6268</v>
      </c>
      <c r="B1960" s="413" t="s">
        <v>146</v>
      </c>
      <c r="C1960" s="265">
        <v>1</v>
      </c>
      <c r="D1960" s="413" t="s">
        <v>8091</v>
      </c>
      <c r="E1960" s="413" t="s">
        <v>6380</v>
      </c>
      <c r="F1960" s="413" t="s">
        <v>8092</v>
      </c>
      <c r="G1960" s="413"/>
      <c r="H1960" s="1277"/>
      <c r="I1960" s="1280"/>
    </row>
    <row r="1961" spans="1:9" hidden="1">
      <c r="A1961" s="428" t="s">
        <v>6268</v>
      </c>
      <c r="B1961" s="413" t="s">
        <v>146</v>
      </c>
      <c r="C1961" s="265">
        <v>1</v>
      </c>
      <c r="D1961" s="413" t="s">
        <v>8093</v>
      </c>
      <c r="E1961" s="413" t="s">
        <v>6380</v>
      </c>
      <c r="F1961" s="413" t="s">
        <v>8094</v>
      </c>
      <c r="G1961" s="413"/>
      <c r="H1961" s="1277"/>
      <c r="I1961" s="1280"/>
    </row>
    <row r="1962" spans="1:9" hidden="1">
      <c r="A1962" s="428" t="s">
        <v>6268</v>
      </c>
      <c r="B1962" s="413" t="s">
        <v>146</v>
      </c>
      <c r="C1962" s="265">
        <v>1</v>
      </c>
      <c r="D1962" s="413" t="s">
        <v>8095</v>
      </c>
      <c r="E1962" s="413" t="s">
        <v>6380</v>
      </c>
      <c r="F1962" s="413" t="s">
        <v>6545</v>
      </c>
      <c r="G1962" s="413"/>
      <c r="H1962" s="1277"/>
      <c r="I1962" s="1280"/>
    </row>
    <row r="1963" spans="1:9" hidden="1">
      <c r="A1963" s="428" t="s">
        <v>6268</v>
      </c>
      <c r="B1963" s="413" t="s">
        <v>146</v>
      </c>
      <c r="C1963" s="265">
        <v>1</v>
      </c>
      <c r="D1963" s="413" t="s">
        <v>8096</v>
      </c>
      <c r="E1963" s="413" t="s">
        <v>6380</v>
      </c>
      <c r="F1963" s="413" t="s">
        <v>8097</v>
      </c>
      <c r="G1963" s="413"/>
      <c r="H1963" s="1277"/>
      <c r="I1963" s="1280"/>
    </row>
    <row r="1964" spans="1:9" hidden="1">
      <c r="A1964" s="428" t="s">
        <v>6268</v>
      </c>
      <c r="B1964" s="413" t="s">
        <v>146</v>
      </c>
      <c r="C1964" s="265">
        <v>1</v>
      </c>
      <c r="D1964" s="413" t="s">
        <v>8098</v>
      </c>
      <c r="E1964" s="413" t="s">
        <v>6380</v>
      </c>
      <c r="F1964" s="413" t="s">
        <v>8099</v>
      </c>
      <c r="G1964" s="413"/>
      <c r="H1964" s="1277"/>
      <c r="I1964" s="1280"/>
    </row>
    <row r="1965" spans="1:9" hidden="1">
      <c r="A1965" s="428" t="s">
        <v>6268</v>
      </c>
      <c r="B1965" s="413" t="s">
        <v>146</v>
      </c>
      <c r="C1965" s="265">
        <v>1</v>
      </c>
      <c r="D1965" s="413" t="s">
        <v>8100</v>
      </c>
      <c r="E1965" s="413" t="s">
        <v>6380</v>
      </c>
      <c r="F1965" s="413" t="s">
        <v>8101</v>
      </c>
      <c r="G1965" s="413"/>
      <c r="H1965" s="1277"/>
      <c r="I1965" s="1280"/>
    </row>
    <row r="1966" spans="1:9" hidden="1">
      <c r="A1966" s="428" t="s">
        <v>6268</v>
      </c>
      <c r="B1966" s="413" t="s">
        <v>146</v>
      </c>
      <c r="C1966" s="265">
        <v>1</v>
      </c>
      <c r="D1966" s="413" t="s">
        <v>8102</v>
      </c>
      <c r="E1966" s="413" t="s">
        <v>6380</v>
      </c>
      <c r="F1966" s="413" t="s">
        <v>8103</v>
      </c>
      <c r="G1966" s="413"/>
      <c r="H1966" s="1277"/>
      <c r="I1966" s="1280"/>
    </row>
    <row r="1967" spans="1:9" hidden="1">
      <c r="A1967" s="428" t="s">
        <v>6268</v>
      </c>
      <c r="B1967" s="413" t="s">
        <v>146</v>
      </c>
      <c r="C1967" s="265">
        <v>1</v>
      </c>
      <c r="D1967" s="413" t="s">
        <v>8104</v>
      </c>
      <c r="E1967" s="413" t="s">
        <v>6380</v>
      </c>
      <c r="F1967" s="413" t="s">
        <v>8105</v>
      </c>
      <c r="G1967" s="413"/>
      <c r="H1967" s="1277"/>
      <c r="I1967" s="1280"/>
    </row>
    <row r="1968" spans="1:9" hidden="1">
      <c r="A1968" s="428" t="s">
        <v>6268</v>
      </c>
      <c r="B1968" s="413" t="s">
        <v>146</v>
      </c>
      <c r="C1968" s="265">
        <v>1</v>
      </c>
      <c r="D1968" s="413" t="s">
        <v>8106</v>
      </c>
      <c r="E1968" s="413" t="s">
        <v>6380</v>
      </c>
      <c r="F1968" s="413" t="s">
        <v>8107</v>
      </c>
      <c r="G1968" s="413"/>
      <c r="H1968" s="1277"/>
      <c r="I1968" s="1280"/>
    </row>
    <row r="1969" spans="1:9" hidden="1">
      <c r="A1969" s="428" t="s">
        <v>6268</v>
      </c>
      <c r="B1969" s="413" t="s">
        <v>146</v>
      </c>
      <c r="C1969" s="265">
        <v>1</v>
      </c>
      <c r="D1969" s="413" t="s">
        <v>8108</v>
      </c>
      <c r="E1969" s="413" t="s">
        <v>6380</v>
      </c>
      <c r="F1969" s="413" t="s">
        <v>6551</v>
      </c>
      <c r="G1969" s="413"/>
      <c r="H1969" s="1277"/>
      <c r="I1969" s="1280"/>
    </row>
    <row r="1970" spans="1:9" hidden="1">
      <c r="A1970" s="428" t="s">
        <v>6268</v>
      </c>
      <c r="B1970" s="413" t="s">
        <v>146</v>
      </c>
      <c r="C1970" s="265">
        <v>1</v>
      </c>
      <c r="D1970" s="413" t="s">
        <v>8109</v>
      </c>
      <c r="E1970" s="413" t="s">
        <v>6380</v>
      </c>
      <c r="F1970" s="413" t="s">
        <v>6527</v>
      </c>
      <c r="G1970" s="413"/>
      <c r="H1970" s="1277"/>
      <c r="I1970" s="1280"/>
    </row>
    <row r="1971" spans="1:9" hidden="1">
      <c r="A1971" s="428" t="s">
        <v>6268</v>
      </c>
      <c r="B1971" s="413" t="s">
        <v>146</v>
      </c>
      <c r="C1971" s="265">
        <v>1</v>
      </c>
      <c r="D1971" s="413" t="s">
        <v>8110</v>
      </c>
      <c r="E1971" s="413" t="s">
        <v>6380</v>
      </c>
      <c r="F1971" s="413" t="s">
        <v>8111</v>
      </c>
      <c r="G1971" s="413"/>
      <c r="H1971" s="1277"/>
      <c r="I1971" s="1280"/>
    </row>
    <row r="1972" spans="1:9" hidden="1">
      <c r="A1972" s="428" t="s">
        <v>6268</v>
      </c>
      <c r="B1972" s="413" t="s">
        <v>146</v>
      </c>
      <c r="C1972" s="265">
        <v>1</v>
      </c>
      <c r="D1972" s="413" t="s">
        <v>8112</v>
      </c>
      <c r="E1972" s="413" t="s">
        <v>6380</v>
      </c>
      <c r="F1972" s="413" t="s">
        <v>8113</v>
      </c>
      <c r="G1972" s="413"/>
      <c r="H1972" s="1277"/>
      <c r="I1972" s="1280"/>
    </row>
    <row r="1973" spans="1:9" hidden="1">
      <c r="A1973" s="428" t="s">
        <v>6268</v>
      </c>
      <c r="B1973" s="413" t="s">
        <v>146</v>
      </c>
      <c r="C1973" s="265">
        <v>1</v>
      </c>
      <c r="D1973" s="413" t="s">
        <v>8114</v>
      </c>
      <c r="E1973" s="413" t="s">
        <v>6380</v>
      </c>
      <c r="F1973" s="413" t="s">
        <v>8115</v>
      </c>
      <c r="G1973" s="413"/>
      <c r="H1973" s="1277"/>
      <c r="I1973" s="1280"/>
    </row>
    <row r="1974" spans="1:9" hidden="1">
      <c r="A1974" s="428" t="s">
        <v>6268</v>
      </c>
      <c r="B1974" s="413" t="s">
        <v>146</v>
      </c>
      <c r="C1974" s="265">
        <v>1</v>
      </c>
      <c r="D1974" s="413" t="s">
        <v>8116</v>
      </c>
      <c r="E1974" s="413" t="s">
        <v>6380</v>
      </c>
      <c r="F1974" s="413" t="s">
        <v>8117</v>
      </c>
      <c r="G1974" s="413"/>
      <c r="H1974" s="1277"/>
      <c r="I1974" s="1280"/>
    </row>
    <row r="1975" spans="1:9" hidden="1">
      <c r="A1975" s="428" t="s">
        <v>6268</v>
      </c>
      <c r="B1975" s="413" t="s">
        <v>146</v>
      </c>
      <c r="C1975" s="265">
        <v>1</v>
      </c>
      <c r="D1975" s="413" t="s">
        <v>8118</v>
      </c>
      <c r="E1975" s="413" t="s">
        <v>6380</v>
      </c>
      <c r="F1975" s="413" t="s">
        <v>8119</v>
      </c>
      <c r="G1975" s="413"/>
      <c r="H1975" s="1277"/>
      <c r="I1975" s="1280"/>
    </row>
    <row r="1976" spans="1:9" hidden="1">
      <c r="A1976" s="428" t="s">
        <v>6268</v>
      </c>
      <c r="B1976" s="413" t="s">
        <v>146</v>
      </c>
      <c r="C1976" s="265">
        <v>1</v>
      </c>
      <c r="D1976" s="413" t="s">
        <v>8120</v>
      </c>
      <c r="E1976" s="413" t="s">
        <v>6380</v>
      </c>
      <c r="F1976" s="413" t="s">
        <v>8121</v>
      </c>
      <c r="G1976" s="413"/>
      <c r="H1976" s="1277"/>
      <c r="I1976" s="1280"/>
    </row>
    <row r="1977" spans="1:9" hidden="1">
      <c r="A1977" s="428" t="s">
        <v>6268</v>
      </c>
      <c r="B1977" s="413" t="s">
        <v>146</v>
      </c>
      <c r="C1977" s="265">
        <v>1</v>
      </c>
      <c r="D1977" s="413" t="s">
        <v>8122</v>
      </c>
      <c r="E1977" s="413" t="s">
        <v>6380</v>
      </c>
      <c r="F1977" s="413" t="s">
        <v>8123</v>
      </c>
      <c r="G1977" s="413"/>
      <c r="H1977" s="1277"/>
      <c r="I1977" s="1280"/>
    </row>
    <row r="1978" spans="1:9" hidden="1">
      <c r="A1978" s="428" t="s">
        <v>6268</v>
      </c>
      <c r="B1978" s="413" t="s">
        <v>146</v>
      </c>
      <c r="C1978" s="265">
        <v>1</v>
      </c>
      <c r="D1978" s="413" t="s">
        <v>8124</v>
      </c>
      <c r="E1978" s="413" t="s">
        <v>6380</v>
      </c>
      <c r="F1978" s="413" t="s">
        <v>8125</v>
      </c>
      <c r="G1978" s="413"/>
      <c r="H1978" s="1277"/>
      <c r="I1978" s="1280"/>
    </row>
    <row r="1979" spans="1:9" hidden="1">
      <c r="A1979" s="428" t="s">
        <v>6268</v>
      </c>
      <c r="B1979" s="413" t="s">
        <v>146</v>
      </c>
      <c r="C1979" s="265">
        <v>1</v>
      </c>
      <c r="D1979" s="413" t="s">
        <v>8126</v>
      </c>
      <c r="E1979" s="413" t="s">
        <v>6380</v>
      </c>
      <c r="F1979" s="413" t="s">
        <v>8127</v>
      </c>
      <c r="G1979" s="413"/>
      <c r="H1979" s="1277"/>
      <c r="I1979" s="1280"/>
    </row>
    <row r="1980" spans="1:9" hidden="1">
      <c r="A1980" s="428" t="s">
        <v>6268</v>
      </c>
      <c r="B1980" s="413" t="s">
        <v>146</v>
      </c>
      <c r="C1980" s="265">
        <v>1</v>
      </c>
      <c r="D1980" s="413" t="s">
        <v>8128</v>
      </c>
      <c r="E1980" s="413" t="s">
        <v>6380</v>
      </c>
      <c r="F1980" s="413" t="s">
        <v>8129</v>
      </c>
      <c r="G1980" s="413"/>
      <c r="H1980" s="1277"/>
      <c r="I1980" s="1280"/>
    </row>
    <row r="1981" spans="1:9" hidden="1">
      <c r="A1981" s="428" t="s">
        <v>6268</v>
      </c>
      <c r="B1981" s="413" t="s">
        <v>146</v>
      </c>
      <c r="C1981" s="265">
        <v>1</v>
      </c>
      <c r="D1981" s="413" t="s">
        <v>8130</v>
      </c>
      <c r="E1981" s="413" t="s">
        <v>6380</v>
      </c>
      <c r="F1981" s="413" t="s">
        <v>8131</v>
      </c>
      <c r="G1981" s="413"/>
      <c r="H1981" s="1277"/>
      <c r="I1981" s="1280"/>
    </row>
    <row r="1982" spans="1:9" hidden="1">
      <c r="A1982" s="428" t="s">
        <v>6268</v>
      </c>
      <c r="B1982" s="413" t="s">
        <v>146</v>
      </c>
      <c r="C1982" s="265">
        <v>1</v>
      </c>
      <c r="D1982" s="413" t="s">
        <v>8132</v>
      </c>
      <c r="E1982" s="413" t="s">
        <v>6380</v>
      </c>
      <c r="F1982" s="413" t="s">
        <v>8133</v>
      </c>
      <c r="G1982" s="413"/>
      <c r="H1982" s="1277"/>
      <c r="I1982" s="1280"/>
    </row>
    <row r="1983" spans="1:9" hidden="1">
      <c r="A1983" s="428" t="s">
        <v>6268</v>
      </c>
      <c r="B1983" s="413" t="s">
        <v>146</v>
      </c>
      <c r="C1983" s="265">
        <v>1</v>
      </c>
      <c r="D1983" s="413" t="s">
        <v>8134</v>
      </c>
      <c r="E1983" s="413" t="s">
        <v>6380</v>
      </c>
      <c r="F1983" s="413" t="s">
        <v>8135</v>
      </c>
      <c r="G1983" s="413"/>
      <c r="H1983" s="1277"/>
      <c r="I1983" s="1280"/>
    </row>
    <row r="1984" spans="1:9" hidden="1">
      <c r="A1984" s="428" t="s">
        <v>6268</v>
      </c>
      <c r="B1984" s="413" t="s">
        <v>146</v>
      </c>
      <c r="C1984" s="265">
        <v>1</v>
      </c>
      <c r="D1984" s="413" t="s">
        <v>8136</v>
      </c>
      <c r="E1984" s="413" t="s">
        <v>6380</v>
      </c>
      <c r="F1984" s="413" t="s">
        <v>8137</v>
      </c>
      <c r="G1984" s="413"/>
      <c r="H1984" s="1277"/>
      <c r="I1984" s="1280"/>
    </row>
    <row r="1985" spans="1:9" hidden="1">
      <c r="A1985" s="428" t="s">
        <v>6268</v>
      </c>
      <c r="B1985" s="413" t="s">
        <v>146</v>
      </c>
      <c r="C1985" s="265">
        <v>1</v>
      </c>
      <c r="D1985" s="413" t="s">
        <v>8138</v>
      </c>
      <c r="E1985" s="413" t="s">
        <v>6380</v>
      </c>
      <c r="F1985" s="413" t="s">
        <v>8139</v>
      </c>
      <c r="G1985" s="413"/>
      <c r="H1985" s="1277"/>
      <c r="I1985" s="1280"/>
    </row>
    <row r="1986" spans="1:9" hidden="1">
      <c r="A1986" s="428" t="s">
        <v>6268</v>
      </c>
      <c r="B1986" s="413" t="s">
        <v>146</v>
      </c>
      <c r="C1986" s="265">
        <v>1</v>
      </c>
      <c r="D1986" s="413" t="s">
        <v>8140</v>
      </c>
      <c r="E1986" s="413" t="s">
        <v>6380</v>
      </c>
      <c r="F1986" s="413" t="s">
        <v>8141</v>
      </c>
      <c r="G1986" s="413"/>
      <c r="H1986" s="1277"/>
      <c r="I1986" s="1280"/>
    </row>
    <row r="1987" spans="1:9" hidden="1">
      <c r="A1987" s="428" t="s">
        <v>6268</v>
      </c>
      <c r="B1987" s="413" t="s">
        <v>146</v>
      </c>
      <c r="C1987" s="265">
        <v>1</v>
      </c>
      <c r="D1987" s="413" t="s">
        <v>8142</v>
      </c>
      <c r="E1987" s="413" t="s">
        <v>6380</v>
      </c>
      <c r="F1987" s="413" t="s">
        <v>8143</v>
      </c>
      <c r="G1987" s="413"/>
      <c r="H1987" s="1277"/>
      <c r="I1987" s="1280"/>
    </row>
    <row r="1988" spans="1:9" hidden="1">
      <c r="A1988" s="428" t="s">
        <v>6268</v>
      </c>
      <c r="B1988" s="413" t="s">
        <v>146</v>
      </c>
      <c r="C1988" s="265">
        <v>1</v>
      </c>
      <c r="D1988" s="413" t="s">
        <v>8144</v>
      </c>
      <c r="E1988" s="413" t="s">
        <v>6380</v>
      </c>
      <c r="F1988" s="413" t="s">
        <v>8145</v>
      </c>
      <c r="G1988" s="413"/>
      <c r="H1988" s="1277"/>
      <c r="I1988" s="1280"/>
    </row>
    <row r="1989" spans="1:9" hidden="1">
      <c r="A1989" s="428" t="s">
        <v>6268</v>
      </c>
      <c r="B1989" s="413" t="s">
        <v>146</v>
      </c>
      <c r="C1989" s="265">
        <v>1</v>
      </c>
      <c r="D1989" s="413" t="s">
        <v>8146</v>
      </c>
      <c r="E1989" s="413" t="s">
        <v>6380</v>
      </c>
      <c r="F1989" s="413" t="s">
        <v>8147</v>
      </c>
      <c r="G1989" s="413"/>
      <c r="H1989" s="1277"/>
      <c r="I1989" s="1280"/>
    </row>
    <row r="1990" spans="1:9" hidden="1">
      <c r="A1990" s="428" t="s">
        <v>6268</v>
      </c>
      <c r="B1990" s="413" t="s">
        <v>146</v>
      </c>
      <c r="C1990" s="265">
        <v>1</v>
      </c>
      <c r="D1990" s="413" t="s">
        <v>8148</v>
      </c>
      <c r="E1990" s="413" t="s">
        <v>6380</v>
      </c>
      <c r="F1990" s="413" t="s">
        <v>8149</v>
      </c>
      <c r="G1990" s="413"/>
      <c r="H1990" s="1277"/>
      <c r="I1990" s="1280"/>
    </row>
    <row r="1991" spans="1:9" hidden="1">
      <c r="A1991" s="428" t="s">
        <v>6268</v>
      </c>
      <c r="B1991" s="413" t="s">
        <v>146</v>
      </c>
      <c r="C1991" s="265">
        <v>1</v>
      </c>
      <c r="D1991" s="413" t="s">
        <v>8150</v>
      </c>
      <c r="E1991" s="413" t="s">
        <v>6380</v>
      </c>
      <c r="F1991" s="413" t="s">
        <v>8151</v>
      </c>
      <c r="G1991" s="413"/>
      <c r="H1991" s="1277"/>
      <c r="I1991" s="1280"/>
    </row>
    <row r="1992" spans="1:9" hidden="1">
      <c r="A1992" s="428" t="s">
        <v>6268</v>
      </c>
      <c r="B1992" s="413" t="s">
        <v>146</v>
      </c>
      <c r="C1992" s="265">
        <v>1</v>
      </c>
      <c r="D1992" s="413" t="s">
        <v>8152</v>
      </c>
      <c r="E1992" s="413" t="s">
        <v>6380</v>
      </c>
      <c r="F1992" s="413" t="s">
        <v>8153</v>
      </c>
      <c r="G1992" s="413"/>
      <c r="H1992" s="1277"/>
      <c r="I1992" s="1280"/>
    </row>
    <row r="1993" spans="1:9" hidden="1">
      <c r="A1993" s="428" t="s">
        <v>6268</v>
      </c>
      <c r="B1993" s="413" t="s">
        <v>146</v>
      </c>
      <c r="C1993" s="265">
        <v>1</v>
      </c>
      <c r="D1993" s="413" t="s">
        <v>8154</v>
      </c>
      <c r="E1993" s="413" t="s">
        <v>6380</v>
      </c>
      <c r="F1993" s="413" t="s">
        <v>8155</v>
      </c>
      <c r="G1993" s="413"/>
      <c r="H1993" s="1277"/>
      <c r="I1993" s="1280"/>
    </row>
    <row r="1994" spans="1:9" hidden="1">
      <c r="A1994" s="428" t="s">
        <v>6268</v>
      </c>
      <c r="B1994" s="413" t="s">
        <v>146</v>
      </c>
      <c r="C1994" s="265">
        <v>1</v>
      </c>
      <c r="D1994" s="413" t="s">
        <v>8156</v>
      </c>
      <c r="E1994" s="413" t="s">
        <v>6380</v>
      </c>
      <c r="F1994" s="413" t="s">
        <v>8157</v>
      </c>
      <c r="G1994" s="413"/>
      <c r="H1994" s="1277"/>
      <c r="I1994" s="1280"/>
    </row>
    <row r="1995" spans="1:9" hidden="1">
      <c r="A1995" s="428" t="s">
        <v>6268</v>
      </c>
      <c r="B1995" s="413" t="s">
        <v>146</v>
      </c>
      <c r="C1995" s="265">
        <v>1</v>
      </c>
      <c r="D1995" s="413" t="s">
        <v>8158</v>
      </c>
      <c r="E1995" s="413" t="s">
        <v>6380</v>
      </c>
      <c r="F1995" s="413" t="s">
        <v>8159</v>
      </c>
      <c r="G1995" s="413"/>
      <c r="H1995" s="1277"/>
      <c r="I1995" s="1280"/>
    </row>
    <row r="1996" spans="1:9" hidden="1">
      <c r="A1996" s="428" t="s">
        <v>6268</v>
      </c>
      <c r="B1996" s="413" t="s">
        <v>146</v>
      </c>
      <c r="C1996" s="265">
        <v>1</v>
      </c>
      <c r="D1996" s="413" t="s">
        <v>8160</v>
      </c>
      <c r="E1996" s="413" t="s">
        <v>6380</v>
      </c>
      <c r="F1996" s="413" t="s">
        <v>8161</v>
      </c>
      <c r="G1996" s="413"/>
      <c r="H1996" s="1277"/>
      <c r="I1996" s="1280"/>
    </row>
    <row r="1997" spans="1:9" hidden="1">
      <c r="A1997" s="428" t="s">
        <v>6268</v>
      </c>
      <c r="B1997" s="413" t="s">
        <v>146</v>
      </c>
      <c r="C1997" s="265">
        <v>1</v>
      </c>
      <c r="D1997" s="413" t="s">
        <v>8162</v>
      </c>
      <c r="E1997" s="413" t="s">
        <v>6380</v>
      </c>
      <c r="F1997" s="413" t="s">
        <v>8163</v>
      </c>
      <c r="G1997" s="413"/>
      <c r="H1997" s="1277"/>
      <c r="I1997" s="1280"/>
    </row>
    <row r="1998" spans="1:9" hidden="1">
      <c r="A1998" s="428" t="s">
        <v>6268</v>
      </c>
      <c r="B1998" s="413" t="s">
        <v>146</v>
      </c>
      <c r="C1998" s="265">
        <v>1</v>
      </c>
      <c r="D1998" s="413" t="s">
        <v>8164</v>
      </c>
      <c r="E1998" s="413" t="s">
        <v>6380</v>
      </c>
      <c r="F1998" s="413" t="s">
        <v>8165</v>
      </c>
      <c r="G1998" s="413"/>
      <c r="H1998" s="1277"/>
      <c r="I1998" s="1280"/>
    </row>
    <row r="1999" spans="1:9" hidden="1">
      <c r="A1999" s="428" t="s">
        <v>6268</v>
      </c>
      <c r="B1999" s="413" t="s">
        <v>146</v>
      </c>
      <c r="C1999" s="265">
        <v>1</v>
      </c>
      <c r="D1999" s="413" t="s">
        <v>8166</v>
      </c>
      <c r="E1999" s="413" t="s">
        <v>6380</v>
      </c>
      <c r="F1999" s="413" t="s">
        <v>8167</v>
      </c>
      <c r="G1999" s="413"/>
      <c r="H1999" s="1277"/>
      <c r="I1999" s="1280"/>
    </row>
    <row r="2000" spans="1:9" hidden="1">
      <c r="A2000" s="428" t="s">
        <v>6268</v>
      </c>
      <c r="B2000" s="413" t="s">
        <v>146</v>
      </c>
      <c r="C2000" s="265">
        <v>1</v>
      </c>
      <c r="D2000" s="413" t="s">
        <v>8168</v>
      </c>
      <c r="E2000" s="413" t="s">
        <v>6380</v>
      </c>
      <c r="F2000" s="413" t="s">
        <v>8169</v>
      </c>
      <c r="G2000" s="413"/>
      <c r="H2000" s="1277"/>
      <c r="I2000" s="1280"/>
    </row>
    <row r="2001" spans="1:9" hidden="1">
      <c r="A2001" s="428" t="s">
        <v>6268</v>
      </c>
      <c r="B2001" s="413" t="s">
        <v>146</v>
      </c>
      <c r="C2001" s="265">
        <v>1</v>
      </c>
      <c r="D2001" s="413" t="s">
        <v>8170</v>
      </c>
      <c r="E2001" s="413" t="s">
        <v>6380</v>
      </c>
      <c r="F2001" s="413" t="s">
        <v>8171</v>
      </c>
      <c r="G2001" s="413"/>
      <c r="H2001" s="1277"/>
      <c r="I2001" s="1280"/>
    </row>
    <row r="2002" spans="1:9" hidden="1">
      <c r="A2002" s="428" t="s">
        <v>6268</v>
      </c>
      <c r="B2002" s="413" t="s">
        <v>146</v>
      </c>
      <c r="C2002" s="265">
        <v>1</v>
      </c>
      <c r="D2002" s="413" t="s">
        <v>8172</v>
      </c>
      <c r="E2002" s="413" t="s">
        <v>6380</v>
      </c>
      <c r="F2002" s="413" t="s">
        <v>8171</v>
      </c>
      <c r="G2002" s="413"/>
      <c r="H2002" s="1277"/>
      <c r="I2002" s="1280"/>
    </row>
    <row r="2003" spans="1:9" hidden="1">
      <c r="A2003" s="428" t="s">
        <v>6268</v>
      </c>
      <c r="B2003" s="413" t="s">
        <v>146</v>
      </c>
      <c r="C2003" s="265">
        <v>1</v>
      </c>
      <c r="D2003" s="413" t="s">
        <v>8173</v>
      </c>
      <c r="E2003" s="413" t="s">
        <v>6380</v>
      </c>
      <c r="F2003" s="413" t="s">
        <v>8174</v>
      </c>
      <c r="G2003" s="413"/>
      <c r="H2003" s="1277"/>
      <c r="I2003" s="1280"/>
    </row>
    <row r="2004" spans="1:9" hidden="1">
      <c r="A2004" s="428" t="s">
        <v>6268</v>
      </c>
      <c r="B2004" s="413" t="s">
        <v>146</v>
      </c>
      <c r="C2004" s="265">
        <v>1</v>
      </c>
      <c r="D2004" s="413" t="s">
        <v>8175</v>
      </c>
      <c r="E2004" s="413" t="s">
        <v>6380</v>
      </c>
      <c r="F2004" s="413" t="s">
        <v>8176</v>
      </c>
      <c r="G2004" s="413"/>
      <c r="H2004" s="1277"/>
      <c r="I2004" s="1280"/>
    </row>
    <row r="2005" spans="1:9" hidden="1">
      <c r="A2005" s="428" t="s">
        <v>6268</v>
      </c>
      <c r="B2005" s="413" t="s">
        <v>146</v>
      </c>
      <c r="C2005" s="265">
        <v>1</v>
      </c>
      <c r="D2005" s="413" t="s">
        <v>8177</v>
      </c>
      <c r="E2005" s="413" t="s">
        <v>6380</v>
      </c>
      <c r="F2005" s="413" t="s">
        <v>8178</v>
      </c>
      <c r="G2005" s="413"/>
      <c r="H2005" s="1277"/>
      <c r="I2005" s="1280"/>
    </row>
    <row r="2006" spans="1:9" hidden="1">
      <c r="A2006" s="428" t="s">
        <v>6268</v>
      </c>
      <c r="B2006" s="413" t="s">
        <v>146</v>
      </c>
      <c r="C2006" s="265">
        <v>1</v>
      </c>
      <c r="D2006" s="413" t="s">
        <v>8179</v>
      </c>
      <c r="E2006" s="413" t="s">
        <v>6380</v>
      </c>
      <c r="F2006" s="413" t="s">
        <v>8180</v>
      </c>
      <c r="G2006" s="413"/>
      <c r="H2006" s="1277"/>
      <c r="I2006" s="1280"/>
    </row>
    <row r="2007" spans="1:9" hidden="1">
      <c r="A2007" s="428" t="s">
        <v>6268</v>
      </c>
      <c r="B2007" s="413" t="s">
        <v>146</v>
      </c>
      <c r="C2007" s="265">
        <v>1</v>
      </c>
      <c r="D2007" s="413" t="s">
        <v>8181</v>
      </c>
      <c r="E2007" s="413" t="s">
        <v>6380</v>
      </c>
      <c r="F2007" s="413" t="s">
        <v>8182</v>
      </c>
      <c r="G2007" s="413"/>
      <c r="H2007" s="1277"/>
      <c r="I2007" s="1280"/>
    </row>
    <row r="2008" spans="1:9" hidden="1">
      <c r="A2008" s="428" t="s">
        <v>6268</v>
      </c>
      <c r="B2008" s="413" t="s">
        <v>146</v>
      </c>
      <c r="C2008" s="265">
        <v>1</v>
      </c>
      <c r="D2008" s="413" t="s">
        <v>8183</v>
      </c>
      <c r="E2008" s="413" t="s">
        <v>6380</v>
      </c>
      <c r="F2008" s="413" t="s">
        <v>8184</v>
      </c>
      <c r="G2008" s="413"/>
      <c r="H2008" s="1277"/>
      <c r="I2008" s="1280"/>
    </row>
    <row r="2009" spans="1:9" hidden="1">
      <c r="A2009" s="428" t="s">
        <v>6268</v>
      </c>
      <c r="B2009" s="413" t="s">
        <v>146</v>
      </c>
      <c r="C2009" s="265">
        <v>1</v>
      </c>
      <c r="D2009" s="413" t="s">
        <v>8185</v>
      </c>
      <c r="E2009" s="413" t="s">
        <v>6380</v>
      </c>
      <c r="F2009" s="413" t="s">
        <v>8186</v>
      </c>
      <c r="G2009" s="413"/>
      <c r="H2009" s="1277"/>
      <c r="I2009" s="1280"/>
    </row>
    <row r="2010" spans="1:9" hidden="1">
      <c r="A2010" s="428" t="s">
        <v>6268</v>
      </c>
      <c r="B2010" s="413" t="s">
        <v>146</v>
      </c>
      <c r="C2010" s="265">
        <v>1</v>
      </c>
      <c r="D2010" s="413" t="s">
        <v>8187</v>
      </c>
      <c r="E2010" s="413" t="s">
        <v>6380</v>
      </c>
      <c r="F2010" s="413" t="s">
        <v>8188</v>
      </c>
      <c r="G2010" s="413"/>
      <c r="H2010" s="1277"/>
      <c r="I2010" s="1280"/>
    </row>
    <row r="2011" spans="1:9" hidden="1">
      <c r="A2011" s="428" t="s">
        <v>6268</v>
      </c>
      <c r="B2011" s="413" t="s">
        <v>146</v>
      </c>
      <c r="C2011" s="265">
        <v>1</v>
      </c>
      <c r="D2011" s="413" t="s">
        <v>8189</v>
      </c>
      <c r="E2011" s="413" t="s">
        <v>6380</v>
      </c>
      <c r="F2011" s="413" t="s">
        <v>8190</v>
      </c>
      <c r="G2011" s="413"/>
      <c r="H2011" s="1277"/>
      <c r="I2011" s="1280"/>
    </row>
    <row r="2012" spans="1:9" hidden="1">
      <c r="A2012" s="428" t="s">
        <v>6268</v>
      </c>
      <c r="B2012" s="413" t="s">
        <v>146</v>
      </c>
      <c r="C2012" s="265">
        <v>1</v>
      </c>
      <c r="D2012" s="413" t="s">
        <v>8191</v>
      </c>
      <c r="E2012" s="413" t="s">
        <v>6380</v>
      </c>
      <c r="F2012" s="413" t="s">
        <v>8192</v>
      </c>
      <c r="G2012" s="413"/>
      <c r="H2012" s="1277"/>
      <c r="I2012" s="1280"/>
    </row>
    <row r="2013" spans="1:9" hidden="1">
      <c r="A2013" s="428" t="s">
        <v>6268</v>
      </c>
      <c r="B2013" s="413" t="s">
        <v>146</v>
      </c>
      <c r="C2013" s="265">
        <v>1</v>
      </c>
      <c r="D2013" s="413" t="s">
        <v>8193</v>
      </c>
      <c r="E2013" s="413" t="s">
        <v>6380</v>
      </c>
      <c r="F2013" s="413" t="s">
        <v>8194</v>
      </c>
      <c r="G2013" s="413"/>
      <c r="H2013" s="1277"/>
      <c r="I2013" s="1280"/>
    </row>
    <row r="2014" spans="1:9" hidden="1">
      <c r="A2014" s="428" t="s">
        <v>6268</v>
      </c>
      <c r="B2014" s="413" t="s">
        <v>146</v>
      </c>
      <c r="C2014" s="265">
        <v>1</v>
      </c>
      <c r="D2014" s="413" t="s">
        <v>8195</v>
      </c>
      <c r="E2014" s="413" t="s">
        <v>6380</v>
      </c>
      <c r="F2014" s="413" t="s">
        <v>8196</v>
      </c>
      <c r="G2014" s="413"/>
      <c r="H2014" s="1277"/>
      <c r="I2014" s="1280"/>
    </row>
    <row r="2015" spans="1:9" hidden="1">
      <c r="A2015" s="428" t="s">
        <v>6268</v>
      </c>
      <c r="B2015" s="413" t="s">
        <v>146</v>
      </c>
      <c r="C2015" s="265">
        <v>1</v>
      </c>
      <c r="D2015" s="413" t="s">
        <v>8197</v>
      </c>
      <c r="E2015" s="413" t="s">
        <v>6380</v>
      </c>
      <c r="F2015" s="413" t="s">
        <v>8198</v>
      </c>
      <c r="G2015" s="413"/>
      <c r="H2015" s="1277"/>
      <c r="I2015" s="1280"/>
    </row>
    <row r="2016" spans="1:9" hidden="1">
      <c r="A2016" s="428" t="s">
        <v>6268</v>
      </c>
      <c r="B2016" s="413" t="s">
        <v>146</v>
      </c>
      <c r="C2016" s="265">
        <v>1</v>
      </c>
      <c r="D2016" s="413" t="s">
        <v>8199</v>
      </c>
      <c r="E2016" s="413" t="s">
        <v>6380</v>
      </c>
      <c r="F2016" s="413" t="s">
        <v>8200</v>
      </c>
      <c r="G2016" s="413"/>
      <c r="H2016" s="1277"/>
      <c r="I2016" s="1280"/>
    </row>
    <row r="2017" spans="1:9" hidden="1">
      <c r="A2017" s="428" t="s">
        <v>6268</v>
      </c>
      <c r="B2017" s="413" t="s">
        <v>146</v>
      </c>
      <c r="C2017" s="265">
        <v>1</v>
      </c>
      <c r="D2017" s="413" t="s">
        <v>8201</v>
      </c>
      <c r="E2017" s="413" t="s">
        <v>6380</v>
      </c>
      <c r="F2017" s="413" t="s">
        <v>8202</v>
      </c>
      <c r="G2017" s="413"/>
      <c r="H2017" s="1277"/>
      <c r="I2017" s="1280"/>
    </row>
    <row r="2018" spans="1:9" hidden="1">
      <c r="A2018" s="428" t="s">
        <v>6268</v>
      </c>
      <c r="B2018" s="413" t="s">
        <v>146</v>
      </c>
      <c r="C2018" s="265">
        <v>1</v>
      </c>
      <c r="D2018" s="413" t="s">
        <v>8203</v>
      </c>
      <c r="E2018" s="413" t="s">
        <v>6380</v>
      </c>
      <c r="F2018" s="413" t="s">
        <v>8204</v>
      </c>
      <c r="G2018" s="413"/>
      <c r="H2018" s="1277"/>
      <c r="I2018" s="1280"/>
    </row>
    <row r="2019" spans="1:9" hidden="1">
      <c r="A2019" s="428" t="s">
        <v>6268</v>
      </c>
      <c r="B2019" s="413" t="s">
        <v>146</v>
      </c>
      <c r="C2019" s="265">
        <v>1</v>
      </c>
      <c r="D2019" s="413" t="s">
        <v>8205</v>
      </c>
      <c r="E2019" s="413" t="s">
        <v>6380</v>
      </c>
      <c r="F2019" s="413" t="s">
        <v>8206</v>
      </c>
      <c r="G2019" s="413"/>
      <c r="H2019" s="1277"/>
      <c r="I2019" s="1280"/>
    </row>
    <row r="2020" spans="1:9" hidden="1">
      <c r="A2020" s="428" t="s">
        <v>6268</v>
      </c>
      <c r="B2020" s="413" t="s">
        <v>146</v>
      </c>
      <c r="C2020" s="265">
        <v>1</v>
      </c>
      <c r="D2020" s="413" t="s">
        <v>8207</v>
      </c>
      <c r="E2020" s="413" t="s">
        <v>6380</v>
      </c>
      <c r="F2020" s="413" t="s">
        <v>8208</v>
      </c>
      <c r="G2020" s="413"/>
      <c r="H2020" s="1277"/>
      <c r="I2020" s="1280"/>
    </row>
    <row r="2021" spans="1:9" hidden="1">
      <c r="A2021" s="428" t="s">
        <v>6268</v>
      </c>
      <c r="B2021" s="413" t="s">
        <v>146</v>
      </c>
      <c r="C2021" s="265">
        <v>1</v>
      </c>
      <c r="D2021" s="413" t="s">
        <v>8209</v>
      </c>
      <c r="E2021" s="413" t="s">
        <v>6380</v>
      </c>
      <c r="F2021" s="413" t="s">
        <v>8210</v>
      </c>
      <c r="G2021" s="413"/>
      <c r="H2021" s="1277"/>
      <c r="I2021" s="1280"/>
    </row>
    <row r="2022" spans="1:9" hidden="1">
      <c r="A2022" s="428" t="s">
        <v>6268</v>
      </c>
      <c r="B2022" s="413" t="s">
        <v>146</v>
      </c>
      <c r="C2022" s="265">
        <v>1</v>
      </c>
      <c r="D2022" s="413" t="s">
        <v>8211</v>
      </c>
      <c r="E2022" s="413" t="s">
        <v>6380</v>
      </c>
      <c r="F2022" s="413" t="s">
        <v>8212</v>
      </c>
      <c r="G2022" s="413"/>
      <c r="H2022" s="1277"/>
      <c r="I2022" s="1280"/>
    </row>
    <row r="2023" spans="1:9" hidden="1">
      <c r="A2023" s="428" t="s">
        <v>6268</v>
      </c>
      <c r="B2023" s="413" t="s">
        <v>146</v>
      </c>
      <c r="C2023" s="265">
        <v>1</v>
      </c>
      <c r="D2023" s="413" t="s">
        <v>8213</v>
      </c>
      <c r="E2023" s="413" t="s">
        <v>6380</v>
      </c>
      <c r="F2023" s="413" t="s">
        <v>8214</v>
      </c>
      <c r="G2023" s="413"/>
      <c r="H2023" s="1277"/>
      <c r="I2023" s="1280"/>
    </row>
    <row r="2024" spans="1:9" hidden="1">
      <c r="A2024" s="428" t="s">
        <v>6268</v>
      </c>
      <c r="B2024" s="413" t="s">
        <v>146</v>
      </c>
      <c r="C2024" s="265">
        <v>1</v>
      </c>
      <c r="D2024" s="413" t="s">
        <v>8215</v>
      </c>
      <c r="E2024" s="413" t="s">
        <v>6380</v>
      </c>
      <c r="F2024" s="413" t="s">
        <v>8216</v>
      </c>
      <c r="G2024" s="413"/>
      <c r="H2024" s="1277"/>
      <c r="I2024" s="1280"/>
    </row>
    <row r="2025" spans="1:9" hidden="1">
      <c r="A2025" s="428" t="s">
        <v>6268</v>
      </c>
      <c r="B2025" s="413" t="s">
        <v>146</v>
      </c>
      <c r="C2025" s="265">
        <v>1</v>
      </c>
      <c r="D2025" s="413" t="s">
        <v>8217</v>
      </c>
      <c r="E2025" s="413" t="s">
        <v>6380</v>
      </c>
      <c r="F2025" s="413" t="s">
        <v>8218</v>
      </c>
      <c r="G2025" s="413"/>
      <c r="H2025" s="1277"/>
      <c r="I2025" s="1280"/>
    </row>
    <row r="2026" spans="1:9" hidden="1">
      <c r="A2026" s="428" t="s">
        <v>6268</v>
      </c>
      <c r="B2026" s="413" t="s">
        <v>146</v>
      </c>
      <c r="C2026" s="265">
        <v>1</v>
      </c>
      <c r="D2026" s="413" t="s">
        <v>8219</v>
      </c>
      <c r="E2026" s="413" t="s">
        <v>6380</v>
      </c>
      <c r="F2026" s="413" t="s">
        <v>8220</v>
      </c>
      <c r="G2026" s="413"/>
      <c r="H2026" s="1277"/>
      <c r="I2026" s="1280"/>
    </row>
    <row r="2027" spans="1:9" hidden="1">
      <c r="A2027" s="428" t="s">
        <v>6268</v>
      </c>
      <c r="B2027" s="413" t="s">
        <v>146</v>
      </c>
      <c r="C2027" s="265">
        <v>1</v>
      </c>
      <c r="D2027" s="413" t="s">
        <v>8221</v>
      </c>
      <c r="E2027" s="413" t="s">
        <v>6380</v>
      </c>
      <c r="F2027" s="413" t="s">
        <v>8222</v>
      </c>
      <c r="G2027" s="413"/>
      <c r="H2027" s="1277"/>
      <c r="I2027" s="1280"/>
    </row>
    <row r="2028" spans="1:9" hidden="1">
      <c r="A2028" s="428" t="s">
        <v>6268</v>
      </c>
      <c r="B2028" s="413" t="s">
        <v>146</v>
      </c>
      <c r="C2028" s="265">
        <v>1</v>
      </c>
      <c r="D2028" s="413" t="s">
        <v>8223</v>
      </c>
      <c r="E2028" s="413" t="s">
        <v>6380</v>
      </c>
      <c r="F2028" s="413" t="s">
        <v>8224</v>
      </c>
      <c r="G2028" s="413"/>
      <c r="H2028" s="1277"/>
      <c r="I2028" s="1280"/>
    </row>
    <row r="2029" spans="1:9" hidden="1">
      <c r="A2029" s="428" t="s">
        <v>6268</v>
      </c>
      <c r="B2029" s="413" t="s">
        <v>146</v>
      </c>
      <c r="C2029" s="265">
        <v>1</v>
      </c>
      <c r="D2029" s="413" t="s">
        <v>8225</v>
      </c>
      <c r="E2029" s="413" t="s">
        <v>6380</v>
      </c>
      <c r="F2029" s="413" t="s">
        <v>8226</v>
      </c>
      <c r="G2029" s="413"/>
      <c r="H2029" s="1277"/>
      <c r="I2029" s="1280"/>
    </row>
    <row r="2030" spans="1:9" hidden="1">
      <c r="A2030" s="428" t="s">
        <v>6268</v>
      </c>
      <c r="B2030" s="413" t="s">
        <v>146</v>
      </c>
      <c r="C2030" s="265">
        <v>1</v>
      </c>
      <c r="D2030" s="413" t="s">
        <v>8227</v>
      </c>
      <c r="E2030" s="413" t="s">
        <v>6380</v>
      </c>
      <c r="F2030" s="413" t="s">
        <v>8228</v>
      </c>
      <c r="G2030" s="413"/>
      <c r="H2030" s="1277"/>
      <c r="I2030" s="1280"/>
    </row>
    <row r="2031" spans="1:9" hidden="1">
      <c r="A2031" s="428" t="s">
        <v>6268</v>
      </c>
      <c r="B2031" s="413" t="s">
        <v>146</v>
      </c>
      <c r="C2031" s="265">
        <v>1</v>
      </c>
      <c r="D2031" s="413" t="s">
        <v>8229</v>
      </c>
      <c r="E2031" s="413" t="s">
        <v>6380</v>
      </c>
      <c r="F2031" s="413" t="s">
        <v>8230</v>
      </c>
      <c r="G2031" s="413"/>
      <c r="H2031" s="1277"/>
      <c r="I2031" s="1280"/>
    </row>
    <row r="2032" spans="1:9" hidden="1">
      <c r="A2032" s="428" t="s">
        <v>6268</v>
      </c>
      <c r="B2032" s="413" t="s">
        <v>146</v>
      </c>
      <c r="C2032" s="265">
        <v>1</v>
      </c>
      <c r="D2032" s="413" t="s">
        <v>8231</v>
      </c>
      <c r="E2032" s="413" t="s">
        <v>6380</v>
      </c>
      <c r="F2032" s="413" t="s">
        <v>8230</v>
      </c>
      <c r="G2032" s="413"/>
      <c r="H2032" s="1277"/>
      <c r="I2032" s="1280"/>
    </row>
    <row r="2033" spans="1:9" hidden="1">
      <c r="A2033" s="428" t="s">
        <v>6268</v>
      </c>
      <c r="B2033" s="413" t="s">
        <v>146</v>
      </c>
      <c r="C2033" s="265">
        <v>1</v>
      </c>
      <c r="D2033" s="413" t="s">
        <v>8232</v>
      </c>
      <c r="E2033" s="413" t="s">
        <v>6380</v>
      </c>
      <c r="F2033" s="413" t="s">
        <v>8230</v>
      </c>
      <c r="G2033" s="413"/>
      <c r="H2033" s="1277"/>
      <c r="I2033" s="1280"/>
    </row>
    <row r="2034" spans="1:9" hidden="1">
      <c r="A2034" s="428" t="s">
        <v>6268</v>
      </c>
      <c r="B2034" s="413" t="s">
        <v>146</v>
      </c>
      <c r="C2034" s="265">
        <v>1</v>
      </c>
      <c r="D2034" s="413" t="s">
        <v>8233</v>
      </c>
      <c r="E2034" s="413" t="s">
        <v>6380</v>
      </c>
      <c r="F2034" s="413" t="s">
        <v>8230</v>
      </c>
      <c r="G2034" s="413"/>
      <c r="H2034" s="1277"/>
      <c r="I2034" s="1280"/>
    </row>
    <row r="2035" spans="1:9" hidden="1">
      <c r="A2035" s="428" t="s">
        <v>6268</v>
      </c>
      <c r="B2035" s="413" t="s">
        <v>146</v>
      </c>
      <c r="C2035" s="265">
        <v>1</v>
      </c>
      <c r="D2035" s="413" t="s">
        <v>8234</v>
      </c>
      <c r="E2035" s="413" t="s">
        <v>6380</v>
      </c>
      <c r="F2035" s="413" t="s">
        <v>8230</v>
      </c>
      <c r="G2035" s="413"/>
      <c r="H2035" s="1277"/>
      <c r="I2035" s="1280"/>
    </row>
    <row r="2036" spans="1:9" hidden="1">
      <c r="A2036" s="428" t="s">
        <v>6268</v>
      </c>
      <c r="B2036" s="413" t="s">
        <v>146</v>
      </c>
      <c r="C2036" s="265">
        <v>1</v>
      </c>
      <c r="D2036" s="413" t="s">
        <v>8235</v>
      </c>
      <c r="E2036" s="413" t="s">
        <v>6380</v>
      </c>
      <c r="F2036" s="413" t="s">
        <v>8230</v>
      </c>
      <c r="G2036" s="413"/>
      <c r="H2036" s="1277"/>
      <c r="I2036" s="1280"/>
    </row>
    <row r="2037" spans="1:9" hidden="1">
      <c r="A2037" s="428" t="s">
        <v>6268</v>
      </c>
      <c r="B2037" s="413" t="s">
        <v>146</v>
      </c>
      <c r="C2037" s="265">
        <v>1</v>
      </c>
      <c r="D2037" s="413" t="s">
        <v>8236</v>
      </c>
      <c r="E2037" s="413" t="s">
        <v>6380</v>
      </c>
      <c r="F2037" s="413" t="s">
        <v>8230</v>
      </c>
      <c r="G2037" s="413"/>
      <c r="H2037" s="1277"/>
      <c r="I2037" s="1280"/>
    </row>
    <row r="2038" spans="1:9" hidden="1">
      <c r="A2038" s="428" t="s">
        <v>6268</v>
      </c>
      <c r="B2038" s="413" t="s">
        <v>146</v>
      </c>
      <c r="C2038" s="265">
        <v>1</v>
      </c>
      <c r="D2038" s="413" t="s">
        <v>8237</v>
      </c>
      <c r="E2038" s="413" t="s">
        <v>6380</v>
      </c>
      <c r="F2038" s="413" t="s">
        <v>8230</v>
      </c>
      <c r="G2038" s="413"/>
      <c r="H2038" s="1277"/>
      <c r="I2038" s="1280"/>
    </row>
    <row r="2039" spans="1:9" hidden="1">
      <c r="A2039" s="428" t="s">
        <v>6268</v>
      </c>
      <c r="B2039" s="413" t="s">
        <v>146</v>
      </c>
      <c r="C2039" s="265">
        <v>1</v>
      </c>
      <c r="D2039" s="413" t="s">
        <v>8238</v>
      </c>
      <c r="E2039" s="413" t="s">
        <v>6380</v>
      </c>
      <c r="F2039" s="413" t="s">
        <v>8230</v>
      </c>
      <c r="G2039" s="413"/>
      <c r="H2039" s="1277"/>
      <c r="I2039" s="1280"/>
    </row>
    <row r="2040" spans="1:9" hidden="1">
      <c r="A2040" s="428" t="s">
        <v>6268</v>
      </c>
      <c r="B2040" s="413" t="s">
        <v>146</v>
      </c>
      <c r="C2040" s="265">
        <v>1</v>
      </c>
      <c r="D2040" s="413" t="s">
        <v>8239</v>
      </c>
      <c r="E2040" s="413" t="s">
        <v>6380</v>
      </c>
      <c r="F2040" s="413" t="s">
        <v>8230</v>
      </c>
      <c r="G2040" s="413"/>
      <c r="H2040" s="1277"/>
      <c r="I2040" s="1280"/>
    </row>
    <row r="2041" spans="1:9" hidden="1">
      <c r="A2041" s="428" t="s">
        <v>6268</v>
      </c>
      <c r="B2041" s="413" t="s">
        <v>146</v>
      </c>
      <c r="C2041" s="265">
        <v>1</v>
      </c>
      <c r="D2041" s="413" t="s">
        <v>8240</v>
      </c>
      <c r="E2041" s="413" t="s">
        <v>6380</v>
      </c>
      <c r="F2041" s="413" t="s">
        <v>8241</v>
      </c>
      <c r="G2041" s="413"/>
      <c r="H2041" s="1277"/>
      <c r="I2041" s="1280"/>
    </row>
    <row r="2042" spans="1:9" hidden="1">
      <c r="A2042" s="428" t="s">
        <v>6268</v>
      </c>
      <c r="B2042" s="413" t="s">
        <v>146</v>
      </c>
      <c r="C2042" s="265">
        <v>1</v>
      </c>
      <c r="D2042" s="413" t="s">
        <v>8242</v>
      </c>
      <c r="E2042" s="413" t="s">
        <v>6380</v>
      </c>
      <c r="F2042" s="413" t="s">
        <v>8243</v>
      </c>
      <c r="G2042" s="413"/>
      <c r="H2042" s="1277"/>
      <c r="I2042" s="1280"/>
    </row>
    <row r="2043" spans="1:9" hidden="1">
      <c r="A2043" s="428" t="s">
        <v>6268</v>
      </c>
      <c r="B2043" s="413" t="s">
        <v>146</v>
      </c>
      <c r="C2043" s="265">
        <v>1</v>
      </c>
      <c r="D2043" s="413" t="s">
        <v>8244</v>
      </c>
      <c r="E2043" s="413" t="s">
        <v>6380</v>
      </c>
      <c r="F2043" s="413" t="s">
        <v>8245</v>
      </c>
      <c r="G2043" s="413"/>
      <c r="H2043" s="1277"/>
      <c r="I2043" s="1280"/>
    </row>
    <row r="2044" spans="1:9" hidden="1">
      <c r="A2044" s="428" t="s">
        <v>6268</v>
      </c>
      <c r="B2044" s="413" t="s">
        <v>146</v>
      </c>
      <c r="C2044" s="265">
        <v>1</v>
      </c>
      <c r="D2044" s="413" t="s">
        <v>8246</v>
      </c>
      <c r="E2044" s="413" t="s">
        <v>6380</v>
      </c>
      <c r="F2044" s="413" t="s">
        <v>8247</v>
      </c>
      <c r="G2044" s="413"/>
      <c r="H2044" s="1277"/>
      <c r="I2044" s="1280"/>
    </row>
    <row r="2045" spans="1:9" hidden="1">
      <c r="A2045" s="428" t="s">
        <v>6268</v>
      </c>
      <c r="B2045" s="413" t="s">
        <v>146</v>
      </c>
      <c r="C2045" s="265">
        <v>1</v>
      </c>
      <c r="D2045" s="413" t="s">
        <v>8248</v>
      </c>
      <c r="E2045" s="413" t="s">
        <v>6380</v>
      </c>
      <c r="F2045" s="413" t="s">
        <v>8249</v>
      </c>
      <c r="G2045" s="413"/>
      <c r="H2045" s="1277"/>
      <c r="I2045" s="1280"/>
    </row>
    <row r="2046" spans="1:9" hidden="1">
      <c r="A2046" s="428" t="s">
        <v>6268</v>
      </c>
      <c r="B2046" s="413" t="s">
        <v>146</v>
      </c>
      <c r="C2046" s="265">
        <v>1</v>
      </c>
      <c r="D2046" s="413" t="s">
        <v>8250</v>
      </c>
      <c r="E2046" s="413" t="s">
        <v>6380</v>
      </c>
      <c r="F2046" s="413" t="s">
        <v>8251</v>
      </c>
      <c r="G2046" s="413"/>
      <c r="H2046" s="1277"/>
      <c r="I2046" s="1280"/>
    </row>
    <row r="2047" spans="1:9" hidden="1">
      <c r="A2047" s="428" t="s">
        <v>6268</v>
      </c>
      <c r="B2047" s="413" t="s">
        <v>146</v>
      </c>
      <c r="C2047" s="265">
        <v>1</v>
      </c>
      <c r="D2047" s="413" t="s">
        <v>8252</v>
      </c>
      <c r="E2047" s="413" t="s">
        <v>6380</v>
      </c>
      <c r="F2047" s="413" t="s">
        <v>8147</v>
      </c>
      <c r="G2047" s="413"/>
      <c r="H2047" s="1277"/>
      <c r="I2047" s="1280"/>
    </row>
    <row r="2048" spans="1:9" hidden="1">
      <c r="A2048" s="428" t="s">
        <v>6268</v>
      </c>
      <c r="B2048" s="413" t="s">
        <v>146</v>
      </c>
      <c r="C2048" s="265">
        <v>1</v>
      </c>
      <c r="D2048" s="413" t="s">
        <v>8253</v>
      </c>
      <c r="E2048" s="413" t="s">
        <v>6380</v>
      </c>
      <c r="F2048" s="413" t="s">
        <v>8149</v>
      </c>
      <c r="G2048" s="413"/>
      <c r="H2048" s="1277"/>
      <c r="I2048" s="1280"/>
    </row>
    <row r="2049" spans="1:9" hidden="1">
      <c r="A2049" s="428" t="s">
        <v>6268</v>
      </c>
      <c r="B2049" s="413" t="s">
        <v>146</v>
      </c>
      <c r="C2049" s="265">
        <v>1</v>
      </c>
      <c r="D2049" s="413" t="s">
        <v>8254</v>
      </c>
      <c r="E2049" s="413" t="s">
        <v>6380</v>
      </c>
      <c r="F2049" s="413" t="s">
        <v>8151</v>
      </c>
      <c r="G2049" s="413"/>
      <c r="H2049" s="1277"/>
      <c r="I2049" s="1280"/>
    </row>
    <row r="2050" spans="1:9" hidden="1">
      <c r="A2050" s="428" t="s">
        <v>6268</v>
      </c>
      <c r="B2050" s="413" t="s">
        <v>146</v>
      </c>
      <c r="C2050" s="265">
        <v>1</v>
      </c>
      <c r="D2050" s="413" t="s">
        <v>8255</v>
      </c>
      <c r="E2050" s="413" t="s">
        <v>6380</v>
      </c>
      <c r="F2050" s="413" t="s">
        <v>8153</v>
      </c>
      <c r="G2050" s="413"/>
      <c r="H2050" s="1277"/>
      <c r="I2050" s="1280"/>
    </row>
    <row r="2051" spans="1:9" hidden="1">
      <c r="A2051" s="428" t="s">
        <v>6268</v>
      </c>
      <c r="B2051" s="413" t="s">
        <v>146</v>
      </c>
      <c r="C2051" s="265">
        <v>1</v>
      </c>
      <c r="D2051" s="413" t="s">
        <v>8256</v>
      </c>
      <c r="E2051" s="413" t="s">
        <v>6380</v>
      </c>
      <c r="F2051" s="413" t="s">
        <v>8155</v>
      </c>
      <c r="G2051" s="413"/>
      <c r="H2051" s="1277"/>
      <c r="I2051" s="1280"/>
    </row>
    <row r="2052" spans="1:9" hidden="1">
      <c r="A2052" s="428" t="s">
        <v>6268</v>
      </c>
      <c r="B2052" s="413" t="s">
        <v>146</v>
      </c>
      <c r="C2052" s="265">
        <v>1</v>
      </c>
      <c r="D2052" s="413" t="s">
        <v>8257</v>
      </c>
      <c r="E2052" s="413" t="s">
        <v>6380</v>
      </c>
      <c r="F2052" s="413" t="s">
        <v>8157</v>
      </c>
      <c r="G2052" s="413"/>
      <c r="H2052" s="1277"/>
      <c r="I2052" s="1280"/>
    </row>
    <row r="2053" spans="1:9" hidden="1">
      <c r="A2053" s="428" t="s">
        <v>6268</v>
      </c>
      <c r="B2053" s="413" t="s">
        <v>146</v>
      </c>
      <c r="C2053" s="265">
        <v>1</v>
      </c>
      <c r="D2053" s="413" t="s">
        <v>8258</v>
      </c>
      <c r="E2053" s="413" t="s">
        <v>6380</v>
      </c>
      <c r="F2053" s="413" t="s">
        <v>8159</v>
      </c>
      <c r="G2053" s="413"/>
      <c r="H2053" s="1277"/>
      <c r="I2053" s="1280"/>
    </row>
    <row r="2054" spans="1:9" hidden="1">
      <c r="A2054" s="428" t="s">
        <v>6268</v>
      </c>
      <c r="B2054" s="413" t="s">
        <v>146</v>
      </c>
      <c r="C2054" s="265">
        <v>1</v>
      </c>
      <c r="D2054" s="413" t="s">
        <v>8259</v>
      </c>
      <c r="E2054" s="413" t="s">
        <v>6380</v>
      </c>
      <c r="F2054" s="413" t="s">
        <v>8161</v>
      </c>
      <c r="G2054" s="413"/>
      <c r="H2054" s="1277"/>
      <c r="I2054" s="1280"/>
    </row>
    <row r="2055" spans="1:9" hidden="1">
      <c r="A2055" s="428" t="s">
        <v>6268</v>
      </c>
      <c r="B2055" s="413" t="s">
        <v>146</v>
      </c>
      <c r="C2055" s="265">
        <v>1</v>
      </c>
      <c r="D2055" s="413" t="s">
        <v>8260</v>
      </c>
      <c r="E2055" s="413" t="s">
        <v>6380</v>
      </c>
      <c r="F2055" s="413" t="s">
        <v>8163</v>
      </c>
      <c r="G2055" s="413"/>
      <c r="H2055" s="1277"/>
      <c r="I2055" s="1280"/>
    </row>
    <row r="2056" spans="1:9" hidden="1">
      <c r="A2056" s="428" t="s">
        <v>6268</v>
      </c>
      <c r="B2056" s="413" t="s">
        <v>146</v>
      </c>
      <c r="C2056" s="265">
        <v>1</v>
      </c>
      <c r="D2056" s="413" t="s">
        <v>8261</v>
      </c>
      <c r="E2056" s="413" t="s">
        <v>6380</v>
      </c>
      <c r="F2056" s="413" t="s">
        <v>8165</v>
      </c>
      <c r="G2056" s="413"/>
      <c r="H2056" s="1277"/>
      <c r="I2056" s="1280"/>
    </row>
    <row r="2057" spans="1:9" hidden="1">
      <c r="A2057" s="428" t="s">
        <v>6268</v>
      </c>
      <c r="B2057" s="413" t="s">
        <v>146</v>
      </c>
      <c r="C2057" s="265">
        <v>1</v>
      </c>
      <c r="D2057" s="413" t="s">
        <v>8262</v>
      </c>
      <c r="E2057" s="413" t="s">
        <v>6380</v>
      </c>
      <c r="F2057" s="413" t="s">
        <v>8167</v>
      </c>
      <c r="G2057" s="413"/>
      <c r="H2057" s="1277"/>
      <c r="I2057" s="1280"/>
    </row>
    <row r="2058" spans="1:9" hidden="1">
      <c r="A2058" s="428" t="s">
        <v>6268</v>
      </c>
      <c r="B2058" s="413" t="s">
        <v>146</v>
      </c>
      <c r="C2058" s="265">
        <v>1</v>
      </c>
      <c r="D2058" s="413" t="s">
        <v>8263</v>
      </c>
      <c r="E2058" s="413" t="s">
        <v>6380</v>
      </c>
      <c r="F2058" s="413" t="s">
        <v>8169</v>
      </c>
      <c r="G2058" s="413"/>
      <c r="H2058" s="1277"/>
      <c r="I2058" s="1280"/>
    </row>
    <row r="2059" spans="1:9" hidden="1">
      <c r="A2059" s="428" t="s">
        <v>6268</v>
      </c>
      <c r="B2059" s="413" t="s">
        <v>146</v>
      </c>
      <c r="C2059" s="265">
        <v>1</v>
      </c>
      <c r="D2059" s="413" t="s">
        <v>8264</v>
      </c>
      <c r="E2059" s="413" t="s">
        <v>6380</v>
      </c>
      <c r="F2059" s="413" t="s">
        <v>8171</v>
      </c>
      <c r="G2059" s="413"/>
      <c r="H2059" s="1277"/>
      <c r="I2059" s="1280"/>
    </row>
    <row r="2060" spans="1:9" hidden="1">
      <c r="A2060" s="428" t="s">
        <v>6268</v>
      </c>
      <c r="B2060" s="413" t="s">
        <v>146</v>
      </c>
      <c r="C2060" s="265">
        <v>1</v>
      </c>
      <c r="D2060" s="413" t="s">
        <v>8265</v>
      </c>
      <c r="E2060" s="413" t="s">
        <v>6380</v>
      </c>
      <c r="F2060" s="413" t="s">
        <v>8171</v>
      </c>
      <c r="G2060" s="413"/>
      <c r="H2060" s="1277"/>
      <c r="I2060" s="1280"/>
    </row>
    <row r="2061" spans="1:9" hidden="1">
      <c r="A2061" s="428" t="s">
        <v>6268</v>
      </c>
      <c r="B2061" s="413" t="s">
        <v>146</v>
      </c>
      <c r="C2061" s="265">
        <v>1</v>
      </c>
      <c r="D2061" s="413" t="s">
        <v>8266</v>
      </c>
      <c r="E2061" s="413" t="s">
        <v>6380</v>
      </c>
      <c r="F2061" s="413" t="s">
        <v>8174</v>
      </c>
      <c r="G2061" s="413"/>
      <c r="H2061" s="1277"/>
      <c r="I2061" s="1280"/>
    </row>
    <row r="2062" spans="1:9" hidden="1">
      <c r="A2062" s="428" t="s">
        <v>6268</v>
      </c>
      <c r="B2062" s="413" t="s">
        <v>146</v>
      </c>
      <c r="C2062" s="265">
        <v>1</v>
      </c>
      <c r="D2062" s="413" t="s">
        <v>8267</v>
      </c>
      <c r="E2062" s="413" t="s">
        <v>6380</v>
      </c>
      <c r="F2062" s="413" t="s">
        <v>8176</v>
      </c>
      <c r="G2062" s="413"/>
      <c r="H2062" s="1277"/>
      <c r="I2062" s="1280"/>
    </row>
    <row r="2063" spans="1:9" hidden="1">
      <c r="A2063" s="428" t="s">
        <v>6268</v>
      </c>
      <c r="B2063" s="413" t="s">
        <v>146</v>
      </c>
      <c r="C2063" s="265">
        <v>1</v>
      </c>
      <c r="D2063" s="413" t="s">
        <v>8268</v>
      </c>
      <c r="E2063" s="413" t="s">
        <v>6380</v>
      </c>
      <c r="F2063" s="413" t="s">
        <v>8269</v>
      </c>
      <c r="G2063" s="413"/>
      <c r="H2063" s="1277"/>
      <c r="I2063" s="1280"/>
    </row>
    <row r="2064" spans="1:9" hidden="1">
      <c r="A2064" s="428" t="s">
        <v>6268</v>
      </c>
      <c r="B2064" s="413" t="s">
        <v>146</v>
      </c>
      <c r="C2064" s="265">
        <v>1</v>
      </c>
      <c r="D2064" s="413" t="s">
        <v>8270</v>
      </c>
      <c r="E2064" s="413" t="s">
        <v>6358</v>
      </c>
      <c r="F2064" s="413" t="s">
        <v>8271</v>
      </c>
      <c r="G2064" s="413"/>
      <c r="H2064" s="1277"/>
      <c r="I2064" s="1280"/>
    </row>
    <row r="2065" spans="1:9" hidden="1">
      <c r="A2065" s="428" t="s">
        <v>6268</v>
      </c>
      <c r="B2065" s="413" t="s">
        <v>146</v>
      </c>
      <c r="C2065" s="265">
        <v>1</v>
      </c>
      <c r="D2065" s="413" t="s">
        <v>8272</v>
      </c>
      <c r="E2065" s="413" t="s">
        <v>6380</v>
      </c>
      <c r="F2065" s="413" t="s">
        <v>8273</v>
      </c>
      <c r="G2065" s="413"/>
      <c r="H2065" s="1277"/>
      <c r="I2065" s="1280"/>
    </row>
    <row r="2066" spans="1:9" hidden="1">
      <c r="A2066" s="428" t="s">
        <v>6268</v>
      </c>
      <c r="B2066" s="413" t="s">
        <v>146</v>
      </c>
      <c r="C2066" s="265">
        <v>1</v>
      </c>
      <c r="D2066" s="413" t="s">
        <v>8274</v>
      </c>
      <c r="E2066" s="413" t="s">
        <v>6380</v>
      </c>
      <c r="F2066" s="413" t="s">
        <v>8275</v>
      </c>
      <c r="G2066" s="413"/>
      <c r="H2066" s="1277"/>
      <c r="I2066" s="1280"/>
    </row>
    <row r="2067" spans="1:9" hidden="1">
      <c r="A2067" s="428" t="s">
        <v>6268</v>
      </c>
      <c r="B2067" s="413" t="s">
        <v>146</v>
      </c>
      <c r="C2067" s="265">
        <v>1</v>
      </c>
      <c r="D2067" s="413" t="s">
        <v>8276</v>
      </c>
      <c r="E2067" s="413" t="s">
        <v>6380</v>
      </c>
      <c r="F2067" s="413" t="s">
        <v>8277</v>
      </c>
      <c r="G2067" s="413"/>
      <c r="H2067" s="1277"/>
      <c r="I2067" s="1280"/>
    </row>
    <row r="2068" spans="1:9" hidden="1">
      <c r="A2068" s="428" t="s">
        <v>6268</v>
      </c>
      <c r="B2068" s="413" t="s">
        <v>146</v>
      </c>
      <c r="C2068" s="265">
        <v>1</v>
      </c>
      <c r="D2068" s="413" t="s">
        <v>8278</v>
      </c>
      <c r="E2068" s="413" t="s">
        <v>6380</v>
      </c>
      <c r="F2068" s="413" t="s">
        <v>8279</v>
      </c>
      <c r="G2068" s="413"/>
      <c r="H2068" s="1277"/>
      <c r="I2068" s="1280"/>
    </row>
    <row r="2069" spans="1:9" hidden="1">
      <c r="A2069" s="428" t="s">
        <v>6268</v>
      </c>
      <c r="B2069" s="413" t="s">
        <v>146</v>
      </c>
      <c r="C2069" s="265">
        <v>1</v>
      </c>
      <c r="D2069" s="413" t="s">
        <v>8280</v>
      </c>
      <c r="E2069" s="413" t="s">
        <v>6358</v>
      </c>
      <c r="F2069" s="413" t="s">
        <v>8281</v>
      </c>
      <c r="G2069" s="413"/>
      <c r="H2069" s="1277"/>
      <c r="I2069" s="1280"/>
    </row>
    <row r="2070" spans="1:9" hidden="1">
      <c r="A2070" s="428" t="s">
        <v>6268</v>
      </c>
      <c r="B2070" s="413" t="s">
        <v>146</v>
      </c>
      <c r="C2070" s="265">
        <v>1</v>
      </c>
      <c r="D2070" s="413" t="s">
        <v>8282</v>
      </c>
      <c r="E2070" s="413" t="s">
        <v>6380</v>
      </c>
      <c r="F2070" s="413" t="s">
        <v>8283</v>
      </c>
      <c r="G2070" s="413"/>
      <c r="H2070" s="1277"/>
      <c r="I2070" s="1280"/>
    </row>
    <row r="2071" spans="1:9" hidden="1">
      <c r="A2071" s="428" t="s">
        <v>6268</v>
      </c>
      <c r="B2071" s="413" t="s">
        <v>146</v>
      </c>
      <c r="C2071" s="265">
        <v>1</v>
      </c>
      <c r="D2071" s="413" t="s">
        <v>8284</v>
      </c>
      <c r="E2071" s="413" t="s">
        <v>6380</v>
      </c>
      <c r="F2071" s="413" t="s">
        <v>8285</v>
      </c>
      <c r="G2071" s="413"/>
      <c r="H2071" s="1277"/>
      <c r="I2071" s="1280"/>
    </row>
    <row r="2072" spans="1:9" hidden="1">
      <c r="A2072" s="428" t="s">
        <v>6268</v>
      </c>
      <c r="B2072" s="413" t="s">
        <v>146</v>
      </c>
      <c r="C2072" s="265">
        <v>1</v>
      </c>
      <c r="D2072" s="413" t="s">
        <v>8286</v>
      </c>
      <c r="E2072" s="413" t="s">
        <v>6380</v>
      </c>
      <c r="F2072" s="413" t="s">
        <v>8287</v>
      </c>
      <c r="G2072" s="413"/>
      <c r="H2072" s="1277"/>
      <c r="I2072" s="1280"/>
    </row>
    <row r="2073" spans="1:9" hidden="1">
      <c r="A2073" s="428" t="s">
        <v>6268</v>
      </c>
      <c r="B2073" s="413" t="s">
        <v>146</v>
      </c>
      <c r="C2073" s="265">
        <v>1</v>
      </c>
      <c r="D2073" s="413" t="s">
        <v>8288</v>
      </c>
      <c r="E2073" s="413" t="s">
        <v>6380</v>
      </c>
      <c r="F2073" s="413" t="s">
        <v>8289</v>
      </c>
      <c r="G2073" s="413"/>
      <c r="H2073" s="1277"/>
      <c r="I2073" s="1280"/>
    </row>
    <row r="2074" spans="1:9" hidden="1">
      <c r="A2074" s="428" t="s">
        <v>6268</v>
      </c>
      <c r="B2074" s="413" t="s">
        <v>146</v>
      </c>
      <c r="C2074" s="265">
        <v>1</v>
      </c>
      <c r="D2074" s="413" t="s">
        <v>8290</v>
      </c>
      <c r="E2074" s="413" t="s">
        <v>6380</v>
      </c>
      <c r="F2074" s="413" t="s">
        <v>8291</v>
      </c>
      <c r="G2074" s="413"/>
      <c r="H2074" s="1277"/>
      <c r="I2074" s="1280"/>
    </row>
    <row r="2075" spans="1:9" hidden="1">
      <c r="A2075" s="428" t="s">
        <v>6268</v>
      </c>
      <c r="B2075" s="413" t="s">
        <v>146</v>
      </c>
      <c r="C2075" s="265">
        <v>1</v>
      </c>
      <c r="D2075" s="413" t="s">
        <v>8292</v>
      </c>
      <c r="E2075" s="413" t="s">
        <v>6380</v>
      </c>
      <c r="F2075" s="413" t="s">
        <v>8293</v>
      </c>
      <c r="G2075" s="413"/>
      <c r="H2075" s="1277"/>
      <c r="I2075" s="1280"/>
    </row>
    <row r="2076" spans="1:9" hidden="1">
      <c r="A2076" s="428" t="s">
        <v>6268</v>
      </c>
      <c r="B2076" s="413" t="s">
        <v>146</v>
      </c>
      <c r="C2076" s="265">
        <v>1</v>
      </c>
      <c r="D2076" s="413" t="s">
        <v>8294</v>
      </c>
      <c r="E2076" s="413" t="s">
        <v>6380</v>
      </c>
      <c r="F2076" s="413" t="s">
        <v>8295</v>
      </c>
      <c r="G2076" s="413"/>
      <c r="H2076" s="1277"/>
      <c r="I2076" s="1280"/>
    </row>
    <row r="2077" spans="1:9" hidden="1">
      <c r="A2077" s="428" t="s">
        <v>6268</v>
      </c>
      <c r="B2077" s="413" t="s">
        <v>146</v>
      </c>
      <c r="C2077" s="265">
        <v>1</v>
      </c>
      <c r="D2077" s="413" t="s">
        <v>8296</v>
      </c>
      <c r="E2077" s="413" t="s">
        <v>6380</v>
      </c>
      <c r="F2077" s="413" t="s">
        <v>8297</v>
      </c>
      <c r="G2077" s="413"/>
      <c r="H2077" s="1277"/>
      <c r="I2077" s="1280"/>
    </row>
    <row r="2078" spans="1:9" hidden="1">
      <c r="A2078" s="428" t="s">
        <v>6268</v>
      </c>
      <c r="B2078" s="413" t="s">
        <v>146</v>
      </c>
      <c r="C2078" s="265">
        <v>1</v>
      </c>
      <c r="D2078" s="413" t="s">
        <v>8298</v>
      </c>
      <c r="E2078" s="413" t="s">
        <v>6380</v>
      </c>
      <c r="F2078" s="413" t="s">
        <v>8299</v>
      </c>
      <c r="G2078" s="413"/>
      <c r="H2078" s="1277"/>
      <c r="I2078" s="1280"/>
    </row>
    <row r="2079" spans="1:9" hidden="1">
      <c r="A2079" s="428" t="s">
        <v>6268</v>
      </c>
      <c r="B2079" s="413" t="s">
        <v>146</v>
      </c>
      <c r="C2079" s="265">
        <v>1</v>
      </c>
      <c r="D2079" s="413" t="s">
        <v>8300</v>
      </c>
      <c r="E2079" s="413" t="s">
        <v>6380</v>
      </c>
      <c r="F2079" s="413" t="s">
        <v>8301</v>
      </c>
      <c r="G2079" s="413"/>
      <c r="H2079" s="1277"/>
      <c r="I2079" s="1280"/>
    </row>
    <row r="2080" spans="1:9" hidden="1">
      <c r="A2080" s="428" t="s">
        <v>6268</v>
      </c>
      <c r="B2080" s="413" t="s">
        <v>146</v>
      </c>
      <c r="C2080" s="265">
        <v>1</v>
      </c>
      <c r="D2080" s="413" t="s">
        <v>8302</v>
      </c>
      <c r="E2080" s="413" t="s">
        <v>6380</v>
      </c>
      <c r="F2080" s="413" t="s">
        <v>8303</v>
      </c>
      <c r="G2080" s="413"/>
      <c r="H2080" s="1277"/>
      <c r="I2080" s="1280"/>
    </row>
    <row r="2081" spans="1:9" hidden="1">
      <c r="A2081" s="428" t="s">
        <v>6268</v>
      </c>
      <c r="B2081" s="413" t="s">
        <v>146</v>
      </c>
      <c r="C2081" s="265">
        <v>1</v>
      </c>
      <c r="D2081" s="413" t="s">
        <v>8304</v>
      </c>
      <c r="E2081" s="413" t="s">
        <v>6380</v>
      </c>
      <c r="F2081" s="413" t="s">
        <v>8305</v>
      </c>
      <c r="G2081" s="413"/>
      <c r="H2081" s="1277"/>
      <c r="I2081" s="1280"/>
    </row>
    <row r="2082" spans="1:9" hidden="1">
      <c r="A2082" s="428" t="s">
        <v>6268</v>
      </c>
      <c r="B2082" s="413" t="s">
        <v>146</v>
      </c>
      <c r="C2082" s="265">
        <v>1</v>
      </c>
      <c r="D2082" s="413" t="s">
        <v>8306</v>
      </c>
      <c r="E2082" s="413" t="s">
        <v>6358</v>
      </c>
      <c r="F2082" s="413" t="s">
        <v>8307</v>
      </c>
      <c r="G2082" s="413"/>
      <c r="H2082" s="1277"/>
      <c r="I2082" s="1280"/>
    </row>
    <row r="2083" spans="1:9" hidden="1">
      <c r="A2083" s="428" t="s">
        <v>6268</v>
      </c>
      <c r="B2083" s="413" t="s">
        <v>146</v>
      </c>
      <c r="C2083" s="265">
        <v>1</v>
      </c>
      <c r="D2083" s="413" t="s">
        <v>8308</v>
      </c>
      <c r="E2083" s="413" t="s">
        <v>6358</v>
      </c>
      <c r="F2083" s="413" t="s">
        <v>8309</v>
      </c>
      <c r="G2083" s="413"/>
      <c r="H2083" s="1277"/>
      <c r="I2083" s="1280"/>
    </row>
    <row r="2084" spans="1:9" hidden="1">
      <c r="A2084" s="428" t="s">
        <v>6268</v>
      </c>
      <c r="B2084" s="413" t="s">
        <v>146</v>
      </c>
      <c r="C2084" s="265">
        <v>1</v>
      </c>
      <c r="D2084" s="413" t="s">
        <v>8310</v>
      </c>
      <c r="E2084" s="413" t="s">
        <v>6358</v>
      </c>
      <c r="F2084" s="413" t="s">
        <v>8311</v>
      </c>
      <c r="G2084" s="413"/>
      <c r="H2084" s="1277"/>
      <c r="I2084" s="1280"/>
    </row>
    <row r="2085" spans="1:9" hidden="1">
      <c r="A2085" s="428" t="s">
        <v>6268</v>
      </c>
      <c r="B2085" s="413" t="s">
        <v>146</v>
      </c>
      <c r="C2085" s="265">
        <v>1</v>
      </c>
      <c r="D2085" s="413" t="s">
        <v>8312</v>
      </c>
      <c r="E2085" s="413" t="s">
        <v>6358</v>
      </c>
      <c r="F2085" s="413" t="s">
        <v>8313</v>
      </c>
      <c r="G2085" s="413"/>
      <c r="H2085" s="1277"/>
      <c r="I2085" s="1280"/>
    </row>
    <row r="2086" spans="1:9" hidden="1">
      <c r="A2086" s="428" t="s">
        <v>6268</v>
      </c>
      <c r="B2086" s="413" t="s">
        <v>146</v>
      </c>
      <c r="C2086" s="265">
        <v>1</v>
      </c>
      <c r="D2086" s="413" t="s">
        <v>8314</v>
      </c>
      <c r="E2086" s="413" t="s">
        <v>6380</v>
      </c>
      <c r="F2086" s="413" t="s">
        <v>8315</v>
      </c>
      <c r="G2086" s="413"/>
      <c r="H2086" s="1277"/>
      <c r="I2086" s="1280"/>
    </row>
    <row r="2087" spans="1:9" hidden="1">
      <c r="A2087" s="428" t="s">
        <v>6268</v>
      </c>
      <c r="B2087" s="413" t="s">
        <v>146</v>
      </c>
      <c r="C2087" s="265">
        <v>1</v>
      </c>
      <c r="D2087" s="413" t="s">
        <v>8316</v>
      </c>
      <c r="E2087" s="413" t="s">
        <v>6380</v>
      </c>
      <c r="F2087" s="413" t="s">
        <v>8317</v>
      </c>
      <c r="G2087" s="413"/>
      <c r="H2087" s="1277"/>
      <c r="I2087" s="1280"/>
    </row>
    <row r="2088" spans="1:9" hidden="1">
      <c r="A2088" s="428" t="s">
        <v>6268</v>
      </c>
      <c r="B2088" s="413" t="s">
        <v>146</v>
      </c>
      <c r="C2088" s="265">
        <v>1</v>
      </c>
      <c r="D2088" s="413" t="s">
        <v>8318</v>
      </c>
      <c r="E2088" s="413" t="s">
        <v>6380</v>
      </c>
      <c r="F2088" s="413" t="s">
        <v>8319</v>
      </c>
      <c r="G2088" s="413"/>
      <c r="H2088" s="1277"/>
      <c r="I2088" s="1280"/>
    </row>
    <row r="2089" spans="1:9" hidden="1">
      <c r="A2089" s="428" t="s">
        <v>6268</v>
      </c>
      <c r="B2089" s="413" t="s">
        <v>146</v>
      </c>
      <c r="C2089" s="265">
        <v>1</v>
      </c>
      <c r="D2089" s="413" t="s">
        <v>8320</v>
      </c>
      <c r="E2089" s="413" t="s">
        <v>6380</v>
      </c>
      <c r="F2089" s="413" t="s">
        <v>8321</v>
      </c>
      <c r="G2089" s="413"/>
      <c r="H2089" s="1277"/>
      <c r="I2089" s="1280"/>
    </row>
    <row r="2090" spans="1:9" hidden="1">
      <c r="A2090" s="428" t="s">
        <v>6268</v>
      </c>
      <c r="B2090" s="413" t="s">
        <v>146</v>
      </c>
      <c r="C2090" s="265">
        <v>1</v>
      </c>
      <c r="D2090" s="413" t="s">
        <v>8322</v>
      </c>
      <c r="E2090" s="413" t="s">
        <v>6358</v>
      </c>
      <c r="F2090" s="413" t="s">
        <v>8323</v>
      </c>
      <c r="G2090" s="413"/>
      <c r="H2090" s="1277"/>
      <c r="I2090" s="1280"/>
    </row>
    <row r="2091" spans="1:9" hidden="1">
      <c r="A2091" s="428" t="s">
        <v>6268</v>
      </c>
      <c r="B2091" s="413" t="s">
        <v>146</v>
      </c>
      <c r="C2091" s="265">
        <v>1</v>
      </c>
      <c r="D2091" s="413" t="s">
        <v>8324</v>
      </c>
      <c r="E2091" s="413" t="s">
        <v>6358</v>
      </c>
      <c r="F2091" s="413" t="s">
        <v>8325</v>
      </c>
      <c r="G2091" s="413"/>
      <c r="H2091" s="1277"/>
      <c r="I2091" s="1280"/>
    </row>
    <row r="2092" spans="1:9" hidden="1">
      <c r="A2092" s="428" t="s">
        <v>6268</v>
      </c>
      <c r="B2092" s="413" t="s">
        <v>146</v>
      </c>
      <c r="C2092" s="265">
        <v>1</v>
      </c>
      <c r="D2092" s="413" t="s">
        <v>8326</v>
      </c>
      <c r="E2092" s="413" t="s">
        <v>6380</v>
      </c>
      <c r="F2092" s="413" t="s">
        <v>8327</v>
      </c>
      <c r="G2092" s="413"/>
      <c r="H2092" s="1277"/>
      <c r="I2092" s="1280"/>
    </row>
    <row r="2093" spans="1:9" hidden="1">
      <c r="A2093" s="428" t="s">
        <v>6268</v>
      </c>
      <c r="B2093" s="413" t="s">
        <v>146</v>
      </c>
      <c r="C2093" s="265">
        <v>1</v>
      </c>
      <c r="D2093" s="413" t="s">
        <v>8328</v>
      </c>
      <c r="E2093" s="413" t="s">
        <v>6380</v>
      </c>
      <c r="F2093" s="413" t="s">
        <v>8329</v>
      </c>
      <c r="G2093" s="413"/>
      <c r="H2093" s="1277"/>
      <c r="I2093" s="1280"/>
    </row>
    <row r="2094" spans="1:9" hidden="1">
      <c r="A2094" s="428" t="s">
        <v>6268</v>
      </c>
      <c r="B2094" s="413" t="s">
        <v>146</v>
      </c>
      <c r="C2094" s="265">
        <v>1</v>
      </c>
      <c r="D2094" s="413" t="s">
        <v>8330</v>
      </c>
      <c r="E2094" s="413" t="s">
        <v>6380</v>
      </c>
      <c r="F2094" s="413" t="s">
        <v>8331</v>
      </c>
      <c r="G2094" s="413"/>
      <c r="H2094" s="1277"/>
      <c r="I2094" s="1280"/>
    </row>
    <row r="2095" spans="1:9" hidden="1">
      <c r="A2095" s="428" t="s">
        <v>6268</v>
      </c>
      <c r="B2095" s="413" t="s">
        <v>146</v>
      </c>
      <c r="C2095" s="265">
        <v>1</v>
      </c>
      <c r="D2095" s="413" t="s">
        <v>8332</v>
      </c>
      <c r="E2095" s="413" t="s">
        <v>6380</v>
      </c>
      <c r="F2095" s="413" t="s">
        <v>8333</v>
      </c>
      <c r="G2095" s="413"/>
      <c r="H2095" s="1277"/>
      <c r="I2095" s="1280"/>
    </row>
    <row r="2096" spans="1:9" hidden="1">
      <c r="A2096" s="428" t="s">
        <v>6268</v>
      </c>
      <c r="B2096" s="413" t="s">
        <v>146</v>
      </c>
      <c r="C2096" s="265">
        <v>1</v>
      </c>
      <c r="D2096" s="413" t="s">
        <v>8334</v>
      </c>
      <c r="E2096" s="413" t="s">
        <v>6380</v>
      </c>
      <c r="F2096" s="413" t="s">
        <v>8335</v>
      </c>
      <c r="G2096" s="413"/>
      <c r="H2096" s="1277"/>
      <c r="I2096" s="1280"/>
    </row>
    <row r="2097" spans="1:9" hidden="1">
      <c r="A2097" s="428" t="s">
        <v>6268</v>
      </c>
      <c r="B2097" s="413" t="s">
        <v>146</v>
      </c>
      <c r="C2097" s="265">
        <v>1</v>
      </c>
      <c r="D2097" s="413" t="s">
        <v>8336</v>
      </c>
      <c r="E2097" s="413" t="s">
        <v>6380</v>
      </c>
      <c r="F2097" s="413" t="s">
        <v>8337</v>
      </c>
      <c r="G2097" s="413"/>
      <c r="H2097" s="1277"/>
      <c r="I2097" s="1280"/>
    </row>
    <row r="2098" spans="1:9" hidden="1">
      <c r="A2098" s="429" t="s">
        <v>6268</v>
      </c>
      <c r="B2098" s="415" t="s">
        <v>146</v>
      </c>
      <c r="C2098" s="543">
        <v>1</v>
      </c>
      <c r="D2098" s="415" t="s">
        <v>8338</v>
      </c>
      <c r="E2098" s="415" t="s">
        <v>6380</v>
      </c>
      <c r="F2098" s="415" t="s">
        <v>8339</v>
      </c>
      <c r="G2098" s="415"/>
      <c r="H2098" s="1278"/>
      <c r="I2098" s="1281"/>
    </row>
  </sheetData>
  <autoFilter ref="A2:I2098">
    <filterColumn colId="1">
      <filters>
        <filter val="TYP_INSTRMNT"/>
      </filters>
    </filterColumn>
  </autoFilter>
  <mergeCells count="69">
    <mergeCell ref="H1021:H2098"/>
    <mergeCell ref="I1021:I2098"/>
    <mergeCell ref="A1:C1"/>
    <mergeCell ref="D1:F1"/>
    <mergeCell ref="G1:I1"/>
    <mergeCell ref="I22:I40"/>
    <mergeCell ref="H881:H885"/>
    <mergeCell ref="I881:I885"/>
    <mergeCell ref="I875:I876"/>
    <mergeCell ref="H886:H887"/>
    <mergeCell ref="I886:I887"/>
    <mergeCell ref="H3:H21"/>
    <mergeCell ref="I3:I21"/>
    <mergeCell ref="H22:H40"/>
    <mergeCell ref="H41:H43"/>
    <mergeCell ref="I41:I43"/>
    <mergeCell ref="H44:H47"/>
    <mergeCell ref="I44:I47"/>
    <mergeCell ref="H877:H880"/>
    <mergeCell ref="I877:I880"/>
    <mergeCell ref="H48:H51"/>
    <mergeCell ref="I48:I51"/>
    <mergeCell ref="H52:H874"/>
    <mergeCell ref="I52:I874"/>
    <mergeCell ref="H875:H876"/>
    <mergeCell ref="H888:H892"/>
    <mergeCell ref="I888:I892"/>
    <mergeCell ref="H893:H899"/>
    <mergeCell ref="I893:I899"/>
    <mergeCell ref="H900:H906"/>
    <mergeCell ref="I900:I906"/>
    <mergeCell ref="H907:H908"/>
    <mergeCell ref="I907:I908"/>
    <mergeCell ref="H909:H912"/>
    <mergeCell ref="I909:I912"/>
    <mergeCell ref="H913:H916"/>
    <mergeCell ref="I913:I916"/>
    <mergeCell ref="H917:H918"/>
    <mergeCell ref="I917:I918"/>
    <mergeCell ref="H919:H920"/>
    <mergeCell ref="I919:I920"/>
    <mergeCell ref="H921:H922"/>
    <mergeCell ref="I921:I922"/>
    <mergeCell ref="H923:H924"/>
    <mergeCell ref="I923:I924"/>
    <mergeCell ref="H925:H929"/>
    <mergeCell ref="I925:I929"/>
    <mergeCell ref="H930:H936"/>
    <mergeCell ref="I930:I936"/>
    <mergeCell ref="H937:H943"/>
    <mergeCell ref="I937:I943"/>
    <mergeCell ref="H944:H952"/>
    <mergeCell ref="I944:I952"/>
    <mergeCell ref="H953:H957"/>
    <mergeCell ref="I953:I957"/>
    <mergeCell ref="H1019:H1020"/>
    <mergeCell ref="I1019:I1020"/>
    <mergeCell ref="H958:H986"/>
    <mergeCell ref="I958:I986"/>
    <mergeCell ref="H987:H989"/>
    <mergeCell ref="I987:I989"/>
    <mergeCell ref="H990:H992"/>
    <mergeCell ref="I990:I992"/>
    <mergeCell ref="H1016:H1018"/>
    <mergeCell ref="I1016:I1018"/>
    <mergeCell ref="H1010:H1015"/>
    <mergeCell ref="I1010:I1015"/>
    <mergeCell ref="H993:H1009"/>
    <mergeCell ref="I993:I1009"/>
  </mergeCells>
  <pageMargins left="0.7" right="0.7" top="0.75" bottom="0.75" header="0.3" footer="0.3"/>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37"/>
  <sheetViews>
    <sheetView workbookViewId="0">
      <selection activeCell="D2" sqref="D2"/>
    </sheetView>
  </sheetViews>
  <sheetFormatPr defaultRowHeight="14.5"/>
  <cols>
    <col min="1" max="1" width="16" bestFit="1" customWidth="1"/>
    <col min="2" max="2" width="27" bestFit="1" customWidth="1"/>
    <col min="3" max="3" width="19.453125" bestFit="1" customWidth="1"/>
    <col min="4" max="4" width="27.7265625" bestFit="1" customWidth="1"/>
    <col min="5" max="5" width="18.453125" bestFit="1" customWidth="1"/>
  </cols>
  <sheetData>
    <row r="1" spans="1:5">
      <c r="A1" s="1301" t="s">
        <v>8340</v>
      </c>
      <c r="B1" s="1302"/>
      <c r="C1" s="1303" t="s">
        <v>6256</v>
      </c>
      <c r="D1" s="1304"/>
      <c r="E1" s="1305"/>
    </row>
    <row r="2" spans="1:5">
      <c r="A2" s="509" t="s">
        <v>8341</v>
      </c>
      <c r="B2" s="652" t="s">
        <v>8342</v>
      </c>
      <c r="C2" s="645" t="s">
        <v>6259</v>
      </c>
      <c r="D2" s="555" t="s">
        <v>6260</v>
      </c>
      <c r="E2" s="555" t="s">
        <v>6261</v>
      </c>
    </row>
    <row r="3" spans="1:5" ht="15" customHeight="1">
      <c r="A3" s="426" t="s">
        <v>8343</v>
      </c>
      <c r="B3" s="414" t="s">
        <v>31</v>
      </c>
      <c r="C3" s="414" t="s">
        <v>6268</v>
      </c>
      <c r="D3" s="427" t="s">
        <v>88</v>
      </c>
      <c r="E3" s="653">
        <v>1</v>
      </c>
    </row>
    <row r="4" spans="1:5">
      <c r="A4" s="428" t="s">
        <v>8343</v>
      </c>
      <c r="B4" s="413" t="s">
        <v>43</v>
      </c>
      <c r="C4" s="413" t="s">
        <v>6268</v>
      </c>
      <c r="D4" s="413" t="s">
        <v>88</v>
      </c>
      <c r="E4" s="654">
        <v>2</v>
      </c>
    </row>
    <row r="5" spans="1:5">
      <c r="A5" s="428" t="s">
        <v>8343</v>
      </c>
      <c r="B5" s="413" t="s">
        <v>37</v>
      </c>
      <c r="C5" s="413" t="s">
        <v>6271</v>
      </c>
      <c r="D5" s="413" t="s">
        <v>182</v>
      </c>
      <c r="E5" s="654">
        <v>1</v>
      </c>
    </row>
    <row r="6" spans="1:5">
      <c r="A6" s="428" t="s">
        <v>8343</v>
      </c>
      <c r="B6" s="413" t="s">
        <v>31</v>
      </c>
      <c r="C6" s="413" t="s">
        <v>6271</v>
      </c>
      <c r="D6" s="413" t="s">
        <v>183</v>
      </c>
      <c r="E6" s="597">
        <v>1</v>
      </c>
    </row>
    <row r="7" spans="1:5">
      <c r="A7" s="428" t="s">
        <v>8343</v>
      </c>
      <c r="B7" s="413" t="s">
        <v>37</v>
      </c>
      <c r="C7" s="413" t="s">
        <v>6271</v>
      </c>
      <c r="D7" s="413" t="s">
        <v>183</v>
      </c>
      <c r="E7" s="597">
        <v>1</v>
      </c>
    </row>
    <row r="8" spans="1:5">
      <c r="A8" s="428" t="s">
        <v>8343</v>
      </c>
      <c r="B8" s="413" t="s">
        <v>31</v>
      </c>
      <c r="C8" s="413" t="s">
        <v>6268</v>
      </c>
      <c r="D8" s="503" t="s">
        <v>72</v>
      </c>
      <c r="E8" s="654">
        <v>1</v>
      </c>
    </row>
    <row r="9" spans="1:5">
      <c r="A9" s="428" t="s">
        <v>8343</v>
      </c>
      <c r="B9" s="413" t="s">
        <v>37</v>
      </c>
      <c r="C9" s="413" t="s">
        <v>6268</v>
      </c>
      <c r="D9" s="503" t="s">
        <v>72</v>
      </c>
      <c r="E9" s="654">
        <v>1</v>
      </c>
    </row>
    <row r="10" spans="1:5">
      <c r="A10" s="428" t="s">
        <v>8343</v>
      </c>
      <c r="B10" s="413" t="s">
        <v>45</v>
      </c>
      <c r="C10" s="413" t="s">
        <v>6268</v>
      </c>
      <c r="D10" s="413" t="s">
        <v>123</v>
      </c>
      <c r="E10" s="654">
        <v>1</v>
      </c>
    </row>
    <row r="11" spans="1:5">
      <c r="A11" s="428" t="s">
        <v>8343</v>
      </c>
      <c r="B11" s="413" t="s">
        <v>47</v>
      </c>
      <c r="C11" s="413" t="s">
        <v>6268</v>
      </c>
      <c r="D11" s="413" t="s">
        <v>123</v>
      </c>
      <c r="E11" s="654">
        <v>1</v>
      </c>
    </row>
    <row r="12" spans="1:5">
      <c r="A12" s="528" t="s">
        <v>8343</v>
      </c>
      <c r="B12" s="413" t="s">
        <v>45</v>
      </c>
      <c r="C12" s="413" t="s">
        <v>6268</v>
      </c>
      <c r="D12" s="413" t="s">
        <v>112</v>
      </c>
      <c r="E12" s="654">
        <v>1</v>
      </c>
    </row>
    <row r="13" spans="1:5">
      <c r="A13" s="428" t="s">
        <v>8343</v>
      </c>
      <c r="B13" s="413" t="s">
        <v>37</v>
      </c>
      <c r="C13" s="413" t="s">
        <v>6271</v>
      </c>
      <c r="D13" s="413" t="s">
        <v>185</v>
      </c>
      <c r="E13" s="654">
        <v>1</v>
      </c>
    </row>
    <row r="14" spans="1:5">
      <c r="A14" s="428" t="s">
        <v>8343</v>
      </c>
      <c r="B14" s="413" t="s">
        <v>31</v>
      </c>
      <c r="C14" s="413" t="s">
        <v>6268</v>
      </c>
      <c r="D14" s="413" t="s">
        <v>78</v>
      </c>
      <c r="E14" s="654">
        <v>1</v>
      </c>
    </row>
    <row r="15" spans="1:5">
      <c r="A15" s="428" t="s">
        <v>8343</v>
      </c>
      <c r="B15" s="413" t="s">
        <v>37</v>
      </c>
      <c r="C15" s="413" t="s">
        <v>6268</v>
      </c>
      <c r="D15" s="413" t="s">
        <v>78</v>
      </c>
      <c r="E15" s="654">
        <v>1</v>
      </c>
    </row>
    <row r="16" spans="1:5">
      <c r="A16" s="428" t="s">
        <v>8343</v>
      </c>
      <c r="B16" s="413" t="s">
        <v>31</v>
      </c>
      <c r="C16" s="413" t="s">
        <v>6268</v>
      </c>
      <c r="D16" s="413" t="s">
        <v>104</v>
      </c>
      <c r="E16" s="654">
        <v>1</v>
      </c>
    </row>
    <row r="17" spans="1:5">
      <c r="A17" s="428" t="s">
        <v>8343</v>
      </c>
      <c r="B17" s="413" t="s">
        <v>37</v>
      </c>
      <c r="C17" s="413" t="s">
        <v>6268</v>
      </c>
      <c r="D17" s="413" t="s">
        <v>104</v>
      </c>
      <c r="E17" s="654">
        <v>1</v>
      </c>
    </row>
    <row r="18" spans="1:5">
      <c r="A18" s="428" t="s">
        <v>8343</v>
      </c>
      <c r="B18" s="413" t="s">
        <v>31</v>
      </c>
      <c r="C18" s="413" t="s">
        <v>6268</v>
      </c>
      <c r="D18" s="413" t="s">
        <v>79</v>
      </c>
      <c r="E18" s="654">
        <v>1</v>
      </c>
    </row>
    <row r="19" spans="1:5">
      <c r="A19" s="428" t="s">
        <v>8343</v>
      </c>
      <c r="B19" s="413" t="s">
        <v>37</v>
      </c>
      <c r="C19" s="413" t="s">
        <v>6268</v>
      </c>
      <c r="D19" s="413" t="s">
        <v>79</v>
      </c>
      <c r="E19" s="654">
        <v>1</v>
      </c>
    </row>
    <row r="20" spans="1:5">
      <c r="A20" s="428" t="s">
        <v>8343</v>
      </c>
      <c r="B20" s="413" t="s">
        <v>20</v>
      </c>
      <c r="C20" s="413" t="s">
        <v>6268</v>
      </c>
      <c r="D20" s="413" t="s">
        <v>81</v>
      </c>
      <c r="E20" s="654">
        <v>1</v>
      </c>
    </row>
    <row r="21" spans="1:5">
      <c r="A21" s="428" t="s">
        <v>8343</v>
      </c>
      <c r="B21" s="413" t="s">
        <v>31</v>
      </c>
      <c r="C21" s="413" t="s">
        <v>6268</v>
      </c>
      <c r="D21" s="413" t="s">
        <v>81</v>
      </c>
      <c r="E21" s="654">
        <v>1</v>
      </c>
    </row>
    <row r="22" spans="1:5">
      <c r="A22" s="428" t="s">
        <v>8343</v>
      </c>
      <c r="B22" s="413" t="s">
        <v>37</v>
      </c>
      <c r="C22" s="413" t="s">
        <v>6268</v>
      </c>
      <c r="D22" s="413" t="s">
        <v>81</v>
      </c>
      <c r="E22" s="654">
        <v>1</v>
      </c>
    </row>
    <row r="23" spans="1:5">
      <c r="A23" s="428" t="s">
        <v>8343</v>
      </c>
      <c r="B23" s="413" t="s">
        <v>31</v>
      </c>
      <c r="C23" s="413" t="s">
        <v>6268</v>
      </c>
      <c r="D23" s="413" t="s">
        <v>108</v>
      </c>
      <c r="E23" s="654">
        <v>1</v>
      </c>
    </row>
    <row r="24" spans="1:5">
      <c r="A24" s="428" t="s">
        <v>8343</v>
      </c>
      <c r="B24" s="413" t="s">
        <v>45</v>
      </c>
      <c r="C24" s="413" t="s">
        <v>6268</v>
      </c>
      <c r="D24" s="413" t="s">
        <v>126</v>
      </c>
      <c r="E24" s="654">
        <v>1</v>
      </c>
    </row>
    <row r="25" spans="1:5">
      <c r="A25" s="428" t="s">
        <v>8343</v>
      </c>
      <c r="B25" s="413" t="s">
        <v>47</v>
      </c>
      <c r="C25" s="413" t="s">
        <v>6268</v>
      </c>
      <c r="D25" s="413" t="s">
        <v>126</v>
      </c>
      <c r="E25" s="654">
        <v>1</v>
      </c>
    </row>
    <row r="26" spans="1:5">
      <c r="A26" s="528" t="s">
        <v>8343</v>
      </c>
      <c r="B26" s="503" t="s">
        <v>45</v>
      </c>
      <c r="C26" s="503" t="s">
        <v>6268</v>
      </c>
      <c r="D26" s="503" t="s">
        <v>127</v>
      </c>
      <c r="E26" s="654">
        <v>1</v>
      </c>
    </row>
    <row r="27" spans="1:5">
      <c r="A27" s="428" t="s">
        <v>8343</v>
      </c>
      <c r="B27" s="413" t="s">
        <v>37</v>
      </c>
      <c r="C27" s="413" t="s">
        <v>6271</v>
      </c>
      <c r="D27" s="413" t="s">
        <v>187</v>
      </c>
      <c r="E27" s="654">
        <v>1</v>
      </c>
    </row>
    <row r="28" spans="1:5">
      <c r="A28" s="528" t="s">
        <v>8343</v>
      </c>
      <c r="B28" s="413" t="s">
        <v>45</v>
      </c>
      <c r="C28" s="413" t="s">
        <v>6268</v>
      </c>
      <c r="D28" s="413" t="s">
        <v>128</v>
      </c>
      <c r="E28" s="654">
        <v>1</v>
      </c>
    </row>
    <row r="29" spans="1:5">
      <c r="A29" s="428" t="s">
        <v>8343</v>
      </c>
      <c r="B29" s="413" t="s">
        <v>31</v>
      </c>
      <c r="C29" s="413" t="s">
        <v>6268</v>
      </c>
      <c r="D29" s="413" t="s">
        <v>129</v>
      </c>
      <c r="E29" s="654">
        <v>1</v>
      </c>
    </row>
    <row r="30" spans="1:5">
      <c r="A30" s="428" t="s">
        <v>8343</v>
      </c>
      <c r="B30" s="413" t="s">
        <v>43</v>
      </c>
      <c r="C30" s="413" t="s">
        <v>6268</v>
      </c>
      <c r="D30" s="413" t="s">
        <v>129</v>
      </c>
      <c r="E30" s="654">
        <v>1</v>
      </c>
    </row>
    <row r="31" spans="1:5">
      <c r="A31" s="428" t="s">
        <v>8343</v>
      </c>
      <c r="B31" s="413" t="s">
        <v>31</v>
      </c>
      <c r="C31" s="413" t="s">
        <v>6268</v>
      </c>
      <c r="D31" s="413" t="s">
        <v>82</v>
      </c>
      <c r="E31" s="654">
        <v>1</v>
      </c>
    </row>
    <row r="32" spans="1:5">
      <c r="A32" s="428" t="s">
        <v>8343</v>
      </c>
      <c r="B32" s="413" t="s">
        <v>37</v>
      </c>
      <c r="C32" s="413" t="s">
        <v>6268</v>
      </c>
      <c r="D32" s="413" t="s">
        <v>82</v>
      </c>
      <c r="E32" s="654">
        <v>1</v>
      </c>
    </row>
    <row r="33" spans="1:5" ht="15" customHeight="1">
      <c r="A33" s="528" t="s">
        <v>8343</v>
      </c>
      <c r="B33" s="413" t="s">
        <v>45</v>
      </c>
      <c r="C33" s="413" t="s">
        <v>6268</v>
      </c>
      <c r="D33" s="413" t="s">
        <v>131</v>
      </c>
      <c r="E33" s="654">
        <v>1</v>
      </c>
    </row>
    <row r="34" spans="1:5" ht="15" customHeight="1">
      <c r="A34" s="528" t="s">
        <v>8343</v>
      </c>
      <c r="B34" s="413" t="s">
        <v>47</v>
      </c>
      <c r="C34" s="413" t="s">
        <v>6268</v>
      </c>
      <c r="D34" s="413" t="s">
        <v>131</v>
      </c>
      <c r="E34" s="654">
        <v>1</v>
      </c>
    </row>
    <row r="35" spans="1:5">
      <c r="A35" s="428" t="s">
        <v>8343</v>
      </c>
      <c r="B35" s="413" t="s">
        <v>31</v>
      </c>
      <c r="C35" s="413" t="s">
        <v>6301</v>
      </c>
      <c r="D35" s="413" t="s">
        <v>219</v>
      </c>
      <c r="E35" s="654">
        <v>1</v>
      </c>
    </row>
    <row r="36" spans="1:5">
      <c r="A36" s="428" t="s">
        <v>8343</v>
      </c>
      <c r="B36" s="413" t="s">
        <v>37</v>
      </c>
      <c r="C36" s="413" t="s">
        <v>6301</v>
      </c>
      <c r="D36" s="413" t="s">
        <v>219</v>
      </c>
      <c r="E36" s="654">
        <v>1</v>
      </c>
    </row>
    <row r="37" spans="1:5">
      <c r="A37" s="428" t="s">
        <v>8343</v>
      </c>
      <c r="B37" s="413" t="s">
        <v>31</v>
      </c>
      <c r="C37" s="413" t="s">
        <v>6268</v>
      </c>
      <c r="D37" s="413" t="s">
        <v>97</v>
      </c>
      <c r="E37" s="654">
        <v>1</v>
      </c>
    </row>
    <row r="38" spans="1:5">
      <c r="A38" s="428" t="s">
        <v>8343</v>
      </c>
      <c r="B38" s="413" t="s">
        <v>45</v>
      </c>
      <c r="C38" s="413" t="s">
        <v>6268</v>
      </c>
      <c r="D38" s="413" t="s">
        <v>97</v>
      </c>
      <c r="E38" s="654">
        <v>2</v>
      </c>
    </row>
    <row r="39" spans="1:5">
      <c r="A39" s="428" t="s">
        <v>8343</v>
      </c>
      <c r="B39" s="413" t="s">
        <v>31</v>
      </c>
      <c r="C39" s="413" t="s">
        <v>6268</v>
      </c>
      <c r="D39" s="413" t="s">
        <v>146</v>
      </c>
      <c r="E39" s="654">
        <v>1</v>
      </c>
    </row>
    <row r="40" spans="1:5">
      <c r="A40" s="428" t="s">
        <v>8343</v>
      </c>
      <c r="B40" s="413" t="s">
        <v>31</v>
      </c>
      <c r="C40" s="413" t="s">
        <v>6268</v>
      </c>
      <c r="D40" s="413" t="s">
        <v>134</v>
      </c>
      <c r="E40" s="654">
        <v>1</v>
      </c>
    </row>
    <row r="41" spans="1:5">
      <c r="A41" s="428" t="s">
        <v>8343</v>
      </c>
      <c r="B41" s="413" t="s">
        <v>31</v>
      </c>
      <c r="C41" s="413" t="s">
        <v>6268</v>
      </c>
      <c r="D41" s="413" t="s">
        <v>83</v>
      </c>
      <c r="E41" s="654">
        <v>1</v>
      </c>
    </row>
    <row r="42" spans="1:5">
      <c r="A42" s="428" t="s">
        <v>8343</v>
      </c>
      <c r="B42" s="424" t="s">
        <v>31</v>
      </c>
      <c r="C42" s="413" t="s">
        <v>6268</v>
      </c>
      <c r="D42" s="424" t="s">
        <v>84</v>
      </c>
      <c r="E42" s="654">
        <v>1</v>
      </c>
    </row>
    <row r="43" spans="1:5">
      <c r="A43" s="428" t="s">
        <v>8343</v>
      </c>
      <c r="B43" s="503" t="s">
        <v>31</v>
      </c>
      <c r="C43" s="413" t="s">
        <v>6268</v>
      </c>
      <c r="D43" s="503" t="s">
        <v>85</v>
      </c>
      <c r="E43" s="654">
        <v>1</v>
      </c>
    </row>
    <row r="44" spans="1:5">
      <c r="A44" s="428" t="s">
        <v>8343</v>
      </c>
      <c r="B44" s="413" t="s">
        <v>45</v>
      </c>
      <c r="C44" s="413" t="s">
        <v>6268</v>
      </c>
      <c r="D44" s="413" t="s">
        <v>85</v>
      </c>
      <c r="E44" s="654">
        <v>2</v>
      </c>
    </row>
    <row r="45" spans="1:5">
      <c r="A45" s="428" t="s">
        <v>8343</v>
      </c>
      <c r="B45" s="424" t="s">
        <v>20</v>
      </c>
      <c r="C45" s="413" t="s">
        <v>6301</v>
      </c>
      <c r="D45" s="424" t="s">
        <v>213</v>
      </c>
      <c r="E45" s="654">
        <v>1</v>
      </c>
    </row>
    <row r="46" spans="1:5">
      <c r="A46" s="428" t="s">
        <v>8343</v>
      </c>
      <c r="B46" s="424" t="s">
        <v>31</v>
      </c>
      <c r="C46" s="413" t="s">
        <v>6301</v>
      </c>
      <c r="D46" s="424" t="s">
        <v>213</v>
      </c>
      <c r="E46" s="654">
        <v>1</v>
      </c>
    </row>
    <row r="47" spans="1:5">
      <c r="A47" s="428" t="s">
        <v>8343</v>
      </c>
      <c r="B47" s="424" t="s">
        <v>37</v>
      </c>
      <c r="C47" s="413" t="s">
        <v>6301</v>
      </c>
      <c r="D47" s="424" t="s">
        <v>213</v>
      </c>
      <c r="E47" s="654">
        <v>1</v>
      </c>
    </row>
    <row r="48" spans="1:5">
      <c r="A48" s="428" t="s">
        <v>8343</v>
      </c>
      <c r="B48" s="413" t="s">
        <v>31</v>
      </c>
      <c r="C48" s="413" t="s">
        <v>6301</v>
      </c>
      <c r="D48" s="413" t="s">
        <v>214</v>
      </c>
      <c r="E48" s="654">
        <v>1</v>
      </c>
    </row>
    <row r="49" spans="1:5">
      <c r="A49" s="428" t="s">
        <v>8343</v>
      </c>
      <c r="B49" s="413" t="s">
        <v>37</v>
      </c>
      <c r="C49" s="413" t="s">
        <v>6301</v>
      </c>
      <c r="D49" s="413" t="s">
        <v>214</v>
      </c>
      <c r="E49" s="654">
        <v>1</v>
      </c>
    </row>
    <row r="50" spans="1:5">
      <c r="A50" s="430" t="s">
        <v>8343</v>
      </c>
      <c r="B50" s="425" t="s">
        <v>45</v>
      </c>
      <c r="C50" s="425" t="s">
        <v>6268</v>
      </c>
      <c r="D50" s="425" t="s">
        <v>135</v>
      </c>
      <c r="E50" s="659">
        <v>1</v>
      </c>
    </row>
    <row r="51" spans="1:5">
      <c r="A51" s="430" t="s">
        <v>8343</v>
      </c>
      <c r="B51" s="425" t="s">
        <v>45</v>
      </c>
      <c r="C51" s="425" t="s">
        <v>6268</v>
      </c>
      <c r="D51" s="425" t="s">
        <v>137</v>
      </c>
      <c r="E51" s="659">
        <v>1</v>
      </c>
    </row>
    <row r="52" spans="1:5">
      <c r="A52" s="586" t="s">
        <v>8343</v>
      </c>
      <c r="B52" s="415" t="s">
        <v>47</v>
      </c>
      <c r="C52" s="415" t="s">
        <v>6268</v>
      </c>
      <c r="D52" s="415" t="s">
        <v>137</v>
      </c>
      <c r="E52" s="655">
        <v>1</v>
      </c>
    </row>
    <row r="60" spans="1:5" ht="15" customHeight="1"/>
    <row r="63" spans="1:5" ht="15" customHeight="1"/>
    <row r="67" ht="15" customHeight="1"/>
    <row r="71" ht="15" customHeight="1"/>
    <row r="896" ht="15" customHeight="1"/>
    <row r="898" ht="15" customHeight="1"/>
    <row r="902" ht="15" customHeight="1"/>
    <row r="907" ht="15" customHeight="1"/>
    <row r="909" ht="15" customHeight="1"/>
    <row r="914" ht="15" customHeight="1"/>
    <row r="921" ht="15" customHeight="1"/>
    <row r="928" ht="15" customHeight="1"/>
    <row r="930" ht="15" customHeight="1"/>
    <row r="934" ht="15" customHeight="1"/>
    <row r="938" ht="15" customHeight="1"/>
    <row r="940" ht="15" customHeight="1"/>
    <row r="942" ht="15" customHeight="1"/>
    <row r="944" ht="15" customHeight="1"/>
    <row r="946" ht="15" customHeight="1"/>
    <row r="951" ht="15" customHeight="1"/>
    <row r="958" ht="15" customHeight="1"/>
    <row r="965" ht="15" customHeight="1"/>
    <row r="974" ht="15" customHeight="1"/>
    <row r="979" ht="15" customHeight="1"/>
    <row r="1008" ht="15" customHeight="1"/>
    <row r="1011" ht="15" customHeight="1"/>
    <row r="1014" ht="15" customHeight="1"/>
    <row r="1031" ht="15" customHeight="1"/>
    <row r="1037" ht="15" customHeight="1"/>
  </sheetData>
  <autoFilter ref="A2:E53"/>
  <mergeCells count="2">
    <mergeCell ref="A1:B1"/>
    <mergeCell ref="C1:E1"/>
  </mergeCells>
  <pageMargins left="0.7" right="0.7" top="0.75" bottom="0.75" header="0.3" footer="0.3"/>
  <pageSetup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Y562"/>
  <sheetViews>
    <sheetView workbookViewId="0">
      <pane ySplit="1" topLeftCell="A2" activePane="bottomLeft" state="frozen"/>
      <selection pane="bottomLeft" activeCell="D560" sqref="D560"/>
    </sheetView>
  </sheetViews>
  <sheetFormatPr defaultRowHeight="14.5"/>
  <cols>
    <col min="1" max="1" width="19.453125" bestFit="1" customWidth="1"/>
    <col min="2" max="2" width="32.81640625" bestFit="1" customWidth="1"/>
    <col min="3" max="3" width="41.1796875" customWidth="1"/>
    <col min="4" max="4" width="22.453125" bestFit="1" customWidth="1"/>
    <col min="5" max="5" width="20.453125" customWidth="1"/>
    <col min="6" max="6" width="20.453125" bestFit="1" customWidth="1"/>
    <col min="7" max="7" width="39.26953125" bestFit="1" customWidth="1"/>
    <col min="8" max="8" width="20.453125" bestFit="1" customWidth="1"/>
    <col min="9" max="9" width="17.54296875" bestFit="1" customWidth="1"/>
    <col min="10" max="10" width="20.453125" bestFit="1" customWidth="1"/>
    <col min="11" max="11" width="17.54296875" bestFit="1" customWidth="1"/>
    <col min="12" max="12" width="20.453125" bestFit="1" customWidth="1"/>
    <col min="13" max="13" width="17.54296875" bestFit="1" customWidth="1"/>
    <col min="14" max="14" width="20.453125" bestFit="1" customWidth="1"/>
    <col min="15" max="15" width="17.54296875" bestFit="1" customWidth="1"/>
    <col min="16" max="16" width="20.453125" bestFit="1" customWidth="1"/>
    <col min="17" max="17" width="17.54296875" bestFit="1" customWidth="1"/>
    <col min="18" max="18" width="20.453125" bestFit="1" customWidth="1"/>
    <col min="19" max="19" width="17.54296875" bestFit="1" customWidth="1"/>
    <col min="20" max="20" width="20.453125" bestFit="1" customWidth="1"/>
    <col min="21" max="21" width="17.54296875" bestFit="1" customWidth="1"/>
    <col min="22" max="22" width="21.54296875" bestFit="1" customWidth="1"/>
    <col min="23" max="23" width="18.7265625" bestFit="1" customWidth="1"/>
    <col min="24" max="24" width="9.26953125" bestFit="1" customWidth="1"/>
    <col min="25" max="25" width="65.1796875" customWidth="1"/>
  </cols>
  <sheetData>
    <row r="1" spans="1:25">
      <c r="A1" s="566" t="s">
        <v>8344</v>
      </c>
      <c r="B1" s="567" t="s">
        <v>6260</v>
      </c>
      <c r="C1" s="567" t="s">
        <v>8345</v>
      </c>
      <c r="D1" s="567" t="s">
        <v>8346</v>
      </c>
      <c r="E1" s="567" t="s">
        <v>8347</v>
      </c>
      <c r="F1" s="567" t="s">
        <v>8348</v>
      </c>
      <c r="G1" s="567" t="s">
        <v>8349</v>
      </c>
      <c r="H1" s="567" t="s">
        <v>8350</v>
      </c>
      <c r="I1" s="567" t="s">
        <v>8351</v>
      </c>
      <c r="J1" s="567" t="s">
        <v>8352</v>
      </c>
      <c r="K1" s="567" t="s">
        <v>8353</v>
      </c>
      <c r="L1" s="567" t="s">
        <v>8354</v>
      </c>
      <c r="M1" s="567" t="s">
        <v>8355</v>
      </c>
      <c r="N1" s="567" t="s">
        <v>8356</v>
      </c>
      <c r="O1" s="567" t="s">
        <v>8357</v>
      </c>
      <c r="P1" s="567" t="s">
        <v>8358</v>
      </c>
      <c r="Q1" s="567" t="s">
        <v>8359</v>
      </c>
      <c r="R1" s="567" t="s">
        <v>8360</v>
      </c>
      <c r="S1" s="567" t="s">
        <v>8361</v>
      </c>
      <c r="T1" s="567" t="s">
        <v>8362</v>
      </c>
      <c r="U1" s="567" t="s">
        <v>8363</v>
      </c>
      <c r="V1" s="567" t="s">
        <v>8364</v>
      </c>
      <c r="W1" s="567" t="s">
        <v>8365</v>
      </c>
      <c r="X1" s="568" t="s">
        <v>8366</v>
      </c>
      <c r="Y1" s="499" t="s">
        <v>2214</v>
      </c>
    </row>
    <row r="2" spans="1:25" hidden="1">
      <c r="A2" s="426" t="s">
        <v>6271</v>
      </c>
      <c r="B2" s="414" t="s">
        <v>202</v>
      </c>
      <c r="C2" s="414" t="s">
        <v>2223</v>
      </c>
      <c r="D2" s="414" t="s">
        <v>1410</v>
      </c>
      <c r="E2" s="414" t="s">
        <v>5059</v>
      </c>
      <c r="F2" s="414"/>
      <c r="G2" s="414"/>
      <c r="H2" s="414"/>
      <c r="I2" s="414"/>
      <c r="J2" s="414"/>
      <c r="K2" s="414"/>
      <c r="L2" s="414"/>
      <c r="M2" s="414"/>
      <c r="N2" s="414"/>
      <c r="O2" s="414"/>
      <c r="P2" s="414"/>
      <c r="Q2" s="414"/>
      <c r="R2" s="414"/>
      <c r="S2" s="414"/>
      <c r="T2" s="414"/>
      <c r="U2" s="414"/>
      <c r="V2" s="414"/>
      <c r="W2" s="414"/>
      <c r="X2" s="569">
        <v>1</v>
      </c>
      <c r="Y2" s="1318" t="s">
        <v>8367</v>
      </c>
    </row>
    <row r="3" spans="1:25" hidden="1">
      <c r="A3" s="428" t="s">
        <v>6271</v>
      </c>
      <c r="B3" s="413" t="s">
        <v>202</v>
      </c>
      <c r="C3" s="413" t="s">
        <v>2229</v>
      </c>
      <c r="D3" s="413" t="s">
        <v>1410</v>
      </c>
      <c r="E3" s="413" t="s">
        <v>8368</v>
      </c>
      <c r="F3" s="413"/>
      <c r="G3" s="413"/>
      <c r="H3" s="413"/>
      <c r="I3" s="413"/>
      <c r="J3" s="413"/>
      <c r="K3" s="413"/>
      <c r="L3" s="413"/>
      <c r="M3" s="413"/>
      <c r="N3" s="413"/>
      <c r="O3" s="413"/>
      <c r="P3" s="413"/>
      <c r="Q3" s="413"/>
      <c r="R3" s="413"/>
      <c r="S3" s="413"/>
      <c r="T3" s="413"/>
      <c r="U3" s="413"/>
      <c r="V3" s="413"/>
      <c r="W3" s="413"/>
      <c r="X3" s="570">
        <v>1</v>
      </c>
      <c r="Y3" s="1311"/>
    </row>
    <row r="4" spans="1:25" hidden="1">
      <c r="A4" s="428" t="s">
        <v>6271</v>
      </c>
      <c r="B4" s="413" t="s">
        <v>202</v>
      </c>
      <c r="C4" s="413" t="s">
        <v>8369</v>
      </c>
      <c r="D4" s="413" t="s">
        <v>1410</v>
      </c>
      <c r="E4" s="413" t="s">
        <v>5062</v>
      </c>
      <c r="F4" s="413"/>
      <c r="G4" s="413"/>
      <c r="H4" s="413"/>
      <c r="I4" s="413"/>
      <c r="J4" s="413"/>
      <c r="K4" s="413"/>
      <c r="L4" s="413"/>
      <c r="M4" s="413"/>
      <c r="N4" s="413"/>
      <c r="O4" s="413"/>
      <c r="P4" s="413"/>
      <c r="Q4" s="413"/>
      <c r="R4" s="413"/>
      <c r="S4" s="413"/>
      <c r="T4" s="413"/>
      <c r="U4" s="413"/>
      <c r="V4" s="413"/>
      <c r="W4" s="413"/>
      <c r="X4" s="570">
        <v>1</v>
      </c>
      <c r="Y4" s="1311"/>
    </row>
    <row r="5" spans="1:25" hidden="1">
      <c r="A5" s="428" t="s">
        <v>6271</v>
      </c>
      <c r="B5" s="413" t="s">
        <v>202</v>
      </c>
      <c r="C5" s="413" t="s">
        <v>8370</v>
      </c>
      <c r="D5" s="413" t="s">
        <v>1410</v>
      </c>
      <c r="E5" s="413" t="s">
        <v>5065</v>
      </c>
      <c r="F5" s="413"/>
      <c r="G5" s="413"/>
      <c r="H5" s="413"/>
      <c r="I5" s="413"/>
      <c r="J5" s="413"/>
      <c r="K5" s="413"/>
      <c r="L5" s="413"/>
      <c r="M5" s="413"/>
      <c r="N5" s="413"/>
      <c r="O5" s="413"/>
      <c r="P5" s="413"/>
      <c r="Q5" s="413"/>
      <c r="R5" s="413"/>
      <c r="S5" s="413"/>
      <c r="T5" s="413"/>
      <c r="U5" s="413"/>
      <c r="V5" s="413"/>
      <c r="W5" s="413"/>
      <c r="X5" s="570">
        <v>1</v>
      </c>
      <c r="Y5" s="1311"/>
    </row>
    <row r="6" spans="1:25" hidden="1">
      <c r="A6" s="428" t="s">
        <v>6271</v>
      </c>
      <c r="B6" s="413" t="s">
        <v>202</v>
      </c>
      <c r="C6" s="413" t="s">
        <v>8370</v>
      </c>
      <c r="D6" s="413" t="s">
        <v>1410</v>
      </c>
      <c r="E6" s="413" t="s">
        <v>5068</v>
      </c>
      <c r="F6" s="413"/>
      <c r="G6" s="413"/>
      <c r="H6" s="413"/>
      <c r="I6" s="413"/>
      <c r="J6" s="413"/>
      <c r="K6" s="413"/>
      <c r="L6" s="413"/>
      <c r="M6" s="413"/>
      <c r="N6" s="413"/>
      <c r="O6" s="413"/>
      <c r="P6" s="413"/>
      <c r="Q6" s="413"/>
      <c r="R6" s="413"/>
      <c r="S6" s="413"/>
      <c r="T6" s="413"/>
      <c r="U6" s="413"/>
      <c r="V6" s="413"/>
      <c r="W6" s="413"/>
      <c r="X6" s="570">
        <v>1</v>
      </c>
      <c r="Y6" s="1311"/>
    </row>
    <row r="7" spans="1:25" hidden="1">
      <c r="A7" s="428" t="s">
        <v>6271</v>
      </c>
      <c r="B7" s="413" t="s">
        <v>202</v>
      </c>
      <c r="C7" s="413" t="s">
        <v>8370</v>
      </c>
      <c r="D7" s="413" t="s">
        <v>1410</v>
      </c>
      <c r="E7" s="413" t="s">
        <v>5069</v>
      </c>
      <c r="F7" s="413"/>
      <c r="G7" s="413"/>
      <c r="H7" s="413"/>
      <c r="I7" s="413"/>
      <c r="J7" s="413"/>
      <c r="K7" s="413"/>
      <c r="L7" s="413"/>
      <c r="M7" s="413"/>
      <c r="N7" s="413"/>
      <c r="O7" s="413"/>
      <c r="P7" s="413"/>
      <c r="Q7" s="413"/>
      <c r="R7" s="413"/>
      <c r="S7" s="413"/>
      <c r="T7" s="413"/>
      <c r="U7" s="413"/>
      <c r="V7" s="413"/>
      <c r="W7" s="413"/>
      <c r="X7" s="570">
        <v>1</v>
      </c>
      <c r="Y7" s="1311"/>
    </row>
    <row r="8" spans="1:25" hidden="1">
      <c r="A8" s="428" t="s">
        <v>6271</v>
      </c>
      <c r="B8" s="413" t="s">
        <v>202</v>
      </c>
      <c r="C8" s="413" t="s">
        <v>8370</v>
      </c>
      <c r="D8" s="413" t="s">
        <v>1410</v>
      </c>
      <c r="E8" s="413" t="s">
        <v>5070</v>
      </c>
      <c r="F8" s="413"/>
      <c r="G8" s="413"/>
      <c r="H8" s="413"/>
      <c r="I8" s="413"/>
      <c r="J8" s="413"/>
      <c r="K8" s="413"/>
      <c r="L8" s="413"/>
      <c r="M8" s="413"/>
      <c r="N8" s="413"/>
      <c r="O8" s="413"/>
      <c r="P8" s="413"/>
      <c r="Q8" s="413"/>
      <c r="R8" s="413"/>
      <c r="S8" s="413"/>
      <c r="T8" s="413"/>
      <c r="U8" s="413"/>
      <c r="V8" s="413"/>
      <c r="W8" s="413"/>
      <c r="X8" s="570">
        <v>1</v>
      </c>
      <c r="Y8" s="1311"/>
    </row>
    <row r="9" spans="1:25" hidden="1">
      <c r="A9" s="428" t="s">
        <v>6271</v>
      </c>
      <c r="B9" s="413" t="s">
        <v>202</v>
      </c>
      <c r="C9" s="413" t="s">
        <v>8370</v>
      </c>
      <c r="D9" s="413" t="s">
        <v>1410</v>
      </c>
      <c r="E9" s="413" t="s">
        <v>5071</v>
      </c>
      <c r="F9" s="413"/>
      <c r="G9" s="413"/>
      <c r="H9" s="413"/>
      <c r="I9" s="413"/>
      <c r="J9" s="413"/>
      <c r="K9" s="413"/>
      <c r="L9" s="413"/>
      <c r="M9" s="413"/>
      <c r="N9" s="413"/>
      <c r="O9" s="413"/>
      <c r="P9" s="413"/>
      <c r="Q9" s="413"/>
      <c r="R9" s="413"/>
      <c r="S9" s="413"/>
      <c r="T9" s="413"/>
      <c r="U9" s="413"/>
      <c r="V9" s="413"/>
      <c r="W9" s="413"/>
      <c r="X9" s="570">
        <v>1</v>
      </c>
      <c r="Y9" s="1311"/>
    </row>
    <row r="10" spans="1:25" hidden="1">
      <c r="A10" s="428" t="s">
        <v>6271</v>
      </c>
      <c r="B10" s="413" t="s">
        <v>202</v>
      </c>
      <c r="C10" s="413" t="s">
        <v>8371</v>
      </c>
      <c r="D10" s="413" t="s">
        <v>1410</v>
      </c>
      <c r="E10" s="413" t="s">
        <v>5072</v>
      </c>
      <c r="F10" s="413"/>
      <c r="G10" s="413"/>
      <c r="H10" s="413"/>
      <c r="I10" s="413"/>
      <c r="J10" s="413"/>
      <c r="K10" s="413"/>
      <c r="L10" s="413"/>
      <c r="M10" s="413"/>
      <c r="N10" s="413"/>
      <c r="O10" s="413"/>
      <c r="P10" s="413"/>
      <c r="Q10" s="413"/>
      <c r="R10" s="413"/>
      <c r="S10" s="413"/>
      <c r="T10" s="413"/>
      <c r="U10" s="413"/>
      <c r="V10" s="413"/>
      <c r="W10" s="413"/>
      <c r="X10" s="570">
        <v>1</v>
      </c>
      <c r="Y10" s="1311"/>
    </row>
    <row r="11" spans="1:25" hidden="1">
      <c r="A11" s="428" t="s">
        <v>6271</v>
      </c>
      <c r="B11" s="413" t="s">
        <v>202</v>
      </c>
      <c r="C11" s="413" t="s">
        <v>8372</v>
      </c>
      <c r="D11" s="413" t="s">
        <v>1410</v>
      </c>
      <c r="E11" s="413" t="s">
        <v>5075</v>
      </c>
      <c r="F11" s="413"/>
      <c r="G11" s="413"/>
      <c r="H11" s="413"/>
      <c r="I11" s="413"/>
      <c r="J11" s="413"/>
      <c r="K11" s="413"/>
      <c r="L11" s="413"/>
      <c r="M11" s="413"/>
      <c r="N11" s="413"/>
      <c r="O11" s="413"/>
      <c r="P11" s="413"/>
      <c r="Q11" s="413"/>
      <c r="R11" s="413"/>
      <c r="S11" s="413"/>
      <c r="T11" s="413"/>
      <c r="U11" s="413"/>
      <c r="V11" s="413"/>
      <c r="W11" s="413"/>
      <c r="X11" s="570">
        <v>1</v>
      </c>
      <c r="Y11" s="1311"/>
    </row>
    <row r="12" spans="1:25" hidden="1">
      <c r="A12" s="428" t="s">
        <v>6271</v>
      </c>
      <c r="B12" s="413" t="s">
        <v>202</v>
      </c>
      <c r="C12" s="413" t="s">
        <v>8372</v>
      </c>
      <c r="D12" s="413" t="s">
        <v>1410</v>
      </c>
      <c r="E12" s="413" t="s">
        <v>5078</v>
      </c>
      <c r="F12" s="413"/>
      <c r="G12" s="413"/>
      <c r="H12" s="413"/>
      <c r="I12" s="413"/>
      <c r="J12" s="413"/>
      <c r="K12" s="413"/>
      <c r="L12" s="413"/>
      <c r="M12" s="413"/>
      <c r="N12" s="413"/>
      <c r="O12" s="413"/>
      <c r="P12" s="413"/>
      <c r="Q12" s="413"/>
      <c r="R12" s="413"/>
      <c r="S12" s="413"/>
      <c r="T12" s="413"/>
      <c r="U12" s="413"/>
      <c r="V12" s="413"/>
      <c r="W12" s="413"/>
      <c r="X12" s="570">
        <v>1</v>
      </c>
      <c r="Y12" s="1311"/>
    </row>
    <row r="13" spans="1:25" hidden="1">
      <c r="A13" s="428" t="s">
        <v>6271</v>
      </c>
      <c r="B13" s="413" t="s">
        <v>202</v>
      </c>
      <c r="C13" s="413" t="s">
        <v>8372</v>
      </c>
      <c r="D13" s="413" t="s">
        <v>1410</v>
      </c>
      <c r="E13" s="413" t="s">
        <v>5079</v>
      </c>
      <c r="F13" s="413"/>
      <c r="G13" s="413"/>
      <c r="H13" s="413"/>
      <c r="I13" s="413"/>
      <c r="J13" s="413"/>
      <c r="K13" s="413"/>
      <c r="L13" s="413"/>
      <c r="M13" s="413"/>
      <c r="N13" s="413"/>
      <c r="O13" s="413"/>
      <c r="P13" s="413"/>
      <c r="Q13" s="413"/>
      <c r="R13" s="413"/>
      <c r="S13" s="413"/>
      <c r="T13" s="413"/>
      <c r="U13" s="413"/>
      <c r="V13" s="413"/>
      <c r="W13" s="413"/>
      <c r="X13" s="570">
        <v>1</v>
      </c>
      <c r="Y13" s="1311"/>
    </row>
    <row r="14" spans="1:25" hidden="1">
      <c r="A14" s="428" t="s">
        <v>6271</v>
      </c>
      <c r="B14" s="413" t="s">
        <v>202</v>
      </c>
      <c r="C14" s="413" t="s">
        <v>8372</v>
      </c>
      <c r="D14" s="413" t="s">
        <v>1410</v>
      </c>
      <c r="E14" s="413" t="s">
        <v>5080</v>
      </c>
      <c r="F14" s="413"/>
      <c r="G14" s="413"/>
      <c r="H14" s="413"/>
      <c r="I14" s="413"/>
      <c r="J14" s="413"/>
      <c r="K14" s="413"/>
      <c r="L14" s="413"/>
      <c r="M14" s="413"/>
      <c r="N14" s="413"/>
      <c r="O14" s="413"/>
      <c r="P14" s="413"/>
      <c r="Q14" s="413"/>
      <c r="R14" s="413"/>
      <c r="S14" s="413"/>
      <c r="T14" s="413"/>
      <c r="U14" s="413"/>
      <c r="V14" s="413"/>
      <c r="W14" s="413"/>
      <c r="X14" s="570">
        <v>1</v>
      </c>
      <c r="Y14" s="1311"/>
    </row>
    <row r="15" spans="1:25" hidden="1">
      <c r="A15" s="428" t="s">
        <v>6271</v>
      </c>
      <c r="B15" s="413" t="s">
        <v>202</v>
      </c>
      <c r="C15" s="413" t="s">
        <v>8373</v>
      </c>
      <c r="D15" s="413" t="s">
        <v>1410</v>
      </c>
      <c r="E15" s="413" t="s">
        <v>5081</v>
      </c>
      <c r="F15" s="413"/>
      <c r="G15" s="413"/>
      <c r="H15" s="413"/>
      <c r="I15" s="413"/>
      <c r="J15" s="413"/>
      <c r="K15" s="413"/>
      <c r="L15" s="413"/>
      <c r="M15" s="413"/>
      <c r="N15" s="413"/>
      <c r="O15" s="413"/>
      <c r="P15" s="413"/>
      <c r="Q15" s="413"/>
      <c r="R15" s="413"/>
      <c r="S15" s="413"/>
      <c r="T15" s="413"/>
      <c r="U15" s="413"/>
      <c r="V15" s="413"/>
      <c r="W15" s="413"/>
      <c r="X15" s="570">
        <v>1</v>
      </c>
      <c r="Y15" s="1311"/>
    </row>
    <row r="16" spans="1:25" hidden="1">
      <c r="A16" s="428" t="s">
        <v>6271</v>
      </c>
      <c r="B16" s="413" t="s">
        <v>202</v>
      </c>
      <c r="C16" s="413" t="s">
        <v>8373</v>
      </c>
      <c r="D16" s="413" t="s">
        <v>1410</v>
      </c>
      <c r="E16" s="413" t="s">
        <v>5084</v>
      </c>
      <c r="F16" s="413"/>
      <c r="G16" s="413"/>
      <c r="H16" s="413"/>
      <c r="I16" s="413"/>
      <c r="J16" s="413"/>
      <c r="K16" s="413"/>
      <c r="L16" s="413"/>
      <c r="M16" s="413"/>
      <c r="N16" s="413"/>
      <c r="O16" s="413"/>
      <c r="P16" s="413"/>
      <c r="Q16" s="413"/>
      <c r="R16" s="413"/>
      <c r="S16" s="413"/>
      <c r="T16" s="413"/>
      <c r="U16" s="413"/>
      <c r="V16" s="413"/>
      <c r="W16" s="413"/>
      <c r="X16" s="570">
        <v>1</v>
      </c>
      <c r="Y16" s="1311"/>
    </row>
    <row r="17" spans="1:25" hidden="1">
      <c r="A17" s="428" t="s">
        <v>6271</v>
      </c>
      <c r="B17" s="413" t="s">
        <v>202</v>
      </c>
      <c r="C17" s="413" t="s">
        <v>8373</v>
      </c>
      <c r="D17" s="413" t="s">
        <v>1410</v>
      </c>
      <c r="E17" s="413" t="s">
        <v>5085</v>
      </c>
      <c r="F17" s="413"/>
      <c r="G17" s="413"/>
      <c r="H17" s="413"/>
      <c r="I17" s="413"/>
      <c r="J17" s="413"/>
      <c r="K17" s="413"/>
      <c r="L17" s="413"/>
      <c r="M17" s="413"/>
      <c r="N17" s="413"/>
      <c r="O17" s="413"/>
      <c r="P17" s="413"/>
      <c r="Q17" s="413"/>
      <c r="R17" s="413"/>
      <c r="S17" s="413"/>
      <c r="T17" s="413"/>
      <c r="U17" s="413"/>
      <c r="V17" s="413"/>
      <c r="W17" s="413"/>
      <c r="X17" s="570">
        <v>1</v>
      </c>
      <c r="Y17" s="1311"/>
    </row>
    <row r="18" spans="1:25" hidden="1">
      <c r="A18" s="428" t="s">
        <v>6271</v>
      </c>
      <c r="B18" s="413" t="s">
        <v>202</v>
      </c>
      <c r="C18" s="413" t="s">
        <v>8373</v>
      </c>
      <c r="D18" s="413" t="s">
        <v>1410</v>
      </c>
      <c r="E18" s="413" t="s">
        <v>5086</v>
      </c>
      <c r="F18" s="413"/>
      <c r="G18" s="413"/>
      <c r="H18" s="413"/>
      <c r="I18" s="413"/>
      <c r="J18" s="413"/>
      <c r="K18" s="413"/>
      <c r="L18" s="413"/>
      <c r="M18" s="413"/>
      <c r="N18" s="413"/>
      <c r="O18" s="413"/>
      <c r="P18" s="413"/>
      <c r="Q18" s="413"/>
      <c r="R18" s="413"/>
      <c r="S18" s="413"/>
      <c r="T18" s="413"/>
      <c r="U18" s="413"/>
      <c r="V18" s="413"/>
      <c r="W18" s="413"/>
      <c r="X18" s="570">
        <v>1</v>
      </c>
      <c r="Y18" s="1311"/>
    </row>
    <row r="19" spans="1:25" hidden="1">
      <c r="A19" s="428" t="s">
        <v>6271</v>
      </c>
      <c r="B19" s="413" t="s">
        <v>202</v>
      </c>
      <c r="C19" s="413" t="s">
        <v>8373</v>
      </c>
      <c r="D19" s="413" t="s">
        <v>1410</v>
      </c>
      <c r="E19" s="413" t="s">
        <v>5087</v>
      </c>
      <c r="F19" s="413"/>
      <c r="G19" s="413"/>
      <c r="H19" s="413"/>
      <c r="I19" s="413"/>
      <c r="J19" s="413"/>
      <c r="K19" s="413"/>
      <c r="L19" s="413"/>
      <c r="M19" s="413"/>
      <c r="N19" s="413"/>
      <c r="O19" s="413"/>
      <c r="P19" s="413"/>
      <c r="Q19" s="413"/>
      <c r="R19" s="413"/>
      <c r="S19" s="413"/>
      <c r="T19" s="413"/>
      <c r="U19" s="413"/>
      <c r="V19" s="413"/>
      <c r="W19" s="413"/>
      <c r="X19" s="570">
        <v>1</v>
      </c>
      <c r="Y19" s="1311"/>
    </row>
    <row r="20" spans="1:25" hidden="1">
      <c r="A20" s="428" t="s">
        <v>6271</v>
      </c>
      <c r="B20" s="413" t="s">
        <v>202</v>
      </c>
      <c r="C20" s="413" t="s">
        <v>8373</v>
      </c>
      <c r="D20" s="413" t="s">
        <v>1410</v>
      </c>
      <c r="E20" s="413" t="s">
        <v>5088</v>
      </c>
      <c r="F20" s="413"/>
      <c r="G20" s="413"/>
      <c r="H20" s="413"/>
      <c r="I20" s="413"/>
      <c r="J20" s="413"/>
      <c r="K20" s="413"/>
      <c r="L20" s="413"/>
      <c r="M20" s="413"/>
      <c r="N20" s="413"/>
      <c r="O20" s="413"/>
      <c r="P20" s="413"/>
      <c r="Q20" s="413"/>
      <c r="R20" s="413"/>
      <c r="S20" s="413"/>
      <c r="T20" s="413"/>
      <c r="U20" s="413"/>
      <c r="V20" s="413"/>
      <c r="W20" s="413"/>
      <c r="X20" s="570">
        <v>1</v>
      </c>
      <c r="Y20" s="1311"/>
    </row>
    <row r="21" spans="1:25" hidden="1">
      <c r="A21" s="428" t="s">
        <v>6271</v>
      </c>
      <c r="B21" s="413" t="s">
        <v>202</v>
      </c>
      <c r="C21" s="413" t="s">
        <v>8373</v>
      </c>
      <c r="D21" s="413" t="s">
        <v>1410</v>
      </c>
      <c r="E21" s="413" t="s">
        <v>5089</v>
      </c>
      <c r="F21" s="413"/>
      <c r="G21" s="413"/>
      <c r="H21" s="413"/>
      <c r="I21" s="413"/>
      <c r="J21" s="413"/>
      <c r="K21" s="413"/>
      <c r="L21" s="413"/>
      <c r="M21" s="413"/>
      <c r="N21" s="413"/>
      <c r="O21" s="413"/>
      <c r="P21" s="413"/>
      <c r="Q21" s="413"/>
      <c r="R21" s="413"/>
      <c r="S21" s="413"/>
      <c r="T21" s="413"/>
      <c r="U21" s="413"/>
      <c r="V21" s="413"/>
      <c r="W21" s="413"/>
      <c r="X21" s="570">
        <v>1</v>
      </c>
      <c r="Y21" s="1311"/>
    </row>
    <row r="22" spans="1:25" hidden="1">
      <c r="A22" s="428" t="s">
        <v>6271</v>
      </c>
      <c r="B22" s="413" t="s">
        <v>202</v>
      </c>
      <c r="C22" s="413" t="s">
        <v>8373</v>
      </c>
      <c r="D22" s="413" t="s">
        <v>1410</v>
      </c>
      <c r="E22" s="413" t="s">
        <v>5090</v>
      </c>
      <c r="F22" s="413"/>
      <c r="G22" s="413"/>
      <c r="H22" s="413"/>
      <c r="I22" s="413"/>
      <c r="J22" s="413"/>
      <c r="K22" s="413"/>
      <c r="L22" s="413"/>
      <c r="M22" s="413"/>
      <c r="N22" s="413"/>
      <c r="O22" s="413"/>
      <c r="P22" s="413"/>
      <c r="Q22" s="413"/>
      <c r="R22" s="413"/>
      <c r="S22" s="413"/>
      <c r="T22" s="413"/>
      <c r="U22" s="413"/>
      <c r="V22" s="413"/>
      <c r="W22" s="413"/>
      <c r="X22" s="570">
        <v>1</v>
      </c>
      <c r="Y22" s="1311"/>
    </row>
    <row r="23" spans="1:25" hidden="1">
      <c r="A23" s="428" t="s">
        <v>6271</v>
      </c>
      <c r="B23" s="413" t="s">
        <v>202</v>
      </c>
      <c r="C23" s="413" t="s">
        <v>8373</v>
      </c>
      <c r="D23" s="413" t="s">
        <v>1410</v>
      </c>
      <c r="E23" s="413" t="s">
        <v>5091</v>
      </c>
      <c r="F23" s="413"/>
      <c r="G23" s="413"/>
      <c r="H23" s="413"/>
      <c r="I23" s="413"/>
      <c r="J23" s="413"/>
      <c r="K23" s="413"/>
      <c r="L23" s="413"/>
      <c r="M23" s="413"/>
      <c r="N23" s="413"/>
      <c r="O23" s="413"/>
      <c r="P23" s="413"/>
      <c r="Q23" s="413"/>
      <c r="R23" s="413"/>
      <c r="S23" s="413"/>
      <c r="T23" s="413"/>
      <c r="U23" s="413"/>
      <c r="V23" s="413"/>
      <c r="W23" s="413"/>
      <c r="X23" s="570">
        <v>1</v>
      </c>
      <c r="Y23" s="1311"/>
    </row>
    <row r="24" spans="1:25" hidden="1">
      <c r="A24" s="428" t="s">
        <v>6271</v>
      </c>
      <c r="B24" s="413" t="s">
        <v>202</v>
      </c>
      <c r="C24" s="413" t="s">
        <v>8373</v>
      </c>
      <c r="D24" s="413" t="s">
        <v>1410</v>
      </c>
      <c r="E24" s="413" t="s">
        <v>5092</v>
      </c>
      <c r="F24" s="413"/>
      <c r="G24" s="413"/>
      <c r="H24" s="413"/>
      <c r="I24" s="413"/>
      <c r="J24" s="413"/>
      <c r="K24" s="413"/>
      <c r="L24" s="413"/>
      <c r="M24" s="413"/>
      <c r="N24" s="413"/>
      <c r="O24" s="413"/>
      <c r="P24" s="413"/>
      <c r="Q24" s="413"/>
      <c r="R24" s="413"/>
      <c r="S24" s="413"/>
      <c r="T24" s="413"/>
      <c r="U24" s="413"/>
      <c r="V24" s="413"/>
      <c r="W24" s="413"/>
      <c r="X24" s="570">
        <v>1</v>
      </c>
      <c r="Y24" s="1311"/>
    </row>
    <row r="25" spans="1:25" hidden="1">
      <c r="A25" s="428" t="s">
        <v>6271</v>
      </c>
      <c r="B25" s="413" t="s">
        <v>202</v>
      </c>
      <c r="C25" s="413" t="s">
        <v>8373</v>
      </c>
      <c r="D25" s="413" t="s">
        <v>1410</v>
      </c>
      <c r="E25" s="413" t="s">
        <v>5093</v>
      </c>
      <c r="F25" s="413"/>
      <c r="G25" s="413"/>
      <c r="H25" s="413"/>
      <c r="I25" s="413"/>
      <c r="J25" s="413"/>
      <c r="K25" s="413"/>
      <c r="L25" s="413"/>
      <c r="M25" s="413"/>
      <c r="N25" s="413"/>
      <c r="O25" s="413"/>
      <c r="P25" s="413"/>
      <c r="Q25" s="413"/>
      <c r="R25" s="413"/>
      <c r="S25" s="413"/>
      <c r="T25" s="413"/>
      <c r="U25" s="413"/>
      <c r="V25" s="413"/>
      <c r="W25" s="413"/>
      <c r="X25" s="570">
        <v>1</v>
      </c>
      <c r="Y25" s="1311"/>
    </row>
    <row r="26" spans="1:25" hidden="1">
      <c r="A26" s="428" t="s">
        <v>6271</v>
      </c>
      <c r="B26" s="413" t="s">
        <v>202</v>
      </c>
      <c r="C26" s="413" t="s">
        <v>8373</v>
      </c>
      <c r="D26" s="413" t="s">
        <v>1410</v>
      </c>
      <c r="E26" s="413" t="s">
        <v>5094</v>
      </c>
      <c r="F26" s="413"/>
      <c r="G26" s="413"/>
      <c r="H26" s="413"/>
      <c r="I26" s="413"/>
      <c r="J26" s="413"/>
      <c r="K26" s="413"/>
      <c r="L26" s="413"/>
      <c r="M26" s="413"/>
      <c r="N26" s="413"/>
      <c r="O26" s="413"/>
      <c r="P26" s="413"/>
      <c r="Q26" s="413"/>
      <c r="R26" s="413"/>
      <c r="S26" s="413"/>
      <c r="T26" s="413"/>
      <c r="U26" s="413"/>
      <c r="V26" s="413"/>
      <c r="W26" s="413"/>
      <c r="X26" s="570">
        <v>1</v>
      </c>
      <c r="Y26" s="1311"/>
    </row>
    <row r="27" spans="1:25" hidden="1">
      <c r="A27" s="428" t="s">
        <v>6271</v>
      </c>
      <c r="B27" s="413" t="s">
        <v>202</v>
      </c>
      <c r="C27" s="413" t="s">
        <v>8373</v>
      </c>
      <c r="D27" s="413" t="s">
        <v>1410</v>
      </c>
      <c r="E27" s="413" t="s">
        <v>5095</v>
      </c>
      <c r="F27" s="413"/>
      <c r="G27" s="413"/>
      <c r="H27" s="413"/>
      <c r="I27" s="413"/>
      <c r="J27" s="413"/>
      <c r="K27" s="413"/>
      <c r="L27" s="413"/>
      <c r="M27" s="413"/>
      <c r="N27" s="413"/>
      <c r="O27" s="413"/>
      <c r="P27" s="413"/>
      <c r="Q27" s="413"/>
      <c r="R27" s="413"/>
      <c r="S27" s="413"/>
      <c r="T27" s="413"/>
      <c r="U27" s="413"/>
      <c r="V27" s="413"/>
      <c r="W27" s="413"/>
      <c r="X27" s="570">
        <v>1</v>
      </c>
      <c r="Y27" s="1311"/>
    </row>
    <row r="28" spans="1:25" hidden="1">
      <c r="A28" s="428" t="s">
        <v>6271</v>
      </c>
      <c r="B28" s="413" t="s">
        <v>202</v>
      </c>
      <c r="C28" s="413" t="s">
        <v>8373</v>
      </c>
      <c r="D28" s="413" t="s">
        <v>1410</v>
      </c>
      <c r="E28" s="413" t="s">
        <v>5096</v>
      </c>
      <c r="F28" s="413"/>
      <c r="G28" s="413"/>
      <c r="H28" s="413"/>
      <c r="I28" s="413"/>
      <c r="J28" s="413"/>
      <c r="K28" s="413"/>
      <c r="L28" s="413"/>
      <c r="M28" s="413"/>
      <c r="N28" s="413"/>
      <c r="O28" s="413"/>
      <c r="P28" s="413"/>
      <c r="Q28" s="413"/>
      <c r="R28" s="413"/>
      <c r="S28" s="413"/>
      <c r="T28" s="413"/>
      <c r="U28" s="413"/>
      <c r="V28" s="413"/>
      <c r="W28" s="413"/>
      <c r="X28" s="570">
        <v>1</v>
      </c>
      <c r="Y28" s="1311"/>
    </row>
    <row r="29" spans="1:25" hidden="1">
      <c r="A29" s="428" t="s">
        <v>6271</v>
      </c>
      <c r="B29" s="413" t="s">
        <v>202</v>
      </c>
      <c r="C29" s="413" t="s">
        <v>8373</v>
      </c>
      <c r="D29" s="413" t="s">
        <v>1410</v>
      </c>
      <c r="E29" s="413" t="s">
        <v>5097</v>
      </c>
      <c r="F29" s="413"/>
      <c r="G29" s="413"/>
      <c r="H29" s="413"/>
      <c r="I29" s="413"/>
      <c r="J29" s="413"/>
      <c r="K29" s="413"/>
      <c r="L29" s="413"/>
      <c r="M29" s="413"/>
      <c r="N29" s="413"/>
      <c r="O29" s="413"/>
      <c r="P29" s="413"/>
      <c r="Q29" s="413"/>
      <c r="R29" s="413"/>
      <c r="S29" s="413"/>
      <c r="T29" s="413"/>
      <c r="U29" s="413"/>
      <c r="V29" s="413"/>
      <c r="W29" s="413"/>
      <c r="X29" s="570">
        <v>1</v>
      </c>
      <c r="Y29" s="1311"/>
    </row>
    <row r="30" spans="1:25" hidden="1">
      <c r="A30" s="428" t="s">
        <v>6271</v>
      </c>
      <c r="B30" s="413" t="s">
        <v>202</v>
      </c>
      <c r="C30" s="413" t="s">
        <v>8373</v>
      </c>
      <c r="D30" s="413" t="s">
        <v>1410</v>
      </c>
      <c r="E30" s="413" t="s">
        <v>5098</v>
      </c>
      <c r="F30" s="413"/>
      <c r="G30" s="413"/>
      <c r="H30" s="413"/>
      <c r="I30" s="413"/>
      <c r="J30" s="413"/>
      <c r="K30" s="413"/>
      <c r="L30" s="413"/>
      <c r="M30" s="413"/>
      <c r="N30" s="413"/>
      <c r="O30" s="413"/>
      <c r="P30" s="413"/>
      <c r="Q30" s="413"/>
      <c r="R30" s="413"/>
      <c r="S30" s="413"/>
      <c r="T30" s="413"/>
      <c r="U30" s="413"/>
      <c r="V30" s="413"/>
      <c r="W30" s="413"/>
      <c r="X30" s="570">
        <v>1</v>
      </c>
      <c r="Y30" s="1311"/>
    </row>
    <row r="31" spans="1:25" hidden="1">
      <c r="A31" s="428" t="s">
        <v>6271</v>
      </c>
      <c r="B31" s="413" t="s">
        <v>202</v>
      </c>
      <c r="C31" s="413" t="s">
        <v>8373</v>
      </c>
      <c r="D31" s="413" t="s">
        <v>1410</v>
      </c>
      <c r="E31" s="413" t="s">
        <v>5099</v>
      </c>
      <c r="F31" s="413"/>
      <c r="G31" s="413"/>
      <c r="H31" s="413"/>
      <c r="I31" s="413"/>
      <c r="J31" s="413"/>
      <c r="K31" s="413"/>
      <c r="L31" s="413"/>
      <c r="M31" s="413"/>
      <c r="N31" s="413"/>
      <c r="O31" s="413"/>
      <c r="P31" s="413"/>
      <c r="Q31" s="413"/>
      <c r="R31" s="413"/>
      <c r="S31" s="413"/>
      <c r="T31" s="413"/>
      <c r="U31" s="413"/>
      <c r="V31" s="413"/>
      <c r="W31" s="413"/>
      <c r="X31" s="570">
        <v>1</v>
      </c>
      <c r="Y31" s="1311"/>
    </row>
    <row r="32" spans="1:25" hidden="1">
      <c r="A32" s="428" t="s">
        <v>6271</v>
      </c>
      <c r="B32" s="413" t="s">
        <v>202</v>
      </c>
      <c r="C32" s="413" t="s">
        <v>5102</v>
      </c>
      <c r="D32" s="413" t="s">
        <v>1410</v>
      </c>
      <c r="E32" s="413" t="s">
        <v>5100</v>
      </c>
      <c r="F32" s="413"/>
      <c r="G32" s="413"/>
      <c r="H32" s="413"/>
      <c r="I32" s="413"/>
      <c r="J32" s="413"/>
      <c r="K32" s="413"/>
      <c r="L32" s="413"/>
      <c r="M32" s="413"/>
      <c r="N32" s="413"/>
      <c r="O32" s="413"/>
      <c r="P32" s="413"/>
      <c r="Q32" s="413"/>
      <c r="R32" s="413"/>
      <c r="S32" s="413"/>
      <c r="T32" s="413"/>
      <c r="U32" s="413"/>
      <c r="V32" s="413"/>
      <c r="W32" s="413"/>
      <c r="X32" s="570">
        <v>1</v>
      </c>
      <c r="Y32" s="1311"/>
    </row>
    <row r="33" spans="1:25" hidden="1">
      <c r="A33" s="428" t="s">
        <v>6271</v>
      </c>
      <c r="B33" s="413" t="s">
        <v>202</v>
      </c>
      <c r="C33" s="413" t="s">
        <v>5102</v>
      </c>
      <c r="D33" s="413" t="s">
        <v>1410</v>
      </c>
      <c r="E33" s="413" t="s">
        <v>5103</v>
      </c>
      <c r="F33" s="413"/>
      <c r="G33" s="413"/>
      <c r="H33" s="413"/>
      <c r="I33" s="413"/>
      <c r="J33" s="413"/>
      <c r="K33" s="413"/>
      <c r="L33" s="413"/>
      <c r="M33" s="413"/>
      <c r="N33" s="413"/>
      <c r="O33" s="413"/>
      <c r="P33" s="413"/>
      <c r="Q33" s="413"/>
      <c r="R33" s="413"/>
      <c r="S33" s="413"/>
      <c r="T33" s="413"/>
      <c r="U33" s="413"/>
      <c r="V33" s="413"/>
      <c r="W33" s="413"/>
      <c r="X33" s="570">
        <v>1</v>
      </c>
      <c r="Y33" s="1311"/>
    </row>
    <row r="34" spans="1:25" hidden="1">
      <c r="A34" s="428" t="s">
        <v>6271</v>
      </c>
      <c r="B34" s="413" t="s">
        <v>202</v>
      </c>
      <c r="C34" s="413" t="s">
        <v>5102</v>
      </c>
      <c r="D34" s="413" t="s">
        <v>1410</v>
      </c>
      <c r="E34" s="413" t="s">
        <v>5104</v>
      </c>
      <c r="F34" s="413"/>
      <c r="G34" s="413"/>
      <c r="H34" s="413"/>
      <c r="I34" s="413"/>
      <c r="J34" s="413"/>
      <c r="K34" s="413"/>
      <c r="L34" s="413"/>
      <c r="M34" s="413"/>
      <c r="N34" s="413"/>
      <c r="O34" s="413"/>
      <c r="P34" s="413"/>
      <c r="Q34" s="413"/>
      <c r="R34" s="413"/>
      <c r="S34" s="413"/>
      <c r="T34" s="413"/>
      <c r="U34" s="413"/>
      <c r="V34" s="413"/>
      <c r="W34" s="413"/>
      <c r="X34" s="570">
        <v>1</v>
      </c>
      <c r="Y34" s="1311"/>
    </row>
    <row r="35" spans="1:25" hidden="1">
      <c r="A35" s="428" t="s">
        <v>6271</v>
      </c>
      <c r="B35" s="413" t="s">
        <v>202</v>
      </c>
      <c r="C35" s="413" t="s">
        <v>5102</v>
      </c>
      <c r="D35" s="413" t="s">
        <v>1410</v>
      </c>
      <c r="E35" s="413" t="s">
        <v>5105</v>
      </c>
      <c r="F35" s="413"/>
      <c r="G35" s="413"/>
      <c r="H35" s="413"/>
      <c r="I35" s="413"/>
      <c r="J35" s="413"/>
      <c r="K35" s="413"/>
      <c r="L35" s="413"/>
      <c r="M35" s="413"/>
      <c r="N35" s="413"/>
      <c r="O35" s="413"/>
      <c r="P35" s="413"/>
      <c r="Q35" s="413"/>
      <c r="R35" s="413"/>
      <c r="S35" s="413"/>
      <c r="T35" s="413"/>
      <c r="U35" s="413"/>
      <c r="V35" s="413"/>
      <c r="W35" s="413"/>
      <c r="X35" s="570">
        <v>1</v>
      </c>
      <c r="Y35" s="1311"/>
    </row>
    <row r="36" spans="1:25" hidden="1">
      <c r="A36" s="428" t="s">
        <v>6271</v>
      </c>
      <c r="B36" s="413" t="s">
        <v>202</v>
      </c>
      <c r="C36" s="413" t="s">
        <v>5102</v>
      </c>
      <c r="D36" s="413" t="s">
        <v>1410</v>
      </c>
      <c r="E36" s="413" t="s">
        <v>5106</v>
      </c>
      <c r="F36" s="413"/>
      <c r="G36" s="413"/>
      <c r="H36" s="413"/>
      <c r="I36" s="413"/>
      <c r="J36" s="413"/>
      <c r="K36" s="413"/>
      <c r="L36" s="413"/>
      <c r="M36" s="413"/>
      <c r="N36" s="413"/>
      <c r="O36" s="413"/>
      <c r="P36" s="413"/>
      <c r="Q36" s="413"/>
      <c r="R36" s="413"/>
      <c r="S36" s="413"/>
      <c r="T36" s="413"/>
      <c r="U36" s="413"/>
      <c r="V36" s="413"/>
      <c r="W36" s="413"/>
      <c r="X36" s="570">
        <v>1</v>
      </c>
      <c r="Y36" s="1311"/>
    </row>
    <row r="37" spans="1:25" hidden="1">
      <c r="A37" s="428" t="s">
        <v>6271</v>
      </c>
      <c r="B37" s="413" t="s">
        <v>202</v>
      </c>
      <c r="C37" s="413" t="s">
        <v>5102</v>
      </c>
      <c r="D37" s="413" t="s">
        <v>1410</v>
      </c>
      <c r="E37" s="413" t="s">
        <v>5107</v>
      </c>
      <c r="F37" s="413"/>
      <c r="G37" s="413"/>
      <c r="H37" s="413"/>
      <c r="I37" s="413"/>
      <c r="J37" s="413"/>
      <c r="K37" s="413"/>
      <c r="L37" s="413"/>
      <c r="M37" s="413"/>
      <c r="N37" s="413"/>
      <c r="O37" s="413"/>
      <c r="P37" s="413"/>
      <c r="Q37" s="413"/>
      <c r="R37" s="413"/>
      <c r="S37" s="413"/>
      <c r="T37" s="413"/>
      <c r="U37" s="413"/>
      <c r="V37" s="413"/>
      <c r="W37" s="413"/>
      <c r="X37" s="570">
        <v>1</v>
      </c>
      <c r="Y37" s="1311"/>
    </row>
    <row r="38" spans="1:25" hidden="1">
      <c r="A38" s="428" t="s">
        <v>6271</v>
      </c>
      <c r="B38" s="413" t="s">
        <v>202</v>
      </c>
      <c r="C38" s="413" t="s">
        <v>5102</v>
      </c>
      <c r="D38" s="413" t="s">
        <v>1410</v>
      </c>
      <c r="E38" s="413" t="s">
        <v>5108</v>
      </c>
      <c r="F38" s="413"/>
      <c r="G38" s="413"/>
      <c r="H38" s="413"/>
      <c r="I38" s="413"/>
      <c r="J38" s="413"/>
      <c r="K38" s="413"/>
      <c r="L38" s="413"/>
      <c r="M38" s="413"/>
      <c r="N38" s="413"/>
      <c r="O38" s="413"/>
      <c r="P38" s="413"/>
      <c r="Q38" s="413"/>
      <c r="R38" s="413"/>
      <c r="S38" s="413"/>
      <c r="T38" s="413"/>
      <c r="U38" s="413"/>
      <c r="V38" s="413"/>
      <c r="W38" s="413"/>
      <c r="X38" s="570">
        <v>1</v>
      </c>
      <c r="Y38" s="1311"/>
    </row>
    <row r="39" spans="1:25" hidden="1">
      <c r="A39" s="428" t="s">
        <v>6271</v>
      </c>
      <c r="B39" s="413" t="s">
        <v>202</v>
      </c>
      <c r="C39" s="413" t="s">
        <v>5102</v>
      </c>
      <c r="D39" s="413" t="s">
        <v>1410</v>
      </c>
      <c r="E39" s="413" t="s">
        <v>5109</v>
      </c>
      <c r="F39" s="413"/>
      <c r="G39" s="413"/>
      <c r="H39" s="413"/>
      <c r="I39" s="413"/>
      <c r="J39" s="413"/>
      <c r="K39" s="413"/>
      <c r="L39" s="413"/>
      <c r="M39" s="413"/>
      <c r="N39" s="413"/>
      <c r="O39" s="413"/>
      <c r="P39" s="413"/>
      <c r="Q39" s="413"/>
      <c r="R39" s="413"/>
      <c r="S39" s="413"/>
      <c r="T39" s="413"/>
      <c r="U39" s="413"/>
      <c r="V39" s="413"/>
      <c r="W39" s="413"/>
      <c r="X39" s="570">
        <v>1</v>
      </c>
      <c r="Y39" s="1311"/>
    </row>
    <row r="40" spans="1:25" hidden="1">
      <c r="A40" s="428" t="s">
        <v>6271</v>
      </c>
      <c r="B40" s="413" t="s">
        <v>202</v>
      </c>
      <c r="C40" s="413" t="s">
        <v>5102</v>
      </c>
      <c r="D40" s="413" t="s">
        <v>1410</v>
      </c>
      <c r="E40" s="413" t="s">
        <v>5110</v>
      </c>
      <c r="F40" s="413"/>
      <c r="G40" s="413"/>
      <c r="H40" s="413"/>
      <c r="I40" s="413"/>
      <c r="J40" s="413"/>
      <c r="K40" s="413"/>
      <c r="L40" s="413"/>
      <c r="M40" s="413"/>
      <c r="N40" s="413"/>
      <c r="O40" s="413"/>
      <c r="P40" s="413"/>
      <c r="Q40" s="413"/>
      <c r="R40" s="413"/>
      <c r="S40" s="413"/>
      <c r="T40" s="413"/>
      <c r="U40" s="413"/>
      <c r="V40" s="413"/>
      <c r="W40" s="413"/>
      <c r="X40" s="570">
        <v>1</v>
      </c>
      <c r="Y40" s="1311"/>
    </row>
    <row r="41" spans="1:25" hidden="1">
      <c r="A41" s="428" t="s">
        <v>6271</v>
      </c>
      <c r="B41" s="413" t="s">
        <v>202</v>
      </c>
      <c r="C41" s="413" t="s">
        <v>5102</v>
      </c>
      <c r="D41" s="413" t="s">
        <v>1410</v>
      </c>
      <c r="E41" s="413" t="s">
        <v>5111</v>
      </c>
      <c r="F41" s="413"/>
      <c r="G41" s="413"/>
      <c r="H41" s="413"/>
      <c r="I41" s="413"/>
      <c r="J41" s="413"/>
      <c r="K41" s="413"/>
      <c r="L41" s="413"/>
      <c r="M41" s="413"/>
      <c r="N41" s="413"/>
      <c r="O41" s="413"/>
      <c r="P41" s="413"/>
      <c r="Q41" s="413"/>
      <c r="R41" s="413"/>
      <c r="S41" s="413"/>
      <c r="T41" s="413"/>
      <c r="U41" s="413"/>
      <c r="V41" s="413"/>
      <c r="W41" s="413"/>
      <c r="X41" s="570">
        <v>1</v>
      </c>
      <c r="Y41" s="1311"/>
    </row>
    <row r="42" spans="1:25" hidden="1">
      <c r="A42" s="428" t="s">
        <v>6271</v>
      </c>
      <c r="B42" s="413" t="s">
        <v>202</v>
      </c>
      <c r="C42" s="413" t="s">
        <v>5102</v>
      </c>
      <c r="D42" s="413" t="s">
        <v>1410</v>
      </c>
      <c r="E42" s="413" t="s">
        <v>5112</v>
      </c>
      <c r="F42" s="413"/>
      <c r="G42" s="413"/>
      <c r="H42" s="413"/>
      <c r="I42" s="413"/>
      <c r="J42" s="413"/>
      <c r="K42" s="413"/>
      <c r="L42" s="413"/>
      <c r="M42" s="413"/>
      <c r="N42" s="413"/>
      <c r="O42" s="413"/>
      <c r="P42" s="413"/>
      <c r="Q42" s="413"/>
      <c r="R42" s="413"/>
      <c r="S42" s="413"/>
      <c r="T42" s="413"/>
      <c r="U42" s="413"/>
      <c r="V42" s="413"/>
      <c r="W42" s="413"/>
      <c r="X42" s="570">
        <v>1</v>
      </c>
      <c r="Y42" s="1311"/>
    </row>
    <row r="43" spans="1:25" hidden="1">
      <c r="A43" s="428" t="s">
        <v>6271</v>
      </c>
      <c r="B43" s="413" t="s">
        <v>202</v>
      </c>
      <c r="C43" s="413" t="s">
        <v>5102</v>
      </c>
      <c r="D43" s="413" t="s">
        <v>1410</v>
      </c>
      <c r="E43" s="413" t="s">
        <v>5113</v>
      </c>
      <c r="F43" s="413"/>
      <c r="G43" s="413"/>
      <c r="H43" s="413"/>
      <c r="I43" s="413"/>
      <c r="J43" s="413"/>
      <c r="K43" s="413"/>
      <c r="L43" s="413"/>
      <c r="M43" s="413"/>
      <c r="N43" s="413"/>
      <c r="O43" s="413"/>
      <c r="P43" s="413"/>
      <c r="Q43" s="413"/>
      <c r="R43" s="413"/>
      <c r="S43" s="413"/>
      <c r="T43" s="413"/>
      <c r="U43" s="413"/>
      <c r="V43" s="413"/>
      <c r="W43" s="413"/>
      <c r="X43" s="570">
        <v>1</v>
      </c>
      <c r="Y43" s="1311"/>
    </row>
    <row r="44" spans="1:25" hidden="1">
      <c r="A44" s="428" t="s">
        <v>6271</v>
      </c>
      <c r="B44" s="413" t="s">
        <v>202</v>
      </c>
      <c r="C44" s="413" t="s">
        <v>5102</v>
      </c>
      <c r="D44" s="413" t="s">
        <v>1410</v>
      </c>
      <c r="E44" s="413" t="s">
        <v>5114</v>
      </c>
      <c r="F44" s="413"/>
      <c r="G44" s="413"/>
      <c r="H44" s="413"/>
      <c r="I44" s="413"/>
      <c r="J44" s="413"/>
      <c r="K44" s="413"/>
      <c r="L44" s="413"/>
      <c r="M44" s="413"/>
      <c r="N44" s="413"/>
      <c r="O44" s="413"/>
      <c r="P44" s="413"/>
      <c r="Q44" s="413"/>
      <c r="R44" s="413"/>
      <c r="S44" s="413"/>
      <c r="T44" s="413"/>
      <c r="U44" s="413"/>
      <c r="V44" s="413"/>
      <c r="W44" s="413"/>
      <c r="X44" s="570">
        <v>1</v>
      </c>
      <c r="Y44" s="1311"/>
    </row>
    <row r="45" spans="1:25" hidden="1">
      <c r="A45" s="428" t="s">
        <v>6271</v>
      </c>
      <c r="B45" s="413" t="s">
        <v>202</v>
      </c>
      <c r="C45" s="413" t="s">
        <v>5117</v>
      </c>
      <c r="D45" s="413" t="s">
        <v>1410</v>
      </c>
      <c r="E45" s="413" t="s">
        <v>5115</v>
      </c>
      <c r="F45" s="413"/>
      <c r="G45" s="413"/>
      <c r="H45" s="413"/>
      <c r="I45" s="413"/>
      <c r="J45" s="413"/>
      <c r="K45" s="413"/>
      <c r="L45" s="413"/>
      <c r="M45" s="413"/>
      <c r="N45" s="413"/>
      <c r="O45" s="413"/>
      <c r="P45" s="413"/>
      <c r="Q45" s="413"/>
      <c r="R45" s="413"/>
      <c r="S45" s="413"/>
      <c r="T45" s="413"/>
      <c r="U45" s="413"/>
      <c r="V45" s="413"/>
      <c r="W45" s="413"/>
      <c r="X45" s="570">
        <v>1</v>
      </c>
      <c r="Y45" s="1311"/>
    </row>
    <row r="46" spans="1:25" hidden="1">
      <c r="A46" s="428" t="s">
        <v>6271</v>
      </c>
      <c r="B46" s="413" t="s">
        <v>202</v>
      </c>
      <c r="C46" s="413" t="s">
        <v>5117</v>
      </c>
      <c r="D46" s="413" t="s">
        <v>1410</v>
      </c>
      <c r="E46" s="413" t="s">
        <v>5118</v>
      </c>
      <c r="F46" s="413"/>
      <c r="G46" s="413"/>
      <c r="H46" s="413"/>
      <c r="I46" s="413"/>
      <c r="J46" s="413"/>
      <c r="K46" s="413"/>
      <c r="L46" s="413"/>
      <c r="M46" s="413"/>
      <c r="N46" s="413"/>
      <c r="O46" s="413"/>
      <c r="P46" s="413"/>
      <c r="Q46" s="413"/>
      <c r="R46" s="413"/>
      <c r="S46" s="413"/>
      <c r="T46" s="413"/>
      <c r="U46" s="413"/>
      <c r="V46" s="413"/>
      <c r="W46" s="413"/>
      <c r="X46" s="570">
        <v>1</v>
      </c>
      <c r="Y46" s="1311"/>
    </row>
    <row r="47" spans="1:25" hidden="1">
      <c r="A47" s="428" t="s">
        <v>6271</v>
      </c>
      <c r="B47" s="413" t="s">
        <v>202</v>
      </c>
      <c r="C47" s="413" t="s">
        <v>5117</v>
      </c>
      <c r="D47" s="413" t="s">
        <v>1410</v>
      </c>
      <c r="E47" s="413" t="s">
        <v>5119</v>
      </c>
      <c r="F47" s="413"/>
      <c r="G47" s="413"/>
      <c r="H47" s="413"/>
      <c r="I47" s="413"/>
      <c r="J47" s="413"/>
      <c r="K47" s="413"/>
      <c r="L47" s="413"/>
      <c r="M47" s="413"/>
      <c r="N47" s="413"/>
      <c r="O47" s="413"/>
      <c r="P47" s="413"/>
      <c r="Q47" s="413"/>
      <c r="R47" s="413"/>
      <c r="S47" s="413"/>
      <c r="T47" s="413"/>
      <c r="U47" s="413"/>
      <c r="V47" s="413"/>
      <c r="W47" s="413"/>
      <c r="X47" s="570">
        <v>1</v>
      </c>
      <c r="Y47" s="1311"/>
    </row>
    <row r="48" spans="1:25" hidden="1">
      <c r="A48" s="428" t="s">
        <v>6271</v>
      </c>
      <c r="B48" s="413" t="s">
        <v>202</v>
      </c>
      <c r="C48" s="413" t="s">
        <v>5117</v>
      </c>
      <c r="D48" s="413" t="s">
        <v>1410</v>
      </c>
      <c r="E48" s="413" t="s">
        <v>5120</v>
      </c>
      <c r="F48" s="413"/>
      <c r="G48" s="413"/>
      <c r="H48" s="413"/>
      <c r="I48" s="413"/>
      <c r="J48" s="413"/>
      <c r="K48" s="413"/>
      <c r="L48" s="413"/>
      <c r="M48" s="413"/>
      <c r="N48" s="413"/>
      <c r="O48" s="413"/>
      <c r="P48" s="413"/>
      <c r="Q48" s="413"/>
      <c r="R48" s="413"/>
      <c r="S48" s="413"/>
      <c r="T48" s="413"/>
      <c r="U48" s="413"/>
      <c r="V48" s="413"/>
      <c r="W48" s="413"/>
      <c r="X48" s="570">
        <v>1</v>
      </c>
      <c r="Y48" s="1311"/>
    </row>
    <row r="49" spans="1:25" hidden="1">
      <c r="A49" s="428" t="s">
        <v>6271</v>
      </c>
      <c r="B49" s="413" t="s">
        <v>202</v>
      </c>
      <c r="C49" s="413" t="s">
        <v>5117</v>
      </c>
      <c r="D49" s="413" t="s">
        <v>1410</v>
      </c>
      <c r="E49" s="413" t="s">
        <v>5121</v>
      </c>
      <c r="F49" s="413"/>
      <c r="G49" s="413"/>
      <c r="H49" s="413"/>
      <c r="I49" s="413"/>
      <c r="J49" s="413"/>
      <c r="K49" s="413"/>
      <c r="L49" s="413"/>
      <c r="M49" s="413"/>
      <c r="N49" s="413"/>
      <c r="O49" s="413"/>
      <c r="P49" s="413"/>
      <c r="Q49" s="413"/>
      <c r="R49" s="413"/>
      <c r="S49" s="413"/>
      <c r="T49" s="413"/>
      <c r="U49" s="413"/>
      <c r="V49" s="413"/>
      <c r="W49" s="413"/>
      <c r="X49" s="570">
        <v>1</v>
      </c>
      <c r="Y49" s="1311"/>
    </row>
    <row r="50" spans="1:25" hidden="1">
      <c r="A50" s="428" t="s">
        <v>6271</v>
      </c>
      <c r="B50" s="413" t="s">
        <v>202</v>
      </c>
      <c r="C50" s="413" t="s">
        <v>5117</v>
      </c>
      <c r="D50" s="413" t="s">
        <v>1410</v>
      </c>
      <c r="E50" s="413" t="s">
        <v>5122</v>
      </c>
      <c r="F50" s="413"/>
      <c r="G50" s="413"/>
      <c r="H50" s="413"/>
      <c r="I50" s="413"/>
      <c r="J50" s="413"/>
      <c r="K50" s="413"/>
      <c r="L50" s="413"/>
      <c r="M50" s="413"/>
      <c r="N50" s="413"/>
      <c r="O50" s="413"/>
      <c r="P50" s="413"/>
      <c r="Q50" s="413"/>
      <c r="R50" s="413"/>
      <c r="S50" s="413"/>
      <c r="T50" s="413"/>
      <c r="U50" s="413"/>
      <c r="V50" s="413"/>
      <c r="W50" s="413"/>
      <c r="X50" s="570">
        <v>1</v>
      </c>
      <c r="Y50" s="1311"/>
    </row>
    <row r="51" spans="1:25" hidden="1">
      <c r="A51" s="428" t="s">
        <v>6271</v>
      </c>
      <c r="B51" s="413" t="s">
        <v>202</v>
      </c>
      <c r="C51" s="413" t="s">
        <v>5117</v>
      </c>
      <c r="D51" s="413" t="s">
        <v>1410</v>
      </c>
      <c r="E51" s="413" t="s">
        <v>5123</v>
      </c>
      <c r="F51" s="413"/>
      <c r="G51" s="413"/>
      <c r="H51" s="413"/>
      <c r="I51" s="413"/>
      <c r="J51" s="413"/>
      <c r="K51" s="413"/>
      <c r="L51" s="413"/>
      <c r="M51" s="413"/>
      <c r="N51" s="413"/>
      <c r="O51" s="413"/>
      <c r="P51" s="413"/>
      <c r="Q51" s="413"/>
      <c r="R51" s="413"/>
      <c r="S51" s="413"/>
      <c r="T51" s="413"/>
      <c r="U51" s="413"/>
      <c r="V51" s="413"/>
      <c r="W51" s="413"/>
      <c r="X51" s="570">
        <v>1</v>
      </c>
      <c r="Y51" s="1311"/>
    </row>
    <row r="52" spans="1:25" hidden="1">
      <c r="A52" s="428" t="s">
        <v>6271</v>
      </c>
      <c r="B52" s="413" t="s">
        <v>202</v>
      </c>
      <c r="C52" s="413" t="s">
        <v>8374</v>
      </c>
      <c r="D52" s="413" t="s">
        <v>1410</v>
      </c>
      <c r="E52" s="413" t="s">
        <v>5124</v>
      </c>
      <c r="F52" s="413"/>
      <c r="G52" s="413"/>
      <c r="H52" s="413"/>
      <c r="I52" s="413"/>
      <c r="J52" s="413"/>
      <c r="K52" s="413"/>
      <c r="L52" s="413"/>
      <c r="M52" s="413"/>
      <c r="N52" s="413"/>
      <c r="O52" s="413"/>
      <c r="P52" s="413"/>
      <c r="Q52" s="413"/>
      <c r="R52" s="413"/>
      <c r="S52" s="413"/>
      <c r="T52" s="413"/>
      <c r="U52" s="413"/>
      <c r="V52" s="413"/>
      <c r="W52" s="413"/>
      <c r="X52" s="570">
        <v>1</v>
      </c>
      <c r="Y52" s="1311"/>
    </row>
    <row r="53" spans="1:25" hidden="1">
      <c r="A53" s="428" t="s">
        <v>6271</v>
      </c>
      <c r="B53" s="413" t="s">
        <v>202</v>
      </c>
      <c r="C53" s="413" t="s">
        <v>8374</v>
      </c>
      <c r="D53" s="413" t="s">
        <v>1410</v>
      </c>
      <c r="E53" s="413" t="s">
        <v>5127</v>
      </c>
      <c r="F53" s="413"/>
      <c r="G53" s="413"/>
      <c r="H53" s="413"/>
      <c r="I53" s="413"/>
      <c r="J53" s="413"/>
      <c r="K53" s="413"/>
      <c r="L53" s="413"/>
      <c r="M53" s="413"/>
      <c r="N53" s="413"/>
      <c r="O53" s="413"/>
      <c r="P53" s="413"/>
      <c r="Q53" s="413"/>
      <c r="R53" s="413"/>
      <c r="S53" s="413"/>
      <c r="T53" s="413"/>
      <c r="U53" s="413"/>
      <c r="V53" s="413"/>
      <c r="W53" s="413"/>
      <c r="X53" s="570">
        <v>1</v>
      </c>
      <c r="Y53" s="1311"/>
    </row>
    <row r="54" spans="1:25" hidden="1">
      <c r="A54" s="428" t="s">
        <v>6271</v>
      </c>
      <c r="B54" s="413" t="s">
        <v>202</v>
      </c>
      <c r="C54" s="413" t="s">
        <v>8374</v>
      </c>
      <c r="D54" s="413" t="s">
        <v>1410</v>
      </c>
      <c r="E54" s="413" t="s">
        <v>5128</v>
      </c>
      <c r="F54" s="413"/>
      <c r="G54" s="413"/>
      <c r="H54" s="413"/>
      <c r="I54" s="413"/>
      <c r="J54" s="413"/>
      <c r="K54" s="413"/>
      <c r="L54" s="413"/>
      <c r="M54" s="413"/>
      <c r="N54" s="413"/>
      <c r="O54" s="413"/>
      <c r="P54" s="413"/>
      <c r="Q54" s="413"/>
      <c r="R54" s="413"/>
      <c r="S54" s="413"/>
      <c r="T54" s="413"/>
      <c r="U54" s="413"/>
      <c r="V54" s="413"/>
      <c r="W54" s="413"/>
      <c r="X54" s="570">
        <v>1</v>
      </c>
      <c r="Y54" s="1311"/>
    </row>
    <row r="55" spans="1:25" hidden="1">
      <c r="A55" s="428" t="s">
        <v>6271</v>
      </c>
      <c r="B55" s="413" t="s">
        <v>202</v>
      </c>
      <c r="C55" s="413" t="s">
        <v>8375</v>
      </c>
      <c r="D55" s="413" t="s">
        <v>1410</v>
      </c>
      <c r="E55" s="413" t="s">
        <v>5129</v>
      </c>
      <c r="F55" s="413"/>
      <c r="G55" s="413"/>
      <c r="H55" s="413"/>
      <c r="I55" s="413"/>
      <c r="J55" s="413"/>
      <c r="K55" s="413"/>
      <c r="L55" s="413"/>
      <c r="M55" s="413"/>
      <c r="N55" s="413"/>
      <c r="O55" s="413"/>
      <c r="P55" s="413"/>
      <c r="Q55" s="413"/>
      <c r="R55" s="413"/>
      <c r="S55" s="413"/>
      <c r="T55" s="413"/>
      <c r="U55" s="413"/>
      <c r="V55" s="413"/>
      <c r="W55" s="413"/>
      <c r="X55" s="570">
        <v>1</v>
      </c>
      <c r="Y55" s="1311"/>
    </row>
    <row r="56" spans="1:25" hidden="1">
      <c r="A56" s="428" t="s">
        <v>6271</v>
      </c>
      <c r="B56" s="413" t="s">
        <v>202</v>
      </c>
      <c r="C56" s="413" t="s">
        <v>5137</v>
      </c>
      <c r="D56" s="413" t="s">
        <v>1410</v>
      </c>
      <c r="E56" s="413" t="s">
        <v>5132</v>
      </c>
      <c r="F56" s="413"/>
      <c r="G56" s="413"/>
      <c r="H56" s="413"/>
      <c r="I56" s="413"/>
      <c r="J56" s="413"/>
      <c r="K56" s="413"/>
      <c r="L56" s="413"/>
      <c r="M56" s="413"/>
      <c r="N56" s="413"/>
      <c r="O56" s="413"/>
      <c r="P56" s="413"/>
      <c r="Q56" s="413"/>
      <c r="R56" s="413"/>
      <c r="S56" s="413"/>
      <c r="T56" s="413"/>
      <c r="U56" s="413"/>
      <c r="V56" s="413"/>
      <c r="W56" s="413"/>
      <c r="X56" s="570">
        <v>1</v>
      </c>
      <c r="Y56" s="1311"/>
    </row>
    <row r="57" spans="1:25" hidden="1">
      <c r="A57" s="428" t="s">
        <v>6271</v>
      </c>
      <c r="B57" s="413" t="s">
        <v>202</v>
      </c>
      <c r="C57" s="413" t="s">
        <v>5137</v>
      </c>
      <c r="D57" s="413" t="s">
        <v>1410</v>
      </c>
      <c r="E57" s="413" t="s">
        <v>5135</v>
      </c>
      <c r="F57" s="413"/>
      <c r="G57" s="413"/>
      <c r="H57" s="413"/>
      <c r="I57" s="413"/>
      <c r="J57" s="413"/>
      <c r="K57" s="413"/>
      <c r="L57" s="413"/>
      <c r="M57" s="413"/>
      <c r="N57" s="413"/>
      <c r="O57" s="413"/>
      <c r="P57" s="413"/>
      <c r="Q57" s="413"/>
      <c r="R57" s="413"/>
      <c r="S57" s="413"/>
      <c r="T57" s="413"/>
      <c r="U57" s="413"/>
      <c r="V57" s="413"/>
      <c r="W57" s="413"/>
      <c r="X57" s="570">
        <v>1</v>
      </c>
      <c r="Y57" s="1311"/>
    </row>
    <row r="58" spans="1:25" hidden="1">
      <c r="A58" s="428" t="s">
        <v>6271</v>
      </c>
      <c r="B58" s="413" t="s">
        <v>202</v>
      </c>
      <c r="C58" s="413" t="s">
        <v>5137</v>
      </c>
      <c r="D58" s="413" t="s">
        <v>1410</v>
      </c>
      <c r="E58" s="413" t="s">
        <v>5138</v>
      </c>
      <c r="F58" s="413"/>
      <c r="G58" s="413"/>
      <c r="H58" s="413"/>
      <c r="I58" s="413"/>
      <c r="J58" s="413"/>
      <c r="K58" s="413"/>
      <c r="L58" s="413"/>
      <c r="M58" s="413"/>
      <c r="N58" s="413"/>
      <c r="O58" s="413"/>
      <c r="P58" s="413"/>
      <c r="Q58" s="413"/>
      <c r="R58" s="413"/>
      <c r="S58" s="413"/>
      <c r="T58" s="413"/>
      <c r="U58" s="413"/>
      <c r="V58" s="413"/>
      <c r="W58" s="413"/>
      <c r="X58" s="570">
        <v>1</v>
      </c>
      <c r="Y58" s="1311"/>
    </row>
    <row r="59" spans="1:25" hidden="1">
      <c r="A59" s="428" t="s">
        <v>6271</v>
      </c>
      <c r="B59" s="413" t="s">
        <v>202</v>
      </c>
      <c r="C59" s="413" t="s">
        <v>5137</v>
      </c>
      <c r="D59" s="413" t="s">
        <v>1410</v>
      </c>
      <c r="E59" s="413" t="s">
        <v>5139</v>
      </c>
      <c r="F59" s="413"/>
      <c r="G59" s="413"/>
      <c r="H59" s="413"/>
      <c r="I59" s="413"/>
      <c r="J59" s="413"/>
      <c r="K59" s="413"/>
      <c r="L59" s="413"/>
      <c r="M59" s="413"/>
      <c r="N59" s="413"/>
      <c r="O59" s="413"/>
      <c r="P59" s="413"/>
      <c r="Q59" s="413"/>
      <c r="R59" s="413"/>
      <c r="S59" s="413"/>
      <c r="T59" s="413"/>
      <c r="U59" s="413"/>
      <c r="V59" s="413"/>
      <c r="W59" s="413"/>
      <c r="X59" s="570">
        <v>1</v>
      </c>
      <c r="Y59" s="1311"/>
    </row>
    <row r="60" spans="1:25" hidden="1">
      <c r="A60" s="428" t="s">
        <v>6271</v>
      </c>
      <c r="B60" s="413" t="s">
        <v>202</v>
      </c>
      <c r="C60" s="413" t="s">
        <v>5137</v>
      </c>
      <c r="D60" s="413" t="s">
        <v>1410</v>
      </c>
      <c r="E60" s="413" t="s">
        <v>5140</v>
      </c>
      <c r="F60" s="413"/>
      <c r="G60" s="413"/>
      <c r="H60" s="413"/>
      <c r="I60" s="413"/>
      <c r="J60" s="413"/>
      <c r="K60" s="413"/>
      <c r="L60" s="413"/>
      <c r="M60" s="413"/>
      <c r="N60" s="413"/>
      <c r="O60" s="413"/>
      <c r="P60" s="413"/>
      <c r="Q60" s="413"/>
      <c r="R60" s="413"/>
      <c r="S60" s="413"/>
      <c r="T60" s="413"/>
      <c r="U60" s="413"/>
      <c r="V60" s="413"/>
      <c r="W60" s="413"/>
      <c r="X60" s="570">
        <v>1</v>
      </c>
      <c r="Y60" s="1311"/>
    </row>
    <row r="61" spans="1:25" hidden="1">
      <c r="A61" s="428" t="s">
        <v>6271</v>
      </c>
      <c r="B61" s="413" t="s">
        <v>202</v>
      </c>
      <c r="C61" s="413" t="s">
        <v>5137</v>
      </c>
      <c r="D61" s="413" t="s">
        <v>1410</v>
      </c>
      <c r="E61" s="413" t="s">
        <v>5141</v>
      </c>
      <c r="F61" s="413"/>
      <c r="G61" s="413"/>
      <c r="H61" s="413"/>
      <c r="I61" s="413"/>
      <c r="J61" s="413"/>
      <c r="K61" s="413"/>
      <c r="L61" s="413"/>
      <c r="M61" s="413"/>
      <c r="N61" s="413"/>
      <c r="O61" s="413"/>
      <c r="P61" s="413"/>
      <c r="Q61" s="413"/>
      <c r="R61" s="413"/>
      <c r="S61" s="413"/>
      <c r="T61" s="413"/>
      <c r="U61" s="413"/>
      <c r="V61" s="413"/>
      <c r="W61" s="413"/>
      <c r="X61" s="570">
        <v>1</v>
      </c>
      <c r="Y61" s="1311"/>
    </row>
    <row r="62" spans="1:25" hidden="1">
      <c r="A62" s="428" t="s">
        <v>6271</v>
      </c>
      <c r="B62" s="413" t="s">
        <v>202</v>
      </c>
      <c r="C62" s="413" t="s">
        <v>5144</v>
      </c>
      <c r="D62" s="413" t="s">
        <v>1410</v>
      </c>
      <c r="E62" s="413" t="s">
        <v>5142</v>
      </c>
      <c r="F62" s="413"/>
      <c r="G62" s="413"/>
      <c r="H62" s="413"/>
      <c r="I62" s="413"/>
      <c r="J62" s="413"/>
      <c r="K62" s="413"/>
      <c r="L62" s="413"/>
      <c r="M62" s="413"/>
      <c r="N62" s="413"/>
      <c r="O62" s="413"/>
      <c r="P62" s="413"/>
      <c r="Q62" s="413"/>
      <c r="R62" s="413"/>
      <c r="S62" s="413"/>
      <c r="T62" s="413"/>
      <c r="U62" s="413"/>
      <c r="V62" s="413"/>
      <c r="W62" s="413"/>
      <c r="X62" s="570">
        <v>1</v>
      </c>
      <c r="Y62" s="1311"/>
    </row>
    <row r="63" spans="1:25" hidden="1">
      <c r="A63" s="428" t="s">
        <v>6271</v>
      </c>
      <c r="B63" s="413" t="s">
        <v>202</v>
      </c>
      <c r="C63" s="413" t="s">
        <v>5144</v>
      </c>
      <c r="D63" s="413" t="s">
        <v>1410</v>
      </c>
      <c r="E63" s="413" t="s">
        <v>5145</v>
      </c>
      <c r="F63" s="413"/>
      <c r="G63" s="413"/>
      <c r="H63" s="413"/>
      <c r="I63" s="413"/>
      <c r="J63" s="413"/>
      <c r="K63" s="413"/>
      <c r="L63" s="413"/>
      <c r="M63" s="413"/>
      <c r="N63" s="413"/>
      <c r="O63" s="413"/>
      <c r="P63" s="413"/>
      <c r="Q63" s="413"/>
      <c r="R63" s="413"/>
      <c r="S63" s="413"/>
      <c r="T63" s="413"/>
      <c r="U63" s="413"/>
      <c r="V63" s="413"/>
      <c r="W63" s="413"/>
      <c r="X63" s="570">
        <v>1</v>
      </c>
      <c r="Y63" s="1311"/>
    </row>
    <row r="64" spans="1:25" hidden="1">
      <c r="A64" s="428" t="s">
        <v>6271</v>
      </c>
      <c r="B64" s="413" t="s">
        <v>202</v>
      </c>
      <c r="C64" s="413" t="s">
        <v>5144</v>
      </c>
      <c r="D64" s="413" t="s">
        <v>1410</v>
      </c>
      <c r="E64" s="413" t="s">
        <v>5146</v>
      </c>
      <c r="F64" s="413"/>
      <c r="G64" s="413"/>
      <c r="H64" s="413"/>
      <c r="I64" s="413"/>
      <c r="J64" s="413"/>
      <c r="K64" s="413"/>
      <c r="L64" s="413"/>
      <c r="M64" s="413"/>
      <c r="N64" s="413"/>
      <c r="O64" s="413"/>
      <c r="P64" s="413"/>
      <c r="Q64" s="413"/>
      <c r="R64" s="413"/>
      <c r="S64" s="413"/>
      <c r="T64" s="413"/>
      <c r="U64" s="413"/>
      <c r="V64" s="413"/>
      <c r="W64" s="413"/>
      <c r="X64" s="570">
        <v>1</v>
      </c>
      <c r="Y64" s="1311"/>
    </row>
    <row r="65" spans="1:25" hidden="1">
      <c r="A65" s="428" t="s">
        <v>6271</v>
      </c>
      <c r="B65" s="413" t="s">
        <v>202</v>
      </c>
      <c r="C65" s="413" t="s">
        <v>5144</v>
      </c>
      <c r="D65" s="413" t="s">
        <v>1410</v>
      </c>
      <c r="E65" s="413" t="s">
        <v>5147</v>
      </c>
      <c r="F65" s="413"/>
      <c r="G65" s="413"/>
      <c r="H65" s="413"/>
      <c r="I65" s="413"/>
      <c r="J65" s="413"/>
      <c r="K65" s="413"/>
      <c r="L65" s="413"/>
      <c r="M65" s="413"/>
      <c r="N65" s="413"/>
      <c r="O65" s="413"/>
      <c r="P65" s="413"/>
      <c r="Q65" s="413"/>
      <c r="R65" s="413"/>
      <c r="S65" s="413"/>
      <c r="T65" s="413"/>
      <c r="U65" s="413"/>
      <c r="V65" s="413"/>
      <c r="W65" s="413"/>
      <c r="X65" s="570">
        <v>1</v>
      </c>
      <c r="Y65" s="1311"/>
    </row>
    <row r="66" spans="1:25" hidden="1">
      <c r="A66" s="428" t="s">
        <v>6271</v>
      </c>
      <c r="B66" s="413" t="s">
        <v>202</v>
      </c>
      <c r="C66" s="413" t="s">
        <v>5144</v>
      </c>
      <c r="D66" s="413" t="s">
        <v>1410</v>
      </c>
      <c r="E66" s="413" t="s">
        <v>5148</v>
      </c>
      <c r="F66" s="413"/>
      <c r="G66" s="413"/>
      <c r="H66" s="413"/>
      <c r="I66" s="413"/>
      <c r="J66" s="413"/>
      <c r="K66" s="413"/>
      <c r="L66" s="413"/>
      <c r="M66" s="413"/>
      <c r="N66" s="413"/>
      <c r="O66" s="413"/>
      <c r="P66" s="413"/>
      <c r="Q66" s="413"/>
      <c r="R66" s="413"/>
      <c r="S66" s="413"/>
      <c r="T66" s="413"/>
      <c r="U66" s="413"/>
      <c r="V66" s="413"/>
      <c r="W66" s="413"/>
      <c r="X66" s="570">
        <v>1</v>
      </c>
      <c r="Y66" s="1311"/>
    </row>
    <row r="67" spans="1:25" hidden="1">
      <c r="A67" s="428" t="s">
        <v>6271</v>
      </c>
      <c r="B67" s="413" t="s">
        <v>202</v>
      </c>
      <c r="C67" s="413" t="s">
        <v>5144</v>
      </c>
      <c r="D67" s="413" t="s">
        <v>1410</v>
      </c>
      <c r="E67" s="413" t="s">
        <v>5149</v>
      </c>
      <c r="F67" s="413"/>
      <c r="G67" s="413"/>
      <c r="H67" s="413"/>
      <c r="I67" s="413"/>
      <c r="J67" s="413"/>
      <c r="K67" s="413"/>
      <c r="L67" s="413"/>
      <c r="M67" s="413"/>
      <c r="N67" s="413"/>
      <c r="O67" s="413"/>
      <c r="P67" s="413"/>
      <c r="Q67" s="413"/>
      <c r="R67" s="413"/>
      <c r="S67" s="413"/>
      <c r="T67" s="413"/>
      <c r="U67" s="413"/>
      <c r="V67" s="413"/>
      <c r="W67" s="413"/>
      <c r="X67" s="570">
        <v>1</v>
      </c>
      <c r="Y67" s="1311"/>
    </row>
    <row r="68" spans="1:25" hidden="1">
      <c r="A68" s="428" t="s">
        <v>6271</v>
      </c>
      <c r="B68" s="413" t="s">
        <v>202</v>
      </c>
      <c r="C68" s="413" t="s">
        <v>5144</v>
      </c>
      <c r="D68" s="413" t="s">
        <v>1410</v>
      </c>
      <c r="E68" s="413" t="s">
        <v>5150</v>
      </c>
      <c r="F68" s="413"/>
      <c r="G68" s="413"/>
      <c r="H68" s="413"/>
      <c r="I68" s="413"/>
      <c r="J68" s="413"/>
      <c r="K68" s="413"/>
      <c r="L68" s="413"/>
      <c r="M68" s="413"/>
      <c r="N68" s="413"/>
      <c r="O68" s="413"/>
      <c r="P68" s="413"/>
      <c r="Q68" s="413"/>
      <c r="R68" s="413"/>
      <c r="S68" s="413"/>
      <c r="T68" s="413"/>
      <c r="U68" s="413"/>
      <c r="V68" s="413"/>
      <c r="W68" s="413"/>
      <c r="X68" s="570">
        <v>1</v>
      </c>
      <c r="Y68" s="1311"/>
    </row>
    <row r="69" spans="1:25" hidden="1">
      <c r="A69" s="428" t="s">
        <v>6271</v>
      </c>
      <c r="B69" s="413" t="s">
        <v>202</v>
      </c>
      <c r="C69" s="413" t="s">
        <v>5153</v>
      </c>
      <c r="D69" s="413" t="s">
        <v>1410</v>
      </c>
      <c r="E69" s="413" t="s">
        <v>5151</v>
      </c>
      <c r="F69" s="413"/>
      <c r="G69" s="413"/>
      <c r="H69" s="413"/>
      <c r="I69" s="413"/>
      <c r="J69" s="413"/>
      <c r="K69" s="413"/>
      <c r="L69" s="413"/>
      <c r="M69" s="413"/>
      <c r="N69" s="413"/>
      <c r="O69" s="413"/>
      <c r="P69" s="413"/>
      <c r="Q69" s="413"/>
      <c r="R69" s="413"/>
      <c r="S69" s="413"/>
      <c r="T69" s="413"/>
      <c r="U69" s="413"/>
      <c r="V69" s="413"/>
      <c r="W69" s="413"/>
      <c r="X69" s="570">
        <v>1</v>
      </c>
      <c r="Y69" s="1311"/>
    </row>
    <row r="70" spans="1:25" hidden="1">
      <c r="A70" s="428" t="s">
        <v>6271</v>
      </c>
      <c r="B70" s="413" t="s">
        <v>202</v>
      </c>
      <c r="C70" s="413" t="s">
        <v>5153</v>
      </c>
      <c r="D70" s="413" t="s">
        <v>1410</v>
      </c>
      <c r="E70" s="413" t="s">
        <v>5154</v>
      </c>
      <c r="F70" s="413"/>
      <c r="G70" s="413"/>
      <c r="H70" s="413"/>
      <c r="I70" s="413"/>
      <c r="J70" s="413"/>
      <c r="K70" s="413"/>
      <c r="L70" s="413"/>
      <c r="M70" s="413"/>
      <c r="N70" s="413"/>
      <c r="O70" s="413"/>
      <c r="P70" s="413"/>
      <c r="Q70" s="413"/>
      <c r="R70" s="413"/>
      <c r="S70" s="413"/>
      <c r="T70" s="413"/>
      <c r="U70" s="413"/>
      <c r="V70" s="413"/>
      <c r="W70" s="413"/>
      <c r="X70" s="570">
        <v>1</v>
      </c>
      <c r="Y70" s="1311"/>
    </row>
    <row r="71" spans="1:25" hidden="1">
      <c r="A71" s="428" t="s">
        <v>6271</v>
      </c>
      <c r="B71" s="413" t="s">
        <v>202</v>
      </c>
      <c r="C71" s="413" t="s">
        <v>5153</v>
      </c>
      <c r="D71" s="413" t="s">
        <v>1410</v>
      </c>
      <c r="E71" s="413" t="s">
        <v>5155</v>
      </c>
      <c r="F71" s="413"/>
      <c r="G71" s="413"/>
      <c r="H71" s="413"/>
      <c r="I71" s="413"/>
      <c r="J71" s="413"/>
      <c r="K71" s="413"/>
      <c r="L71" s="413"/>
      <c r="M71" s="413"/>
      <c r="N71" s="413"/>
      <c r="O71" s="413"/>
      <c r="P71" s="413"/>
      <c r="Q71" s="413"/>
      <c r="R71" s="413"/>
      <c r="S71" s="413"/>
      <c r="T71" s="413"/>
      <c r="U71" s="413"/>
      <c r="V71" s="413"/>
      <c r="W71" s="413"/>
      <c r="X71" s="570">
        <v>1</v>
      </c>
      <c r="Y71" s="1311"/>
    </row>
    <row r="72" spans="1:25" hidden="1">
      <c r="A72" s="428" t="s">
        <v>6271</v>
      </c>
      <c r="B72" s="413" t="s">
        <v>202</v>
      </c>
      <c r="C72" s="413" t="s">
        <v>5153</v>
      </c>
      <c r="D72" s="413" t="s">
        <v>1410</v>
      </c>
      <c r="E72" s="413" t="s">
        <v>5156</v>
      </c>
      <c r="F72" s="413"/>
      <c r="G72" s="413"/>
      <c r="H72" s="413"/>
      <c r="I72" s="413"/>
      <c r="J72" s="413"/>
      <c r="K72" s="413"/>
      <c r="L72" s="413"/>
      <c r="M72" s="413"/>
      <c r="N72" s="413"/>
      <c r="O72" s="413"/>
      <c r="P72" s="413"/>
      <c r="Q72" s="413"/>
      <c r="R72" s="413"/>
      <c r="S72" s="413"/>
      <c r="T72" s="413"/>
      <c r="U72" s="413"/>
      <c r="V72" s="413"/>
      <c r="W72" s="413"/>
      <c r="X72" s="570">
        <v>1</v>
      </c>
      <c r="Y72" s="1311"/>
    </row>
    <row r="73" spans="1:25" hidden="1">
      <c r="A73" s="428" t="s">
        <v>6271</v>
      </c>
      <c r="B73" s="413" t="s">
        <v>202</v>
      </c>
      <c r="C73" s="413" t="s">
        <v>5153</v>
      </c>
      <c r="D73" s="413" t="s">
        <v>1410</v>
      </c>
      <c r="E73" s="413" t="s">
        <v>5157</v>
      </c>
      <c r="F73" s="413"/>
      <c r="G73" s="413"/>
      <c r="H73" s="413"/>
      <c r="I73" s="413"/>
      <c r="J73" s="413"/>
      <c r="K73" s="413"/>
      <c r="L73" s="413"/>
      <c r="M73" s="413"/>
      <c r="N73" s="413"/>
      <c r="O73" s="413"/>
      <c r="P73" s="413"/>
      <c r="Q73" s="413"/>
      <c r="R73" s="413"/>
      <c r="S73" s="413"/>
      <c r="T73" s="413"/>
      <c r="U73" s="413"/>
      <c r="V73" s="413"/>
      <c r="W73" s="413"/>
      <c r="X73" s="570">
        <v>1</v>
      </c>
      <c r="Y73" s="1311"/>
    </row>
    <row r="74" spans="1:25" hidden="1">
      <c r="A74" s="428" t="s">
        <v>6271</v>
      </c>
      <c r="B74" s="413" t="s">
        <v>202</v>
      </c>
      <c r="C74" s="413" t="s">
        <v>5153</v>
      </c>
      <c r="D74" s="413" t="s">
        <v>1410</v>
      </c>
      <c r="E74" s="413" t="s">
        <v>5158</v>
      </c>
      <c r="F74" s="413"/>
      <c r="G74" s="413"/>
      <c r="H74" s="413"/>
      <c r="I74" s="413"/>
      <c r="J74" s="413"/>
      <c r="K74" s="413"/>
      <c r="L74" s="413"/>
      <c r="M74" s="413"/>
      <c r="N74" s="413"/>
      <c r="O74" s="413"/>
      <c r="P74" s="413"/>
      <c r="Q74" s="413"/>
      <c r="R74" s="413"/>
      <c r="S74" s="413"/>
      <c r="T74" s="413"/>
      <c r="U74" s="413"/>
      <c r="V74" s="413"/>
      <c r="W74" s="413"/>
      <c r="X74" s="570">
        <v>1</v>
      </c>
      <c r="Y74" s="1311"/>
    </row>
    <row r="75" spans="1:25" hidden="1">
      <c r="A75" s="428" t="s">
        <v>6271</v>
      </c>
      <c r="B75" s="413" t="s">
        <v>202</v>
      </c>
      <c r="C75" s="413" t="s">
        <v>5153</v>
      </c>
      <c r="D75" s="413" t="s">
        <v>1410</v>
      </c>
      <c r="E75" s="413" t="s">
        <v>5159</v>
      </c>
      <c r="F75" s="413"/>
      <c r="G75" s="413"/>
      <c r="H75" s="413"/>
      <c r="I75" s="413"/>
      <c r="J75" s="413"/>
      <c r="K75" s="413"/>
      <c r="L75" s="413"/>
      <c r="M75" s="413"/>
      <c r="N75" s="413"/>
      <c r="O75" s="413"/>
      <c r="P75" s="413"/>
      <c r="Q75" s="413"/>
      <c r="R75" s="413"/>
      <c r="S75" s="413"/>
      <c r="T75" s="413"/>
      <c r="U75" s="413"/>
      <c r="V75" s="413"/>
      <c r="W75" s="413"/>
      <c r="X75" s="570">
        <v>1</v>
      </c>
      <c r="Y75" s="1311"/>
    </row>
    <row r="76" spans="1:25" hidden="1">
      <c r="A76" s="428" t="s">
        <v>6271</v>
      </c>
      <c r="B76" s="413" t="s">
        <v>202</v>
      </c>
      <c r="C76" s="413" t="s">
        <v>5153</v>
      </c>
      <c r="D76" s="413" t="s">
        <v>1410</v>
      </c>
      <c r="E76" s="413" t="s">
        <v>5160</v>
      </c>
      <c r="F76" s="413"/>
      <c r="G76" s="413"/>
      <c r="H76" s="413"/>
      <c r="I76" s="413"/>
      <c r="J76" s="413"/>
      <c r="K76" s="413"/>
      <c r="L76" s="413"/>
      <c r="M76" s="413"/>
      <c r="N76" s="413"/>
      <c r="O76" s="413"/>
      <c r="P76" s="413"/>
      <c r="Q76" s="413"/>
      <c r="R76" s="413"/>
      <c r="S76" s="413"/>
      <c r="T76" s="413"/>
      <c r="U76" s="413"/>
      <c r="V76" s="413"/>
      <c r="W76" s="413"/>
      <c r="X76" s="570">
        <v>1</v>
      </c>
      <c r="Y76" s="1311"/>
    </row>
    <row r="77" spans="1:25" hidden="1">
      <c r="A77" s="428" t="s">
        <v>6271</v>
      </c>
      <c r="B77" s="413" t="s">
        <v>202</v>
      </c>
      <c r="C77" s="413" t="s">
        <v>5153</v>
      </c>
      <c r="D77" s="413" t="s">
        <v>1410</v>
      </c>
      <c r="E77" s="413" t="s">
        <v>5161</v>
      </c>
      <c r="F77" s="413"/>
      <c r="G77" s="413"/>
      <c r="H77" s="413"/>
      <c r="I77" s="413"/>
      <c r="J77" s="413"/>
      <c r="K77" s="413"/>
      <c r="L77" s="413"/>
      <c r="M77" s="413"/>
      <c r="N77" s="413"/>
      <c r="O77" s="413"/>
      <c r="P77" s="413"/>
      <c r="Q77" s="413"/>
      <c r="R77" s="413"/>
      <c r="S77" s="413"/>
      <c r="T77" s="413"/>
      <c r="U77" s="413"/>
      <c r="V77" s="413"/>
      <c r="W77" s="413"/>
      <c r="X77" s="570">
        <v>1</v>
      </c>
      <c r="Y77" s="1311"/>
    </row>
    <row r="78" spans="1:25" hidden="1">
      <c r="A78" s="428" t="s">
        <v>6271</v>
      </c>
      <c r="B78" s="413" t="s">
        <v>202</v>
      </c>
      <c r="C78" s="413" t="s">
        <v>5153</v>
      </c>
      <c r="D78" s="413" t="s">
        <v>1410</v>
      </c>
      <c r="E78" s="413" t="s">
        <v>5162</v>
      </c>
      <c r="F78" s="413"/>
      <c r="G78" s="413"/>
      <c r="H78" s="413"/>
      <c r="I78" s="413"/>
      <c r="J78" s="413"/>
      <c r="K78" s="413"/>
      <c r="L78" s="413"/>
      <c r="M78" s="413"/>
      <c r="N78" s="413"/>
      <c r="O78" s="413"/>
      <c r="P78" s="413"/>
      <c r="Q78" s="413"/>
      <c r="R78" s="413"/>
      <c r="S78" s="413"/>
      <c r="T78" s="413"/>
      <c r="U78" s="413"/>
      <c r="V78" s="413"/>
      <c r="W78" s="413"/>
      <c r="X78" s="570">
        <v>1</v>
      </c>
      <c r="Y78" s="1311"/>
    </row>
    <row r="79" spans="1:25" hidden="1">
      <c r="A79" s="428" t="s">
        <v>6271</v>
      </c>
      <c r="B79" s="413" t="s">
        <v>202</v>
      </c>
      <c r="C79" s="413" t="s">
        <v>5165</v>
      </c>
      <c r="D79" s="413" t="s">
        <v>1410</v>
      </c>
      <c r="E79" s="413" t="s">
        <v>5163</v>
      </c>
      <c r="F79" s="413"/>
      <c r="G79" s="413"/>
      <c r="H79" s="413"/>
      <c r="I79" s="413"/>
      <c r="J79" s="413"/>
      <c r="K79" s="413"/>
      <c r="L79" s="413"/>
      <c r="M79" s="413"/>
      <c r="N79" s="413"/>
      <c r="O79" s="413"/>
      <c r="P79" s="413"/>
      <c r="Q79" s="413"/>
      <c r="R79" s="413"/>
      <c r="S79" s="413"/>
      <c r="T79" s="413"/>
      <c r="U79" s="413"/>
      <c r="V79" s="413"/>
      <c r="W79" s="413"/>
      <c r="X79" s="570">
        <v>1</v>
      </c>
      <c r="Y79" s="1311"/>
    </row>
    <row r="80" spans="1:25" hidden="1">
      <c r="A80" s="428" t="s">
        <v>6271</v>
      </c>
      <c r="B80" s="413" t="s">
        <v>202</v>
      </c>
      <c r="C80" s="413" t="s">
        <v>422</v>
      </c>
      <c r="D80" s="413" t="s">
        <v>1410</v>
      </c>
      <c r="E80" s="413" t="s">
        <v>5166</v>
      </c>
      <c r="F80" s="413"/>
      <c r="G80" s="413"/>
      <c r="H80" s="413"/>
      <c r="I80" s="413"/>
      <c r="J80" s="413"/>
      <c r="K80" s="413"/>
      <c r="L80" s="413"/>
      <c r="M80" s="413"/>
      <c r="N80" s="413"/>
      <c r="O80" s="413"/>
      <c r="P80" s="413"/>
      <c r="Q80" s="413"/>
      <c r="R80" s="413"/>
      <c r="S80" s="413"/>
      <c r="T80" s="413"/>
      <c r="U80" s="413"/>
      <c r="V80" s="413"/>
      <c r="W80" s="413"/>
      <c r="X80" s="570">
        <v>1</v>
      </c>
      <c r="Y80" s="1311"/>
    </row>
    <row r="81" spans="1:25" hidden="1">
      <c r="A81" s="428" t="s">
        <v>6271</v>
      </c>
      <c r="B81" s="413" t="s">
        <v>202</v>
      </c>
      <c r="C81" s="413" t="s">
        <v>422</v>
      </c>
      <c r="D81" s="413" t="s">
        <v>1410</v>
      </c>
      <c r="E81" s="413" t="s">
        <v>5168</v>
      </c>
      <c r="F81" s="413"/>
      <c r="G81" s="413"/>
      <c r="H81" s="413"/>
      <c r="I81" s="413"/>
      <c r="J81" s="413"/>
      <c r="K81" s="413"/>
      <c r="L81" s="413"/>
      <c r="M81" s="413"/>
      <c r="N81" s="413"/>
      <c r="O81" s="413"/>
      <c r="P81" s="413"/>
      <c r="Q81" s="413"/>
      <c r="R81" s="413"/>
      <c r="S81" s="413"/>
      <c r="T81" s="413"/>
      <c r="U81" s="413"/>
      <c r="V81" s="413"/>
      <c r="W81" s="413"/>
      <c r="X81" s="570">
        <v>1</v>
      </c>
      <c r="Y81" s="1311"/>
    </row>
    <row r="82" spans="1:25" hidden="1">
      <c r="A82" s="428" t="s">
        <v>6271</v>
      </c>
      <c r="B82" s="413" t="s">
        <v>202</v>
      </c>
      <c r="C82" s="413" t="s">
        <v>422</v>
      </c>
      <c r="D82" s="413" t="s">
        <v>1410</v>
      </c>
      <c r="E82" s="413" t="s">
        <v>5169</v>
      </c>
      <c r="F82" s="413"/>
      <c r="G82" s="413"/>
      <c r="H82" s="413"/>
      <c r="I82" s="413"/>
      <c r="J82" s="413"/>
      <c r="K82" s="413"/>
      <c r="L82" s="413"/>
      <c r="M82" s="413"/>
      <c r="N82" s="413"/>
      <c r="O82" s="413"/>
      <c r="P82" s="413"/>
      <c r="Q82" s="413"/>
      <c r="R82" s="413"/>
      <c r="S82" s="413"/>
      <c r="T82" s="413"/>
      <c r="U82" s="413"/>
      <c r="V82" s="413"/>
      <c r="W82" s="413"/>
      <c r="X82" s="570">
        <v>1</v>
      </c>
      <c r="Y82" s="1311"/>
    </row>
    <row r="83" spans="1:25" hidden="1">
      <c r="A83" s="428" t="s">
        <v>6271</v>
      </c>
      <c r="B83" s="413" t="s">
        <v>202</v>
      </c>
      <c r="C83" s="413" t="s">
        <v>422</v>
      </c>
      <c r="D83" s="413" t="s">
        <v>1410</v>
      </c>
      <c r="E83" s="413" t="s">
        <v>5170</v>
      </c>
      <c r="F83" s="413"/>
      <c r="G83" s="413"/>
      <c r="H83" s="413"/>
      <c r="I83" s="413"/>
      <c r="J83" s="413"/>
      <c r="K83" s="413"/>
      <c r="L83" s="413"/>
      <c r="M83" s="413"/>
      <c r="N83" s="413"/>
      <c r="O83" s="413"/>
      <c r="P83" s="413"/>
      <c r="Q83" s="413"/>
      <c r="R83" s="413"/>
      <c r="S83" s="413"/>
      <c r="T83" s="413"/>
      <c r="U83" s="413"/>
      <c r="V83" s="413"/>
      <c r="W83" s="413"/>
      <c r="X83" s="570">
        <v>1</v>
      </c>
      <c r="Y83" s="1311"/>
    </row>
    <row r="84" spans="1:25" hidden="1">
      <c r="A84" s="428" t="s">
        <v>6271</v>
      </c>
      <c r="B84" s="413" t="s">
        <v>202</v>
      </c>
      <c r="C84" s="413" t="s">
        <v>422</v>
      </c>
      <c r="D84" s="413" t="s">
        <v>1410</v>
      </c>
      <c r="E84" s="413" t="s">
        <v>5171</v>
      </c>
      <c r="F84" s="413"/>
      <c r="G84" s="413"/>
      <c r="H84" s="413"/>
      <c r="I84" s="413"/>
      <c r="J84" s="413"/>
      <c r="K84" s="413"/>
      <c r="L84" s="413"/>
      <c r="M84" s="413"/>
      <c r="N84" s="413"/>
      <c r="O84" s="413"/>
      <c r="P84" s="413"/>
      <c r="Q84" s="413"/>
      <c r="R84" s="413"/>
      <c r="S84" s="413"/>
      <c r="T84" s="413"/>
      <c r="U84" s="413"/>
      <c r="V84" s="413"/>
      <c r="W84" s="413"/>
      <c r="X84" s="570">
        <v>1</v>
      </c>
      <c r="Y84" s="1311"/>
    </row>
    <row r="85" spans="1:25" hidden="1">
      <c r="A85" s="428" t="s">
        <v>6271</v>
      </c>
      <c r="B85" s="413" t="s">
        <v>202</v>
      </c>
      <c r="C85" s="413" t="s">
        <v>422</v>
      </c>
      <c r="D85" s="413" t="s">
        <v>1410</v>
      </c>
      <c r="E85" s="413" t="s">
        <v>5172</v>
      </c>
      <c r="F85" s="413"/>
      <c r="G85" s="413"/>
      <c r="H85" s="413"/>
      <c r="I85" s="413"/>
      <c r="J85" s="413"/>
      <c r="K85" s="413"/>
      <c r="L85" s="413"/>
      <c r="M85" s="413"/>
      <c r="N85" s="413"/>
      <c r="O85" s="413"/>
      <c r="P85" s="413"/>
      <c r="Q85" s="413"/>
      <c r="R85" s="413"/>
      <c r="S85" s="413"/>
      <c r="T85" s="413"/>
      <c r="U85" s="413"/>
      <c r="V85" s="413"/>
      <c r="W85" s="413"/>
      <c r="X85" s="570">
        <v>1</v>
      </c>
      <c r="Y85" s="1311"/>
    </row>
    <row r="86" spans="1:25" hidden="1">
      <c r="A86" s="428" t="s">
        <v>6271</v>
      </c>
      <c r="B86" s="413" t="s">
        <v>202</v>
      </c>
      <c r="C86" s="413" t="s">
        <v>422</v>
      </c>
      <c r="D86" s="413" t="s">
        <v>1410</v>
      </c>
      <c r="E86" s="413" t="s">
        <v>5173</v>
      </c>
      <c r="F86" s="413"/>
      <c r="G86" s="413"/>
      <c r="H86" s="413"/>
      <c r="I86" s="413"/>
      <c r="J86" s="413"/>
      <c r="K86" s="413"/>
      <c r="L86" s="413"/>
      <c r="M86" s="413"/>
      <c r="N86" s="413"/>
      <c r="O86" s="413"/>
      <c r="P86" s="413"/>
      <c r="Q86" s="413"/>
      <c r="R86" s="413"/>
      <c r="S86" s="413"/>
      <c r="T86" s="413"/>
      <c r="U86" s="413"/>
      <c r="V86" s="413"/>
      <c r="W86" s="413"/>
      <c r="X86" s="570">
        <v>1</v>
      </c>
      <c r="Y86" s="1311"/>
    </row>
    <row r="87" spans="1:25" hidden="1">
      <c r="A87" s="428" t="s">
        <v>6271</v>
      </c>
      <c r="B87" s="413" t="s">
        <v>202</v>
      </c>
      <c r="C87" s="413" t="s">
        <v>422</v>
      </c>
      <c r="D87" s="413" t="s">
        <v>1410</v>
      </c>
      <c r="E87" s="413" t="s">
        <v>5174</v>
      </c>
      <c r="F87" s="413"/>
      <c r="G87" s="413"/>
      <c r="H87" s="413"/>
      <c r="I87" s="413"/>
      <c r="J87" s="413"/>
      <c r="K87" s="413"/>
      <c r="L87" s="413"/>
      <c r="M87" s="413"/>
      <c r="N87" s="413"/>
      <c r="O87" s="413"/>
      <c r="P87" s="413"/>
      <c r="Q87" s="413"/>
      <c r="R87" s="413"/>
      <c r="S87" s="413"/>
      <c r="T87" s="413"/>
      <c r="U87" s="413"/>
      <c r="V87" s="413"/>
      <c r="W87" s="413"/>
      <c r="X87" s="570">
        <v>1</v>
      </c>
      <c r="Y87" s="1311"/>
    </row>
    <row r="88" spans="1:25" hidden="1">
      <c r="A88" s="428" t="s">
        <v>6271</v>
      </c>
      <c r="B88" s="413" t="s">
        <v>202</v>
      </c>
      <c r="C88" s="413" t="s">
        <v>8376</v>
      </c>
      <c r="D88" s="413" t="s">
        <v>1410</v>
      </c>
      <c r="E88" s="413" t="s">
        <v>5175</v>
      </c>
      <c r="F88" s="413"/>
      <c r="G88" s="413"/>
      <c r="H88" s="413"/>
      <c r="I88" s="413"/>
      <c r="J88" s="413"/>
      <c r="K88" s="413"/>
      <c r="L88" s="413"/>
      <c r="M88" s="413"/>
      <c r="N88" s="413"/>
      <c r="O88" s="413"/>
      <c r="P88" s="413"/>
      <c r="Q88" s="413"/>
      <c r="R88" s="413"/>
      <c r="S88" s="413"/>
      <c r="T88" s="413"/>
      <c r="U88" s="413"/>
      <c r="V88" s="413"/>
      <c r="W88" s="413"/>
      <c r="X88" s="570">
        <v>1</v>
      </c>
      <c r="Y88" s="1311"/>
    </row>
    <row r="89" spans="1:25" hidden="1">
      <c r="A89" s="428" t="s">
        <v>6271</v>
      </c>
      <c r="B89" s="413" t="s">
        <v>202</v>
      </c>
      <c r="C89" s="413" t="s">
        <v>422</v>
      </c>
      <c r="D89" s="413" t="s">
        <v>1410</v>
      </c>
      <c r="E89" s="413" t="s">
        <v>5178</v>
      </c>
      <c r="F89" s="413"/>
      <c r="G89" s="413"/>
      <c r="H89" s="413"/>
      <c r="I89" s="413"/>
      <c r="J89" s="413"/>
      <c r="K89" s="413"/>
      <c r="L89" s="413"/>
      <c r="M89" s="413"/>
      <c r="N89" s="413"/>
      <c r="O89" s="413"/>
      <c r="P89" s="413"/>
      <c r="Q89" s="413"/>
      <c r="R89" s="413"/>
      <c r="S89" s="413"/>
      <c r="T89" s="413"/>
      <c r="U89" s="413"/>
      <c r="V89" s="413"/>
      <c r="W89" s="413"/>
      <c r="X89" s="570">
        <v>1</v>
      </c>
      <c r="Y89" s="1311"/>
    </row>
    <row r="90" spans="1:25" hidden="1">
      <c r="A90" s="428" t="s">
        <v>6271</v>
      </c>
      <c r="B90" s="413" t="s">
        <v>202</v>
      </c>
      <c r="C90" s="413" t="s">
        <v>2223</v>
      </c>
      <c r="D90" s="413" t="s">
        <v>1410</v>
      </c>
      <c r="E90" s="413" t="s">
        <v>5179</v>
      </c>
      <c r="F90" s="413"/>
      <c r="G90" s="413"/>
      <c r="H90" s="413"/>
      <c r="I90" s="413"/>
      <c r="J90" s="413"/>
      <c r="K90" s="413"/>
      <c r="L90" s="413"/>
      <c r="M90" s="413"/>
      <c r="N90" s="413"/>
      <c r="O90" s="413"/>
      <c r="P90" s="413"/>
      <c r="Q90" s="413"/>
      <c r="R90" s="413"/>
      <c r="S90" s="413"/>
      <c r="T90" s="413"/>
      <c r="U90" s="413"/>
      <c r="V90" s="413"/>
      <c r="W90" s="413"/>
      <c r="X90" s="570">
        <v>1</v>
      </c>
      <c r="Y90" s="1311"/>
    </row>
    <row r="91" spans="1:25" hidden="1">
      <c r="A91" s="428" t="s">
        <v>6271</v>
      </c>
      <c r="B91" s="413" t="s">
        <v>202</v>
      </c>
      <c r="C91" s="413" t="s">
        <v>2229</v>
      </c>
      <c r="D91" s="413" t="s">
        <v>1410</v>
      </c>
      <c r="E91" s="413" t="s">
        <v>8377</v>
      </c>
      <c r="F91" s="413"/>
      <c r="G91" s="413"/>
      <c r="H91" s="413"/>
      <c r="I91" s="413"/>
      <c r="J91" s="413"/>
      <c r="K91" s="413"/>
      <c r="L91" s="413"/>
      <c r="M91" s="413"/>
      <c r="N91" s="413"/>
      <c r="O91" s="413"/>
      <c r="P91" s="413"/>
      <c r="Q91" s="413"/>
      <c r="R91" s="413"/>
      <c r="S91" s="413"/>
      <c r="T91" s="413"/>
      <c r="U91" s="413"/>
      <c r="V91" s="413"/>
      <c r="W91" s="413"/>
      <c r="X91" s="570">
        <v>1</v>
      </c>
      <c r="Y91" s="1311"/>
    </row>
    <row r="92" spans="1:25" hidden="1">
      <c r="A92" s="428" t="s">
        <v>6271</v>
      </c>
      <c r="B92" s="413" t="s">
        <v>202</v>
      </c>
      <c r="C92" s="413" t="s">
        <v>8369</v>
      </c>
      <c r="D92" s="413" t="s">
        <v>1410</v>
      </c>
      <c r="E92" s="413" t="s">
        <v>5180</v>
      </c>
      <c r="F92" s="413"/>
      <c r="G92" s="413"/>
      <c r="H92" s="413"/>
      <c r="I92" s="413"/>
      <c r="J92" s="413"/>
      <c r="K92" s="413"/>
      <c r="L92" s="413"/>
      <c r="M92" s="413"/>
      <c r="N92" s="413"/>
      <c r="O92" s="413"/>
      <c r="P92" s="413"/>
      <c r="Q92" s="413"/>
      <c r="R92" s="413"/>
      <c r="S92" s="413"/>
      <c r="T92" s="413"/>
      <c r="U92" s="413"/>
      <c r="V92" s="413"/>
      <c r="W92" s="413"/>
      <c r="X92" s="570">
        <v>1</v>
      </c>
      <c r="Y92" s="1311"/>
    </row>
    <row r="93" spans="1:25" hidden="1">
      <c r="A93" s="428" t="s">
        <v>6271</v>
      </c>
      <c r="B93" s="413" t="s">
        <v>202</v>
      </c>
      <c r="C93" s="413" t="s">
        <v>8370</v>
      </c>
      <c r="D93" s="413" t="s">
        <v>1410</v>
      </c>
      <c r="E93" s="413" t="s">
        <v>5181</v>
      </c>
      <c r="F93" s="413"/>
      <c r="G93" s="413"/>
      <c r="H93" s="413"/>
      <c r="I93" s="413"/>
      <c r="J93" s="413"/>
      <c r="K93" s="413"/>
      <c r="L93" s="413"/>
      <c r="M93" s="413"/>
      <c r="N93" s="413"/>
      <c r="O93" s="413"/>
      <c r="P93" s="413"/>
      <c r="Q93" s="413"/>
      <c r="R93" s="413"/>
      <c r="S93" s="413"/>
      <c r="T93" s="413"/>
      <c r="U93" s="413"/>
      <c r="V93" s="413"/>
      <c r="W93" s="413"/>
      <c r="X93" s="570">
        <v>1</v>
      </c>
      <c r="Y93" s="1311"/>
    </row>
    <row r="94" spans="1:25" hidden="1">
      <c r="A94" s="428" t="s">
        <v>6271</v>
      </c>
      <c r="B94" s="413" t="s">
        <v>202</v>
      </c>
      <c r="C94" s="413" t="s">
        <v>8370</v>
      </c>
      <c r="D94" s="413" t="s">
        <v>1410</v>
      </c>
      <c r="E94" s="413" t="s">
        <v>5182</v>
      </c>
      <c r="F94" s="413"/>
      <c r="G94" s="413"/>
      <c r="H94" s="413"/>
      <c r="I94" s="413"/>
      <c r="J94" s="413"/>
      <c r="K94" s="413"/>
      <c r="L94" s="413"/>
      <c r="M94" s="413"/>
      <c r="N94" s="413"/>
      <c r="O94" s="413"/>
      <c r="P94" s="413"/>
      <c r="Q94" s="413"/>
      <c r="R94" s="413"/>
      <c r="S94" s="413"/>
      <c r="T94" s="413"/>
      <c r="U94" s="413"/>
      <c r="V94" s="413"/>
      <c r="W94" s="413"/>
      <c r="X94" s="570">
        <v>1</v>
      </c>
      <c r="Y94" s="1311"/>
    </row>
    <row r="95" spans="1:25" hidden="1">
      <c r="A95" s="428" t="s">
        <v>6271</v>
      </c>
      <c r="B95" s="413" t="s">
        <v>202</v>
      </c>
      <c r="C95" s="413" t="s">
        <v>8370</v>
      </c>
      <c r="D95" s="413" t="s">
        <v>1410</v>
      </c>
      <c r="E95" s="413" t="s">
        <v>5183</v>
      </c>
      <c r="F95" s="413"/>
      <c r="G95" s="413"/>
      <c r="H95" s="413"/>
      <c r="I95" s="413"/>
      <c r="J95" s="413"/>
      <c r="K95" s="413"/>
      <c r="L95" s="413"/>
      <c r="M95" s="413"/>
      <c r="N95" s="413"/>
      <c r="O95" s="413"/>
      <c r="P95" s="413"/>
      <c r="Q95" s="413"/>
      <c r="R95" s="413"/>
      <c r="S95" s="413"/>
      <c r="T95" s="413"/>
      <c r="U95" s="413"/>
      <c r="V95" s="413"/>
      <c r="W95" s="413"/>
      <c r="X95" s="570">
        <v>1</v>
      </c>
      <c r="Y95" s="1311"/>
    </row>
    <row r="96" spans="1:25" hidden="1">
      <c r="A96" s="428" t="s">
        <v>6271</v>
      </c>
      <c r="B96" s="413" t="s">
        <v>202</v>
      </c>
      <c r="C96" s="413" t="s">
        <v>8370</v>
      </c>
      <c r="D96" s="413" t="s">
        <v>1410</v>
      </c>
      <c r="E96" s="413" t="s">
        <v>5184</v>
      </c>
      <c r="F96" s="413"/>
      <c r="G96" s="413"/>
      <c r="H96" s="413"/>
      <c r="I96" s="413"/>
      <c r="J96" s="413"/>
      <c r="K96" s="413"/>
      <c r="L96" s="413"/>
      <c r="M96" s="413"/>
      <c r="N96" s="413"/>
      <c r="O96" s="413"/>
      <c r="P96" s="413"/>
      <c r="Q96" s="413"/>
      <c r="R96" s="413"/>
      <c r="S96" s="413"/>
      <c r="T96" s="413"/>
      <c r="U96" s="413"/>
      <c r="V96" s="413"/>
      <c r="W96" s="413"/>
      <c r="X96" s="570">
        <v>1</v>
      </c>
      <c r="Y96" s="1311"/>
    </row>
    <row r="97" spans="1:25" hidden="1">
      <c r="A97" s="428" t="s">
        <v>6271</v>
      </c>
      <c r="B97" s="413" t="s">
        <v>202</v>
      </c>
      <c r="C97" s="413" t="s">
        <v>8371</v>
      </c>
      <c r="D97" s="413" t="s">
        <v>1410</v>
      </c>
      <c r="E97" s="413" t="s">
        <v>5185</v>
      </c>
      <c r="F97" s="413"/>
      <c r="G97" s="413"/>
      <c r="H97" s="413"/>
      <c r="I97" s="413"/>
      <c r="J97" s="413"/>
      <c r="K97" s="413"/>
      <c r="L97" s="413"/>
      <c r="M97" s="413"/>
      <c r="N97" s="413"/>
      <c r="O97" s="413"/>
      <c r="P97" s="413"/>
      <c r="Q97" s="413"/>
      <c r="R97" s="413"/>
      <c r="S97" s="413"/>
      <c r="T97" s="413"/>
      <c r="U97" s="413"/>
      <c r="V97" s="413"/>
      <c r="W97" s="413"/>
      <c r="X97" s="570">
        <v>1</v>
      </c>
      <c r="Y97" s="1311"/>
    </row>
    <row r="98" spans="1:25" hidden="1">
      <c r="A98" s="428" t="s">
        <v>6271</v>
      </c>
      <c r="B98" s="413" t="s">
        <v>202</v>
      </c>
      <c r="C98" s="413" t="s">
        <v>8371</v>
      </c>
      <c r="D98" s="413" t="s">
        <v>1410</v>
      </c>
      <c r="E98" s="413" t="s">
        <v>5186</v>
      </c>
      <c r="F98" s="413"/>
      <c r="G98" s="413"/>
      <c r="H98" s="413"/>
      <c r="I98" s="413"/>
      <c r="J98" s="413"/>
      <c r="K98" s="413"/>
      <c r="L98" s="413"/>
      <c r="M98" s="413"/>
      <c r="N98" s="413"/>
      <c r="O98" s="413"/>
      <c r="P98" s="413"/>
      <c r="Q98" s="413"/>
      <c r="R98" s="413"/>
      <c r="S98" s="413"/>
      <c r="T98" s="413"/>
      <c r="U98" s="413"/>
      <c r="V98" s="413"/>
      <c r="W98" s="413"/>
      <c r="X98" s="570">
        <v>1</v>
      </c>
      <c r="Y98" s="1311"/>
    </row>
    <row r="99" spans="1:25" hidden="1">
      <c r="A99" s="428" t="s">
        <v>6271</v>
      </c>
      <c r="B99" s="413" t="s">
        <v>202</v>
      </c>
      <c r="C99" s="413" t="s">
        <v>8371</v>
      </c>
      <c r="D99" s="413" t="s">
        <v>1410</v>
      </c>
      <c r="E99" s="413" t="s">
        <v>5187</v>
      </c>
      <c r="F99" s="413"/>
      <c r="G99" s="413"/>
      <c r="H99" s="413"/>
      <c r="I99" s="413"/>
      <c r="J99" s="413"/>
      <c r="K99" s="413"/>
      <c r="L99" s="413"/>
      <c r="M99" s="413"/>
      <c r="N99" s="413"/>
      <c r="O99" s="413"/>
      <c r="P99" s="413"/>
      <c r="Q99" s="413"/>
      <c r="R99" s="413"/>
      <c r="S99" s="413"/>
      <c r="T99" s="413"/>
      <c r="U99" s="413"/>
      <c r="V99" s="413"/>
      <c r="W99" s="413"/>
      <c r="X99" s="570">
        <v>1</v>
      </c>
      <c r="Y99" s="1311"/>
    </row>
    <row r="100" spans="1:25" hidden="1">
      <c r="A100" s="428" t="s">
        <v>6271</v>
      </c>
      <c r="B100" s="413" t="s">
        <v>202</v>
      </c>
      <c r="C100" s="413" t="s">
        <v>8372</v>
      </c>
      <c r="D100" s="413" t="s">
        <v>1410</v>
      </c>
      <c r="E100" s="413" t="s">
        <v>5188</v>
      </c>
      <c r="F100" s="413"/>
      <c r="G100" s="413"/>
      <c r="H100" s="413"/>
      <c r="I100" s="413"/>
      <c r="J100" s="413"/>
      <c r="K100" s="413"/>
      <c r="L100" s="413"/>
      <c r="M100" s="413"/>
      <c r="N100" s="413"/>
      <c r="O100" s="413"/>
      <c r="P100" s="413"/>
      <c r="Q100" s="413"/>
      <c r="R100" s="413"/>
      <c r="S100" s="413"/>
      <c r="T100" s="413"/>
      <c r="U100" s="413"/>
      <c r="V100" s="413"/>
      <c r="W100" s="413"/>
      <c r="X100" s="570">
        <v>1</v>
      </c>
      <c r="Y100" s="1311"/>
    </row>
    <row r="101" spans="1:25" hidden="1">
      <c r="A101" s="428" t="s">
        <v>6271</v>
      </c>
      <c r="B101" s="413" t="s">
        <v>202</v>
      </c>
      <c r="C101" s="413" t="s">
        <v>8373</v>
      </c>
      <c r="D101" s="413" t="s">
        <v>1410</v>
      </c>
      <c r="E101" s="413" t="s">
        <v>5189</v>
      </c>
      <c r="F101" s="413"/>
      <c r="G101" s="413"/>
      <c r="H101" s="413"/>
      <c r="I101" s="413"/>
      <c r="J101" s="413"/>
      <c r="K101" s="413"/>
      <c r="L101" s="413"/>
      <c r="M101" s="413"/>
      <c r="N101" s="413"/>
      <c r="O101" s="413"/>
      <c r="P101" s="413"/>
      <c r="Q101" s="413"/>
      <c r="R101" s="413"/>
      <c r="S101" s="413"/>
      <c r="T101" s="413"/>
      <c r="U101" s="413"/>
      <c r="V101" s="413"/>
      <c r="W101" s="413"/>
      <c r="X101" s="570">
        <v>1</v>
      </c>
      <c r="Y101" s="1311"/>
    </row>
    <row r="102" spans="1:25" hidden="1">
      <c r="A102" s="428" t="s">
        <v>6271</v>
      </c>
      <c r="B102" s="413" t="s">
        <v>202</v>
      </c>
      <c r="C102" s="413" t="s">
        <v>8373</v>
      </c>
      <c r="D102" s="413" t="s">
        <v>1410</v>
      </c>
      <c r="E102" s="413" t="s">
        <v>5190</v>
      </c>
      <c r="F102" s="413"/>
      <c r="G102" s="413"/>
      <c r="H102" s="413"/>
      <c r="I102" s="413"/>
      <c r="J102" s="413"/>
      <c r="K102" s="413"/>
      <c r="L102" s="413"/>
      <c r="M102" s="413"/>
      <c r="N102" s="413"/>
      <c r="O102" s="413"/>
      <c r="P102" s="413"/>
      <c r="Q102" s="413"/>
      <c r="R102" s="413"/>
      <c r="S102" s="413"/>
      <c r="T102" s="413"/>
      <c r="U102" s="413"/>
      <c r="V102" s="413"/>
      <c r="W102" s="413"/>
      <c r="X102" s="570">
        <v>1</v>
      </c>
      <c r="Y102" s="1311"/>
    </row>
    <row r="103" spans="1:25" hidden="1">
      <c r="A103" s="428" t="s">
        <v>6271</v>
      </c>
      <c r="B103" s="413" t="s">
        <v>202</v>
      </c>
      <c r="C103" s="413" t="s">
        <v>8373</v>
      </c>
      <c r="D103" s="413" t="s">
        <v>1410</v>
      </c>
      <c r="E103" s="413" t="s">
        <v>5191</v>
      </c>
      <c r="F103" s="413"/>
      <c r="G103" s="413"/>
      <c r="H103" s="413"/>
      <c r="I103" s="413"/>
      <c r="J103" s="413"/>
      <c r="K103" s="413"/>
      <c r="L103" s="413"/>
      <c r="M103" s="413"/>
      <c r="N103" s="413"/>
      <c r="O103" s="413"/>
      <c r="P103" s="413"/>
      <c r="Q103" s="413"/>
      <c r="R103" s="413"/>
      <c r="S103" s="413"/>
      <c r="T103" s="413"/>
      <c r="U103" s="413"/>
      <c r="V103" s="413"/>
      <c r="W103" s="413"/>
      <c r="X103" s="570">
        <v>1</v>
      </c>
      <c r="Y103" s="1311"/>
    </row>
    <row r="104" spans="1:25" hidden="1">
      <c r="A104" s="428" t="s">
        <v>6271</v>
      </c>
      <c r="B104" s="413" t="s">
        <v>202</v>
      </c>
      <c r="C104" s="413" t="s">
        <v>8373</v>
      </c>
      <c r="D104" s="413" t="s">
        <v>1410</v>
      </c>
      <c r="E104" s="413" t="s">
        <v>5192</v>
      </c>
      <c r="F104" s="413"/>
      <c r="G104" s="413"/>
      <c r="H104" s="413"/>
      <c r="I104" s="413"/>
      <c r="J104" s="413"/>
      <c r="K104" s="413"/>
      <c r="L104" s="413"/>
      <c r="M104" s="413"/>
      <c r="N104" s="413"/>
      <c r="O104" s="413"/>
      <c r="P104" s="413"/>
      <c r="Q104" s="413"/>
      <c r="R104" s="413"/>
      <c r="S104" s="413"/>
      <c r="T104" s="413"/>
      <c r="U104" s="413"/>
      <c r="V104" s="413"/>
      <c r="W104" s="413"/>
      <c r="X104" s="570">
        <v>1</v>
      </c>
      <c r="Y104" s="1311"/>
    </row>
    <row r="105" spans="1:25" hidden="1">
      <c r="A105" s="428" t="s">
        <v>6271</v>
      </c>
      <c r="B105" s="413" t="s">
        <v>202</v>
      </c>
      <c r="C105" s="413" t="s">
        <v>8373</v>
      </c>
      <c r="D105" s="413" t="s">
        <v>1410</v>
      </c>
      <c r="E105" s="413" t="s">
        <v>5193</v>
      </c>
      <c r="F105" s="413"/>
      <c r="G105" s="413"/>
      <c r="H105" s="413"/>
      <c r="I105" s="413"/>
      <c r="J105" s="413"/>
      <c r="K105" s="413"/>
      <c r="L105" s="413"/>
      <c r="M105" s="413"/>
      <c r="N105" s="413"/>
      <c r="O105" s="413"/>
      <c r="P105" s="413"/>
      <c r="Q105" s="413"/>
      <c r="R105" s="413"/>
      <c r="S105" s="413"/>
      <c r="T105" s="413"/>
      <c r="U105" s="413"/>
      <c r="V105" s="413"/>
      <c r="W105" s="413"/>
      <c r="X105" s="570">
        <v>1</v>
      </c>
      <c r="Y105" s="1311"/>
    </row>
    <row r="106" spans="1:25" hidden="1">
      <c r="A106" s="428" t="s">
        <v>6271</v>
      </c>
      <c r="B106" s="413" t="s">
        <v>202</v>
      </c>
      <c r="C106" s="413" t="s">
        <v>8373</v>
      </c>
      <c r="D106" s="413" t="s">
        <v>1410</v>
      </c>
      <c r="E106" s="413" t="s">
        <v>5194</v>
      </c>
      <c r="F106" s="413"/>
      <c r="G106" s="413"/>
      <c r="H106" s="413"/>
      <c r="I106" s="413"/>
      <c r="J106" s="413"/>
      <c r="K106" s="413"/>
      <c r="L106" s="413"/>
      <c r="M106" s="413"/>
      <c r="N106" s="413"/>
      <c r="O106" s="413"/>
      <c r="P106" s="413"/>
      <c r="Q106" s="413"/>
      <c r="R106" s="413"/>
      <c r="S106" s="413"/>
      <c r="T106" s="413"/>
      <c r="U106" s="413"/>
      <c r="V106" s="413"/>
      <c r="W106" s="413"/>
      <c r="X106" s="570">
        <v>1</v>
      </c>
      <c r="Y106" s="1311"/>
    </row>
    <row r="107" spans="1:25" hidden="1">
      <c r="A107" s="428" t="s">
        <v>6271</v>
      </c>
      <c r="B107" s="413" t="s">
        <v>202</v>
      </c>
      <c r="C107" s="413" t="s">
        <v>5102</v>
      </c>
      <c r="D107" s="413" t="s">
        <v>1410</v>
      </c>
      <c r="E107" s="413" t="s">
        <v>5195</v>
      </c>
      <c r="F107" s="413"/>
      <c r="G107" s="413"/>
      <c r="H107" s="413"/>
      <c r="I107" s="413"/>
      <c r="J107" s="413"/>
      <c r="K107" s="413"/>
      <c r="L107" s="413"/>
      <c r="M107" s="413"/>
      <c r="N107" s="413"/>
      <c r="O107" s="413"/>
      <c r="P107" s="413"/>
      <c r="Q107" s="413"/>
      <c r="R107" s="413"/>
      <c r="S107" s="413"/>
      <c r="T107" s="413"/>
      <c r="U107" s="413"/>
      <c r="V107" s="413"/>
      <c r="W107" s="413"/>
      <c r="X107" s="570">
        <v>1</v>
      </c>
      <c r="Y107" s="1311"/>
    </row>
    <row r="108" spans="1:25" hidden="1">
      <c r="A108" s="428" t="s">
        <v>6271</v>
      </c>
      <c r="B108" s="413" t="s">
        <v>202</v>
      </c>
      <c r="C108" s="413" t="s">
        <v>5117</v>
      </c>
      <c r="D108" s="413" t="s">
        <v>1410</v>
      </c>
      <c r="E108" s="413" t="s">
        <v>5196</v>
      </c>
      <c r="F108" s="413"/>
      <c r="G108" s="413"/>
      <c r="H108" s="413"/>
      <c r="I108" s="413"/>
      <c r="J108" s="413"/>
      <c r="K108" s="413"/>
      <c r="L108" s="413"/>
      <c r="M108" s="413"/>
      <c r="N108" s="413"/>
      <c r="O108" s="413"/>
      <c r="P108" s="413"/>
      <c r="Q108" s="413"/>
      <c r="R108" s="413"/>
      <c r="S108" s="413"/>
      <c r="T108" s="413"/>
      <c r="U108" s="413"/>
      <c r="V108" s="413"/>
      <c r="W108" s="413"/>
      <c r="X108" s="570">
        <v>1</v>
      </c>
      <c r="Y108" s="1311"/>
    </row>
    <row r="109" spans="1:25" hidden="1">
      <c r="A109" s="428" t="s">
        <v>6271</v>
      </c>
      <c r="B109" s="413" t="s">
        <v>202</v>
      </c>
      <c r="C109" s="413" t="s">
        <v>8374</v>
      </c>
      <c r="D109" s="413" t="s">
        <v>1410</v>
      </c>
      <c r="E109" s="413" t="s">
        <v>5197</v>
      </c>
      <c r="F109" s="413"/>
      <c r="G109" s="413"/>
      <c r="H109" s="413"/>
      <c r="I109" s="413"/>
      <c r="J109" s="413"/>
      <c r="K109" s="413"/>
      <c r="L109" s="413"/>
      <c r="M109" s="413"/>
      <c r="N109" s="413"/>
      <c r="O109" s="413"/>
      <c r="P109" s="413"/>
      <c r="Q109" s="413"/>
      <c r="R109" s="413"/>
      <c r="S109" s="413"/>
      <c r="T109" s="413"/>
      <c r="U109" s="413"/>
      <c r="V109" s="413"/>
      <c r="W109" s="413"/>
      <c r="X109" s="570">
        <v>1</v>
      </c>
      <c r="Y109" s="1311"/>
    </row>
    <row r="110" spans="1:25" hidden="1">
      <c r="A110" s="428" t="s">
        <v>6271</v>
      </c>
      <c r="B110" s="413" t="s">
        <v>202</v>
      </c>
      <c r="C110" s="413" t="s">
        <v>8375</v>
      </c>
      <c r="D110" s="413" t="s">
        <v>1410</v>
      </c>
      <c r="E110" s="413" t="s">
        <v>5198</v>
      </c>
      <c r="F110" s="413"/>
      <c r="G110" s="413"/>
      <c r="H110" s="413"/>
      <c r="I110" s="413"/>
      <c r="J110" s="413"/>
      <c r="K110" s="413"/>
      <c r="L110" s="413"/>
      <c r="M110" s="413"/>
      <c r="N110" s="413"/>
      <c r="O110" s="413"/>
      <c r="P110" s="413"/>
      <c r="Q110" s="413"/>
      <c r="R110" s="413"/>
      <c r="S110" s="413"/>
      <c r="T110" s="413"/>
      <c r="U110" s="413"/>
      <c r="V110" s="413"/>
      <c r="W110" s="413"/>
      <c r="X110" s="570">
        <v>1</v>
      </c>
      <c r="Y110" s="1311"/>
    </row>
    <row r="111" spans="1:25" hidden="1">
      <c r="A111" s="428" t="s">
        <v>6271</v>
      </c>
      <c r="B111" s="413" t="s">
        <v>202</v>
      </c>
      <c r="C111" s="413" t="s">
        <v>5137</v>
      </c>
      <c r="D111" s="413" t="s">
        <v>1410</v>
      </c>
      <c r="E111" s="413" t="s">
        <v>5199</v>
      </c>
      <c r="F111" s="413"/>
      <c r="G111" s="413"/>
      <c r="H111" s="413"/>
      <c r="I111" s="413"/>
      <c r="J111" s="413"/>
      <c r="K111" s="413"/>
      <c r="L111" s="413"/>
      <c r="M111" s="413"/>
      <c r="N111" s="413"/>
      <c r="O111" s="413"/>
      <c r="P111" s="413"/>
      <c r="Q111" s="413"/>
      <c r="R111" s="413"/>
      <c r="S111" s="413"/>
      <c r="T111" s="413"/>
      <c r="U111" s="413"/>
      <c r="V111" s="413"/>
      <c r="W111" s="413"/>
      <c r="X111" s="570">
        <v>1</v>
      </c>
      <c r="Y111" s="1311"/>
    </row>
    <row r="112" spans="1:25" hidden="1">
      <c r="A112" s="428" t="s">
        <v>6271</v>
      </c>
      <c r="B112" s="413" t="s">
        <v>202</v>
      </c>
      <c r="C112" s="413" t="s">
        <v>5137</v>
      </c>
      <c r="D112" s="413" t="s">
        <v>1410</v>
      </c>
      <c r="E112" s="413" t="s">
        <v>5200</v>
      </c>
      <c r="F112" s="413"/>
      <c r="G112" s="413"/>
      <c r="H112" s="413"/>
      <c r="I112" s="413"/>
      <c r="J112" s="413"/>
      <c r="K112" s="413"/>
      <c r="L112" s="413"/>
      <c r="M112" s="413"/>
      <c r="N112" s="413"/>
      <c r="O112" s="413"/>
      <c r="P112" s="413"/>
      <c r="Q112" s="413"/>
      <c r="R112" s="413"/>
      <c r="S112" s="413"/>
      <c r="T112" s="413"/>
      <c r="U112" s="413"/>
      <c r="V112" s="413"/>
      <c r="W112" s="413"/>
      <c r="X112" s="570">
        <v>1</v>
      </c>
      <c r="Y112" s="1311"/>
    </row>
    <row r="113" spans="1:25" hidden="1">
      <c r="A113" s="428" t="s">
        <v>6271</v>
      </c>
      <c r="B113" s="413" t="s">
        <v>202</v>
      </c>
      <c r="C113" s="413" t="s">
        <v>5144</v>
      </c>
      <c r="D113" s="413" t="s">
        <v>1410</v>
      </c>
      <c r="E113" s="413" t="s">
        <v>5201</v>
      </c>
      <c r="F113" s="413"/>
      <c r="G113" s="413"/>
      <c r="H113" s="413"/>
      <c r="I113" s="413"/>
      <c r="J113" s="413"/>
      <c r="K113" s="413"/>
      <c r="L113" s="413"/>
      <c r="M113" s="413"/>
      <c r="N113" s="413"/>
      <c r="O113" s="413"/>
      <c r="P113" s="413"/>
      <c r="Q113" s="413"/>
      <c r="R113" s="413"/>
      <c r="S113" s="413"/>
      <c r="T113" s="413"/>
      <c r="U113" s="413"/>
      <c r="V113" s="413"/>
      <c r="W113" s="413"/>
      <c r="X113" s="570">
        <v>1</v>
      </c>
      <c r="Y113" s="1311"/>
    </row>
    <row r="114" spans="1:25" hidden="1">
      <c r="A114" s="428" t="s">
        <v>6271</v>
      </c>
      <c r="B114" s="413" t="s">
        <v>202</v>
      </c>
      <c r="C114" s="413" t="s">
        <v>5153</v>
      </c>
      <c r="D114" s="413" t="s">
        <v>1410</v>
      </c>
      <c r="E114" s="413" t="s">
        <v>5202</v>
      </c>
      <c r="F114" s="413"/>
      <c r="G114" s="413"/>
      <c r="H114" s="413"/>
      <c r="I114" s="413"/>
      <c r="J114" s="413"/>
      <c r="K114" s="413"/>
      <c r="L114" s="413"/>
      <c r="M114" s="413"/>
      <c r="N114" s="413"/>
      <c r="O114" s="413"/>
      <c r="P114" s="413"/>
      <c r="Q114" s="413"/>
      <c r="R114" s="413"/>
      <c r="S114" s="413"/>
      <c r="T114" s="413"/>
      <c r="U114" s="413"/>
      <c r="V114" s="413"/>
      <c r="W114" s="413"/>
      <c r="X114" s="570">
        <v>1</v>
      </c>
      <c r="Y114" s="1311"/>
    </row>
    <row r="115" spans="1:25" hidden="1">
      <c r="A115" s="428" t="s">
        <v>6271</v>
      </c>
      <c r="B115" s="413" t="s">
        <v>202</v>
      </c>
      <c r="C115" s="413" t="s">
        <v>5165</v>
      </c>
      <c r="D115" s="413" t="s">
        <v>1410</v>
      </c>
      <c r="E115" s="413" t="s">
        <v>5203</v>
      </c>
      <c r="F115" s="413"/>
      <c r="G115" s="413"/>
      <c r="H115" s="413"/>
      <c r="I115" s="413"/>
      <c r="J115" s="413"/>
      <c r="K115" s="413"/>
      <c r="L115" s="413"/>
      <c r="M115" s="413"/>
      <c r="N115" s="413"/>
      <c r="O115" s="413"/>
      <c r="P115" s="413"/>
      <c r="Q115" s="413"/>
      <c r="R115" s="413"/>
      <c r="S115" s="413"/>
      <c r="T115" s="413"/>
      <c r="U115" s="413"/>
      <c r="V115" s="413"/>
      <c r="W115" s="413"/>
      <c r="X115" s="570">
        <v>1</v>
      </c>
      <c r="Y115" s="1311"/>
    </row>
    <row r="116" spans="1:25" hidden="1">
      <c r="A116" s="428" t="s">
        <v>6271</v>
      </c>
      <c r="B116" s="413" t="s">
        <v>202</v>
      </c>
      <c r="C116" s="413" t="s">
        <v>422</v>
      </c>
      <c r="D116" s="413" t="s">
        <v>1410</v>
      </c>
      <c r="E116" s="413" t="s">
        <v>5204</v>
      </c>
      <c r="F116" s="413"/>
      <c r="G116" s="413"/>
      <c r="H116" s="413"/>
      <c r="I116" s="413"/>
      <c r="J116" s="413"/>
      <c r="K116" s="413"/>
      <c r="L116" s="413"/>
      <c r="M116" s="413"/>
      <c r="N116" s="413"/>
      <c r="O116" s="413"/>
      <c r="P116" s="413"/>
      <c r="Q116" s="413"/>
      <c r="R116" s="413"/>
      <c r="S116" s="413"/>
      <c r="T116" s="413"/>
      <c r="U116" s="413"/>
      <c r="V116" s="413"/>
      <c r="W116" s="413"/>
      <c r="X116" s="570">
        <v>1</v>
      </c>
      <c r="Y116" s="1311"/>
    </row>
    <row r="117" spans="1:25" hidden="1">
      <c r="A117" s="428" t="s">
        <v>6271</v>
      </c>
      <c r="B117" s="413" t="s">
        <v>202</v>
      </c>
      <c r="C117" s="413" t="s">
        <v>422</v>
      </c>
      <c r="D117" s="413" t="s">
        <v>1410</v>
      </c>
      <c r="E117" s="413" t="s">
        <v>5205</v>
      </c>
      <c r="F117" s="413"/>
      <c r="G117" s="413"/>
      <c r="H117" s="413"/>
      <c r="I117" s="413"/>
      <c r="J117" s="413"/>
      <c r="K117" s="413"/>
      <c r="L117" s="413"/>
      <c r="M117" s="413"/>
      <c r="N117" s="413"/>
      <c r="O117" s="413"/>
      <c r="P117" s="413"/>
      <c r="Q117" s="413"/>
      <c r="R117" s="413"/>
      <c r="S117" s="413"/>
      <c r="T117" s="413"/>
      <c r="U117" s="413"/>
      <c r="V117" s="413"/>
      <c r="W117" s="413"/>
      <c r="X117" s="570">
        <v>1</v>
      </c>
      <c r="Y117" s="1311"/>
    </row>
    <row r="118" spans="1:25" hidden="1">
      <c r="A118" s="428" t="s">
        <v>6271</v>
      </c>
      <c r="B118" s="413" t="s">
        <v>202</v>
      </c>
      <c r="C118" s="413" t="s">
        <v>422</v>
      </c>
      <c r="D118" s="413" t="s">
        <v>1410</v>
      </c>
      <c r="E118" s="413" t="s">
        <v>5206</v>
      </c>
      <c r="F118" s="413"/>
      <c r="G118" s="413"/>
      <c r="H118" s="413"/>
      <c r="I118" s="413"/>
      <c r="J118" s="413"/>
      <c r="K118" s="413"/>
      <c r="L118" s="413"/>
      <c r="M118" s="413"/>
      <c r="N118" s="413"/>
      <c r="O118" s="413"/>
      <c r="P118" s="413"/>
      <c r="Q118" s="413"/>
      <c r="R118" s="413"/>
      <c r="S118" s="413"/>
      <c r="T118" s="413"/>
      <c r="U118" s="413"/>
      <c r="V118" s="413"/>
      <c r="W118" s="413"/>
      <c r="X118" s="570">
        <v>1</v>
      </c>
      <c r="Y118" s="1311"/>
    </row>
    <row r="119" spans="1:25" hidden="1">
      <c r="A119" s="428" t="s">
        <v>6271</v>
      </c>
      <c r="B119" s="413" t="s">
        <v>202</v>
      </c>
      <c r="C119" s="413" t="s">
        <v>8376</v>
      </c>
      <c r="D119" s="413" t="s">
        <v>1410</v>
      </c>
      <c r="E119" s="413" t="s">
        <v>5207</v>
      </c>
      <c r="F119" s="413"/>
      <c r="G119" s="413"/>
      <c r="H119" s="413"/>
      <c r="I119" s="413"/>
      <c r="J119" s="413"/>
      <c r="K119" s="413"/>
      <c r="L119" s="413"/>
      <c r="M119" s="413"/>
      <c r="N119" s="413"/>
      <c r="O119" s="413"/>
      <c r="P119" s="413"/>
      <c r="Q119" s="413"/>
      <c r="R119" s="413"/>
      <c r="S119" s="413"/>
      <c r="T119" s="413"/>
      <c r="U119" s="413"/>
      <c r="V119" s="413"/>
      <c r="W119" s="413"/>
      <c r="X119" s="570">
        <v>1</v>
      </c>
      <c r="Y119" s="1311"/>
    </row>
    <row r="120" spans="1:25" hidden="1">
      <c r="A120" s="428" t="s">
        <v>6271</v>
      </c>
      <c r="B120" s="413" t="s">
        <v>202</v>
      </c>
      <c r="C120" s="413" t="s">
        <v>422</v>
      </c>
      <c r="D120" s="413" t="s">
        <v>1410</v>
      </c>
      <c r="E120" s="413" t="s">
        <v>8378</v>
      </c>
      <c r="F120" s="413"/>
      <c r="G120" s="413"/>
      <c r="H120" s="413"/>
      <c r="I120" s="413"/>
      <c r="J120" s="413"/>
      <c r="K120" s="413"/>
      <c r="L120" s="413"/>
      <c r="M120" s="413"/>
      <c r="N120" s="413"/>
      <c r="O120" s="413"/>
      <c r="P120" s="413"/>
      <c r="Q120" s="413"/>
      <c r="R120" s="413"/>
      <c r="S120" s="413"/>
      <c r="T120" s="413"/>
      <c r="U120" s="413"/>
      <c r="V120" s="413"/>
      <c r="W120" s="413"/>
      <c r="X120" s="570">
        <v>1</v>
      </c>
      <c r="Y120" s="1311"/>
    </row>
    <row r="121" spans="1:25" hidden="1">
      <c r="A121" s="428" t="s">
        <v>6271</v>
      </c>
      <c r="B121" s="413" t="s">
        <v>202</v>
      </c>
      <c r="C121" s="413" t="s">
        <v>2223</v>
      </c>
      <c r="D121" s="413" t="s">
        <v>1410</v>
      </c>
      <c r="E121" s="413" t="s">
        <v>5208</v>
      </c>
      <c r="F121" s="413"/>
      <c r="G121" s="413"/>
      <c r="H121" s="413"/>
      <c r="I121" s="413"/>
      <c r="J121" s="413"/>
      <c r="K121" s="413"/>
      <c r="L121" s="413"/>
      <c r="M121" s="413"/>
      <c r="N121" s="413"/>
      <c r="O121" s="413"/>
      <c r="P121" s="413"/>
      <c r="Q121" s="413"/>
      <c r="R121" s="413"/>
      <c r="S121" s="413"/>
      <c r="T121" s="413"/>
      <c r="U121" s="413"/>
      <c r="V121" s="413"/>
      <c r="W121" s="413"/>
      <c r="X121" s="570">
        <v>1</v>
      </c>
      <c r="Y121" s="1311"/>
    </row>
    <row r="122" spans="1:25" hidden="1">
      <c r="A122" s="428" t="s">
        <v>6271</v>
      </c>
      <c r="B122" s="413" t="s">
        <v>202</v>
      </c>
      <c r="C122" s="413" t="s">
        <v>2229</v>
      </c>
      <c r="D122" s="413" t="s">
        <v>1410</v>
      </c>
      <c r="E122" s="413" t="s">
        <v>8379</v>
      </c>
      <c r="F122" s="413"/>
      <c r="G122" s="413"/>
      <c r="H122" s="413"/>
      <c r="I122" s="413"/>
      <c r="J122" s="413"/>
      <c r="K122" s="413"/>
      <c r="L122" s="413"/>
      <c r="M122" s="413"/>
      <c r="N122" s="413"/>
      <c r="O122" s="413"/>
      <c r="P122" s="413"/>
      <c r="Q122" s="413"/>
      <c r="R122" s="413"/>
      <c r="S122" s="413"/>
      <c r="T122" s="413"/>
      <c r="U122" s="413"/>
      <c r="V122" s="413"/>
      <c r="W122" s="413"/>
      <c r="X122" s="570">
        <v>1</v>
      </c>
      <c r="Y122" s="1311"/>
    </row>
    <row r="123" spans="1:25" hidden="1">
      <c r="A123" s="428" t="s">
        <v>6271</v>
      </c>
      <c r="B123" s="413" t="s">
        <v>202</v>
      </c>
      <c r="C123" s="413" t="s">
        <v>8373</v>
      </c>
      <c r="D123" s="413" t="s">
        <v>1410</v>
      </c>
      <c r="E123" s="413" t="s">
        <v>5209</v>
      </c>
      <c r="F123" s="413"/>
      <c r="G123" s="413"/>
      <c r="H123" s="413"/>
      <c r="I123" s="413"/>
      <c r="J123" s="413"/>
      <c r="K123" s="413"/>
      <c r="L123" s="413"/>
      <c r="M123" s="413"/>
      <c r="N123" s="413"/>
      <c r="O123" s="413"/>
      <c r="P123" s="413"/>
      <c r="Q123" s="413"/>
      <c r="R123" s="413"/>
      <c r="S123" s="413"/>
      <c r="T123" s="413"/>
      <c r="U123" s="413"/>
      <c r="V123" s="413"/>
      <c r="W123" s="413"/>
      <c r="X123" s="570">
        <v>1</v>
      </c>
      <c r="Y123" s="1311"/>
    </row>
    <row r="124" spans="1:25" hidden="1">
      <c r="A124" s="428" t="s">
        <v>6271</v>
      </c>
      <c r="B124" s="413" t="s">
        <v>202</v>
      </c>
      <c r="C124" s="413" t="s">
        <v>8372</v>
      </c>
      <c r="D124" s="413" t="s">
        <v>1410</v>
      </c>
      <c r="E124" s="413" t="s">
        <v>5210</v>
      </c>
      <c r="F124" s="413"/>
      <c r="G124" s="413"/>
      <c r="H124" s="413"/>
      <c r="I124" s="413"/>
      <c r="J124" s="413"/>
      <c r="K124" s="413"/>
      <c r="L124" s="413"/>
      <c r="M124" s="413"/>
      <c r="N124" s="413"/>
      <c r="O124" s="413"/>
      <c r="P124" s="413"/>
      <c r="Q124" s="413"/>
      <c r="R124" s="413"/>
      <c r="S124" s="413"/>
      <c r="T124" s="413"/>
      <c r="U124" s="413"/>
      <c r="V124" s="413"/>
      <c r="W124" s="413"/>
      <c r="X124" s="570">
        <v>1</v>
      </c>
      <c r="Y124" s="1311"/>
    </row>
    <row r="125" spans="1:25" hidden="1">
      <c r="A125" s="428" t="s">
        <v>6271</v>
      </c>
      <c r="B125" s="413" t="s">
        <v>202</v>
      </c>
      <c r="C125" s="413" t="s">
        <v>8374</v>
      </c>
      <c r="D125" s="413" t="s">
        <v>1410</v>
      </c>
      <c r="E125" s="413" t="s">
        <v>5211</v>
      </c>
      <c r="F125" s="413"/>
      <c r="G125" s="413"/>
      <c r="H125" s="413"/>
      <c r="I125" s="413"/>
      <c r="J125" s="413"/>
      <c r="K125" s="413"/>
      <c r="L125" s="413"/>
      <c r="M125" s="413"/>
      <c r="N125" s="413"/>
      <c r="O125" s="413"/>
      <c r="P125" s="413"/>
      <c r="Q125" s="413"/>
      <c r="R125" s="413"/>
      <c r="S125" s="413"/>
      <c r="T125" s="413"/>
      <c r="U125" s="413"/>
      <c r="V125" s="413"/>
      <c r="W125" s="413"/>
      <c r="X125" s="570">
        <v>1</v>
      </c>
      <c r="Y125" s="1311"/>
    </row>
    <row r="126" spans="1:25" hidden="1">
      <c r="A126" s="428" t="s">
        <v>6271</v>
      </c>
      <c r="B126" s="413" t="s">
        <v>202</v>
      </c>
      <c r="C126" s="413" t="s">
        <v>8375</v>
      </c>
      <c r="D126" s="413" t="s">
        <v>1410</v>
      </c>
      <c r="E126" s="413" t="s">
        <v>5212</v>
      </c>
      <c r="F126" s="413"/>
      <c r="G126" s="413"/>
      <c r="H126" s="413"/>
      <c r="I126" s="413"/>
      <c r="J126" s="413"/>
      <c r="K126" s="413"/>
      <c r="L126" s="413"/>
      <c r="M126" s="413"/>
      <c r="N126" s="413"/>
      <c r="O126" s="413"/>
      <c r="P126" s="413"/>
      <c r="Q126" s="413"/>
      <c r="R126" s="413"/>
      <c r="S126" s="413"/>
      <c r="T126" s="413"/>
      <c r="U126" s="413"/>
      <c r="V126" s="413"/>
      <c r="W126" s="413"/>
      <c r="X126" s="570">
        <v>1</v>
      </c>
      <c r="Y126" s="1311"/>
    </row>
    <row r="127" spans="1:25" hidden="1">
      <c r="A127" s="428" t="s">
        <v>6271</v>
      </c>
      <c r="B127" s="413" t="s">
        <v>202</v>
      </c>
      <c r="C127" s="413" t="s">
        <v>422</v>
      </c>
      <c r="D127" s="413" t="s">
        <v>1410</v>
      </c>
      <c r="E127" s="413" t="s">
        <v>8380</v>
      </c>
      <c r="F127" s="413"/>
      <c r="G127" s="413"/>
      <c r="H127" s="413"/>
      <c r="I127" s="413"/>
      <c r="J127" s="413"/>
      <c r="K127" s="413"/>
      <c r="L127" s="413"/>
      <c r="M127" s="413"/>
      <c r="N127" s="413"/>
      <c r="O127" s="413"/>
      <c r="P127" s="413"/>
      <c r="Q127" s="413"/>
      <c r="R127" s="413"/>
      <c r="S127" s="413"/>
      <c r="T127" s="413"/>
      <c r="U127" s="413"/>
      <c r="V127" s="413"/>
      <c r="W127" s="413"/>
      <c r="X127" s="570">
        <v>1</v>
      </c>
      <c r="Y127" s="1311"/>
    </row>
    <row r="128" spans="1:25" hidden="1">
      <c r="A128" s="430" t="s">
        <v>6271</v>
      </c>
      <c r="B128" s="425" t="s">
        <v>202</v>
      </c>
      <c r="C128" s="425" t="s">
        <v>422</v>
      </c>
      <c r="D128" s="425" t="s">
        <v>1410</v>
      </c>
      <c r="E128" s="425" t="s">
        <v>8381</v>
      </c>
      <c r="F128" s="425"/>
      <c r="G128" s="425"/>
      <c r="H128" s="425"/>
      <c r="I128" s="425"/>
      <c r="J128" s="425"/>
      <c r="K128" s="425"/>
      <c r="L128" s="425"/>
      <c r="M128" s="425"/>
      <c r="N128" s="425"/>
      <c r="O128" s="425"/>
      <c r="P128" s="425"/>
      <c r="Q128" s="425"/>
      <c r="R128" s="425"/>
      <c r="S128" s="425"/>
      <c r="T128" s="425"/>
      <c r="U128" s="425"/>
      <c r="V128" s="425"/>
      <c r="W128" s="425"/>
      <c r="X128" s="571">
        <v>1</v>
      </c>
      <c r="Y128" s="1312"/>
    </row>
    <row r="129" spans="1:25" hidden="1">
      <c r="A129" s="426" t="s">
        <v>6268</v>
      </c>
      <c r="B129" s="414" t="s">
        <v>152</v>
      </c>
      <c r="C129" s="414" t="s">
        <v>8382</v>
      </c>
      <c r="D129" s="414" t="s">
        <v>8383</v>
      </c>
      <c r="E129" s="414" t="s">
        <v>8384</v>
      </c>
      <c r="F129" s="414"/>
      <c r="G129" s="414"/>
      <c r="H129" s="414"/>
      <c r="I129" s="414"/>
      <c r="J129" s="414"/>
      <c r="K129" s="414"/>
      <c r="L129" s="414"/>
      <c r="M129" s="414"/>
      <c r="N129" s="414"/>
      <c r="O129" s="414"/>
      <c r="P129" s="414"/>
      <c r="Q129" s="414"/>
      <c r="R129" s="414"/>
      <c r="S129" s="414"/>
      <c r="T129" s="414"/>
      <c r="U129" s="414"/>
      <c r="V129" s="414"/>
      <c r="W129" s="414"/>
      <c r="X129" s="569">
        <v>1</v>
      </c>
      <c r="Y129" s="1319" t="s">
        <v>8385</v>
      </c>
    </row>
    <row r="130" spans="1:25" hidden="1">
      <c r="A130" s="428" t="s">
        <v>6268</v>
      </c>
      <c r="B130" s="413" t="s">
        <v>152</v>
      </c>
      <c r="C130" s="413" t="s">
        <v>8386</v>
      </c>
      <c r="D130" s="413" t="s">
        <v>8383</v>
      </c>
      <c r="E130" s="413" t="s">
        <v>8387</v>
      </c>
      <c r="F130" s="413"/>
      <c r="G130" s="413"/>
      <c r="H130" s="413"/>
      <c r="I130" s="413"/>
      <c r="J130" s="413"/>
      <c r="K130" s="413"/>
      <c r="L130" s="413"/>
      <c r="M130" s="413"/>
      <c r="N130" s="413"/>
      <c r="O130" s="413"/>
      <c r="P130" s="413"/>
      <c r="Q130" s="413"/>
      <c r="R130" s="413"/>
      <c r="S130" s="413"/>
      <c r="T130" s="413"/>
      <c r="U130" s="413"/>
      <c r="V130" s="413"/>
      <c r="W130" s="413"/>
      <c r="X130" s="570">
        <v>1</v>
      </c>
      <c r="Y130" s="1320"/>
    </row>
    <row r="131" spans="1:25" hidden="1">
      <c r="A131" s="428" t="s">
        <v>6268</v>
      </c>
      <c r="B131" s="413" t="s">
        <v>152</v>
      </c>
      <c r="C131" s="413" t="s">
        <v>8386</v>
      </c>
      <c r="D131" s="413" t="s">
        <v>8383</v>
      </c>
      <c r="E131" s="413" t="s">
        <v>8388</v>
      </c>
      <c r="F131" s="413"/>
      <c r="G131" s="413"/>
      <c r="H131" s="413"/>
      <c r="I131" s="413"/>
      <c r="J131" s="413"/>
      <c r="K131" s="413"/>
      <c r="L131" s="413"/>
      <c r="M131" s="413"/>
      <c r="N131" s="413"/>
      <c r="O131" s="413"/>
      <c r="P131" s="413"/>
      <c r="Q131" s="413"/>
      <c r="R131" s="413"/>
      <c r="S131" s="413"/>
      <c r="T131" s="413"/>
      <c r="U131" s="413"/>
      <c r="V131" s="413"/>
      <c r="W131" s="413"/>
      <c r="X131" s="570">
        <v>1</v>
      </c>
      <c r="Y131" s="1320"/>
    </row>
    <row r="132" spans="1:25" hidden="1">
      <c r="A132" s="428" t="s">
        <v>6268</v>
      </c>
      <c r="B132" s="413" t="s">
        <v>152</v>
      </c>
      <c r="C132" s="413" t="s">
        <v>8389</v>
      </c>
      <c r="D132" s="413" t="s">
        <v>8383</v>
      </c>
      <c r="E132" s="413" t="s">
        <v>8390</v>
      </c>
      <c r="F132" s="413"/>
      <c r="G132" s="413"/>
      <c r="H132" s="413"/>
      <c r="I132" s="413"/>
      <c r="J132" s="413"/>
      <c r="K132" s="413"/>
      <c r="L132" s="413"/>
      <c r="M132" s="413"/>
      <c r="N132" s="413"/>
      <c r="O132" s="413"/>
      <c r="P132" s="413"/>
      <c r="Q132" s="413"/>
      <c r="R132" s="413"/>
      <c r="S132" s="413"/>
      <c r="T132" s="413"/>
      <c r="U132" s="413"/>
      <c r="V132" s="413"/>
      <c r="W132" s="413"/>
      <c r="X132" s="570">
        <v>1</v>
      </c>
      <c r="Y132" s="1320"/>
    </row>
    <row r="133" spans="1:25" hidden="1">
      <c r="A133" s="430" t="s">
        <v>6268</v>
      </c>
      <c r="B133" s="425" t="s">
        <v>152</v>
      </c>
      <c r="C133" s="425" t="s">
        <v>8382</v>
      </c>
      <c r="D133" s="425" t="s">
        <v>8383</v>
      </c>
      <c r="E133" s="425" t="s">
        <v>8391</v>
      </c>
      <c r="F133" s="425"/>
      <c r="G133" s="425"/>
      <c r="H133" s="425"/>
      <c r="I133" s="425"/>
      <c r="J133" s="425"/>
      <c r="K133" s="425"/>
      <c r="L133" s="425"/>
      <c r="M133" s="425"/>
      <c r="N133" s="425"/>
      <c r="O133" s="425"/>
      <c r="P133" s="425"/>
      <c r="Q133" s="425"/>
      <c r="R133" s="425"/>
      <c r="S133" s="425"/>
      <c r="T133" s="425"/>
      <c r="U133" s="425"/>
      <c r="V133" s="425"/>
      <c r="W133" s="425"/>
      <c r="X133" s="571">
        <v>1</v>
      </c>
      <c r="Y133" s="1321"/>
    </row>
    <row r="134" spans="1:25" hidden="1">
      <c r="A134" s="426" t="s">
        <v>6268</v>
      </c>
      <c r="B134" s="414" t="s">
        <v>143</v>
      </c>
      <c r="C134" s="414" t="s">
        <v>8392</v>
      </c>
      <c r="D134" s="414" t="s">
        <v>307</v>
      </c>
      <c r="E134" s="414" t="s">
        <v>8393</v>
      </c>
      <c r="F134" s="414"/>
      <c r="G134" s="414"/>
      <c r="H134" s="414"/>
      <c r="I134" s="414"/>
      <c r="J134" s="414"/>
      <c r="K134" s="414"/>
      <c r="L134" s="414"/>
      <c r="M134" s="414"/>
      <c r="N134" s="414"/>
      <c r="O134" s="414"/>
      <c r="P134" s="414"/>
      <c r="Q134" s="414"/>
      <c r="R134" s="414"/>
      <c r="S134" s="414"/>
      <c r="T134" s="414"/>
      <c r="U134" s="414"/>
      <c r="V134" s="414"/>
      <c r="W134" s="414"/>
      <c r="X134" s="569">
        <v>1</v>
      </c>
      <c r="Y134" s="1319" t="s">
        <v>8394</v>
      </c>
    </row>
    <row r="135" spans="1:25" hidden="1">
      <c r="A135" s="428" t="s">
        <v>6268</v>
      </c>
      <c r="B135" s="413" t="s">
        <v>143</v>
      </c>
      <c r="C135" s="413" t="s">
        <v>8392</v>
      </c>
      <c r="D135" s="413" t="s">
        <v>307</v>
      </c>
      <c r="E135" s="413" t="s">
        <v>8395</v>
      </c>
      <c r="F135" s="413"/>
      <c r="G135" s="413"/>
      <c r="H135" s="413"/>
      <c r="I135" s="413"/>
      <c r="J135" s="413"/>
      <c r="K135" s="413"/>
      <c r="L135" s="413"/>
      <c r="M135" s="413"/>
      <c r="N135" s="413"/>
      <c r="O135" s="413"/>
      <c r="P135" s="413"/>
      <c r="Q135" s="413"/>
      <c r="R135" s="413"/>
      <c r="S135" s="413"/>
      <c r="T135" s="413"/>
      <c r="U135" s="413"/>
      <c r="V135" s="413"/>
      <c r="W135" s="413"/>
      <c r="X135" s="570">
        <v>1</v>
      </c>
      <c r="Y135" s="1320"/>
    </row>
    <row r="136" spans="1:25" hidden="1">
      <c r="A136" s="428" t="s">
        <v>6268</v>
      </c>
      <c r="B136" s="413" t="s">
        <v>143</v>
      </c>
      <c r="C136" s="413" t="s">
        <v>8392</v>
      </c>
      <c r="D136" s="413" t="s">
        <v>307</v>
      </c>
      <c r="E136" s="413" t="s">
        <v>8396</v>
      </c>
      <c r="F136" s="413"/>
      <c r="G136" s="413"/>
      <c r="H136" s="413"/>
      <c r="I136" s="413"/>
      <c r="J136" s="413"/>
      <c r="K136" s="413"/>
      <c r="L136" s="413"/>
      <c r="M136" s="413"/>
      <c r="N136" s="413"/>
      <c r="O136" s="413"/>
      <c r="P136" s="413"/>
      <c r="Q136" s="413"/>
      <c r="R136" s="413"/>
      <c r="S136" s="413"/>
      <c r="T136" s="413"/>
      <c r="U136" s="413"/>
      <c r="V136" s="413"/>
      <c r="W136" s="413"/>
      <c r="X136" s="570">
        <v>1</v>
      </c>
      <c r="Y136" s="1320"/>
    </row>
    <row r="137" spans="1:25" hidden="1">
      <c r="A137" s="428" t="s">
        <v>6268</v>
      </c>
      <c r="B137" s="413" t="s">
        <v>143</v>
      </c>
      <c r="C137" s="413" t="s">
        <v>8397</v>
      </c>
      <c r="D137" s="413" t="s">
        <v>307</v>
      </c>
      <c r="E137" s="413" t="s">
        <v>8398</v>
      </c>
      <c r="F137" s="413"/>
      <c r="G137" s="413"/>
      <c r="H137" s="413"/>
      <c r="I137" s="413"/>
      <c r="J137" s="413"/>
      <c r="K137" s="413"/>
      <c r="L137" s="413"/>
      <c r="M137" s="413"/>
      <c r="N137" s="413"/>
      <c r="O137" s="413"/>
      <c r="P137" s="413"/>
      <c r="Q137" s="413"/>
      <c r="R137" s="413"/>
      <c r="S137" s="413"/>
      <c r="T137" s="413"/>
      <c r="U137" s="413"/>
      <c r="V137" s="413"/>
      <c r="W137" s="413"/>
      <c r="X137" s="570">
        <v>1</v>
      </c>
      <c r="Y137" s="1320"/>
    </row>
    <row r="138" spans="1:25" hidden="1">
      <c r="A138" s="428" t="s">
        <v>6268</v>
      </c>
      <c r="B138" s="413" t="s">
        <v>143</v>
      </c>
      <c r="C138" s="413" t="s">
        <v>8397</v>
      </c>
      <c r="D138" s="413" t="s">
        <v>307</v>
      </c>
      <c r="E138" s="413" t="s">
        <v>8399</v>
      </c>
      <c r="F138" s="413"/>
      <c r="G138" s="413"/>
      <c r="H138" s="413"/>
      <c r="I138" s="413"/>
      <c r="J138" s="413"/>
      <c r="K138" s="413"/>
      <c r="L138" s="413"/>
      <c r="M138" s="413"/>
      <c r="N138" s="413"/>
      <c r="O138" s="413"/>
      <c r="P138" s="413"/>
      <c r="Q138" s="413"/>
      <c r="R138" s="413"/>
      <c r="S138" s="413"/>
      <c r="T138" s="413"/>
      <c r="U138" s="413"/>
      <c r="V138" s="413"/>
      <c r="W138" s="413"/>
      <c r="X138" s="570">
        <v>1</v>
      </c>
      <c r="Y138" s="1320"/>
    </row>
    <row r="139" spans="1:25" hidden="1">
      <c r="A139" s="428" t="s">
        <v>6268</v>
      </c>
      <c r="B139" s="413" t="s">
        <v>143</v>
      </c>
      <c r="C139" s="413" t="s">
        <v>8397</v>
      </c>
      <c r="D139" s="413" t="s">
        <v>307</v>
      </c>
      <c r="E139" s="413" t="s">
        <v>8400</v>
      </c>
      <c r="F139" s="413"/>
      <c r="G139" s="413"/>
      <c r="H139" s="413"/>
      <c r="I139" s="413"/>
      <c r="J139" s="413"/>
      <c r="K139" s="413"/>
      <c r="L139" s="413"/>
      <c r="M139" s="413"/>
      <c r="N139" s="413"/>
      <c r="O139" s="413"/>
      <c r="P139" s="413"/>
      <c r="Q139" s="413"/>
      <c r="R139" s="413"/>
      <c r="S139" s="413"/>
      <c r="T139" s="413"/>
      <c r="U139" s="413"/>
      <c r="V139" s="413"/>
      <c r="W139" s="413"/>
      <c r="X139" s="570">
        <v>1</v>
      </c>
      <c r="Y139" s="1320"/>
    </row>
    <row r="140" spans="1:25" hidden="1">
      <c r="A140" s="428" t="s">
        <v>6268</v>
      </c>
      <c r="B140" s="413" t="s">
        <v>143</v>
      </c>
      <c r="C140" s="413" t="s">
        <v>8401</v>
      </c>
      <c r="D140" s="413" t="s">
        <v>307</v>
      </c>
      <c r="E140" s="413" t="s">
        <v>8402</v>
      </c>
      <c r="F140" s="413"/>
      <c r="G140" s="413"/>
      <c r="H140" s="413"/>
      <c r="I140" s="413"/>
      <c r="J140" s="413"/>
      <c r="K140" s="413"/>
      <c r="L140" s="413"/>
      <c r="M140" s="413"/>
      <c r="N140" s="413"/>
      <c r="O140" s="413"/>
      <c r="P140" s="413"/>
      <c r="Q140" s="413"/>
      <c r="R140" s="413"/>
      <c r="S140" s="413"/>
      <c r="T140" s="413"/>
      <c r="U140" s="413"/>
      <c r="V140" s="413"/>
      <c r="W140" s="413"/>
      <c r="X140" s="570">
        <v>1</v>
      </c>
      <c r="Y140" s="1320"/>
    </row>
    <row r="141" spans="1:25" hidden="1">
      <c r="A141" s="428" t="s">
        <v>6268</v>
      </c>
      <c r="B141" s="413" t="s">
        <v>143</v>
      </c>
      <c r="C141" s="413" t="s">
        <v>8401</v>
      </c>
      <c r="D141" s="413" t="s">
        <v>307</v>
      </c>
      <c r="E141" s="413" t="s">
        <v>8403</v>
      </c>
      <c r="F141" s="413"/>
      <c r="G141" s="413"/>
      <c r="H141" s="413"/>
      <c r="I141" s="413"/>
      <c r="J141" s="413"/>
      <c r="K141" s="413"/>
      <c r="L141" s="413"/>
      <c r="M141" s="413"/>
      <c r="N141" s="413"/>
      <c r="O141" s="413"/>
      <c r="P141" s="413"/>
      <c r="Q141" s="413"/>
      <c r="R141" s="413"/>
      <c r="S141" s="413"/>
      <c r="T141" s="413"/>
      <c r="U141" s="413"/>
      <c r="V141" s="413"/>
      <c r="W141" s="413"/>
      <c r="X141" s="570">
        <v>1</v>
      </c>
      <c r="Y141" s="1320"/>
    </row>
    <row r="142" spans="1:25" hidden="1">
      <c r="A142" s="428" t="s">
        <v>6268</v>
      </c>
      <c r="B142" s="413" t="s">
        <v>143</v>
      </c>
      <c r="C142" s="413" t="s">
        <v>8401</v>
      </c>
      <c r="D142" s="413" t="s">
        <v>307</v>
      </c>
      <c r="E142" s="413" t="s">
        <v>8404</v>
      </c>
      <c r="F142" s="413"/>
      <c r="G142" s="413"/>
      <c r="H142" s="413"/>
      <c r="I142" s="413"/>
      <c r="J142" s="413"/>
      <c r="K142" s="413"/>
      <c r="L142" s="413"/>
      <c r="M142" s="413"/>
      <c r="N142" s="413"/>
      <c r="O142" s="413"/>
      <c r="P142" s="413"/>
      <c r="Q142" s="413"/>
      <c r="R142" s="413"/>
      <c r="S142" s="413"/>
      <c r="T142" s="413"/>
      <c r="U142" s="413"/>
      <c r="V142" s="413"/>
      <c r="W142" s="413"/>
      <c r="X142" s="570">
        <v>1</v>
      </c>
      <c r="Y142" s="1320"/>
    </row>
    <row r="143" spans="1:25" hidden="1">
      <c r="A143" s="428" t="s">
        <v>6268</v>
      </c>
      <c r="B143" s="413" t="s">
        <v>143</v>
      </c>
      <c r="C143" s="413" t="s">
        <v>8401</v>
      </c>
      <c r="D143" s="413" t="s">
        <v>307</v>
      </c>
      <c r="E143" s="413" t="s">
        <v>8405</v>
      </c>
      <c r="F143" s="413"/>
      <c r="G143" s="413"/>
      <c r="H143" s="413"/>
      <c r="I143" s="413"/>
      <c r="J143" s="413"/>
      <c r="K143" s="413"/>
      <c r="L143" s="413"/>
      <c r="M143" s="413"/>
      <c r="N143" s="413"/>
      <c r="O143" s="413"/>
      <c r="P143" s="413"/>
      <c r="Q143" s="413"/>
      <c r="R143" s="413"/>
      <c r="S143" s="413"/>
      <c r="T143" s="413"/>
      <c r="U143" s="413"/>
      <c r="V143" s="413"/>
      <c r="W143" s="413"/>
      <c r="X143" s="570">
        <v>1</v>
      </c>
      <c r="Y143" s="1320"/>
    </row>
    <row r="144" spans="1:25" hidden="1">
      <c r="A144" s="428" t="s">
        <v>6268</v>
      </c>
      <c r="B144" s="413" t="s">
        <v>143</v>
      </c>
      <c r="C144" s="413" t="s">
        <v>8401</v>
      </c>
      <c r="D144" s="413" t="s">
        <v>307</v>
      </c>
      <c r="E144" s="413" t="s">
        <v>8406</v>
      </c>
      <c r="F144" s="413"/>
      <c r="G144" s="413"/>
      <c r="H144" s="413"/>
      <c r="I144" s="413"/>
      <c r="J144" s="413"/>
      <c r="K144" s="413"/>
      <c r="L144" s="413"/>
      <c r="M144" s="413"/>
      <c r="N144" s="413"/>
      <c r="O144" s="413"/>
      <c r="P144" s="413"/>
      <c r="Q144" s="413"/>
      <c r="R144" s="413"/>
      <c r="S144" s="413"/>
      <c r="T144" s="413"/>
      <c r="U144" s="413"/>
      <c r="V144" s="413"/>
      <c r="W144" s="413"/>
      <c r="X144" s="570">
        <v>1</v>
      </c>
      <c r="Y144" s="1320"/>
    </row>
    <row r="145" spans="1:25" hidden="1">
      <c r="A145" s="428" t="s">
        <v>6268</v>
      </c>
      <c r="B145" s="413" t="s">
        <v>143</v>
      </c>
      <c r="C145" s="413" t="s">
        <v>8401</v>
      </c>
      <c r="D145" s="413" t="s">
        <v>307</v>
      </c>
      <c r="E145" s="413" t="s">
        <v>8407</v>
      </c>
      <c r="F145" s="413"/>
      <c r="G145" s="413"/>
      <c r="H145" s="413"/>
      <c r="I145" s="413"/>
      <c r="J145" s="413"/>
      <c r="K145" s="413"/>
      <c r="L145" s="413"/>
      <c r="M145" s="413"/>
      <c r="N145" s="413"/>
      <c r="O145" s="413"/>
      <c r="P145" s="413"/>
      <c r="Q145" s="413"/>
      <c r="R145" s="413"/>
      <c r="S145" s="413"/>
      <c r="T145" s="413"/>
      <c r="U145" s="413"/>
      <c r="V145" s="413"/>
      <c r="W145" s="413"/>
      <c r="X145" s="570">
        <v>1</v>
      </c>
      <c r="Y145" s="1320"/>
    </row>
    <row r="146" spans="1:25" hidden="1">
      <c r="A146" s="428" t="s">
        <v>6268</v>
      </c>
      <c r="B146" s="413" t="s">
        <v>143</v>
      </c>
      <c r="C146" s="413" t="s">
        <v>8401</v>
      </c>
      <c r="D146" s="413" t="s">
        <v>307</v>
      </c>
      <c r="E146" s="413" t="s">
        <v>8408</v>
      </c>
      <c r="F146" s="413"/>
      <c r="G146" s="413"/>
      <c r="H146" s="413"/>
      <c r="I146" s="413"/>
      <c r="J146" s="413"/>
      <c r="K146" s="413"/>
      <c r="L146" s="413"/>
      <c r="M146" s="413"/>
      <c r="N146" s="413"/>
      <c r="O146" s="413"/>
      <c r="P146" s="413"/>
      <c r="Q146" s="413"/>
      <c r="R146" s="413"/>
      <c r="S146" s="413"/>
      <c r="T146" s="413"/>
      <c r="U146" s="413"/>
      <c r="V146" s="413"/>
      <c r="W146" s="413"/>
      <c r="X146" s="570">
        <v>1</v>
      </c>
      <c r="Y146" s="1320"/>
    </row>
    <row r="147" spans="1:25" hidden="1">
      <c r="A147" s="428" t="s">
        <v>6268</v>
      </c>
      <c r="B147" s="413" t="s">
        <v>143</v>
      </c>
      <c r="C147" s="413" t="s">
        <v>8401</v>
      </c>
      <c r="D147" s="413" t="s">
        <v>307</v>
      </c>
      <c r="E147" s="413" t="s">
        <v>8409</v>
      </c>
      <c r="F147" s="413"/>
      <c r="G147" s="413"/>
      <c r="H147" s="413"/>
      <c r="I147" s="413"/>
      <c r="J147" s="413"/>
      <c r="K147" s="413"/>
      <c r="L147" s="413"/>
      <c r="M147" s="413"/>
      <c r="N147" s="413"/>
      <c r="O147" s="413"/>
      <c r="P147" s="413"/>
      <c r="Q147" s="413"/>
      <c r="R147" s="413"/>
      <c r="S147" s="413"/>
      <c r="T147" s="413"/>
      <c r="U147" s="413"/>
      <c r="V147" s="413"/>
      <c r="W147" s="413"/>
      <c r="X147" s="570">
        <v>1</v>
      </c>
      <c r="Y147" s="1320"/>
    </row>
    <row r="148" spans="1:25" hidden="1">
      <c r="A148" s="428" t="s">
        <v>6268</v>
      </c>
      <c r="B148" s="413" t="s">
        <v>143</v>
      </c>
      <c r="C148" s="413" t="s">
        <v>8401</v>
      </c>
      <c r="D148" s="413" t="s">
        <v>307</v>
      </c>
      <c r="E148" s="413" t="s">
        <v>8410</v>
      </c>
      <c r="F148" s="413"/>
      <c r="G148" s="413"/>
      <c r="H148" s="413"/>
      <c r="I148" s="413"/>
      <c r="J148" s="413"/>
      <c r="K148" s="413"/>
      <c r="L148" s="413"/>
      <c r="M148" s="413"/>
      <c r="N148" s="413"/>
      <c r="O148" s="413"/>
      <c r="P148" s="413"/>
      <c r="Q148" s="413"/>
      <c r="R148" s="413"/>
      <c r="S148" s="413"/>
      <c r="T148" s="413"/>
      <c r="U148" s="413"/>
      <c r="V148" s="413"/>
      <c r="W148" s="413"/>
      <c r="X148" s="570">
        <v>1</v>
      </c>
      <c r="Y148" s="1320"/>
    </row>
    <row r="149" spans="1:25" hidden="1">
      <c r="A149" s="428" t="s">
        <v>6268</v>
      </c>
      <c r="B149" s="413" t="s">
        <v>143</v>
      </c>
      <c r="C149" s="413" t="s">
        <v>8411</v>
      </c>
      <c r="D149" s="413" t="s">
        <v>307</v>
      </c>
      <c r="E149" s="413" t="s">
        <v>8412</v>
      </c>
      <c r="F149" s="413"/>
      <c r="G149" s="413"/>
      <c r="H149" s="413"/>
      <c r="I149" s="413"/>
      <c r="J149" s="413"/>
      <c r="K149" s="413"/>
      <c r="L149" s="413"/>
      <c r="M149" s="413"/>
      <c r="N149" s="413"/>
      <c r="O149" s="413"/>
      <c r="P149" s="413"/>
      <c r="Q149" s="413"/>
      <c r="R149" s="413"/>
      <c r="S149" s="413"/>
      <c r="T149" s="413"/>
      <c r="U149" s="413"/>
      <c r="V149" s="413"/>
      <c r="W149" s="413"/>
      <c r="X149" s="570">
        <v>1</v>
      </c>
      <c r="Y149" s="1320"/>
    </row>
    <row r="150" spans="1:25" hidden="1">
      <c r="A150" s="428" t="s">
        <v>6268</v>
      </c>
      <c r="B150" s="413" t="s">
        <v>143</v>
      </c>
      <c r="C150" s="413" t="s">
        <v>8411</v>
      </c>
      <c r="D150" s="413" t="s">
        <v>307</v>
      </c>
      <c r="E150" s="413" t="s">
        <v>8413</v>
      </c>
      <c r="F150" s="413"/>
      <c r="G150" s="413"/>
      <c r="H150" s="413"/>
      <c r="I150" s="413"/>
      <c r="J150" s="413"/>
      <c r="K150" s="413"/>
      <c r="L150" s="413"/>
      <c r="M150" s="413"/>
      <c r="N150" s="413"/>
      <c r="O150" s="413"/>
      <c r="P150" s="413"/>
      <c r="Q150" s="413"/>
      <c r="R150" s="413"/>
      <c r="S150" s="413"/>
      <c r="T150" s="413"/>
      <c r="U150" s="413"/>
      <c r="V150" s="413"/>
      <c r="W150" s="413"/>
      <c r="X150" s="570">
        <v>1</v>
      </c>
      <c r="Y150" s="1320"/>
    </row>
    <row r="151" spans="1:25" hidden="1">
      <c r="A151" s="428" t="s">
        <v>6268</v>
      </c>
      <c r="B151" s="413" t="s">
        <v>143</v>
      </c>
      <c r="C151" s="413" t="s">
        <v>8411</v>
      </c>
      <c r="D151" s="413" t="s">
        <v>307</v>
      </c>
      <c r="E151" s="413" t="s">
        <v>8414</v>
      </c>
      <c r="F151" s="413"/>
      <c r="G151" s="413"/>
      <c r="H151" s="413"/>
      <c r="I151" s="413"/>
      <c r="J151" s="413"/>
      <c r="K151" s="413"/>
      <c r="L151" s="413"/>
      <c r="M151" s="413"/>
      <c r="N151" s="413"/>
      <c r="O151" s="413"/>
      <c r="P151" s="413"/>
      <c r="Q151" s="413"/>
      <c r="R151" s="413"/>
      <c r="S151" s="413"/>
      <c r="T151" s="413"/>
      <c r="U151" s="413"/>
      <c r="V151" s="413"/>
      <c r="W151" s="413"/>
      <c r="X151" s="570">
        <v>1</v>
      </c>
      <c r="Y151" s="1320"/>
    </row>
    <row r="152" spans="1:25" hidden="1">
      <c r="A152" s="428" t="s">
        <v>6268</v>
      </c>
      <c r="B152" s="413" t="s">
        <v>143</v>
      </c>
      <c r="C152" s="413" t="s">
        <v>8411</v>
      </c>
      <c r="D152" s="413" t="s">
        <v>307</v>
      </c>
      <c r="E152" s="413" t="s">
        <v>8415</v>
      </c>
      <c r="F152" s="413"/>
      <c r="G152" s="413"/>
      <c r="H152" s="413"/>
      <c r="I152" s="413"/>
      <c r="J152" s="413"/>
      <c r="K152" s="413"/>
      <c r="L152" s="413"/>
      <c r="M152" s="413"/>
      <c r="N152" s="413"/>
      <c r="O152" s="413"/>
      <c r="P152" s="413"/>
      <c r="Q152" s="413"/>
      <c r="R152" s="413"/>
      <c r="S152" s="413"/>
      <c r="T152" s="413"/>
      <c r="U152" s="413"/>
      <c r="V152" s="413"/>
      <c r="W152" s="413"/>
      <c r="X152" s="570">
        <v>1</v>
      </c>
      <c r="Y152" s="1320"/>
    </row>
    <row r="153" spans="1:25" hidden="1">
      <c r="A153" s="428" t="s">
        <v>6268</v>
      </c>
      <c r="B153" s="413" t="s">
        <v>143</v>
      </c>
      <c r="C153" s="413" t="s">
        <v>8411</v>
      </c>
      <c r="D153" s="413" t="s">
        <v>307</v>
      </c>
      <c r="E153" s="413" t="s">
        <v>8416</v>
      </c>
      <c r="F153" s="413"/>
      <c r="G153" s="413"/>
      <c r="H153" s="413"/>
      <c r="I153" s="413"/>
      <c r="J153" s="413"/>
      <c r="K153" s="413"/>
      <c r="L153" s="413"/>
      <c r="M153" s="413"/>
      <c r="N153" s="413"/>
      <c r="O153" s="413"/>
      <c r="P153" s="413"/>
      <c r="Q153" s="413"/>
      <c r="R153" s="413"/>
      <c r="S153" s="413"/>
      <c r="T153" s="413"/>
      <c r="U153" s="413"/>
      <c r="V153" s="413"/>
      <c r="W153" s="413"/>
      <c r="X153" s="570">
        <v>1</v>
      </c>
      <c r="Y153" s="1320"/>
    </row>
    <row r="154" spans="1:25" hidden="1">
      <c r="A154" s="428" t="s">
        <v>6268</v>
      </c>
      <c r="B154" s="413" t="s">
        <v>143</v>
      </c>
      <c r="C154" s="413" t="s">
        <v>8411</v>
      </c>
      <c r="D154" s="413" t="s">
        <v>307</v>
      </c>
      <c r="E154" s="413" t="s">
        <v>8417</v>
      </c>
      <c r="F154" s="413"/>
      <c r="G154" s="413"/>
      <c r="H154" s="413"/>
      <c r="I154" s="413"/>
      <c r="J154" s="413"/>
      <c r="K154" s="413"/>
      <c r="L154" s="413"/>
      <c r="M154" s="413"/>
      <c r="N154" s="413"/>
      <c r="O154" s="413"/>
      <c r="P154" s="413"/>
      <c r="Q154" s="413"/>
      <c r="R154" s="413"/>
      <c r="S154" s="413"/>
      <c r="T154" s="413"/>
      <c r="U154" s="413"/>
      <c r="V154" s="413"/>
      <c r="W154" s="413"/>
      <c r="X154" s="570">
        <v>1</v>
      </c>
      <c r="Y154" s="1320"/>
    </row>
    <row r="155" spans="1:25" hidden="1">
      <c r="A155" s="428" t="s">
        <v>6268</v>
      </c>
      <c r="B155" s="413" t="s">
        <v>143</v>
      </c>
      <c r="C155" s="413" t="s">
        <v>8418</v>
      </c>
      <c r="D155" s="413" t="s">
        <v>307</v>
      </c>
      <c r="E155" s="413" t="s">
        <v>8419</v>
      </c>
      <c r="F155" s="413"/>
      <c r="G155" s="413"/>
      <c r="H155" s="413"/>
      <c r="I155" s="413"/>
      <c r="J155" s="413"/>
      <c r="K155" s="413"/>
      <c r="L155" s="413"/>
      <c r="M155" s="413"/>
      <c r="N155" s="413"/>
      <c r="O155" s="413"/>
      <c r="P155" s="413"/>
      <c r="Q155" s="413"/>
      <c r="R155" s="413"/>
      <c r="S155" s="413"/>
      <c r="T155" s="413"/>
      <c r="U155" s="413"/>
      <c r="V155" s="413"/>
      <c r="W155" s="413"/>
      <c r="X155" s="570">
        <v>1</v>
      </c>
      <c r="Y155" s="1320"/>
    </row>
    <row r="156" spans="1:25" hidden="1">
      <c r="A156" s="428" t="s">
        <v>6268</v>
      </c>
      <c r="B156" s="413" t="s">
        <v>143</v>
      </c>
      <c r="C156" s="413" t="s">
        <v>8420</v>
      </c>
      <c r="D156" s="413" t="s">
        <v>307</v>
      </c>
      <c r="E156" s="413" t="s">
        <v>8421</v>
      </c>
      <c r="F156" s="413"/>
      <c r="G156" s="413"/>
      <c r="H156" s="413"/>
      <c r="I156" s="413"/>
      <c r="J156" s="413"/>
      <c r="K156" s="413"/>
      <c r="L156" s="413"/>
      <c r="M156" s="413"/>
      <c r="N156" s="413"/>
      <c r="O156" s="413"/>
      <c r="P156" s="413"/>
      <c r="Q156" s="413"/>
      <c r="R156" s="413"/>
      <c r="S156" s="413"/>
      <c r="T156" s="413"/>
      <c r="U156" s="413"/>
      <c r="V156" s="413"/>
      <c r="W156" s="413"/>
      <c r="X156" s="570">
        <v>1</v>
      </c>
      <c r="Y156" s="1320"/>
    </row>
    <row r="157" spans="1:25" hidden="1">
      <c r="A157" s="428" t="s">
        <v>6268</v>
      </c>
      <c r="B157" s="413" t="s">
        <v>143</v>
      </c>
      <c r="C157" s="413" t="s">
        <v>8422</v>
      </c>
      <c r="D157" s="413" t="s">
        <v>307</v>
      </c>
      <c r="E157" s="413" t="s">
        <v>8423</v>
      </c>
      <c r="F157" s="413"/>
      <c r="G157" s="413"/>
      <c r="H157" s="413"/>
      <c r="I157" s="413"/>
      <c r="J157" s="413"/>
      <c r="K157" s="413"/>
      <c r="L157" s="413"/>
      <c r="M157" s="413"/>
      <c r="N157" s="413"/>
      <c r="O157" s="413"/>
      <c r="P157" s="413"/>
      <c r="Q157" s="413"/>
      <c r="R157" s="413"/>
      <c r="S157" s="413"/>
      <c r="T157" s="413"/>
      <c r="U157" s="413"/>
      <c r="V157" s="413"/>
      <c r="W157" s="413"/>
      <c r="X157" s="570">
        <v>1</v>
      </c>
      <c r="Y157" s="1320"/>
    </row>
    <row r="158" spans="1:25" hidden="1">
      <c r="A158" s="428" t="s">
        <v>6268</v>
      </c>
      <c r="B158" s="413" t="s">
        <v>143</v>
      </c>
      <c r="C158" s="413" t="s">
        <v>8424</v>
      </c>
      <c r="D158" s="413" t="s">
        <v>307</v>
      </c>
      <c r="E158" s="413" t="s">
        <v>8425</v>
      </c>
      <c r="F158" s="413"/>
      <c r="G158" s="413"/>
      <c r="H158" s="413"/>
      <c r="I158" s="413"/>
      <c r="J158" s="413"/>
      <c r="K158" s="413"/>
      <c r="L158" s="413"/>
      <c r="M158" s="413"/>
      <c r="N158" s="413"/>
      <c r="O158" s="413"/>
      <c r="P158" s="413"/>
      <c r="Q158" s="413"/>
      <c r="R158" s="413"/>
      <c r="S158" s="413"/>
      <c r="T158" s="413"/>
      <c r="U158" s="413"/>
      <c r="V158" s="413"/>
      <c r="W158" s="413"/>
      <c r="X158" s="570">
        <v>1</v>
      </c>
      <c r="Y158" s="1320"/>
    </row>
    <row r="159" spans="1:25" hidden="1">
      <c r="A159" s="428" t="s">
        <v>6268</v>
      </c>
      <c r="B159" s="413" t="s">
        <v>143</v>
      </c>
      <c r="C159" s="413" t="s">
        <v>8426</v>
      </c>
      <c r="D159" s="413" t="s">
        <v>307</v>
      </c>
      <c r="E159" s="413" t="s">
        <v>8427</v>
      </c>
      <c r="F159" s="413"/>
      <c r="G159" s="413"/>
      <c r="H159" s="413"/>
      <c r="I159" s="413"/>
      <c r="J159" s="413"/>
      <c r="K159" s="413"/>
      <c r="L159" s="413"/>
      <c r="M159" s="413"/>
      <c r="N159" s="413"/>
      <c r="O159" s="413"/>
      <c r="P159" s="413"/>
      <c r="Q159" s="413"/>
      <c r="R159" s="413"/>
      <c r="S159" s="413"/>
      <c r="T159" s="413"/>
      <c r="U159" s="413"/>
      <c r="V159" s="413"/>
      <c r="W159" s="413"/>
      <c r="X159" s="570">
        <v>1</v>
      </c>
      <c r="Y159" s="1320"/>
    </row>
    <row r="160" spans="1:25" hidden="1">
      <c r="A160" s="428" t="s">
        <v>6268</v>
      </c>
      <c r="B160" s="413" t="s">
        <v>143</v>
      </c>
      <c r="C160" s="413" t="s">
        <v>8428</v>
      </c>
      <c r="D160" s="413" t="s">
        <v>307</v>
      </c>
      <c r="E160" s="413" t="s">
        <v>8429</v>
      </c>
      <c r="F160" s="413"/>
      <c r="G160" s="413"/>
      <c r="H160" s="413"/>
      <c r="I160" s="413"/>
      <c r="J160" s="413"/>
      <c r="K160" s="413"/>
      <c r="L160" s="413"/>
      <c r="M160" s="413"/>
      <c r="N160" s="413"/>
      <c r="O160" s="413"/>
      <c r="P160" s="413"/>
      <c r="Q160" s="413"/>
      <c r="R160" s="413"/>
      <c r="S160" s="413"/>
      <c r="T160" s="413"/>
      <c r="U160" s="413"/>
      <c r="V160" s="413"/>
      <c r="W160" s="413"/>
      <c r="X160" s="570">
        <v>1</v>
      </c>
      <c r="Y160" s="1320"/>
    </row>
    <row r="161" spans="1:25" hidden="1">
      <c r="A161" s="428" t="s">
        <v>6268</v>
      </c>
      <c r="B161" s="413" t="s">
        <v>143</v>
      </c>
      <c r="C161" s="413" t="s">
        <v>8430</v>
      </c>
      <c r="D161" s="413" t="s">
        <v>307</v>
      </c>
      <c r="E161" s="413" t="s">
        <v>8431</v>
      </c>
      <c r="F161" s="413"/>
      <c r="G161" s="413"/>
      <c r="H161" s="413"/>
      <c r="I161" s="413"/>
      <c r="J161" s="413"/>
      <c r="K161" s="413"/>
      <c r="L161" s="413"/>
      <c r="M161" s="413"/>
      <c r="N161" s="413"/>
      <c r="O161" s="413"/>
      <c r="P161" s="413"/>
      <c r="Q161" s="413"/>
      <c r="R161" s="413"/>
      <c r="S161" s="413"/>
      <c r="T161" s="413"/>
      <c r="U161" s="413"/>
      <c r="V161" s="413"/>
      <c r="W161" s="413"/>
      <c r="X161" s="570">
        <v>1</v>
      </c>
      <c r="Y161" s="1320"/>
    </row>
    <row r="162" spans="1:25" hidden="1">
      <c r="A162" s="428" t="s">
        <v>6268</v>
      </c>
      <c r="B162" s="413" t="s">
        <v>143</v>
      </c>
      <c r="C162" s="413" t="s">
        <v>8432</v>
      </c>
      <c r="D162" s="413" t="s">
        <v>307</v>
      </c>
      <c r="E162" s="413" t="s">
        <v>8433</v>
      </c>
      <c r="F162" s="413"/>
      <c r="G162" s="413"/>
      <c r="H162" s="413"/>
      <c r="I162" s="413"/>
      <c r="J162" s="413"/>
      <c r="K162" s="413"/>
      <c r="L162" s="413"/>
      <c r="M162" s="413"/>
      <c r="N162" s="413"/>
      <c r="O162" s="413"/>
      <c r="P162" s="413"/>
      <c r="Q162" s="413"/>
      <c r="R162" s="413"/>
      <c r="S162" s="413"/>
      <c r="T162" s="413"/>
      <c r="U162" s="413"/>
      <c r="V162" s="413"/>
      <c r="W162" s="413"/>
      <c r="X162" s="570">
        <v>1</v>
      </c>
      <c r="Y162" s="1320"/>
    </row>
    <row r="163" spans="1:25" hidden="1">
      <c r="A163" s="428" t="s">
        <v>6268</v>
      </c>
      <c r="B163" s="413" t="s">
        <v>143</v>
      </c>
      <c r="C163" s="413" t="s">
        <v>8434</v>
      </c>
      <c r="D163" s="413" t="s">
        <v>307</v>
      </c>
      <c r="E163" s="413" t="s">
        <v>8435</v>
      </c>
      <c r="F163" s="413"/>
      <c r="G163" s="413"/>
      <c r="H163" s="413"/>
      <c r="I163" s="413"/>
      <c r="J163" s="413"/>
      <c r="K163" s="413"/>
      <c r="L163" s="413"/>
      <c r="M163" s="413"/>
      <c r="N163" s="413"/>
      <c r="O163" s="413"/>
      <c r="P163" s="413"/>
      <c r="Q163" s="413"/>
      <c r="R163" s="413"/>
      <c r="S163" s="413"/>
      <c r="T163" s="413"/>
      <c r="U163" s="413"/>
      <c r="V163" s="413"/>
      <c r="W163" s="413"/>
      <c r="X163" s="570">
        <v>1</v>
      </c>
      <c r="Y163" s="1320"/>
    </row>
    <row r="164" spans="1:25" hidden="1">
      <c r="A164" s="428" t="s">
        <v>6268</v>
      </c>
      <c r="B164" s="413" t="s">
        <v>143</v>
      </c>
      <c r="C164" s="413" t="s">
        <v>8436</v>
      </c>
      <c r="D164" s="413" t="s">
        <v>307</v>
      </c>
      <c r="E164" s="413" t="s">
        <v>8437</v>
      </c>
      <c r="F164" s="413"/>
      <c r="G164" s="413"/>
      <c r="H164" s="413"/>
      <c r="I164" s="413"/>
      <c r="J164" s="413"/>
      <c r="K164" s="413"/>
      <c r="L164" s="413"/>
      <c r="M164" s="413"/>
      <c r="N164" s="413"/>
      <c r="O164" s="413"/>
      <c r="P164" s="413"/>
      <c r="Q164" s="413"/>
      <c r="R164" s="413"/>
      <c r="S164" s="413"/>
      <c r="T164" s="413"/>
      <c r="U164" s="413"/>
      <c r="V164" s="413"/>
      <c r="W164" s="413"/>
      <c r="X164" s="570">
        <v>1</v>
      </c>
      <c r="Y164" s="1320"/>
    </row>
    <row r="165" spans="1:25" hidden="1">
      <c r="A165" s="428" t="s">
        <v>6268</v>
      </c>
      <c r="B165" s="413" t="s">
        <v>143</v>
      </c>
      <c r="C165" s="413" t="s">
        <v>8438</v>
      </c>
      <c r="D165" s="413" t="s">
        <v>307</v>
      </c>
      <c r="E165" s="413" t="s">
        <v>8439</v>
      </c>
      <c r="F165" s="413"/>
      <c r="G165" s="413"/>
      <c r="H165" s="413"/>
      <c r="I165" s="413"/>
      <c r="J165" s="413"/>
      <c r="K165" s="413"/>
      <c r="L165" s="413"/>
      <c r="M165" s="413"/>
      <c r="N165" s="413"/>
      <c r="O165" s="413"/>
      <c r="P165" s="413"/>
      <c r="Q165" s="413"/>
      <c r="R165" s="413"/>
      <c r="S165" s="413"/>
      <c r="T165" s="413"/>
      <c r="U165" s="413"/>
      <c r="V165" s="413"/>
      <c r="W165" s="413"/>
      <c r="X165" s="570">
        <v>1</v>
      </c>
      <c r="Y165" s="1320"/>
    </row>
    <row r="166" spans="1:25" hidden="1">
      <c r="A166" s="428" t="s">
        <v>6268</v>
      </c>
      <c r="B166" s="413" t="s">
        <v>143</v>
      </c>
      <c r="C166" s="413" t="s">
        <v>8440</v>
      </c>
      <c r="D166" s="413" t="s">
        <v>307</v>
      </c>
      <c r="E166" s="413" t="s">
        <v>8441</v>
      </c>
      <c r="F166" s="413"/>
      <c r="G166" s="413"/>
      <c r="H166" s="413"/>
      <c r="I166" s="413"/>
      <c r="J166" s="413"/>
      <c r="K166" s="413"/>
      <c r="L166" s="413"/>
      <c r="M166" s="413"/>
      <c r="N166" s="413"/>
      <c r="O166" s="413"/>
      <c r="P166" s="413"/>
      <c r="Q166" s="413"/>
      <c r="R166" s="413"/>
      <c r="S166" s="413"/>
      <c r="T166" s="413"/>
      <c r="U166" s="413"/>
      <c r="V166" s="413"/>
      <c r="W166" s="413"/>
      <c r="X166" s="570">
        <v>1</v>
      </c>
      <c r="Y166" s="1320"/>
    </row>
    <row r="167" spans="1:25" hidden="1">
      <c r="A167" s="428" t="s">
        <v>6268</v>
      </c>
      <c r="B167" s="413" t="s">
        <v>143</v>
      </c>
      <c r="C167" s="413" t="s">
        <v>8442</v>
      </c>
      <c r="D167" s="413" t="s">
        <v>307</v>
      </c>
      <c r="E167" s="413" t="s">
        <v>8443</v>
      </c>
      <c r="F167" s="413"/>
      <c r="G167" s="413"/>
      <c r="H167" s="413"/>
      <c r="I167" s="413"/>
      <c r="J167" s="413"/>
      <c r="K167" s="413"/>
      <c r="L167" s="413"/>
      <c r="M167" s="413"/>
      <c r="N167" s="413"/>
      <c r="O167" s="413"/>
      <c r="P167" s="413"/>
      <c r="Q167" s="413"/>
      <c r="R167" s="413"/>
      <c r="S167" s="413"/>
      <c r="T167" s="413"/>
      <c r="U167" s="413"/>
      <c r="V167" s="413"/>
      <c r="W167" s="413"/>
      <c r="X167" s="570">
        <v>1</v>
      </c>
      <c r="Y167" s="1320"/>
    </row>
    <row r="168" spans="1:25" hidden="1">
      <c r="A168" s="428" t="s">
        <v>6268</v>
      </c>
      <c r="B168" s="413" t="s">
        <v>143</v>
      </c>
      <c r="C168" s="413" t="s">
        <v>8444</v>
      </c>
      <c r="D168" s="413" t="s">
        <v>307</v>
      </c>
      <c r="E168" s="413" t="s">
        <v>8445</v>
      </c>
      <c r="F168" s="413"/>
      <c r="G168" s="413"/>
      <c r="H168" s="413"/>
      <c r="I168" s="413"/>
      <c r="J168" s="413"/>
      <c r="K168" s="413"/>
      <c r="L168" s="413"/>
      <c r="M168" s="413"/>
      <c r="N168" s="413"/>
      <c r="O168" s="413"/>
      <c r="P168" s="413"/>
      <c r="Q168" s="413"/>
      <c r="R168" s="413"/>
      <c r="S168" s="413"/>
      <c r="T168" s="413"/>
      <c r="U168" s="413"/>
      <c r="V168" s="413"/>
      <c r="W168" s="413"/>
      <c r="X168" s="570">
        <v>1</v>
      </c>
      <c r="Y168" s="1320"/>
    </row>
    <row r="169" spans="1:25" hidden="1">
      <c r="A169" s="428" t="s">
        <v>6268</v>
      </c>
      <c r="B169" s="413" t="s">
        <v>143</v>
      </c>
      <c r="C169" s="413" t="s">
        <v>8446</v>
      </c>
      <c r="D169" s="413" t="s">
        <v>307</v>
      </c>
      <c r="E169" s="413" t="s">
        <v>8447</v>
      </c>
      <c r="F169" s="413"/>
      <c r="G169" s="413"/>
      <c r="H169" s="413"/>
      <c r="I169" s="413"/>
      <c r="J169" s="413"/>
      <c r="K169" s="413"/>
      <c r="L169" s="413"/>
      <c r="M169" s="413"/>
      <c r="N169" s="413"/>
      <c r="O169" s="413"/>
      <c r="P169" s="413"/>
      <c r="Q169" s="413"/>
      <c r="R169" s="413"/>
      <c r="S169" s="413"/>
      <c r="T169" s="413"/>
      <c r="U169" s="413"/>
      <c r="V169" s="413"/>
      <c r="W169" s="413"/>
      <c r="X169" s="570">
        <v>1</v>
      </c>
      <c r="Y169" s="1320"/>
    </row>
    <row r="170" spans="1:25" hidden="1">
      <c r="A170" s="428" t="s">
        <v>6268</v>
      </c>
      <c r="B170" s="413" t="s">
        <v>143</v>
      </c>
      <c r="C170" s="413" t="s">
        <v>8448</v>
      </c>
      <c r="D170" s="413" t="s">
        <v>307</v>
      </c>
      <c r="E170" s="413" t="s">
        <v>8449</v>
      </c>
      <c r="F170" s="413"/>
      <c r="G170" s="413"/>
      <c r="H170" s="413"/>
      <c r="I170" s="413"/>
      <c r="J170" s="413"/>
      <c r="K170" s="413"/>
      <c r="L170" s="413"/>
      <c r="M170" s="413"/>
      <c r="N170" s="413"/>
      <c r="O170" s="413"/>
      <c r="P170" s="413"/>
      <c r="Q170" s="413"/>
      <c r="R170" s="413"/>
      <c r="S170" s="413"/>
      <c r="T170" s="413"/>
      <c r="U170" s="413"/>
      <c r="V170" s="413"/>
      <c r="W170" s="413"/>
      <c r="X170" s="570">
        <v>1</v>
      </c>
      <c r="Y170" s="1320"/>
    </row>
    <row r="171" spans="1:25" hidden="1">
      <c r="A171" s="428" t="s">
        <v>6268</v>
      </c>
      <c r="B171" s="413" t="s">
        <v>143</v>
      </c>
      <c r="C171" s="413" t="s">
        <v>8450</v>
      </c>
      <c r="D171" s="413" t="s">
        <v>307</v>
      </c>
      <c r="E171" s="413" t="s">
        <v>8451</v>
      </c>
      <c r="F171" s="413"/>
      <c r="G171" s="413"/>
      <c r="H171" s="413"/>
      <c r="I171" s="413"/>
      <c r="J171" s="413"/>
      <c r="K171" s="413"/>
      <c r="L171" s="413"/>
      <c r="M171" s="413"/>
      <c r="N171" s="413"/>
      <c r="O171" s="413"/>
      <c r="P171" s="413"/>
      <c r="Q171" s="413"/>
      <c r="R171" s="413"/>
      <c r="S171" s="413"/>
      <c r="T171" s="413"/>
      <c r="U171" s="413"/>
      <c r="V171" s="413"/>
      <c r="W171" s="413"/>
      <c r="X171" s="570">
        <v>1</v>
      </c>
      <c r="Y171" s="1320"/>
    </row>
    <row r="172" spans="1:25" hidden="1">
      <c r="A172" s="428" t="s">
        <v>6268</v>
      </c>
      <c r="B172" s="413" t="s">
        <v>143</v>
      </c>
      <c r="C172" s="413" t="s">
        <v>8452</v>
      </c>
      <c r="D172" s="413" t="s">
        <v>307</v>
      </c>
      <c r="E172" s="413" t="s">
        <v>8453</v>
      </c>
      <c r="F172" s="413"/>
      <c r="G172" s="413"/>
      <c r="H172" s="413"/>
      <c r="I172" s="413"/>
      <c r="J172" s="413"/>
      <c r="K172" s="413"/>
      <c r="L172" s="413"/>
      <c r="M172" s="413"/>
      <c r="N172" s="413"/>
      <c r="O172" s="413"/>
      <c r="P172" s="413"/>
      <c r="Q172" s="413"/>
      <c r="R172" s="413"/>
      <c r="S172" s="413"/>
      <c r="T172" s="413"/>
      <c r="U172" s="413"/>
      <c r="V172" s="413"/>
      <c r="W172" s="413"/>
      <c r="X172" s="570">
        <v>1</v>
      </c>
      <c r="Y172" s="1320"/>
    </row>
    <row r="173" spans="1:25" hidden="1">
      <c r="A173" s="428" t="s">
        <v>6268</v>
      </c>
      <c r="B173" s="413" t="s">
        <v>143</v>
      </c>
      <c r="C173" s="413" t="s">
        <v>8454</v>
      </c>
      <c r="D173" s="413" t="s">
        <v>307</v>
      </c>
      <c r="E173" s="413" t="s">
        <v>8455</v>
      </c>
      <c r="F173" s="413"/>
      <c r="G173" s="413"/>
      <c r="H173" s="413"/>
      <c r="I173" s="413"/>
      <c r="J173" s="413"/>
      <c r="K173" s="413"/>
      <c r="L173" s="413"/>
      <c r="M173" s="413"/>
      <c r="N173" s="413"/>
      <c r="O173" s="413"/>
      <c r="P173" s="413"/>
      <c r="Q173" s="413"/>
      <c r="R173" s="413"/>
      <c r="S173" s="413"/>
      <c r="T173" s="413"/>
      <c r="U173" s="413"/>
      <c r="V173" s="413"/>
      <c r="W173" s="413"/>
      <c r="X173" s="570">
        <v>1</v>
      </c>
      <c r="Y173" s="1320"/>
    </row>
    <row r="174" spans="1:25" hidden="1">
      <c r="A174" s="430" t="s">
        <v>6268</v>
      </c>
      <c r="B174" s="425" t="s">
        <v>143</v>
      </c>
      <c r="C174" s="425" t="s">
        <v>8420</v>
      </c>
      <c r="D174" s="425" t="s">
        <v>307</v>
      </c>
      <c r="E174" s="425" t="s">
        <v>8456</v>
      </c>
      <c r="F174" s="425"/>
      <c r="G174" s="425"/>
      <c r="H174" s="425"/>
      <c r="I174" s="425"/>
      <c r="J174" s="425"/>
      <c r="K174" s="425"/>
      <c r="L174" s="425"/>
      <c r="M174" s="425"/>
      <c r="N174" s="425"/>
      <c r="O174" s="425"/>
      <c r="P174" s="425"/>
      <c r="Q174" s="425"/>
      <c r="R174" s="425"/>
      <c r="S174" s="425"/>
      <c r="T174" s="425"/>
      <c r="U174" s="425"/>
      <c r="V174" s="425"/>
      <c r="W174" s="425"/>
      <c r="X174" s="571">
        <v>1</v>
      </c>
      <c r="Y174" s="1321"/>
    </row>
    <row r="175" spans="1:25" hidden="1">
      <c r="A175" s="426" t="s">
        <v>8457</v>
      </c>
      <c r="B175" s="414" t="s">
        <v>194</v>
      </c>
      <c r="C175" s="414" t="s">
        <v>8458</v>
      </c>
      <c r="D175" s="414" t="s">
        <v>8459</v>
      </c>
      <c r="E175" s="414" t="s">
        <v>2281</v>
      </c>
      <c r="F175" s="414"/>
      <c r="G175" s="414"/>
      <c r="H175" s="414"/>
      <c r="I175" s="414"/>
      <c r="J175" s="414"/>
      <c r="K175" s="414"/>
      <c r="L175" s="414"/>
      <c r="M175" s="414"/>
      <c r="N175" s="414"/>
      <c r="O175" s="414"/>
      <c r="P175" s="414"/>
      <c r="Q175" s="414"/>
      <c r="R175" s="414"/>
      <c r="S175" s="414"/>
      <c r="T175" s="414"/>
      <c r="U175" s="414"/>
      <c r="V175" s="414"/>
      <c r="W175" s="414"/>
      <c r="X175" s="569">
        <v>1</v>
      </c>
      <c r="Y175" s="1322" t="s">
        <v>8460</v>
      </c>
    </row>
    <row r="176" spans="1:25" hidden="1">
      <c r="A176" s="428" t="s">
        <v>8457</v>
      </c>
      <c r="B176" s="413" t="s">
        <v>194</v>
      </c>
      <c r="C176" s="413" t="s">
        <v>8458</v>
      </c>
      <c r="D176" s="413" t="s">
        <v>8459</v>
      </c>
      <c r="E176" s="413" t="s">
        <v>8461</v>
      </c>
      <c r="F176" s="413"/>
      <c r="G176" s="413"/>
      <c r="H176" s="413"/>
      <c r="I176" s="413"/>
      <c r="J176" s="413"/>
      <c r="K176" s="413"/>
      <c r="L176" s="413"/>
      <c r="M176" s="413"/>
      <c r="N176" s="413"/>
      <c r="O176" s="413"/>
      <c r="P176" s="413"/>
      <c r="Q176" s="413"/>
      <c r="R176" s="413"/>
      <c r="S176" s="413"/>
      <c r="T176" s="413"/>
      <c r="U176" s="413"/>
      <c r="V176" s="413"/>
      <c r="W176" s="413"/>
      <c r="X176" s="570">
        <v>1</v>
      </c>
      <c r="Y176" s="1323"/>
    </row>
    <row r="177" spans="1:25" hidden="1">
      <c r="A177" s="428" t="s">
        <v>8457</v>
      </c>
      <c r="B177" s="413" t="s">
        <v>194</v>
      </c>
      <c r="C177" s="413" t="s">
        <v>8462</v>
      </c>
      <c r="D177" s="413" t="s">
        <v>8459</v>
      </c>
      <c r="E177" s="413" t="s">
        <v>2290</v>
      </c>
      <c r="F177" s="413"/>
      <c r="G177" s="413"/>
      <c r="H177" s="413"/>
      <c r="I177" s="413"/>
      <c r="J177" s="413"/>
      <c r="K177" s="413"/>
      <c r="L177" s="413"/>
      <c r="M177" s="413"/>
      <c r="N177" s="413"/>
      <c r="O177" s="413"/>
      <c r="P177" s="413"/>
      <c r="Q177" s="413"/>
      <c r="R177" s="413"/>
      <c r="S177" s="413"/>
      <c r="T177" s="413"/>
      <c r="U177" s="413"/>
      <c r="V177" s="413"/>
      <c r="W177" s="413"/>
      <c r="X177" s="570">
        <v>1</v>
      </c>
      <c r="Y177" s="1323"/>
    </row>
    <row r="178" spans="1:25" hidden="1">
      <c r="A178" s="430" t="s">
        <v>8457</v>
      </c>
      <c r="B178" s="425" t="s">
        <v>194</v>
      </c>
      <c r="C178" s="425" t="s">
        <v>8462</v>
      </c>
      <c r="D178" s="425" t="s">
        <v>8459</v>
      </c>
      <c r="E178" s="425" t="s">
        <v>8463</v>
      </c>
      <c r="F178" s="425"/>
      <c r="G178" s="425"/>
      <c r="H178" s="425"/>
      <c r="I178" s="425"/>
      <c r="J178" s="425"/>
      <c r="K178" s="425"/>
      <c r="L178" s="425"/>
      <c r="M178" s="425"/>
      <c r="N178" s="425"/>
      <c r="O178" s="425"/>
      <c r="P178" s="425"/>
      <c r="Q178" s="425"/>
      <c r="R178" s="425"/>
      <c r="S178" s="425"/>
      <c r="T178" s="425"/>
      <c r="U178" s="425"/>
      <c r="V178" s="425"/>
      <c r="W178" s="425"/>
      <c r="X178" s="571">
        <v>1</v>
      </c>
      <c r="Y178" s="1323"/>
    </row>
    <row r="179" spans="1:25" s="49" customFormat="1" ht="15" hidden="1" customHeight="1">
      <c r="A179" s="742" t="s">
        <v>6268</v>
      </c>
      <c r="B179" s="743" t="s">
        <v>155</v>
      </c>
      <c r="C179" s="743" t="s">
        <v>8464</v>
      </c>
      <c r="D179" s="744" t="s">
        <v>8465</v>
      </c>
      <c r="E179" s="743" t="s">
        <v>8466</v>
      </c>
      <c r="F179" s="743" t="s">
        <v>8467</v>
      </c>
      <c r="G179" s="743" t="s">
        <v>8468</v>
      </c>
      <c r="H179" s="743"/>
      <c r="I179" s="743"/>
      <c r="J179" s="743"/>
      <c r="K179" s="743"/>
      <c r="L179" s="743"/>
      <c r="M179" s="743"/>
      <c r="N179" s="743"/>
      <c r="O179" s="743"/>
      <c r="P179" s="743"/>
      <c r="Q179" s="743"/>
      <c r="R179" s="743"/>
      <c r="S179" s="743"/>
      <c r="T179" s="743"/>
      <c r="U179" s="743"/>
      <c r="V179" s="743"/>
      <c r="W179" s="743"/>
      <c r="X179" s="745">
        <v>1</v>
      </c>
      <c r="Y179" s="1324" t="s">
        <v>8469</v>
      </c>
    </row>
    <row r="180" spans="1:25" s="49" customFormat="1" hidden="1">
      <c r="A180" s="746" t="s">
        <v>6268</v>
      </c>
      <c r="B180" s="747" t="s">
        <v>155</v>
      </c>
      <c r="C180" s="748" t="s">
        <v>8470</v>
      </c>
      <c r="D180" s="740" t="s">
        <v>8465</v>
      </c>
      <c r="E180" s="741" t="s">
        <v>8466</v>
      </c>
      <c r="F180" s="747"/>
      <c r="G180" s="747"/>
      <c r="H180" s="747" t="s">
        <v>8471</v>
      </c>
      <c r="I180" s="747" t="s">
        <v>8472</v>
      </c>
      <c r="J180" s="747"/>
      <c r="K180" s="747"/>
      <c r="L180" s="747"/>
      <c r="M180" s="747"/>
      <c r="N180" s="747"/>
      <c r="O180" s="747"/>
      <c r="P180" s="747"/>
      <c r="Q180" s="747"/>
      <c r="R180" s="747"/>
      <c r="S180" s="747"/>
      <c r="T180" s="747"/>
      <c r="U180" s="747"/>
      <c r="V180" s="747"/>
      <c r="W180" s="747"/>
      <c r="X180" s="748">
        <v>1</v>
      </c>
      <c r="Y180" s="1325"/>
    </row>
    <row r="181" spans="1:25" s="49" customFormat="1" hidden="1">
      <c r="A181" s="746" t="s">
        <v>6268</v>
      </c>
      <c r="B181" s="747" t="s">
        <v>155</v>
      </c>
      <c r="C181" s="748" t="s">
        <v>8473</v>
      </c>
      <c r="D181" s="740" t="s">
        <v>8465</v>
      </c>
      <c r="E181" s="741" t="s">
        <v>8466</v>
      </c>
      <c r="F181" s="747"/>
      <c r="G181" s="747"/>
      <c r="H181" s="747" t="s">
        <v>8471</v>
      </c>
      <c r="I181" s="747" t="s">
        <v>8474</v>
      </c>
      <c r="J181" s="747"/>
      <c r="K181" s="747"/>
      <c r="L181" s="747"/>
      <c r="M181" s="747"/>
      <c r="N181" s="747"/>
      <c r="O181" s="747"/>
      <c r="P181" s="747"/>
      <c r="Q181" s="747"/>
      <c r="R181" s="747"/>
      <c r="S181" s="747"/>
      <c r="T181" s="747"/>
      <c r="U181" s="747"/>
      <c r="V181" s="747"/>
      <c r="W181" s="747"/>
      <c r="X181" s="748">
        <v>1</v>
      </c>
      <c r="Y181" s="1325"/>
    </row>
    <row r="182" spans="1:25" s="757" customFormat="1" hidden="1">
      <c r="A182" s="753" t="s">
        <v>6268</v>
      </c>
      <c r="B182" s="754" t="s">
        <v>155</v>
      </c>
      <c r="C182" s="755" t="s">
        <v>8473</v>
      </c>
      <c r="D182" s="754"/>
      <c r="E182" s="756"/>
      <c r="F182" s="754"/>
      <c r="G182" s="754"/>
      <c r="H182" s="754" t="s">
        <v>8471</v>
      </c>
      <c r="I182" s="754" t="s">
        <v>8924</v>
      </c>
      <c r="J182" s="754"/>
      <c r="K182" s="754"/>
      <c r="L182" s="754"/>
      <c r="M182" s="754"/>
      <c r="N182" s="754"/>
      <c r="O182" s="754"/>
      <c r="P182" s="754"/>
      <c r="Q182" s="754"/>
      <c r="R182" s="754"/>
      <c r="S182" s="754"/>
      <c r="T182" s="754"/>
      <c r="U182" s="754"/>
      <c r="V182" s="754"/>
      <c r="W182" s="754"/>
      <c r="X182" s="755">
        <v>1</v>
      </c>
      <c r="Y182" s="1325"/>
    </row>
    <row r="183" spans="1:25" s="49" customFormat="1" hidden="1">
      <c r="A183" s="746" t="s">
        <v>6268</v>
      </c>
      <c r="B183" s="747" t="s">
        <v>155</v>
      </c>
      <c r="C183" s="748" t="s">
        <v>8473</v>
      </c>
      <c r="D183" s="747" t="s">
        <v>8465</v>
      </c>
      <c r="E183" s="639" t="s">
        <v>8475</v>
      </c>
      <c r="F183" s="747"/>
      <c r="G183" s="747"/>
      <c r="H183" s="747"/>
      <c r="I183" s="747"/>
      <c r="J183" s="747"/>
      <c r="K183" s="747"/>
      <c r="L183" s="747"/>
      <c r="M183" s="747"/>
      <c r="N183" s="747"/>
      <c r="O183" s="747"/>
      <c r="P183" s="747"/>
      <c r="Q183" s="747"/>
      <c r="R183" s="747"/>
      <c r="S183" s="747"/>
      <c r="T183" s="747"/>
      <c r="U183" s="747"/>
      <c r="V183" s="747"/>
      <c r="W183" s="747"/>
      <c r="X183" s="748">
        <v>1</v>
      </c>
      <c r="Y183" s="1325"/>
    </row>
    <row r="184" spans="1:25" s="49" customFormat="1" hidden="1">
      <c r="A184" s="746" t="s">
        <v>6268</v>
      </c>
      <c r="B184" s="747" t="s">
        <v>155</v>
      </c>
      <c r="C184" s="748" t="s">
        <v>8476</v>
      </c>
      <c r="D184" s="747" t="s">
        <v>8465</v>
      </c>
      <c r="E184" s="639" t="s">
        <v>8477</v>
      </c>
      <c r="F184" s="747"/>
      <c r="G184" s="747"/>
      <c r="H184" s="747"/>
      <c r="I184" s="747"/>
      <c r="J184" s="747"/>
      <c r="K184" s="747"/>
      <c r="L184" s="747"/>
      <c r="M184" s="747"/>
      <c r="N184" s="747"/>
      <c r="O184" s="747"/>
      <c r="P184" s="747"/>
      <c r="Q184" s="747"/>
      <c r="R184" s="747"/>
      <c r="S184" s="747"/>
      <c r="T184" s="747"/>
      <c r="U184" s="747"/>
      <c r="V184" s="747"/>
      <c r="W184" s="747"/>
      <c r="X184" s="748">
        <v>1</v>
      </c>
      <c r="Y184" s="1325"/>
    </row>
    <row r="185" spans="1:25" s="49" customFormat="1" hidden="1">
      <c r="A185" s="746" t="s">
        <v>6268</v>
      </c>
      <c r="B185" s="747" t="s">
        <v>155</v>
      </c>
      <c r="C185" s="748" t="s">
        <v>8476</v>
      </c>
      <c r="D185" s="747" t="s">
        <v>8465</v>
      </c>
      <c r="E185" s="639" t="s">
        <v>8478</v>
      </c>
      <c r="F185" s="747"/>
      <c r="G185" s="747"/>
      <c r="H185" s="747"/>
      <c r="I185" s="747"/>
      <c r="J185" s="747"/>
      <c r="K185" s="747"/>
      <c r="L185" s="747"/>
      <c r="M185" s="747"/>
      <c r="N185" s="747"/>
      <c r="O185" s="747"/>
      <c r="P185" s="747"/>
      <c r="Q185" s="747"/>
      <c r="R185" s="747"/>
      <c r="S185" s="747"/>
      <c r="T185" s="747"/>
      <c r="U185" s="747"/>
      <c r="V185" s="747"/>
      <c r="W185" s="747"/>
      <c r="X185" s="748">
        <v>1</v>
      </c>
      <c r="Y185" s="1325"/>
    </row>
    <row r="186" spans="1:25" s="49" customFormat="1" hidden="1">
      <c r="A186" s="746" t="s">
        <v>6268</v>
      </c>
      <c r="B186" s="747" t="s">
        <v>155</v>
      </c>
      <c r="C186" s="748" t="s">
        <v>8476</v>
      </c>
      <c r="D186" s="747" t="s">
        <v>8465</v>
      </c>
      <c r="E186" s="639" t="s">
        <v>8479</v>
      </c>
      <c r="F186" s="747"/>
      <c r="G186" s="747"/>
      <c r="H186" s="747"/>
      <c r="I186" s="747"/>
      <c r="J186" s="747"/>
      <c r="K186" s="747"/>
      <c r="L186" s="747"/>
      <c r="M186" s="747"/>
      <c r="N186" s="747"/>
      <c r="O186" s="747"/>
      <c r="P186" s="747"/>
      <c r="Q186" s="747"/>
      <c r="R186" s="747"/>
      <c r="S186" s="747"/>
      <c r="T186" s="747"/>
      <c r="U186" s="747"/>
      <c r="V186" s="747"/>
      <c r="W186" s="747"/>
      <c r="X186" s="748">
        <v>1</v>
      </c>
      <c r="Y186" s="1325"/>
    </row>
    <row r="187" spans="1:25" s="49" customFormat="1" hidden="1">
      <c r="A187" s="746" t="s">
        <v>6268</v>
      </c>
      <c r="B187" s="747" t="s">
        <v>155</v>
      </c>
      <c r="C187" s="748" t="s">
        <v>8480</v>
      </c>
      <c r="D187" s="747" t="s">
        <v>8465</v>
      </c>
      <c r="E187" s="639" t="s">
        <v>8481</v>
      </c>
      <c r="F187" s="747"/>
      <c r="G187" s="747"/>
      <c r="H187" s="747"/>
      <c r="I187" s="747"/>
      <c r="J187" s="747"/>
      <c r="K187" s="747"/>
      <c r="L187" s="747"/>
      <c r="M187" s="747"/>
      <c r="N187" s="747"/>
      <c r="O187" s="747"/>
      <c r="P187" s="747"/>
      <c r="Q187" s="747"/>
      <c r="R187" s="747"/>
      <c r="S187" s="747"/>
      <c r="T187" s="747"/>
      <c r="U187" s="747"/>
      <c r="V187" s="747"/>
      <c r="W187" s="747"/>
      <c r="X187" s="748">
        <v>1</v>
      </c>
      <c r="Y187" s="1325"/>
    </row>
    <row r="188" spans="1:25" s="49" customFormat="1" hidden="1">
      <c r="A188" s="746" t="s">
        <v>6268</v>
      </c>
      <c r="B188" s="747" t="s">
        <v>155</v>
      </c>
      <c r="C188" s="748" t="s">
        <v>8482</v>
      </c>
      <c r="D188" s="747" t="s">
        <v>8465</v>
      </c>
      <c r="E188" s="639" t="s">
        <v>8483</v>
      </c>
      <c r="F188" s="747"/>
      <c r="G188" s="747"/>
      <c r="H188" s="747"/>
      <c r="I188" s="747"/>
      <c r="J188" s="747"/>
      <c r="K188" s="747"/>
      <c r="L188" s="747"/>
      <c r="M188" s="747"/>
      <c r="N188" s="747"/>
      <c r="O188" s="747"/>
      <c r="P188" s="747"/>
      <c r="Q188" s="747"/>
      <c r="R188" s="747"/>
      <c r="S188" s="747"/>
      <c r="T188" s="747"/>
      <c r="U188" s="747"/>
      <c r="V188" s="747"/>
      <c r="W188" s="747"/>
      <c r="X188" s="748">
        <v>1</v>
      </c>
      <c r="Y188" s="1325"/>
    </row>
    <row r="189" spans="1:25" s="49" customFormat="1" hidden="1">
      <c r="A189" s="746" t="s">
        <v>6268</v>
      </c>
      <c r="B189" s="747" t="s">
        <v>155</v>
      </c>
      <c r="C189" s="748" t="s">
        <v>8484</v>
      </c>
      <c r="D189" s="747" t="s">
        <v>8465</v>
      </c>
      <c r="E189" s="639" t="s">
        <v>8485</v>
      </c>
      <c r="F189" s="747"/>
      <c r="G189" s="747"/>
      <c r="H189" s="747"/>
      <c r="I189" s="747"/>
      <c r="J189" s="747"/>
      <c r="K189" s="747"/>
      <c r="L189" s="747"/>
      <c r="M189" s="747"/>
      <c r="N189" s="747"/>
      <c r="O189" s="747"/>
      <c r="P189" s="747"/>
      <c r="Q189" s="747"/>
      <c r="R189" s="747"/>
      <c r="S189" s="747"/>
      <c r="T189" s="747"/>
      <c r="U189" s="747"/>
      <c r="V189" s="747"/>
      <c r="W189" s="747"/>
      <c r="X189" s="748">
        <v>1</v>
      </c>
      <c r="Y189" s="1325"/>
    </row>
    <row r="190" spans="1:25" s="49" customFormat="1" hidden="1">
      <c r="A190" s="746" t="s">
        <v>6268</v>
      </c>
      <c r="B190" s="747" t="s">
        <v>155</v>
      </c>
      <c r="C190" s="748" t="s">
        <v>8484</v>
      </c>
      <c r="D190" s="747" t="s">
        <v>8465</v>
      </c>
      <c r="E190" s="639" t="s">
        <v>8486</v>
      </c>
      <c r="F190" s="747"/>
      <c r="G190" s="747"/>
      <c r="H190" s="747"/>
      <c r="I190" s="747"/>
      <c r="J190" s="747"/>
      <c r="K190" s="747"/>
      <c r="L190" s="747"/>
      <c r="M190" s="747"/>
      <c r="N190" s="747"/>
      <c r="O190" s="747"/>
      <c r="P190" s="747"/>
      <c r="Q190" s="747"/>
      <c r="R190" s="747"/>
      <c r="S190" s="747"/>
      <c r="T190" s="747"/>
      <c r="U190" s="747"/>
      <c r="V190" s="747"/>
      <c r="W190" s="747"/>
      <c r="X190" s="748">
        <v>1</v>
      </c>
      <c r="Y190" s="1325"/>
    </row>
    <row r="191" spans="1:25" s="49" customFormat="1" hidden="1">
      <c r="A191" s="746" t="s">
        <v>6268</v>
      </c>
      <c r="B191" s="747" t="s">
        <v>155</v>
      </c>
      <c r="C191" s="748" t="s">
        <v>8487</v>
      </c>
      <c r="D191" s="747" t="s">
        <v>8465</v>
      </c>
      <c r="E191" s="639" t="s">
        <v>8488</v>
      </c>
      <c r="F191" s="747"/>
      <c r="G191" s="747"/>
      <c r="H191" s="747"/>
      <c r="I191" s="747"/>
      <c r="J191" s="747"/>
      <c r="K191" s="747"/>
      <c r="L191" s="747"/>
      <c r="M191" s="747"/>
      <c r="N191" s="747"/>
      <c r="O191" s="747"/>
      <c r="P191" s="747"/>
      <c r="Q191" s="747"/>
      <c r="R191" s="747"/>
      <c r="S191" s="747"/>
      <c r="T191" s="747"/>
      <c r="U191" s="747"/>
      <c r="V191" s="747"/>
      <c r="W191" s="747"/>
      <c r="X191" s="748">
        <v>1</v>
      </c>
      <c r="Y191" s="1325"/>
    </row>
    <row r="192" spans="1:25" s="49" customFormat="1" hidden="1">
      <c r="A192" s="746" t="s">
        <v>6268</v>
      </c>
      <c r="B192" s="747" t="s">
        <v>155</v>
      </c>
      <c r="C192" s="748" t="s">
        <v>8487</v>
      </c>
      <c r="D192" s="747" t="s">
        <v>8465</v>
      </c>
      <c r="E192" s="639" t="s">
        <v>8489</v>
      </c>
      <c r="F192" s="747"/>
      <c r="G192" s="747"/>
      <c r="H192" s="747"/>
      <c r="I192" s="747"/>
      <c r="J192" s="747"/>
      <c r="K192" s="747"/>
      <c r="L192" s="747"/>
      <c r="M192" s="747"/>
      <c r="N192" s="747"/>
      <c r="O192" s="747"/>
      <c r="P192" s="747"/>
      <c r="Q192" s="747"/>
      <c r="R192" s="747"/>
      <c r="S192" s="747"/>
      <c r="T192" s="747"/>
      <c r="U192" s="747"/>
      <c r="V192" s="747"/>
      <c r="W192" s="747"/>
      <c r="X192" s="748">
        <v>1</v>
      </c>
      <c r="Y192" s="1325"/>
    </row>
    <row r="193" spans="1:25" s="49" customFormat="1" hidden="1">
      <c r="A193" s="746" t="s">
        <v>6268</v>
      </c>
      <c r="B193" s="747" t="s">
        <v>155</v>
      </c>
      <c r="C193" s="748" t="s">
        <v>8490</v>
      </c>
      <c r="D193" s="747" t="s">
        <v>8465</v>
      </c>
      <c r="E193" s="639" t="s">
        <v>8491</v>
      </c>
      <c r="F193" s="747"/>
      <c r="G193" s="747"/>
      <c r="H193" s="747"/>
      <c r="I193" s="747"/>
      <c r="J193" s="747"/>
      <c r="K193" s="747"/>
      <c r="L193" s="747"/>
      <c r="M193" s="747"/>
      <c r="N193" s="747"/>
      <c r="O193" s="747"/>
      <c r="P193" s="747"/>
      <c r="Q193" s="747"/>
      <c r="R193" s="747"/>
      <c r="S193" s="747"/>
      <c r="T193" s="747"/>
      <c r="U193" s="747"/>
      <c r="V193" s="747"/>
      <c r="W193" s="747"/>
      <c r="X193" s="748">
        <v>1</v>
      </c>
      <c r="Y193" s="1325"/>
    </row>
    <row r="194" spans="1:25" s="49" customFormat="1" hidden="1">
      <c r="A194" s="749" t="s">
        <v>6268</v>
      </c>
      <c r="B194" s="750" t="s">
        <v>155</v>
      </c>
      <c r="C194" s="750" t="s">
        <v>8492</v>
      </c>
      <c r="D194" s="751" t="s">
        <v>8465</v>
      </c>
      <c r="E194" s="750" t="s">
        <v>8493</v>
      </c>
      <c r="F194" s="750"/>
      <c r="G194" s="750"/>
      <c r="H194" s="750"/>
      <c r="I194" s="750"/>
      <c r="J194" s="750"/>
      <c r="K194" s="750"/>
      <c r="L194" s="750"/>
      <c r="M194" s="750"/>
      <c r="N194" s="750"/>
      <c r="O194" s="750"/>
      <c r="P194" s="750"/>
      <c r="Q194" s="750"/>
      <c r="R194" s="750"/>
      <c r="S194" s="750"/>
      <c r="T194" s="750"/>
      <c r="U194" s="750"/>
      <c r="V194" s="750"/>
      <c r="W194" s="750"/>
      <c r="X194" s="752">
        <v>1</v>
      </c>
      <c r="Y194" s="1326"/>
    </row>
    <row r="195" spans="1:25" hidden="1">
      <c r="A195" s="426" t="s">
        <v>6268</v>
      </c>
      <c r="B195" s="414" t="s">
        <v>149</v>
      </c>
      <c r="C195" s="414" t="s">
        <v>8494</v>
      </c>
      <c r="D195" s="414" t="s">
        <v>8495</v>
      </c>
      <c r="E195" s="658" t="s">
        <v>8496</v>
      </c>
      <c r="F195" s="414"/>
      <c r="G195" s="414"/>
      <c r="H195" s="414"/>
      <c r="I195" s="414"/>
      <c r="J195" s="414"/>
      <c r="K195" s="414"/>
      <c r="L195" s="414"/>
      <c r="M195" s="414"/>
      <c r="N195" s="414"/>
      <c r="O195" s="414"/>
      <c r="P195" s="414"/>
      <c r="Q195" s="414"/>
      <c r="R195" s="414"/>
      <c r="S195" s="414"/>
      <c r="T195" s="414"/>
      <c r="U195" s="414"/>
      <c r="V195" s="414"/>
      <c r="W195" s="414"/>
      <c r="X195" s="574">
        <v>1</v>
      </c>
      <c r="Y195" s="1314" t="s">
        <v>8497</v>
      </c>
    </row>
    <row r="196" spans="1:25" hidden="1">
      <c r="A196" s="428" t="s">
        <v>6268</v>
      </c>
      <c r="B196" s="413" t="s">
        <v>149</v>
      </c>
      <c r="C196" s="413" t="s">
        <v>8498</v>
      </c>
      <c r="D196" s="413" t="s">
        <v>8495</v>
      </c>
      <c r="E196" s="657" t="s">
        <v>8499</v>
      </c>
      <c r="F196" s="413"/>
      <c r="G196" s="413"/>
      <c r="H196" s="413"/>
      <c r="I196" s="413"/>
      <c r="J196" s="413"/>
      <c r="K196" s="413"/>
      <c r="L196" s="413"/>
      <c r="M196" s="413"/>
      <c r="N196" s="413"/>
      <c r="O196" s="413"/>
      <c r="P196" s="413"/>
      <c r="Q196" s="413"/>
      <c r="R196" s="413"/>
      <c r="S196" s="413"/>
      <c r="T196" s="413"/>
      <c r="U196" s="413"/>
      <c r="V196" s="413"/>
      <c r="W196" s="413"/>
      <c r="X196" s="575">
        <v>1</v>
      </c>
      <c r="Y196" s="1315"/>
    </row>
    <row r="197" spans="1:25" hidden="1">
      <c r="A197" s="428" t="s">
        <v>6268</v>
      </c>
      <c r="B197" s="413" t="s">
        <v>149</v>
      </c>
      <c r="C197" s="413" t="s">
        <v>8500</v>
      </c>
      <c r="D197" s="413" t="s">
        <v>8495</v>
      </c>
      <c r="E197" s="656" t="s">
        <v>8501</v>
      </c>
      <c r="F197" s="425"/>
      <c r="G197" s="425"/>
      <c r="H197" s="425"/>
      <c r="I197" s="425"/>
      <c r="J197" s="425"/>
      <c r="K197" s="425"/>
      <c r="L197" s="425"/>
      <c r="M197" s="425"/>
      <c r="N197" s="425"/>
      <c r="O197" s="425"/>
      <c r="P197" s="425"/>
      <c r="Q197" s="425"/>
      <c r="R197" s="425"/>
      <c r="S197" s="425"/>
      <c r="T197" s="425"/>
      <c r="U197" s="425"/>
      <c r="V197" s="425"/>
      <c r="W197" s="425"/>
      <c r="X197" s="592">
        <v>1</v>
      </c>
      <c r="Y197" s="1316"/>
    </row>
    <row r="198" spans="1:25" hidden="1">
      <c r="A198" s="430" t="s">
        <v>6268</v>
      </c>
      <c r="B198" s="425" t="s">
        <v>149</v>
      </c>
      <c r="C198" s="425" t="s">
        <v>8494</v>
      </c>
      <c r="D198" s="425" t="s">
        <v>8495</v>
      </c>
      <c r="E198" s="656" t="s">
        <v>8502</v>
      </c>
      <c r="F198" s="425"/>
      <c r="G198" s="425"/>
      <c r="H198" s="425"/>
      <c r="I198" s="425"/>
      <c r="J198" s="425"/>
      <c r="K198" s="425"/>
      <c r="L198" s="425"/>
      <c r="M198" s="425"/>
      <c r="N198" s="425"/>
      <c r="O198" s="425"/>
      <c r="P198" s="425"/>
      <c r="Q198" s="425"/>
      <c r="R198" s="425"/>
      <c r="S198" s="425"/>
      <c r="T198" s="425"/>
      <c r="U198" s="425"/>
      <c r="V198" s="425"/>
      <c r="W198" s="425"/>
      <c r="X198" s="592">
        <v>1</v>
      </c>
      <c r="Y198" s="1316"/>
    </row>
    <row r="199" spans="1:25" hidden="1">
      <c r="A199" s="426" t="s">
        <v>6268</v>
      </c>
      <c r="B199" s="414" t="s">
        <v>141</v>
      </c>
      <c r="C199" s="414" t="s">
        <v>4379</v>
      </c>
      <c r="D199" s="414" t="s">
        <v>8503</v>
      </c>
      <c r="E199" s="414" t="s">
        <v>8504</v>
      </c>
      <c r="F199" s="414"/>
      <c r="G199" s="414"/>
      <c r="H199" s="414"/>
      <c r="I199" s="414"/>
      <c r="J199" s="414"/>
      <c r="K199" s="414"/>
      <c r="L199" s="414"/>
      <c r="M199" s="414"/>
      <c r="N199" s="414"/>
      <c r="O199" s="414"/>
      <c r="P199" s="414"/>
      <c r="Q199" s="414"/>
      <c r="R199" s="414"/>
      <c r="S199" s="414"/>
      <c r="T199" s="414"/>
      <c r="U199" s="414"/>
      <c r="V199" s="414"/>
      <c r="W199" s="414"/>
      <c r="X199" s="574">
        <v>1</v>
      </c>
      <c r="Y199" s="1310" t="s">
        <v>8505</v>
      </c>
    </row>
    <row r="200" spans="1:25" hidden="1">
      <c r="A200" s="428" t="s">
        <v>6268</v>
      </c>
      <c r="B200" s="413" t="s">
        <v>141</v>
      </c>
      <c r="C200" s="413" t="s">
        <v>4403</v>
      </c>
      <c r="D200" s="413" t="s">
        <v>8503</v>
      </c>
      <c r="E200" s="413" t="s">
        <v>8506</v>
      </c>
      <c r="F200" s="413"/>
      <c r="G200" s="413"/>
      <c r="H200" s="413"/>
      <c r="I200" s="413"/>
      <c r="J200" s="413"/>
      <c r="K200" s="413"/>
      <c r="L200" s="413"/>
      <c r="M200" s="413"/>
      <c r="N200" s="413"/>
      <c r="O200" s="413"/>
      <c r="P200" s="413"/>
      <c r="Q200" s="413"/>
      <c r="R200" s="413"/>
      <c r="S200" s="413"/>
      <c r="T200" s="413"/>
      <c r="U200" s="413"/>
      <c r="V200" s="413"/>
      <c r="W200" s="413"/>
      <c r="X200" s="575">
        <v>1</v>
      </c>
      <c r="Y200" s="1311"/>
    </row>
    <row r="201" spans="1:25" hidden="1">
      <c r="A201" s="428" t="s">
        <v>6268</v>
      </c>
      <c r="B201" s="413" t="s">
        <v>141</v>
      </c>
      <c r="C201" s="413" t="s">
        <v>4385</v>
      </c>
      <c r="D201" s="413" t="s">
        <v>8503</v>
      </c>
      <c r="E201" s="413" t="s">
        <v>8507</v>
      </c>
      <c r="F201" s="413"/>
      <c r="G201" s="413"/>
      <c r="H201" s="413"/>
      <c r="I201" s="413"/>
      <c r="J201" s="413"/>
      <c r="K201" s="413"/>
      <c r="L201" s="413"/>
      <c r="M201" s="413"/>
      <c r="N201" s="413"/>
      <c r="O201" s="413"/>
      <c r="P201" s="413"/>
      <c r="Q201" s="413"/>
      <c r="R201" s="413"/>
      <c r="S201" s="413"/>
      <c r="T201" s="413"/>
      <c r="U201" s="413"/>
      <c r="V201" s="413"/>
      <c r="W201" s="413"/>
      <c r="X201" s="575">
        <v>1</v>
      </c>
      <c r="Y201" s="1311"/>
    </row>
    <row r="202" spans="1:25" hidden="1">
      <c r="A202" s="428" t="s">
        <v>6268</v>
      </c>
      <c r="B202" s="413" t="s">
        <v>141</v>
      </c>
      <c r="C202" s="413" t="s">
        <v>4497</v>
      </c>
      <c r="D202" s="413" t="s">
        <v>8503</v>
      </c>
      <c r="E202" s="413" t="s">
        <v>8508</v>
      </c>
      <c r="F202" s="413"/>
      <c r="G202" s="413"/>
      <c r="H202" s="413"/>
      <c r="I202" s="413"/>
      <c r="J202" s="413"/>
      <c r="K202" s="413"/>
      <c r="L202" s="413"/>
      <c r="M202" s="413"/>
      <c r="N202" s="413"/>
      <c r="O202" s="413"/>
      <c r="P202" s="413"/>
      <c r="Q202" s="413"/>
      <c r="R202" s="413"/>
      <c r="S202" s="413"/>
      <c r="T202" s="413"/>
      <c r="U202" s="413"/>
      <c r="V202" s="413"/>
      <c r="W202" s="413"/>
      <c r="X202" s="575">
        <v>1</v>
      </c>
      <c r="Y202" s="1311"/>
    </row>
    <row r="203" spans="1:25" hidden="1">
      <c r="A203" s="428" t="s">
        <v>6268</v>
      </c>
      <c r="B203" s="413" t="s">
        <v>141</v>
      </c>
      <c r="C203" s="413" t="s">
        <v>4925</v>
      </c>
      <c r="D203" s="413" t="s">
        <v>8503</v>
      </c>
      <c r="E203" s="413" t="s">
        <v>8509</v>
      </c>
      <c r="F203" s="413"/>
      <c r="G203" s="413"/>
      <c r="H203" s="413"/>
      <c r="I203" s="413"/>
      <c r="J203" s="413"/>
      <c r="K203" s="413"/>
      <c r="L203" s="413"/>
      <c r="M203" s="413"/>
      <c r="N203" s="413"/>
      <c r="O203" s="413"/>
      <c r="P203" s="413"/>
      <c r="Q203" s="413"/>
      <c r="R203" s="413"/>
      <c r="S203" s="413"/>
      <c r="T203" s="413"/>
      <c r="U203" s="413"/>
      <c r="V203" s="413"/>
      <c r="W203" s="413"/>
      <c r="X203" s="575">
        <v>1</v>
      </c>
      <c r="Y203" s="1311"/>
    </row>
    <row r="204" spans="1:25" hidden="1">
      <c r="A204" s="428" t="s">
        <v>6268</v>
      </c>
      <c r="B204" s="413" t="s">
        <v>141</v>
      </c>
      <c r="C204" s="413" t="s">
        <v>4395</v>
      </c>
      <c r="D204" s="413" t="s">
        <v>8503</v>
      </c>
      <c r="E204" s="413" t="s">
        <v>8510</v>
      </c>
      <c r="F204" s="413"/>
      <c r="G204" s="413"/>
      <c r="H204" s="413"/>
      <c r="I204" s="413"/>
      <c r="J204" s="413"/>
      <c r="K204" s="413"/>
      <c r="L204" s="413"/>
      <c r="M204" s="413"/>
      <c r="N204" s="413"/>
      <c r="O204" s="413"/>
      <c r="P204" s="413"/>
      <c r="Q204" s="413"/>
      <c r="R204" s="413"/>
      <c r="S204" s="413"/>
      <c r="T204" s="413"/>
      <c r="U204" s="413"/>
      <c r="V204" s="413"/>
      <c r="W204" s="413"/>
      <c r="X204" s="575">
        <v>1</v>
      </c>
      <c r="Y204" s="1311"/>
    </row>
    <row r="205" spans="1:25" hidden="1">
      <c r="A205" s="428" t="s">
        <v>6268</v>
      </c>
      <c r="B205" s="413" t="s">
        <v>141</v>
      </c>
      <c r="C205" s="413" t="s">
        <v>4374</v>
      </c>
      <c r="D205" s="413" t="s">
        <v>8503</v>
      </c>
      <c r="E205" s="413" t="s">
        <v>8511</v>
      </c>
      <c r="F205" s="413"/>
      <c r="G205" s="413"/>
      <c r="H205" s="413"/>
      <c r="I205" s="413"/>
      <c r="J205" s="413"/>
      <c r="K205" s="413"/>
      <c r="L205" s="413"/>
      <c r="M205" s="413"/>
      <c r="N205" s="413"/>
      <c r="O205" s="413"/>
      <c r="P205" s="413"/>
      <c r="Q205" s="413"/>
      <c r="R205" s="413"/>
      <c r="S205" s="413"/>
      <c r="T205" s="413"/>
      <c r="U205" s="413"/>
      <c r="V205" s="413"/>
      <c r="W205" s="413"/>
      <c r="X205" s="575">
        <v>1</v>
      </c>
      <c r="Y205" s="1311"/>
    </row>
    <row r="206" spans="1:25" hidden="1">
      <c r="A206" s="428" t="s">
        <v>6268</v>
      </c>
      <c r="B206" s="413" t="s">
        <v>141</v>
      </c>
      <c r="C206" s="413" t="s">
        <v>4389</v>
      </c>
      <c r="D206" s="413" t="s">
        <v>8503</v>
      </c>
      <c r="E206" s="413" t="s">
        <v>8512</v>
      </c>
      <c r="F206" s="413"/>
      <c r="G206" s="413"/>
      <c r="H206" s="413"/>
      <c r="I206" s="413"/>
      <c r="J206" s="413"/>
      <c r="K206" s="413"/>
      <c r="L206" s="413"/>
      <c r="M206" s="413"/>
      <c r="N206" s="413"/>
      <c r="O206" s="413"/>
      <c r="P206" s="413"/>
      <c r="Q206" s="413"/>
      <c r="R206" s="413"/>
      <c r="S206" s="413"/>
      <c r="T206" s="413"/>
      <c r="U206" s="413"/>
      <c r="V206" s="413"/>
      <c r="W206" s="413"/>
      <c r="X206" s="575">
        <v>1</v>
      </c>
      <c r="Y206" s="1311"/>
    </row>
    <row r="207" spans="1:25" hidden="1">
      <c r="A207" s="428" t="s">
        <v>6268</v>
      </c>
      <c r="B207" s="413" t="s">
        <v>141</v>
      </c>
      <c r="C207" s="413" t="s">
        <v>4383</v>
      </c>
      <c r="D207" s="413" t="s">
        <v>8503</v>
      </c>
      <c r="E207" s="413" t="s">
        <v>8513</v>
      </c>
      <c r="F207" s="413"/>
      <c r="G207" s="413"/>
      <c r="H207" s="413"/>
      <c r="I207" s="413"/>
      <c r="J207" s="413"/>
      <c r="K207" s="413"/>
      <c r="L207" s="413"/>
      <c r="M207" s="413"/>
      <c r="N207" s="413"/>
      <c r="O207" s="413"/>
      <c r="P207" s="413"/>
      <c r="Q207" s="413"/>
      <c r="R207" s="413"/>
      <c r="S207" s="413"/>
      <c r="T207" s="413"/>
      <c r="U207" s="413"/>
      <c r="V207" s="413"/>
      <c r="W207" s="413"/>
      <c r="X207" s="575">
        <v>1</v>
      </c>
      <c r="Y207" s="1311"/>
    </row>
    <row r="208" spans="1:25" hidden="1">
      <c r="A208" s="428" t="s">
        <v>6268</v>
      </c>
      <c r="B208" s="413" t="s">
        <v>141</v>
      </c>
      <c r="C208" s="413" t="s">
        <v>4391</v>
      </c>
      <c r="D208" s="413" t="s">
        <v>8503</v>
      </c>
      <c r="E208" s="413" t="s">
        <v>8514</v>
      </c>
      <c r="F208" s="413"/>
      <c r="G208" s="413"/>
      <c r="H208" s="413"/>
      <c r="I208" s="413"/>
      <c r="J208" s="413"/>
      <c r="K208" s="413"/>
      <c r="L208" s="413"/>
      <c r="M208" s="413"/>
      <c r="N208" s="413"/>
      <c r="O208" s="413"/>
      <c r="P208" s="413"/>
      <c r="Q208" s="413"/>
      <c r="R208" s="413"/>
      <c r="S208" s="413"/>
      <c r="T208" s="413"/>
      <c r="U208" s="413"/>
      <c r="V208" s="413"/>
      <c r="W208" s="413"/>
      <c r="X208" s="575">
        <v>1</v>
      </c>
      <c r="Y208" s="1311"/>
    </row>
    <row r="209" spans="1:25" hidden="1">
      <c r="A209" s="428" t="s">
        <v>6268</v>
      </c>
      <c r="B209" s="413" t="s">
        <v>141</v>
      </c>
      <c r="C209" s="413" t="s">
        <v>4381</v>
      </c>
      <c r="D209" s="413" t="s">
        <v>8503</v>
      </c>
      <c r="E209" s="413" t="s">
        <v>8515</v>
      </c>
      <c r="F209" s="413"/>
      <c r="G209" s="413"/>
      <c r="H209" s="413"/>
      <c r="I209" s="413"/>
      <c r="J209" s="413"/>
      <c r="K209" s="413"/>
      <c r="L209" s="413"/>
      <c r="M209" s="413"/>
      <c r="N209" s="413"/>
      <c r="O209" s="413"/>
      <c r="P209" s="413"/>
      <c r="Q209" s="413"/>
      <c r="R209" s="413"/>
      <c r="S209" s="413"/>
      <c r="T209" s="413"/>
      <c r="U209" s="413"/>
      <c r="V209" s="413"/>
      <c r="W209" s="413"/>
      <c r="X209" s="575">
        <v>1</v>
      </c>
      <c r="Y209" s="1311"/>
    </row>
    <row r="210" spans="1:25" hidden="1">
      <c r="A210" s="428" t="s">
        <v>6268</v>
      </c>
      <c r="B210" s="413" t="s">
        <v>141</v>
      </c>
      <c r="C210" s="413" t="s">
        <v>4393</v>
      </c>
      <c r="D210" s="413" t="s">
        <v>8503</v>
      </c>
      <c r="E210" s="413" t="s">
        <v>8516</v>
      </c>
      <c r="F210" s="413"/>
      <c r="G210" s="413"/>
      <c r="H210" s="413"/>
      <c r="I210" s="413"/>
      <c r="J210" s="413"/>
      <c r="K210" s="413"/>
      <c r="L210" s="413"/>
      <c r="M210" s="413"/>
      <c r="N210" s="413"/>
      <c r="O210" s="413"/>
      <c r="P210" s="413"/>
      <c r="Q210" s="413"/>
      <c r="R210" s="413"/>
      <c r="S210" s="413"/>
      <c r="T210" s="413"/>
      <c r="U210" s="413"/>
      <c r="V210" s="413"/>
      <c r="W210" s="413"/>
      <c r="X210" s="575">
        <v>1</v>
      </c>
      <c r="Y210" s="1311"/>
    </row>
    <row r="211" spans="1:25" hidden="1">
      <c r="A211" s="428" t="s">
        <v>6268</v>
      </c>
      <c r="B211" s="413" t="s">
        <v>141</v>
      </c>
      <c r="C211" s="413" t="s">
        <v>4387</v>
      </c>
      <c r="D211" s="413" t="s">
        <v>8503</v>
      </c>
      <c r="E211" s="413" t="s">
        <v>8517</v>
      </c>
      <c r="F211" s="413"/>
      <c r="G211" s="413"/>
      <c r="H211" s="413"/>
      <c r="I211" s="413"/>
      <c r="J211" s="413"/>
      <c r="K211" s="413"/>
      <c r="L211" s="413"/>
      <c r="M211" s="413"/>
      <c r="N211" s="413"/>
      <c r="O211" s="413"/>
      <c r="P211" s="413"/>
      <c r="Q211" s="413"/>
      <c r="R211" s="413"/>
      <c r="S211" s="413"/>
      <c r="T211" s="413"/>
      <c r="U211" s="413"/>
      <c r="V211" s="413"/>
      <c r="W211" s="413"/>
      <c r="X211" s="575">
        <v>1</v>
      </c>
      <c r="Y211" s="1311"/>
    </row>
    <row r="212" spans="1:25" hidden="1">
      <c r="A212" s="428" t="s">
        <v>6268</v>
      </c>
      <c r="B212" s="413" t="s">
        <v>141</v>
      </c>
      <c r="C212" s="413" t="s">
        <v>4401</v>
      </c>
      <c r="D212" s="413" t="s">
        <v>8503</v>
      </c>
      <c r="E212" s="413" t="s">
        <v>8518</v>
      </c>
      <c r="F212" s="413"/>
      <c r="G212" s="413"/>
      <c r="H212" s="413"/>
      <c r="I212" s="413"/>
      <c r="J212" s="413"/>
      <c r="K212" s="413"/>
      <c r="L212" s="413"/>
      <c r="M212" s="413"/>
      <c r="N212" s="413"/>
      <c r="O212" s="413"/>
      <c r="P212" s="413"/>
      <c r="Q212" s="413"/>
      <c r="R212" s="413"/>
      <c r="S212" s="413"/>
      <c r="T212" s="413"/>
      <c r="U212" s="413"/>
      <c r="V212" s="413"/>
      <c r="W212" s="413"/>
      <c r="X212" s="575">
        <v>1</v>
      </c>
      <c r="Y212" s="1311"/>
    </row>
    <row r="213" spans="1:25" hidden="1">
      <c r="A213" s="428" t="s">
        <v>6268</v>
      </c>
      <c r="B213" s="413" t="s">
        <v>141</v>
      </c>
      <c r="C213" s="413" t="s">
        <v>4399</v>
      </c>
      <c r="D213" s="413" t="s">
        <v>8503</v>
      </c>
      <c r="E213" s="413" t="s">
        <v>8519</v>
      </c>
      <c r="F213" s="413"/>
      <c r="G213" s="413"/>
      <c r="H213" s="413"/>
      <c r="I213" s="413"/>
      <c r="J213" s="413"/>
      <c r="K213" s="413"/>
      <c r="L213" s="413"/>
      <c r="M213" s="413"/>
      <c r="N213" s="413"/>
      <c r="O213" s="413"/>
      <c r="P213" s="413"/>
      <c r="Q213" s="413"/>
      <c r="R213" s="413"/>
      <c r="S213" s="413"/>
      <c r="T213" s="413"/>
      <c r="U213" s="413"/>
      <c r="V213" s="413"/>
      <c r="W213" s="413"/>
      <c r="X213" s="575">
        <v>1</v>
      </c>
      <c r="Y213" s="1311"/>
    </row>
    <row r="214" spans="1:25" hidden="1">
      <c r="A214" s="428" t="s">
        <v>6268</v>
      </c>
      <c r="B214" s="413" t="s">
        <v>141</v>
      </c>
      <c r="C214" s="413" t="s">
        <v>4397</v>
      </c>
      <c r="D214" s="413" t="s">
        <v>8503</v>
      </c>
      <c r="E214" s="413" t="s">
        <v>8520</v>
      </c>
      <c r="F214" s="413"/>
      <c r="G214" s="413"/>
      <c r="H214" s="413"/>
      <c r="I214" s="413"/>
      <c r="J214" s="413"/>
      <c r="K214" s="413"/>
      <c r="L214" s="413"/>
      <c r="M214" s="413"/>
      <c r="N214" s="413"/>
      <c r="O214" s="413"/>
      <c r="P214" s="413"/>
      <c r="Q214" s="413"/>
      <c r="R214" s="413"/>
      <c r="S214" s="413"/>
      <c r="T214" s="413"/>
      <c r="U214" s="413"/>
      <c r="V214" s="413"/>
      <c r="W214" s="413"/>
      <c r="X214" s="575">
        <v>1</v>
      </c>
      <c r="Y214" s="1311"/>
    </row>
    <row r="215" spans="1:25" hidden="1">
      <c r="A215" s="428" t="s">
        <v>6268</v>
      </c>
      <c r="B215" s="413" t="s">
        <v>141</v>
      </c>
      <c r="C215" s="413" t="s">
        <v>4405</v>
      </c>
      <c r="D215" s="413" t="s">
        <v>8503</v>
      </c>
      <c r="E215" s="413" t="s">
        <v>8521</v>
      </c>
      <c r="F215" s="413"/>
      <c r="G215" s="413"/>
      <c r="H215" s="413"/>
      <c r="I215" s="413"/>
      <c r="J215" s="413"/>
      <c r="K215" s="413"/>
      <c r="L215" s="413"/>
      <c r="M215" s="413"/>
      <c r="N215" s="413"/>
      <c r="O215" s="413"/>
      <c r="P215" s="413"/>
      <c r="Q215" s="413"/>
      <c r="R215" s="413"/>
      <c r="S215" s="413"/>
      <c r="T215" s="413"/>
      <c r="U215" s="413"/>
      <c r="V215" s="413"/>
      <c r="W215" s="413"/>
      <c r="X215" s="575">
        <v>1</v>
      </c>
      <c r="Y215" s="1311"/>
    </row>
    <row r="216" spans="1:25" hidden="1">
      <c r="A216" s="428" t="s">
        <v>6268</v>
      </c>
      <c r="B216" s="413" t="s">
        <v>141</v>
      </c>
      <c r="C216" s="413" t="s">
        <v>4437</v>
      </c>
      <c r="D216" s="413" t="s">
        <v>8503</v>
      </c>
      <c r="E216" s="413" t="s">
        <v>8522</v>
      </c>
      <c r="F216" s="413"/>
      <c r="G216" s="413"/>
      <c r="H216" s="413"/>
      <c r="I216" s="413"/>
      <c r="J216" s="413"/>
      <c r="K216" s="413"/>
      <c r="L216" s="413"/>
      <c r="M216" s="413"/>
      <c r="N216" s="413"/>
      <c r="O216" s="413"/>
      <c r="P216" s="413"/>
      <c r="Q216" s="413"/>
      <c r="R216" s="413"/>
      <c r="S216" s="413"/>
      <c r="T216" s="413"/>
      <c r="U216" s="413"/>
      <c r="V216" s="413"/>
      <c r="W216" s="413"/>
      <c r="X216" s="575">
        <v>1</v>
      </c>
      <c r="Y216" s="1311"/>
    </row>
    <row r="217" spans="1:25" hidden="1">
      <c r="A217" s="428" t="s">
        <v>6268</v>
      </c>
      <c r="B217" s="413" t="s">
        <v>141</v>
      </c>
      <c r="C217" s="413" t="s">
        <v>4419</v>
      </c>
      <c r="D217" s="413" t="s">
        <v>8503</v>
      </c>
      <c r="E217" s="413" t="s">
        <v>8523</v>
      </c>
      <c r="F217" s="413"/>
      <c r="G217" s="413"/>
      <c r="H217" s="413"/>
      <c r="I217" s="413"/>
      <c r="J217" s="413"/>
      <c r="K217" s="413"/>
      <c r="L217" s="413"/>
      <c r="M217" s="413"/>
      <c r="N217" s="413"/>
      <c r="O217" s="413"/>
      <c r="P217" s="413"/>
      <c r="Q217" s="413"/>
      <c r="R217" s="413"/>
      <c r="S217" s="413"/>
      <c r="T217" s="413"/>
      <c r="U217" s="413"/>
      <c r="V217" s="413"/>
      <c r="W217" s="413"/>
      <c r="X217" s="575">
        <v>1</v>
      </c>
      <c r="Y217" s="1311"/>
    </row>
    <row r="218" spans="1:25" hidden="1">
      <c r="A218" s="428" t="s">
        <v>6268</v>
      </c>
      <c r="B218" s="413" t="s">
        <v>141</v>
      </c>
      <c r="C218" s="413" t="s">
        <v>4411</v>
      </c>
      <c r="D218" s="413" t="s">
        <v>8503</v>
      </c>
      <c r="E218" s="413" t="s">
        <v>8524</v>
      </c>
      <c r="F218" s="413"/>
      <c r="G218" s="413"/>
      <c r="H218" s="413"/>
      <c r="I218" s="413"/>
      <c r="J218" s="413"/>
      <c r="K218" s="413"/>
      <c r="L218" s="413"/>
      <c r="M218" s="413"/>
      <c r="N218" s="413"/>
      <c r="O218" s="413"/>
      <c r="P218" s="413"/>
      <c r="Q218" s="413"/>
      <c r="R218" s="413"/>
      <c r="S218" s="413"/>
      <c r="T218" s="413"/>
      <c r="U218" s="413"/>
      <c r="V218" s="413"/>
      <c r="W218" s="413"/>
      <c r="X218" s="575">
        <v>1</v>
      </c>
      <c r="Y218" s="1311"/>
    </row>
    <row r="219" spans="1:25" hidden="1">
      <c r="A219" s="428" t="s">
        <v>6268</v>
      </c>
      <c r="B219" s="413" t="s">
        <v>141</v>
      </c>
      <c r="C219" s="413" t="s">
        <v>4409</v>
      </c>
      <c r="D219" s="413" t="s">
        <v>8503</v>
      </c>
      <c r="E219" s="413" t="s">
        <v>8525</v>
      </c>
      <c r="F219" s="413"/>
      <c r="G219" s="413"/>
      <c r="H219" s="413"/>
      <c r="I219" s="413"/>
      <c r="J219" s="413"/>
      <c r="K219" s="413"/>
      <c r="L219" s="413"/>
      <c r="M219" s="413"/>
      <c r="N219" s="413"/>
      <c r="O219" s="413"/>
      <c r="P219" s="413"/>
      <c r="Q219" s="413"/>
      <c r="R219" s="413"/>
      <c r="S219" s="413"/>
      <c r="T219" s="413"/>
      <c r="U219" s="413"/>
      <c r="V219" s="413"/>
      <c r="W219" s="413"/>
      <c r="X219" s="575">
        <v>1</v>
      </c>
      <c r="Y219" s="1311"/>
    </row>
    <row r="220" spans="1:25" hidden="1">
      <c r="A220" s="428" t="s">
        <v>6268</v>
      </c>
      <c r="B220" s="413" t="s">
        <v>141</v>
      </c>
      <c r="C220" s="413" t="s">
        <v>4445</v>
      </c>
      <c r="D220" s="413" t="s">
        <v>8503</v>
      </c>
      <c r="E220" s="413" t="s">
        <v>8526</v>
      </c>
      <c r="F220" s="413"/>
      <c r="G220" s="413"/>
      <c r="H220" s="413"/>
      <c r="I220" s="413"/>
      <c r="J220" s="413"/>
      <c r="K220" s="413"/>
      <c r="L220" s="413"/>
      <c r="M220" s="413"/>
      <c r="N220" s="413"/>
      <c r="O220" s="413"/>
      <c r="P220" s="413"/>
      <c r="Q220" s="413"/>
      <c r="R220" s="413"/>
      <c r="S220" s="413"/>
      <c r="T220" s="413"/>
      <c r="U220" s="413"/>
      <c r="V220" s="413"/>
      <c r="W220" s="413"/>
      <c r="X220" s="575">
        <v>1</v>
      </c>
      <c r="Y220" s="1311"/>
    </row>
    <row r="221" spans="1:25" hidden="1">
      <c r="A221" s="428" t="s">
        <v>6268</v>
      </c>
      <c r="B221" s="413" t="s">
        <v>141</v>
      </c>
      <c r="C221" s="413" t="s">
        <v>4413</v>
      </c>
      <c r="D221" s="413" t="s">
        <v>8503</v>
      </c>
      <c r="E221" s="413" t="s">
        <v>8527</v>
      </c>
      <c r="F221" s="413"/>
      <c r="G221" s="413"/>
      <c r="H221" s="413"/>
      <c r="I221" s="413"/>
      <c r="J221" s="413"/>
      <c r="K221" s="413"/>
      <c r="L221" s="413"/>
      <c r="M221" s="413"/>
      <c r="N221" s="413"/>
      <c r="O221" s="413"/>
      <c r="P221" s="413"/>
      <c r="Q221" s="413"/>
      <c r="R221" s="413"/>
      <c r="S221" s="413"/>
      <c r="T221" s="413"/>
      <c r="U221" s="413"/>
      <c r="V221" s="413"/>
      <c r="W221" s="413"/>
      <c r="X221" s="575">
        <v>1</v>
      </c>
      <c r="Y221" s="1311"/>
    </row>
    <row r="222" spans="1:25" hidden="1">
      <c r="A222" s="428" t="s">
        <v>6268</v>
      </c>
      <c r="B222" s="413" t="s">
        <v>141</v>
      </c>
      <c r="C222" s="413" t="s">
        <v>4447</v>
      </c>
      <c r="D222" s="413" t="s">
        <v>8503</v>
      </c>
      <c r="E222" s="413" t="s">
        <v>8528</v>
      </c>
      <c r="F222" s="413"/>
      <c r="G222" s="413"/>
      <c r="H222" s="413"/>
      <c r="I222" s="413"/>
      <c r="J222" s="413"/>
      <c r="K222" s="413"/>
      <c r="L222" s="413"/>
      <c r="M222" s="413"/>
      <c r="N222" s="413"/>
      <c r="O222" s="413"/>
      <c r="P222" s="413"/>
      <c r="Q222" s="413"/>
      <c r="R222" s="413"/>
      <c r="S222" s="413"/>
      <c r="T222" s="413"/>
      <c r="U222" s="413"/>
      <c r="V222" s="413"/>
      <c r="W222" s="413"/>
      <c r="X222" s="575">
        <v>1</v>
      </c>
      <c r="Y222" s="1311"/>
    </row>
    <row r="223" spans="1:25" hidden="1">
      <c r="A223" s="428" t="s">
        <v>6268</v>
      </c>
      <c r="B223" s="413" t="s">
        <v>141</v>
      </c>
      <c r="C223" s="413" t="s">
        <v>4423</v>
      </c>
      <c r="D223" s="413" t="s">
        <v>8503</v>
      </c>
      <c r="E223" s="413" t="s">
        <v>8529</v>
      </c>
      <c r="F223" s="413"/>
      <c r="G223" s="413"/>
      <c r="H223" s="413"/>
      <c r="I223" s="413"/>
      <c r="J223" s="413"/>
      <c r="K223" s="413"/>
      <c r="L223" s="413"/>
      <c r="M223" s="413"/>
      <c r="N223" s="413"/>
      <c r="O223" s="413"/>
      <c r="P223" s="413"/>
      <c r="Q223" s="413"/>
      <c r="R223" s="413"/>
      <c r="S223" s="413"/>
      <c r="T223" s="413"/>
      <c r="U223" s="413"/>
      <c r="V223" s="413"/>
      <c r="W223" s="413"/>
      <c r="X223" s="575">
        <v>1</v>
      </c>
      <c r="Y223" s="1311"/>
    </row>
    <row r="224" spans="1:25" hidden="1">
      <c r="A224" s="428" t="s">
        <v>6268</v>
      </c>
      <c r="B224" s="413" t="s">
        <v>141</v>
      </c>
      <c r="C224" s="413" t="s">
        <v>4427</v>
      </c>
      <c r="D224" s="413" t="s">
        <v>8503</v>
      </c>
      <c r="E224" s="413" t="s">
        <v>8530</v>
      </c>
      <c r="F224" s="413"/>
      <c r="G224" s="413"/>
      <c r="H224" s="413"/>
      <c r="I224" s="413"/>
      <c r="J224" s="413"/>
      <c r="K224" s="413"/>
      <c r="L224" s="413"/>
      <c r="M224" s="413"/>
      <c r="N224" s="413"/>
      <c r="O224" s="413"/>
      <c r="P224" s="413"/>
      <c r="Q224" s="413"/>
      <c r="R224" s="413"/>
      <c r="S224" s="413"/>
      <c r="T224" s="413"/>
      <c r="U224" s="413"/>
      <c r="V224" s="413"/>
      <c r="W224" s="413"/>
      <c r="X224" s="575">
        <v>1</v>
      </c>
      <c r="Y224" s="1311"/>
    </row>
    <row r="225" spans="1:25" hidden="1">
      <c r="A225" s="428" t="s">
        <v>6268</v>
      </c>
      <c r="B225" s="413" t="s">
        <v>141</v>
      </c>
      <c r="C225" s="413" t="s">
        <v>4439</v>
      </c>
      <c r="D225" s="413" t="s">
        <v>8503</v>
      </c>
      <c r="E225" s="413" t="s">
        <v>8531</v>
      </c>
      <c r="F225" s="413"/>
      <c r="G225" s="413"/>
      <c r="H225" s="413"/>
      <c r="I225" s="413"/>
      <c r="J225" s="413"/>
      <c r="K225" s="413"/>
      <c r="L225" s="413"/>
      <c r="M225" s="413"/>
      <c r="N225" s="413"/>
      <c r="O225" s="413"/>
      <c r="P225" s="413"/>
      <c r="Q225" s="413"/>
      <c r="R225" s="413"/>
      <c r="S225" s="413"/>
      <c r="T225" s="413"/>
      <c r="U225" s="413"/>
      <c r="V225" s="413"/>
      <c r="W225" s="413"/>
      <c r="X225" s="575">
        <v>1</v>
      </c>
      <c r="Y225" s="1311"/>
    </row>
    <row r="226" spans="1:25" hidden="1">
      <c r="A226" s="428" t="s">
        <v>6268</v>
      </c>
      <c r="B226" s="413" t="s">
        <v>141</v>
      </c>
      <c r="C226" s="413" t="s">
        <v>4431</v>
      </c>
      <c r="D226" s="413" t="s">
        <v>8503</v>
      </c>
      <c r="E226" s="413" t="s">
        <v>8532</v>
      </c>
      <c r="F226" s="413"/>
      <c r="G226" s="413"/>
      <c r="H226" s="413"/>
      <c r="I226" s="413"/>
      <c r="J226" s="413"/>
      <c r="K226" s="413"/>
      <c r="L226" s="413"/>
      <c r="M226" s="413"/>
      <c r="N226" s="413"/>
      <c r="O226" s="413"/>
      <c r="P226" s="413"/>
      <c r="Q226" s="413"/>
      <c r="R226" s="413"/>
      <c r="S226" s="413"/>
      <c r="T226" s="413"/>
      <c r="U226" s="413"/>
      <c r="V226" s="413"/>
      <c r="W226" s="413"/>
      <c r="X226" s="575">
        <v>1</v>
      </c>
      <c r="Y226" s="1311"/>
    </row>
    <row r="227" spans="1:25" hidden="1">
      <c r="A227" s="428" t="s">
        <v>6268</v>
      </c>
      <c r="B227" s="413" t="s">
        <v>141</v>
      </c>
      <c r="C227" s="413" t="s">
        <v>4433</v>
      </c>
      <c r="D227" s="413" t="s">
        <v>8503</v>
      </c>
      <c r="E227" s="413" t="s">
        <v>8533</v>
      </c>
      <c r="F227" s="413"/>
      <c r="G227" s="413"/>
      <c r="H227" s="413"/>
      <c r="I227" s="413"/>
      <c r="J227" s="413"/>
      <c r="K227" s="413"/>
      <c r="L227" s="413"/>
      <c r="M227" s="413"/>
      <c r="N227" s="413"/>
      <c r="O227" s="413"/>
      <c r="P227" s="413"/>
      <c r="Q227" s="413"/>
      <c r="R227" s="413"/>
      <c r="S227" s="413"/>
      <c r="T227" s="413"/>
      <c r="U227" s="413"/>
      <c r="V227" s="413"/>
      <c r="W227" s="413"/>
      <c r="X227" s="575">
        <v>1</v>
      </c>
      <c r="Y227" s="1311"/>
    </row>
    <row r="228" spans="1:25" hidden="1">
      <c r="A228" s="428" t="s">
        <v>6268</v>
      </c>
      <c r="B228" s="413" t="s">
        <v>141</v>
      </c>
      <c r="C228" s="413" t="s">
        <v>4407</v>
      </c>
      <c r="D228" s="413" t="s">
        <v>8503</v>
      </c>
      <c r="E228" s="413" t="s">
        <v>8534</v>
      </c>
      <c r="F228" s="413"/>
      <c r="G228" s="413"/>
      <c r="H228" s="413"/>
      <c r="I228" s="413"/>
      <c r="J228" s="413"/>
      <c r="K228" s="413"/>
      <c r="L228" s="413"/>
      <c r="M228" s="413"/>
      <c r="N228" s="413"/>
      <c r="O228" s="413"/>
      <c r="P228" s="413"/>
      <c r="Q228" s="413"/>
      <c r="R228" s="413"/>
      <c r="S228" s="413"/>
      <c r="T228" s="413"/>
      <c r="U228" s="413"/>
      <c r="V228" s="413"/>
      <c r="W228" s="413"/>
      <c r="X228" s="575">
        <v>1</v>
      </c>
      <c r="Y228" s="1311"/>
    </row>
    <row r="229" spans="1:25" hidden="1">
      <c r="A229" s="428" t="s">
        <v>6268</v>
      </c>
      <c r="B229" s="413" t="s">
        <v>141</v>
      </c>
      <c r="C229" s="413" t="s">
        <v>4443</v>
      </c>
      <c r="D229" s="413" t="s">
        <v>8503</v>
      </c>
      <c r="E229" s="413" t="s">
        <v>8535</v>
      </c>
      <c r="F229" s="413"/>
      <c r="G229" s="413"/>
      <c r="H229" s="413"/>
      <c r="I229" s="413"/>
      <c r="J229" s="413"/>
      <c r="K229" s="413"/>
      <c r="L229" s="413"/>
      <c r="M229" s="413"/>
      <c r="N229" s="413"/>
      <c r="O229" s="413"/>
      <c r="P229" s="413"/>
      <c r="Q229" s="413"/>
      <c r="R229" s="413"/>
      <c r="S229" s="413"/>
      <c r="T229" s="413"/>
      <c r="U229" s="413"/>
      <c r="V229" s="413"/>
      <c r="W229" s="413"/>
      <c r="X229" s="575">
        <v>1</v>
      </c>
      <c r="Y229" s="1311"/>
    </row>
    <row r="230" spans="1:25" hidden="1">
      <c r="A230" s="428" t="s">
        <v>6268</v>
      </c>
      <c r="B230" s="413" t="s">
        <v>141</v>
      </c>
      <c r="C230" s="413" t="s">
        <v>4441</v>
      </c>
      <c r="D230" s="413" t="s">
        <v>8503</v>
      </c>
      <c r="E230" s="413" t="s">
        <v>8536</v>
      </c>
      <c r="F230" s="413"/>
      <c r="G230" s="413"/>
      <c r="H230" s="413"/>
      <c r="I230" s="413"/>
      <c r="J230" s="413"/>
      <c r="K230" s="413"/>
      <c r="L230" s="413"/>
      <c r="M230" s="413"/>
      <c r="N230" s="413"/>
      <c r="O230" s="413"/>
      <c r="P230" s="413"/>
      <c r="Q230" s="413"/>
      <c r="R230" s="413"/>
      <c r="S230" s="413"/>
      <c r="T230" s="413"/>
      <c r="U230" s="413"/>
      <c r="V230" s="413"/>
      <c r="W230" s="413"/>
      <c r="X230" s="575">
        <v>1</v>
      </c>
      <c r="Y230" s="1311"/>
    </row>
    <row r="231" spans="1:25" hidden="1">
      <c r="A231" s="428" t="s">
        <v>6268</v>
      </c>
      <c r="B231" s="413" t="s">
        <v>141</v>
      </c>
      <c r="C231" s="413" t="s">
        <v>4435</v>
      </c>
      <c r="D231" s="413" t="s">
        <v>8503</v>
      </c>
      <c r="E231" s="413" t="s">
        <v>8537</v>
      </c>
      <c r="F231" s="413"/>
      <c r="G231" s="413"/>
      <c r="H231" s="413"/>
      <c r="I231" s="413"/>
      <c r="J231" s="413"/>
      <c r="K231" s="413"/>
      <c r="L231" s="413"/>
      <c r="M231" s="413"/>
      <c r="N231" s="413"/>
      <c r="O231" s="413"/>
      <c r="P231" s="413"/>
      <c r="Q231" s="413"/>
      <c r="R231" s="413"/>
      <c r="S231" s="413"/>
      <c r="T231" s="413"/>
      <c r="U231" s="413"/>
      <c r="V231" s="413"/>
      <c r="W231" s="413"/>
      <c r="X231" s="575">
        <v>1</v>
      </c>
      <c r="Y231" s="1311"/>
    </row>
    <row r="232" spans="1:25" hidden="1">
      <c r="A232" s="428" t="s">
        <v>6268</v>
      </c>
      <c r="B232" s="413" t="s">
        <v>141</v>
      </c>
      <c r="C232" s="413" t="s">
        <v>4580</v>
      </c>
      <c r="D232" s="413" t="s">
        <v>8503</v>
      </c>
      <c r="E232" s="413" t="s">
        <v>8538</v>
      </c>
      <c r="F232" s="413"/>
      <c r="G232" s="413"/>
      <c r="H232" s="413"/>
      <c r="I232" s="413"/>
      <c r="J232" s="413"/>
      <c r="K232" s="413"/>
      <c r="L232" s="413"/>
      <c r="M232" s="413"/>
      <c r="N232" s="413"/>
      <c r="O232" s="413"/>
      <c r="P232" s="413"/>
      <c r="Q232" s="413"/>
      <c r="R232" s="413"/>
      <c r="S232" s="413"/>
      <c r="T232" s="413"/>
      <c r="U232" s="413"/>
      <c r="V232" s="413"/>
      <c r="W232" s="413"/>
      <c r="X232" s="575">
        <v>1</v>
      </c>
      <c r="Y232" s="1311"/>
    </row>
    <row r="233" spans="1:25" hidden="1">
      <c r="A233" s="428" t="s">
        <v>6268</v>
      </c>
      <c r="B233" s="413" t="s">
        <v>141</v>
      </c>
      <c r="C233" s="413" t="s">
        <v>4429</v>
      </c>
      <c r="D233" s="413" t="s">
        <v>8503</v>
      </c>
      <c r="E233" s="413" t="s">
        <v>8539</v>
      </c>
      <c r="F233" s="413"/>
      <c r="G233" s="413"/>
      <c r="H233" s="413"/>
      <c r="I233" s="413"/>
      <c r="J233" s="413"/>
      <c r="K233" s="413"/>
      <c r="L233" s="413"/>
      <c r="M233" s="413"/>
      <c r="N233" s="413"/>
      <c r="O233" s="413"/>
      <c r="P233" s="413"/>
      <c r="Q233" s="413"/>
      <c r="R233" s="413"/>
      <c r="S233" s="413"/>
      <c r="T233" s="413"/>
      <c r="U233" s="413"/>
      <c r="V233" s="413"/>
      <c r="W233" s="413"/>
      <c r="X233" s="575">
        <v>1</v>
      </c>
      <c r="Y233" s="1311"/>
    </row>
    <row r="234" spans="1:25" hidden="1">
      <c r="A234" s="428" t="s">
        <v>6268</v>
      </c>
      <c r="B234" s="413" t="s">
        <v>141</v>
      </c>
      <c r="C234" s="413" t="s">
        <v>4417</v>
      </c>
      <c r="D234" s="413" t="s">
        <v>8503</v>
      </c>
      <c r="E234" s="413" t="s">
        <v>8540</v>
      </c>
      <c r="F234" s="413"/>
      <c r="G234" s="413"/>
      <c r="H234" s="413"/>
      <c r="I234" s="413"/>
      <c r="J234" s="413"/>
      <c r="K234" s="413"/>
      <c r="L234" s="413"/>
      <c r="M234" s="413"/>
      <c r="N234" s="413"/>
      <c r="O234" s="413"/>
      <c r="P234" s="413"/>
      <c r="Q234" s="413"/>
      <c r="R234" s="413"/>
      <c r="S234" s="413"/>
      <c r="T234" s="413"/>
      <c r="U234" s="413"/>
      <c r="V234" s="413"/>
      <c r="W234" s="413"/>
      <c r="X234" s="575">
        <v>1</v>
      </c>
      <c r="Y234" s="1311"/>
    </row>
    <row r="235" spans="1:25" hidden="1">
      <c r="A235" s="428" t="s">
        <v>6268</v>
      </c>
      <c r="B235" s="413" t="s">
        <v>141</v>
      </c>
      <c r="C235" s="413" t="s">
        <v>4415</v>
      </c>
      <c r="D235" s="413" t="s">
        <v>8503</v>
      </c>
      <c r="E235" s="413" t="s">
        <v>8541</v>
      </c>
      <c r="F235" s="413"/>
      <c r="G235" s="413"/>
      <c r="H235" s="413"/>
      <c r="I235" s="413"/>
      <c r="J235" s="413"/>
      <c r="K235" s="413"/>
      <c r="L235" s="413"/>
      <c r="M235" s="413"/>
      <c r="N235" s="413"/>
      <c r="O235" s="413"/>
      <c r="P235" s="413"/>
      <c r="Q235" s="413"/>
      <c r="R235" s="413"/>
      <c r="S235" s="413"/>
      <c r="T235" s="413"/>
      <c r="U235" s="413"/>
      <c r="V235" s="413"/>
      <c r="W235" s="413"/>
      <c r="X235" s="575">
        <v>1</v>
      </c>
      <c r="Y235" s="1311"/>
    </row>
    <row r="236" spans="1:25" hidden="1">
      <c r="A236" s="428" t="s">
        <v>6268</v>
      </c>
      <c r="B236" s="413" t="s">
        <v>141</v>
      </c>
      <c r="C236" s="413" t="s">
        <v>4421</v>
      </c>
      <c r="D236" s="413" t="s">
        <v>8503</v>
      </c>
      <c r="E236" s="413" t="s">
        <v>8542</v>
      </c>
      <c r="F236" s="413"/>
      <c r="G236" s="413"/>
      <c r="H236" s="413"/>
      <c r="I236" s="413"/>
      <c r="J236" s="413"/>
      <c r="K236" s="413"/>
      <c r="L236" s="413"/>
      <c r="M236" s="413"/>
      <c r="N236" s="413"/>
      <c r="O236" s="413"/>
      <c r="P236" s="413"/>
      <c r="Q236" s="413"/>
      <c r="R236" s="413"/>
      <c r="S236" s="413"/>
      <c r="T236" s="413"/>
      <c r="U236" s="413"/>
      <c r="V236" s="413"/>
      <c r="W236" s="413"/>
      <c r="X236" s="575">
        <v>1</v>
      </c>
      <c r="Y236" s="1311"/>
    </row>
    <row r="237" spans="1:25" hidden="1">
      <c r="A237" s="428" t="s">
        <v>6268</v>
      </c>
      <c r="B237" s="413" t="s">
        <v>141</v>
      </c>
      <c r="C237" s="413" t="s">
        <v>4602</v>
      </c>
      <c r="D237" s="413" t="s">
        <v>8503</v>
      </c>
      <c r="E237" s="413" t="s">
        <v>8543</v>
      </c>
      <c r="F237" s="413"/>
      <c r="G237" s="413"/>
      <c r="H237" s="413"/>
      <c r="I237" s="413"/>
      <c r="J237" s="413"/>
      <c r="K237" s="413"/>
      <c r="L237" s="413"/>
      <c r="M237" s="413"/>
      <c r="N237" s="413"/>
      <c r="O237" s="413"/>
      <c r="P237" s="413"/>
      <c r="Q237" s="413"/>
      <c r="R237" s="413"/>
      <c r="S237" s="413"/>
      <c r="T237" s="413"/>
      <c r="U237" s="413"/>
      <c r="V237" s="413"/>
      <c r="W237" s="413"/>
      <c r="X237" s="575">
        <v>1</v>
      </c>
      <c r="Y237" s="1311"/>
    </row>
    <row r="238" spans="1:25" hidden="1">
      <c r="A238" s="428" t="s">
        <v>6268</v>
      </c>
      <c r="B238" s="413" t="s">
        <v>141</v>
      </c>
      <c r="C238" s="413" t="s">
        <v>4467</v>
      </c>
      <c r="D238" s="413" t="s">
        <v>8503</v>
      </c>
      <c r="E238" s="413" t="s">
        <v>8544</v>
      </c>
      <c r="F238" s="413"/>
      <c r="G238" s="413"/>
      <c r="H238" s="413"/>
      <c r="I238" s="413"/>
      <c r="J238" s="413"/>
      <c r="K238" s="413"/>
      <c r="L238" s="413"/>
      <c r="M238" s="413"/>
      <c r="N238" s="413"/>
      <c r="O238" s="413"/>
      <c r="P238" s="413"/>
      <c r="Q238" s="413"/>
      <c r="R238" s="413"/>
      <c r="S238" s="413"/>
      <c r="T238" s="413"/>
      <c r="U238" s="413"/>
      <c r="V238" s="413"/>
      <c r="W238" s="413"/>
      <c r="X238" s="575">
        <v>1</v>
      </c>
      <c r="Y238" s="1311"/>
    </row>
    <row r="239" spans="1:25" hidden="1">
      <c r="A239" s="428" t="s">
        <v>6268</v>
      </c>
      <c r="B239" s="413" t="s">
        <v>141</v>
      </c>
      <c r="C239" s="413" t="s">
        <v>4449</v>
      </c>
      <c r="D239" s="413" t="s">
        <v>8503</v>
      </c>
      <c r="E239" s="413" t="s">
        <v>8545</v>
      </c>
      <c r="F239" s="413"/>
      <c r="G239" s="413"/>
      <c r="H239" s="413"/>
      <c r="I239" s="413"/>
      <c r="J239" s="413"/>
      <c r="K239" s="413"/>
      <c r="L239" s="413"/>
      <c r="M239" s="413"/>
      <c r="N239" s="413"/>
      <c r="O239" s="413"/>
      <c r="P239" s="413"/>
      <c r="Q239" s="413"/>
      <c r="R239" s="413"/>
      <c r="S239" s="413"/>
      <c r="T239" s="413"/>
      <c r="U239" s="413"/>
      <c r="V239" s="413"/>
      <c r="W239" s="413"/>
      <c r="X239" s="575">
        <v>1</v>
      </c>
      <c r="Y239" s="1311"/>
    </row>
    <row r="240" spans="1:25" hidden="1">
      <c r="A240" s="428" t="s">
        <v>6268</v>
      </c>
      <c r="B240" s="413" t="s">
        <v>141</v>
      </c>
      <c r="C240" s="413" t="s">
        <v>4477</v>
      </c>
      <c r="D240" s="413" t="s">
        <v>8503</v>
      </c>
      <c r="E240" s="413" t="s">
        <v>8546</v>
      </c>
      <c r="F240" s="413"/>
      <c r="G240" s="413"/>
      <c r="H240" s="413"/>
      <c r="I240" s="413"/>
      <c r="J240" s="413"/>
      <c r="K240" s="413"/>
      <c r="L240" s="413"/>
      <c r="M240" s="413"/>
      <c r="N240" s="413"/>
      <c r="O240" s="413"/>
      <c r="P240" s="413"/>
      <c r="Q240" s="413"/>
      <c r="R240" s="413"/>
      <c r="S240" s="413"/>
      <c r="T240" s="413"/>
      <c r="U240" s="413"/>
      <c r="V240" s="413"/>
      <c r="W240" s="413"/>
      <c r="X240" s="575">
        <v>1</v>
      </c>
      <c r="Y240" s="1311"/>
    </row>
    <row r="241" spans="1:25" hidden="1">
      <c r="A241" s="428" t="s">
        <v>6268</v>
      </c>
      <c r="B241" s="413" t="s">
        <v>141</v>
      </c>
      <c r="C241" s="413" t="s">
        <v>4616</v>
      </c>
      <c r="D241" s="413" t="s">
        <v>8503</v>
      </c>
      <c r="E241" s="413" t="s">
        <v>8547</v>
      </c>
      <c r="F241" s="413"/>
      <c r="G241" s="413"/>
      <c r="H241" s="413"/>
      <c r="I241" s="413"/>
      <c r="J241" s="413"/>
      <c r="K241" s="413"/>
      <c r="L241" s="413"/>
      <c r="M241" s="413"/>
      <c r="N241" s="413"/>
      <c r="O241" s="413"/>
      <c r="P241" s="413"/>
      <c r="Q241" s="413"/>
      <c r="R241" s="413"/>
      <c r="S241" s="413"/>
      <c r="T241" s="413"/>
      <c r="U241" s="413"/>
      <c r="V241" s="413"/>
      <c r="W241" s="413"/>
      <c r="X241" s="575">
        <v>1</v>
      </c>
      <c r="Y241" s="1311"/>
    </row>
    <row r="242" spans="1:25" hidden="1">
      <c r="A242" s="428" t="s">
        <v>6268</v>
      </c>
      <c r="B242" s="413" t="s">
        <v>141</v>
      </c>
      <c r="C242" s="413" t="s">
        <v>4455</v>
      </c>
      <c r="D242" s="413" t="s">
        <v>8503</v>
      </c>
      <c r="E242" s="413" t="s">
        <v>8548</v>
      </c>
      <c r="F242" s="413"/>
      <c r="G242" s="413"/>
      <c r="H242" s="413"/>
      <c r="I242" s="413"/>
      <c r="J242" s="413"/>
      <c r="K242" s="413"/>
      <c r="L242" s="413"/>
      <c r="M242" s="413"/>
      <c r="N242" s="413"/>
      <c r="O242" s="413"/>
      <c r="P242" s="413"/>
      <c r="Q242" s="413"/>
      <c r="R242" s="413"/>
      <c r="S242" s="413"/>
      <c r="T242" s="413"/>
      <c r="U242" s="413"/>
      <c r="V242" s="413"/>
      <c r="W242" s="413"/>
      <c r="X242" s="575">
        <v>1</v>
      </c>
      <c r="Y242" s="1311"/>
    </row>
    <row r="243" spans="1:25" hidden="1">
      <c r="A243" s="428" t="s">
        <v>6268</v>
      </c>
      <c r="B243" s="413" t="s">
        <v>141</v>
      </c>
      <c r="C243" s="413" t="s">
        <v>4790</v>
      </c>
      <c r="D243" s="413" t="s">
        <v>8503</v>
      </c>
      <c r="E243" s="413" t="s">
        <v>8549</v>
      </c>
      <c r="F243" s="413"/>
      <c r="G243" s="413"/>
      <c r="H243" s="413"/>
      <c r="I243" s="413"/>
      <c r="J243" s="413"/>
      <c r="K243" s="413"/>
      <c r="L243" s="413"/>
      <c r="M243" s="413"/>
      <c r="N243" s="413"/>
      <c r="O243" s="413"/>
      <c r="P243" s="413"/>
      <c r="Q243" s="413"/>
      <c r="R243" s="413"/>
      <c r="S243" s="413"/>
      <c r="T243" s="413"/>
      <c r="U243" s="413"/>
      <c r="V243" s="413"/>
      <c r="W243" s="413"/>
      <c r="X243" s="575">
        <v>1</v>
      </c>
      <c r="Y243" s="1311"/>
    </row>
    <row r="244" spans="1:25" hidden="1">
      <c r="A244" s="428" t="s">
        <v>6268</v>
      </c>
      <c r="B244" s="413" t="s">
        <v>141</v>
      </c>
      <c r="C244" s="413" t="s">
        <v>4465</v>
      </c>
      <c r="D244" s="413" t="s">
        <v>8503</v>
      </c>
      <c r="E244" s="413" t="s">
        <v>8550</v>
      </c>
      <c r="F244" s="413"/>
      <c r="G244" s="413"/>
      <c r="H244" s="413"/>
      <c r="I244" s="413"/>
      <c r="J244" s="413"/>
      <c r="K244" s="413"/>
      <c r="L244" s="413"/>
      <c r="M244" s="413"/>
      <c r="N244" s="413"/>
      <c r="O244" s="413"/>
      <c r="P244" s="413"/>
      <c r="Q244" s="413"/>
      <c r="R244" s="413"/>
      <c r="S244" s="413"/>
      <c r="T244" s="413"/>
      <c r="U244" s="413"/>
      <c r="V244" s="413"/>
      <c r="W244" s="413"/>
      <c r="X244" s="575">
        <v>1</v>
      </c>
      <c r="Y244" s="1311"/>
    </row>
    <row r="245" spans="1:25" hidden="1">
      <c r="A245" s="428" t="s">
        <v>6268</v>
      </c>
      <c r="B245" s="413" t="s">
        <v>141</v>
      </c>
      <c r="C245" s="413" t="s">
        <v>4469</v>
      </c>
      <c r="D245" s="413" t="s">
        <v>8503</v>
      </c>
      <c r="E245" s="413" t="s">
        <v>8551</v>
      </c>
      <c r="F245" s="413"/>
      <c r="G245" s="413"/>
      <c r="H245" s="413"/>
      <c r="I245" s="413"/>
      <c r="J245" s="413"/>
      <c r="K245" s="413"/>
      <c r="L245" s="413"/>
      <c r="M245" s="413"/>
      <c r="N245" s="413"/>
      <c r="O245" s="413"/>
      <c r="P245" s="413"/>
      <c r="Q245" s="413"/>
      <c r="R245" s="413"/>
      <c r="S245" s="413"/>
      <c r="T245" s="413"/>
      <c r="U245" s="413"/>
      <c r="V245" s="413"/>
      <c r="W245" s="413"/>
      <c r="X245" s="575">
        <v>1</v>
      </c>
      <c r="Y245" s="1311"/>
    </row>
    <row r="246" spans="1:25" hidden="1">
      <c r="A246" s="428" t="s">
        <v>6268</v>
      </c>
      <c r="B246" s="413" t="s">
        <v>141</v>
      </c>
      <c r="C246" s="413" t="s">
        <v>4481</v>
      </c>
      <c r="D246" s="413" t="s">
        <v>8503</v>
      </c>
      <c r="E246" s="413" t="s">
        <v>8552</v>
      </c>
      <c r="F246" s="413"/>
      <c r="G246" s="413"/>
      <c r="H246" s="413"/>
      <c r="I246" s="413"/>
      <c r="J246" s="413"/>
      <c r="K246" s="413"/>
      <c r="L246" s="413"/>
      <c r="M246" s="413"/>
      <c r="N246" s="413"/>
      <c r="O246" s="413"/>
      <c r="P246" s="413"/>
      <c r="Q246" s="413"/>
      <c r="R246" s="413"/>
      <c r="S246" s="413"/>
      <c r="T246" s="413"/>
      <c r="U246" s="413"/>
      <c r="V246" s="413"/>
      <c r="W246" s="413"/>
      <c r="X246" s="575">
        <v>1</v>
      </c>
      <c r="Y246" s="1311"/>
    </row>
    <row r="247" spans="1:25" hidden="1">
      <c r="A247" s="428" t="s">
        <v>6268</v>
      </c>
      <c r="B247" s="413" t="s">
        <v>141</v>
      </c>
      <c r="C247" s="413" t="s">
        <v>4451</v>
      </c>
      <c r="D247" s="413" t="s">
        <v>8503</v>
      </c>
      <c r="E247" s="413" t="s">
        <v>8553</v>
      </c>
      <c r="F247" s="413"/>
      <c r="G247" s="413"/>
      <c r="H247" s="413"/>
      <c r="I247" s="413"/>
      <c r="J247" s="413"/>
      <c r="K247" s="413"/>
      <c r="L247" s="413"/>
      <c r="M247" s="413"/>
      <c r="N247" s="413"/>
      <c r="O247" s="413"/>
      <c r="P247" s="413"/>
      <c r="Q247" s="413"/>
      <c r="R247" s="413"/>
      <c r="S247" s="413"/>
      <c r="T247" s="413"/>
      <c r="U247" s="413"/>
      <c r="V247" s="413"/>
      <c r="W247" s="413"/>
      <c r="X247" s="575">
        <v>1</v>
      </c>
      <c r="Y247" s="1311"/>
    </row>
    <row r="248" spans="1:25" hidden="1">
      <c r="A248" s="428" t="s">
        <v>6268</v>
      </c>
      <c r="B248" s="413" t="s">
        <v>141</v>
      </c>
      <c r="C248" s="413" t="s">
        <v>4471</v>
      </c>
      <c r="D248" s="413" t="s">
        <v>8503</v>
      </c>
      <c r="E248" s="413" t="s">
        <v>8554</v>
      </c>
      <c r="F248" s="413"/>
      <c r="G248" s="413"/>
      <c r="H248" s="413"/>
      <c r="I248" s="413"/>
      <c r="J248" s="413"/>
      <c r="K248" s="413"/>
      <c r="L248" s="413"/>
      <c r="M248" s="413"/>
      <c r="N248" s="413"/>
      <c r="O248" s="413"/>
      <c r="P248" s="413"/>
      <c r="Q248" s="413"/>
      <c r="R248" s="413"/>
      <c r="S248" s="413"/>
      <c r="T248" s="413"/>
      <c r="U248" s="413"/>
      <c r="V248" s="413"/>
      <c r="W248" s="413"/>
      <c r="X248" s="575">
        <v>1</v>
      </c>
      <c r="Y248" s="1311"/>
    </row>
    <row r="249" spans="1:25" hidden="1">
      <c r="A249" s="428" t="s">
        <v>6268</v>
      </c>
      <c r="B249" s="413" t="s">
        <v>141</v>
      </c>
      <c r="C249" s="413" t="s">
        <v>4606</v>
      </c>
      <c r="D249" s="413" t="s">
        <v>8503</v>
      </c>
      <c r="E249" s="413" t="s">
        <v>8555</v>
      </c>
      <c r="F249" s="413"/>
      <c r="G249" s="413"/>
      <c r="H249" s="413"/>
      <c r="I249" s="413"/>
      <c r="J249" s="413"/>
      <c r="K249" s="413"/>
      <c r="L249" s="413"/>
      <c r="M249" s="413"/>
      <c r="N249" s="413"/>
      <c r="O249" s="413"/>
      <c r="P249" s="413"/>
      <c r="Q249" s="413"/>
      <c r="R249" s="413"/>
      <c r="S249" s="413"/>
      <c r="T249" s="413"/>
      <c r="U249" s="413"/>
      <c r="V249" s="413"/>
      <c r="W249" s="413"/>
      <c r="X249" s="575">
        <v>1</v>
      </c>
      <c r="Y249" s="1311"/>
    </row>
    <row r="250" spans="1:25" hidden="1">
      <c r="A250" s="428" t="s">
        <v>6268</v>
      </c>
      <c r="B250" s="413" t="s">
        <v>141</v>
      </c>
      <c r="C250" s="413" t="s">
        <v>4457</v>
      </c>
      <c r="D250" s="413" t="s">
        <v>8503</v>
      </c>
      <c r="E250" s="413" t="s">
        <v>8556</v>
      </c>
      <c r="F250" s="413"/>
      <c r="G250" s="413"/>
      <c r="H250" s="413"/>
      <c r="I250" s="413"/>
      <c r="J250" s="413"/>
      <c r="K250" s="413"/>
      <c r="L250" s="413"/>
      <c r="M250" s="413"/>
      <c r="N250" s="413"/>
      <c r="O250" s="413"/>
      <c r="P250" s="413"/>
      <c r="Q250" s="413"/>
      <c r="R250" s="413"/>
      <c r="S250" s="413"/>
      <c r="T250" s="413"/>
      <c r="U250" s="413"/>
      <c r="V250" s="413"/>
      <c r="W250" s="413"/>
      <c r="X250" s="575">
        <v>1</v>
      </c>
      <c r="Y250" s="1311"/>
    </row>
    <row r="251" spans="1:25" hidden="1">
      <c r="A251" s="428" t="s">
        <v>6268</v>
      </c>
      <c r="B251" s="413" t="s">
        <v>141</v>
      </c>
      <c r="C251" s="413" t="s">
        <v>4453</v>
      </c>
      <c r="D251" s="413" t="s">
        <v>8503</v>
      </c>
      <c r="E251" s="413" t="s">
        <v>8557</v>
      </c>
      <c r="F251" s="413"/>
      <c r="G251" s="413"/>
      <c r="H251" s="413"/>
      <c r="I251" s="413"/>
      <c r="J251" s="413"/>
      <c r="K251" s="413"/>
      <c r="L251" s="413"/>
      <c r="M251" s="413"/>
      <c r="N251" s="413"/>
      <c r="O251" s="413"/>
      <c r="P251" s="413"/>
      <c r="Q251" s="413"/>
      <c r="R251" s="413"/>
      <c r="S251" s="413"/>
      <c r="T251" s="413"/>
      <c r="U251" s="413"/>
      <c r="V251" s="413"/>
      <c r="W251" s="413"/>
      <c r="X251" s="575">
        <v>1</v>
      </c>
      <c r="Y251" s="1311"/>
    </row>
    <row r="252" spans="1:25" hidden="1">
      <c r="A252" s="428" t="s">
        <v>6268</v>
      </c>
      <c r="B252" s="413" t="s">
        <v>141</v>
      </c>
      <c r="C252" s="413" t="s">
        <v>4463</v>
      </c>
      <c r="D252" s="413" t="s">
        <v>8503</v>
      </c>
      <c r="E252" s="413" t="s">
        <v>8558</v>
      </c>
      <c r="F252" s="413"/>
      <c r="G252" s="413"/>
      <c r="H252" s="413"/>
      <c r="I252" s="413"/>
      <c r="J252" s="413"/>
      <c r="K252" s="413"/>
      <c r="L252" s="413"/>
      <c r="M252" s="413"/>
      <c r="N252" s="413"/>
      <c r="O252" s="413"/>
      <c r="P252" s="413"/>
      <c r="Q252" s="413"/>
      <c r="R252" s="413"/>
      <c r="S252" s="413"/>
      <c r="T252" s="413"/>
      <c r="U252" s="413"/>
      <c r="V252" s="413"/>
      <c r="W252" s="413"/>
      <c r="X252" s="575">
        <v>1</v>
      </c>
      <c r="Y252" s="1311"/>
    </row>
    <row r="253" spans="1:25" hidden="1">
      <c r="A253" s="428" t="s">
        <v>6268</v>
      </c>
      <c r="B253" s="413" t="s">
        <v>141</v>
      </c>
      <c r="C253" s="413" t="s">
        <v>4473</v>
      </c>
      <c r="D253" s="413" t="s">
        <v>8503</v>
      </c>
      <c r="E253" s="413" t="s">
        <v>8559</v>
      </c>
      <c r="F253" s="413"/>
      <c r="G253" s="413"/>
      <c r="H253" s="413"/>
      <c r="I253" s="413"/>
      <c r="J253" s="413"/>
      <c r="K253" s="413"/>
      <c r="L253" s="413"/>
      <c r="M253" s="413"/>
      <c r="N253" s="413"/>
      <c r="O253" s="413"/>
      <c r="P253" s="413"/>
      <c r="Q253" s="413"/>
      <c r="R253" s="413"/>
      <c r="S253" s="413"/>
      <c r="T253" s="413"/>
      <c r="U253" s="413"/>
      <c r="V253" s="413"/>
      <c r="W253" s="413"/>
      <c r="X253" s="575">
        <v>1</v>
      </c>
      <c r="Y253" s="1311"/>
    </row>
    <row r="254" spans="1:25" hidden="1">
      <c r="A254" s="428" t="s">
        <v>6268</v>
      </c>
      <c r="B254" s="413" t="s">
        <v>141</v>
      </c>
      <c r="C254" s="413" t="s">
        <v>4461</v>
      </c>
      <c r="D254" s="413" t="s">
        <v>8503</v>
      </c>
      <c r="E254" s="413" t="s">
        <v>8560</v>
      </c>
      <c r="F254" s="413"/>
      <c r="G254" s="413"/>
      <c r="H254" s="413"/>
      <c r="I254" s="413"/>
      <c r="J254" s="413"/>
      <c r="K254" s="413"/>
      <c r="L254" s="413"/>
      <c r="M254" s="413"/>
      <c r="N254" s="413"/>
      <c r="O254" s="413"/>
      <c r="P254" s="413"/>
      <c r="Q254" s="413"/>
      <c r="R254" s="413"/>
      <c r="S254" s="413"/>
      <c r="T254" s="413"/>
      <c r="U254" s="413"/>
      <c r="V254" s="413"/>
      <c r="W254" s="413"/>
      <c r="X254" s="575">
        <v>1</v>
      </c>
      <c r="Y254" s="1311"/>
    </row>
    <row r="255" spans="1:25" hidden="1">
      <c r="A255" s="428" t="s">
        <v>6268</v>
      </c>
      <c r="B255" s="413" t="s">
        <v>141</v>
      </c>
      <c r="C255" s="413" t="s">
        <v>4565</v>
      </c>
      <c r="D255" s="413" t="s">
        <v>8503</v>
      </c>
      <c r="E255" s="413" t="s">
        <v>8561</v>
      </c>
      <c r="F255" s="413"/>
      <c r="G255" s="413"/>
      <c r="H255" s="413"/>
      <c r="I255" s="413"/>
      <c r="J255" s="413"/>
      <c r="K255" s="413"/>
      <c r="L255" s="413"/>
      <c r="M255" s="413"/>
      <c r="N255" s="413"/>
      <c r="O255" s="413"/>
      <c r="P255" s="413"/>
      <c r="Q255" s="413"/>
      <c r="R255" s="413"/>
      <c r="S255" s="413"/>
      <c r="T255" s="413"/>
      <c r="U255" s="413"/>
      <c r="V255" s="413"/>
      <c r="W255" s="413"/>
      <c r="X255" s="575">
        <v>1</v>
      </c>
      <c r="Y255" s="1311"/>
    </row>
    <row r="256" spans="1:25" hidden="1">
      <c r="A256" s="428" t="s">
        <v>6268</v>
      </c>
      <c r="B256" s="413" t="s">
        <v>141</v>
      </c>
      <c r="C256" s="413" t="s">
        <v>4475</v>
      </c>
      <c r="D256" s="413" t="s">
        <v>8503</v>
      </c>
      <c r="E256" s="413" t="s">
        <v>8562</v>
      </c>
      <c r="F256" s="413"/>
      <c r="G256" s="413"/>
      <c r="H256" s="413"/>
      <c r="I256" s="413"/>
      <c r="J256" s="413"/>
      <c r="K256" s="413"/>
      <c r="L256" s="413"/>
      <c r="M256" s="413"/>
      <c r="N256" s="413"/>
      <c r="O256" s="413"/>
      <c r="P256" s="413"/>
      <c r="Q256" s="413"/>
      <c r="R256" s="413"/>
      <c r="S256" s="413"/>
      <c r="T256" s="413"/>
      <c r="U256" s="413"/>
      <c r="V256" s="413"/>
      <c r="W256" s="413"/>
      <c r="X256" s="575">
        <v>1</v>
      </c>
      <c r="Y256" s="1311"/>
    </row>
    <row r="257" spans="1:25" hidden="1">
      <c r="A257" s="428" t="s">
        <v>6268</v>
      </c>
      <c r="B257" s="413" t="s">
        <v>141</v>
      </c>
      <c r="C257" s="413" t="s">
        <v>4479</v>
      </c>
      <c r="D257" s="413" t="s">
        <v>8503</v>
      </c>
      <c r="E257" s="413" t="s">
        <v>8563</v>
      </c>
      <c r="F257" s="413"/>
      <c r="G257" s="413"/>
      <c r="H257" s="413"/>
      <c r="I257" s="413"/>
      <c r="J257" s="413"/>
      <c r="K257" s="413"/>
      <c r="L257" s="413"/>
      <c r="M257" s="413"/>
      <c r="N257" s="413"/>
      <c r="O257" s="413"/>
      <c r="P257" s="413"/>
      <c r="Q257" s="413"/>
      <c r="R257" s="413"/>
      <c r="S257" s="413"/>
      <c r="T257" s="413"/>
      <c r="U257" s="413"/>
      <c r="V257" s="413"/>
      <c r="W257" s="413"/>
      <c r="X257" s="575">
        <v>1</v>
      </c>
      <c r="Y257" s="1311"/>
    </row>
    <row r="258" spans="1:25" hidden="1">
      <c r="A258" s="428" t="s">
        <v>6268</v>
      </c>
      <c r="B258" s="413" t="s">
        <v>141</v>
      </c>
      <c r="C258" s="413" t="s">
        <v>4483</v>
      </c>
      <c r="D258" s="413" t="s">
        <v>8503</v>
      </c>
      <c r="E258" s="413" t="s">
        <v>8564</v>
      </c>
      <c r="F258" s="413"/>
      <c r="G258" s="413"/>
      <c r="H258" s="413"/>
      <c r="I258" s="413"/>
      <c r="J258" s="413"/>
      <c r="K258" s="413"/>
      <c r="L258" s="413"/>
      <c r="M258" s="413"/>
      <c r="N258" s="413"/>
      <c r="O258" s="413"/>
      <c r="P258" s="413"/>
      <c r="Q258" s="413"/>
      <c r="R258" s="413"/>
      <c r="S258" s="413"/>
      <c r="T258" s="413"/>
      <c r="U258" s="413"/>
      <c r="V258" s="413"/>
      <c r="W258" s="413"/>
      <c r="X258" s="575">
        <v>1</v>
      </c>
      <c r="Y258" s="1311"/>
    </row>
    <row r="259" spans="1:25" hidden="1">
      <c r="A259" s="428" t="s">
        <v>6268</v>
      </c>
      <c r="B259" s="413" t="s">
        <v>141</v>
      </c>
      <c r="C259" s="413" t="s">
        <v>4485</v>
      </c>
      <c r="D259" s="413" t="s">
        <v>8503</v>
      </c>
      <c r="E259" s="413" t="s">
        <v>8565</v>
      </c>
      <c r="F259" s="413"/>
      <c r="G259" s="413"/>
      <c r="H259" s="413"/>
      <c r="I259" s="413"/>
      <c r="J259" s="413"/>
      <c r="K259" s="413"/>
      <c r="L259" s="413"/>
      <c r="M259" s="413"/>
      <c r="N259" s="413"/>
      <c r="O259" s="413"/>
      <c r="P259" s="413"/>
      <c r="Q259" s="413"/>
      <c r="R259" s="413"/>
      <c r="S259" s="413"/>
      <c r="T259" s="413"/>
      <c r="U259" s="413"/>
      <c r="V259" s="413"/>
      <c r="W259" s="413"/>
      <c r="X259" s="575">
        <v>1</v>
      </c>
      <c r="Y259" s="1311"/>
    </row>
    <row r="260" spans="1:25" hidden="1">
      <c r="A260" s="428" t="s">
        <v>6268</v>
      </c>
      <c r="B260" s="413" t="s">
        <v>141</v>
      </c>
      <c r="C260" s="413" t="s">
        <v>4491</v>
      </c>
      <c r="D260" s="413" t="s">
        <v>8503</v>
      </c>
      <c r="E260" s="413" t="s">
        <v>8566</v>
      </c>
      <c r="F260" s="413"/>
      <c r="G260" s="413"/>
      <c r="H260" s="413"/>
      <c r="I260" s="413"/>
      <c r="J260" s="413"/>
      <c r="K260" s="413"/>
      <c r="L260" s="413"/>
      <c r="M260" s="413"/>
      <c r="N260" s="413"/>
      <c r="O260" s="413"/>
      <c r="P260" s="413"/>
      <c r="Q260" s="413"/>
      <c r="R260" s="413"/>
      <c r="S260" s="413"/>
      <c r="T260" s="413"/>
      <c r="U260" s="413"/>
      <c r="V260" s="413"/>
      <c r="W260" s="413"/>
      <c r="X260" s="575">
        <v>1</v>
      </c>
      <c r="Y260" s="1311"/>
    </row>
    <row r="261" spans="1:25" hidden="1">
      <c r="A261" s="428" t="s">
        <v>6268</v>
      </c>
      <c r="B261" s="413" t="s">
        <v>141</v>
      </c>
      <c r="C261" s="413" t="s">
        <v>4489</v>
      </c>
      <c r="D261" s="413" t="s">
        <v>8503</v>
      </c>
      <c r="E261" s="413" t="s">
        <v>8567</v>
      </c>
      <c r="F261" s="413"/>
      <c r="G261" s="413"/>
      <c r="H261" s="413"/>
      <c r="I261" s="413"/>
      <c r="J261" s="413"/>
      <c r="K261" s="413"/>
      <c r="L261" s="413"/>
      <c r="M261" s="413"/>
      <c r="N261" s="413"/>
      <c r="O261" s="413"/>
      <c r="P261" s="413"/>
      <c r="Q261" s="413"/>
      <c r="R261" s="413"/>
      <c r="S261" s="413"/>
      <c r="T261" s="413"/>
      <c r="U261" s="413"/>
      <c r="V261" s="413"/>
      <c r="W261" s="413"/>
      <c r="X261" s="575">
        <v>1</v>
      </c>
      <c r="Y261" s="1311"/>
    </row>
    <row r="262" spans="1:25" hidden="1">
      <c r="A262" s="428" t="s">
        <v>6268</v>
      </c>
      <c r="B262" s="413" t="s">
        <v>141</v>
      </c>
      <c r="C262" s="413" t="s">
        <v>4493</v>
      </c>
      <c r="D262" s="413" t="s">
        <v>8503</v>
      </c>
      <c r="E262" s="413" t="s">
        <v>8568</v>
      </c>
      <c r="F262" s="413"/>
      <c r="G262" s="413"/>
      <c r="H262" s="413"/>
      <c r="I262" s="413"/>
      <c r="J262" s="413"/>
      <c r="K262" s="413"/>
      <c r="L262" s="413"/>
      <c r="M262" s="413"/>
      <c r="N262" s="413"/>
      <c r="O262" s="413"/>
      <c r="P262" s="413"/>
      <c r="Q262" s="413"/>
      <c r="R262" s="413"/>
      <c r="S262" s="413"/>
      <c r="T262" s="413"/>
      <c r="U262" s="413"/>
      <c r="V262" s="413"/>
      <c r="W262" s="413"/>
      <c r="X262" s="575">
        <v>1</v>
      </c>
      <c r="Y262" s="1311"/>
    </row>
    <row r="263" spans="1:25" hidden="1">
      <c r="A263" s="428" t="s">
        <v>6268</v>
      </c>
      <c r="B263" s="413" t="s">
        <v>141</v>
      </c>
      <c r="C263" s="413" t="s">
        <v>4495</v>
      </c>
      <c r="D263" s="413" t="s">
        <v>8503</v>
      </c>
      <c r="E263" s="413" t="s">
        <v>8569</v>
      </c>
      <c r="F263" s="413"/>
      <c r="G263" s="413"/>
      <c r="H263" s="413"/>
      <c r="I263" s="413"/>
      <c r="J263" s="413"/>
      <c r="K263" s="413"/>
      <c r="L263" s="413"/>
      <c r="M263" s="413"/>
      <c r="N263" s="413"/>
      <c r="O263" s="413"/>
      <c r="P263" s="413"/>
      <c r="Q263" s="413"/>
      <c r="R263" s="413"/>
      <c r="S263" s="413"/>
      <c r="T263" s="413"/>
      <c r="U263" s="413"/>
      <c r="V263" s="413"/>
      <c r="W263" s="413"/>
      <c r="X263" s="575">
        <v>1</v>
      </c>
      <c r="Y263" s="1311"/>
    </row>
    <row r="264" spans="1:25" hidden="1">
      <c r="A264" s="428" t="s">
        <v>6268</v>
      </c>
      <c r="B264" s="413" t="s">
        <v>141</v>
      </c>
      <c r="C264" s="413" t="s">
        <v>4935</v>
      </c>
      <c r="D264" s="413" t="s">
        <v>8503</v>
      </c>
      <c r="E264" s="413" t="s">
        <v>8570</v>
      </c>
      <c r="F264" s="413"/>
      <c r="G264" s="413"/>
      <c r="H264" s="413"/>
      <c r="I264" s="413"/>
      <c r="J264" s="413"/>
      <c r="K264" s="413"/>
      <c r="L264" s="413"/>
      <c r="M264" s="413"/>
      <c r="N264" s="413"/>
      <c r="O264" s="413"/>
      <c r="P264" s="413"/>
      <c r="Q264" s="413"/>
      <c r="R264" s="413"/>
      <c r="S264" s="413"/>
      <c r="T264" s="413"/>
      <c r="U264" s="413"/>
      <c r="V264" s="413"/>
      <c r="W264" s="413"/>
      <c r="X264" s="575">
        <v>1</v>
      </c>
      <c r="Y264" s="1311"/>
    </row>
    <row r="265" spans="1:25" hidden="1">
      <c r="A265" s="428" t="s">
        <v>6268</v>
      </c>
      <c r="B265" s="413" t="s">
        <v>141</v>
      </c>
      <c r="C265" s="413" t="s">
        <v>4499</v>
      </c>
      <c r="D265" s="413" t="s">
        <v>8503</v>
      </c>
      <c r="E265" s="413" t="s">
        <v>8571</v>
      </c>
      <c r="F265" s="413"/>
      <c r="G265" s="413"/>
      <c r="H265" s="413"/>
      <c r="I265" s="413"/>
      <c r="J265" s="413"/>
      <c r="K265" s="413"/>
      <c r="L265" s="413"/>
      <c r="M265" s="413"/>
      <c r="N265" s="413"/>
      <c r="O265" s="413"/>
      <c r="P265" s="413"/>
      <c r="Q265" s="413"/>
      <c r="R265" s="413"/>
      <c r="S265" s="413"/>
      <c r="T265" s="413"/>
      <c r="U265" s="413"/>
      <c r="V265" s="413"/>
      <c r="W265" s="413"/>
      <c r="X265" s="575">
        <v>1</v>
      </c>
      <c r="Y265" s="1311"/>
    </row>
    <row r="266" spans="1:25" hidden="1">
      <c r="A266" s="428" t="s">
        <v>6268</v>
      </c>
      <c r="B266" s="413" t="s">
        <v>141</v>
      </c>
      <c r="C266" s="413" t="s">
        <v>4503</v>
      </c>
      <c r="D266" s="413" t="s">
        <v>8503</v>
      </c>
      <c r="E266" s="413" t="s">
        <v>8572</v>
      </c>
      <c r="F266" s="413"/>
      <c r="G266" s="413"/>
      <c r="H266" s="413"/>
      <c r="I266" s="413"/>
      <c r="J266" s="413"/>
      <c r="K266" s="413"/>
      <c r="L266" s="413"/>
      <c r="M266" s="413"/>
      <c r="N266" s="413"/>
      <c r="O266" s="413"/>
      <c r="P266" s="413"/>
      <c r="Q266" s="413"/>
      <c r="R266" s="413"/>
      <c r="S266" s="413"/>
      <c r="T266" s="413"/>
      <c r="U266" s="413"/>
      <c r="V266" s="413"/>
      <c r="W266" s="413"/>
      <c r="X266" s="575">
        <v>1</v>
      </c>
      <c r="Y266" s="1311"/>
    </row>
    <row r="267" spans="1:25" hidden="1">
      <c r="A267" s="428" t="s">
        <v>6268</v>
      </c>
      <c r="B267" s="413" t="s">
        <v>141</v>
      </c>
      <c r="C267" s="413" t="s">
        <v>4929</v>
      </c>
      <c r="D267" s="413" t="s">
        <v>8503</v>
      </c>
      <c r="E267" s="413" t="s">
        <v>8573</v>
      </c>
      <c r="F267" s="413"/>
      <c r="G267" s="413"/>
      <c r="H267" s="413"/>
      <c r="I267" s="413"/>
      <c r="J267" s="413"/>
      <c r="K267" s="413"/>
      <c r="L267" s="413"/>
      <c r="M267" s="413"/>
      <c r="N267" s="413"/>
      <c r="O267" s="413"/>
      <c r="P267" s="413"/>
      <c r="Q267" s="413"/>
      <c r="R267" s="413"/>
      <c r="S267" s="413"/>
      <c r="T267" s="413"/>
      <c r="U267" s="413"/>
      <c r="V267" s="413"/>
      <c r="W267" s="413"/>
      <c r="X267" s="575">
        <v>1</v>
      </c>
      <c r="Y267" s="1311"/>
    </row>
    <row r="268" spans="1:25" hidden="1">
      <c r="A268" s="428" t="s">
        <v>6268</v>
      </c>
      <c r="B268" s="413" t="s">
        <v>141</v>
      </c>
      <c r="C268" s="413" t="s">
        <v>4780</v>
      </c>
      <c r="D268" s="413" t="s">
        <v>8503</v>
      </c>
      <c r="E268" s="413" t="s">
        <v>8574</v>
      </c>
      <c r="F268" s="413"/>
      <c r="G268" s="413"/>
      <c r="H268" s="413"/>
      <c r="I268" s="413"/>
      <c r="J268" s="413"/>
      <c r="K268" s="413"/>
      <c r="L268" s="413"/>
      <c r="M268" s="413"/>
      <c r="N268" s="413"/>
      <c r="O268" s="413"/>
      <c r="P268" s="413"/>
      <c r="Q268" s="413"/>
      <c r="R268" s="413"/>
      <c r="S268" s="413"/>
      <c r="T268" s="413"/>
      <c r="U268" s="413"/>
      <c r="V268" s="413"/>
      <c r="W268" s="413"/>
      <c r="X268" s="575">
        <v>1</v>
      </c>
      <c r="Y268" s="1311"/>
    </row>
    <row r="269" spans="1:25" hidden="1">
      <c r="A269" s="428" t="s">
        <v>6268</v>
      </c>
      <c r="B269" s="413" t="s">
        <v>141</v>
      </c>
      <c r="C269" s="413" t="s">
        <v>4545</v>
      </c>
      <c r="D269" s="413" t="s">
        <v>8503</v>
      </c>
      <c r="E269" s="413" t="s">
        <v>8575</v>
      </c>
      <c r="F269" s="413"/>
      <c r="G269" s="413"/>
      <c r="H269" s="413"/>
      <c r="I269" s="413"/>
      <c r="J269" s="413"/>
      <c r="K269" s="413"/>
      <c r="L269" s="413"/>
      <c r="M269" s="413"/>
      <c r="N269" s="413"/>
      <c r="O269" s="413"/>
      <c r="P269" s="413"/>
      <c r="Q269" s="413"/>
      <c r="R269" s="413"/>
      <c r="S269" s="413"/>
      <c r="T269" s="413"/>
      <c r="U269" s="413"/>
      <c r="V269" s="413"/>
      <c r="W269" s="413"/>
      <c r="X269" s="575">
        <v>1</v>
      </c>
      <c r="Y269" s="1311"/>
    </row>
    <row r="270" spans="1:25" hidden="1">
      <c r="A270" s="428" t="s">
        <v>6268</v>
      </c>
      <c r="B270" s="413" t="s">
        <v>141</v>
      </c>
      <c r="C270" s="413" t="s">
        <v>4507</v>
      </c>
      <c r="D270" s="413" t="s">
        <v>8503</v>
      </c>
      <c r="E270" s="413" t="s">
        <v>8576</v>
      </c>
      <c r="F270" s="413"/>
      <c r="G270" s="413"/>
      <c r="H270" s="413"/>
      <c r="I270" s="413"/>
      <c r="J270" s="413"/>
      <c r="K270" s="413"/>
      <c r="L270" s="413"/>
      <c r="M270" s="413"/>
      <c r="N270" s="413"/>
      <c r="O270" s="413"/>
      <c r="P270" s="413"/>
      <c r="Q270" s="413"/>
      <c r="R270" s="413"/>
      <c r="S270" s="413"/>
      <c r="T270" s="413"/>
      <c r="U270" s="413"/>
      <c r="V270" s="413"/>
      <c r="W270" s="413"/>
      <c r="X270" s="575">
        <v>1</v>
      </c>
      <c r="Y270" s="1311"/>
    </row>
    <row r="271" spans="1:25" hidden="1">
      <c r="A271" s="428" t="s">
        <v>6268</v>
      </c>
      <c r="B271" s="413" t="s">
        <v>141</v>
      </c>
      <c r="C271" s="413" t="s">
        <v>4501</v>
      </c>
      <c r="D271" s="413" t="s">
        <v>8503</v>
      </c>
      <c r="E271" s="413" t="s">
        <v>8577</v>
      </c>
      <c r="F271" s="413"/>
      <c r="G271" s="413"/>
      <c r="H271" s="413"/>
      <c r="I271" s="413"/>
      <c r="J271" s="413"/>
      <c r="K271" s="413"/>
      <c r="L271" s="413"/>
      <c r="M271" s="413"/>
      <c r="N271" s="413"/>
      <c r="O271" s="413"/>
      <c r="P271" s="413"/>
      <c r="Q271" s="413"/>
      <c r="R271" s="413"/>
      <c r="S271" s="413"/>
      <c r="T271" s="413"/>
      <c r="U271" s="413"/>
      <c r="V271" s="413"/>
      <c r="W271" s="413"/>
      <c r="X271" s="575">
        <v>1</v>
      </c>
      <c r="Y271" s="1311"/>
    </row>
    <row r="272" spans="1:25" hidden="1">
      <c r="A272" s="428" t="s">
        <v>6268</v>
      </c>
      <c r="B272" s="413" t="s">
        <v>141</v>
      </c>
      <c r="C272" s="413" t="s">
        <v>4511</v>
      </c>
      <c r="D272" s="413" t="s">
        <v>8503</v>
      </c>
      <c r="E272" s="413" t="s">
        <v>8578</v>
      </c>
      <c r="F272" s="413"/>
      <c r="G272" s="413"/>
      <c r="H272" s="413"/>
      <c r="I272" s="413"/>
      <c r="J272" s="413"/>
      <c r="K272" s="413"/>
      <c r="L272" s="413"/>
      <c r="M272" s="413"/>
      <c r="N272" s="413"/>
      <c r="O272" s="413"/>
      <c r="P272" s="413"/>
      <c r="Q272" s="413"/>
      <c r="R272" s="413"/>
      <c r="S272" s="413"/>
      <c r="T272" s="413"/>
      <c r="U272" s="413"/>
      <c r="V272" s="413"/>
      <c r="W272" s="413"/>
      <c r="X272" s="575">
        <v>1</v>
      </c>
      <c r="Y272" s="1311"/>
    </row>
    <row r="273" spans="1:25" hidden="1">
      <c r="A273" s="428" t="s">
        <v>6268</v>
      </c>
      <c r="B273" s="413" t="s">
        <v>141</v>
      </c>
      <c r="C273" s="413" t="s">
        <v>5053</v>
      </c>
      <c r="D273" s="413" t="s">
        <v>8503</v>
      </c>
      <c r="E273" s="413" t="s">
        <v>8579</v>
      </c>
      <c r="F273" s="413"/>
      <c r="G273" s="413"/>
      <c r="H273" s="413"/>
      <c r="I273" s="413"/>
      <c r="J273" s="413"/>
      <c r="K273" s="413"/>
      <c r="L273" s="413"/>
      <c r="M273" s="413"/>
      <c r="N273" s="413"/>
      <c r="O273" s="413"/>
      <c r="P273" s="413"/>
      <c r="Q273" s="413"/>
      <c r="R273" s="413"/>
      <c r="S273" s="413"/>
      <c r="T273" s="413"/>
      <c r="U273" s="413"/>
      <c r="V273" s="413"/>
      <c r="W273" s="413"/>
      <c r="X273" s="575">
        <v>1</v>
      </c>
      <c r="Y273" s="1311"/>
    </row>
    <row r="274" spans="1:25" hidden="1">
      <c r="A274" s="428" t="s">
        <v>6268</v>
      </c>
      <c r="B274" s="413" t="s">
        <v>141</v>
      </c>
      <c r="C274" s="413" t="s">
        <v>4517</v>
      </c>
      <c r="D274" s="413" t="s">
        <v>8503</v>
      </c>
      <c r="E274" s="413" t="s">
        <v>8580</v>
      </c>
      <c r="F274" s="413"/>
      <c r="G274" s="413"/>
      <c r="H274" s="413"/>
      <c r="I274" s="413"/>
      <c r="J274" s="413"/>
      <c r="K274" s="413"/>
      <c r="L274" s="413"/>
      <c r="M274" s="413"/>
      <c r="N274" s="413"/>
      <c r="O274" s="413"/>
      <c r="P274" s="413"/>
      <c r="Q274" s="413"/>
      <c r="R274" s="413"/>
      <c r="S274" s="413"/>
      <c r="T274" s="413"/>
      <c r="U274" s="413"/>
      <c r="V274" s="413"/>
      <c r="W274" s="413"/>
      <c r="X274" s="575">
        <v>1</v>
      </c>
      <c r="Y274" s="1311"/>
    </row>
    <row r="275" spans="1:25" hidden="1">
      <c r="A275" s="428" t="s">
        <v>6268</v>
      </c>
      <c r="B275" s="413" t="s">
        <v>141</v>
      </c>
      <c r="C275" s="413" t="s">
        <v>4521</v>
      </c>
      <c r="D275" s="413" t="s">
        <v>8503</v>
      </c>
      <c r="E275" s="413" t="s">
        <v>8581</v>
      </c>
      <c r="F275" s="413"/>
      <c r="G275" s="413"/>
      <c r="H275" s="413"/>
      <c r="I275" s="413"/>
      <c r="J275" s="413"/>
      <c r="K275" s="413"/>
      <c r="L275" s="413"/>
      <c r="M275" s="413"/>
      <c r="N275" s="413"/>
      <c r="O275" s="413"/>
      <c r="P275" s="413"/>
      <c r="Q275" s="413"/>
      <c r="R275" s="413"/>
      <c r="S275" s="413"/>
      <c r="T275" s="413"/>
      <c r="U275" s="413"/>
      <c r="V275" s="413"/>
      <c r="W275" s="413"/>
      <c r="X275" s="575">
        <v>1</v>
      </c>
      <c r="Y275" s="1311"/>
    </row>
    <row r="276" spans="1:25" hidden="1">
      <c r="A276" s="428" t="s">
        <v>6268</v>
      </c>
      <c r="B276" s="413" t="s">
        <v>141</v>
      </c>
      <c r="C276" s="413" t="s">
        <v>4515</v>
      </c>
      <c r="D276" s="413" t="s">
        <v>8503</v>
      </c>
      <c r="E276" s="413" t="s">
        <v>8582</v>
      </c>
      <c r="F276" s="413"/>
      <c r="G276" s="413"/>
      <c r="H276" s="413"/>
      <c r="I276" s="413"/>
      <c r="J276" s="413"/>
      <c r="K276" s="413"/>
      <c r="L276" s="413"/>
      <c r="M276" s="413"/>
      <c r="N276" s="413"/>
      <c r="O276" s="413"/>
      <c r="P276" s="413"/>
      <c r="Q276" s="413"/>
      <c r="R276" s="413"/>
      <c r="S276" s="413"/>
      <c r="T276" s="413"/>
      <c r="U276" s="413"/>
      <c r="V276" s="413"/>
      <c r="W276" s="413"/>
      <c r="X276" s="575">
        <v>1</v>
      </c>
      <c r="Y276" s="1311"/>
    </row>
    <row r="277" spans="1:25" hidden="1">
      <c r="A277" s="428" t="s">
        <v>6268</v>
      </c>
      <c r="B277" s="413" t="s">
        <v>141</v>
      </c>
      <c r="C277" s="413" t="s">
        <v>4513</v>
      </c>
      <c r="D277" s="413" t="s">
        <v>8503</v>
      </c>
      <c r="E277" s="413" t="s">
        <v>8583</v>
      </c>
      <c r="F277" s="413"/>
      <c r="G277" s="413"/>
      <c r="H277" s="413"/>
      <c r="I277" s="413"/>
      <c r="J277" s="413"/>
      <c r="K277" s="413"/>
      <c r="L277" s="413"/>
      <c r="M277" s="413"/>
      <c r="N277" s="413"/>
      <c r="O277" s="413"/>
      <c r="P277" s="413"/>
      <c r="Q277" s="413"/>
      <c r="R277" s="413"/>
      <c r="S277" s="413"/>
      <c r="T277" s="413"/>
      <c r="U277" s="413"/>
      <c r="V277" s="413"/>
      <c r="W277" s="413"/>
      <c r="X277" s="575">
        <v>1</v>
      </c>
      <c r="Y277" s="1311"/>
    </row>
    <row r="278" spans="1:25" hidden="1">
      <c r="A278" s="428" t="s">
        <v>6268</v>
      </c>
      <c r="B278" s="413" t="s">
        <v>141</v>
      </c>
      <c r="C278" s="413" t="s">
        <v>4523</v>
      </c>
      <c r="D278" s="413" t="s">
        <v>8503</v>
      </c>
      <c r="E278" s="413" t="s">
        <v>8584</v>
      </c>
      <c r="F278" s="413"/>
      <c r="G278" s="413"/>
      <c r="H278" s="413"/>
      <c r="I278" s="413"/>
      <c r="J278" s="413"/>
      <c r="K278" s="413"/>
      <c r="L278" s="413"/>
      <c r="M278" s="413"/>
      <c r="N278" s="413"/>
      <c r="O278" s="413"/>
      <c r="P278" s="413"/>
      <c r="Q278" s="413"/>
      <c r="R278" s="413"/>
      <c r="S278" s="413"/>
      <c r="T278" s="413"/>
      <c r="U278" s="413"/>
      <c r="V278" s="413"/>
      <c r="W278" s="413"/>
      <c r="X278" s="575">
        <v>1</v>
      </c>
      <c r="Y278" s="1311"/>
    </row>
    <row r="279" spans="1:25" hidden="1">
      <c r="A279" s="428" t="s">
        <v>6268</v>
      </c>
      <c r="B279" s="413" t="s">
        <v>141</v>
      </c>
      <c r="C279" s="413" t="s">
        <v>4523</v>
      </c>
      <c r="D279" s="413" t="s">
        <v>8503</v>
      </c>
      <c r="E279" s="413" t="s">
        <v>8585</v>
      </c>
      <c r="F279" s="413"/>
      <c r="G279" s="413"/>
      <c r="H279" s="413"/>
      <c r="I279" s="413"/>
      <c r="J279" s="413"/>
      <c r="K279" s="413"/>
      <c r="L279" s="413"/>
      <c r="M279" s="413"/>
      <c r="N279" s="413"/>
      <c r="O279" s="413"/>
      <c r="P279" s="413"/>
      <c r="Q279" s="413"/>
      <c r="R279" s="413"/>
      <c r="S279" s="413"/>
      <c r="T279" s="413"/>
      <c r="U279" s="413"/>
      <c r="V279" s="413"/>
      <c r="W279" s="413"/>
      <c r="X279" s="575">
        <v>1</v>
      </c>
      <c r="Y279" s="1311"/>
    </row>
    <row r="280" spans="1:25" hidden="1">
      <c r="A280" s="428" t="s">
        <v>6268</v>
      </c>
      <c r="B280" s="413" t="s">
        <v>141</v>
      </c>
      <c r="C280" s="413" t="s">
        <v>4523</v>
      </c>
      <c r="D280" s="413" t="s">
        <v>8503</v>
      </c>
      <c r="E280" s="413" t="s">
        <v>8586</v>
      </c>
      <c r="F280" s="413"/>
      <c r="G280" s="413"/>
      <c r="H280" s="413"/>
      <c r="I280" s="413"/>
      <c r="J280" s="413"/>
      <c r="K280" s="413"/>
      <c r="L280" s="413"/>
      <c r="M280" s="413"/>
      <c r="N280" s="413"/>
      <c r="O280" s="413"/>
      <c r="P280" s="413"/>
      <c r="Q280" s="413"/>
      <c r="R280" s="413"/>
      <c r="S280" s="413"/>
      <c r="T280" s="413"/>
      <c r="U280" s="413"/>
      <c r="V280" s="413"/>
      <c r="W280" s="413"/>
      <c r="X280" s="575">
        <v>1</v>
      </c>
      <c r="Y280" s="1311"/>
    </row>
    <row r="281" spans="1:25" hidden="1">
      <c r="A281" s="428" t="s">
        <v>6268</v>
      </c>
      <c r="B281" s="413" t="s">
        <v>141</v>
      </c>
      <c r="C281" s="413" t="s">
        <v>4523</v>
      </c>
      <c r="D281" s="413" t="s">
        <v>8503</v>
      </c>
      <c r="E281" s="413" t="s">
        <v>8587</v>
      </c>
      <c r="F281" s="413"/>
      <c r="G281" s="413"/>
      <c r="H281" s="413"/>
      <c r="I281" s="413"/>
      <c r="J281" s="413"/>
      <c r="K281" s="413"/>
      <c r="L281" s="413"/>
      <c r="M281" s="413"/>
      <c r="N281" s="413"/>
      <c r="O281" s="413"/>
      <c r="P281" s="413"/>
      <c r="Q281" s="413"/>
      <c r="R281" s="413"/>
      <c r="S281" s="413"/>
      <c r="T281" s="413"/>
      <c r="U281" s="413"/>
      <c r="V281" s="413"/>
      <c r="W281" s="413"/>
      <c r="X281" s="575">
        <v>1</v>
      </c>
      <c r="Y281" s="1311"/>
    </row>
    <row r="282" spans="1:25" hidden="1">
      <c r="A282" s="428" t="s">
        <v>6268</v>
      </c>
      <c r="B282" s="413" t="s">
        <v>141</v>
      </c>
      <c r="C282" s="413" t="s">
        <v>4523</v>
      </c>
      <c r="D282" s="413" t="s">
        <v>8503</v>
      </c>
      <c r="E282" s="413" t="s">
        <v>8588</v>
      </c>
      <c r="F282" s="413"/>
      <c r="G282" s="413"/>
      <c r="H282" s="413"/>
      <c r="I282" s="413"/>
      <c r="J282" s="413"/>
      <c r="K282" s="413"/>
      <c r="L282" s="413"/>
      <c r="M282" s="413"/>
      <c r="N282" s="413"/>
      <c r="O282" s="413"/>
      <c r="P282" s="413"/>
      <c r="Q282" s="413"/>
      <c r="R282" s="413"/>
      <c r="S282" s="413"/>
      <c r="T282" s="413"/>
      <c r="U282" s="413"/>
      <c r="V282" s="413"/>
      <c r="W282" s="413"/>
      <c r="X282" s="575">
        <v>1</v>
      </c>
      <c r="Y282" s="1311"/>
    </row>
    <row r="283" spans="1:25" hidden="1">
      <c r="A283" s="428" t="s">
        <v>6268</v>
      </c>
      <c r="B283" s="413" t="s">
        <v>141</v>
      </c>
      <c r="C283" s="413" t="s">
        <v>4523</v>
      </c>
      <c r="D283" s="413" t="s">
        <v>8503</v>
      </c>
      <c r="E283" s="413" t="s">
        <v>8589</v>
      </c>
      <c r="F283" s="413"/>
      <c r="G283" s="413"/>
      <c r="H283" s="413"/>
      <c r="I283" s="413"/>
      <c r="J283" s="413"/>
      <c r="K283" s="413"/>
      <c r="L283" s="413"/>
      <c r="M283" s="413"/>
      <c r="N283" s="413"/>
      <c r="O283" s="413"/>
      <c r="P283" s="413"/>
      <c r="Q283" s="413"/>
      <c r="R283" s="413"/>
      <c r="S283" s="413"/>
      <c r="T283" s="413"/>
      <c r="U283" s="413"/>
      <c r="V283" s="413"/>
      <c r="W283" s="413"/>
      <c r="X283" s="575">
        <v>1</v>
      </c>
      <c r="Y283" s="1311"/>
    </row>
    <row r="284" spans="1:25" hidden="1">
      <c r="A284" s="428" t="s">
        <v>6268</v>
      </c>
      <c r="B284" s="413" t="s">
        <v>141</v>
      </c>
      <c r="C284" s="413" t="s">
        <v>4523</v>
      </c>
      <c r="D284" s="413" t="s">
        <v>8503</v>
      </c>
      <c r="E284" s="413" t="s">
        <v>8590</v>
      </c>
      <c r="F284" s="413"/>
      <c r="G284" s="413"/>
      <c r="H284" s="413"/>
      <c r="I284" s="413"/>
      <c r="J284" s="413"/>
      <c r="K284" s="413"/>
      <c r="L284" s="413"/>
      <c r="M284" s="413"/>
      <c r="N284" s="413"/>
      <c r="O284" s="413"/>
      <c r="P284" s="413"/>
      <c r="Q284" s="413"/>
      <c r="R284" s="413"/>
      <c r="S284" s="413"/>
      <c r="T284" s="413"/>
      <c r="U284" s="413"/>
      <c r="V284" s="413"/>
      <c r="W284" s="413"/>
      <c r="X284" s="575">
        <v>1</v>
      </c>
      <c r="Y284" s="1311"/>
    </row>
    <row r="285" spans="1:25" hidden="1">
      <c r="A285" s="428" t="s">
        <v>6268</v>
      </c>
      <c r="B285" s="413" t="s">
        <v>141</v>
      </c>
      <c r="C285" s="413" t="s">
        <v>4714</v>
      </c>
      <c r="D285" s="413" t="s">
        <v>8503</v>
      </c>
      <c r="E285" s="413" t="s">
        <v>8591</v>
      </c>
      <c r="F285" s="413"/>
      <c r="G285" s="413"/>
      <c r="H285" s="413"/>
      <c r="I285" s="413"/>
      <c r="J285" s="413"/>
      <c r="K285" s="413"/>
      <c r="L285" s="413"/>
      <c r="M285" s="413"/>
      <c r="N285" s="413"/>
      <c r="O285" s="413"/>
      <c r="P285" s="413"/>
      <c r="Q285" s="413"/>
      <c r="R285" s="413"/>
      <c r="S285" s="413"/>
      <c r="T285" s="413"/>
      <c r="U285" s="413"/>
      <c r="V285" s="413"/>
      <c r="W285" s="413"/>
      <c r="X285" s="575">
        <v>1</v>
      </c>
      <c r="Y285" s="1311"/>
    </row>
    <row r="286" spans="1:25" hidden="1">
      <c r="A286" s="428" t="s">
        <v>6268</v>
      </c>
      <c r="B286" s="413" t="s">
        <v>141</v>
      </c>
      <c r="C286" s="413" t="s">
        <v>4792</v>
      </c>
      <c r="D286" s="413" t="s">
        <v>8503</v>
      </c>
      <c r="E286" s="413" t="s">
        <v>8592</v>
      </c>
      <c r="F286" s="413"/>
      <c r="G286" s="413"/>
      <c r="H286" s="413"/>
      <c r="I286" s="413"/>
      <c r="J286" s="413"/>
      <c r="K286" s="413"/>
      <c r="L286" s="413"/>
      <c r="M286" s="413"/>
      <c r="N286" s="413"/>
      <c r="O286" s="413"/>
      <c r="P286" s="413"/>
      <c r="Q286" s="413"/>
      <c r="R286" s="413"/>
      <c r="S286" s="413"/>
      <c r="T286" s="413"/>
      <c r="U286" s="413"/>
      <c r="V286" s="413"/>
      <c r="W286" s="413"/>
      <c r="X286" s="575">
        <v>1</v>
      </c>
      <c r="Y286" s="1311"/>
    </row>
    <row r="287" spans="1:25" hidden="1">
      <c r="A287" s="428" t="s">
        <v>6268</v>
      </c>
      <c r="B287" s="413" t="s">
        <v>141</v>
      </c>
      <c r="C287" s="413" t="s">
        <v>4525</v>
      </c>
      <c r="D287" s="413" t="s">
        <v>8503</v>
      </c>
      <c r="E287" s="413" t="s">
        <v>8593</v>
      </c>
      <c r="F287" s="413"/>
      <c r="G287" s="413"/>
      <c r="H287" s="413"/>
      <c r="I287" s="413"/>
      <c r="J287" s="413"/>
      <c r="K287" s="413"/>
      <c r="L287" s="413"/>
      <c r="M287" s="413"/>
      <c r="N287" s="413"/>
      <c r="O287" s="413"/>
      <c r="P287" s="413"/>
      <c r="Q287" s="413"/>
      <c r="R287" s="413"/>
      <c r="S287" s="413"/>
      <c r="T287" s="413"/>
      <c r="U287" s="413"/>
      <c r="V287" s="413"/>
      <c r="W287" s="413"/>
      <c r="X287" s="575">
        <v>1</v>
      </c>
      <c r="Y287" s="1311"/>
    </row>
    <row r="288" spans="1:25" hidden="1">
      <c r="A288" s="428" t="s">
        <v>6268</v>
      </c>
      <c r="B288" s="413" t="s">
        <v>141</v>
      </c>
      <c r="C288" s="413" t="s">
        <v>4541</v>
      </c>
      <c r="D288" s="413" t="s">
        <v>8503</v>
      </c>
      <c r="E288" s="413" t="s">
        <v>8594</v>
      </c>
      <c r="F288" s="413"/>
      <c r="G288" s="413"/>
      <c r="H288" s="413"/>
      <c r="I288" s="413"/>
      <c r="J288" s="413"/>
      <c r="K288" s="413"/>
      <c r="L288" s="413"/>
      <c r="M288" s="413"/>
      <c r="N288" s="413"/>
      <c r="O288" s="413"/>
      <c r="P288" s="413"/>
      <c r="Q288" s="413"/>
      <c r="R288" s="413"/>
      <c r="S288" s="413"/>
      <c r="T288" s="413"/>
      <c r="U288" s="413"/>
      <c r="V288" s="413"/>
      <c r="W288" s="413"/>
      <c r="X288" s="575">
        <v>1</v>
      </c>
      <c r="Y288" s="1311"/>
    </row>
    <row r="289" spans="1:25" hidden="1">
      <c r="A289" s="428" t="s">
        <v>6268</v>
      </c>
      <c r="B289" s="413" t="s">
        <v>141</v>
      </c>
      <c r="C289" s="413" t="s">
        <v>4531</v>
      </c>
      <c r="D289" s="413" t="s">
        <v>8503</v>
      </c>
      <c r="E289" s="413" t="s">
        <v>8595</v>
      </c>
      <c r="F289" s="413"/>
      <c r="G289" s="413"/>
      <c r="H289" s="413"/>
      <c r="I289" s="413"/>
      <c r="J289" s="413"/>
      <c r="K289" s="413"/>
      <c r="L289" s="413"/>
      <c r="M289" s="413"/>
      <c r="N289" s="413"/>
      <c r="O289" s="413"/>
      <c r="P289" s="413"/>
      <c r="Q289" s="413"/>
      <c r="R289" s="413"/>
      <c r="S289" s="413"/>
      <c r="T289" s="413"/>
      <c r="U289" s="413"/>
      <c r="V289" s="413"/>
      <c r="W289" s="413"/>
      <c r="X289" s="575">
        <v>1</v>
      </c>
      <c r="Y289" s="1311"/>
    </row>
    <row r="290" spans="1:25" hidden="1">
      <c r="A290" s="428" t="s">
        <v>6268</v>
      </c>
      <c r="B290" s="413" t="s">
        <v>141</v>
      </c>
      <c r="C290" s="413" t="s">
        <v>4487</v>
      </c>
      <c r="D290" s="413" t="s">
        <v>8503</v>
      </c>
      <c r="E290" s="413" t="s">
        <v>8596</v>
      </c>
      <c r="F290" s="413"/>
      <c r="G290" s="413"/>
      <c r="H290" s="413"/>
      <c r="I290" s="413"/>
      <c r="J290" s="413"/>
      <c r="K290" s="413"/>
      <c r="L290" s="413"/>
      <c r="M290" s="413"/>
      <c r="N290" s="413"/>
      <c r="O290" s="413"/>
      <c r="P290" s="413"/>
      <c r="Q290" s="413"/>
      <c r="R290" s="413"/>
      <c r="S290" s="413"/>
      <c r="T290" s="413"/>
      <c r="U290" s="413"/>
      <c r="V290" s="413"/>
      <c r="W290" s="413"/>
      <c r="X290" s="575">
        <v>1</v>
      </c>
      <c r="Y290" s="1311"/>
    </row>
    <row r="291" spans="1:25" hidden="1">
      <c r="A291" s="428" t="s">
        <v>6268</v>
      </c>
      <c r="B291" s="413" t="s">
        <v>141</v>
      </c>
      <c r="C291" s="413" t="s">
        <v>4535</v>
      </c>
      <c r="D291" s="413" t="s">
        <v>8503</v>
      </c>
      <c r="E291" s="413" t="s">
        <v>8597</v>
      </c>
      <c r="F291" s="413"/>
      <c r="G291" s="413"/>
      <c r="H291" s="413"/>
      <c r="I291" s="413"/>
      <c r="J291" s="413"/>
      <c r="K291" s="413"/>
      <c r="L291" s="413"/>
      <c r="M291" s="413"/>
      <c r="N291" s="413"/>
      <c r="O291" s="413"/>
      <c r="P291" s="413"/>
      <c r="Q291" s="413"/>
      <c r="R291" s="413"/>
      <c r="S291" s="413"/>
      <c r="T291" s="413"/>
      <c r="U291" s="413"/>
      <c r="V291" s="413"/>
      <c r="W291" s="413"/>
      <c r="X291" s="575">
        <v>1</v>
      </c>
      <c r="Y291" s="1311"/>
    </row>
    <row r="292" spans="1:25" hidden="1">
      <c r="A292" s="428" t="s">
        <v>6268</v>
      </c>
      <c r="B292" s="413" t="s">
        <v>141</v>
      </c>
      <c r="C292" s="413" t="s">
        <v>4537</v>
      </c>
      <c r="D292" s="413" t="s">
        <v>8503</v>
      </c>
      <c r="E292" s="413" t="s">
        <v>8598</v>
      </c>
      <c r="F292" s="413"/>
      <c r="G292" s="413"/>
      <c r="H292" s="413"/>
      <c r="I292" s="413"/>
      <c r="J292" s="413"/>
      <c r="K292" s="413"/>
      <c r="L292" s="413"/>
      <c r="M292" s="413"/>
      <c r="N292" s="413"/>
      <c r="O292" s="413"/>
      <c r="P292" s="413"/>
      <c r="Q292" s="413"/>
      <c r="R292" s="413"/>
      <c r="S292" s="413"/>
      <c r="T292" s="413"/>
      <c r="U292" s="413"/>
      <c r="V292" s="413"/>
      <c r="W292" s="413"/>
      <c r="X292" s="575">
        <v>1</v>
      </c>
      <c r="Y292" s="1311"/>
    </row>
    <row r="293" spans="1:25" hidden="1">
      <c r="A293" s="428" t="s">
        <v>6268</v>
      </c>
      <c r="B293" s="413" t="s">
        <v>141</v>
      </c>
      <c r="C293" s="413" t="s">
        <v>4547</v>
      </c>
      <c r="D293" s="413" t="s">
        <v>8503</v>
      </c>
      <c r="E293" s="413" t="s">
        <v>8599</v>
      </c>
      <c r="F293" s="413"/>
      <c r="G293" s="413"/>
      <c r="H293" s="413"/>
      <c r="I293" s="413"/>
      <c r="J293" s="413"/>
      <c r="K293" s="413"/>
      <c r="L293" s="413"/>
      <c r="M293" s="413"/>
      <c r="N293" s="413"/>
      <c r="O293" s="413"/>
      <c r="P293" s="413"/>
      <c r="Q293" s="413"/>
      <c r="R293" s="413"/>
      <c r="S293" s="413"/>
      <c r="T293" s="413"/>
      <c r="U293" s="413"/>
      <c r="V293" s="413"/>
      <c r="W293" s="413"/>
      <c r="X293" s="575">
        <v>1</v>
      </c>
      <c r="Y293" s="1311"/>
    </row>
    <row r="294" spans="1:25" hidden="1">
      <c r="A294" s="428" t="s">
        <v>6268</v>
      </c>
      <c r="B294" s="413" t="s">
        <v>141</v>
      </c>
      <c r="C294" s="413" t="s">
        <v>4539</v>
      </c>
      <c r="D294" s="413" t="s">
        <v>8503</v>
      </c>
      <c r="E294" s="413" t="s">
        <v>8600</v>
      </c>
      <c r="F294" s="413"/>
      <c r="G294" s="413"/>
      <c r="H294" s="413"/>
      <c r="I294" s="413"/>
      <c r="J294" s="413"/>
      <c r="K294" s="413"/>
      <c r="L294" s="413"/>
      <c r="M294" s="413"/>
      <c r="N294" s="413"/>
      <c r="O294" s="413"/>
      <c r="P294" s="413"/>
      <c r="Q294" s="413"/>
      <c r="R294" s="413"/>
      <c r="S294" s="413"/>
      <c r="T294" s="413"/>
      <c r="U294" s="413"/>
      <c r="V294" s="413"/>
      <c r="W294" s="413"/>
      <c r="X294" s="575">
        <v>1</v>
      </c>
      <c r="Y294" s="1311"/>
    </row>
    <row r="295" spans="1:25" hidden="1">
      <c r="A295" s="428" t="s">
        <v>6268</v>
      </c>
      <c r="B295" s="413" t="s">
        <v>141</v>
      </c>
      <c r="C295" s="413" t="s">
        <v>4529</v>
      </c>
      <c r="D295" s="413" t="s">
        <v>8503</v>
      </c>
      <c r="E295" s="413" t="s">
        <v>8601</v>
      </c>
      <c r="F295" s="413"/>
      <c r="G295" s="413"/>
      <c r="H295" s="413"/>
      <c r="I295" s="413"/>
      <c r="J295" s="413"/>
      <c r="K295" s="413"/>
      <c r="L295" s="413"/>
      <c r="M295" s="413"/>
      <c r="N295" s="413"/>
      <c r="O295" s="413"/>
      <c r="P295" s="413"/>
      <c r="Q295" s="413"/>
      <c r="R295" s="413"/>
      <c r="S295" s="413"/>
      <c r="T295" s="413"/>
      <c r="U295" s="413"/>
      <c r="V295" s="413"/>
      <c r="W295" s="413"/>
      <c r="X295" s="575">
        <v>1</v>
      </c>
      <c r="Y295" s="1311"/>
    </row>
    <row r="296" spans="1:25" hidden="1">
      <c r="A296" s="428" t="s">
        <v>6268</v>
      </c>
      <c r="B296" s="413" t="s">
        <v>141</v>
      </c>
      <c r="C296" s="413" t="s">
        <v>4553</v>
      </c>
      <c r="D296" s="413" t="s">
        <v>8503</v>
      </c>
      <c r="E296" s="413" t="s">
        <v>8602</v>
      </c>
      <c r="F296" s="413"/>
      <c r="G296" s="413"/>
      <c r="H296" s="413"/>
      <c r="I296" s="413"/>
      <c r="J296" s="413"/>
      <c r="K296" s="413"/>
      <c r="L296" s="413"/>
      <c r="M296" s="413"/>
      <c r="N296" s="413"/>
      <c r="O296" s="413"/>
      <c r="P296" s="413"/>
      <c r="Q296" s="413"/>
      <c r="R296" s="413"/>
      <c r="S296" s="413"/>
      <c r="T296" s="413"/>
      <c r="U296" s="413"/>
      <c r="V296" s="413"/>
      <c r="W296" s="413"/>
      <c r="X296" s="575">
        <v>1</v>
      </c>
      <c r="Y296" s="1311"/>
    </row>
    <row r="297" spans="1:25" hidden="1">
      <c r="A297" s="428" t="s">
        <v>6268</v>
      </c>
      <c r="B297" s="413" t="s">
        <v>141</v>
      </c>
      <c r="C297" s="413" t="s">
        <v>4551</v>
      </c>
      <c r="D297" s="413" t="s">
        <v>8503</v>
      </c>
      <c r="E297" s="413" t="s">
        <v>8603</v>
      </c>
      <c r="F297" s="413"/>
      <c r="G297" s="413"/>
      <c r="H297" s="413"/>
      <c r="I297" s="413"/>
      <c r="J297" s="413"/>
      <c r="K297" s="413"/>
      <c r="L297" s="413"/>
      <c r="M297" s="413"/>
      <c r="N297" s="413"/>
      <c r="O297" s="413"/>
      <c r="P297" s="413"/>
      <c r="Q297" s="413"/>
      <c r="R297" s="413"/>
      <c r="S297" s="413"/>
      <c r="T297" s="413"/>
      <c r="U297" s="413"/>
      <c r="V297" s="413"/>
      <c r="W297" s="413"/>
      <c r="X297" s="575">
        <v>1</v>
      </c>
      <c r="Y297" s="1311"/>
    </row>
    <row r="298" spans="1:25" hidden="1">
      <c r="A298" s="428" t="s">
        <v>6268</v>
      </c>
      <c r="B298" s="413" t="s">
        <v>141</v>
      </c>
      <c r="C298" s="413" t="s">
        <v>4533</v>
      </c>
      <c r="D298" s="413" t="s">
        <v>8503</v>
      </c>
      <c r="E298" s="413" t="s">
        <v>8604</v>
      </c>
      <c r="F298" s="413"/>
      <c r="G298" s="413"/>
      <c r="H298" s="413"/>
      <c r="I298" s="413"/>
      <c r="J298" s="413"/>
      <c r="K298" s="413"/>
      <c r="L298" s="413"/>
      <c r="M298" s="413"/>
      <c r="N298" s="413"/>
      <c r="O298" s="413"/>
      <c r="P298" s="413"/>
      <c r="Q298" s="413"/>
      <c r="R298" s="413"/>
      <c r="S298" s="413"/>
      <c r="T298" s="413"/>
      <c r="U298" s="413"/>
      <c r="V298" s="413"/>
      <c r="W298" s="413"/>
      <c r="X298" s="575">
        <v>1</v>
      </c>
      <c r="Y298" s="1311"/>
    </row>
    <row r="299" spans="1:25" hidden="1">
      <c r="A299" s="428" t="s">
        <v>6268</v>
      </c>
      <c r="B299" s="413" t="s">
        <v>141</v>
      </c>
      <c r="C299" s="413" t="s">
        <v>4543</v>
      </c>
      <c r="D299" s="413" t="s">
        <v>8503</v>
      </c>
      <c r="E299" s="413" t="s">
        <v>8605</v>
      </c>
      <c r="F299" s="413"/>
      <c r="G299" s="413"/>
      <c r="H299" s="413"/>
      <c r="I299" s="413"/>
      <c r="J299" s="413"/>
      <c r="K299" s="413"/>
      <c r="L299" s="413"/>
      <c r="M299" s="413"/>
      <c r="N299" s="413"/>
      <c r="O299" s="413"/>
      <c r="P299" s="413"/>
      <c r="Q299" s="413"/>
      <c r="R299" s="413"/>
      <c r="S299" s="413"/>
      <c r="T299" s="413"/>
      <c r="U299" s="413"/>
      <c r="V299" s="413"/>
      <c r="W299" s="413"/>
      <c r="X299" s="575">
        <v>1</v>
      </c>
      <c r="Y299" s="1311"/>
    </row>
    <row r="300" spans="1:25" hidden="1">
      <c r="A300" s="428" t="s">
        <v>6268</v>
      </c>
      <c r="B300" s="413" t="s">
        <v>141</v>
      </c>
      <c r="C300" s="413" t="s">
        <v>4555</v>
      </c>
      <c r="D300" s="413" t="s">
        <v>8503</v>
      </c>
      <c r="E300" s="413" t="s">
        <v>8606</v>
      </c>
      <c r="F300" s="413"/>
      <c r="G300" s="413"/>
      <c r="H300" s="413"/>
      <c r="I300" s="413"/>
      <c r="J300" s="413"/>
      <c r="K300" s="413"/>
      <c r="L300" s="413"/>
      <c r="M300" s="413"/>
      <c r="N300" s="413"/>
      <c r="O300" s="413"/>
      <c r="P300" s="413"/>
      <c r="Q300" s="413"/>
      <c r="R300" s="413"/>
      <c r="S300" s="413"/>
      <c r="T300" s="413"/>
      <c r="U300" s="413"/>
      <c r="V300" s="413"/>
      <c r="W300" s="413"/>
      <c r="X300" s="575">
        <v>1</v>
      </c>
      <c r="Y300" s="1311"/>
    </row>
    <row r="301" spans="1:25" hidden="1">
      <c r="A301" s="428" t="s">
        <v>6268</v>
      </c>
      <c r="B301" s="413" t="s">
        <v>141</v>
      </c>
      <c r="C301" s="413" t="s">
        <v>4557</v>
      </c>
      <c r="D301" s="413" t="s">
        <v>8503</v>
      </c>
      <c r="E301" s="413" t="s">
        <v>8607</v>
      </c>
      <c r="F301" s="413"/>
      <c r="G301" s="413"/>
      <c r="H301" s="413"/>
      <c r="I301" s="413"/>
      <c r="J301" s="413"/>
      <c r="K301" s="413"/>
      <c r="L301" s="413"/>
      <c r="M301" s="413"/>
      <c r="N301" s="413"/>
      <c r="O301" s="413"/>
      <c r="P301" s="413"/>
      <c r="Q301" s="413"/>
      <c r="R301" s="413"/>
      <c r="S301" s="413"/>
      <c r="T301" s="413"/>
      <c r="U301" s="413"/>
      <c r="V301" s="413"/>
      <c r="W301" s="413"/>
      <c r="X301" s="575">
        <v>1</v>
      </c>
      <c r="Y301" s="1311"/>
    </row>
    <row r="302" spans="1:25" hidden="1">
      <c r="A302" s="428" t="s">
        <v>6268</v>
      </c>
      <c r="B302" s="413" t="s">
        <v>141</v>
      </c>
      <c r="C302" s="413" t="s">
        <v>4567</v>
      </c>
      <c r="D302" s="413" t="s">
        <v>8503</v>
      </c>
      <c r="E302" s="413" t="s">
        <v>8608</v>
      </c>
      <c r="F302" s="413"/>
      <c r="G302" s="413"/>
      <c r="H302" s="413"/>
      <c r="I302" s="413"/>
      <c r="J302" s="413"/>
      <c r="K302" s="413"/>
      <c r="L302" s="413"/>
      <c r="M302" s="413"/>
      <c r="N302" s="413"/>
      <c r="O302" s="413"/>
      <c r="P302" s="413"/>
      <c r="Q302" s="413"/>
      <c r="R302" s="413"/>
      <c r="S302" s="413"/>
      <c r="T302" s="413"/>
      <c r="U302" s="413"/>
      <c r="V302" s="413"/>
      <c r="W302" s="413"/>
      <c r="X302" s="575">
        <v>1</v>
      </c>
      <c r="Y302" s="1311"/>
    </row>
    <row r="303" spans="1:25" hidden="1">
      <c r="A303" s="428" t="s">
        <v>6268</v>
      </c>
      <c r="B303" s="413" t="s">
        <v>141</v>
      </c>
      <c r="C303" s="413" t="s">
        <v>4561</v>
      </c>
      <c r="D303" s="413" t="s">
        <v>8503</v>
      </c>
      <c r="E303" s="413" t="s">
        <v>8609</v>
      </c>
      <c r="F303" s="413"/>
      <c r="G303" s="413"/>
      <c r="H303" s="413"/>
      <c r="I303" s="413"/>
      <c r="J303" s="413"/>
      <c r="K303" s="413"/>
      <c r="L303" s="413"/>
      <c r="M303" s="413"/>
      <c r="N303" s="413"/>
      <c r="O303" s="413"/>
      <c r="P303" s="413"/>
      <c r="Q303" s="413"/>
      <c r="R303" s="413"/>
      <c r="S303" s="413"/>
      <c r="T303" s="413"/>
      <c r="U303" s="413"/>
      <c r="V303" s="413"/>
      <c r="W303" s="413"/>
      <c r="X303" s="575">
        <v>1</v>
      </c>
      <c r="Y303" s="1311"/>
    </row>
    <row r="304" spans="1:25" hidden="1">
      <c r="A304" s="428" t="s">
        <v>6268</v>
      </c>
      <c r="B304" s="413" t="s">
        <v>141</v>
      </c>
      <c r="C304" s="413" t="s">
        <v>4832</v>
      </c>
      <c r="D304" s="413" t="s">
        <v>8503</v>
      </c>
      <c r="E304" s="413" t="s">
        <v>8610</v>
      </c>
      <c r="F304" s="413"/>
      <c r="G304" s="413"/>
      <c r="H304" s="413"/>
      <c r="I304" s="413"/>
      <c r="J304" s="413"/>
      <c r="K304" s="413"/>
      <c r="L304" s="413"/>
      <c r="M304" s="413"/>
      <c r="N304" s="413"/>
      <c r="O304" s="413"/>
      <c r="P304" s="413"/>
      <c r="Q304" s="413"/>
      <c r="R304" s="413"/>
      <c r="S304" s="413"/>
      <c r="T304" s="413"/>
      <c r="U304" s="413"/>
      <c r="V304" s="413"/>
      <c r="W304" s="413"/>
      <c r="X304" s="575">
        <v>1</v>
      </c>
      <c r="Y304" s="1311"/>
    </row>
    <row r="305" spans="1:25" hidden="1">
      <c r="A305" s="428" t="s">
        <v>6268</v>
      </c>
      <c r="B305" s="413" t="s">
        <v>141</v>
      </c>
      <c r="C305" s="413" t="s">
        <v>4563</v>
      </c>
      <c r="D305" s="413" t="s">
        <v>8503</v>
      </c>
      <c r="E305" s="413" t="s">
        <v>8611</v>
      </c>
      <c r="F305" s="413"/>
      <c r="G305" s="413"/>
      <c r="H305" s="413"/>
      <c r="I305" s="413"/>
      <c r="J305" s="413"/>
      <c r="K305" s="413"/>
      <c r="L305" s="413"/>
      <c r="M305" s="413"/>
      <c r="N305" s="413"/>
      <c r="O305" s="413"/>
      <c r="P305" s="413"/>
      <c r="Q305" s="413"/>
      <c r="R305" s="413"/>
      <c r="S305" s="413"/>
      <c r="T305" s="413"/>
      <c r="U305" s="413"/>
      <c r="V305" s="413"/>
      <c r="W305" s="413"/>
      <c r="X305" s="575">
        <v>1</v>
      </c>
      <c r="Y305" s="1311"/>
    </row>
    <row r="306" spans="1:25" hidden="1">
      <c r="A306" s="428" t="s">
        <v>6268</v>
      </c>
      <c r="B306" s="413" t="s">
        <v>141</v>
      </c>
      <c r="C306" s="413" t="s">
        <v>4559</v>
      </c>
      <c r="D306" s="413" t="s">
        <v>8503</v>
      </c>
      <c r="E306" s="413" t="s">
        <v>8612</v>
      </c>
      <c r="F306" s="413"/>
      <c r="G306" s="413"/>
      <c r="H306" s="413"/>
      <c r="I306" s="413"/>
      <c r="J306" s="413"/>
      <c r="K306" s="413"/>
      <c r="L306" s="413"/>
      <c r="M306" s="413"/>
      <c r="N306" s="413"/>
      <c r="O306" s="413"/>
      <c r="P306" s="413"/>
      <c r="Q306" s="413"/>
      <c r="R306" s="413"/>
      <c r="S306" s="413"/>
      <c r="T306" s="413"/>
      <c r="U306" s="413"/>
      <c r="V306" s="413"/>
      <c r="W306" s="413"/>
      <c r="X306" s="575">
        <v>1</v>
      </c>
      <c r="Y306" s="1311"/>
    </row>
    <row r="307" spans="1:25" hidden="1">
      <c r="A307" s="428" t="s">
        <v>6268</v>
      </c>
      <c r="B307" s="413" t="s">
        <v>141</v>
      </c>
      <c r="C307" s="413" t="s">
        <v>4569</v>
      </c>
      <c r="D307" s="413" t="s">
        <v>8503</v>
      </c>
      <c r="E307" s="413" t="s">
        <v>8613</v>
      </c>
      <c r="F307" s="413"/>
      <c r="G307" s="413"/>
      <c r="H307" s="413"/>
      <c r="I307" s="413"/>
      <c r="J307" s="413"/>
      <c r="K307" s="413"/>
      <c r="L307" s="413"/>
      <c r="M307" s="413"/>
      <c r="N307" s="413"/>
      <c r="O307" s="413"/>
      <c r="P307" s="413"/>
      <c r="Q307" s="413"/>
      <c r="R307" s="413"/>
      <c r="S307" s="413"/>
      <c r="T307" s="413"/>
      <c r="U307" s="413"/>
      <c r="V307" s="413"/>
      <c r="W307" s="413"/>
      <c r="X307" s="575">
        <v>1</v>
      </c>
      <c r="Y307" s="1311"/>
    </row>
    <row r="308" spans="1:25" hidden="1">
      <c r="A308" s="428" t="s">
        <v>6268</v>
      </c>
      <c r="B308" s="413" t="s">
        <v>141</v>
      </c>
      <c r="C308" s="413" t="s">
        <v>4586</v>
      </c>
      <c r="D308" s="413" t="s">
        <v>8503</v>
      </c>
      <c r="E308" s="413" t="s">
        <v>8614</v>
      </c>
      <c r="F308" s="413"/>
      <c r="G308" s="413"/>
      <c r="H308" s="413"/>
      <c r="I308" s="413"/>
      <c r="J308" s="413"/>
      <c r="K308" s="413"/>
      <c r="L308" s="413"/>
      <c r="M308" s="413"/>
      <c r="N308" s="413"/>
      <c r="O308" s="413"/>
      <c r="P308" s="413"/>
      <c r="Q308" s="413"/>
      <c r="R308" s="413"/>
      <c r="S308" s="413"/>
      <c r="T308" s="413"/>
      <c r="U308" s="413"/>
      <c r="V308" s="413"/>
      <c r="W308" s="413"/>
      <c r="X308" s="575">
        <v>1</v>
      </c>
      <c r="Y308" s="1311"/>
    </row>
    <row r="309" spans="1:25" hidden="1">
      <c r="A309" s="428" t="s">
        <v>6268</v>
      </c>
      <c r="B309" s="413" t="s">
        <v>141</v>
      </c>
      <c r="C309" s="413" t="s">
        <v>4578</v>
      </c>
      <c r="D309" s="413" t="s">
        <v>8503</v>
      </c>
      <c r="E309" s="413" t="s">
        <v>8615</v>
      </c>
      <c r="F309" s="413"/>
      <c r="G309" s="413"/>
      <c r="H309" s="413"/>
      <c r="I309" s="413"/>
      <c r="J309" s="413"/>
      <c r="K309" s="413"/>
      <c r="L309" s="413"/>
      <c r="M309" s="413"/>
      <c r="N309" s="413"/>
      <c r="O309" s="413"/>
      <c r="P309" s="413"/>
      <c r="Q309" s="413"/>
      <c r="R309" s="413"/>
      <c r="S309" s="413"/>
      <c r="T309" s="413"/>
      <c r="U309" s="413"/>
      <c r="V309" s="413"/>
      <c r="W309" s="413"/>
      <c r="X309" s="575">
        <v>1</v>
      </c>
      <c r="Y309" s="1311"/>
    </row>
    <row r="310" spans="1:25" hidden="1">
      <c r="A310" s="428" t="s">
        <v>6268</v>
      </c>
      <c r="B310" s="413" t="s">
        <v>141</v>
      </c>
      <c r="C310" s="413" t="s">
        <v>238</v>
      </c>
      <c r="D310" s="413" t="s">
        <v>8503</v>
      </c>
      <c r="E310" s="413" t="s">
        <v>8616</v>
      </c>
      <c r="F310" s="413"/>
      <c r="G310" s="413"/>
      <c r="H310" s="413"/>
      <c r="I310" s="413"/>
      <c r="J310" s="413"/>
      <c r="K310" s="413"/>
      <c r="L310" s="413"/>
      <c r="M310" s="413"/>
      <c r="N310" s="413"/>
      <c r="O310" s="413"/>
      <c r="P310" s="413"/>
      <c r="Q310" s="413"/>
      <c r="R310" s="413"/>
      <c r="S310" s="413"/>
      <c r="T310" s="413"/>
      <c r="U310" s="413"/>
      <c r="V310" s="413"/>
      <c r="W310" s="413"/>
      <c r="X310" s="575">
        <v>1</v>
      </c>
      <c r="Y310" s="1311"/>
    </row>
    <row r="311" spans="1:25" hidden="1">
      <c r="A311" s="428" t="s">
        <v>6268</v>
      </c>
      <c r="B311" s="413" t="s">
        <v>141</v>
      </c>
      <c r="C311" s="413" t="s">
        <v>4584</v>
      </c>
      <c r="D311" s="413" t="s">
        <v>8503</v>
      </c>
      <c r="E311" s="413" t="s">
        <v>8617</v>
      </c>
      <c r="F311" s="413"/>
      <c r="G311" s="413"/>
      <c r="H311" s="413"/>
      <c r="I311" s="413"/>
      <c r="J311" s="413"/>
      <c r="K311" s="413"/>
      <c r="L311" s="413"/>
      <c r="M311" s="413"/>
      <c r="N311" s="413"/>
      <c r="O311" s="413"/>
      <c r="P311" s="413"/>
      <c r="Q311" s="413"/>
      <c r="R311" s="413"/>
      <c r="S311" s="413"/>
      <c r="T311" s="413"/>
      <c r="U311" s="413"/>
      <c r="V311" s="413"/>
      <c r="W311" s="413"/>
      <c r="X311" s="575">
        <v>1</v>
      </c>
      <c r="Y311" s="1311"/>
    </row>
    <row r="312" spans="1:25" hidden="1">
      <c r="A312" s="428" t="s">
        <v>6268</v>
      </c>
      <c r="B312" s="413" t="s">
        <v>141</v>
      </c>
      <c r="C312" s="413" t="s">
        <v>4582</v>
      </c>
      <c r="D312" s="413" t="s">
        <v>8503</v>
      </c>
      <c r="E312" s="413" t="s">
        <v>8618</v>
      </c>
      <c r="F312" s="413"/>
      <c r="G312" s="413"/>
      <c r="H312" s="413"/>
      <c r="I312" s="413"/>
      <c r="J312" s="413"/>
      <c r="K312" s="413"/>
      <c r="L312" s="413"/>
      <c r="M312" s="413"/>
      <c r="N312" s="413"/>
      <c r="O312" s="413"/>
      <c r="P312" s="413"/>
      <c r="Q312" s="413"/>
      <c r="R312" s="413"/>
      <c r="S312" s="413"/>
      <c r="T312" s="413"/>
      <c r="U312" s="413"/>
      <c r="V312" s="413"/>
      <c r="W312" s="413"/>
      <c r="X312" s="575">
        <v>1</v>
      </c>
      <c r="Y312" s="1311"/>
    </row>
    <row r="313" spans="1:25" hidden="1">
      <c r="A313" s="428" t="s">
        <v>6268</v>
      </c>
      <c r="B313" s="413" t="s">
        <v>141</v>
      </c>
      <c r="C313" s="413" t="s">
        <v>4572</v>
      </c>
      <c r="D313" s="413" t="s">
        <v>8503</v>
      </c>
      <c r="E313" s="413" t="s">
        <v>8619</v>
      </c>
      <c r="F313" s="413"/>
      <c r="G313" s="413"/>
      <c r="H313" s="413"/>
      <c r="I313" s="413"/>
      <c r="J313" s="413"/>
      <c r="K313" s="413"/>
      <c r="L313" s="413"/>
      <c r="M313" s="413"/>
      <c r="N313" s="413"/>
      <c r="O313" s="413"/>
      <c r="P313" s="413"/>
      <c r="Q313" s="413"/>
      <c r="R313" s="413"/>
      <c r="S313" s="413"/>
      <c r="T313" s="413"/>
      <c r="U313" s="413"/>
      <c r="V313" s="413"/>
      <c r="W313" s="413"/>
      <c r="X313" s="575">
        <v>1</v>
      </c>
      <c r="Y313" s="1311"/>
    </row>
    <row r="314" spans="1:25" hidden="1">
      <c r="A314" s="428" t="s">
        <v>6268</v>
      </c>
      <c r="B314" s="413" t="s">
        <v>141</v>
      </c>
      <c r="C314" s="413" t="s">
        <v>4576</v>
      </c>
      <c r="D314" s="413" t="s">
        <v>8503</v>
      </c>
      <c r="E314" s="413" t="s">
        <v>8620</v>
      </c>
      <c r="F314" s="413"/>
      <c r="G314" s="413"/>
      <c r="H314" s="413"/>
      <c r="I314" s="413"/>
      <c r="J314" s="413"/>
      <c r="K314" s="413"/>
      <c r="L314" s="413"/>
      <c r="M314" s="413"/>
      <c r="N314" s="413"/>
      <c r="O314" s="413"/>
      <c r="P314" s="413"/>
      <c r="Q314" s="413"/>
      <c r="R314" s="413"/>
      <c r="S314" s="413"/>
      <c r="T314" s="413"/>
      <c r="U314" s="413"/>
      <c r="V314" s="413"/>
      <c r="W314" s="413"/>
      <c r="X314" s="575">
        <v>1</v>
      </c>
      <c r="Y314" s="1311"/>
    </row>
    <row r="315" spans="1:25" hidden="1">
      <c r="A315" s="428" t="s">
        <v>6268</v>
      </c>
      <c r="B315" s="413" t="s">
        <v>141</v>
      </c>
      <c r="C315" s="413" t="s">
        <v>4574</v>
      </c>
      <c r="D315" s="413" t="s">
        <v>8503</v>
      </c>
      <c r="E315" s="413" t="s">
        <v>8621</v>
      </c>
      <c r="F315" s="413"/>
      <c r="G315" s="413"/>
      <c r="H315" s="413"/>
      <c r="I315" s="413"/>
      <c r="J315" s="413"/>
      <c r="K315" s="413"/>
      <c r="L315" s="413"/>
      <c r="M315" s="413"/>
      <c r="N315" s="413"/>
      <c r="O315" s="413"/>
      <c r="P315" s="413"/>
      <c r="Q315" s="413"/>
      <c r="R315" s="413"/>
      <c r="S315" s="413"/>
      <c r="T315" s="413"/>
      <c r="U315" s="413"/>
      <c r="V315" s="413"/>
      <c r="W315" s="413"/>
      <c r="X315" s="575">
        <v>1</v>
      </c>
      <c r="Y315" s="1311"/>
    </row>
    <row r="316" spans="1:25" hidden="1">
      <c r="A316" s="428" t="s">
        <v>6268</v>
      </c>
      <c r="B316" s="413" t="s">
        <v>141</v>
      </c>
      <c r="C316" s="413" t="s">
        <v>4588</v>
      </c>
      <c r="D316" s="413" t="s">
        <v>8503</v>
      </c>
      <c r="E316" s="413" t="s">
        <v>8622</v>
      </c>
      <c r="F316" s="413"/>
      <c r="G316" s="413"/>
      <c r="H316" s="413"/>
      <c r="I316" s="413"/>
      <c r="J316" s="413"/>
      <c r="K316" s="413"/>
      <c r="L316" s="413"/>
      <c r="M316" s="413"/>
      <c r="N316" s="413"/>
      <c r="O316" s="413"/>
      <c r="P316" s="413"/>
      <c r="Q316" s="413"/>
      <c r="R316" s="413"/>
      <c r="S316" s="413"/>
      <c r="T316" s="413"/>
      <c r="U316" s="413"/>
      <c r="V316" s="413"/>
      <c r="W316" s="413"/>
      <c r="X316" s="575">
        <v>1</v>
      </c>
      <c r="Y316" s="1311"/>
    </row>
    <row r="317" spans="1:25" hidden="1">
      <c r="A317" s="428" t="s">
        <v>6268</v>
      </c>
      <c r="B317" s="413" t="s">
        <v>141</v>
      </c>
      <c r="C317" s="413" t="s">
        <v>4592</v>
      </c>
      <c r="D317" s="413" t="s">
        <v>8503</v>
      </c>
      <c r="E317" s="413" t="s">
        <v>8623</v>
      </c>
      <c r="F317" s="413"/>
      <c r="G317" s="413"/>
      <c r="H317" s="413"/>
      <c r="I317" s="413"/>
      <c r="J317" s="413"/>
      <c r="K317" s="413"/>
      <c r="L317" s="413"/>
      <c r="M317" s="413"/>
      <c r="N317" s="413"/>
      <c r="O317" s="413"/>
      <c r="P317" s="413"/>
      <c r="Q317" s="413"/>
      <c r="R317" s="413"/>
      <c r="S317" s="413"/>
      <c r="T317" s="413"/>
      <c r="U317" s="413"/>
      <c r="V317" s="413"/>
      <c r="W317" s="413"/>
      <c r="X317" s="575">
        <v>1</v>
      </c>
      <c r="Y317" s="1311"/>
    </row>
    <row r="318" spans="1:25" hidden="1">
      <c r="A318" s="428" t="s">
        <v>6268</v>
      </c>
      <c r="B318" s="413" t="s">
        <v>141</v>
      </c>
      <c r="C318" s="413" t="s">
        <v>4596</v>
      </c>
      <c r="D318" s="413" t="s">
        <v>8503</v>
      </c>
      <c r="E318" s="413" t="s">
        <v>8624</v>
      </c>
      <c r="F318" s="413"/>
      <c r="G318" s="413"/>
      <c r="H318" s="413"/>
      <c r="I318" s="413"/>
      <c r="J318" s="413"/>
      <c r="K318" s="413"/>
      <c r="L318" s="413"/>
      <c r="M318" s="413"/>
      <c r="N318" s="413"/>
      <c r="O318" s="413"/>
      <c r="P318" s="413"/>
      <c r="Q318" s="413"/>
      <c r="R318" s="413"/>
      <c r="S318" s="413"/>
      <c r="T318" s="413"/>
      <c r="U318" s="413"/>
      <c r="V318" s="413"/>
      <c r="W318" s="413"/>
      <c r="X318" s="575">
        <v>1</v>
      </c>
      <c r="Y318" s="1311"/>
    </row>
    <row r="319" spans="1:25" hidden="1">
      <c r="A319" s="428" t="s">
        <v>6268</v>
      </c>
      <c r="B319" s="413" t="s">
        <v>141</v>
      </c>
      <c r="C319" s="413" t="s">
        <v>4590</v>
      </c>
      <c r="D319" s="413" t="s">
        <v>8503</v>
      </c>
      <c r="E319" s="413" t="s">
        <v>8625</v>
      </c>
      <c r="F319" s="413"/>
      <c r="G319" s="413"/>
      <c r="H319" s="413"/>
      <c r="I319" s="413"/>
      <c r="J319" s="413"/>
      <c r="K319" s="413"/>
      <c r="L319" s="413"/>
      <c r="M319" s="413"/>
      <c r="N319" s="413"/>
      <c r="O319" s="413"/>
      <c r="P319" s="413"/>
      <c r="Q319" s="413"/>
      <c r="R319" s="413"/>
      <c r="S319" s="413"/>
      <c r="T319" s="413"/>
      <c r="U319" s="413"/>
      <c r="V319" s="413"/>
      <c r="W319" s="413"/>
      <c r="X319" s="575">
        <v>1</v>
      </c>
      <c r="Y319" s="1311"/>
    </row>
    <row r="320" spans="1:25" hidden="1">
      <c r="A320" s="428" t="s">
        <v>6268</v>
      </c>
      <c r="B320" s="413" t="s">
        <v>141</v>
      </c>
      <c r="C320" s="413" t="s">
        <v>4594</v>
      </c>
      <c r="D320" s="413" t="s">
        <v>8503</v>
      </c>
      <c r="E320" s="413" t="s">
        <v>8626</v>
      </c>
      <c r="F320" s="413"/>
      <c r="G320" s="413"/>
      <c r="H320" s="413"/>
      <c r="I320" s="413"/>
      <c r="J320" s="413"/>
      <c r="K320" s="413"/>
      <c r="L320" s="413"/>
      <c r="M320" s="413"/>
      <c r="N320" s="413"/>
      <c r="O320" s="413"/>
      <c r="P320" s="413"/>
      <c r="Q320" s="413"/>
      <c r="R320" s="413"/>
      <c r="S320" s="413"/>
      <c r="T320" s="413"/>
      <c r="U320" s="413"/>
      <c r="V320" s="413"/>
      <c r="W320" s="413"/>
      <c r="X320" s="575">
        <v>1</v>
      </c>
      <c r="Y320" s="1311"/>
    </row>
    <row r="321" spans="1:25" hidden="1">
      <c r="A321" s="428" t="s">
        <v>6268</v>
      </c>
      <c r="B321" s="413" t="s">
        <v>141</v>
      </c>
      <c r="C321" s="413" t="s">
        <v>4618</v>
      </c>
      <c r="D321" s="413" t="s">
        <v>8503</v>
      </c>
      <c r="E321" s="413" t="s">
        <v>8627</v>
      </c>
      <c r="F321" s="413"/>
      <c r="G321" s="413"/>
      <c r="H321" s="413"/>
      <c r="I321" s="413"/>
      <c r="J321" s="413"/>
      <c r="K321" s="413"/>
      <c r="L321" s="413"/>
      <c r="M321" s="413"/>
      <c r="N321" s="413"/>
      <c r="O321" s="413"/>
      <c r="P321" s="413"/>
      <c r="Q321" s="413"/>
      <c r="R321" s="413"/>
      <c r="S321" s="413"/>
      <c r="T321" s="413"/>
      <c r="U321" s="413"/>
      <c r="V321" s="413"/>
      <c r="W321" s="413"/>
      <c r="X321" s="575">
        <v>1</v>
      </c>
      <c r="Y321" s="1311"/>
    </row>
    <row r="322" spans="1:25" hidden="1">
      <c r="A322" s="428" t="s">
        <v>6268</v>
      </c>
      <c r="B322" s="413" t="s">
        <v>141</v>
      </c>
      <c r="C322" s="413" t="s">
        <v>4598</v>
      </c>
      <c r="D322" s="413" t="s">
        <v>8503</v>
      </c>
      <c r="E322" s="413" t="s">
        <v>8628</v>
      </c>
      <c r="F322" s="413"/>
      <c r="G322" s="413"/>
      <c r="H322" s="413"/>
      <c r="I322" s="413"/>
      <c r="J322" s="413"/>
      <c r="K322" s="413"/>
      <c r="L322" s="413"/>
      <c r="M322" s="413"/>
      <c r="N322" s="413"/>
      <c r="O322" s="413"/>
      <c r="P322" s="413"/>
      <c r="Q322" s="413"/>
      <c r="R322" s="413"/>
      <c r="S322" s="413"/>
      <c r="T322" s="413"/>
      <c r="U322" s="413"/>
      <c r="V322" s="413"/>
      <c r="W322" s="413"/>
      <c r="X322" s="575">
        <v>1</v>
      </c>
      <c r="Y322" s="1311"/>
    </row>
    <row r="323" spans="1:25" hidden="1">
      <c r="A323" s="428" t="s">
        <v>6268</v>
      </c>
      <c r="B323" s="413" t="s">
        <v>141</v>
      </c>
      <c r="C323" s="413" t="s">
        <v>4604</v>
      </c>
      <c r="D323" s="413" t="s">
        <v>8503</v>
      </c>
      <c r="E323" s="413" t="s">
        <v>8629</v>
      </c>
      <c r="F323" s="413"/>
      <c r="G323" s="413"/>
      <c r="H323" s="413"/>
      <c r="I323" s="413"/>
      <c r="J323" s="413"/>
      <c r="K323" s="413"/>
      <c r="L323" s="413"/>
      <c r="M323" s="413"/>
      <c r="N323" s="413"/>
      <c r="O323" s="413"/>
      <c r="P323" s="413"/>
      <c r="Q323" s="413"/>
      <c r="R323" s="413"/>
      <c r="S323" s="413"/>
      <c r="T323" s="413"/>
      <c r="U323" s="413"/>
      <c r="V323" s="413"/>
      <c r="W323" s="413"/>
      <c r="X323" s="575">
        <v>1</v>
      </c>
      <c r="Y323" s="1311"/>
    </row>
    <row r="324" spans="1:25" hidden="1">
      <c r="A324" s="428" t="s">
        <v>6268</v>
      </c>
      <c r="B324" s="413" t="s">
        <v>141</v>
      </c>
      <c r="C324" s="413" t="s">
        <v>4610</v>
      </c>
      <c r="D324" s="413" t="s">
        <v>8503</v>
      </c>
      <c r="E324" s="413" t="s">
        <v>8630</v>
      </c>
      <c r="F324" s="413"/>
      <c r="G324" s="413"/>
      <c r="H324" s="413"/>
      <c r="I324" s="413"/>
      <c r="J324" s="413"/>
      <c r="K324" s="413"/>
      <c r="L324" s="413"/>
      <c r="M324" s="413"/>
      <c r="N324" s="413"/>
      <c r="O324" s="413"/>
      <c r="P324" s="413"/>
      <c r="Q324" s="413"/>
      <c r="R324" s="413"/>
      <c r="S324" s="413"/>
      <c r="T324" s="413"/>
      <c r="U324" s="413"/>
      <c r="V324" s="413"/>
      <c r="W324" s="413"/>
      <c r="X324" s="575">
        <v>1</v>
      </c>
      <c r="Y324" s="1311"/>
    </row>
    <row r="325" spans="1:25" hidden="1">
      <c r="A325" s="428" t="s">
        <v>6268</v>
      </c>
      <c r="B325" s="413" t="s">
        <v>141</v>
      </c>
      <c r="C325" s="413" t="s">
        <v>4612</v>
      </c>
      <c r="D325" s="413" t="s">
        <v>8503</v>
      </c>
      <c r="E325" s="413" t="s">
        <v>8631</v>
      </c>
      <c r="F325" s="413"/>
      <c r="G325" s="413"/>
      <c r="H325" s="413"/>
      <c r="I325" s="413"/>
      <c r="J325" s="413"/>
      <c r="K325" s="413"/>
      <c r="L325" s="413"/>
      <c r="M325" s="413"/>
      <c r="N325" s="413"/>
      <c r="O325" s="413"/>
      <c r="P325" s="413"/>
      <c r="Q325" s="413"/>
      <c r="R325" s="413"/>
      <c r="S325" s="413"/>
      <c r="T325" s="413"/>
      <c r="U325" s="413"/>
      <c r="V325" s="413"/>
      <c r="W325" s="413"/>
      <c r="X325" s="575">
        <v>1</v>
      </c>
      <c r="Y325" s="1311"/>
    </row>
    <row r="326" spans="1:25" hidden="1">
      <c r="A326" s="428" t="s">
        <v>6268</v>
      </c>
      <c r="B326" s="413" t="s">
        <v>141</v>
      </c>
      <c r="C326" s="413" t="s">
        <v>4883</v>
      </c>
      <c r="D326" s="413" t="s">
        <v>8503</v>
      </c>
      <c r="E326" s="413" t="s">
        <v>8632</v>
      </c>
      <c r="F326" s="413"/>
      <c r="G326" s="413"/>
      <c r="H326" s="413"/>
      <c r="I326" s="413"/>
      <c r="J326" s="413"/>
      <c r="K326" s="413"/>
      <c r="L326" s="413"/>
      <c r="M326" s="413"/>
      <c r="N326" s="413"/>
      <c r="O326" s="413"/>
      <c r="P326" s="413"/>
      <c r="Q326" s="413"/>
      <c r="R326" s="413"/>
      <c r="S326" s="413"/>
      <c r="T326" s="413"/>
      <c r="U326" s="413"/>
      <c r="V326" s="413"/>
      <c r="W326" s="413"/>
      <c r="X326" s="575">
        <v>1</v>
      </c>
      <c r="Y326" s="1311"/>
    </row>
    <row r="327" spans="1:25" hidden="1">
      <c r="A327" s="428" t="s">
        <v>6268</v>
      </c>
      <c r="B327" s="413" t="s">
        <v>141</v>
      </c>
      <c r="C327" s="413" t="s">
        <v>4614</v>
      </c>
      <c r="D327" s="413" t="s">
        <v>8503</v>
      </c>
      <c r="E327" s="413" t="s">
        <v>8633</v>
      </c>
      <c r="F327" s="413"/>
      <c r="G327" s="413"/>
      <c r="H327" s="413"/>
      <c r="I327" s="413"/>
      <c r="J327" s="413"/>
      <c r="K327" s="413"/>
      <c r="L327" s="413"/>
      <c r="M327" s="413"/>
      <c r="N327" s="413"/>
      <c r="O327" s="413"/>
      <c r="P327" s="413"/>
      <c r="Q327" s="413"/>
      <c r="R327" s="413"/>
      <c r="S327" s="413"/>
      <c r="T327" s="413"/>
      <c r="U327" s="413"/>
      <c r="V327" s="413"/>
      <c r="W327" s="413"/>
      <c r="X327" s="575">
        <v>1</v>
      </c>
      <c r="Y327" s="1311"/>
    </row>
    <row r="328" spans="1:25" hidden="1">
      <c r="A328" s="428" t="s">
        <v>6268</v>
      </c>
      <c r="B328" s="413" t="s">
        <v>141</v>
      </c>
      <c r="C328" s="413" t="s">
        <v>4600</v>
      </c>
      <c r="D328" s="413" t="s">
        <v>8503</v>
      </c>
      <c r="E328" s="413" t="s">
        <v>8634</v>
      </c>
      <c r="F328" s="413"/>
      <c r="G328" s="413"/>
      <c r="H328" s="413"/>
      <c r="I328" s="413"/>
      <c r="J328" s="413"/>
      <c r="K328" s="413"/>
      <c r="L328" s="413"/>
      <c r="M328" s="413"/>
      <c r="N328" s="413"/>
      <c r="O328" s="413"/>
      <c r="P328" s="413"/>
      <c r="Q328" s="413"/>
      <c r="R328" s="413"/>
      <c r="S328" s="413"/>
      <c r="T328" s="413"/>
      <c r="U328" s="413"/>
      <c r="V328" s="413"/>
      <c r="W328" s="413"/>
      <c r="X328" s="575">
        <v>1</v>
      </c>
      <c r="Y328" s="1311"/>
    </row>
    <row r="329" spans="1:25" hidden="1">
      <c r="A329" s="428" t="s">
        <v>6268</v>
      </c>
      <c r="B329" s="413" t="s">
        <v>141</v>
      </c>
      <c r="C329" s="413" t="s">
        <v>4620</v>
      </c>
      <c r="D329" s="413" t="s">
        <v>8503</v>
      </c>
      <c r="E329" s="413" t="s">
        <v>8635</v>
      </c>
      <c r="F329" s="413"/>
      <c r="G329" s="413"/>
      <c r="H329" s="413"/>
      <c r="I329" s="413"/>
      <c r="J329" s="413"/>
      <c r="K329" s="413"/>
      <c r="L329" s="413"/>
      <c r="M329" s="413"/>
      <c r="N329" s="413"/>
      <c r="O329" s="413"/>
      <c r="P329" s="413"/>
      <c r="Q329" s="413"/>
      <c r="R329" s="413"/>
      <c r="S329" s="413"/>
      <c r="T329" s="413"/>
      <c r="U329" s="413"/>
      <c r="V329" s="413"/>
      <c r="W329" s="413"/>
      <c r="X329" s="575">
        <v>1</v>
      </c>
      <c r="Y329" s="1311"/>
    </row>
    <row r="330" spans="1:25" hidden="1">
      <c r="A330" s="428" t="s">
        <v>6268</v>
      </c>
      <c r="B330" s="413" t="s">
        <v>141</v>
      </c>
      <c r="C330" s="413" t="s">
        <v>4638</v>
      </c>
      <c r="D330" s="413" t="s">
        <v>8503</v>
      </c>
      <c r="E330" s="413" t="s">
        <v>8636</v>
      </c>
      <c r="F330" s="413"/>
      <c r="G330" s="413"/>
      <c r="H330" s="413"/>
      <c r="I330" s="413"/>
      <c r="J330" s="413"/>
      <c r="K330" s="413"/>
      <c r="L330" s="413"/>
      <c r="M330" s="413"/>
      <c r="N330" s="413"/>
      <c r="O330" s="413"/>
      <c r="P330" s="413"/>
      <c r="Q330" s="413"/>
      <c r="R330" s="413"/>
      <c r="S330" s="413"/>
      <c r="T330" s="413"/>
      <c r="U330" s="413"/>
      <c r="V330" s="413"/>
      <c r="W330" s="413"/>
      <c r="X330" s="575">
        <v>1</v>
      </c>
      <c r="Y330" s="1311"/>
    </row>
    <row r="331" spans="1:25" hidden="1">
      <c r="A331" s="428" t="s">
        <v>6268</v>
      </c>
      <c r="B331" s="413" t="s">
        <v>141</v>
      </c>
      <c r="C331" s="413" t="s">
        <v>4622</v>
      </c>
      <c r="D331" s="413" t="s">
        <v>8503</v>
      </c>
      <c r="E331" s="413" t="s">
        <v>8637</v>
      </c>
      <c r="F331" s="413"/>
      <c r="G331" s="413"/>
      <c r="H331" s="413"/>
      <c r="I331" s="413"/>
      <c r="J331" s="413"/>
      <c r="K331" s="413"/>
      <c r="L331" s="413"/>
      <c r="M331" s="413"/>
      <c r="N331" s="413"/>
      <c r="O331" s="413"/>
      <c r="P331" s="413"/>
      <c r="Q331" s="413"/>
      <c r="R331" s="413"/>
      <c r="S331" s="413"/>
      <c r="T331" s="413"/>
      <c r="U331" s="413"/>
      <c r="V331" s="413"/>
      <c r="W331" s="413"/>
      <c r="X331" s="575">
        <v>1</v>
      </c>
      <c r="Y331" s="1311"/>
    </row>
    <row r="332" spans="1:25" hidden="1">
      <c r="A332" s="428" t="s">
        <v>6268</v>
      </c>
      <c r="B332" s="413" t="s">
        <v>141</v>
      </c>
      <c r="C332" s="413" t="s">
        <v>4632</v>
      </c>
      <c r="D332" s="413" t="s">
        <v>8503</v>
      </c>
      <c r="E332" s="413" t="s">
        <v>8638</v>
      </c>
      <c r="F332" s="413"/>
      <c r="G332" s="413"/>
      <c r="H332" s="413"/>
      <c r="I332" s="413"/>
      <c r="J332" s="413"/>
      <c r="K332" s="413"/>
      <c r="L332" s="413"/>
      <c r="M332" s="413"/>
      <c r="N332" s="413"/>
      <c r="O332" s="413"/>
      <c r="P332" s="413"/>
      <c r="Q332" s="413"/>
      <c r="R332" s="413"/>
      <c r="S332" s="413"/>
      <c r="T332" s="413"/>
      <c r="U332" s="413"/>
      <c r="V332" s="413"/>
      <c r="W332" s="413"/>
      <c r="X332" s="575">
        <v>1</v>
      </c>
      <c r="Y332" s="1311"/>
    </row>
    <row r="333" spans="1:25" hidden="1">
      <c r="A333" s="428" t="s">
        <v>6268</v>
      </c>
      <c r="B333" s="413" t="s">
        <v>141</v>
      </c>
      <c r="C333" s="413" t="s">
        <v>4630</v>
      </c>
      <c r="D333" s="413" t="s">
        <v>8503</v>
      </c>
      <c r="E333" s="413" t="s">
        <v>8639</v>
      </c>
      <c r="F333" s="413"/>
      <c r="G333" s="413"/>
      <c r="H333" s="413"/>
      <c r="I333" s="413"/>
      <c r="J333" s="413"/>
      <c r="K333" s="413"/>
      <c r="L333" s="413"/>
      <c r="M333" s="413"/>
      <c r="N333" s="413"/>
      <c r="O333" s="413"/>
      <c r="P333" s="413"/>
      <c r="Q333" s="413"/>
      <c r="R333" s="413"/>
      <c r="S333" s="413"/>
      <c r="T333" s="413"/>
      <c r="U333" s="413"/>
      <c r="V333" s="413"/>
      <c r="W333" s="413"/>
      <c r="X333" s="575">
        <v>1</v>
      </c>
      <c r="Y333" s="1311"/>
    </row>
    <row r="334" spans="1:25" hidden="1">
      <c r="A334" s="428" t="s">
        <v>6268</v>
      </c>
      <c r="B334" s="413" t="s">
        <v>141</v>
      </c>
      <c r="C334" s="413" t="s">
        <v>4640</v>
      </c>
      <c r="D334" s="413" t="s">
        <v>8503</v>
      </c>
      <c r="E334" s="413" t="s">
        <v>8640</v>
      </c>
      <c r="F334" s="413"/>
      <c r="G334" s="413"/>
      <c r="H334" s="413"/>
      <c r="I334" s="413"/>
      <c r="J334" s="413"/>
      <c r="K334" s="413"/>
      <c r="L334" s="413"/>
      <c r="M334" s="413"/>
      <c r="N334" s="413"/>
      <c r="O334" s="413"/>
      <c r="P334" s="413"/>
      <c r="Q334" s="413"/>
      <c r="R334" s="413"/>
      <c r="S334" s="413"/>
      <c r="T334" s="413"/>
      <c r="U334" s="413"/>
      <c r="V334" s="413"/>
      <c r="W334" s="413"/>
      <c r="X334" s="575">
        <v>1</v>
      </c>
      <c r="Y334" s="1311"/>
    </row>
    <row r="335" spans="1:25" hidden="1">
      <c r="A335" s="428" t="s">
        <v>6268</v>
      </c>
      <c r="B335" s="413" t="s">
        <v>141</v>
      </c>
      <c r="C335" s="413" t="s">
        <v>4626</v>
      </c>
      <c r="D335" s="413" t="s">
        <v>8503</v>
      </c>
      <c r="E335" s="413" t="s">
        <v>8641</v>
      </c>
      <c r="F335" s="413"/>
      <c r="G335" s="413"/>
      <c r="H335" s="413"/>
      <c r="I335" s="413"/>
      <c r="J335" s="413"/>
      <c r="K335" s="413"/>
      <c r="L335" s="413"/>
      <c r="M335" s="413"/>
      <c r="N335" s="413"/>
      <c r="O335" s="413"/>
      <c r="P335" s="413"/>
      <c r="Q335" s="413"/>
      <c r="R335" s="413"/>
      <c r="S335" s="413"/>
      <c r="T335" s="413"/>
      <c r="U335" s="413"/>
      <c r="V335" s="413"/>
      <c r="W335" s="413"/>
      <c r="X335" s="575">
        <v>1</v>
      </c>
      <c r="Y335" s="1311"/>
    </row>
    <row r="336" spans="1:25" hidden="1">
      <c r="A336" s="428" t="s">
        <v>6268</v>
      </c>
      <c r="B336" s="413" t="s">
        <v>141</v>
      </c>
      <c r="C336" s="413" t="s">
        <v>4634</v>
      </c>
      <c r="D336" s="413" t="s">
        <v>8503</v>
      </c>
      <c r="E336" s="413" t="s">
        <v>8642</v>
      </c>
      <c r="F336" s="413"/>
      <c r="G336" s="413"/>
      <c r="H336" s="413"/>
      <c r="I336" s="413"/>
      <c r="J336" s="413"/>
      <c r="K336" s="413"/>
      <c r="L336" s="413"/>
      <c r="M336" s="413"/>
      <c r="N336" s="413"/>
      <c r="O336" s="413"/>
      <c r="P336" s="413"/>
      <c r="Q336" s="413"/>
      <c r="R336" s="413"/>
      <c r="S336" s="413"/>
      <c r="T336" s="413"/>
      <c r="U336" s="413"/>
      <c r="V336" s="413"/>
      <c r="W336" s="413"/>
      <c r="X336" s="575">
        <v>1</v>
      </c>
      <c r="Y336" s="1311"/>
    </row>
    <row r="337" spans="1:25" hidden="1">
      <c r="A337" s="428" t="s">
        <v>6268</v>
      </c>
      <c r="B337" s="413" t="s">
        <v>141</v>
      </c>
      <c r="C337" s="413" t="s">
        <v>4636</v>
      </c>
      <c r="D337" s="413" t="s">
        <v>8503</v>
      </c>
      <c r="E337" s="413" t="s">
        <v>8643</v>
      </c>
      <c r="F337" s="413"/>
      <c r="G337" s="413"/>
      <c r="H337" s="413"/>
      <c r="I337" s="413"/>
      <c r="J337" s="413"/>
      <c r="K337" s="413"/>
      <c r="L337" s="413"/>
      <c r="M337" s="413"/>
      <c r="N337" s="413"/>
      <c r="O337" s="413"/>
      <c r="P337" s="413"/>
      <c r="Q337" s="413"/>
      <c r="R337" s="413"/>
      <c r="S337" s="413"/>
      <c r="T337" s="413"/>
      <c r="U337" s="413"/>
      <c r="V337" s="413"/>
      <c r="W337" s="413"/>
      <c r="X337" s="575">
        <v>1</v>
      </c>
      <c r="Y337" s="1311"/>
    </row>
    <row r="338" spans="1:25" hidden="1">
      <c r="A338" s="428" t="s">
        <v>6268</v>
      </c>
      <c r="B338" s="413" t="s">
        <v>141</v>
      </c>
      <c r="C338" s="413" t="s">
        <v>4662</v>
      </c>
      <c r="D338" s="413" t="s">
        <v>8503</v>
      </c>
      <c r="E338" s="413" t="s">
        <v>8644</v>
      </c>
      <c r="F338" s="413"/>
      <c r="G338" s="413"/>
      <c r="H338" s="413"/>
      <c r="I338" s="413"/>
      <c r="J338" s="413"/>
      <c r="K338" s="413"/>
      <c r="L338" s="413"/>
      <c r="M338" s="413"/>
      <c r="N338" s="413"/>
      <c r="O338" s="413"/>
      <c r="P338" s="413"/>
      <c r="Q338" s="413"/>
      <c r="R338" s="413"/>
      <c r="S338" s="413"/>
      <c r="T338" s="413"/>
      <c r="U338" s="413"/>
      <c r="V338" s="413"/>
      <c r="W338" s="413"/>
      <c r="X338" s="575">
        <v>1</v>
      </c>
      <c r="Y338" s="1311"/>
    </row>
    <row r="339" spans="1:25" hidden="1">
      <c r="A339" s="428" t="s">
        <v>6268</v>
      </c>
      <c r="B339" s="413" t="s">
        <v>141</v>
      </c>
      <c r="C339" s="413" t="s">
        <v>4654</v>
      </c>
      <c r="D339" s="413" t="s">
        <v>8503</v>
      </c>
      <c r="E339" s="413" t="s">
        <v>8645</v>
      </c>
      <c r="F339" s="413"/>
      <c r="G339" s="413"/>
      <c r="H339" s="413"/>
      <c r="I339" s="413"/>
      <c r="J339" s="413"/>
      <c r="K339" s="413"/>
      <c r="L339" s="413"/>
      <c r="M339" s="413"/>
      <c r="N339" s="413"/>
      <c r="O339" s="413"/>
      <c r="P339" s="413"/>
      <c r="Q339" s="413"/>
      <c r="R339" s="413"/>
      <c r="S339" s="413"/>
      <c r="T339" s="413"/>
      <c r="U339" s="413"/>
      <c r="V339" s="413"/>
      <c r="W339" s="413"/>
      <c r="X339" s="575">
        <v>1</v>
      </c>
      <c r="Y339" s="1311"/>
    </row>
    <row r="340" spans="1:25" hidden="1">
      <c r="A340" s="428" t="s">
        <v>6268</v>
      </c>
      <c r="B340" s="413" t="s">
        <v>141</v>
      </c>
      <c r="C340" s="413" t="s">
        <v>4650</v>
      </c>
      <c r="D340" s="413" t="s">
        <v>8503</v>
      </c>
      <c r="E340" s="413" t="s">
        <v>8646</v>
      </c>
      <c r="F340" s="413"/>
      <c r="G340" s="413"/>
      <c r="H340" s="413"/>
      <c r="I340" s="413"/>
      <c r="J340" s="413"/>
      <c r="K340" s="413"/>
      <c r="L340" s="413"/>
      <c r="M340" s="413"/>
      <c r="N340" s="413"/>
      <c r="O340" s="413"/>
      <c r="P340" s="413"/>
      <c r="Q340" s="413"/>
      <c r="R340" s="413"/>
      <c r="S340" s="413"/>
      <c r="T340" s="413"/>
      <c r="U340" s="413"/>
      <c r="V340" s="413"/>
      <c r="W340" s="413"/>
      <c r="X340" s="575">
        <v>1</v>
      </c>
      <c r="Y340" s="1311"/>
    </row>
    <row r="341" spans="1:25" hidden="1">
      <c r="A341" s="428" t="s">
        <v>6268</v>
      </c>
      <c r="B341" s="413" t="s">
        <v>141</v>
      </c>
      <c r="C341" s="413" t="s">
        <v>4676</v>
      </c>
      <c r="D341" s="413" t="s">
        <v>8503</v>
      </c>
      <c r="E341" s="413" t="s">
        <v>8647</v>
      </c>
      <c r="F341" s="413"/>
      <c r="G341" s="413"/>
      <c r="H341" s="413"/>
      <c r="I341" s="413"/>
      <c r="J341" s="413"/>
      <c r="K341" s="413"/>
      <c r="L341" s="413"/>
      <c r="M341" s="413"/>
      <c r="N341" s="413"/>
      <c r="O341" s="413"/>
      <c r="P341" s="413"/>
      <c r="Q341" s="413"/>
      <c r="R341" s="413"/>
      <c r="S341" s="413"/>
      <c r="T341" s="413"/>
      <c r="U341" s="413"/>
      <c r="V341" s="413"/>
      <c r="W341" s="413"/>
      <c r="X341" s="575">
        <v>1</v>
      </c>
      <c r="Y341" s="1311"/>
    </row>
    <row r="342" spans="1:25" hidden="1">
      <c r="A342" s="428" t="s">
        <v>6268</v>
      </c>
      <c r="B342" s="413" t="s">
        <v>141</v>
      </c>
      <c r="C342" s="413" t="s">
        <v>4680</v>
      </c>
      <c r="D342" s="413" t="s">
        <v>8503</v>
      </c>
      <c r="E342" s="413" t="s">
        <v>8648</v>
      </c>
      <c r="F342" s="413"/>
      <c r="G342" s="413"/>
      <c r="H342" s="413"/>
      <c r="I342" s="413"/>
      <c r="J342" s="413"/>
      <c r="K342" s="413"/>
      <c r="L342" s="413"/>
      <c r="M342" s="413"/>
      <c r="N342" s="413"/>
      <c r="O342" s="413"/>
      <c r="P342" s="413"/>
      <c r="Q342" s="413"/>
      <c r="R342" s="413"/>
      <c r="S342" s="413"/>
      <c r="T342" s="413"/>
      <c r="U342" s="413"/>
      <c r="V342" s="413"/>
      <c r="W342" s="413"/>
      <c r="X342" s="575">
        <v>1</v>
      </c>
      <c r="Y342" s="1311"/>
    </row>
    <row r="343" spans="1:25" hidden="1">
      <c r="A343" s="428" t="s">
        <v>6268</v>
      </c>
      <c r="B343" s="413" t="s">
        <v>141</v>
      </c>
      <c r="C343" s="413" t="s">
        <v>4674</v>
      </c>
      <c r="D343" s="413" t="s">
        <v>8503</v>
      </c>
      <c r="E343" s="413" t="s">
        <v>8649</v>
      </c>
      <c r="F343" s="413"/>
      <c r="G343" s="413"/>
      <c r="H343" s="413"/>
      <c r="I343" s="413"/>
      <c r="J343" s="413"/>
      <c r="K343" s="413"/>
      <c r="L343" s="413"/>
      <c r="M343" s="413"/>
      <c r="N343" s="413"/>
      <c r="O343" s="413"/>
      <c r="P343" s="413"/>
      <c r="Q343" s="413"/>
      <c r="R343" s="413"/>
      <c r="S343" s="413"/>
      <c r="T343" s="413"/>
      <c r="U343" s="413"/>
      <c r="V343" s="413"/>
      <c r="W343" s="413"/>
      <c r="X343" s="575">
        <v>1</v>
      </c>
      <c r="Y343" s="1311"/>
    </row>
    <row r="344" spans="1:25" hidden="1">
      <c r="A344" s="428" t="s">
        <v>6268</v>
      </c>
      <c r="B344" s="413" t="s">
        <v>141</v>
      </c>
      <c r="C344" s="413" t="s">
        <v>4656</v>
      </c>
      <c r="D344" s="413" t="s">
        <v>8503</v>
      </c>
      <c r="E344" s="413" t="s">
        <v>8650</v>
      </c>
      <c r="F344" s="413"/>
      <c r="G344" s="413"/>
      <c r="H344" s="413"/>
      <c r="I344" s="413"/>
      <c r="J344" s="413"/>
      <c r="K344" s="413"/>
      <c r="L344" s="413"/>
      <c r="M344" s="413"/>
      <c r="N344" s="413"/>
      <c r="O344" s="413"/>
      <c r="P344" s="413"/>
      <c r="Q344" s="413"/>
      <c r="R344" s="413"/>
      <c r="S344" s="413"/>
      <c r="T344" s="413"/>
      <c r="U344" s="413"/>
      <c r="V344" s="413"/>
      <c r="W344" s="413"/>
      <c r="X344" s="575">
        <v>1</v>
      </c>
      <c r="Y344" s="1311"/>
    </row>
    <row r="345" spans="1:25" hidden="1">
      <c r="A345" s="428" t="s">
        <v>6268</v>
      </c>
      <c r="B345" s="413" t="s">
        <v>141</v>
      </c>
      <c r="C345" s="413" t="s">
        <v>4670</v>
      </c>
      <c r="D345" s="413" t="s">
        <v>8503</v>
      </c>
      <c r="E345" s="413" t="s">
        <v>8651</v>
      </c>
      <c r="F345" s="413"/>
      <c r="G345" s="413"/>
      <c r="H345" s="413"/>
      <c r="I345" s="413"/>
      <c r="J345" s="413"/>
      <c r="K345" s="413"/>
      <c r="L345" s="413"/>
      <c r="M345" s="413"/>
      <c r="N345" s="413"/>
      <c r="O345" s="413"/>
      <c r="P345" s="413"/>
      <c r="Q345" s="413"/>
      <c r="R345" s="413"/>
      <c r="S345" s="413"/>
      <c r="T345" s="413"/>
      <c r="U345" s="413"/>
      <c r="V345" s="413"/>
      <c r="W345" s="413"/>
      <c r="X345" s="575">
        <v>1</v>
      </c>
      <c r="Y345" s="1311"/>
    </row>
    <row r="346" spans="1:25" hidden="1">
      <c r="A346" s="428" t="s">
        <v>6268</v>
      </c>
      <c r="B346" s="413" t="s">
        <v>141</v>
      </c>
      <c r="C346" s="413" t="s">
        <v>4652</v>
      </c>
      <c r="D346" s="413" t="s">
        <v>8503</v>
      </c>
      <c r="E346" s="413" t="s">
        <v>8652</v>
      </c>
      <c r="F346" s="413"/>
      <c r="G346" s="413"/>
      <c r="H346" s="413"/>
      <c r="I346" s="413"/>
      <c r="J346" s="413"/>
      <c r="K346" s="413"/>
      <c r="L346" s="413"/>
      <c r="M346" s="413"/>
      <c r="N346" s="413"/>
      <c r="O346" s="413"/>
      <c r="P346" s="413"/>
      <c r="Q346" s="413"/>
      <c r="R346" s="413"/>
      <c r="S346" s="413"/>
      <c r="T346" s="413"/>
      <c r="U346" s="413"/>
      <c r="V346" s="413"/>
      <c r="W346" s="413"/>
      <c r="X346" s="575">
        <v>1</v>
      </c>
      <c r="Y346" s="1311"/>
    </row>
    <row r="347" spans="1:25" hidden="1">
      <c r="A347" s="428" t="s">
        <v>6268</v>
      </c>
      <c r="B347" s="413" t="s">
        <v>141</v>
      </c>
      <c r="C347" s="413" t="s">
        <v>4666</v>
      </c>
      <c r="D347" s="413" t="s">
        <v>8503</v>
      </c>
      <c r="E347" s="413" t="s">
        <v>8653</v>
      </c>
      <c r="F347" s="413"/>
      <c r="G347" s="413"/>
      <c r="H347" s="413"/>
      <c r="I347" s="413"/>
      <c r="J347" s="413"/>
      <c r="K347" s="413"/>
      <c r="L347" s="413"/>
      <c r="M347" s="413"/>
      <c r="N347" s="413"/>
      <c r="O347" s="413"/>
      <c r="P347" s="413"/>
      <c r="Q347" s="413"/>
      <c r="R347" s="413"/>
      <c r="S347" s="413"/>
      <c r="T347" s="413"/>
      <c r="U347" s="413"/>
      <c r="V347" s="413"/>
      <c r="W347" s="413"/>
      <c r="X347" s="575">
        <v>1</v>
      </c>
      <c r="Y347" s="1311"/>
    </row>
    <row r="348" spans="1:25" hidden="1">
      <c r="A348" s="428" t="s">
        <v>6268</v>
      </c>
      <c r="B348" s="413" t="s">
        <v>141</v>
      </c>
      <c r="C348" s="413" t="s">
        <v>4672</v>
      </c>
      <c r="D348" s="413" t="s">
        <v>8503</v>
      </c>
      <c r="E348" s="413" t="s">
        <v>8654</v>
      </c>
      <c r="F348" s="413"/>
      <c r="G348" s="413"/>
      <c r="H348" s="413"/>
      <c r="I348" s="413"/>
      <c r="J348" s="413"/>
      <c r="K348" s="413"/>
      <c r="L348" s="413"/>
      <c r="M348" s="413"/>
      <c r="N348" s="413"/>
      <c r="O348" s="413"/>
      <c r="P348" s="413"/>
      <c r="Q348" s="413"/>
      <c r="R348" s="413"/>
      <c r="S348" s="413"/>
      <c r="T348" s="413"/>
      <c r="U348" s="413"/>
      <c r="V348" s="413"/>
      <c r="W348" s="413"/>
      <c r="X348" s="575">
        <v>1</v>
      </c>
      <c r="Y348" s="1311"/>
    </row>
    <row r="349" spans="1:25" hidden="1">
      <c r="A349" s="428" t="s">
        <v>6268</v>
      </c>
      <c r="B349" s="413" t="s">
        <v>141</v>
      </c>
      <c r="C349" s="413" t="s">
        <v>4678</v>
      </c>
      <c r="D349" s="413" t="s">
        <v>8503</v>
      </c>
      <c r="E349" s="413" t="s">
        <v>8655</v>
      </c>
      <c r="F349" s="413"/>
      <c r="G349" s="413"/>
      <c r="H349" s="413"/>
      <c r="I349" s="413"/>
      <c r="J349" s="413"/>
      <c r="K349" s="413"/>
      <c r="L349" s="413"/>
      <c r="M349" s="413"/>
      <c r="N349" s="413"/>
      <c r="O349" s="413"/>
      <c r="P349" s="413"/>
      <c r="Q349" s="413"/>
      <c r="R349" s="413"/>
      <c r="S349" s="413"/>
      <c r="T349" s="413"/>
      <c r="U349" s="413"/>
      <c r="V349" s="413"/>
      <c r="W349" s="413"/>
      <c r="X349" s="575">
        <v>1</v>
      </c>
      <c r="Y349" s="1311"/>
    </row>
    <row r="350" spans="1:25" hidden="1">
      <c r="A350" s="428" t="s">
        <v>6268</v>
      </c>
      <c r="B350" s="413" t="s">
        <v>141</v>
      </c>
      <c r="C350" s="413" t="s">
        <v>4519</v>
      </c>
      <c r="D350" s="413" t="s">
        <v>8503</v>
      </c>
      <c r="E350" s="413" t="s">
        <v>8656</v>
      </c>
      <c r="F350" s="413"/>
      <c r="G350" s="413"/>
      <c r="H350" s="413"/>
      <c r="I350" s="413"/>
      <c r="J350" s="413"/>
      <c r="K350" s="413"/>
      <c r="L350" s="413"/>
      <c r="M350" s="413"/>
      <c r="N350" s="413"/>
      <c r="O350" s="413"/>
      <c r="P350" s="413"/>
      <c r="Q350" s="413"/>
      <c r="R350" s="413"/>
      <c r="S350" s="413"/>
      <c r="T350" s="413"/>
      <c r="U350" s="413"/>
      <c r="V350" s="413"/>
      <c r="W350" s="413"/>
      <c r="X350" s="575">
        <v>1</v>
      </c>
      <c r="Y350" s="1311"/>
    </row>
    <row r="351" spans="1:25" hidden="1">
      <c r="A351" s="428" t="s">
        <v>6268</v>
      </c>
      <c r="B351" s="413" t="s">
        <v>141</v>
      </c>
      <c r="C351" s="413" t="s">
        <v>4644</v>
      </c>
      <c r="D351" s="413" t="s">
        <v>8503</v>
      </c>
      <c r="E351" s="413" t="s">
        <v>8657</v>
      </c>
      <c r="F351" s="413"/>
      <c r="G351" s="413"/>
      <c r="H351" s="413"/>
      <c r="I351" s="413"/>
      <c r="J351" s="413"/>
      <c r="K351" s="413"/>
      <c r="L351" s="413"/>
      <c r="M351" s="413"/>
      <c r="N351" s="413"/>
      <c r="O351" s="413"/>
      <c r="P351" s="413"/>
      <c r="Q351" s="413"/>
      <c r="R351" s="413"/>
      <c r="S351" s="413"/>
      <c r="T351" s="413"/>
      <c r="U351" s="413"/>
      <c r="V351" s="413"/>
      <c r="W351" s="413"/>
      <c r="X351" s="575">
        <v>1</v>
      </c>
      <c r="Y351" s="1311"/>
    </row>
    <row r="352" spans="1:25" hidden="1">
      <c r="A352" s="428" t="s">
        <v>6268</v>
      </c>
      <c r="B352" s="413" t="s">
        <v>141</v>
      </c>
      <c r="C352" s="413" t="s">
        <v>4660</v>
      </c>
      <c r="D352" s="413" t="s">
        <v>8503</v>
      </c>
      <c r="E352" s="413" t="s">
        <v>8658</v>
      </c>
      <c r="F352" s="413"/>
      <c r="G352" s="413"/>
      <c r="H352" s="413"/>
      <c r="I352" s="413"/>
      <c r="J352" s="413"/>
      <c r="K352" s="413"/>
      <c r="L352" s="413"/>
      <c r="M352" s="413"/>
      <c r="N352" s="413"/>
      <c r="O352" s="413"/>
      <c r="P352" s="413"/>
      <c r="Q352" s="413"/>
      <c r="R352" s="413"/>
      <c r="S352" s="413"/>
      <c r="T352" s="413"/>
      <c r="U352" s="413"/>
      <c r="V352" s="413"/>
      <c r="W352" s="413"/>
      <c r="X352" s="575">
        <v>1</v>
      </c>
      <c r="Y352" s="1311"/>
    </row>
    <row r="353" spans="1:25" hidden="1">
      <c r="A353" s="428" t="s">
        <v>6268</v>
      </c>
      <c r="B353" s="413" t="s">
        <v>141</v>
      </c>
      <c r="C353" s="413" t="s">
        <v>4646</v>
      </c>
      <c r="D353" s="413" t="s">
        <v>8503</v>
      </c>
      <c r="E353" s="413" t="s">
        <v>8659</v>
      </c>
      <c r="F353" s="413"/>
      <c r="G353" s="413"/>
      <c r="H353" s="413"/>
      <c r="I353" s="413"/>
      <c r="J353" s="413"/>
      <c r="K353" s="413"/>
      <c r="L353" s="413"/>
      <c r="M353" s="413"/>
      <c r="N353" s="413"/>
      <c r="O353" s="413"/>
      <c r="P353" s="413"/>
      <c r="Q353" s="413"/>
      <c r="R353" s="413"/>
      <c r="S353" s="413"/>
      <c r="T353" s="413"/>
      <c r="U353" s="413"/>
      <c r="V353" s="413"/>
      <c r="W353" s="413"/>
      <c r="X353" s="575">
        <v>1</v>
      </c>
      <c r="Y353" s="1311"/>
    </row>
    <row r="354" spans="1:25" hidden="1">
      <c r="A354" s="428" t="s">
        <v>6268</v>
      </c>
      <c r="B354" s="413" t="s">
        <v>141</v>
      </c>
      <c r="C354" s="413" t="s">
        <v>4668</v>
      </c>
      <c r="D354" s="413" t="s">
        <v>8503</v>
      </c>
      <c r="E354" s="413" t="s">
        <v>8660</v>
      </c>
      <c r="F354" s="413"/>
      <c r="G354" s="413"/>
      <c r="H354" s="413"/>
      <c r="I354" s="413"/>
      <c r="J354" s="413"/>
      <c r="K354" s="413"/>
      <c r="L354" s="413"/>
      <c r="M354" s="413"/>
      <c r="N354" s="413"/>
      <c r="O354" s="413"/>
      <c r="P354" s="413"/>
      <c r="Q354" s="413"/>
      <c r="R354" s="413"/>
      <c r="S354" s="413"/>
      <c r="T354" s="413"/>
      <c r="U354" s="413"/>
      <c r="V354" s="413"/>
      <c r="W354" s="413"/>
      <c r="X354" s="575">
        <v>1</v>
      </c>
      <c r="Y354" s="1311"/>
    </row>
    <row r="355" spans="1:25" hidden="1">
      <c r="A355" s="428" t="s">
        <v>6268</v>
      </c>
      <c r="B355" s="413" t="s">
        <v>141</v>
      </c>
      <c r="C355" s="413" t="s">
        <v>4642</v>
      </c>
      <c r="D355" s="413" t="s">
        <v>8503</v>
      </c>
      <c r="E355" s="413" t="s">
        <v>8661</v>
      </c>
      <c r="F355" s="413"/>
      <c r="G355" s="413"/>
      <c r="H355" s="413"/>
      <c r="I355" s="413"/>
      <c r="J355" s="413"/>
      <c r="K355" s="413"/>
      <c r="L355" s="413"/>
      <c r="M355" s="413"/>
      <c r="N355" s="413"/>
      <c r="O355" s="413"/>
      <c r="P355" s="413"/>
      <c r="Q355" s="413"/>
      <c r="R355" s="413"/>
      <c r="S355" s="413"/>
      <c r="T355" s="413"/>
      <c r="U355" s="413"/>
      <c r="V355" s="413"/>
      <c r="W355" s="413"/>
      <c r="X355" s="575">
        <v>1</v>
      </c>
      <c r="Y355" s="1311"/>
    </row>
    <row r="356" spans="1:25" hidden="1">
      <c r="A356" s="428" t="s">
        <v>6268</v>
      </c>
      <c r="B356" s="413" t="s">
        <v>141</v>
      </c>
      <c r="C356" s="413" t="s">
        <v>4682</v>
      </c>
      <c r="D356" s="413" t="s">
        <v>8503</v>
      </c>
      <c r="E356" s="413" t="s">
        <v>8662</v>
      </c>
      <c r="F356" s="413"/>
      <c r="G356" s="413"/>
      <c r="H356" s="413"/>
      <c r="I356" s="413"/>
      <c r="J356" s="413"/>
      <c r="K356" s="413"/>
      <c r="L356" s="413"/>
      <c r="M356" s="413"/>
      <c r="N356" s="413"/>
      <c r="O356" s="413"/>
      <c r="P356" s="413"/>
      <c r="Q356" s="413"/>
      <c r="R356" s="413"/>
      <c r="S356" s="413"/>
      <c r="T356" s="413"/>
      <c r="U356" s="413"/>
      <c r="V356" s="413"/>
      <c r="W356" s="413"/>
      <c r="X356" s="575">
        <v>1</v>
      </c>
      <c r="Y356" s="1311"/>
    </row>
    <row r="357" spans="1:25" hidden="1">
      <c r="A357" s="428" t="s">
        <v>6268</v>
      </c>
      <c r="B357" s="413" t="s">
        <v>141</v>
      </c>
      <c r="C357" s="413" t="s">
        <v>4658</v>
      </c>
      <c r="D357" s="413" t="s">
        <v>8503</v>
      </c>
      <c r="E357" s="413" t="s">
        <v>8663</v>
      </c>
      <c r="F357" s="413"/>
      <c r="G357" s="413"/>
      <c r="H357" s="413"/>
      <c r="I357" s="413"/>
      <c r="J357" s="413"/>
      <c r="K357" s="413"/>
      <c r="L357" s="413"/>
      <c r="M357" s="413"/>
      <c r="N357" s="413"/>
      <c r="O357" s="413"/>
      <c r="P357" s="413"/>
      <c r="Q357" s="413"/>
      <c r="R357" s="413"/>
      <c r="S357" s="413"/>
      <c r="T357" s="413"/>
      <c r="U357" s="413"/>
      <c r="V357" s="413"/>
      <c r="W357" s="413"/>
      <c r="X357" s="575">
        <v>1</v>
      </c>
      <c r="Y357" s="1311"/>
    </row>
    <row r="358" spans="1:25" hidden="1">
      <c r="A358" s="428" t="s">
        <v>6268</v>
      </c>
      <c r="B358" s="413" t="s">
        <v>141</v>
      </c>
      <c r="C358" s="413" t="s">
        <v>4684</v>
      </c>
      <c r="D358" s="413" t="s">
        <v>8503</v>
      </c>
      <c r="E358" s="413" t="s">
        <v>8664</v>
      </c>
      <c r="F358" s="413"/>
      <c r="G358" s="413"/>
      <c r="H358" s="413"/>
      <c r="I358" s="413"/>
      <c r="J358" s="413"/>
      <c r="K358" s="413"/>
      <c r="L358" s="413"/>
      <c r="M358" s="413"/>
      <c r="N358" s="413"/>
      <c r="O358" s="413"/>
      <c r="P358" s="413"/>
      <c r="Q358" s="413"/>
      <c r="R358" s="413"/>
      <c r="S358" s="413"/>
      <c r="T358" s="413"/>
      <c r="U358" s="413"/>
      <c r="V358" s="413"/>
      <c r="W358" s="413"/>
      <c r="X358" s="575">
        <v>1</v>
      </c>
      <c r="Y358" s="1311"/>
    </row>
    <row r="359" spans="1:25" hidden="1">
      <c r="A359" s="428" t="s">
        <v>6268</v>
      </c>
      <c r="B359" s="413" t="s">
        <v>141</v>
      </c>
      <c r="C359" s="413" t="s">
        <v>4999</v>
      </c>
      <c r="D359" s="413" t="s">
        <v>8503</v>
      </c>
      <c r="E359" s="413" t="s">
        <v>8665</v>
      </c>
      <c r="F359" s="413"/>
      <c r="G359" s="413"/>
      <c r="H359" s="413"/>
      <c r="I359" s="413"/>
      <c r="J359" s="413"/>
      <c r="K359" s="413"/>
      <c r="L359" s="413"/>
      <c r="M359" s="413"/>
      <c r="N359" s="413"/>
      <c r="O359" s="413"/>
      <c r="P359" s="413"/>
      <c r="Q359" s="413"/>
      <c r="R359" s="413"/>
      <c r="S359" s="413"/>
      <c r="T359" s="413"/>
      <c r="U359" s="413"/>
      <c r="V359" s="413"/>
      <c r="W359" s="413"/>
      <c r="X359" s="575">
        <v>1</v>
      </c>
      <c r="Y359" s="1311"/>
    </row>
    <row r="360" spans="1:25" hidden="1">
      <c r="A360" s="428" t="s">
        <v>6268</v>
      </c>
      <c r="B360" s="413" t="s">
        <v>141</v>
      </c>
      <c r="C360" s="413" t="s">
        <v>4702</v>
      </c>
      <c r="D360" s="413" t="s">
        <v>8503</v>
      </c>
      <c r="E360" s="413" t="s">
        <v>8666</v>
      </c>
      <c r="F360" s="413"/>
      <c r="G360" s="413"/>
      <c r="H360" s="413"/>
      <c r="I360" s="413"/>
      <c r="J360" s="413"/>
      <c r="K360" s="413"/>
      <c r="L360" s="413"/>
      <c r="M360" s="413"/>
      <c r="N360" s="413"/>
      <c r="O360" s="413"/>
      <c r="P360" s="413"/>
      <c r="Q360" s="413"/>
      <c r="R360" s="413"/>
      <c r="S360" s="413"/>
      <c r="T360" s="413"/>
      <c r="U360" s="413"/>
      <c r="V360" s="413"/>
      <c r="W360" s="413"/>
      <c r="X360" s="575">
        <v>1</v>
      </c>
      <c r="Y360" s="1311"/>
    </row>
    <row r="361" spans="1:25" hidden="1">
      <c r="A361" s="428" t="s">
        <v>6268</v>
      </c>
      <c r="B361" s="413" t="s">
        <v>141</v>
      </c>
      <c r="C361" s="413" t="s">
        <v>4700</v>
      </c>
      <c r="D361" s="413" t="s">
        <v>8503</v>
      </c>
      <c r="E361" s="413" t="s">
        <v>8667</v>
      </c>
      <c r="F361" s="413"/>
      <c r="G361" s="413"/>
      <c r="H361" s="413"/>
      <c r="I361" s="413"/>
      <c r="J361" s="413"/>
      <c r="K361" s="413"/>
      <c r="L361" s="413"/>
      <c r="M361" s="413"/>
      <c r="N361" s="413"/>
      <c r="O361" s="413"/>
      <c r="P361" s="413"/>
      <c r="Q361" s="413"/>
      <c r="R361" s="413"/>
      <c r="S361" s="413"/>
      <c r="T361" s="413"/>
      <c r="U361" s="413"/>
      <c r="V361" s="413"/>
      <c r="W361" s="413"/>
      <c r="X361" s="575">
        <v>1</v>
      </c>
      <c r="Y361" s="1311"/>
    </row>
    <row r="362" spans="1:25" hidden="1">
      <c r="A362" s="428" t="s">
        <v>6268</v>
      </c>
      <c r="B362" s="413" t="s">
        <v>141</v>
      </c>
      <c r="C362" s="413" t="s">
        <v>4696</v>
      </c>
      <c r="D362" s="413" t="s">
        <v>8503</v>
      </c>
      <c r="E362" s="413" t="s">
        <v>8668</v>
      </c>
      <c r="F362" s="413"/>
      <c r="G362" s="413"/>
      <c r="H362" s="413"/>
      <c r="I362" s="413"/>
      <c r="J362" s="413"/>
      <c r="K362" s="413"/>
      <c r="L362" s="413"/>
      <c r="M362" s="413"/>
      <c r="N362" s="413"/>
      <c r="O362" s="413"/>
      <c r="P362" s="413"/>
      <c r="Q362" s="413"/>
      <c r="R362" s="413"/>
      <c r="S362" s="413"/>
      <c r="T362" s="413"/>
      <c r="U362" s="413"/>
      <c r="V362" s="413"/>
      <c r="W362" s="413"/>
      <c r="X362" s="575">
        <v>1</v>
      </c>
      <c r="Y362" s="1311"/>
    </row>
    <row r="363" spans="1:25" hidden="1">
      <c r="A363" s="428" t="s">
        <v>6268</v>
      </c>
      <c r="B363" s="413" t="s">
        <v>141</v>
      </c>
      <c r="C363" s="413" t="s">
        <v>4686</v>
      </c>
      <c r="D363" s="413" t="s">
        <v>8503</v>
      </c>
      <c r="E363" s="413" t="s">
        <v>8669</v>
      </c>
      <c r="F363" s="413"/>
      <c r="G363" s="413"/>
      <c r="H363" s="413"/>
      <c r="I363" s="413"/>
      <c r="J363" s="413"/>
      <c r="K363" s="413"/>
      <c r="L363" s="413"/>
      <c r="M363" s="413"/>
      <c r="N363" s="413"/>
      <c r="O363" s="413"/>
      <c r="P363" s="413"/>
      <c r="Q363" s="413"/>
      <c r="R363" s="413"/>
      <c r="S363" s="413"/>
      <c r="T363" s="413"/>
      <c r="U363" s="413"/>
      <c r="V363" s="413"/>
      <c r="W363" s="413"/>
      <c r="X363" s="575">
        <v>1</v>
      </c>
      <c r="Y363" s="1311"/>
    </row>
    <row r="364" spans="1:25" hidden="1">
      <c r="A364" s="428" t="s">
        <v>6268</v>
      </c>
      <c r="B364" s="413" t="s">
        <v>141</v>
      </c>
      <c r="C364" s="413" t="s">
        <v>4706</v>
      </c>
      <c r="D364" s="413" t="s">
        <v>8503</v>
      </c>
      <c r="E364" s="413" t="s">
        <v>8670</v>
      </c>
      <c r="F364" s="413"/>
      <c r="G364" s="413"/>
      <c r="H364" s="413"/>
      <c r="I364" s="413"/>
      <c r="J364" s="413"/>
      <c r="K364" s="413"/>
      <c r="L364" s="413"/>
      <c r="M364" s="413"/>
      <c r="N364" s="413"/>
      <c r="O364" s="413"/>
      <c r="P364" s="413"/>
      <c r="Q364" s="413"/>
      <c r="R364" s="413"/>
      <c r="S364" s="413"/>
      <c r="T364" s="413"/>
      <c r="U364" s="413"/>
      <c r="V364" s="413"/>
      <c r="W364" s="413"/>
      <c r="X364" s="575">
        <v>1</v>
      </c>
      <c r="Y364" s="1311"/>
    </row>
    <row r="365" spans="1:25" hidden="1">
      <c r="A365" s="428" t="s">
        <v>6268</v>
      </c>
      <c r="B365" s="413" t="s">
        <v>141</v>
      </c>
      <c r="C365" s="413" t="s">
        <v>4694</v>
      </c>
      <c r="D365" s="413" t="s">
        <v>8503</v>
      </c>
      <c r="E365" s="413" t="s">
        <v>8671</v>
      </c>
      <c r="F365" s="413"/>
      <c r="G365" s="413"/>
      <c r="H365" s="413"/>
      <c r="I365" s="413"/>
      <c r="J365" s="413"/>
      <c r="K365" s="413"/>
      <c r="L365" s="413"/>
      <c r="M365" s="413"/>
      <c r="N365" s="413"/>
      <c r="O365" s="413"/>
      <c r="P365" s="413"/>
      <c r="Q365" s="413"/>
      <c r="R365" s="413"/>
      <c r="S365" s="413"/>
      <c r="T365" s="413"/>
      <c r="U365" s="413"/>
      <c r="V365" s="413"/>
      <c r="W365" s="413"/>
      <c r="X365" s="575">
        <v>1</v>
      </c>
      <c r="Y365" s="1311"/>
    </row>
    <row r="366" spans="1:25" hidden="1">
      <c r="A366" s="428" t="s">
        <v>6268</v>
      </c>
      <c r="B366" s="413" t="s">
        <v>141</v>
      </c>
      <c r="C366" s="413" t="s">
        <v>4688</v>
      </c>
      <c r="D366" s="413" t="s">
        <v>8503</v>
      </c>
      <c r="E366" s="413" t="s">
        <v>8672</v>
      </c>
      <c r="F366" s="413"/>
      <c r="G366" s="413"/>
      <c r="H366" s="413"/>
      <c r="I366" s="413"/>
      <c r="J366" s="413"/>
      <c r="K366" s="413"/>
      <c r="L366" s="413"/>
      <c r="M366" s="413"/>
      <c r="N366" s="413"/>
      <c r="O366" s="413"/>
      <c r="P366" s="413"/>
      <c r="Q366" s="413"/>
      <c r="R366" s="413"/>
      <c r="S366" s="413"/>
      <c r="T366" s="413"/>
      <c r="U366" s="413"/>
      <c r="V366" s="413"/>
      <c r="W366" s="413"/>
      <c r="X366" s="575">
        <v>1</v>
      </c>
      <c r="Y366" s="1311"/>
    </row>
    <row r="367" spans="1:25" hidden="1">
      <c r="A367" s="428" t="s">
        <v>6268</v>
      </c>
      <c r="B367" s="413" t="s">
        <v>141</v>
      </c>
      <c r="C367" s="413" t="s">
        <v>4692</v>
      </c>
      <c r="D367" s="413" t="s">
        <v>8503</v>
      </c>
      <c r="E367" s="413" t="s">
        <v>8673</v>
      </c>
      <c r="F367" s="413"/>
      <c r="G367" s="413"/>
      <c r="H367" s="413"/>
      <c r="I367" s="413"/>
      <c r="J367" s="413"/>
      <c r="K367" s="413"/>
      <c r="L367" s="413"/>
      <c r="M367" s="413"/>
      <c r="N367" s="413"/>
      <c r="O367" s="413"/>
      <c r="P367" s="413"/>
      <c r="Q367" s="413"/>
      <c r="R367" s="413"/>
      <c r="S367" s="413"/>
      <c r="T367" s="413"/>
      <c r="U367" s="413"/>
      <c r="V367" s="413"/>
      <c r="W367" s="413"/>
      <c r="X367" s="575">
        <v>1</v>
      </c>
      <c r="Y367" s="1311"/>
    </row>
    <row r="368" spans="1:25" hidden="1">
      <c r="A368" s="428" t="s">
        <v>6268</v>
      </c>
      <c r="B368" s="413" t="s">
        <v>141</v>
      </c>
      <c r="C368" s="413" t="s">
        <v>4704</v>
      </c>
      <c r="D368" s="413" t="s">
        <v>8503</v>
      </c>
      <c r="E368" s="413" t="s">
        <v>8674</v>
      </c>
      <c r="F368" s="413"/>
      <c r="G368" s="413"/>
      <c r="H368" s="413"/>
      <c r="I368" s="413"/>
      <c r="J368" s="413"/>
      <c r="K368" s="413"/>
      <c r="L368" s="413"/>
      <c r="M368" s="413"/>
      <c r="N368" s="413"/>
      <c r="O368" s="413"/>
      <c r="P368" s="413"/>
      <c r="Q368" s="413"/>
      <c r="R368" s="413"/>
      <c r="S368" s="413"/>
      <c r="T368" s="413"/>
      <c r="U368" s="413"/>
      <c r="V368" s="413"/>
      <c r="W368" s="413"/>
      <c r="X368" s="575">
        <v>1</v>
      </c>
      <c r="Y368" s="1311"/>
    </row>
    <row r="369" spans="1:25" hidden="1">
      <c r="A369" s="428" t="s">
        <v>6268</v>
      </c>
      <c r="B369" s="413" t="s">
        <v>141</v>
      </c>
      <c r="C369" s="413" t="s">
        <v>4690</v>
      </c>
      <c r="D369" s="413" t="s">
        <v>8503</v>
      </c>
      <c r="E369" s="413" t="s">
        <v>8675</v>
      </c>
      <c r="F369" s="413"/>
      <c r="G369" s="413"/>
      <c r="H369" s="413"/>
      <c r="I369" s="413"/>
      <c r="J369" s="413"/>
      <c r="K369" s="413"/>
      <c r="L369" s="413"/>
      <c r="M369" s="413"/>
      <c r="N369" s="413"/>
      <c r="O369" s="413"/>
      <c r="P369" s="413"/>
      <c r="Q369" s="413"/>
      <c r="R369" s="413"/>
      <c r="S369" s="413"/>
      <c r="T369" s="413"/>
      <c r="U369" s="413"/>
      <c r="V369" s="413"/>
      <c r="W369" s="413"/>
      <c r="X369" s="575">
        <v>1</v>
      </c>
      <c r="Y369" s="1311"/>
    </row>
    <row r="370" spans="1:25" hidden="1">
      <c r="A370" s="428" t="s">
        <v>6268</v>
      </c>
      <c r="B370" s="413" t="s">
        <v>141</v>
      </c>
      <c r="C370" s="413" t="s">
        <v>4664</v>
      </c>
      <c r="D370" s="413" t="s">
        <v>8503</v>
      </c>
      <c r="E370" s="413" t="s">
        <v>8676</v>
      </c>
      <c r="F370" s="413"/>
      <c r="G370" s="413"/>
      <c r="H370" s="413"/>
      <c r="I370" s="413"/>
      <c r="J370" s="413"/>
      <c r="K370" s="413"/>
      <c r="L370" s="413"/>
      <c r="M370" s="413"/>
      <c r="N370" s="413"/>
      <c r="O370" s="413"/>
      <c r="P370" s="413"/>
      <c r="Q370" s="413"/>
      <c r="R370" s="413"/>
      <c r="S370" s="413"/>
      <c r="T370" s="413"/>
      <c r="U370" s="413"/>
      <c r="V370" s="413"/>
      <c r="W370" s="413"/>
      <c r="X370" s="575">
        <v>1</v>
      </c>
      <c r="Y370" s="1311"/>
    </row>
    <row r="371" spans="1:25" hidden="1">
      <c r="A371" s="428" t="s">
        <v>6268</v>
      </c>
      <c r="B371" s="413" t="s">
        <v>141</v>
      </c>
      <c r="C371" s="413" t="s">
        <v>4698</v>
      </c>
      <c r="D371" s="413" t="s">
        <v>8503</v>
      </c>
      <c r="E371" s="413" t="s">
        <v>8677</v>
      </c>
      <c r="F371" s="413"/>
      <c r="G371" s="413"/>
      <c r="H371" s="413"/>
      <c r="I371" s="413"/>
      <c r="J371" s="413"/>
      <c r="K371" s="413"/>
      <c r="L371" s="413"/>
      <c r="M371" s="413"/>
      <c r="N371" s="413"/>
      <c r="O371" s="413"/>
      <c r="P371" s="413"/>
      <c r="Q371" s="413"/>
      <c r="R371" s="413"/>
      <c r="S371" s="413"/>
      <c r="T371" s="413"/>
      <c r="U371" s="413"/>
      <c r="V371" s="413"/>
      <c r="W371" s="413"/>
      <c r="X371" s="575">
        <v>1</v>
      </c>
      <c r="Y371" s="1311"/>
    </row>
    <row r="372" spans="1:25" hidden="1">
      <c r="A372" s="428" t="s">
        <v>6268</v>
      </c>
      <c r="B372" s="413" t="s">
        <v>141</v>
      </c>
      <c r="C372" s="413" t="s">
        <v>4708</v>
      </c>
      <c r="D372" s="413" t="s">
        <v>8503</v>
      </c>
      <c r="E372" s="413" t="s">
        <v>8678</v>
      </c>
      <c r="F372" s="413"/>
      <c r="G372" s="413"/>
      <c r="H372" s="413"/>
      <c r="I372" s="413"/>
      <c r="J372" s="413"/>
      <c r="K372" s="413"/>
      <c r="L372" s="413"/>
      <c r="M372" s="413"/>
      <c r="N372" s="413"/>
      <c r="O372" s="413"/>
      <c r="P372" s="413"/>
      <c r="Q372" s="413"/>
      <c r="R372" s="413"/>
      <c r="S372" s="413"/>
      <c r="T372" s="413"/>
      <c r="U372" s="413"/>
      <c r="V372" s="413"/>
      <c r="W372" s="413"/>
      <c r="X372" s="575">
        <v>1</v>
      </c>
      <c r="Y372" s="1311"/>
    </row>
    <row r="373" spans="1:25" hidden="1">
      <c r="A373" s="428" t="s">
        <v>6268</v>
      </c>
      <c r="B373" s="413" t="s">
        <v>141</v>
      </c>
      <c r="C373" s="413" t="s">
        <v>4720</v>
      </c>
      <c r="D373" s="413" t="s">
        <v>8503</v>
      </c>
      <c r="E373" s="413" t="s">
        <v>8679</v>
      </c>
      <c r="F373" s="413"/>
      <c r="G373" s="413"/>
      <c r="H373" s="413"/>
      <c r="I373" s="413"/>
      <c r="J373" s="413"/>
      <c r="K373" s="413"/>
      <c r="L373" s="413"/>
      <c r="M373" s="413"/>
      <c r="N373" s="413"/>
      <c r="O373" s="413"/>
      <c r="P373" s="413"/>
      <c r="Q373" s="413"/>
      <c r="R373" s="413"/>
      <c r="S373" s="413"/>
      <c r="T373" s="413"/>
      <c r="U373" s="413"/>
      <c r="V373" s="413"/>
      <c r="W373" s="413"/>
      <c r="X373" s="575">
        <v>1</v>
      </c>
      <c r="Y373" s="1311"/>
    </row>
    <row r="374" spans="1:25" hidden="1">
      <c r="A374" s="428" t="s">
        <v>6268</v>
      </c>
      <c r="B374" s="413" t="s">
        <v>141</v>
      </c>
      <c r="C374" s="413" t="s">
        <v>4732</v>
      </c>
      <c r="D374" s="413" t="s">
        <v>8503</v>
      </c>
      <c r="E374" s="413" t="s">
        <v>8680</v>
      </c>
      <c r="F374" s="413"/>
      <c r="G374" s="413"/>
      <c r="H374" s="413"/>
      <c r="I374" s="413"/>
      <c r="J374" s="413"/>
      <c r="K374" s="413"/>
      <c r="L374" s="413"/>
      <c r="M374" s="413"/>
      <c r="N374" s="413"/>
      <c r="O374" s="413"/>
      <c r="P374" s="413"/>
      <c r="Q374" s="413"/>
      <c r="R374" s="413"/>
      <c r="S374" s="413"/>
      <c r="T374" s="413"/>
      <c r="U374" s="413"/>
      <c r="V374" s="413"/>
      <c r="W374" s="413"/>
      <c r="X374" s="575">
        <v>1</v>
      </c>
      <c r="Y374" s="1311"/>
    </row>
    <row r="375" spans="1:25" hidden="1">
      <c r="A375" s="428" t="s">
        <v>6268</v>
      </c>
      <c r="B375" s="413" t="s">
        <v>141</v>
      </c>
      <c r="C375" s="413" t="s">
        <v>4728</v>
      </c>
      <c r="D375" s="413" t="s">
        <v>8503</v>
      </c>
      <c r="E375" s="413" t="s">
        <v>8681</v>
      </c>
      <c r="F375" s="413"/>
      <c r="G375" s="413"/>
      <c r="H375" s="413"/>
      <c r="I375" s="413"/>
      <c r="J375" s="413"/>
      <c r="K375" s="413"/>
      <c r="L375" s="413"/>
      <c r="M375" s="413"/>
      <c r="N375" s="413"/>
      <c r="O375" s="413"/>
      <c r="P375" s="413"/>
      <c r="Q375" s="413"/>
      <c r="R375" s="413"/>
      <c r="S375" s="413"/>
      <c r="T375" s="413"/>
      <c r="U375" s="413"/>
      <c r="V375" s="413"/>
      <c r="W375" s="413"/>
      <c r="X375" s="575">
        <v>1</v>
      </c>
      <c r="Y375" s="1311"/>
    </row>
    <row r="376" spans="1:25" hidden="1">
      <c r="A376" s="428" t="s">
        <v>6268</v>
      </c>
      <c r="B376" s="413" t="s">
        <v>141</v>
      </c>
      <c r="C376" s="413" t="s">
        <v>4710</v>
      </c>
      <c r="D376" s="413" t="s">
        <v>8503</v>
      </c>
      <c r="E376" s="413" t="s">
        <v>8682</v>
      </c>
      <c r="F376" s="413"/>
      <c r="G376" s="413"/>
      <c r="H376" s="413"/>
      <c r="I376" s="413"/>
      <c r="J376" s="413"/>
      <c r="K376" s="413"/>
      <c r="L376" s="413"/>
      <c r="M376" s="413"/>
      <c r="N376" s="413"/>
      <c r="O376" s="413"/>
      <c r="P376" s="413"/>
      <c r="Q376" s="413"/>
      <c r="R376" s="413"/>
      <c r="S376" s="413"/>
      <c r="T376" s="413"/>
      <c r="U376" s="413"/>
      <c r="V376" s="413"/>
      <c r="W376" s="413"/>
      <c r="X376" s="575">
        <v>1</v>
      </c>
      <c r="Y376" s="1311"/>
    </row>
    <row r="377" spans="1:25" hidden="1">
      <c r="A377" s="428" t="s">
        <v>6268</v>
      </c>
      <c r="B377" s="413" t="s">
        <v>141</v>
      </c>
      <c r="C377" s="413" t="s">
        <v>4716</v>
      </c>
      <c r="D377" s="413" t="s">
        <v>8503</v>
      </c>
      <c r="E377" s="413" t="s">
        <v>8683</v>
      </c>
      <c r="F377" s="413"/>
      <c r="G377" s="413"/>
      <c r="H377" s="413"/>
      <c r="I377" s="413"/>
      <c r="J377" s="413"/>
      <c r="K377" s="413"/>
      <c r="L377" s="413"/>
      <c r="M377" s="413"/>
      <c r="N377" s="413"/>
      <c r="O377" s="413"/>
      <c r="P377" s="413"/>
      <c r="Q377" s="413"/>
      <c r="R377" s="413"/>
      <c r="S377" s="413"/>
      <c r="T377" s="413"/>
      <c r="U377" s="413"/>
      <c r="V377" s="413"/>
      <c r="W377" s="413"/>
      <c r="X377" s="575">
        <v>1</v>
      </c>
      <c r="Y377" s="1311"/>
    </row>
    <row r="378" spans="1:25" hidden="1">
      <c r="A378" s="428" t="s">
        <v>6268</v>
      </c>
      <c r="B378" s="413" t="s">
        <v>141</v>
      </c>
      <c r="C378" s="413" t="s">
        <v>4734</v>
      </c>
      <c r="D378" s="413" t="s">
        <v>8503</v>
      </c>
      <c r="E378" s="413" t="s">
        <v>8684</v>
      </c>
      <c r="F378" s="413"/>
      <c r="G378" s="413"/>
      <c r="H378" s="413"/>
      <c r="I378" s="413"/>
      <c r="J378" s="413"/>
      <c r="K378" s="413"/>
      <c r="L378" s="413"/>
      <c r="M378" s="413"/>
      <c r="N378" s="413"/>
      <c r="O378" s="413"/>
      <c r="P378" s="413"/>
      <c r="Q378" s="413"/>
      <c r="R378" s="413"/>
      <c r="S378" s="413"/>
      <c r="T378" s="413"/>
      <c r="U378" s="413"/>
      <c r="V378" s="413"/>
      <c r="W378" s="413"/>
      <c r="X378" s="575">
        <v>1</v>
      </c>
      <c r="Y378" s="1311"/>
    </row>
    <row r="379" spans="1:25" hidden="1">
      <c r="A379" s="428" t="s">
        <v>6268</v>
      </c>
      <c r="B379" s="413" t="s">
        <v>141</v>
      </c>
      <c r="C379" s="413" t="s">
        <v>4712</v>
      </c>
      <c r="D379" s="413" t="s">
        <v>8503</v>
      </c>
      <c r="E379" s="413" t="s">
        <v>8685</v>
      </c>
      <c r="F379" s="413"/>
      <c r="G379" s="413"/>
      <c r="H379" s="413"/>
      <c r="I379" s="413"/>
      <c r="J379" s="413"/>
      <c r="K379" s="413"/>
      <c r="L379" s="413"/>
      <c r="M379" s="413"/>
      <c r="N379" s="413"/>
      <c r="O379" s="413"/>
      <c r="P379" s="413"/>
      <c r="Q379" s="413"/>
      <c r="R379" s="413"/>
      <c r="S379" s="413"/>
      <c r="T379" s="413"/>
      <c r="U379" s="413"/>
      <c r="V379" s="413"/>
      <c r="W379" s="413"/>
      <c r="X379" s="575">
        <v>1</v>
      </c>
      <c r="Y379" s="1311"/>
    </row>
    <row r="380" spans="1:25" hidden="1">
      <c r="A380" s="428" t="s">
        <v>6268</v>
      </c>
      <c r="B380" s="413" t="s">
        <v>141</v>
      </c>
      <c r="C380" s="413" t="s">
        <v>4718</v>
      </c>
      <c r="D380" s="413" t="s">
        <v>8503</v>
      </c>
      <c r="E380" s="413" t="s">
        <v>8686</v>
      </c>
      <c r="F380" s="413"/>
      <c r="G380" s="413"/>
      <c r="H380" s="413"/>
      <c r="I380" s="413"/>
      <c r="J380" s="413"/>
      <c r="K380" s="413"/>
      <c r="L380" s="413"/>
      <c r="M380" s="413"/>
      <c r="N380" s="413"/>
      <c r="O380" s="413"/>
      <c r="P380" s="413"/>
      <c r="Q380" s="413"/>
      <c r="R380" s="413"/>
      <c r="S380" s="413"/>
      <c r="T380" s="413"/>
      <c r="U380" s="413"/>
      <c r="V380" s="413"/>
      <c r="W380" s="413"/>
      <c r="X380" s="575">
        <v>1</v>
      </c>
      <c r="Y380" s="1311"/>
    </row>
    <row r="381" spans="1:25" hidden="1">
      <c r="A381" s="428" t="s">
        <v>6268</v>
      </c>
      <c r="B381" s="413" t="s">
        <v>141</v>
      </c>
      <c r="C381" s="413" t="s">
        <v>4724</v>
      </c>
      <c r="D381" s="413" t="s">
        <v>8503</v>
      </c>
      <c r="E381" s="413" t="s">
        <v>8687</v>
      </c>
      <c r="F381" s="413"/>
      <c r="G381" s="413"/>
      <c r="H381" s="413"/>
      <c r="I381" s="413"/>
      <c r="J381" s="413"/>
      <c r="K381" s="413"/>
      <c r="L381" s="413"/>
      <c r="M381" s="413"/>
      <c r="N381" s="413"/>
      <c r="O381" s="413"/>
      <c r="P381" s="413"/>
      <c r="Q381" s="413"/>
      <c r="R381" s="413"/>
      <c r="S381" s="413"/>
      <c r="T381" s="413"/>
      <c r="U381" s="413"/>
      <c r="V381" s="413"/>
      <c r="W381" s="413"/>
      <c r="X381" s="575">
        <v>1</v>
      </c>
      <c r="Y381" s="1311"/>
    </row>
    <row r="382" spans="1:25" hidden="1">
      <c r="A382" s="428" t="s">
        <v>6268</v>
      </c>
      <c r="B382" s="413" t="s">
        <v>141</v>
      </c>
      <c r="C382" s="413" t="s">
        <v>4722</v>
      </c>
      <c r="D382" s="413" t="s">
        <v>8503</v>
      </c>
      <c r="E382" s="413" t="s">
        <v>8688</v>
      </c>
      <c r="F382" s="413"/>
      <c r="G382" s="413"/>
      <c r="H382" s="413"/>
      <c r="I382" s="413"/>
      <c r="J382" s="413"/>
      <c r="K382" s="413"/>
      <c r="L382" s="413"/>
      <c r="M382" s="413"/>
      <c r="N382" s="413"/>
      <c r="O382" s="413"/>
      <c r="P382" s="413"/>
      <c r="Q382" s="413"/>
      <c r="R382" s="413"/>
      <c r="S382" s="413"/>
      <c r="T382" s="413"/>
      <c r="U382" s="413"/>
      <c r="V382" s="413"/>
      <c r="W382" s="413"/>
      <c r="X382" s="575">
        <v>1</v>
      </c>
      <c r="Y382" s="1311"/>
    </row>
    <row r="383" spans="1:25" hidden="1">
      <c r="A383" s="428" t="s">
        <v>6268</v>
      </c>
      <c r="B383" s="413" t="s">
        <v>141</v>
      </c>
      <c r="C383" s="413" t="s">
        <v>4730</v>
      </c>
      <c r="D383" s="413" t="s">
        <v>8503</v>
      </c>
      <c r="E383" s="413" t="s">
        <v>8689</v>
      </c>
      <c r="F383" s="413"/>
      <c r="G383" s="413"/>
      <c r="H383" s="413"/>
      <c r="I383" s="413"/>
      <c r="J383" s="413"/>
      <c r="K383" s="413"/>
      <c r="L383" s="413"/>
      <c r="M383" s="413"/>
      <c r="N383" s="413"/>
      <c r="O383" s="413"/>
      <c r="P383" s="413"/>
      <c r="Q383" s="413"/>
      <c r="R383" s="413"/>
      <c r="S383" s="413"/>
      <c r="T383" s="413"/>
      <c r="U383" s="413"/>
      <c r="V383" s="413"/>
      <c r="W383" s="413"/>
      <c r="X383" s="575">
        <v>1</v>
      </c>
      <c r="Y383" s="1311"/>
    </row>
    <row r="384" spans="1:25" hidden="1">
      <c r="A384" s="428" t="s">
        <v>6268</v>
      </c>
      <c r="B384" s="413" t="s">
        <v>141</v>
      </c>
      <c r="C384" s="413" t="s">
        <v>4730</v>
      </c>
      <c r="D384" s="413" t="s">
        <v>8503</v>
      </c>
      <c r="E384" s="413" t="s">
        <v>8690</v>
      </c>
      <c r="F384" s="413"/>
      <c r="G384" s="413"/>
      <c r="H384" s="413"/>
      <c r="I384" s="413"/>
      <c r="J384" s="413"/>
      <c r="K384" s="413"/>
      <c r="L384" s="413"/>
      <c r="M384" s="413"/>
      <c r="N384" s="413"/>
      <c r="O384" s="413"/>
      <c r="P384" s="413"/>
      <c r="Q384" s="413"/>
      <c r="R384" s="413"/>
      <c r="S384" s="413"/>
      <c r="T384" s="413"/>
      <c r="U384" s="413"/>
      <c r="V384" s="413"/>
      <c r="W384" s="413"/>
      <c r="X384" s="575">
        <v>1</v>
      </c>
      <c r="Y384" s="1311"/>
    </row>
    <row r="385" spans="1:25" hidden="1">
      <c r="A385" s="428" t="s">
        <v>6268</v>
      </c>
      <c r="B385" s="413" t="s">
        <v>141</v>
      </c>
      <c r="C385" s="413" t="s">
        <v>4726</v>
      </c>
      <c r="D385" s="413" t="s">
        <v>8503</v>
      </c>
      <c r="E385" s="413" t="s">
        <v>8691</v>
      </c>
      <c r="F385" s="413"/>
      <c r="G385" s="413"/>
      <c r="H385" s="413"/>
      <c r="I385" s="413"/>
      <c r="J385" s="413"/>
      <c r="K385" s="413"/>
      <c r="L385" s="413"/>
      <c r="M385" s="413"/>
      <c r="N385" s="413"/>
      <c r="O385" s="413"/>
      <c r="P385" s="413"/>
      <c r="Q385" s="413"/>
      <c r="R385" s="413"/>
      <c r="S385" s="413"/>
      <c r="T385" s="413"/>
      <c r="U385" s="413"/>
      <c r="V385" s="413"/>
      <c r="W385" s="413"/>
      <c r="X385" s="575">
        <v>1</v>
      </c>
      <c r="Y385" s="1311"/>
    </row>
    <row r="386" spans="1:25" hidden="1">
      <c r="A386" s="428" t="s">
        <v>6268</v>
      </c>
      <c r="B386" s="413" t="s">
        <v>141</v>
      </c>
      <c r="C386" s="413" t="s">
        <v>4736</v>
      </c>
      <c r="D386" s="413" t="s">
        <v>8503</v>
      </c>
      <c r="E386" s="413" t="s">
        <v>8692</v>
      </c>
      <c r="F386" s="413"/>
      <c r="G386" s="413"/>
      <c r="H386" s="413"/>
      <c r="I386" s="413"/>
      <c r="J386" s="413"/>
      <c r="K386" s="413"/>
      <c r="L386" s="413"/>
      <c r="M386" s="413"/>
      <c r="N386" s="413"/>
      <c r="O386" s="413"/>
      <c r="P386" s="413"/>
      <c r="Q386" s="413"/>
      <c r="R386" s="413"/>
      <c r="S386" s="413"/>
      <c r="T386" s="413"/>
      <c r="U386" s="413"/>
      <c r="V386" s="413"/>
      <c r="W386" s="413"/>
      <c r="X386" s="575">
        <v>1</v>
      </c>
      <c r="Y386" s="1311"/>
    </row>
    <row r="387" spans="1:25" hidden="1">
      <c r="A387" s="428" t="s">
        <v>6268</v>
      </c>
      <c r="B387" s="413" t="s">
        <v>141</v>
      </c>
      <c r="C387" s="413" t="s">
        <v>4738</v>
      </c>
      <c r="D387" s="413" t="s">
        <v>8503</v>
      </c>
      <c r="E387" s="413" t="s">
        <v>8693</v>
      </c>
      <c r="F387" s="413"/>
      <c r="G387" s="413"/>
      <c r="H387" s="413"/>
      <c r="I387" s="413"/>
      <c r="J387" s="413"/>
      <c r="K387" s="413"/>
      <c r="L387" s="413"/>
      <c r="M387" s="413"/>
      <c r="N387" s="413"/>
      <c r="O387" s="413"/>
      <c r="P387" s="413"/>
      <c r="Q387" s="413"/>
      <c r="R387" s="413"/>
      <c r="S387" s="413"/>
      <c r="T387" s="413"/>
      <c r="U387" s="413"/>
      <c r="V387" s="413"/>
      <c r="W387" s="413"/>
      <c r="X387" s="575">
        <v>1</v>
      </c>
      <c r="Y387" s="1311"/>
    </row>
    <row r="388" spans="1:25" hidden="1">
      <c r="A388" s="428" t="s">
        <v>6268</v>
      </c>
      <c r="B388" s="413" t="s">
        <v>141</v>
      </c>
      <c r="C388" s="413" t="s">
        <v>4742</v>
      </c>
      <c r="D388" s="413" t="s">
        <v>8503</v>
      </c>
      <c r="E388" s="413" t="s">
        <v>8694</v>
      </c>
      <c r="F388" s="413"/>
      <c r="G388" s="413"/>
      <c r="H388" s="413"/>
      <c r="I388" s="413"/>
      <c r="J388" s="413"/>
      <c r="K388" s="413"/>
      <c r="L388" s="413"/>
      <c r="M388" s="413"/>
      <c r="N388" s="413"/>
      <c r="O388" s="413"/>
      <c r="P388" s="413"/>
      <c r="Q388" s="413"/>
      <c r="R388" s="413"/>
      <c r="S388" s="413"/>
      <c r="T388" s="413"/>
      <c r="U388" s="413"/>
      <c r="V388" s="413"/>
      <c r="W388" s="413"/>
      <c r="X388" s="575">
        <v>1</v>
      </c>
      <c r="Y388" s="1311"/>
    </row>
    <row r="389" spans="1:25" hidden="1">
      <c r="A389" s="428" t="s">
        <v>6268</v>
      </c>
      <c r="B389" s="413" t="s">
        <v>141</v>
      </c>
      <c r="C389" s="413" t="s">
        <v>4744</v>
      </c>
      <c r="D389" s="413" t="s">
        <v>8503</v>
      </c>
      <c r="E389" s="413" t="s">
        <v>8695</v>
      </c>
      <c r="F389" s="413"/>
      <c r="G389" s="413"/>
      <c r="H389" s="413"/>
      <c r="I389" s="413"/>
      <c r="J389" s="413"/>
      <c r="K389" s="413"/>
      <c r="L389" s="413"/>
      <c r="M389" s="413"/>
      <c r="N389" s="413"/>
      <c r="O389" s="413"/>
      <c r="P389" s="413"/>
      <c r="Q389" s="413"/>
      <c r="R389" s="413"/>
      <c r="S389" s="413"/>
      <c r="T389" s="413"/>
      <c r="U389" s="413"/>
      <c r="V389" s="413"/>
      <c r="W389" s="413"/>
      <c r="X389" s="575">
        <v>1</v>
      </c>
      <c r="Y389" s="1311"/>
    </row>
    <row r="390" spans="1:25" hidden="1">
      <c r="A390" s="428" t="s">
        <v>6268</v>
      </c>
      <c r="B390" s="413" t="s">
        <v>141</v>
      </c>
      <c r="C390" s="413" t="s">
        <v>4425</v>
      </c>
      <c r="D390" s="413" t="s">
        <v>8503</v>
      </c>
      <c r="E390" s="413" t="s">
        <v>8696</v>
      </c>
      <c r="F390" s="413"/>
      <c r="G390" s="413"/>
      <c r="H390" s="413"/>
      <c r="I390" s="413"/>
      <c r="J390" s="413"/>
      <c r="K390" s="413"/>
      <c r="L390" s="413"/>
      <c r="M390" s="413"/>
      <c r="N390" s="413"/>
      <c r="O390" s="413"/>
      <c r="P390" s="413"/>
      <c r="Q390" s="413"/>
      <c r="R390" s="413"/>
      <c r="S390" s="413"/>
      <c r="T390" s="413"/>
      <c r="U390" s="413"/>
      <c r="V390" s="413"/>
      <c r="W390" s="413"/>
      <c r="X390" s="575">
        <v>1</v>
      </c>
      <c r="Y390" s="1311"/>
    </row>
    <row r="391" spans="1:25" hidden="1">
      <c r="A391" s="428" t="s">
        <v>6268</v>
      </c>
      <c r="B391" s="413" t="s">
        <v>141</v>
      </c>
      <c r="C391" s="413" t="s">
        <v>4758</v>
      </c>
      <c r="D391" s="413" t="s">
        <v>8503</v>
      </c>
      <c r="E391" s="413" t="s">
        <v>8697</v>
      </c>
      <c r="F391" s="413"/>
      <c r="G391" s="413"/>
      <c r="H391" s="413"/>
      <c r="I391" s="413"/>
      <c r="J391" s="413"/>
      <c r="K391" s="413"/>
      <c r="L391" s="413"/>
      <c r="M391" s="413"/>
      <c r="N391" s="413"/>
      <c r="O391" s="413"/>
      <c r="P391" s="413"/>
      <c r="Q391" s="413"/>
      <c r="R391" s="413"/>
      <c r="S391" s="413"/>
      <c r="T391" s="413"/>
      <c r="U391" s="413"/>
      <c r="V391" s="413"/>
      <c r="W391" s="413"/>
      <c r="X391" s="575">
        <v>1</v>
      </c>
      <c r="Y391" s="1311"/>
    </row>
    <row r="392" spans="1:25" hidden="1">
      <c r="A392" s="428" t="s">
        <v>6268</v>
      </c>
      <c r="B392" s="413" t="s">
        <v>141</v>
      </c>
      <c r="C392" s="413" t="s">
        <v>4608</v>
      </c>
      <c r="D392" s="413" t="s">
        <v>8503</v>
      </c>
      <c r="E392" s="413" t="s">
        <v>8698</v>
      </c>
      <c r="F392" s="413"/>
      <c r="G392" s="413"/>
      <c r="H392" s="413"/>
      <c r="I392" s="413"/>
      <c r="J392" s="413"/>
      <c r="K392" s="413"/>
      <c r="L392" s="413"/>
      <c r="M392" s="413"/>
      <c r="N392" s="413"/>
      <c r="O392" s="413"/>
      <c r="P392" s="413"/>
      <c r="Q392" s="413"/>
      <c r="R392" s="413"/>
      <c r="S392" s="413"/>
      <c r="T392" s="413"/>
      <c r="U392" s="413"/>
      <c r="V392" s="413"/>
      <c r="W392" s="413"/>
      <c r="X392" s="575">
        <v>1</v>
      </c>
      <c r="Y392" s="1311"/>
    </row>
    <row r="393" spans="1:25" hidden="1">
      <c r="A393" s="428" t="s">
        <v>6268</v>
      </c>
      <c r="B393" s="413" t="s">
        <v>141</v>
      </c>
      <c r="C393" s="413" t="s">
        <v>4624</v>
      </c>
      <c r="D393" s="413" t="s">
        <v>8503</v>
      </c>
      <c r="E393" s="413" t="s">
        <v>8699</v>
      </c>
      <c r="F393" s="413"/>
      <c r="G393" s="413"/>
      <c r="H393" s="413"/>
      <c r="I393" s="413"/>
      <c r="J393" s="413"/>
      <c r="K393" s="413"/>
      <c r="L393" s="413"/>
      <c r="M393" s="413"/>
      <c r="N393" s="413"/>
      <c r="O393" s="413"/>
      <c r="P393" s="413"/>
      <c r="Q393" s="413"/>
      <c r="R393" s="413"/>
      <c r="S393" s="413"/>
      <c r="T393" s="413"/>
      <c r="U393" s="413"/>
      <c r="V393" s="413"/>
      <c r="W393" s="413"/>
      <c r="X393" s="575">
        <v>1</v>
      </c>
      <c r="Y393" s="1311"/>
    </row>
    <row r="394" spans="1:25" hidden="1">
      <c r="A394" s="428" t="s">
        <v>6268</v>
      </c>
      <c r="B394" s="413" t="s">
        <v>141</v>
      </c>
      <c r="C394" s="413" t="s">
        <v>4648</v>
      </c>
      <c r="D394" s="413" t="s">
        <v>8503</v>
      </c>
      <c r="E394" s="413" t="s">
        <v>8700</v>
      </c>
      <c r="F394" s="413"/>
      <c r="G394" s="413"/>
      <c r="H394" s="413"/>
      <c r="I394" s="413"/>
      <c r="J394" s="413"/>
      <c r="K394" s="413"/>
      <c r="L394" s="413"/>
      <c r="M394" s="413"/>
      <c r="N394" s="413"/>
      <c r="O394" s="413"/>
      <c r="P394" s="413"/>
      <c r="Q394" s="413"/>
      <c r="R394" s="413"/>
      <c r="S394" s="413"/>
      <c r="T394" s="413"/>
      <c r="U394" s="413"/>
      <c r="V394" s="413"/>
      <c r="W394" s="413"/>
      <c r="X394" s="575">
        <v>1</v>
      </c>
      <c r="Y394" s="1311"/>
    </row>
    <row r="395" spans="1:25" hidden="1">
      <c r="A395" s="428" t="s">
        <v>6268</v>
      </c>
      <c r="B395" s="413" t="s">
        <v>141</v>
      </c>
      <c r="C395" s="413" t="s">
        <v>4834</v>
      </c>
      <c r="D395" s="413" t="s">
        <v>8503</v>
      </c>
      <c r="E395" s="413" t="s">
        <v>8701</v>
      </c>
      <c r="F395" s="413"/>
      <c r="G395" s="413"/>
      <c r="H395" s="413"/>
      <c r="I395" s="413"/>
      <c r="J395" s="413"/>
      <c r="K395" s="413"/>
      <c r="L395" s="413"/>
      <c r="M395" s="413"/>
      <c r="N395" s="413"/>
      <c r="O395" s="413"/>
      <c r="P395" s="413"/>
      <c r="Q395" s="413"/>
      <c r="R395" s="413"/>
      <c r="S395" s="413"/>
      <c r="T395" s="413"/>
      <c r="U395" s="413"/>
      <c r="V395" s="413"/>
      <c r="W395" s="413"/>
      <c r="X395" s="575">
        <v>1</v>
      </c>
      <c r="Y395" s="1311"/>
    </row>
    <row r="396" spans="1:25" hidden="1">
      <c r="A396" s="428" t="s">
        <v>6268</v>
      </c>
      <c r="B396" s="413" t="s">
        <v>141</v>
      </c>
      <c r="C396" s="413" t="s">
        <v>4848</v>
      </c>
      <c r="D396" s="413" t="s">
        <v>8503</v>
      </c>
      <c r="E396" s="413" t="s">
        <v>8702</v>
      </c>
      <c r="F396" s="413"/>
      <c r="G396" s="413"/>
      <c r="H396" s="413"/>
      <c r="I396" s="413"/>
      <c r="J396" s="413"/>
      <c r="K396" s="413"/>
      <c r="L396" s="413"/>
      <c r="M396" s="413"/>
      <c r="N396" s="413"/>
      <c r="O396" s="413"/>
      <c r="P396" s="413"/>
      <c r="Q396" s="413"/>
      <c r="R396" s="413"/>
      <c r="S396" s="413"/>
      <c r="T396" s="413"/>
      <c r="U396" s="413"/>
      <c r="V396" s="413"/>
      <c r="W396" s="413"/>
      <c r="X396" s="575">
        <v>1</v>
      </c>
      <c r="Y396" s="1311"/>
    </row>
    <row r="397" spans="1:25" hidden="1">
      <c r="A397" s="428" t="s">
        <v>6268</v>
      </c>
      <c r="B397" s="413" t="s">
        <v>141</v>
      </c>
      <c r="C397" s="413" t="s">
        <v>4768</v>
      </c>
      <c r="D397" s="413" t="s">
        <v>8503</v>
      </c>
      <c r="E397" s="413" t="s">
        <v>8703</v>
      </c>
      <c r="F397" s="413"/>
      <c r="G397" s="413"/>
      <c r="H397" s="413"/>
      <c r="I397" s="413"/>
      <c r="J397" s="413"/>
      <c r="K397" s="413"/>
      <c r="L397" s="413"/>
      <c r="M397" s="413"/>
      <c r="N397" s="413"/>
      <c r="O397" s="413"/>
      <c r="P397" s="413"/>
      <c r="Q397" s="413"/>
      <c r="R397" s="413"/>
      <c r="S397" s="413"/>
      <c r="T397" s="413"/>
      <c r="U397" s="413"/>
      <c r="V397" s="413"/>
      <c r="W397" s="413"/>
      <c r="X397" s="575">
        <v>1</v>
      </c>
      <c r="Y397" s="1311"/>
    </row>
    <row r="398" spans="1:25" hidden="1">
      <c r="A398" s="428" t="s">
        <v>6268</v>
      </c>
      <c r="B398" s="413" t="s">
        <v>141</v>
      </c>
      <c r="C398" s="413" t="s">
        <v>4778</v>
      </c>
      <c r="D398" s="413" t="s">
        <v>8503</v>
      </c>
      <c r="E398" s="413" t="s">
        <v>8704</v>
      </c>
      <c r="F398" s="413"/>
      <c r="G398" s="413"/>
      <c r="H398" s="413"/>
      <c r="I398" s="413"/>
      <c r="J398" s="413"/>
      <c r="K398" s="413"/>
      <c r="L398" s="413"/>
      <c r="M398" s="413"/>
      <c r="N398" s="413"/>
      <c r="O398" s="413"/>
      <c r="P398" s="413"/>
      <c r="Q398" s="413"/>
      <c r="R398" s="413"/>
      <c r="S398" s="413"/>
      <c r="T398" s="413"/>
      <c r="U398" s="413"/>
      <c r="V398" s="413"/>
      <c r="W398" s="413"/>
      <c r="X398" s="575">
        <v>1</v>
      </c>
      <c r="Y398" s="1311"/>
    </row>
    <row r="399" spans="1:25" hidden="1">
      <c r="A399" s="428" t="s">
        <v>6268</v>
      </c>
      <c r="B399" s="413" t="s">
        <v>141</v>
      </c>
      <c r="C399" s="413" t="s">
        <v>4746</v>
      </c>
      <c r="D399" s="413" t="s">
        <v>8503</v>
      </c>
      <c r="E399" s="413" t="s">
        <v>8705</v>
      </c>
      <c r="F399" s="413"/>
      <c r="G399" s="413"/>
      <c r="H399" s="413"/>
      <c r="I399" s="413"/>
      <c r="J399" s="413"/>
      <c r="K399" s="413"/>
      <c r="L399" s="413"/>
      <c r="M399" s="413"/>
      <c r="N399" s="413"/>
      <c r="O399" s="413"/>
      <c r="P399" s="413"/>
      <c r="Q399" s="413"/>
      <c r="R399" s="413"/>
      <c r="S399" s="413"/>
      <c r="T399" s="413"/>
      <c r="U399" s="413"/>
      <c r="V399" s="413"/>
      <c r="W399" s="413"/>
      <c r="X399" s="575">
        <v>1</v>
      </c>
      <c r="Y399" s="1311"/>
    </row>
    <row r="400" spans="1:25" hidden="1">
      <c r="A400" s="428" t="s">
        <v>6268</v>
      </c>
      <c r="B400" s="413" t="s">
        <v>141</v>
      </c>
      <c r="C400" s="413" t="s">
        <v>4770</v>
      </c>
      <c r="D400" s="413" t="s">
        <v>8503</v>
      </c>
      <c r="E400" s="413" t="s">
        <v>8706</v>
      </c>
      <c r="F400" s="413"/>
      <c r="G400" s="413"/>
      <c r="H400" s="413"/>
      <c r="I400" s="413"/>
      <c r="J400" s="413"/>
      <c r="K400" s="413"/>
      <c r="L400" s="413"/>
      <c r="M400" s="413"/>
      <c r="N400" s="413"/>
      <c r="O400" s="413"/>
      <c r="P400" s="413"/>
      <c r="Q400" s="413"/>
      <c r="R400" s="413"/>
      <c r="S400" s="413"/>
      <c r="T400" s="413"/>
      <c r="U400" s="413"/>
      <c r="V400" s="413"/>
      <c r="W400" s="413"/>
      <c r="X400" s="575">
        <v>1</v>
      </c>
      <c r="Y400" s="1311"/>
    </row>
    <row r="401" spans="1:25" hidden="1">
      <c r="A401" s="428" t="s">
        <v>6268</v>
      </c>
      <c r="B401" s="413" t="s">
        <v>141</v>
      </c>
      <c r="C401" s="413" t="s">
        <v>4740</v>
      </c>
      <c r="D401" s="413" t="s">
        <v>8503</v>
      </c>
      <c r="E401" s="413" t="s">
        <v>8707</v>
      </c>
      <c r="F401" s="413"/>
      <c r="G401" s="413"/>
      <c r="H401" s="413"/>
      <c r="I401" s="413"/>
      <c r="J401" s="413"/>
      <c r="K401" s="413"/>
      <c r="L401" s="413"/>
      <c r="M401" s="413"/>
      <c r="N401" s="413"/>
      <c r="O401" s="413"/>
      <c r="P401" s="413"/>
      <c r="Q401" s="413"/>
      <c r="R401" s="413"/>
      <c r="S401" s="413"/>
      <c r="T401" s="413"/>
      <c r="U401" s="413"/>
      <c r="V401" s="413"/>
      <c r="W401" s="413"/>
      <c r="X401" s="575">
        <v>1</v>
      </c>
      <c r="Y401" s="1311"/>
    </row>
    <row r="402" spans="1:25" hidden="1">
      <c r="A402" s="428" t="s">
        <v>6268</v>
      </c>
      <c r="B402" s="413" t="s">
        <v>141</v>
      </c>
      <c r="C402" s="413" t="s">
        <v>4750</v>
      </c>
      <c r="D402" s="413" t="s">
        <v>8503</v>
      </c>
      <c r="E402" s="413" t="s">
        <v>8708</v>
      </c>
      <c r="F402" s="413"/>
      <c r="G402" s="413"/>
      <c r="H402" s="413"/>
      <c r="I402" s="413"/>
      <c r="J402" s="413"/>
      <c r="K402" s="413"/>
      <c r="L402" s="413"/>
      <c r="M402" s="413"/>
      <c r="N402" s="413"/>
      <c r="O402" s="413"/>
      <c r="P402" s="413"/>
      <c r="Q402" s="413"/>
      <c r="R402" s="413"/>
      <c r="S402" s="413"/>
      <c r="T402" s="413"/>
      <c r="U402" s="413"/>
      <c r="V402" s="413"/>
      <c r="W402" s="413"/>
      <c r="X402" s="575">
        <v>1</v>
      </c>
      <c r="Y402" s="1311"/>
    </row>
    <row r="403" spans="1:25" hidden="1">
      <c r="A403" s="428" t="s">
        <v>6268</v>
      </c>
      <c r="B403" s="413" t="s">
        <v>141</v>
      </c>
      <c r="C403" s="413" t="s">
        <v>4766</v>
      </c>
      <c r="D403" s="413" t="s">
        <v>8503</v>
      </c>
      <c r="E403" s="413" t="s">
        <v>8709</v>
      </c>
      <c r="F403" s="413"/>
      <c r="G403" s="413"/>
      <c r="H403" s="413"/>
      <c r="I403" s="413"/>
      <c r="J403" s="413"/>
      <c r="K403" s="413"/>
      <c r="L403" s="413"/>
      <c r="M403" s="413"/>
      <c r="N403" s="413"/>
      <c r="O403" s="413"/>
      <c r="P403" s="413"/>
      <c r="Q403" s="413"/>
      <c r="R403" s="413"/>
      <c r="S403" s="413"/>
      <c r="T403" s="413"/>
      <c r="U403" s="413"/>
      <c r="V403" s="413"/>
      <c r="W403" s="413"/>
      <c r="X403" s="575">
        <v>1</v>
      </c>
      <c r="Y403" s="1311"/>
    </row>
    <row r="404" spans="1:25" hidden="1">
      <c r="A404" s="428" t="s">
        <v>6268</v>
      </c>
      <c r="B404" s="413" t="s">
        <v>141</v>
      </c>
      <c r="C404" s="413" t="s">
        <v>4756</v>
      </c>
      <c r="D404" s="413" t="s">
        <v>8503</v>
      </c>
      <c r="E404" s="413" t="s">
        <v>8710</v>
      </c>
      <c r="F404" s="413"/>
      <c r="G404" s="413"/>
      <c r="H404" s="413"/>
      <c r="I404" s="413"/>
      <c r="J404" s="413"/>
      <c r="K404" s="413"/>
      <c r="L404" s="413"/>
      <c r="M404" s="413"/>
      <c r="N404" s="413"/>
      <c r="O404" s="413"/>
      <c r="P404" s="413"/>
      <c r="Q404" s="413"/>
      <c r="R404" s="413"/>
      <c r="S404" s="413"/>
      <c r="T404" s="413"/>
      <c r="U404" s="413"/>
      <c r="V404" s="413"/>
      <c r="W404" s="413"/>
      <c r="X404" s="575">
        <v>1</v>
      </c>
      <c r="Y404" s="1311"/>
    </row>
    <row r="405" spans="1:25" hidden="1">
      <c r="A405" s="428" t="s">
        <v>6268</v>
      </c>
      <c r="B405" s="413" t="s">
        <v>141</v>
      </c>
      <c r="C405" s="413" t="s">
        <v>4782</v>
      </c>
      <c r="D405" s="413" t="s">
        <v>8503</v>
      </c>
      <c r="E405" s="413" t="s">
        <v>8711</v>
      </c>
      <c r="F405" s="413"/>
      <c r="G405" s="413"/>
      <c r="H405" s="413"/>
      <c r="I405" s="413"/>
      <c r="J405" s="413"/>
      <c r="K405" s="413"/>
      <c r="L405" s="413"/>
      <c r="M405" s="413"/>
      <c r="N405" s="413"/>
      <c r="O405" s="413"/>
      <c r="P405" s="413"/>
      <c r="Q405" s="413"/>
      <c r="R405" s="413"/>
      <c r="S405" s="413"/>
      <c r="T405" s="413"/>
      <c r="U405" s="413"/>
      <c r="V405" s="413"/>
      <c r="W405" s="413"/>
      <c r="X405" s="575">
        <v>1</v>
      </c>
      <c r="Y405" s="1311"/>
    </row>
    <row r="406" spans="1:25" hidden="1">
      <c r="A406" s="428" t="s">
        <v>6268</v>
      </c>
      <c r="B406" s="413" t="s">
        <v>141</v>
      </c>
      <c r="C406" s="413" t="s">
        <v>4764</v>
      </c>
      <c r="D406" s="413" t="s">
        <v>8503</v>
      </c>
      <c r="E406" s="413" t="s">
        <v>8712</v>
      </c>
      <c r="F406" s="413"/>
      <c r="G406" s="413"/>
      <c r="H406" s="413"/>
      <c r="I406" s="413"/>
      <c r="J406" s="413"/>
      <c r="K406" s="413"/>
      <c r="L406" s="413"/>
      <c r="M406" s="413"/>
      <c r="N406" s="413"/>
      <c r="O406" s="413"/>
      <c r="P406" s="413"/>
      <c r="Q406" s="413"/>
      <c r="R406" s="413"/>
      <c r="S406" s="413"/>
      <c r="T406" s="413"/>
      <c r="U406" s="413"/>
      <c r="V406" s="413"/>
      <c r="W406" s="413"/>
      <c r="X406" s="575">
        <v>1</v>
      </c>
      <c r="Y406" s="1311"/>
    </row>
    <row r="407" spans="1:25" hidden="1">
      <c r="A407" s="428" t="s">
        <v>6268</v>
      </c>
      <c r="B407" s="413" t="s">
        <v>141</v>
      </c>
      <c r="C407" s="413" t="s">
        <v>4760</v>
      </c>
      <c r="D407" s="413" t="s">
        <v>8503</v>
      </c>
      <c r="E407" s="413" t="s">
        <v>8713</v>
      </c>
      <c r="F407" s="413"/>
      <c r="G407" s="413"/>
      <c r="H407" s="413"/>
      <c r="I407" s="413"/>
      <c r="J407" s="413"/>
      <c r="K407" s="413"/>
      <c r="L407" s="413"/>
      <c r="M407" s="413"/>
      <c r="N407" s="413"/>
      <c r="O407" s="413"/>
      <c r="P407" s="413"/>
      <c r="Q407" s="413"/>
      <c r="R407" s="413"/>
      <c r="S407" s="413"/>
      <c r="T407" s="413"/>
      <c r="U407" s="413"/>
      <c r="V407" s="413"/>
      <c r="W407" s="413"/>
      <c r="X407" s="575">
        <v>1</v>
      </c>
      <c r="Y407" s="1311"/>
    </row>
    <row r="408" spans="1:25" hidden="1">
      <c r="A408" s="428" t="s">
        <v>6268</v>
      </c>
      <c r="B408" s="413" t="s">
        <v>141</v>
      </c>
      <c r="C408" s="413" t="s">
        <v>4748</v>
      </c>
      <c r="D408" s="413" t="s">
        <v>8503</v>
      </c>
      <c r="E408" s="413" t="s">
        <v>8714</v>
      </c>
      <c r="F408" s="413"/>
      <c r="G408" s="413"/>
      <c r="H408" s="413"/>
      <c r="I408" s="413"/>
      <c r="J408" s="413"/>
      <c r="K408" s="413"/>
      <c r="L408" s="413"/>
      <c r="M408" s="413"/>
      <c r="N408" s="413"/>
      <c r="O408" s="413"/>
      <c r="P408" s="413"/>
      <c r="Q408" s="413"/>
      <c r="R408" s="413"/>
      <c r="S408" s="413"/>
      <c r="T408" s="413"/>
      <c r="U408" s="413"/>
      <c r="V408" s="413"/>
      <c r="W408" s="413"/>
      <c r="X408" s="575">
        <v>1</v>
      </c>
      <c r="Y408" s="1311"/>
    </row>
    <row r="409" spans="1:25" hidden="1">
      <c r="A409" s="428" t="s">
        <v>6268</v>
      </c>
      <c r="B409" s="413" t="s">
        <v>141</v>
      </c>
      <c r="C409" s="413" t="s">
        <v>4772</v>
      </c>
      <c r="D409" s="413" t="s">
        <v>8503</v>
      </c>
      <c r="E409" s="413" t="s">
        <v>8715</v>
      </c>
      <c r="F409" s="413"/>
      <c r="G409" s="413"/>
      <c r="H409" s="413"/>
      <c r="I409" s="413"/>
      <c r="J409" s="413"/>
      <c r="K409" s="413"/>
      <c r="L409" s="413"/>
      <c r="M409" s="413"/>
      <c r="N409" s="413"/>
      <c r="O409" s="413"/>
      <c r="P409" s="413"/>
      <c r="Q409" s="413"/>
      <c r="R409" s="413"/>
      <c r="S409" s="413"/>
      <c r="T409" s="413"/>
      <c r="U409" s="413"/>
      <c r="V409" s="413"/>
      <c r="W409" s="413"/>
      <c r="X409" s="575">
        <v>1</v>
      </c>
      <c r="Y409" s="1311"/>
    </row>
    <row r="410" spans="1:25" hidden="1">
      <c r="A410" s="428" t="s">
        <v>6268</v>
      </c>
      <c r="B410" s="413" t="s">
        <v>141</v>
      </c>
      <c r="C410" s="413" t="s">
        <v>4852</v>
      </c>
      <c r="D410" s="413" t="s">
        <v>8503</v>
      </c>
      <c r="E410" s="413" t="s">
        <v>8716</v>
      </c>
      <c r="F410" s="413"/>
      <c r="G410" s="413"/>
      <c r="H410" s="413"/>
      <c r="I410" s="413"/>
      <c r="J410" s="413"/>
      <c r="K410" s="413"/>
      <c r="L410" s="413"/>
      <c r="M410" s="413"/>
      <c r="N410" s="413"/>
      <c r="O410" s="413"/>
      <c r="P410" s="413"/>
      <c r="Q410" s="413"/>
      <c r="R410" s="413"/>
      <c r="S410" s="413"/>
      <c r="T410" s="413"/>
      <c r="U410" s="413"/>
      <c r="V410" s="413"/>
      <c r="W410" s="413"/>
      <c r="X410" s="575">
        <v>1</v>
      </c>
      <c r="Y410" s="1311"/>
    </row>
    <row r="411" spans="1:25" hidden="1">
      <c r="A411" s="428" t="s">
        <v>6268</v>
      </c>
      <c r="B411" s="413" t="s">
        <v>141</v>
      </c>
      <c r="C411" s="413" t="s">
        <v>4549</v>
      </c>
      <c r="D411" s="413" t="s">
        <v>8503</v>
      </c>
      <c r="E411" s="413" t="s">
        <v>8717</v>
      </c>
      <c r="F411" s="413"/>
      <c r="G411" s="413"/>
      <c r="H411" s="413"/>
      <c r="I411" s="413"/>
      <c r="J411" s="413"/>
      <c r="K411" s="413"/>
      <c r="L411" s="413"/>
      <c r="M411" s="413"/>
      <c r="N411" s="413"/>
      <c r="O411" s="413"/>
      <c r="P411" s="413"/>
      <c r="Q411" s="413"/>
      <c r="R411" s="413"/>
      <c r="S411" s="413"/>
      <c r="T411" s="413"/>
      <c r="U411" s="413"/>
      <c r="V411" s="413"/>
      <c r="W411" s="413"/>
      <c r="X411" s="575">
        <v>1</v>
      </c>
      <c r="Y411" s="1311"/>
    </row>
    <row r="412" spans="1:25" hidden="1">
      <c r="A412" s="428" t="s">
        <v>6268</v>
      </c>
      <c r="B412" s="413" t="s">
        <v>141</v>
      </c>
      <c r="C412" s="413" t="s">
        <v>4776</v>
      </c>
      <c r="D412" s="413" t="s">
        <v>8503</v>
      </c>
      <c r="E412" s="413" t="s">
        <v>8718</v>
      </c>
      <c r="F412" s="413"/>
      <c r="G412" s="413"/>
      <c r="H412" s="413"/>
      <c r="I412" s="413"/>
      <c r="J412" s="413"/>
      <c r="K412" s="413"/>
      <c r="L412" s="413"/>
      <c r="M412" s="413"/>
      <c r="N412" s="413"/>
      <c r="O412" s="413"/>
      <c r="P412" s="413"/>
      <c r="Q412" s="413"/>
      <c r="R412" s="413"/>
      <c r="S412" s="413"/>
      <c r="T412" s="413"/>
      <c r="U412" s="413"/>
      <c r="V412" s="413"/>
      <c r="W412" s="413"/>
      <c r="X412" s="575">
        <v>1</v>
      </c>
      <c r="Y412" s="1311"/>
    </row>
    <row r="413" spans="1:25" hidden="1">
      <c r="A413" s="428" t="s">
        <v>6268</v>
      </c>
      <c r="B413" s="413" t="s">
        <v>141</v>
      </c>
      <c r="C413" s="413" t="s">
        <v>4509</v>
      </c>
      <c r="D413" s="413" t="s">
        <v>8503</v>
      </c>
      <c r="E413" s="413" t="s">
        <v>8719</v>
      </c>
      <c r="F413" s="413"/>
      <c r="G413" s="413"/>
      <c r="H413" s="413"/>
      <c r="I413" s="413"/>
      <c r="J413" s="413"/>
      <c r="K413" s="413"/>
      <c r="L413" s="413"/>
      <c r="M413" s="413"/>
      <c r="N413" s="413"/>
      <c r="O413" s="413"/>
      <c r="P413" s="413"/>
      <c r="Q413" s="413"/>
      <c r="R413" s="413"/>
      <c r="S413" s="413"/>
      <c r="T413" s="413"/>
      <c r="U413" s="413"/>
      <c r="V413" s="413"/>
      <c r="W413" s="413"/>
      <c r="X413" s="575">
        <v>1</v>
      </c>
      <c r="Y413" s="1311"/>
    </row>
    <row r="414" spans="1:25" hidden="1">
      <c r="A414" s="428" t="s">
        <v>6268</v>
      </c>
      <c r="B414" s="413" t="s">
        <v>141</v>
      </c>
      <c r="C414" s="413" t="s">
        <v>4943</v>
      </c>
      <c r="D414" s="413" t="s">
        <v>8503</v>
      </c>
      <c r="E414" s="413" t="s">
        <v>8720</v>
      </c>
      <c r="F414" s="413"/>
      <c r="G414" s="413"/>
      <c r="H414" s="413"/>
      <c r="I414" s="413"/>
      <c r="J414" s="413"/>
      <c r="K414" s="413"/>
      <c r="L414" s="413"/>
      <c r="M414" s="413"/>
      <c r="N414" s="413"/>
      <c r="O414" s="413"/>
      <c r="P414" s="413"/>
      <c r="Q414" s="413"/>
      <c r="R414" s="413"/>
      <c r="S414" s="413"/>
      <c r="T414" s="413"/>
      <c r="U414" s="413"/>
      <c r="V414" s="413"/>
      <c r="W414" s="413"/>
      <c r="X414" s="575">
        <v>1</v>
      </c>
      <c r="Y414" s="1311"/>
    </row>
    <row r="415" spans="1:25" hidden="1">
      <c r="A415" s="428" t="s">
        <v>6268</v>
      </c>
      <c r="B415" s="413" t="s">
        <v>141</v>
      </c>
      <c r="C415" s="413" t="s">
        <v>4628</v>
      </c>
      <c r="D415" s="413" t="s">
        <v>8503</v>
      </c>
      <c r="E415" s="413" t="s">
        <v>8721</v>
      </c>
      <c r="F415" s="413"/>
      <c r="G415" s="413"/>
      <c r="H415" s="413"/>
      <c r="I415" s="413"/>
      <c r="J415" s="413"/>
      <c r="K415" s="413"/>
      <c r="L415" s="413"/>
      <c r="M415" s="413"/>
      <c r="N415" s="413"/>
      <c r="O415" s="413"/>
      <c r="P415" s="413"/>
      <c r="Q415" s="413"/>
      <c r="R415" s="413"/>
      <c r="S415" s="413"/>
      <c r="T415" s="413"/>
      <c r="U415" s="413"/>
      <c r="V415" s="413"/>
      <c r="W415" s="413"/>
      <c r="X415" s="575">
        <v>1</v>
      </c>
      <c r="Y415" s="1311"/>
    </row>
    <row r="416" spans="1:25" hidden="1">
      <c r="A416" s="428" t="s">
        <v>6268</v>
      </c>
      <c r="B416" s="413" t="s">
        <v>141</v>
      </c>
      <c r="C416" s="413" t="s">
        <v>4752</v>
      </c>
      <c r="D416" s="413" t="s">
        <v>8503</v>
      </c>
      <c r="E416" s="413" t="s">
        <v>8722</v>
      </c>
      <c r="F416" s="413"/>
      <c r="G416" s="413"/>
      <c r="H416" s="413"/>
      <c r="I416" s="413"/>
      <c r="J416" s="413"/>
      <c r="K416" s="413"/>
      <c r="L416" s="413"/>
      <c r="M416" s="413"/>
      <c r="N416" s="413"/>
      <c r="O416" s="413"/>
      <c r="P416" s="413"/>
      <c r="Q416" s="413"/>
      <c r="R416" s="413"/>
      <c r="S416" s="413"/>
      <c r="T416" s="413"/>
      <c r="U416" s="413"/>
      <c r="V416" s="413"/>
      <c r="W416" s="413"/>
      <c r="X416" s="575">
        <v>1</v>
      </c>
      <c r="Y416" s="1311"/>
    </row>
    <row r="417" spans="1:25" hidden="1">
      <c r="A417" s="428" t="s">
        <v>6268</v>
      </c>
      <c r="B417" s="413" t="s">
        <v>141</v>
      </c>
      <c r="C417" s="413" t="s">
        <v>4774</v>
      </c>
      <c r="D417" s="413" t="s">
        <v>8503</v>
      </c>
      <c r="E417" s="413" t="s">
        <v>8723</v>
      </c>
      <c r="F417" s="413"/>
      <c r="G417" s="413"/>
      <c r="H417" s="413"/>
      <c r="I417" s="413"/>
      <c r="J417" s="413"/>
      <c r="K417" s="413"/>
      <c r="L417" s="413"/>
      <c r="M417" s="413"/>
      <c r="N417" s="413"/>
      <c r="O417" s="413"/>
      <c r="P417" s="413"/>
      <c r="Q417" s="413"/>
      <c r="R417" s="413"/>
      <c r="S417" s="413"/>
      <c r="T417" s="413"/>
      <c r="U417" s="413"/>
      <c r="V417" s="413"/>
      <c r="W417" s="413"/>
      <c r="X417" s="575">
        <v>1</v>
      </c>
      <c r="Y417" s="1311"/>
    </row>
    <row r="418" spans="1:25" hidden="1">
      <c r="A418" s="428" t="s">
        <v>6268</v>
      </c>
      <c r="B418" s="413" t="s">
        <v>141</v>
      </c>
      <c r="C418" s="413" t="s">
        <v>4762</v>
      </c>
      <c r="D418" s="413" t="s">
        <v>8503</v>
      </c>
      <c r="E418" s="413" t="s">
        <v>8724</v>
      </c>
      <c r="F418" s="413"/>
      <c r="G418" s="413"/>
      <c r="H418" s="413"/>
      <c r="I418" s="413"/>
      <c r="J418" s="413"/>
      <c r="K418" s="413"/>
      <c r="L418" s="413"/>
      <c r="M418" s="413"/>
      <c r="N418" s="413"/>
      <c r="O418" s="413"/>
      <c r="P418" s="413"/>
      <c r="Q418" s="413"/>
      <c r="R418" s="413"/>
      <c r="S418" s="413"/>
      <c r="T418" s="413"/>
      <c r="U418" s="413"/>
      <c r="V418" s="413"/>
      <c r="W418" s="413"/>
      <c r="X418" s="575">
        <v>1</v>
      </c>
      <c r="Y418" s="1311"/>
    </row>
    <row r="419" spans="1:25" hidden="1">
      <c r="A419" s="428" t="s">
        <v>6268</v>
      </c>
      <c r="B419" s="413" t="s">
        <v>141</v>
      </c>
      <c r="C419" s="413" t="s">
        <v>4786</v>
      </c>
      <c r="D419" s="413" t="s">
        <v>8503</v>
      </c>
      <c r="E419" s="413" t="s">
        <v>8725</v>
      </c>
      <c r="F419" s="413"/>
      <c r="G419" s="413"/>
      <c r="H419" s="413"/>
      <c r="I419" s="413"/>
      <c r="J419" s="413"/>
      <c r="K419" s="413"/>
      <c r="L419" s="413"/>
      <c r="M419" s="413"/>
      <c r="N419" s="413"/>
      <c r="O419" s="413"/>
      <c r="P419" s="413"/>
      <c r="Q419" s="413"/>
      <c r="R419" s="413"/>
      <c r="S419" s="413"/>
      <c r="T419" s="413"/>
      <c r="U419" s="413"/>
      <c r="V419" s="413"/>
      <c r="W419" s="413"/>
      <c r="X419" s="575">
        <v>1</v>
      </c>
      <c r="Y419" s="1311"/>
    </row>
    <row r="420" spans="1:25" hidden="1">
      <c r="A420" s="428" t="s">
        <v>6268</v>
      </c>
      <c r="B420" s="413" t="s">
        <v>141</v>
      </c>
      <c r="C420" s="413" t="s">
        <v>4754</v>
      </c>
      <c r="D420" s="413" t="s">
        <v>8503</v>
      </c>
      <c r="E420" s="413" t="s">
        <v>8726</v>
      </c>
      <c r="F420" s="413"/>
      <c r="G420" s="413"/>
      <c r="H420" s="413"/>
      <c r="I420" s="413"/>
      <c r="J420" s="413"/>
      <c r="K420" s="413"/>
      <c r="L420" s="413"/>
      <c r="M420" s="413"/>
      <c r="N420" s="413"/>
      <c r="O420" s="413"/>
      <c r="P420" s="413"/>
      <c r="Q420" s="413"/>
      <c r="R420" s="413"/>
      <c r="S420" s="413"/>
      <c r="T420" s="413"/>
      <c r="U420" s="413"/>
      <c r="V420" s="413"/>
      <c r="W420" s="413"/>
      <c r="X420" s="575">
        <v>1</v>
      </c>
      <c r="Y420" s="1311"/>
    </row>
    <row r="421" spans="1:25" hidden="1">
      <c r="A421" s="428" t="s">
        <v>6268</v>
      </c>
      <c r="B421" s="413" t="s">
        <v>141</v>
      </c>
      <c r="C421" s="413" t="s">
        <v>4459</v>
      </c>
      <c r="D421" s="413" t="s">
        <v>8503</v>
      </c>
      <c r="E421" s="413" t="s">
        <v>8727</v>
      </c>
      <c r="F421" s="413"/>
      <c r="G421" s="413"/>
      <c r="H421" s="413"/>
      <c r="I421" s="413"/>
      <c r="J421" s="413"/>
      <c r="K421" s="413"/>
      <c r="L421" s="413"/>
      <c r="M421" s="413"/>
      <c r="N421" s="413"/>
      <c r="O421" s="413"/>
      <c r="P421" s="413"/>
      <c r="Q421" s="413"/>
      <c r="R421" s="413"/>
      <c r="S421" s="413"/>
      <c r="T421" s="413"/>
      <c r="U421" s="413"/>
      <c r="V421" s="413"/>
      <c r="W421" s="413"/>
      <c r="X421" s="575">
        <v>1</v>
      </c>
      <c r="Y421" s="1311"/>
    </row>
    <row r="422" spans="1:25" hidden="1">
      <c r="A422" s="428" t="s">
        <v>6268</v>
      </c>
      <c r="B422" s="413" t="s">
        <v>141</v>
      </c>
      <c r="C422" s="413" t="s">
        <v>4784</v>
      </c>
      <c r="D422" s="413" t="s">
        <v>8503</v>
      </c>
      <c r="E422" s="413" t="s">
        <v>8728</v>
      </c>
      <c r="F422" s="413"/>
      <c r="G422" s="413"/>
      <c r="H422" s="413"/>
      <c r="I422" s="413"/>
      <c r="J422" s="413"/>
      <c r="K422" s="413"/>
      <c r="L422" s="413"/>
      <c r="M422" s="413"/>
      <c r="N422" s="413"/>
      <c r="O422" s="413"/>
      <c r="P422" s="413"/>
      <c r="Q422" s="413"/>
      <c r="R422" s="413"/>
      <c r="S422" s="413"/>
      <c r="T422" s="413"/>
      <c r="U422" s="413"/>
      <c r="V422" s="413"/>
      <c r="W422" s="413"/>
      <c r="X422" s="575">
        <v>1</v>
      </c>
      <c r="Y422" s="1311"/>
    </row>
    <row r="423" spans="1:25" hidden="1">
      <c r="A423" s="428" t="s">
        <v>6268</v>
      </c>
      <c r="B423" s="413" t="s">
        <v>141</v>
      </c>
      <c r="C423" s="413" t="s">
        <v>4816</v>
      </c>
      <c r="D423" s="413" t="s">
        <v>8503</v>
      </c>
      <c r="E423" s="413" t="s">
        <v>8729</v>
      </c>
      <c r="F423" s="413"/>
      <c r="G423" s="413"/>
      <c r="H423" s="413"/>
      <c r="I423" s="413"/>
      <c r="J423" s="413"/>
      <c r="K423" s="413"/>
      <c r="L423" s="413"/>
      <c r="M423" s="413"/>
      <c r="N423" s="413"/>
      <c r="O423" s="413"/>
      <c r="P423" s="413"/>
      <c r="Q423" s="413"/>
      <c r="R423" s="413"/>
      <c r="S423" s="413"/>
      <c r="T423" s="413"/>
      <c r="U423" s="413"/>
      <c r="V423" s="413"/>
      <c r="W423" s="413"/>
      <c r="X423" s="575">
        <v>1</v>
      </c>
      <c r="Y423" s="1311"/>
    </row>
    <row r="424" spans="1:25" hidden="1">
      <c r="A424" s="428" t="s">
        <v>6268</v>
      </c>
      <c r="B424" s="413" t="s">
        <v>141</v>
      </c>
      <c r="C424" s="413" t="s">
        <v>4798</v>
      </c>
      <c r="D424" s="413" t="s">
        <v>8503</v>
      </c>
      <c r="E424" s="413" t="s">
        <v>8730</v>
      </c>
      <c r="F424" s="413"/>
      <c r="G424" s="413"/>
      <c r="H424" s="413"/>
      <c r="I424" s="413"/>
      <c r="J424" s="413"/>
      <c r="K424" s="413"/>
      <c r="L424" s="413"/>
      <c r="M424" s="413"/>
      <c r="N424" s="413"/>
      <c r="O424" s="413"/>
      <c r="P424" s="413"/>
      <c r="Q424" s="413"/>
      <c r="R424" s="413"/>
      <c r="S424" s="413"/>
      <c r="T424" s="413"/>
      <c r="U424" s="413"/>
      <c r="V424" s="413"/>
      <c r="W424" s="413"/>
      <c r="X424" s="575">
        <v>1</v>
      </c>
      <c r="Y424" s="1311"/>
    </row>
    <row r="425" spans="1:25" hidden="1">
      <c r="A425" s="428" t="s">
        <v>6268</v>
      </c>
      <c r="B425" s="413" t="s">
        <v>141</v>
      </c>
      <c r="C425" s="413" t="s">
        <v>4818</v>
      </c>
      <c r="D425" s="413" t="s">
        <v>8503</v>
      </c>
      <c r="E425" s="413" t="s">
        <v>8731</v>
      </c>
      <c r="F425" s="413"/>
      <c r="G425" s="413"/>
      <c r="H425" s="413"/>
      <c r="I425" s="413"/>
      <c r="J425" s="413"/>
      <c r="K425" s="413"/>
      <c r="L425" s="413"/>
      <c r="M425" s="413"/>
      <c r="N425" s="413"/>
      <c r="O425" s="413"/>
      <c r="P425" s="413"/>
      <c r="Q425" s="413"/>
      <c r="R425" s="413"/>
      <c r="S425" s="413"/>
      <c r="T425" s="413"/>
      <c r="U425" s="413"/>
      <c r="V425" s="413"/>
      <c r="W425" s="413"/>
      <c r="X425" s="575">
        <v>1</v>
      </c>
      <c r="Y425" s="1311"/>
    </row>
    <row r="426" spans="1:25" hidden="1">
      <c r="A426" s="428" t="s">
        <v>6268</v>
      </c>
      <c r="B426" s="413" t="s">
        <v>141</v>
      </c>
      <c r="C426" s="413" t="s">
        <v>4796</v>
      </c>
      <c r="D426" s="413" t="s">
        <v>8503</v>
      </c>
      <c r="E426" s="413" t="s">
        <v>8732</v>
      </c>
      <c r="F426" s="413"/>
      <c r="G426" s="413"/>
      <c r="H426" s="413"/>
      <c r="I426" s="413"/>
      <c r="J426" s="413"/>
      <c r="K426" s="413"/>
      <c r="L426" s="413"/>
      <c r="M426" s="413"/>
      <c r="N426" s="413"/>
      <c r="O426" s="413"/>
      <c r="P426" s="413"/>
      <c r="Q426" s="413"/>
      <c r="R426" s="413"/>
      <c r="S426" s="413"/>
      <c r="T426" s="413"/>
      <c r="U426" s="413"/>
      <c r="V426" s="413"/>
      <c r="W426" s="413"/>
      <c r="X426" s="575">
        <v>1</v>
      </c>
      <c r="Y426" s="1311"/>
    </row>
    <row r="427" spans="1:25" hidden="1">
      <c r="A427" s="428" t="s">
        <v>6268</v>
      </c>
      <c r="B427" s="413" t="s">
        <v>141</v>
      </c>
      <c r="C427" s="413" t="s">
        <v>4802</v>
      </c>
      <c r="D427" s="413" t="s">
        <v>8503</v>
      </c>
      <c r="E427" s="413" t="s">
        <v>8733</v>
      </c>
      <c r="F427" s="413"/>
      <c r="G427" s="413"/>
      <c r="H427" s="413"/>
      <c r="I427" s="413"/>
      <c r="J427" s="413"/>
      <c r="K427" s="413"/>
      <c r="L427" s="413"/>
      <c r="M427" s="413"/>
      <c r="N427" s="413"/>
      <c r="O427" s="413"/>
      <c r="P427" s="413"/>
      <c r="Q427" s="413"/>
      <c r="R427" s="413"/>
      <c r="S427" s="413"/>
      <c r="T427" s="413"/>
      <c r="U427" s="413"/>
      <c r="V427" s="413"/>
      <c r="W427" s="413"/>
      <c r="X427" s="575">
        <v>1</v>
      </c>
      <c r="Y427" s="1311"/>
    </row>
    <row r="428" spans="1:25" hidden="1">
      <c r="A428" s="428" t="s">
        <v>6268</v>
      </c>
      <c r="B428" s="413" t="s">
        <v>141</v>
      </c>
      <c r="C428" s="413" t="s">
        <v>4794</v>
      </c>
      <c r="D428" s="413" t="s">
        <v>8503</v>
      </c>
      <c r="E428" s="413" t="s">
        <v>8734</v>
      </c>
      <c r="F428" s="413"/>
      <c r="G428" s="413"/>
      <c r="H428" s="413"/>
      <c r="I428" s="413"/>
      <c r="J428" s="413"/>
      <c r="K428" s="413"/>
      <c r="L428" s="413"/>
      <c r="M428" s="413"/>
      <c r="N428" s="413"/>
      <c r="O428" s="413"/>
      <c r="P428" s="413"/>
      <c r="Q428" s="413"/>
      <c r="R428" s="413"/>
      <c r="S428" s="413"/>
      <c r="T428" s="413"/>
      <c r="U428" s="413"/>
      <c r="V428" s="413"/>
      <c r="W428" s="413"/>
      <c r="X428" s="575">
        <v>1</v>
      </c>
      <c r="Y428" s="1311"/>
    </row>
    <row r="429" spans="1:25" hidden="1">
      <c r="A429" s="428" t="s">
        <v>6268</v>
      </c>
      <c r="B429" s="413" t="s">
        <v>141</v>
      </c>
      <c r="C429" s="413" t="s">
        <v>4800</v>
      </c>
      <c r="D429" s="413" t="s">
        <v>8503</v>
      </c>
      <c r="E429" s="413" t="s">
        <v>8735</v>
      </c>
      <c r="F429" s="413"/>
      <c r="G429" s="413"/>
      <c r="H429" s="413"/>
      <c r="I429" s="413"/>
      <c r="J429" s="413"/>
      <c r="K429" s="413"/>
      <c r="L429" s="413"/>
      <c r="M429" s="413"/>
      <c r="N429" s="413"/>
      <c r="O429" s="413"/>
      <c r="P429" s="413"/>
      <c r="Q429" s="413"/>
      <c r="R429" s="413"/>
      <c r="S429" s="413"/>
      <c r="T429" s="413"/>
      <c r="U429" s="413"/>
      <c r="V429" s="413"/>
      <c r="W429" s="413"/>
      <c r="X429" s="575">
        <v>1</v>
      </c>
      <c r="Y429" s="1311"/>
    </row>
    <row r="430" spans="1:25" hidden="1">
      <c r="A430" s="428" t="s">
        <v>6268</v>
      </c>
      <c r="B430" s="413" t="s">
        <v>141</v>
      </c>
      <c r="C430" s="413" t="s">
        <v>4808</v>
      </c>
      <c r="D430" s="413" t="s">
        <v>8503</v>
      </c>
      <c r="E430" s="413" t="s">
        <v>8736</v>
      </c>
      <c r="F430" s="413"/>
      <c r="G430" s="413"/>
      <c r="H430" s="413"/>
      <c r="I430" s="413"/>
      <c r="J430" s="413"/>
      <c r="K430" s="413"/>
      <c r="L430" s="413"/>
      <c r="M430" s="413"/>
      <c r="N430" s="413"/>
      <c r="O430" s="413"/>
      <c r="P430" s="413"/>
      <c r="Q430" s="413"/>
      <c r="R430" s="413"/>
      <c r="S430" s="413"/>
      <c r="T430" s="413"/>
      <c r="U430" s="413"/>
      <c r="V430" s="413"/>
      <c r="W430" s="413"/>
      <c r="X430" s="575">
        <v>1</v>
      </c>
      <c r="Y430" s="1311"/>
    </row>
    <row r="431" spans="1:25" hidden="1">
      <c r="A431" s="428" t="s">
        <v>6268</v>
      </c>
      <c r="B431" s="413" t="s">
        <v>141</v>
      </c>
      <c r="C431" s="413" t="s">
        <v>4812</v>
      </c>
      <c r="D431" s="413" t="s">
        <v>8503</v>
      </c>
      <c r="E431" s="413" t="s">
        <v>8737</v>
      </c>
      <c r="F431" s="413"/>
      <c r="G431" s="413"/>
      <c r="H431" s="413"/>
      <c r="I431" s="413"/>
      <c r="J431" s="413"/>
      <c r="K431" s="413"/>
      <c r="L431" s="413"/>
      <c r="M431" s="413"/>
      <c r="N431" s="413"/>
      <c r="O431" s="413"/>
      <c r="P431" s="413"/>
      <c r="Q431" s="413"/>
      <c r="R431" s="413"/>
      <c r="S431" s="413"/>
      <c r="T431" s="413"/>
      <c r="U431" s="413"/>
      <c r="V431" s="413"/>
      <c r="W431" s="413"/>
      <c r="X431" s="575">
        <v>1</v>
      </c>
      <c r="Y431" s="1311"/>
    </row>
    <row r="432" spans="1:25" hidden="1">
      <c r="A432" s="428" t="s">
        <v>6268</v>
      </c>
      <c r="B432" s="413" t="s">
        <v>141</v>
      </c>
      <c r="C432" s="413" t="s">
        <v>4806</v>
      </c>
      <c r="D432" s="413" t="s">
        <v>8503</v>
      </c>
      <c r="E432" s="413" t="s">
        <v>8738</v>
      </c>
      <c r="F432" s="413"/>
      <c r="G432" s="413"/>
      <c r="H432" s="413"/>
      <c r="I432" s="413"/>
      <c r="J432" s="413"/>
      <c r="K432" s="413"/>
      <c r="L432" s="413"/>
      <c r="M432" s="413"/>
      <c r="N432" s="413"/>
      <c r="O432" s="413"/>
      <c r="P432" s="413"/>
      <c r="Q432" s="413"/>
      <c r="R432" s="413"/>
      <c r="S432" s="413"/>
      <c r="T432" s="413"/>
      <c r="U432" s="413"/>
      <c r="V432" s="413"/>
      <c r="W432" s="413"/>
      <c r="X432" s="575">
        <v>1</v>
      </c>
      <c r="Y432" s="1311"/>
    </row>
    <row r="433" spans="1:25" hidden="1">
      <c r="A433" s="428" t="s">
        <v>6268</v>
      </c>
      <c r="B433" s="413" t="s">
        <v>141</v>
      </c>
      <c r="C433" s="413" t="s">
        <v>4810</v>
      </c>
      <c r="D433" s="413" t="s">
        <v>8503</v>
      </c>
      <c r="E433" s="413" t="s">
        <v>8739</v>
      </c>
      <c r="F433" s="413"/>
      <c r="G433" s="413"/>
      <c r="H433" s="413"/>
      <c r="I433" s="413"/>
      <c r="J433" s="413"/>
      <c r="K433" s="413"/>
      <c r="L433" s="413"/>
      <c r="M433" s="413"/>
      <c r="N433" s="413"/>
      <c r="O433" s="413"/>
      <c r="P433" s="413"/>
      <c r="Q433" s="413"/>
      <c r="R433" s="413"/>
      <c r="S433" s="413"/>
      <c r="T433" s="413"/>
      <c r="U433" s="413"/>
      <c r="V433" s="413"/>
      <c r="W433" s="413"/>
      <c r="X433" s="575">
        <v>1</v>
      </c>
      <c r="Y433" s="1311"/>
    </row>
    <row r="434" spans="1:25" hidden="1">
      <c r="A434" s="428" t="s">
        <v>6268</v>
      </c>
      <c r="B434" s="413" t="s">
        <v>141</v>
      </c>
      <c r="C434" s="413" t="s">
        <v>4804</v>
      </c>
      <c r="D434" s="413" t="s">
        <v>8503</v>
      </c>
      <c r="E434" s="413" t="s">
        <v>8740</v>
      </c>
      <c r="F434" s="413"/>
      <c r="G434" s="413"/>
      <c r="H434" s="413"/>
      <c r="I434" s="413"/>
      <c r="J434" s="413"/>
      <c r="K434" s="413"/>
      <c r="L434" s="413"/>
      <c r="M434" s="413"/>
      <c r="N434" s="413"/>
      <c r="O434" s="413"/>
      <c r="P434" s="413"/>
      <c r="Q434" s="413"/>
      <c r="R434" s="413"/>
      <c r="S434" s="413"/>
      <c r="T434" s="413"/>
      <c r="U434" s="413"/>
      <c r="V434" s="413"/>
      <c r="W434" s="413"/>
      <c r="X434" s="575">
        <v>1</v>
      </c>
      <c r="Y434" s="1311"/>
    </row>
    <row r="435" spans="1:25" hidden="1">
      <c r="A435" s="428" t="s">
        <v>6268</v>
      </c>
      <c r="B435" s="413" t="s">
        <v>141</v>
      </c>
      <c r="C435" s="413" t="s">
        <v>4788</v>
      </c>
      <c r="D435" s="413" t="s">
        <v>8503</v>
      </c>
      <c r="E435" s="413" t="s">
        <v>8741</v>
      </c>
      <c r="F435" s="413"/>
      <c r="G435" s="413"/>
      <c r="H435" s="413"/>
      <c r="I435" s="413"/>
      <c r="J435" s="413"/>
      <c r="K435" s="413"/>
      <c r="L435" s="413"/>
      <c r="M435" s="413"/>
      <c r="N435" s="413"/>
      <c r="O435" s="413"/>
      <c r="P435" s="413"/>
      <c r="Q435" s="413"/>
      <c r="R435" s="413"/>
      <c r="S435" s="413"/>
      <c r="T435" s="413"/>
      <c r="U435" s="413"/>
      <c r="V435" s="413"/>
      <c r="W435" s="413"/>
      <c r="X435" s="575">
        <v>1</v>
      </c>
      <c r="Y435" s="1311"/>
    </row>
    <row r="436" spans="1:25" hidden="1">
      <c r="A436" s="428" t="s">
        <v>6268</v>
      </c>
      <c r="B436" s="413" t="s">
        <v>141</v>
      </c>
      <c r="C436" s="413" t="s">
        <v>4814</v>
      </c>
      <c r="D436" s="413" t="s">
        <v>8503</v>
      </c>
      <c r="E436" s="413" t="s">
        <v>8742</v>
      </c>
      <c r="F436" s="413"/>
      <c r="G436" s="413"/>
      <c r="H436" s="413"/>
      <c r="I436" s="413"/>
      <c r="J436" s="413"/>
      <c r="K436" s="413"/>
      <c r="L436" s="413"/>
      <c r="M436" s="413"/>
      <c r="N436" s="413"/>
      <c r="O436" s="413"/>
      <c r="P436" s="413"/>
      <c r="Q436" s="413"/>
      <c r="R436" s="413"/>
      <c r="S436" s="413"/>
      <c r="T436" s="413"/>
      <c r="U436" s="413"/>
      <c r="V436" s="413"/>
      <c r="W436" s="413"/>
      <c r="X436" s="575">
        <v>1</v>
      </c>
      <c r="Y436" s="1311"/>
    </row>
    <row r="437" spans="1:25" hidden="1">
      <c r="A437" s="428" t="s">
        <v>6268</v>
      </c>
      <c r="B437" s="413" t="s">
        <v>141</v>
      </c>
      <c r="C437" s="413" t="s">
        <v>4822</v>
      </c>
      <c r="D437" s="413" t="s">
        <v>8503</v>
      </c>
      <c r="E437" s="413" t="s">
        <v>8743</v>
      </c>
      <c r="F437" s="413"/>
      <c r="G437" s="413"/>
      <c r="H437" s="413"/>
      <c r="I437" s="413"/>
      <c r="J437" s="413"/>
      <c r="K437" s="413"/>
      <c r="L437" s="413"/>
      <c r="M437" s="413"/>
      <c r="N437" s="413"/>
      <c r="O437" s="413"/>
      <c r="P437" s="413"/>
      <c r="Q437" s="413"/>
      <c r="R437" s="413"/>
      <c r="S437" s="413"/>
      <c r="T437" s="413"/>
      <c r="U437" s="413"/>
      <c r="V437" s="413"/>
      <c r="W437" s="413"/>
      <c r="X437" s="575">
        <v>1</v>
      </c>
      <c r="Y437" s="1311"/>
    </row>
    <row r="438" spans="1:25" hidden="1">
      <c r="A438" s="428" t="s">
        <v>6268</v>
      </c>
      <c r="B438" s="413" t="s">
        <v>141</v>
      </c>
      <c r="C438" s="413" t="s">
        <v>4820</v>
      </c>
      <c r="D438" s="413" t="s">
        <v>8503</v>
      </c>
      <c r="E438" s="413" t="s">
        <v>8744</v>
      </c>
      <c r="F438" s="413"/>
      <c r="G438" s="413"/>
      <c r="H438" s="413"/>
      <c r="I438" s="413"/>
      <c r="J438" s="413"/>
      <c r="K438" s="413"/>
      <c r="L438" s="413"/>
      <c r="M438" s="413"/>
      <c r="N438" s="413"/>
      <c r="O438" s="413"/>
      <c r="P438" s="413"/>
      <c r="Q438" s="413"/>
      <c r="R438" s="413"/>
      <c r="S438" s="413"/>
      <c r="T438" s="413"/>
      <c r="U438" s="413"/>
      <c r="V438" s="413"/>
      <c r="W438" s="413"/>
      <c r="X438" s="575">
        <v>1</v>
      </c>
      <c r="Y438" s="1311"/>
    </row>
    <row r="439" spans="1:25" hidden="1">
      <c r="A439" s="428" t="s">
        <v>6268</v>
      </c>
      <c r="B439" s="413" t="s">
        <v>141</v>
      </c>
      <c r="C439" s="413" t="s">
        <v>4377</v>
      </c>
      <c r="D439" s="413" t="s">
        <v>8503</v>
      </c>
      <c r="E439" s="413" t="s">
        <v>8745</v>
      </c>
      <c r="F439" s="413"/>
      <c r="G439" s="413"/>
      <c r="H439" s="413"/>
      <c r="I439" s="413"/>
      <c r="J439" s="413"/>
      <c r="K439" s="413"/>
      <c r="L439" s="413"/>
      <c r="M439" s="413"/>
      <c r="N439" s="413"/>
      <c r="O439" s="413"/>
      <c r="P439" s="413"/>
      <c r="Q439" s="413"/>
      <c r="R439" s="413"/>
      <c r="S439" s="413"/>
      <c r="T439" s="413"/>
      <c r="U439" s="413"/>
      <c r="V439" s="413"/>
      <c r="W439" s="413"/>
      <c r="X439" s="575">
        <v>1</v>
      </c>
      <c r="Y439" s="1311"/>
    </row>
    <row r="440" spans="1:25" hidden="1">
      <c r="A440" s="428" t="s">
        <v>6268</v>
      </c>
      <c r="B440" s="413" t="s">
        <v>141</v>
      </c>
      <c r="C440" s="413" t="s">
        <v>4527</v>
      </c>
      <c r="D440" s="413" t="s">
        <v>8503</v>
      </c>
      <c r="E440" s="413" t="s">
        <v>8746</v>
      </c>
      <c r="F440" s="413"/>
      <c r="G440" s="413"/>
      <c r="H440" s="413"/>
      <c r="I440" s="413"/>
      <c r="J440" s="413"/>
      <c r="K440" s="413"/>
      <c r="L440" s="413"/>
      <c r="M440" s="413"/>
      <c r="N440" s="413"/>
      <c r="O440" s="413"/>
      <c r="P440" s="413"/>
      <c r="Q440" s="413"/>
      <c r="R440" s="413"/>
      <c r="S440" s="413"/>
      <c r="T440" s="413"/>
      <c r="U440" s="413"/>
      <c r="V440" s="413"/>
      <c r="W440" s="413"/>
      <c r="X440" s="575">
        <v>1</v>
      </c>
      <c r="Y440" s="1311"/>
    </row>
    <row r="441" spans="1:25" hidden="1">
      <c r="A441" s="428" t="s">
        <v>6268</v>
      </c>
      <c r="B441" s="413" t="s">
        <v>141</v>
      </c>
      <c r="C441" s="413" t="s">
        <v>4826</v>
      </c>
      <c r="D441" s="413" t="s">
        <v>8503</v>
      </c>
      <c r="E441" s="413" t="s">
        <v>8747</v>
      </c>
      <c r="F441" s="413"/>
      <c r="G441" s="413"/>
      <c r="H441" s="413"/>
      <c r="I441" s="413"/>
      <c r="J441" s="413"/>
      <c r="K441" s="413"/>
      <c r="L441" s="413"/>
      <c r="M441" s="413"/>
      <c r="N441" s="413"/>
      <c r="O441" s="413"/>
      <c r="P441" s="413"/>
      <c r="Q441" s="413"/>
      <c r="R441" s="413"/>
      <c r="S441" s="413"/>
      <c r="T441" s="413"/>
      <c r="U441" s="413"/>
      <c r="V441" s="413"/>
      <c r="W441" s="413"/>
      <c r="X441" s="575">
        <v>1</v>
      </c>
      <c r="Y441" s="1311"/>
    </row>
    <row r="442" spans="1:25" hidden="1">
      <c r="A442" s="428" t="s">
        <v>6268</v>
      </c>
      <c r="B442" s="413" t="s">
        <v>141</v>
      </c>
      <c r="C442" s="413" t="s">
        <v>4826</v>
      </c>
      <c r="D442" s="413" t="s">
        <v>8503</v>
      </c>
      <c r="E442" s="413" t="s">
        <v>8748</v>
      </c>
      <c r="F442" s="413"/>
      <c r="G442" s="413"/>
      <c r="H442" s="413"/>
      <c r="I442" s="413"/>
      <c r="J442" s="413"/>
      <c r="K442" s="413"/>
      <c r="L442" s="413"/>
      <c r="M442" s="413"/>
      <c r="N442" s="413"/>
      <c r="O442" s="413"/>
      <c r="P442" s="413"/>
      <c r="Q442" s="413"/>
      <c r="R442" s="413"/>
      <c r="S442" s="413"/>
      <c r="T442" s="413"/>
      <c r="U442" s="413"/>
      <c r="V442" s="413"/>
      <c r="W442" s="413"/>
      <c r="X442" s="575">
        <v>1</v>
      </c>
      <c r="Y442" s="1311"/>
    </row>
    <row r="443" spans="1:25" hidden="1">
      <c r="A443" s="428" t="s">
        <v>6268</v>
      </c>
      <c r="B443" s="413" t="s">
        <v>141</v>
      </c>
      <c r="C443" s="413" t="s">
        <v>4826</v>
      </c>
      <c r="D443" s="413" t="s">
        <v>8503</v>
      </c>
      <c r="E443" s="413" t="s">
        <v>8749</v>
      </c>
      <c r="F443" s="413"/>
      <c r="G443" s="413"/>
      <c r="H443" s="413"/>
      <c r="I443" s="413"/>
      <c r="J443" s="413"/>
      <c r="K443" s="413"/>
      <c r="L443" s="413"/>
      <c r="M443" s="413"/>
      <c r="N443" s="413"/>
      <c r="O443" s="413"/>
      <c r="P443" s="413"/>
      <c r="Q443" s="413"/>
      <c r="R443" s="413"/>
      <c r="S443" s="413"/>
      <c r="T443" s="413"/>
      <c r="U443" s="413"/>
      <c r="V443" s="413"/>
      <c r="W443" s="413"/>
      <c r="X443" s="575">
        <v>1</v>
      </c>
      <c r="Y443" s="1311"/>
    </row>
    <row r="444" spans="1:25" hidden="1">
      <c r="A444" s="428" t="s">
        <v>6268</v>
      </c>
      <c r="B444" s="413" t="s">
        <v>141</v>
      </c>
      <c r="C444" s="413" t="s">
        <v>4826</v>
      </c>
      <c r="D444" s="413" t="s">
        <v>8503</v>
      </c>
      <c r="E444" s="413" t="s">
        <v>8750</v>
      </c>
      <c r="F444" s="413"/>
      <c r="G444" s="413"/>
      <c r="H444" s="413"/>
      <c r="I444" s="413"/>
      <c r="J444" s="413"/>
      <c r="K444" s="413"/>
      <c r="L444" s="413"/>
      <c r="M444" s="413"/>
      <c r="N444" s="413"/>
      <c r="O444" s="413"/>
      <c r="P444" s="413"/>
      <c r="Q444" s="413"/>
      <c r="R444" s="413"/>
      <c r="S444" s="413"/>
      <c r="T444" s="413"/>
      <c r="U444" s="413"/>
      <c r="V444" s="413"/>
      <c r="W444" s="413"/>
      <c r="X444" s="575">
        <v>1</v>
      </c>
      <c r="Y444" s="1311"/>
    </row>
    <row r="445" spans="1:25" hidden="1">
      <c r="A445" s="428" t="s">
        <v>6268</v>
      </c>
      <c r="B445" s="413" t="s">
        <v>141</v>
      </c>
      <c r="C445" s="413" t="s">
        <v>4826</v>
      </c>
      <c r="D445" s="413" t="s">
        <v>8503</v>
      </c>
      <c r="E445" s="413" t="s">
        <v>8751</v>
      </c>
      <c r="F445" s="413"/>
      <c r="G445" s="413"/>
      <c r="H445" s="413"/>
      <c r="I445" s="413"/>
      <c r="J445" s="413"/>
      <c r="K445" s="413"/>
      <c r="L445" s="413"/>
      <c r="M445" s="413"/>
      <c r="N445" s="413"/>
      <c r="O445" s="413"/>
      <c r="P445" s="413"/>
      <c r="Q445" s="413"/>
      <c r="R445" s="413"/>
      <c r="S445" s="413"/>
      <c r="T445" s="413"/>
      <c r="U445" s="413"/>
      <c r="V445" s="413"/>
      <c r="W445" s="413"/>
      <c r="X445" s="575">
        <v>1</v>
      </c>
      <c r="Y445" s="1311"/>
    </row>
    <row r="446" spans="1:25" hidden="1">
      <c r="A446" s="428" t="s">
        <v>6268</v>
      </c>
      <c r="B446" s="413" t="s">
        <v>141</v>
      </c>
      <c r="C446" s="413" t="s">
        <v>4824</v>
      </c>
      <c r="D446" s="413" t="s">
        <v>8503</v>
      </c>
      <c r="E446" s="413" t="s">
        <v>8752</v>
      </c>
      <c r="F446" s="413"/>
      <c r="G446" s="413"/>
      <c r="H446" s="413"/>
      <c r="I446" s="413"/>
      <c r="J446" s="413"/>
      <c r="K446" s="413"/>
      <c r="L446" s="413"/>
      <c r="M446" s="413"/>
      <c r="N446" s="413"/>
      <c r="O446" s="413"/>
      <c r="P446" s="413"/>
      <c r="Q446" s="413"/>
      <c r="R446" s="413"/>
      <c r="S446" s="413"/>
      <c r="T446" s="413"/>
      <c r="U446" s="413"/>
      <c r="V446" s="413"/>
      <c r="W446" s="413"/>
      <c r="X446" s="575">
        <v>1</v>
      </c>
      <c r="Y446" s="1311"/>
    </row>
    <row r="447" spans="1:25" hidden="1">
      <c r="A447" s="428" t="s">
        <v>6268</v>
      </c>
      <c r="B447" s="413" t="s">
        <v>141</v>
      </c>
      <c r="C447" s="413" t="s">
        <v>4828</v>
      </c>
      <c r="D447" s="413" t="s">
        <v>8503</v>
      </c>
      <c r="E447" s="413" t="s">
        <v>8753</v>
      </c>
      <c r="F447" s="413"/>
      <c r="G447" s="413"/>
      <c r="H447" s="413"/>
      <c r="I447" s="413"/>
      <c r="J447" s="413"/>
      <c r="K447" s="413"/>
      <c r="L447" s="413"/>
      <c r="M447" s="413"/>
      <c r="N447" s="413"/>
      <c r="O447" s="413"/>
      <c r="P447" s="413"/>
      <c r="Q447" s="413"/>
      <c r="R447" s="413"/>
      <c r="S447" s="413"/>
      <c r="T447" s="413"/>
      <c r="U447" s="413"/>
      <c r="V447" s="413"/>
      <c r="W447" s="413"/>
      <c r="X447" s="575">
        <v>1</v>
      </c>
      <c r="Y447" s="1311"/>
    </row>
    <row r="448" spans="1:25" hidden="1">
      <c r="A448" s="428" t="s">
        <v>6268</v>
      </c>
      <c r="B448" s="413" t="s">
        <v>141</v>
      </c>
      <c r="C448" s="413" t="s">
        <v>4830</v>
      </c>
      <c r="D448" s="413" t="s">
        <v>8503</v>
      </c>
      <c r="E448" s="413" t="s">
        <v>8754</v>
      </c>
      <c r="F448" s="413"/>
      <c r="G448" s="413"/>
      <c r="H448" s="413"/>
      <c r="I448" s="413"/>
      <c r="J448" s="413"/>
      <c r="K448" s="413"/>
      <c r="L448" s="413"/>
      <c r="M448" s="413"/>
      <c r="N448" s="413"/>
      <c r="O448" s="413"/>
      <c r="P448" s="413"/>
      <c r="Q448" s="413"/>
      <c r="R448" s="413"/>
      <c r="S448" s="413"/>
      <c r="T448" s="413"/>
      <c r="U448" s="413"/>
      <c r="V448" s="413"/>
      <c r="W448" s="413"/>
      <c r="X448" s="575">
        <v>1</v>
      </c>
      <c r="Y448" s="1311"/>
    </row>
    <row r="449" spans="1:25" hidden="1">
      <c r="A449" s="428" t="s">
        <v>6268</v>
      </c>
      <c r="B449" s="413" t="s">
        <v>141</v>
      </c>
      <c r="C449" s="413" t="s">
        <v>4844</v>
      </c>
      <c r="D449" s="413" t="s">
        <v>8503</v>
      </c>
      <c r="E449" s="413" t="s">
        <v>8755</v>
      </c>
      <c r="F449" s="413"/>
      <c r="G449" s="413"/>
      <c r="H449" s="413"/>
      <c r="I449" s="413"/>
      <c r="J449" s="413"/>
      <c r="K449" s="413"/>
      <c r="L449" s="413"/>
      <c r="M449" s="413"/>
      <c r="N449" s="413"/>
      <c r="O449" s="413"/>
      <c r="P449" s="413"/>
      <c r="Q449" s="413"/>
      <c r="R449" s="413"/>
      <c r="S449" s="413"/>
      <c r="T449" s="413"/>
      <c r="U449" s="413"/>
      <c r="V449" s="413"/>
      <c r="W449" s="413"/>
      <c r="X449" s="575">
        <v>1</v>
      </c>
      <c r="Y449" s="1311"/>
    </row>
    <row r="450" spans="1:25" hidden="1">
      <c r="A450" s="428" t="s">
        <v>6268</v>
      </c>
      <c r="B450" s="413" t="s">
        <v>141</v>
      </c>
      <c r="C450" s="413" t="s">
        <v>4836</v>
      </c>
      <c r="D450" s="413" t="s">
        <v>8503</v>
      </c>
      <c r="E450" s="413" t="s">
        <v>8756</v>
      </c>
      <c r="F450" s="413"/>
      <c r="G450" s="413"/>
      <c r="H450" s="413"/>
      <c r="I450" s="413"/>
      <c r="J450" s="413"/>
      <c r="K450" s="413"/>
      <c r="L450" s="413"/>
      <c r="M450" s="413"/>
      <c r="N450" s="413"/>
      <c r="O450" s="413"/>
      <c r="P450" s="413"/>
      <c r="Q450" s="413"/>
      <c r="R450" s="413"/>
      <c r="S450" s="413"/>
      <c r="T450" s="413"/>
      <c r="U450" s="413"/>
      <c r="V450" s="413"/>
      <c r="W450" s="413"/>
      <c r="X450" s="575">
        <v>1</v>
      </c>
      <c r="Y450" s="1311"/>
    </row>
    <row r="451" spans="1:25" hidden="1">
      <c r="A451" s="428" t="s">
        <v>6268</v>
      </c>
      <c r="B451" s="413" t="s">
        <v>141</v>
      </c>
      <c r="C451" s="413" t="s">
        <v>4842</v>
      </c>
      <c r="D451" s="413" t="s">
        <v>8503</v>
      </c>
      <c r="E451" s="413" t="s">
        <v>8757</v>
      </c>
      <c r="F451" s="413"/>
      <c r="G451" s="413"/>
      <c r="H451" s="413"/>
      <c r="I451" s="413"/>
      <c r="J451" s="413"/>
      <c r="K451" s="413"/>
      <c r="L451" s="413"/>
      <c r="M451" s="413"/>
      <c r="N451" s="413"/>
      <c r="O451" s="413"/>
      <c r="P451" s="413"/>
      <c r="Q451" s="413"/>
      <c r="R451" s="413"/>
      <c r="S451" s="413"/>
      <c r="T451" s="413"/>
      <c r="U451" s="413"/>
      <c r="V451" s="413"/>
      <c r="W451" s="413"/>
      <c r="X451" s="575">
        <v>1</v>
      </c>
      <c r="Y451" s="1311"/>
    </row>
    <row r="452" spans="1:25" hidden="1">
      <c r="A452" s="428" t="s">
        <v>6268</v>
      </c>
      <c r="B452" s="413" t="s">
        <v>141</v>
      </c>
      <c r="C452" s="413" t="s">
        <v>4838</v>
      </c>
      <c r="D452" s="413" t="s">
        <v>8503</v>
      </c>
      <c r="E452" s="413" t="s">
        <v>8758</v>
      </c>
      <c r="F452" s="413"/>
      <c r="G452" s="413"/>
      <c r="H452" s="413"/>
      <c r="I452" s="413"/>
      <c r="J452" s="413"/>
      <c r="K452" s="413"/>
      <c r="L452" s="413"/>
      <c r="M452" s="413"/>
      <c r="N452" s="413"/>
      <c r="O452" s="413"/>
      <c r="P452" s="413"/>
      <c r="Q452" s="413"/>
      <c r="R452" s="413"/>
      <c r="S452" s="413"/>
      <c r="T452" s="413"/>
      <c r="U452" s="413"/>
      <c r="V452" s="413"/>
      <c r="W452" s="413"/>
      <c r="X452" s="575">
        <v>1</v>
      </c>
      <c r="Y452" s="1311"/>
    </row>
    <row r="453" spans="1:25" hidden="1">
      <c r="A453" s="428" t="s">
        <v>6268</v>
      </c>
      <c r="B453" s="413" t="s">
        <v>141</v>
      </c>
      <c r="C453" s="413" t="s">
        <v>4840</v>
      </c>
      <c r="D453" s="413" t="s">
        <v>8503</v>
      </c>
      <c r="E453" s="413" t="s">
        <v>8759</v>
      </c>
      <c r="F453" s="413"/>
      <c r="G453" s="413"/>
      <c r="H453" s="413"/>
      <c r="I453" s="413"/>
      <c r="J453" s="413"/>
      <c r="K453" s="413"/>
      <c r="L453" s="413"/>
      <c r="M453" s="413"/>
      <c r="N453" s="413"/>
      <c r="O453" s="413"/>
      <c r="P453" s="413"/>
      <c r="Q453" s="413"/>
      <c r="R453" s="413"/>
      <c r="S453" s="413"/>
      <c r="T453" s="413"/>
      <c r="U453" s="413"/>
      <c r="V453" s="413"/>
      <c r="W453" s="413"/>
      <c r="X453" s="575">
        <v>1</v>
      </c>
      <c r="Y453" s="1311"/>
    </row>
    <row r="454" spans="1:25" hidden="1">
      <c r="A454" s="428" t="s">
        <v>6268</v>
      </c>
      <c r="B454" s="413" t="s">
        <v>141</v>
      </c>
      <c r="C454" s="413" t="s">
        <v>4846</v>
      </c>
      <c r="D454" s="413" t="s">
        <v>8503</v>
      </c>
      <c r="E454" s="413" t="s">
        <v>8760</v>
      </c>
      <c r="F454" s="413"/>
      <c r="G454" s="413"/>
      <c r="H454" s="413"/>
      <c r="I454" s="413"/>
      <c r="J454" s="413"/>
      <c r="K454" s="413"/>
      <c r="L454" s="413"/>
      <c r="M454" s="413"/>
      <c r="N454" s="413"/>
      <c r="O454" s="413"/>
      <c r="P454" s="413"/>
      <c r="Q454" s="413"/>
      <c r="R454" s="413"/>
      <c r="S454" s="413"/>
      <c r="T454" s="413"/>
      <c r="U454" s="413"/>
      <c r="V454" s="413"/>
      <c r="W454" s="413"/>
      <c r="X454" s="575">
        <v>1</v>
      </c>
      <c r="Y454" s="1311"/>
    </row>
    <row r="455" spans="1:25" hidden="1">
      <c r="A455" s="428" t="s">
        <v>6268</v>
      </c>
      <c r="B455" s="413" t="s">
        <v>141</v>
      </c>
      <c r="C455" s="413" t="s">
        <v>4505</v>
      </c>
      <c r="D455" s="413" t="s">
        <v>8503</v>
      </c>
      <c r="E455" s="413" t="s">
        <v>8761</v>
      </c>
      <c r="F455" s="413"/>
      <c r="G455" s="413"/>
      <c r="H455" s="413"/>
      <c r="I455" s="413"/>
      <c r="J455" s="413"/>
      <c r="K455" s="413"/>
      <c r="L455" s="413"/>
      <c r="M455" s="413"/>
      <c r="N455" s="413"/>
      <c r="O455" s="413"/>
      <c r="P455" s="413"/>
      <c r="Q455" s="413"/>
      <c r="R455" s="413"/>
      <c r="S455" s="413"/>
      <c r="T455" s="413"/>
      <c r="U455" s="413"/>
      <c r="V455" s="413"/>
      <c r="W455" s="413"/>
      <c r="X455" s="575">
        <v>1</v>
      </c>
      <c r="Y455" s="1311"/>
    </row>
    <row r="456" spans="1:25" hidden="1">
      <c r="A456" s="428" t="s">
        <v>6268</v>
      </c>
      <c r="B456" s="413" t="s">
        <v>141</v>
      </c>
      <c r="C456" s="413" t="s">
        <v>4850</v>
      </c>
      <c r="D456" s="413" t="s">
        <v>8503</v>
      </c>
      <c r="E456" s="413" t="s">
        <v>8762</v>
      </c>
      <c r="F456" s="413"/>
      <c r="G456" s="413"/>
      <c r="H456" s="413"/>
      <c r="I456" s="413"/>
      <c r="J456" s="413"/>
      <c r="K456" s="413"/>
      <c r="L456" s="413"/>
      <c r="M456" s="413"/>
      <c r="N456" s="413"/>
      <c r="O456" s="413"/>
      <c r="P456" s="413"/>
      <c r="Q456" s="413"/>
      <c r="R456" s="413"/>
      <c r="S456" s="413"/>
      <c r="T456" s="413"/>
      <c r="U456" s="413"/>
      <c r="V456" s="413"/>
      <c r="W456" s="413"/>
      <c r="X456" s="575">
        <v>1</v>
      </c>
      <c r="Y456" s="1311"/>
    </row>
    <row r="457" spans="1:25" hidden="1">
      <c r="A457" s="428" t="s">
        <v>6268</v>
      </c>
      <c r="B457" s="413" t="s">
        <v>141</v>
      </c>
      <c r="C457" s="413" t="s">
        <v>4854</v>
      </c>
      <c r="D457" s="413" t="s">
        <v>8503</v>
      </c>
      <c r="E457" s="413" t="s">
        <v>8763</v>
      </c>
      <c r="F457" s="413"/>
      <c r="G457" s="413"/>
      <c r="H457" s="413"/>
      <c r="I457" s="413"/>
      <c r="J457" s="413"/>
      <c r="K457" s="413"/>
      <c r="L457" s="413"/>
      <c r="M457" s="413"/>
      <c r="N457" s="413"/>
      <c r="O457" s="413"/>
      <c r="P457" s="413"/>
      <c r="Q457" s="413"/>
      <c r="R457" s="413"/>
      <c r="S457" s="413"/>
      <c r="T457" s="413"/>
      <c r="U457" s="413"/>
      <c r="V457" s="413"/>
      <c r="W457" s="413"/>
      <c r="X457" s="575">
        <v>1</v>
      </c>
      <c r="Y457" s="1311"/>
    </row>
    <row r="458" spans="1:25" hidden="1">
      <c r="A458" s="430" t="s">
        <v>6268</v>
      </c>
      <c r="B458" s="425" t="s">
        <v>141</v>
      </c>
      <c r="C458" s="425" t="s">
        <v>4856</v>
      </c>
      <c r="D458" s="425" t="s">
        <v>8503</v>
      </c>
      <c r="E458" s="425" t="s">
        <v>8764</v>
      </c>
      <c r="F458" s="425"/>
      <c r="G458" s="425"/>
      <c r="H458" s="425"/>
      <c r="I458" s="425"/>
      <c r="J458" s="425"/>
      <c r="K458" s="425"/>
      <c r="L458" s="425"/>
      <c r="M458" s="425"/>
      <c r="N458" s="425"/>
      <c r="O458" s="425"/>
      <c r="P458" s="425"/>
      <c r="Q458" s="425"/>
      <c r="R458" s="425"/>
      <c r="S458" s="425"/>
      <c r="T458" s="425"/>
      <c r="U458" s="425"/>
      <c r="V458" s="425"/>
      <c r="W458" s="425"/>
      <c r="X458" s="575">
        <v>1</v>
      </c>
      <c r="Y458" s="1312"/>
    </row>
    <row r="459" spans="1:25" hidden="1">
      <c r="A459" s="430" t="s">
        <v>6268</v>
      </c>
      <c r="B459" s="425" t="s">
        <v>141</v>
      </c>
      <c r="C459" s="425" t="s">
        <v>2658</v>
      </c>
      <c r="D459" s="425" t="s">
        <v>8503</v>
      </c>
      <c r="E459" s="506">
        <v>952</v>
      </c>
      <c r="F459" s="425"/>
      <c r="G459" s="425"/>
      <c r="H459" s="425"/>
      <c r="I459" s="425"/>
      <c r="J459" s="425"/>
      <c r="K459" s="425"/>
      <c r="L459" s="425"/>
      <c r="M459" s="425"/>
      <c r="N459" s="425"/>
      <c r="O459" s="425"/>
      <c r="P459" s="425"/>
      <c r="Q459" s="425"/>
      <c r="R459" s="425"/>
      <c r="S459" s="425"/>
      <c r="T459" s="425"/>
      <c r="U459" s="425"/>
      <c r="V459" s="425"/>
      <c r="W459" s="425"/>
      <c r="X459" s="575">
        <v>1</v>
      </c>
      <c r="Y459" s="1312"/>
    </row>
    <row r="460" spans="1:25" hidden="1">
      <c r="A460" s="430" t="s">
        <v>6268</v>
      </c>
      <c r="B460" s="425" t="s">
        <v>141</v>
      </c>
      <c r="C460" s="425" t="s">
        <v>2658</v>
      </c>
      <c r="D460" s="425" t="s">
        <v>8503</v>
      </c>
      <c r="E460" s="506">
        <v>954</v>
      </c>
      <c r="F460" s="425"/>
      <c r="G460" s="425"/>
      <c r="H460" s="425"/>
      <c r="I460" s="425"/>
      <c r="J460" s="425"/>
      <c r="K460" s="425"/>
      <c r="L460" s="425"/>
      <c r="M460" s="425"/>
      <c r="N460" s="425"/>
      <c r="O460" s="425"/>
      <c r="P460" s="425"/>
      <c r="Q460" s="425"/>
      <c r="R460" s="425"/>
      <c r="S460" s="425"/>
      <c r="T460" s="425"/>
      <c r="U460" s="425"/>
      <c r="V460" s="425"/>
      <c r="W460" s="425"/>
      <c r="X460" s="575">
        <v>1</v>
      </c>
      <c r="Y460" s="1312"/>
    </row>
    <row r="461" spans="1:25" hidden="1">
      <c r="A461" s="430" t="s">
        <v>6268</v>
      </c>
      <c r="B461" s="425" t="s">
        <v>141</v>
      </c>
      <c r="C461" s="425" t="s">
        <v>2658</v>
      </c>
      <c r="D461" s="425" t="s">
        <v>8503</v>
      </c>
      <c r="E461" s="506">
        <v>492</v>
      </c>
      <c r="F461" s="425"/>
      <c r="G461" s="425"/>
      <c r="H461" s="425"/>
      <c r="I461" s="425"/>
      <c r="J461" s="425"/>
      <c r="K461" s="425"/>
      <c r="L461" s="425"/>
      <c r="M461" s="425"/>
      <c r="N461" s="425"/>
      <c r="O461" s="425"/>
      <c r="P461" s="425"/>
      <c r="Q461" s="425"/>
      <c r="R461" s="425"/>
      <c r="S461" s="425"/>
      <c r="T461" s="425"/>
      <c r="U461" s="425"/>
      <c r="V461" s="425"/>
      <c r="W461" s="425"/>
      <c r="X461" s="575">
        <v>1</v>
      </c>
      <c r="Y461" s="1312"/>
    </row>
    <row r="462" spans="1:25" hidden="1">
      <c r="A462" s="430" t="s">
        <v>6268</v>
      </c>
      <c r="B462" s="425" t="s">
        <v>141</v>
      </c>
      <c r="C462" s="425" t="s">
        <v>2658</v>
      </c>
      <c r="D462" s="425" t="s">
        <v>8503</v>
      </c>
      <c r="E462" s="506">
        <v>943</v>
      </c>
      <c r="F462" s="425"/>
      <c r="G462" s="425"/>
      <c r="H462" s="425"/>
      <c r="I462" s="425"/>
      <c r="J462" s="425"/>
      <c r="K462" s="425"/>
      <c r="L462" s="425"/>
      <c r="M462" s="425"/>
      <c r="N462" s="425"/>
      <c r="O462" s="425"/>
      <c r="P462" s="425"/>
      <c r="Q462" s="425"/>
      <c r="R462" s="425"/>
      <c r="S462" s="425"/>
      <c r="T462" s="425"/>
      <c r="U462" s="425"/>
      <c r="V462" s="425"/>
      <c r="W462" s="425"/>
      <c r="X462" s="575">
        <v>1</v>
      </c>
      <c r="Y462" s="1312"/>
    </row>
    <row r="463" spans="1:25" hidden="1">
      <c r="A463" s="430" t="s">
        <v>6268</v>
      </c>
      <c r="B463" s="425" t="s">
        <v>141</v>
      </c>
      <c r="C463" s="425" t="s">
        <v>2658</v>
      </c>
      <c r="D463" s="425" t="s">
        <v>8503</v>
      </c>
      <c r="E463" s="506">
        <v>910</v>
      </c>
      <c r="F463" s="425"/>
      <c r="G463" s="425"/>
      <c r="H463" s="425"/>
      <c r="I463" s="425"/>
      <c r="J463" s="425"/>
      <c r="K463" s="425"/>
      <c r="L463" s="425"/>
      <c r="M463" s="425"/>
      <c r="N463" s="425"/>
      <c r="O463" s="425"/>
      <c r="P463" s="425"/>
      <c r="Q463" s="425"/>
      <c r="R463" s="425"/>
      <c r="S463" s="425"/>
      <c r="T463" s="425"/>
      <c r="U463" s="425"/>
      <c r="V463" s="425"/>
      <c r="W463" s="425"/>
      <c r="X463" s="592">
        <v>1</v>
      </c>
      <c r="Y463" s="1312"/>
    </row>
    <row r="464" spans="1:25" hidden="1">
      <c r="A464" s="526" t="s">
        <v>6268</v>
      </c>
      <c r="B464" s="527" t="s">
        <v>134</v>
      </c>
      <c r="C464" s="527">
        <v>1</v>
      </c>
      <c r="D464" s="527" t="s">
        <v>8765</v>
      </c>
      <c r="E464" s="527" t="s">
        <v>8766</v>
      </c>
      <c r="F464" s="527"/>
      <c r="G464" s="527"/>
      <c r="H464" s="527"/>
      <c r="I464" s="527"/>
      <c r="J464" s="527"/>
      <c r="K464" s="527"/>
      <c r="L464" s="527"/>
      <c r="M464" s="527"/>
      <c r="N464" s="527"/>
      <c r="O464" s="527"/>
      <c r="P464" s="527"/>
      <c r="Q464" s="527"/>
      <c r="R464" s="527"/>
      <c r="S464" s="527"/>
      <c r="T464" s="527"/>
      <c r="U464" s="527"/>
      <c r="V464" s="527"/>
      <c r="W464" s="527"/>
      <c r="X464" s="699">
        <v>1</v>
      </c>
      <c r="Y464" s="1310" t="s">
        <v>8767</v>
      </c>
    </row>
    <row r="465" spans="1:25" hidden="1">
      <c r="A465" s="528" t="s">
        <v>6268</v>
      </c>
      <c r="B465" s="503" t="s">
        <v>134</v>
      </c>
      <c r="C465" s="503">
        <v>1</v>
      </c>
      <c r="D465" s="503" t="s">
        <v>8765</v>
      </c>
      <c r="E465" s="503">
        <f xml:space="preserve"> 0</f>
        <v>0</v>
      </c>
      <c r="F465" s="503"/>
      <c r="G465" s="503"/>
      <c r="H465" s="503"/>
      <c r="I465" s="503"/>
      <c r="J465" s="503"/>
      <c r="K465" s="503"/>
      <c r="L465" s="503"/>
      <c r="M465" s="503"/>
      <c r="N465" s="503"/>
      <c r="O465" s="503"/>
      <c r="P465" s="503"/>
      <c r="Q465" s="503"/>
      <c r="R465" s="503"/>
      <c r="S465" s="503"/>
      <c r="T465" s="503"/>
      <c r="U465" s="503"/>
      <c r="V465" s="503"/>
      <c r="W465" s="503"/>
      <c r="X465" s="700">
        <v>1</v>
      </c>
      <c r="Y465" s="1311"/>
    </row>
    <row r="466" spans="1:25" hidden="1">
      <c r="A466" s="528" t="s">
        <v>6268</v>
      </c>
      <c r="B466" s="503" t="s">
        <v>134</v>
      </c>
      <c r="C466" s="503">
        <v>5</v>
      </c>
      <c r="D466" s="503" t="s">
        <v>8765</v>
      </c>
      <c r="E466" s="503" t="s">
        <v>8768</v>
      </c>
      <c r="F466" s="503" t="s">
        <v>8769</v>
      </c>
      <c r="G466" s="503" t="s">
        <v>2733</v>
      </c>
      <c r="H466" s="503"/>
      <c r="I466" s="503"/>
      <c r="J466" s="503"/>
      <c r="K466" s="503"/>
      <c r="L466" s="503"/>
      <c r="M466" s="503"/>
      <c r="N466" s="503"/>
      <c r="O466" s="503"/>
      <c r="P466" s="503"/>
      <c r="Q466" s="503"/>
      <c r="R466" s="503"/>
      <c r="S466" s="503"/>
      <c r="T466" s="503"/>
      <c r="U466" s="503"/>
      <c r="V466" s="503"/>
      <c r="W466" s="503"/>
      <c r="X466" s="700">
        <v>1</v>
      </c>
      <c r="Y466" s="1311"/>
    </row>
    <row r="467" spans="1:25" hidden="1">
      <c r="A467" s="528" t="s">
        <v>6268</v>
      </c>
      <c r="B467" s="503" t="s">
        <v>134</v>
      </c>
      <c r="C467" s="503">
        <v>7</v>
      </c>
      <c r="D467" s="503" t="s">
        <v>8765</v>
      </c>
      <c r="E467" s="503" t="s">
        <v>8768</v>
      </c>
      <c r="F467" s="503" t="s">
        <v>8769</v>
      </c>
      <c r="G467" s="503" t="s">
        <v>2736</v>
      </c>
      <c r="H467" s="503"/>
      <c r="I467" s="503"/>
      <c r="J467" s="503"/>
      <c r="K467" s="503"/>
      <c r="L467" s="503"/>
      <c r="M467" s="503"/>
      <c r="N467" s="503"/>
      <c r="O467" s="503"/>
      <c r="P467" s="503"/>
      <c r="Q467" s="503"/>
      <c r="R467" s="503"/>
      <c r="S467" s="503"/>
      <c r="T467" s="503"/>
      <c r="U467" s="503"/>
      <c r="V467" s="503"/>
      <c r="W467" s="503"/>
      <c r="X467" s="700">
        <v>1</v>
      </c>
      <c r="Y467" s="1311"/>
    </row>
    <row r="468" spans="1:25" hidden="1">
      <c r="A468" s="528" t="s">
        <v>6268</v>
      </c>
      <c r="B468" s="503" t="s">
        <v>134</v>
      </c>
      <c r="C468" s="503">
        <v>7</v>
      </c>
      <c r="D468" s="503" t="s">
        <v>8765</v>
      </c>
      <c r="E468" s="503" t="s">
        <v>8768</v>
      </c>
      <c r="F468" s="503" t="s">
        <v>8769</v>
      </c>
      <c r="G468" s="503" t="s">
        <v>2759</v>
      </c>
      <c r="H468" s="503"/>
      <c r="I468" s="503"/>
      <c r="J468" s="503"/>
      <c r="K468" s="503"/>
      <c r="L468" s="503"/>
      <c r="M468" s="503"/>
      <c r="N468" s="503"/>
      <c r="O468" s="503"/>
      <c r="P468" s="503"/>
      <c r="Q468" s="503"/>
      <c r="R468" s="503"/>
      <c r="S468" s="503"/>
      <c r="T468" s="503"/>
      <c r="U468" s="503"/>
      <c r="V468" s="503"/>
      <c r="W468" s="503"/>
      <c r="X468" s="700">
        <v>1</v>
      </c>
      <c r="Y468" s="1311"/>
    </row>
    <row r="469" spans="1:25" hidden="1">
      <c r="A469" s="528" t="s">
        <v>6268</v>
      </c>
      <c r="B469" s="503" t="s">
        <v>134</v>
      </c>
      <c r="C469" s="503">
        <v>8</v>
      </c>
      <c r="D469" s="503" t="s">
        <v>8765</v>
      </c>
      <c r="E469" s="503" t="s">
        <v>8768</v>
      </c>
      <c r="F469" s="503" t="s">
        <v>8769</v>
      </c>
      <c r="G469" s="503" t="s">
        <v>2758</v>
      </c>
      <c r="H469" s="503"/>
      <c r="I469" s="503"/>
      <c r="J469" s="503"/>
      <c r="K469" s="503"/>
      <c r="L469" s="503"/>
      <c r="M469" s="503"/>
      <c r="N469" s="503"/>
      <c r="O469" s="503"/>
      <c r="P469" s="503"/>
      <c r="Q469" s="503"/>
      <c r="R469" s="503"/>
      <c r="S469" s="503"/>
      <c r="T469" s="503"/>
      <c r="U469" s="503"/>
      <c r="V469" s="503"/>
      <c r="W469" s="503"/>
      <c r="X469" s="700">
        <v>1</v>
      </c>
      <c r="Y469" s="1311"/>
    </row>
    <row r="470" spans="1:25" hidden="1">
      <c r="A470" s="528" t="s">
        <v>6268</v>
      </c>
      <c r="B470" s="503" t="s">
        <v>134</v>
      </c>
      <c r="C470" s="503">
        <v>8</v>
      </c>
      <c r="D470" s="503" t="s">
        <v>8765</v>
      </c>
      <c r="E470" s="503" t="s">
        <v>8768</v>
      </c>
      <c r="F470" s="503" t="s">
        <v>8769</v>
      </c>
      <c r="G470" s="503" t="s">
        <v>2742</v>
      </c>
      <c r="H470" s="503"/>
      <c r="I470" s="503"/>
      <c r="J470" s="503"/>
      <c r="K470" s="503"/>
      <c r="L470" s="503"/>
      <c r="M470" s="503"/>
      <c r="N470" s="503"/>
      <c r="O470" s="503"/>
      <c r="P470" s="503"/>
      <c r="Q470" s="503"/>
      <c r="R470" s="503"/>
      <c r="S470" s="503"/>
      <c r="T470" s="503"/>
      <c r="U470" s="503"/>
      <c r="V470" s="503"/>
      <c r="W470" s="503"/>
      <c r="X470" s="700">
        <v>1</v>
      </c>
      <c r="Y470" s="1311"/>
    </row>
    <row r="471" spans="1:25" hidden="1">
      <c r="A471" s="528" t="s">
        <v>6268</v>
      </c>
      <c r="B471" s="503" t="s">
        <v>134</v>
      </c>
      <c r="C471" s="503">
        <v>10</v>
      </c>
      <c r="D471" s="503" t="s">
        <v>8765</v>
      </c>
      <c r="E471" s="503" t="s">
        <v>8768</v>
      </c>
      <c r="F471" s="503" t="s">
        <v>8769</v>
      </c>
      <c r="G471" s="503" t="s">
        <v>8770</v>
      </c>
      <c r="H471" s="503" t="s">
        <v>8771</v>
      </c>
      <c r="I471" s="503" t="s">
        <v>2287</v>
      </c>
      <c r="J471" s="503"/>
      <c r="K471" s="503"/>
      <c r="L471" s="503"/>
      <c r="M471" s="503"/>
      <c r="N471" s="503"/>
      <c r="O471" s="503"/>
      <c r="P471" s="503"/>
      <c r="Q471" s="503"/>
      <c r="R471" s="503"/>
      <c r="S471" s="503"/>
      <c r="T471" s="503"/>
      <c r="U471" s="503"/>
      <c r="V471" s="503"/>
      <c r="W471" s="503"/>
      <c r="X471" s="700">
        <v>1</v>
      </c>
      <c r="Y471" s="1311"/>
    </row>
    <row r="472" spans="1:25" hidden="1">
      <c r="A472" s="528" t="s">
        <v>6268</v>
      </c>
      <c r="B472" s="503" t="s">
        <v>134</v>
      </c>
      <c r="C472" s="503">
        <v>11</v>
      </c>
      <c r="D472" s="503" t="s">
        <v>8765</v>
      </c>
      <c r="E472" s="503" t="s">
        <v>8768</v>
      </c>
      <c r="F472" s="503" t="s">
        <v>8769</v>
      </c>
      <c r="G472" s="503" t="s">
        <v>8770</v>
      </c>
      <c r="H472" s="503" t="s">
        <v>8771</v>
      </c>
      <c r="I472" s="503" t="s">
        <v>8772</v>
      </c>
      <c r="J472" s="503"/>
      <c r="K472" s="503"/>
      <c r="L472" s="503"/>
      <c r="M472" s="503"/>
      <c r="N472" s="503"/>
      <c r="O472" s="503"/>
      <c r="P472" s="503"/>
      <c r="Q472" s="503"/>
      <c r="R472" s="503"/>
      <c r="S472" s="503"/>
      <c r="T472" s="503"/>
      <c r="U472" s="503"/>
      <c r="V472" s="503"/>
      <c r="W472" s="503"/>
      <c r="X472" s="700">
        <v>1</v>
      </c>
      <c r="Y472" s="1311"/>
    </row>
    <row r="473" spans="1:25" hidden="1">
      <c r="A473" s="528" t="s">
        <v>6268</v>
      </c>
      <c r="B473" s="503" t="s">
        <v>134</v>
      </c>
      <c r="C473" s="503">
        <v>13</v>
      </c>
      <c r="D473" s="503" t="s">
        <v>8765</v>
      </c>
      <c r="E473" s="503" t="s">
        <v>8768</v>
      </c>
      <c r="F473" s="503" t="s">
        <v>8769</v>
      </c>
      <c r="G473" s="503" t="s">
        <v>2743</v>
      </c>
      <c r="H473" s="503"/>
      <c r="I473" s="503"/>
      <c r="J473" s="503"/>
      <c r="K473" s="503"/>
      <c r="L473" s="503"/>
      <c r="M473" s="503"/>
      <c r="N473" s="503"/>
      <c r="O473" s="503"/>
      <c r="P473" s="503"/>
      <c r="Q473" s="503"/>
      <c r="R473" s="503"/>
      <c r="S473" s="503"/>
      <c r="T473" s="503"/>
      <c r="U473" s="503"/>
      <c r="V473" s="503"/>
      <c r="W473" s="503"/>
      <c r="X473" s="700">
        <v>1</v>
      </c>
      <c r="Y473" s="1311"/>
    </row>
    <row r="474" spans="1:25" hidden="1">
      <c r="A474" s="528" t="s">
        <v>6268</v>
      </c>
      <c r="B474" s="503" t="s">
        <v>134</v>
      </c>
      <c r="C474" s="503">
        <v>13</v>
      </c>
      <c r="D474" s="503" t="s">
        <v>8765</v>
      </c>
      <c r="E474" s="503" t="s">
        <v>8768</v>
      </c>
      <c r="F474" s="503" t="s">
        <v>8769</v>
      </c>
      <c r="G474" s="503" t="s">
        <v>2747</v>
      </c>
      <c r="H474" s="503"/>
      <c r="I474" s="503"/>
      <c r="J474" s="503"/>
      <c r="K474" s="503"/>
      <c r="L474" s="503"/>
      <c r="M474" s="503"/>
      <c r="N474" s="503"/>
      <c r="O474" s="503"/>
      <c r="P474" s="503"/>
      <c r="Q474" s="503"/>
      <c r="R474" s="503"/>
      <c r="S474" s="503"/>
      <c r="T474" s="503"/>
      <c r="U474" s="503"/>
      <c r="V474" s="503"/>
      <c r="W474" s="503"/>
      <c r="X474" s="700">
        <v>1</v>
      </c>
      <c r="Y474" s="1311"/>
    </row>
    <row r="475" spans="1:25" hidden="1">
      <c r="A475" s="586" t="s">
        <v>6268</v>
      </c>
      <c r="B475" s="698" t="s">
        <v>134</v>
      </c>
      <c r="C475" s="698">
        <v>13</v>
      </c>
      <c r="D475" s="698" t="s">
        <v>8765</v>
      </c>
      <c r="E475" s="698" t="s">
        <v>8768</v>
      </c>
      <c r="F475" s="698" t="s">
        <v>8769</v>
      </c>
      <c r="G475" s="698" t="s">
        <v>2746</v>
      </c>
      <c r="H475" s="698"/>
      <c r="I475" s="698"/>
      <c r="J475" s="698"/>
      <c r="K475" s="698"/>
      <c r="L475" s="698"/>
      <c r="M475" s="698"/>
      <c r="N475" s="698"/>
      <c r="O475" s="698"/>
      <c r="P475" s="698"/>
      <c r="Q475" s="698"/>
      <c r="R475" s="698"/>
      <c r="S475" s="698"/>
      <c r="T475" s="698"/>
      <c r="U475" s="698"/>
      <c r="V475" s="698"/>
      <c r="W475" s="698"/>
      <c r="X475" s="701">
        <v>1</v>
      </c>
      <c r="Y475" s="1313"/>
    </row>
    <row r="476" spans="1:25" hidden="1">
      <c r="A476" s="526" t="s">
        <v>6268</v>
      </c>
      <c r="B476" s="527" t="s">
        <v>157</v>
      </c>
      <c r="C476" s="527" t="s">
        <v>8773</v>
      </c>
      <c r="D476" s="527" t="s">
        <v>8774</v>
      </c>
      <c r="E476" s="527" t="s">
        <v>8775</v>
      </c>
      <c r="F476" s="527"/>
      <c r="G476" s="527"/>
      <c r="H476" s="527"/>
      <c r="I476" s="527"/>
      <c r="J476" s="527"/>
      <c r="K476" s="527"/>
      <c r="L476" s="527"/>
      <c r="M476" s="527"/>
      <c r="N476" s="527"/>
      <c r="O476" s="527"/>
      <c r="P476" s="527"/>
      <c r="Q476" s="527"/>
      <c r="R476" s="527"/>
      <c r="S476" s="527"/>
      <c r="T476" s="527"/>
      <c r="U476" s="527"/>
      <c r="V476" s="527"/>
      <c r="W476" s="527"/>
      <c r="X476" s="699">
        <v>1</v>
      </c>
      <c r="Y476" s="1310" t="s">
        <v>8776</v>
      </c>
    </row>
    <row r="477" spans="1:25" hidden="1">
      <c r="A477" s="528" t="s">
        <v>6268</v>
      </c>
      <c r="B477" s="503" t="s">
        <v>157</v>
      </c>
      <c r="C477" s="503" t="s">
        <v>8773</v>
      </c>
      <c r="D477" s="503" t="s">
        <v>8774</v>
      </c>
      <c r="E477" s="702" t="s">
        <v>8777</v>
      </c>
      <c r="F477" s="503" t="s">
        <v>8778</v>
      </c>
      <c r="G477" s="503" t="s">
        <v>8779</v>
      </c>
      <c r="H477" s="503"/>
      <c r="I477" s="503"/>
      <c r="J477" s="503"/>
      <c r="K477" s="503"/>
      <c r="L477" s="503"/>
      <c r="M477" s="503"/>
      <c r="N477" s="503"/>
      <c r="O477" s="503"/>
      <c r="P477" s="503"/>
      <c r="Q477" s="503"/>
      <c r="R477" s="503"/>
      <c r="S477" s="503"/>
      <c r="T477" s="503"/>
      <c r="U477" s="503"/>
      <c r="V477" s="503"/>
      <c r="W477" s="503"/>
      <c r="X477" s="700">
        <v>1</v>
      </c>
      <c r="Y477" s="1311"/>
    </row>
    <row r="478" spans="1:25" hidden="1">
      <c r="A478" s="586" t="s">
        <v>6268</v>
      </c>
      <c r="B478" s="698" t="s">
        <v>157</v>
      </c>
      <c r="C478" s="698" t="s">
        <v>8780</v>
      </c>
      <c r="D478" s="698" t="s">
        <v>8774</v>
      </c>
      <c r="E478" s="698" t="s">
        <v>8768</v>
      </c>
      <c r="F478" s="698" t="s">
        <v>8778</v>
      </c>
      <c r="G478" s="698" t="s">
        <v>8781</v>
      </c>
      <c r="H478" s="698"/>
      <c r="I478" s="698"/>
      <c r="J478" s="698"/>
      <c r="K478" s="698"/>
      <c r="L478" s="698"/>
      <c r="M478" s="698"/>
      <c r="N478" s="698"/>
      <c r="O478" s="698"/>
      <c r="P478" s="698"/>
      <c r="Q478" s="698"/>
      <c r="R478" s="698"/>
      <c r="S478" s="698"/>
      <c r="T478" s="698"/>
      <c r="U478" s="698"/>
      <c r="V478" s="698"/>
      <c r="W478" s="698"/>
      <c r="X478" s="701">
        <v>1</v>
      </c>
      <c r="Y478" s="1313"/>
    </row>
    <row r="479" spans="1:25" hidden="1">
      <c r="A479" s="526" t="s">
        <v>6268</v>
      </c>
      <c r="B479" s="527" t="s">
        <v>158</v>
      </c>
      <c r="C479" s="527" t="s">
        <v>8773</v>
      </c>
      <c r="D479" s="527" t="s">
        <v>8774</v>
      </c>
      <c r="E479" s="527" t="s">
        <v>8775</v>
      </c>
      <c r="F479" s="527"/>
      <c r="G479" s="527"/>
      <c r="H479" s="527"/>
      <c r="I479" s="527"/>
      <c r="J479" s="527"/>
      <c r="K479" s="527"/>
      <c r="L479" s="527"/>
      <c r="M479" s="527"/>
      <c r="N479" s="527"/>
      <c r="O479" s="527"/>
      <c r="P479" s="527"/>
      <c r="Q479" s="527"/>
      <c r="R479" s="527"/>
      <c r="S479" s="527"/>
      <c r="T479" s="527"/>
      <c r="U479" s="527"/>
      <c r="V479" s="527"/>
      <c r="W479" s="527"/>
      <c r="X479" s="699">
        <v>1</v>
      </c>
      <c r="Y479" s="1310" t="s">
        <v>8776</v>
      </c>
    </row>
    <row r="480" spans="1:25" hidden="1">
      <c r="A480" s="528" t="s">
        <v>6268</v>
      </c>
      <c r="B480" s="503" t="s">
        <v>158</v>
      </c>
      <c r="C480" s="503" t="s">
        <v>8773</v>
      </c>
      <c r="D480" s="503" t="s">
        <v>8774</v>
      </c>
      <c r="E480" s="702" t="s">
        <v>8777</v>
      </c>
      <c r="F480" s="503" t="s">
        <v>8778</v>
      </c>
      <c r="G480" s="503" t="s">
        <v>8779</v>
      </c>
      <c r="H480" s="503"/>
      <c r="I480" s="503"/>
      <c r="J480" s="503"/>
      <c r="K480" s="503"/>
      <c r="L480" s="503"/>
      <c r="M480" s="503"/>
      <c r="N480" s="503"/>
      <c r="O480" s="503"/>
      <c r="P480" s="503"/>
      <c r="Q480" s="503"/>
      <c r="R480" s="503"/>
      <c r="S480" s="503"/>
      <c r="T480" s="503"/>
      <c r="U480" s="503"/>
      <c r="V480" s="503"/>
      <c r="W480" s="503"/>
      <c r="X480" s="700">
        <v>1</v>
      </c>
      <c r="Y480" s="1311"/>
    </row>
    <row r="481" spans="1:25" hidden="1">
      <c r="A481" s="586" t="s">
        <v>6268</v>
      </c>
      <c r="B481" s="698" t="s">
        <v>158</v>
      </c>
      <c r="C481" s="698" t="s">
        <v>8780</v>
      </c>
      <c r="D481" s="698" t="s">
        <v>8774</v>
      </c>
      <c r="E481" s="698" t="s">
        <v>8768</v>
      </c>
      <c r="F481" s="698" t="s">
        <v>8778</v>
      </c>
      <c r="G481" s="698" t="s">
        <v>8781</v>
      </c>
      <c r="H481" s="698"/>
      <c r="I481" s="698"/>
      <c r="J481" s="698"/>
      <c r="K481" s="698"/>
      <c r="L481" s="698"/>
      <c r="M481" s="698"/>
      <c r="N481" s="698"/>
      <c r="O481" s="698"/>
      <c r="P481" s="698"/>
      <c r="Q481" s="698"/>
      <c r="R481" s="698"/>
      <c r="S481" s="698"/>
      <c r="T481" s="698"/>
      <c r="U481" s="698"/>
      <c r="V481" s="698"/>
      <c r="W481" s="698"/>
      <c r="X481" s="701">
        <v>1</v>
      </c>
      <c r="Y481" s="1313"/>
    </row>
    <row r="482" spans="1:25" hidden="1">
      <c r="A482" s="526" t="s">
        <v>6268</v>
      </c>
      <c r="B482" s="527" t="s">
        <v>159</v>
      </c>
      <c r="C482" s="527" t="s">
        <v>8773</v>
      </c>
      <c r="D482" s="527" t="s">
        <v>8774</v>
      </c>
      <c r="E482" s="527" t="s">
        <v>8775</v>
      </c>
      <c r="F482" s="527"/>
      <c r="G482" s="527"/>
      <c r="H482" s="527"/>
      <c r="I482" s="527"/>
      <c r="J482" s="527"/>
      <c r="K482" s="527"/>
      <c r="L482" s="527"/>
      <c r="M482" s="527"/>
      <c r="N482" s="527"/>
      <c r="O482" s="527"/>
      <c r="P482" s="527"/>
      <c r="Q482" s="527"/>
      <c r="R482" s="527"/>
      <c r="S482" s="527"/>
      <c r="T482" s="527"/>
      <c r="U482" s="527"/>
      <c r="V482" s="527"/>
      <c r="W482" s="527"/>
      <c r="X482" s="699">
        <v>1</v>
      </c>
      <c r="Y482" s="1310" t="s">
        <v>8776</v>
      </c>
    </row>
    <row r="483" spans="1:25" hidden="1">
      <c r="A483" s="528" t="s">
        <v>6268</v>
      </c>
      <c r="B483" s="503" t="s">
        <v>159</v>
      </c>
      <c r="C483" s="503" t="s">
        <v>8773</v>
      </c>
      <c r="D483" s="503" t="s">
        <v>8774</v>
      </c>
      <c r="E483" s="702" t="s">
        <v>8777</v>
      </c>
      <c r="F483" s="503" t="s">
        <v>8778</v>
      </c>
      <c r="G483" s="503" t="s">
        <v>8779</v>
      </c>
      <c r="H483" s="503"/>
      <c r="I483" s="503"/>
      <c r="J483" s="503"/>
      <c r="K483" s="503"/>
      <c r="L483" s="503"/>
      <c r="M483" s="503"/>
      <c r="N483" s="503"/>
      <c r="O483" s="503"/>
      <c r="P483" s="503"/>
      <c r="Q483" s="503"/>
      <c r="R483" s="503"/>
      <c r="S483" s="503"/>
      <c r="T483" s="503"/>
      <c r="U483" s="503"/>
      <c r="V483" s="503"/>
      <c r="W483" s="503"/>
      <c r="X483" s="700">
        <v>1</v>
      </c>
      <c r="Y483" s="1311"/>
    </row>
    <row r="484" spans="1:25" hidden="1">
      <c r="A484" s="529" t="s">
        <v>6268</v>
      </c>
      <c r="B484" s="506" t="s">
        <v>159</v>
      </c>
      <c r="C484" s="506" t="s">
        <v>8780</v>
      </c>
      <c r="D484" s="506" t="s">
        <v>8774</v>
      </c>
      <c r="E484" s="506" t="s">
        <v>8768</v>
      </c>
      <c r="F484" s="506" t="s">
        <v>8778</v>
      </c>
      <c r="G484" s="506" t="s">
        <v>8781</v>
      </c>
      <c r="H484" s="506"/>
      <c r="I484" s="506"/>
      <c r="J484" s="506"/>
      <c r="K484" s="506"/>
      <c r="L484" s="506"/>
      <c r="M484" s="506"/>
      <c r="N484" s="506"/>
      <c r="O484" s="506"/>
      <c r="P484" s="506"/>
      <c r="Q484" s="506"/>
      <c r="R484" s="506"/>
      <c r="S484" s="506"/>
      <c r="T484" s="506"/>
      <c r="U484" s="506"/>
      <c r="V484" s="506"/>
      <c r="W484" s="506"/>
      <c r="X484" s="709">
        <v>1</v>
      </c>
      <c r="Y484" s="1312"/>
    </row>
    <row r="485" spans="1:25" hidden="1">
      <c r="A485" s="526" t="s">
        <v>6268</v>
      </c>
      <c r="B485" s="414" t="s">
        <v>169</v>
      </c>
      <c r="C485" s="414" t="s">
        <v>8782</v>
      </c>
      <c r="D485" s="414" t="s">
        <v>8783</v>
      </c>
      <c r="E485" s="414" t="s">
        <v>8784</v>
      </c>
      <c r="F485" s="414"/>
      <c r="G485" s="414"/>
      <c r="H485" s="414"/>
      <c r="I485" s="414"/>
      <c r="J485" s="414"/>
      <c r="K485" s="414"/>
      <c r="L485" s="414"/>
      <c r="M485" s="414"/>
      <c r="N485" s="414"/>
      <c r="O485" s="414"/>
      <c r="P485" s="414"/>
      <c r="Q485" s="414"/>
      <c r="R485" s="414"/>
      <c r="S485" s="414"/>
      <c r="T485" s="414"/>
      <c r="U485" s="414"/>
      <c r="V485" s="414"/>
      <c r="W485" s="414"/>
      <c r="X485" s="699">
        <v>1</v>
      </c>
      <c r="Y485" s="1255" t="s">
        <v>8776</v>
      </c>
    </row>
    <row r="486" spans="1:25" hidden="1">
      <c r="A486" s="528" t="s">
        <v>6268</v>
      </c>
      <c r="B486" s="413" t="s">
        <v>169</v>
      </c>
      <c r="C486" s="413" t="s">
        <v>8782</v>
      </c>
      <c r="D486" s="413" t="s">
        <v>8783</v>
      </c>
      <c r="E486" s="413" t="s">
        <v>8785</v>
      </c>
      <c r="F486" s="413"/>
      <c r="G486" s="413"/>
      <c r="H486" s="413"/>
      <c r="I486" s="413"/>
      <c r="J486" s="413"/>
      <c r="K486" s="413"/>
      <c r="L486" s="413"/>
      <c r="M486" s="413"/>
      <c r="N486" s="413"/>
      <c r="O486" s="413"/>
      <c r="P486" s="413"/>
      <c r="Q486" s="413"/>
      <c r="R486" s="413"/>
      <c r="S486" s="413"/>
      <c r="T486" s="413"/>
      <c r="U486" s="413"/>
      <c r="V486" s="413"/>
      <c r="W486" s="413"/>
      <c r="X486" s="700">
        <v>1</v>
      </c>
      <c r="Y486" s="1256"/>
    </row>
    <row r="487" spans="1:25" hidden="1">
      <c r="A487" s="528" t="s">
        <v>6268</v>
      </c>
      <c r="B487" s="413" t="s">
        <v>169</v>
      </c>
      <c r="C487" s="413" t="s">
        <v>5021</v>
      </c>
      <c r="D487" s="413" t="s">
        <v>8783</v>
      </c>
      <c r="E487" s="413" t="s">
        <v>8786</v>
      </c>
      <c r="F487" s="413"/>
      <c r="G487" s="413"/>
      <c r="H487" s="413"/>
      <c r="I487" s="413"/>
      <c r="J487" s="413"/>
      <c r="K487" s="413"/>
      <c r="L487" s="413"/>
      <c r="M487" s="413"/>
      <c r="N487" s="413"/>
      <c r="O487" s="413"/>
      <c r="P487" s="413"/>
      <c r="Q487" s="413"/>
      <c r="R487" s="413"/>
      <c r="S487" s="413"/>
      <c r="T487" s="413"/>
      <c r="U487" s="413"/>
      <c r="V487" s="413"/>
      <c r="W487" s="413"/>
      <c r="X487" s="700">
        <v>1</v>
      </c>
      <c r="Y487" s="1256"/>
    </row>
    <row r="488" spans="1:25" hidden="1">
      <c r="A488" s="528" t="s">
        <v>6268</v>
      </c>
      <c r="B488" s="413" t="s">
        <v>169</v>
      </c>
      <c r="C488" s="413" t="s">
        <v>8782</v>
      </c>
      <c r="D488" s="413" t="s">
        <v>8783</v>
      </c>
      <c r="E488" s="413" t="s">
        <v>8787</v>
      </c>
      <c r="F488" s="413"/>
      <c r="G488" s="413"/>
      <c r="H488" s="413"/>
      <c r="I488" s="413"/>
      <c r="J488" s="413"/>
      <c r="K488" s="413"/>
      <c r="L488" s="413"/>
      <c r="M488" s="413"/>
      <c r="N488" s="413"/>
      <c r="O488" s="413"/>
      <c r="P488" s="413"/>
      <c r="Q488" s="413"/>
      <c r="R488" s="413"/>
      <c r="S488" s="413"/>
      <c r="T488" s="413"/>
      <c r="U488" s="413"/>
      <c r="V488" s="413"/>
      <c r="W488" s="413"/>
      <c r="X488" s="700">
        <v>1</v>
      </c>
      <c r="Y488" s="1256"/>
    </row>
    <row r="489" spans="1:25" hidden="1">
      <c r="A489" s="528" t="s">
        <v>6268</v>
      </c>
      <c r="B489" s="413" t="s">
        <v>169</v>
      </c>
      <c r="C489" s="413" t="s">
        <v>5021</v>
      </c>
      <c r="D489" s="413" t="s">
        <v>8783</v>
      </c>
      <c r="E489" s="413" t="s">
        <v>8788</v>
      </c>
      <c r="F489" s="413"/>
      <c r="G489" s="413"/>
      <c r="H489" s="413"/>
      <c r="I489" s="413"/>
      <c r="J489" s="413"/>
      <c r="K489" s="413"/>
      <c r="L489" s="413"/>
      <c r="M489" s="413"/>
      <c r="N489" s="413"/>
      <c r="O489" s="413"/>
      <c r="P489" s="413"/>
      <c r="Q489" s="413"/>
      <c r="R489" s="413"/>
      <c r="S489" s="413"/>
      <c r="T489" s="413"/>
      <c r="U489" s="413"/>
      <c r="V489" s="413"/>
      <c r="W489" s="413"/>
      <c r="X489" s="700">
        <v>1</v>
      </c>
      <c r="Y489" s="1256"/>
    </row>
    <row r="490" spans="1:25" hidden="1">
      <c r="A490" s="528" t="s">
        <v>6268</v>
      </c>
      <c r="B490" s="413" t="s">
        <v>169</v>
      </c>
      <c r="C490" s="413" t="s">
        <v>8789</v>
      </c>
      <c r="D490" s="413" t="s">
        <v>8783</v>
      </c>
      <c r="E490" s="413" t="s">
        <v>8790</v>
      </c>
      <c r="F490" s="413"/>
      <c r="G490" s="413"/>
      <c r="H490" s="413"/>
      <c r="I490" s="413"/>
      <c r="J490" s="413"/>
      <c r="K490" s="413"/>
      <c r="L490" s="413"/>
      <c r="M490" s="413"/>
      <c r="N490" s="413"/>
      <c r="O490" s="413"/>
      <c r="P490" s="413"/>
      <c r="Q490" s="413"/>
      <c r="R490" s="413"/>
      <c r="S490" s="413"/>
      <c r="T490" s="413"/>
      <c r="U490" s="413"/>
      <c r="V490" s="413"/>
      <c r="W490" s="413"/>
      <c r="X490" s="700">
        <v>1</v>
      </c>
      <c r="Y490" s="1256"/>
    </row>
    <row r="491" spans="1:25" hidden="1">
      <c r="A491" s="528" t="s">
        <v>6268</v>
      </c>
      <c r="B491" s="413" t="s">
        <v>169</v>
      </c>
      <c r="C491" s="413" t="s">
        <v>8791</v>
      </c>
      <c r="D491" s="413" t="s">
        <v>8783</v>
      </c>
      <c r="E491" s="413" t="s">
        <v>8792</v>
      </c>
      <c r="F491" s="413"/>
      <c r="G491" s="413"/>
      <c r="H491" s="413"/>
      <c r="I491" s="413"/>
      <c r="J491" s="413"/>
      <c r="K491" s="413"/>
      <c r="L491" s="413"/>
      <c r="M491" s="413"/>
      <c r="N491" s="413"/>
      <c r="O491" s="413"/>
      <c r="P491" s="413"/>
      <c r="Q491" s="413"/>
      <c r="R491" s="413"/>
      <c r="S491" s="413"/>
      <c r="T491" s="413"/>
      <c r="U491" s="413"/>
      <c r="V491" s="413"/>
      <c r="W491" s="413"/>
      <c r="X491" s="700">
        <v>1</v>
      </c>
      <c r="Y491" s="1256"/>
    </row>
    <row r="492" spans="1:25" hidden="1">
      <c r="A492" s="528" t="s">
        <v>6268</v>
      </c>
      <c r="B492" s="413" t="s">
        <v>169</v>
      </c>
      <c r="C492" s="413" t="s">
        <v>6422</v>
      </c>
      <c r="D492" s="413" t="s">
        <v>8783</v>
      </c>
      <c r="E492" s="413" t="s">
        <v>8793</v>
      </c>
      <c r="F492" s="413"/>
      <c r="G492" s="413"/>
      <c r="H492" s="413"/>
      <c r="I492" s="413"/>
      <c r="J492" s="413"/>
      <c r="K492" s="413"/>
      <c r="L492" s="413"/>
      <c r="M492" s="413"/>
      <c r="N492" s="413"/>
      <c r="O492" s="413"/>
      <c r="P492" s="413"/>
      <c r="Q492" s="413"/>
      <c r="R492" s="413"/>
      <c r="S492" s="413"/>
      <c r="T492" s="413"/>
      <c r="U492" s="413"/>
      <c r="V492" s="413"/>
      <c r="W492" s="413"/>
      <c r="X492" s="700">
        <v>1</v>
      </c>
      <c r="Y492" s="1256"/>
    </row>
    <row r="493" spans="1:25" hidden="1">
      <c r="A493" s="528" t="s">
        <v>6268</v>
      </c>
      <c r="B493" s="413" t="s">
        <v>169</v>
      </c>
      <c r="C493" s="413" t="s">
        <v>8782</v>
      </c>
      <c r="D493" s="413" t="s">
        <v>8783</v>
      </c>
      <c r="E493" s="413" t="s">
        <v>8794</v>
      </c>
      <c r="F493" s="413"/>
      <c r="G493" s="413"/>
      <c r="H493" s="413"/>
      <c r="I493" s="413"/>
      <c r="J493" s="413"/>
      <c r="K493" s="413"/>
      <c r="L493" s="413"/>
      <c r="M493" s="413"/>
      <c r="N493" s="413"/>
      <c r="O493" s="413"/>
      <c r="P493" s="413"/>
      <c r="Q493" s="413"/>
      <c r="R493" s="413"/>
      <c r="S493" s="413"/>
      <c r="T493" s="413"/>
      <c r="U493" s="413"/>
      <c r="V493" s="413"/>
      <c r="W493" s="413"/>
      <c r="X493" s="700">
        <v>1</v>
      </c>
      <c r="Y493" s="1256"/>
    </row>
    <row r="494" spans="1:25" hidden="1">
      <c r="A494" s="528" t="s">
        <v>6268</v>
      </c>
      <c r="B494" s="413" t="s">
        <v>169</v>
      </c>
      <c r="C494" s="413" t="s">
        <v>5021</v>
      </c>
      <c r="D494" s="413" t="s">
        <v>8783</v>
      </c>
      <c r="E494" s="413" t="s">
        <v>8795</v>
      </c>
      <c r="F494" s="413"/>
      <c r="G494" s="413"/>
      <c r="H494" s="413"/>
      <c r="I494" s="413"/>
      <c r="J494" s="413"/>
      <c r="K494" s="413"/>
      <c r="L494" s="413"/>
      <c r="M494" s="413"/>
      <c r="N494" s="413"/>
      <c r="O494" s="413"/>
      <c r="P494" s="413"/>
      <c r="Q494" s="413"/>
      <c r="R494" s="413"/>
      <c r="S494" s="413"/>
      <c r="T494" s="413"/>
      <c r="U494" s="413"/>
      <c r="V494" s="413"/>
      <c r="W494" s="413"/>
      <c r="X494" s="700">
        <v>1</v>
      </c>
      <c r="Y494" s="1256"/>
    </row>
    <row r="495" spans="1:25" hidden="1">
      <c r="A495" s="528" t="s">
        <v>6268</v>
      </c>
      <c r="B495" s="413" t="s">
        <v>169</v>
      </c>
      <c r="C495" s="413" t="s">
        <v>4905</v>
      </c>
      <c r="D495" s="413" t="s">
        <v>8783</v>
      </c>
      <c r="E495" s="413" t="s">
        <v>8796</v>
      </c>
      <c r="F495" s="413"/>
      <c r="G495" s="413"/>
      <c r="H495" s="413"/>
      <c r="I495" s="413"/>
      <c r="J495" s="413"/>
      <c r="K495" s="413"/>
      <c r="L495" s="413"/>
      <c r="M495" s="413"/>
      <c r="N495" s="413"/>
      <c r="O495" s="413"/>
      <c r="P495" s="413"/>
      <c r="Q495" s="413"/>
      <c r="R495" s="413"/>
      <c r="S495" s="413"/>
      <c r="T495" s="413"/>
      <c r="U495" s="413"/>
      <c r="V495" s="413"/>
      <c r="W495" s="413"/>
      <c r="X495" s="700">
        <v>1</v>
      </c>
      <c r="Y495" s="1256"/>
    </row>
    <row r="496" spans="1:25" hidden="1">
      <c r="A496" s="528" t="s">
        <v>6268</v>
      </c>
      <c r="B496" s="413" t="s">
        <v>169</v>
      </c>
      <c r="C496" s="413" t="s">
        <v>8797</v>
      </c>
      <c r="D496" s="413" t="s">
        <v>8783</v>
      </c>
      <c r="E496" s="413" t="s">
        <v>8798</v>
      </c>
      <c r="F496" s="413"/>
      <c r="G496" s="413"/>
      <c r="H496" s="413"/>
      <c r="I496" s="413"/>
      <c r="J496" s="413"/>
      <c r="K496" s="413"/>
      <c r="L496" s="413"/>
      <c r="M496" s="413"/>
      <c r="N496" s="413"/>
      <c r="O496" s="413"/>
      <c r="P496" s="413"/>
      <c r="Q496" s="413"/>
      <c r="R496" s="413"/>
      <c r="S496" s="413"/>
      <c r="T496" s="413"/>
      <c r="U496" s="413"/>
      <c r="V496" s="413"/>
      <c r="W496" s="413"/>
      <c r="X496" s="700">
        <v>1</v>
      </c>
      <c r="Y496" s="1256"/>
    </row>
    <row r="497" spans="1:25" hidden="1">
      <c r="A497" s="528" t="s">
        <v>6268</v>
      </c>
      <c r="B497" s="413" t="s">
        <v>169</v>
      </c>
      <c r="C497" s="413" t="s">
        <v>8782</v>
      </c>
      <c r="D497" s="413" t="s">
        <v>8783</v>
      </c>
      <c r="E497" s="413" t="s">
        <v>8799</v>
      </c>
      <c r="F497" s="413"/>
      <c r="G497" s="413"/>
      <c r="H497" s="413"/>
      <c r="I497" s="413"/>
      <c r="J497" s="413"/>
      <c r="K497" s="413"/>
      <c r="L497" s="413"/>
      <c r="M497" s="413"/>
      <c r="N497" s="413"/>
      <c r="O497" s="413"/>
      <c r="P497" s="413"/>
      <c r="Q497" s="413"/>
      <c r="R497" s="413"/>
      <c r="S497" s="413"/>
      <c r="T497" s="413"/>
      <c r="U497" s="413"/>
      <c r="V497" s="413"/>
      <c r="W497" s="413"/>
      <c r="X497" s="700">
        <v>1</v>
      </c>
      <c r="Y497" s="1256"/>
    </row>
    <row r="498" spans="1:25" hidden="1">
      <c r="A498" s="528" t="s">
        <v>6268</v>
      </c>
      <c r="B498" s="413" t="s">
        <v>169</v>
      </c>
      <c r="C498" s="413" t="s">
        <v>5021</v>
      </c>
      <c r="D498" s="413" t="s">
        <v>8783</v>
      </c>
      <c r="E498" s="413" t="s">
        <v>8800</v>
      </c>
      <c r="F498" s="413"/>
      <c r="G498" s="413"/>
      <c r="H498" s="413"/>
      <c r="I498" s="413"/>
      <c r="J498" s="413"/>
      <c r="K498" s="413"/>
      <c r="L498" s="413"/>
      <c r="M498" s="413"/>
      <c r="N498" s="413"/>
      <c r="O498" s="413"/>
      <c r="P498" s="413"/>
      <c r="Q498" s="413"/>
      <c r="R498" s="413"/>
      <c r="S498" s="413"/>
      <c r="T498" s="413"/>
      <c r="U498" s="413"/>
      <c r="V498" s="413"/>
      <c r="W498" s="413"/>
      <c r="X498" s="700">
        <v>1</v>
      </c>
      <c r="Y498" s="1256"/>
    </row>
    <row r="499" spans="1:25" hidden="1">
      <c r="A499" s="528" t="s">
        <v>6268</v>
      </c>
      <c r="B499" s="413" t="s">
        <v>169</v>
      </c>
      <c r="C499" s="413" t="s">
        <v>8782</v>
      </c>
      <c r="D499" s="413" t="s">
        <v>8783</v>
      </c>
      <c r="E499" s="413" t="s">
        <v>8801</v>
      </c>
      <c r="F499" s="413"/>
      <c r="G499" s="413"/>
      <c r="H499" s="413"/>
      <c r="I499" s="413"/>
      <c r="J499" s="413"/>
      <c r="K499" s="413"/>
      <c r="L499" s="413"/>
      <c r="M499" s="413"/>
      <c r="N499" s="413"/>
      <c r="O499" s="413"/>
      <c r="P499" s="413"/>
      <c r="Q499" s="413"/>
      <c r="R499" s="413"/>
      <c r="S499" s="413"/>
      <c r="T499" s="413"/>
      <c r="U499" s="413"/>
      <c r="V499" s="413"/>
      <c r="W499" s="413"/>
      <c r="X499" s="700">
        <v>1</v>
      </c>
      <c r="Y499" s="1256"/>
    </row>
    <row r="500" spans="1:25" hidden="1">
      <c r="A500" s="528" t="s">
        <v>6268</v>
      </c>
      <c r="B500" s="413" t="s">
        <v>169</v>
      </c>
      <c r="C500" s="413" t="s">
        <v>8782</v>
      </c>
      <c r="D500" s="413" t="s">
        <v>8783</v>
      </c>
      <c r="E500" s="413" t="s">
        <v>8802</v>
      </c>
      <c r="F500" s="413"/>
      <c r="G500" s="413"/>
      <c r="H500" s="413"/>
      <c r="I500" s="413"/>
      <c r="J500" s="413"/>
      <c r="K500" s="413"/>
      <c r="L500" s="413"/>
      <c r="M500" s="413"/>
      <c r="N500" s="413"/>
      <c r="O500" s="413"/>
      <c r="P500" s="413"/>
      <c r="Q500" s="413"/>
      <c r="R500" s="413"/>
      <c r="S500" s="413"/>
      <c r="T500" s="413"/>
      <c r="U500" s="413"/>
      <c r="V500" s="413"/>
      <c r="W500" s="413"/>
      <c r="X500" s="700">
        <v>1</v>
      </c>
      <c r="Y500" s="1256"/>
    </row>
    <row r="501" spans="1:25" hidden="1">
      <c r="A501" s="528" t="s">
        <v>6268</v>
      </c>
      <c r="B501" s="413" t="s">
        <v>169</v>
      </c>
      <c r="C501" s="413" t="s">
        <v>8782</v>
      </c>
      <c r="D501" s="413" t="s">
        <v>8783</v>
      </c>
      <c r="E501" s="413" t="s">
        <v>8803</v>
      </c>
      <c r="F501" s="413"/>
      <c r="G501" s="413"/>
      <c r="H501" s="413"/>
      <c r="I501" s="413"/>
      <c r="J501" s="413"/>
      <c r="K501" s="413"/>
      <c r="L501" s="413"/>
      <c r="M501" s="413"/>
      <c r="N501" s="413"/>
      <c r="O501" s="413"/>
      <c r="P501" s="413"/>
      <c r="Q501" s="413"/>
      <c r="R501" s="413"/>
      <c r="S501" s="413"/>
      <c r="T501" s="413"/>
      <c r="U501" s="413"/>
      <c r="V501" s="413"/>
      <c r="W501" s="413"/>
      <c r="X501" s="700">
        <v>1</v>
      </c>
      <c r="Y501" s="1256"/>
    </row>
    <row r="502" spans="1:25" hidden="1">
      <c r="A502" s="586" t="s">
        <v>6268</v>
      </c>
      <c r="B502" s="415" t="s">
        <v>169</v>
      </c>
      <c r="C502" s="415" t="s">
        <v>5021</v>
      </c>
      <c r="D502" s="415" t="s">
        <v>8783</v>
      </c>
      <c r="E502" s="415" t="s">
        <v>8804</v>
      </c>
      <c r="F502" s="415"/>
      <c r="G502" s="415"/>
      <c r="H502" s="415"/>
      <c r="I502" s="415"/>
      <c r="J502" s="415"/>
      <c r="K502" s="415"/>
      <c r="L502" s="415"/>
      <c r="M502" s="415"/>
      <c r="N502" s="415"/>
      <c r="O502" s="415"/>
      <c r="P502" s="415"/>
      <c r="Q502" s="415"/>
      <c r="R502" s="415"/>
      <c r="S502" s="415"/>
      <c r="T502" s="415"/>
      <c r="U502" s="415"/>
      <c r="V502" s="415"/>
      <c r="W502" s="415"/>
      <c r="X502" s="701">
        <v>1</v>
      </c>
      <c r="Y502" s="1317"/>
    </row>
    <row r="503" spans="1:25" hidden="1">
      <c r="A503" s="526" t="s">
        <v>6268</v>
      </c>
      <c r="B503" s="414" t="s">
        <v>170</v>
      </c>
      <c r="C503" s="414" t="s">
        <v>8782</v>
      </c>
      <c r="D503" s="414" t="s">
        <v>8805</v>
      </c>
      <c r="E503" s="414" t="s">
        <v>8784</v>
      </c>
      <c r="F503" s="414"/>
      <c r="G503" s="414"/>
      <c r="H503" s="414"/>
      <c r="I503" s="414"/>
      <c r="J503" s="414"/>
      <c r="K503" s="414"/>
      <c r="L503" s="414"/>
      <c r="M503" s="414"/>
      <c r="N503" s="414"/>
      <c r="O503" s="414"/>
      <c r="P503" s="414"/>
      <c r="Q503" s="414"/>
      <c r="R503" s="414"/>
      <c r="S503" s="414"/>
      <c r="T503" s="414"/>
      <c r="U503" s="414"/>
      <c r="V503" s="414"/>
      <c r="W503" s="414"/>
      <c r="X503" s="699">
        <v>1</v>
      </c>
      <c r="Y503" s="1255" t="s">
        <v>8776</v>
      </c>
    </row>
    <row r="504" spans="1:25" hidden="1">
      <c r="A504" s="528" t="s">
        <v>6268</v>
      </c>
      <c r="B504" s="413" t="s">
        <v>170</v>
      </c>
      <c r="C504" s="413" t="s">
        <v>8782</v>
      </c>
      <c r="D504" s="413" t="s">
        <v>8805</v>
      </c>
      <c r="E504" s="413" t="s">
        <v>8785</v>
      </c>
      <c r="F504" s="413"/>
      <c r="G504" s="413"/>
      <c r="H504" s="413"/>
      <c r="I504" s="413"/>
      <c r="J504" s="413"/>
      <c r="K504" s="413"/>
      <c r="L504" s="413"/>
      <c r="M504" s="413"/>
      <c r="N504" s="413"/>
      <c r="O504" s="413"/>
      <c r="P504" s="413"/>
      <c r="Q504" s="413"/>
      <c r="R504" s="413"/>
      <c r="S504" s="413"/>
      <c r="T504" s="413"/>
      <c r="U504" s="413"/>
      <c r="V504" s="413"/>
      <c r="W504" s="413"/>
      <c r="X504" s="700">
        <v>1</v>
      </c>
      <c r="Y504" s="1256"/>
    </row>
    <row r="505" spans="1:25" hidden="1">
      <c r="A505" s="528" t="s">
        <v>6268</v>
      </c>
      <c r="B505" s="413" t="s">
        <v>170</v>
      </c>
      <c r="C505" s="413" t="s">
        <v>5021</v>
      </c>
      <c r="D505" s="413" t="s">
        <v>8805</v>
      </c>
      <c r="E505" s="413" t="s">
        <v>8786</v>
      </c>
      <c r="F505" s="413"/>
      <c r="G505" s="413"/>
      <c r="H505" s="413"/>
      <c r="I505" s="413"/>
      <c r="J505" s="413"/>
      <c r="K505" s="413"/>
      <c r="L505" s="413"/>
      <c r="M505" s="413"/>
      <c r="N505" s="413"/>
      <c r="O505" s="413"/>
      <c r="P505" s="413"/>
      <c r="Q505" s="413"/>
      <c r="R505" s="413"/>
      <c r="S505" s="413"/>
      <c r="T505" s="413"/>
      <c r="U505" s="413"/>
      <c r="V505" s="413"/>
      <c r="W505" s="413"/>
      <c r="X505" s="700">
        <v>1</v>
      </c>
      <c r="Y505" s="1256"/>
    </row>
    <row r="506" spans="1:25" hidden="1">
      <c r="A506" s="528" t="s">
        <v>6268</v>
      </c>
      <c r="B506" s="413" t="s">
        <v>170</v>
      </c>
      <c r="C506" s="413" t="s">
        <v>8782</v>
      </c>
      <c r="D506" s="413" t="s">
        <v>8805</v>
      </c>
      <c r="E506" s="413" t="s">
        <v>8787</v>
      </c>
      <c r="F506" s="413"/>
      <c r="G506" s="413"/>
      <c r="H506" s="413"/>
      <c r="I506" s="413"/>
      <c r="J506" s="413"/>
      <c r="K506" s="413"/>
      <c r="L506" s="413"/>
      <c r="M506" s="413"/>
      <c r="N506" s="413"/>
      <c r="O506" s="413"/>
      <c r="P506" s="413"/>
      <c r="Q506" s="413"/>
      <c r="R506" s="413"/>
      <c r="S506" s="413"/>
      <c r="T506" s="413"/>
      <c r="U506" s="413"/>
      <c r="V506" s="413"/>
      <c r="W506" s="413"/>
      <c r="X506" s="700">
        <v>1</v>
      </c>
      <c r="Y506" s="1256"/>
    </row>
    <row r="507" spans="1:25" hidden="1">
      <c r="A507" s="528" t="s">
        <v>6268</v>
      </c>
      <c r="B507" s="413" t="s">
        <v>170</v>
      </c>
      <c r="C507" s="413" t="s">
        <v>5021</v>
      </c>
      <c r="D507" s="413" t="s">
        <v>8805</v>
      </c>
      <c r="E507" s="413" t="s">
        <v>8788</v>
      </c>
      <c r="F507" s="413"/>
      <c r="G507" s="413"/>
      <c r="H507" s="413"/>
      <c r="I507" s="413"/>
      <c r="J507" s="413"/>
      <c r="K507" s="413"/>
      <c r="L507" s="413"/>
      <c r="M507" s="413"/>
      <c r="N507" s="413"/>
      <c r="O507" s="413"/>
      <c r="P507" s="413"/>
      <c r="Q507" s="413"/>
      <c r="R507" s="413"/>
      <c r="S507" s="413"/>
      <c r="T507" s="413"/>
      <c r="U507" s="413"/>
      <c r="V507" s="413"/>
      <c r="W507" s="413"/>
      <c r="X507" s="700">
        <v>1</v>
      </c>
      <c r="Y507" s="1256"/>
    </row>
    <row r="508" spans="1:25" hidden="1">
      <c r="A508" s="528" t="s">
        <v>6268</v>
      </c>
      <c r="B508" s="413" t="s">
        <v>170</v>
      </c>
      <c r="C508" s="413" t="s">
        <v>8789</v>
      </c>
      <c r="D508" s="413" t="s">
        <v>8805</v>
      </c>
      <c r="E508" s="413" t="s">
        <v>8790</v>
      </c>
      <c r="F508" s="413"/>
      <c r="G508" s="413"/>
      <c r="H508" s="413"/>
      <c r="I508" s="413"/>
      <c r="J508" s="413"/>
      <c r="K508" s="413"/>
      <c r="L508" s="413"/>
      <c r="M508" s="413"/>
      <c r="N508" s="413"/>
      <c r="O508" s="413"/>
      <c r="P508" s="413"/>
      <c r="Q508" s="413"/>
      <c r="R508" s="413"/>
      <c r="S508" s="413"/>
      <c r="T508" s="413"/>
      <c r="U508" s="413"/>
      <c r="V508" s="413"/>
      <c r="W508" s="413"/>
      <c r="X508" s="700">
        <v>1</v>
      </c>
      <c r="Y508" s="1256"/>
    </row>
    <row r="509" spans="1:25" hidden="1">
      <c r="A509" s="528" t="s">
        <v>6268</v>
      </c>
      <c r="B509" s="413" t="s">
        <v>170</v>
      </c>
      <c r="C509" s="413" t="s">
        <v>8791</v>
      </c>
      <c r="D509" s="413" t="s">
        <v>8805</v>
      </c>
      <c r="E509" s="413" t="s">
        <v>8792</v>
      </c>
      <c r="F509" s="413"/>
      <c r="G509" s="413"/>
      <c r="H509" s="413"/>
      <c r="I509" s="413"/>
      <c r="J509" s="413"/>
      <c r="K509" s="413"/>
      <c r="L509" s="413"/>
      <c r="M509" s="413"/>
      <c r="N509" s="413"/>
      <c r="O509" s="413"/>
      <c r="P509" s="413"/>
      <c r="Q509" s="413"/>
      <c r="R509" s="413"/>
      <c r="S509" s="413"/>
      <c r="T509" s="413"/>
      <c r="U509" s="413"/>
      <c r="V509" s="413"/>
      <c r="W509" s="413"/>
      <c r="X509" s="700">
        <v>1</v>
      </c>
      <c r="Y509" s="1256"/>
    </row>
    <row r="510" spans="1:25" hidden="1">
      <c r="A510" s="528" t="s">
        <v>6268</v>
      </c>
      <c r="B510" s="413" t="s">
        <v>170</v>
      </c>
      <c r="C510" s="413" t="s">
        <v>6422</v>
      </c>
      <c r="D510" s="413" t="s">
        <v>8805</v>
      </c>
      <c r="E510" s="413" t="s">
        <v>8793</v>
      </c>
      <c r="F510" s="413"/>
      <c r="G510" s="413"/>
      <c r="H510" s="413"/>
      <c r="I510" s="413"/>
      <c r="J510" s="413"/>
      <c r="K510" s="413"/>
      <c r="L510" s="413"/>
      <c r="M510" s="413"/>
      <c r="N510" s="413"/>
      <c r="O510" s="413"/>
      <c r="P510" s="413"/>
      <c r="Q510" s="413"/>
      <c r="R510" s="413"/>
      <c r="S510" s="413"/>
      <c r="T510" s="413"/>
      <c r="U510" s="413"/>
      <c r="V510" s="413"/>
      <c r="W510" s="413"/>
      <c r="X510" s="700">
        <v>1</v>
      </c>
      <c r="Y510" s="1256"/>
    </row>
    <row r="511" spans="1:25" hidden="1">
      <c r="A511" s="528" t="s">
        <v>6268</v>
      </c>
      <c r="B511" s="413" t="s">
        <v>170</v>
      </c>
      <c r="C511" s="413" t="s">
        <v>8782</v>
      </c>
      <c r="D511" s="413" t="s">
        <v>8805</v>
      </c>
      <c r="E511" s="413" t="s">
        <v>8794</v>
      </c>
      <c r="F511" s="413"/>
      <c r="G511" s="413"/>
      <c r="H511" s="413"/>
      <c r="I511" s="413"/>
      <c r="J511" s="413"/>
      <c r="K511" s="413"/>
      <c r="L511" s="413"/>
      <c r="M511" s="413"/>
      <c r="N511" s="413"/>
      <c r="O511" s="413"/>
      <c r="P511" s="413"/>
      <c r="Q511" s="413"/>
      <c r="R511" s="413"/>
      <c r="S511" s="413"/>
      <c r="T511" s="413"/>
      <c r="U511" s="413"/>
      <c r="V511" s="413"/>
      <c r="W511" s="413"/>
      <c r="X511" s="700">
        <v>1</v>
      </c>
      <c r="Y511" s="1256"/>
    </row>
    <row r="512" spans="1:25" hidden="1">
      <c r="A512" s="528" t="s">
        <v>6268</v>
      </c>
      <c r="B512" s="413" t="s">
        <v>170</v>
      </c>
      <c r="C512" s="413" t="s">
        <v>5021</v>
      </c>
      <c r="D512" s="413" t="s">
        <v>8805</v>
      </c>
      <c r="E512" s="413" t="s">
        <v>8795</v>
      </c>
      <c r="F512" s="413"/>
      <c r="G512" s="413"/>
      <c r="H512" s="413"/>
      <c r="I512" s="413"/>
      <c r="J512" s="413"/>
      <c r="K512" s="413"/>
      <c r="L512" s="413"/>
      <c r="M512" s="413"/>
      <c r="N512" s="413"/>
      <c r="O512" s="413"/>
      <c r="P512" s="413"/>
      <c r="Q512" s="413"/>
      <c r="R512" s="413"/>
      <c r="S512" s="413"/>
      <c r="T512" s="413"/>
      <c r="U512" s="413"/>
      <c r="V512" s="413"/>
      <c r="W512" s="413"/>
      <c r="X512" s="700">
        <v>1</v>
      </c>
      <c r="Y512" s="1256"/>
    </row>
    <row r="513" spans="1:25" hidden="1">
      <c r="A513" s="528" t="s">
        <v>6268</v>
      </c>
      <c r="B513" s="413" t="s">
        <v>170</v>
      </c>
      <c r="C513" s="413" t="s">
        <v>4905</v>
      </c>
      <c r="D513" s="413" t="s">
        <v>8805</v>
      </c>
      <c r="E513" s="413" t="s">
        <v>8796</v>
      </c>
      <c r="F513" s="413"/>
      <c r="G513" s="413"/>
      <c r="H513" s="413"/>
      <c r="I513" s="413"/>
      <c r="J513" s="413"/>
      <c r="K513" s="413"/>
      <c r="L513" s="413"/>
      <c r="M513" s="413"/>
      <c r="N513" s="413"/>
      <c r="O513" s="413"/>
      <c r="P513" s="413"/>
      <c r="Q513" s="413"/>
      <c r="R513" s="413"/>
      <c r="S513" s="413"/>
      <c r="T513" s="413"/>
      <c r="U513" s="413"/>
      <c r="V513" s="413"/>
      <c r="W513" s="413"/>
      <c r="X513" s="700">
        <v>1</v>
      </c>
      <c r="Y513" s="1256"/>
    </row>
    <row r="514" spans="1:25" hidden="1">
      <c r="A514" s="528" t="s">
        <v>6268</v>
      </c>
      <c r="B514" s="413" t="s">
        <v>170</v>
      </c>
      <c r="C514" s="413" t="s">
        <v>8797</v>
      </c>
      <c r="D514" s="413" t="s">
        <v>8805</v>
      </c>
      <c r="E514" s="413" t="s">
        <v>8798</v>
      </c>
      <c r="F514" s="413"/>
      <c r="G514" s="413"/>
      <c r="H514" s="413"/>
      <c r="I514" s="413"/>
      <c r="J514" s="413"/>
      <c r="K514" s="413"/>
      <c r="L514" s="413"/>
      <c r="M514" s="413"/>
      <c r="N514" s="413"/>
      <c r="O514" s="413"/>
      <c r="P514" s="413"/>
      <c r="Q514" s="413"/>
      <c r="R514" s="413"/>
      <c r="S514" s="413"/>
      <c r="T514" s="413"/>
      <c r="U514" s="413"/>
      <c r="V514" s="413"/>
      <c r="W514" s="413"/>
      <c r="X514" s="700">
        <v>1</v>
      </c>
      <c r="Y514" s="1256"/>
    </row>
    <row r="515" spans="1:25" hidden="1">
      <c r="A515" s="528" t="s">
        <v>6268</v>
      </c>
      <c r="B515" s="413" t="s">
        <v>170</v>
      </c>
      <c r="C515" s="413" t="s">
        <v>8782</v>
      </c>
      <c r="D515" s="413" t="s">
        <v>8805</v>
      </c>
      <c r="E515" s="413" t="s">
        <v>8799</v>
      </c>
      <c r="F515" s="413"/>
      <c r="G515" s="413"/>
      <c r="H515" s="413"/>
      <c r="I515" s="413"/>
      <c r="J515" s="413"/>
      <c r="K515" s="413"/>
      <c r="L515" s="413"/>
      <c r="M515" s="413"/>
      <c r="N515" s="413"/>
      <c r="O515" s="413"/>
      <c r="P515" s="413"/>
      <c r="Q515" s="413"/>
      <c r="R515" s="413"/>
      <c r="S515" s="413"/>
      <c r="T515" s="413"/>
      <c r="U515" s="413"/>
      <c r="V515" s="413"/>
      <c r="W515" s="413"/>
      <c r="X515" s="700">
        <v>1</v>
      </c>
      <c r="Y515" s="1256"/>
    </row>
    <row r="516" spans="1:25" hidden="1">
      <c r="A516" s="528" t="s">
        <v>6268</v>
      </c>
      <c r="B516" s="413" t="s">
        <v>170</v>
      </c>
      <c r="C516" s="413" t="s">
        <v>5021</v>
      </c>
      <c r="D516" s="413" t="s">
        <v>8805</v>
      </c>
      <c r="E516" s="413" t="s">
        <v>8800</v>
      </c>
      <c r="F516" s="413"/>
      <c r="G516" s="413"/>
      <c r="H516" s="413"/>
      <c r="I516" s="413"/>
      <c r="J516" s="413"/>
      <c r="K516" s="413"/>
      <c r="L516" s="413"/>
      <c r="M516" s="413"/>
      <c r="N516" s="413"/>
      <c r="O516" s="413"/>
      <c r="P516" s="413"/>
      <c r="Q516" s="413"/>
      <c r="R516" s="413"/>
      <c r="S516" s="413"/>
      <c r="T516" s="413"/>
      <c r="U516" s="413"/>
      <c r="V516" s="413"/>
      <c r="W516" s="413"/>
      <c r="X516" s="700">
        <v>1</v>
      </c>
      <c r="Y516" s="1256"/>
    </row>
    <row r="517" spans="1:25" hidden="1">
      <c r="A517" s="528" t="s">
        <v>6268</v>
      </c>
      <c r="B517" s="413" t="s">
        <v>170</v>
      </c>
      <c r="C517" s="413" t="s">
        <v>8782</v>
      </c>
      <c r="D517" s="413" t="s">
        <v>8805</v>
      </c>
      <c r="E517" s="413" t="s">
        <v>8801</v>
      </c>
      <c r="F517" s="413"/>
      <c r="G517" s="413"/>
      <c r="H517" s="413"/>
      <c r="I517" s="413"/>
      <c r="J517" s="413"/>
      <c r="K517" s="413"/>
      <c r="L517" s="413"/>
      <c r="M517" s="413"/>
      <c r="N517" s="413"/>
      <c r="O517" s="413"/>
      <c r="P517" s="413"/>
      <c r="Q517" s="413"/>
      <c r="R517" s="413"/>
      <c r="S517" s="413"/>
      <c r="T517" s="413"/>
      <c r="U517" s="413"/>
      <c r="V517" s="413"/>
      <c r="W517" s="413"/>
      <c r="X517" s="700">
        <v>1</v>
      </c>
      <c r="Y517" s="1256"/>
    </row>
    <row r="518" spans="1:25" hidden="1">
      <c r="A518" s="528" t="s">
        <v>6268</v>
      </c>
      <c r="B518" s="413" t="s">
        <v>170</v>
      </c>
      <c r="C518" s="413" t="s">
        <v>8782</v>
      </c>
      <c r="D518" s="413" t="s">
        <v>8805</v>
      </c>
      <c r="E518" s="413" t="s">
        <v>8802</v>
      </c>
      <c r="F518" s="413"/>
      <c r="G518" s="413"/>
      <c r="H518" s="413"/>
      <c r="I518" s="413"/>
      <c r="J518" s="413"/>
      <c r="K518" s="413"/>
      <c r="L518" s="413"/>
      <c r="M518" s="413"/>
      <c r="N518" s="413"/>
      <c r="O518" s="413"/>
      <c r="P518" s="413"/>
      <c r="Q518" s="413"/>
      <c r="R518" s="413"/>
      <c r="S518" s="413"/>
      <c r="T518" s="413"/>
      <c r="U518" s="413"/>
      <c r="V518" s="413"/>
      <c r="W518" s="413"/>
      <c r="X518" s="700">
        <v>1</v>
      </c>
      <c r="Y518" s="1256"/>
    </row>
    <row r="519" spans="1:25" hidden="1">
      <c r="A519" s="528" t="s">
        <v>6268</v>
      </c>
      <c r="B519" s="413" t="s">
        <v>170</v>
      </c>
      <c r="C519" s="413" t="s">
        <v>8782</v>
      </c>
      <c r="D519" s="413" t="s">
        <v>8805</v>
      </c>
      <c r="E519" s="413" t="s">
        <v>8803</v>
      </c>
      <c r="F519" s="413"/>
      <c r="G519" s="413"/>
      <c r="H519" s="413"/>
      <c r="I519" s="413"/>
      <c r="J519" s="413"/>
      <c r="K519" s="413"/>
      <c r="L519" s="413"/>
      <c r="M519" s="413"/>
      <c r="N519" s="413"/>
      <c r="O519" s="413"/>
      <c r="P519" s="413"/>
      <c r="Q519" s="413"/>
      <c r="R519" s="413"/>
      <c r="S519" s="413"/>
      <c r="T519" s="413"/>
      <c r="U519" s="413"/>
      <c r="V519" s="413"/>
      <c r="W519" s="413"/>
      <c r="X519" s="700">
        <v>1</v>
      </c>
      <c r="Y519" s="1256"/>
    </row>
    <row r="520" spans="1:25" hidden="1">
      <c r="A520" s="529" t="s">
        <v>6268</v>
      </c>
      <c r="B520" s="425" t="s">
        <v>170</v>
      </c>
      <c r="C520" s="425" t="s">
        <v>5021</v>
      </c>
      <c r="D520" s="425" t="s">
        <v>8805</v>
      </c>
      <c r="E520" s="425" t="s">
        <v>8804</v>
      </c>
      <c r="F520" s="425"/>
      <c r="G520" s="425"/>
      <c r="H520" s="425"/>
      <c r="I520" s="425"/>
      <c r="J520" s="425"/>
      <c r="K520" s="425"/>
      <c r="L520" s="425"/>
      <c r="M520" s="425"/>
      <c r="N520" s="425"/>
      <c r="O520" s="425"/>
      <c r="P520" s="425"/>
      <c r="Q520" s="425"/>
      <c r="R520" s="425"/>
      <c r="S520" s="425"/>
      <c r="T520" s="425"/>
      <c r="U520" s="425"/>
      <c r="V520" s="425"/>
      <c r="W520" s="425"/>
      <c r="X520" s="709">
        <v>1</v>
      </c>
      <c r="Y520" s="1256"/>
    </row>
    <row r="521" spans="1:25" hidden="1">
      <c r="A521" s="426" t="s">
        <v>6271</v>
      </c>
      <c r="B521" s="414" t="s">
        <v>201</v>
      </c>
      <c r="C521" s="714" t="s">
        <v>8806</v>
      </c>
      <c r="D521" s="714" t="s">
        <v>8807</v>
      </c>
      <c r="E521" s="714" t="s">
        <v>8808</v>
      </c>
      <c r="F521" s="414"/>
      <c r="G521" s="414"/>
      <c r="H521" s="414"/>
      <c r="I521" s="414"/>
      <c r="J521" s="414"/>
      <c r="K521" s="414"/>
      <c r="L521" s="414"/>
      <c r="M521" s="414"/>
      <c r="N521" s="414"/>
      <c r="O521" s="414"/>
      <c r="P521" s="414"/>
      <c r="Q521" s="414"/>
      <c r="R521" s="414"/>
      <c r="S521" s="414"/>
      <c r="T521" s="414"/>
      <c r="U521" s="414"/>
      <c r="V521" s="414"/>
      <c r="W521" s="414"/>
      <c r="X521" s="699">
        <v>1</v>
      </c>
      <c r="Y521" s="1308" t="s">
        <v>8809</v>
      </c>
    </row>
    <row r="522" spans="1:25" hidden="1">
      <c r="A522" s="428" t="s">
        <v>6271</v>
      </c>
      <c r="B522" s="413" t="s">
        <v>201</v>
      </c>
      <c r="C522" s="715" t="s">
        <v>8810</v>
      </c>
      <c r="D522" s="715" t="s">
        <v>8807</v>
      </c>
      <c r="E522" s="715" t="s">
        <v>8811</v>
      </c>
      <c r="F522" s="413"/>
      <c r="G522" s="413"/>
      <c r="H522" s="413"/>
      <c r="I522" s="413"/>
      <c r="J522" s="413"/>
      <c r="K522" s="413"/>
      <c r="L522" s="413"/>
      <c r="M522" s="413"/>
      <c r="N522" s="413"/>
      <c r="O522" s="413"/>
      <c r="P522" s="413"/>
      <c r="Q522" s="413"/>
      <c r="R522" s="413"/>
      <c r="S522" s="413"/>
      <c r="T522" s="413"/>
      <c r="U522" s="413"/>
      <c r="V522" s="413"/>
      <c r="W522" s="413"/>
      <c r="X522" s="700">
        <v>1</v>
      </c>
      <c r="Y522" s="1309"/>
    </row>
    <row r="523" spans="1:25" hidden="1">
      <c r="A523" s="428" t="s">
        <v>6271</v>
      </c>
      <c r="B523" s="413" t="s">
        <v>201</v>
      </c>
      <c r="C523" s="715" t="s">
        <v>8812</v>
      </c>
      <c r="D523" s="715" t="s">
        <v>8807</v>
      </c>
      <c r="E523" s="715" t="s">
        <v>8813</v>
      </c>
      <c r="F523" s="413"/>
      <c r="G523" s="413"/>
      <c r="H523" s="413"/>
      <c r="I523" s="413"/>
      <c r="J523" s="413"/>
      <c r="K523" s="413"/>
      <c r="L523" s="413"/>
      <c r="M523" s="413"/>
      <c r="N523" s="413"/>
      <c r="O523" s="413"/>
      <c r="P523" s="413"/>
      <c r="Q523" s="413"/>
      <c r="R523" s="413"/>
      <c r="S523" s="413"/>
      <c r="T523" s="413"/>
      <c r="U523" s="413"/>
      <c r="V523" s="413"/>
      <c r="W523" s="413"/>
      <c r="X523" s="700">
        <v>1</v>
      </c>
      <c r="Y523" s="1309"/>
    </row>
    <row r="524" spans="1:25" hidden="1">
      <c r="A524" s="428" t="s">
        <v>6271</v>
      </c>
      <c r="B524" s="413" t="s">
        <v>201</v>
      </c>
      <c r="C524" s="715" t="s">
        <v>8814</v>
      </c>
      <c r="D524" s="715" t="s">
        <v>8807</v>
      </c>
      <c r="E524" s="715" t="s">
        <v>8815</v>
      </c>
      <c r="F524" s="413"/>
      <c r="G524" s="413"/>
      <c r="H524" s="413"/>
      <c r="I524" s="413"/>
      <c r="J524" s="413"/>
      <c r="K524" s="413"/>
      <c r="L524" s="413"/>
      <c r="M524" s="413"/>
      <c r="N524" s="413"/>
      <c r="O524" s="413"/>
      <c r="P524" s="413"/>
      <c r="Q524" s="413"/>
      <c r="R524" s="413"/>
      <c r="S524" s="413"/>
      <c r="T524" s="413"/>
      <c r="U524" s="413"/>
      <c r="V524" s="413"/>
      <c r="W524" s="413"/>
      <c r="X524" s="700">
        <v>1</v>
      </c>
      <c r="Y524" s="1309"/>
    </row>
    <row r="525" spans="1:25" hidden="1">
      <c r="A525" s="428" t="s">
        <v>6271</v>
      </c>
      <c r="B525" s="413" t="s">
        <v>201</v>
      </c>
      <c r="C525" s="715" t="s">
        <v>8816</v>
      </c>
      <c r="D525" s="715" t="s">
        <v>8807</v>
      </c>
      <c r="E525" s="715" t="s">
        <v>8817</v>
      </c>
      <c r="F525" s="413"/>
      <c r="G525" s="413"/>
      <c r="H525" s="413"/>
      <c r="I525" s="413"/>
      <c r="J525" s="413"/>
      <c r="K525" s="413"/>
      <c r="L525" s="413"/>
      <c r="M525" s="413"/>
      <c r="N525" s="413"/>
      <c r="O525" s="413"/>
      <c r="P525" s="413"/>
      <c r="Q525" s="413"/>
      <c r="R525" s="413"/>
      <c r="S525" s="413"/>
      <c r="T525" s="413"/>
      <c r="U525" s="413"/>
      <c r="V525" s="413"/>
      <c r="W525" s="413"/>
      <c r="X525" s="700">
        <v>1</v>
      </c>
      <c r="Y525" s="1309"/>
    </row>
    <row r="526" spans="1:25" hidden="1">
      <c r="A526" s="428" t="s">
        <v>6271</v>
      </c>
      <c r="B526" s="413" t="s">
        <v>201</v>
      </c>
      <c r="C526" s="715" t="s">
        <v>8816</v>
      </c>
      <c r="D526" s="715" t="s">
        <v>8807</v>
      </c>
      <c r="E526" s="715" t="s">
        <v>8818</v>
      </c>
      <c r="F526" s="413"/>
      <c r="G526" s="413"/>
      <c r="H526" s="413"/>
      <c r="I526" s="413"/>
      <c r="J526" s="413"/>
      <c r="K526" s="413"/>
      <c r="L526" s="413"/>
      <c r="M526" s="413"/>
      <c r="N526" s="413"/>
      <c r="O526" s="413"/>
      <c r="P526" s="413"/>
      <c r="Q526" s="413"/>
      <c r="R526" s="413"/>
      <c r="S526" s="413"/>
      <c r="T526" s="413"/>
      <c r="U526" s="413"/>
      <c r="V526" s="413"/>
      <c r="W526" s="413"/>
      <c r="X526" s="700">
        <v>1</v>
      </c>
      <c r="Y526" s="1309"/>
    </row>
    <row r="527" spans="1:25" hidden="1">
      <c r="A527" s="428" t="s">
        <v>6271</v>
      </c>
      <c r="B527" s="413" t="s">
        <v>201</v>
      </c>
      <c r="C527" s="715" t="s">
        <v>8819</v>
      </c>
      <c r="D527" s="715" t="s">
        <v>8807</v>
      </c>
      <c r="E527" s="715" t="s">
        <v>8820</v>
      </c>
      <c r="F527" s="413"/>
      <c r="G527" s="413"/>
      <c r="H527" s="413"/>
      <c r="I527" s="413"/>
      <c r="J527" s="413"/>
      <c r="K527" s="413"/>
      <c r="L527" s="413"/>
      <c r="M527" s="413"/>
      <c r="N527" s="413"/>
      <c r="O527" s="413"/>
      <c r="P527" s="413"/>
      <c r="Q527" s="413"/>
      <c r="R527" s="413"/>
      <c r="S527" s="413"/>
      <c r="T527" s="413"/>
      <c r="U527" s="413"/>
      <c r="V527" s="413"/>
      <c r="W527" s="413"/>
      <c r="X527" s="700">
        <v>1</v>
      </c>
      <c r="Y527" s="1309"/>
    </row>
    <row r="528" spans="1:25" hidden="1">
      <c r="A528" s="428" t="s">
        <v>6271</v>
      </c>
      <c r="B528" s="413" t="s">
        <v>201</v>
      </c>
      <c r="C528" s="715" t="s">
        <v>8821</v>
      </c>
      <c r="D528" s="715" t="s">
        <v>8807</v>
      </c>
      <c r="E528" s="715" t="s">
        <v>8821</v>
      </c>
      <c r="F528" s="413"/>
      <c r="G528" s="413"/>
      <c r="H528" s="413"/>
      <c r="I528" s="413"/>
      <c r="J528" s="413"/>
      <c r="K528" s="413"/>
      <c r="L528" s="413"/>
      <c r="M528" s="413"/>
      <c r="N528" s="413"/>
      <c r="O528" s="413"/>
      <c r="P528" s="413"/>
      <c r="Q528" s="413"/>
      <c r="R528" s="413"/>
      <c r="S528" s="413"/>
      <c r="T528" s="413"/>
      <c r="U528" s="413"/>
      <c r="V528" s="413"/>
      <c r="W528" s="413"/>
      <c r="X528" s="700">
        <v>1</v>
      </c>
      <c r="Y528" s="1309"/>
    </row>
    <row r="529" spans="1:25" hidden="1">
      <c r="A529" s="428" t="s">
        <v>6271</v>
      </c>
      <c r="B529" s="413" t="s">
        <v>201</v>
      </c>
      <c r="C529" s="715" t="s">
        <v>8822</v>
      </c>
      <c r="D529" s="715" t="s">
        <v>8807</v>
      </c>
      <c r="E529" s="715" t="s">
        <v>8823</v>
      </c>
      <c r="F529" s="413"/>
      <c r="G529" s="413"/>
      <c r="H529" s="413"/>
      <c r="I529" s="413"/>
      <c r="J529" s="413"/>
      <c r="K529" s="413"/>
      <c r="L529" s="413"/>
      <c r="M529" s="413"/>
      <c r="N529" s="413"/>
      <c r="O529" s="413"/>
      <c r="P529" s="413"/>
      <c r="Q529" s="413"/>
      <c r="R529" s="413"/>
      <c r="S529" s="413"/>
      <c r="T529" s="413"/>
      <c r="U529" s="413"/>
      <c r="V529" s="413"/>
      <c r="W529" s="413"/>
      <c r="X529" s="700">
        <v>1</v>
      </c>
      <c r="Y529" s="1309"/>
    </row>
    <row r="530" spans="1:25" hidden="1">
      <c r="A530" s="428" t="s">
        <v>6271</v>
      </c>
      <c r="B530" s="413" t="s">
        <v>201</v>
      </c>
      <c r="C530" s="715" t="s">
        <v>8806</v>
      </c>
      <c r="D530" s="715"/>
      <c r="E530" s="715"/>
      <c r="F530" s="715" t="s">
        <v>8824</v>
      </c>
      <c r="G530" s="715" t="s">
        <v>8825</v>
      </c>
      <c r="H530" s="413"/>
      <c r="I530" s="413"/>
      <c r="J530" s="413"/>
      <c r="K530" s="413"/>
      <c r="L530" s="413"/>
      <c r="M530" s="413"/>
      <c r="N530" s="413"/>
      <c r="O530" s="413"/>
      <c r="P530" s="413"/>
      <c r="Q530" s="413"/>
      <c r="R530" s="413"/>
      <c r="S530" s="413"/>
      <c r="T530" s="413"/>
      <c r="U530" s="413"/>
      <c r="V530" s="413"/>
      <c r="W530" s="413"/>
      <c r="X530" s="700">
        <v>1</v>
      </c>
      <c r="Y530" s="1309"/>
    </row>
    <row r="531" spans="1:25" hidden="1">
      <c r="A531" s="428" t="s">
        <v>6271</v>
      </c>
      <c r="B531" s="413" t="s">
        <v>201</v>
      </c>
      <c r="C531" s="715" t="s">
        <v>8826</v>
      </c>
      <c r="D531" s="715"/>
      <c r="E531" s="715"/>
      <c r="F531" s="715" t="s">
        <v>8824</v>
      </c>
      <c r="G531" s="715" t="s">
        <v>8827</v>
      </c>
      <c r="H531" s="413"/>
      <c r="I531" s="413"/>
      <c r="J531" s="413"/>
      <c r="K531" s="413"/>
      <c r="L531" s="413"/>
      <c r="M531" s="413"/>
      <c r="N531" s="413"/>
      <c r="O531" s="413"/>
      <c r="P531" s="413"/>
      <c r="Q531" s="413"/>
      <c r="R531" s="413"/>
      <c r="S531" s="413"/>
      <c r="T531" s="413"/>
      <c r="U531" s="413"/>
      <c r="V531" s="413"/>
      <c r="W531" s="413"/>
      <c r="X531" s="700">
        <v>1</v>
      </c>
      <c r="Y531" s="1309"/>
    </row>
    <row r="532" spans="1:25" hidden="1">
      <c r="A532" s="428" t="s">
        <v>6271</v>
      </c>
      <c r="B532" s="413" t="s">
        <v>201</v>
      </c>
      <c r="C532" s="715" t="s">
        <v>8828</v>
      </c>
      <c r="D532" s="715"/>
      <c r="E532" s="715"/>
      <c r="F532" s="715" t="s">
        <v>8824</v>
      </c>
      <c r="G532" s="715" t="s">
        <v>8829</v>
      </c>
      <c r="H532" s="413"/>
      <c r="I532" s="413"/>
      <c r="J532" s="413"/>
      <c r="K532" s="413"/>
      <c r="L532" s="413"/>
      <c r="M532" s="413"/>
      <c r="N532" s="413"/>
      <c r="O532" s="413"/>
      <c r="P532" s="413"/>
      <c r="Q532" s="413"/>
      <c r="R532" s="413"/>
      <c r="S532" s="413"/>
      <c r="T532" s="413"/>
      <c r="U532" s="413"/>
      <c r="V532" s="413"/>
      <c r="W532" s="413"/>
      <c r="X532" s="700">
        <v>1</v>
      </c>
      <c r="Y532" s="1309"/>
    </row>
    <row r="533" spans="1:25" hidden="1">
      <c r="A533" s="428" t="s">
        <v>6271</v>
      </c>
      <c r="B533" s="413" t="s">
        <v>201</v>
      </c>
      <c r="C533" s="715" t="s">
        <v>8830</v>
      </c>
      <c r="D533" s="715"/>
      <c r="E533" s="715"/>
      <c r="F533" s="715" t="s">
        <v>8824</v>
      </c>
      <c r="G533" s="715" t="s">
        <v>8831</v>
      </c>
      <c r="H533" s="413"/>
      <c r="I533" s="413"/>
      <c r="J533" s="413"/>
      <c r="K533" s="413"/>
      <c r="L533" s="413"/>
      <c r="M533" s="413"/>
      <c r="N533" s="413"/>
      <c r="O533" s="413"/>
      <c r="P533" s="413"/>
      <c r="Q533" s="413"/>
      <c r="R533" s="413"/>
      <c r="S533" s="413"/>
      <c r="T533" s="413"/>
      <c r="U533" s="413"/>
      <c r="V533" s="413"/>
      <c r="W533" s="413"/>
      <c r="X533" s="700">
        <v>1</v>
      </c>
      <c r="Y533" s="1309"/>
    </row>
    <row r="534" spans="1:25" hidden="1">
      <c r="A534" s="428" t="s">
        <v>6271</v>
      </c>
      <c r="B534" s="413" t="s">
        <v>201</v>
      </c>
      <c r="C534" s="715" t="s">
        <v>422</v>
      </c>
      <c r="D534" s="715"/>
      <c r="E534" s="715"/>
      <c r="F534" s="715" t="s">
        <v>8824</v>
      </c>
      <c r="G534" s="715" t="s">
        <v>8832</v>
      </c>
      <c r="H534" s="413"/>
      <c r="I534" s="413"/>
      <c r="J534" s="413"/>
      <c r="K534" s="413"/>
      <c r="L534" s="413"/>
      <c r="M534" s="413"/>
      <c r="N534" s="413"/>
      <c r="O534" s="413"/>
      <c r="P534" s="413"/>
      <c r="Q534" s="413"/>
      <c r="R534" s="413"/>
      <c r="S534" s="413"/>
      <c r="T534" s="413"/>
      <c r="U534" s="413"/>
      <c r="V534" s="413"/>
      <c r="W534" s="413"/>
      <c r="X534" s="700">
        <v>1</v>
      </c>
      <c r="Y534" s="1309"/>
    </row>
    <row r="535" spans="1:25" hidden="1">
      <c r="A535" s="428" t="s">
        <v>6271</v>
      </c>
      <c r="B535" s="413" t="s">
        <v>201</v>
      </c>
      <c r="C535" s="715" t="s">
        <v>8833</v>
      </c>
      <c r="D535" s="715"/>
      <c r="E535" s="715"/>
      <c r="F535" s="715" t="s">
        <v>8824</v>
      </c>
      <c r="G535" s="715" t="s">
        <v>8834</v>
      </c>
      <c r="H535" s="413"/>
      <c r="I535" s="413"/>
      <c r="J535" s="413"/>
      <c r="K535" s="413"/>
      <c r="L535" s="413"/>
      <c r="M535" s="413"/>
      <c r="N535" s="413"/>
      <c r="O535" s="413"/>
      <c r="P535" s="413"/>
      <c r="Q535" s="413"/>
      <c r="R535" s="413"/>
      <c r="S535" s="413"/>
      <c r="T535" s="413"/>
      <c r="U535" s="413"/>
      <c r="V535" s="413"/>
      <c r="W535" s="413"/>
      <c r="X535" s="700">
        <v>1</v>
      </c>
      <c r="Y535" s="1309"/>
    </row>
    <row r="536" spans="1:25" hidden="1">
      <c r="A536" s="428" t="s">
        <v>6271</v>
      </c>
      <c r="B536" s="413" t="s">
        <v>201</v>
      </c>
      <c r="C536" s="715" t="s">
        <v>8833</v>
      </c>
      <c r="D536" s="715"/>
      <c r="E536" s="715"/>
      <c r="F536" s="715" t="s">
        <v>8824</v>
      </c>
      <c r="G536" s="715" t="s">
        <v>8835</v>
      </c>
      <c r="H536" s="413"/>
      <c r="I536" s="413"/>
      <c r="J536" s="413"/>
      <c r="K536" s="413"/>
      <c r="L536" s="413"/>
      <c r="M536" s="413"/>
      <c r="N536" s="413"/>
      <c r="O536" s="413"/>
      <c r="P536" s="413"/>
      <c r="Q536" s="413"/>
      <c r="R536" s="413"/>
      <c r="S536" s="413"/>
      <c r="T536" s="413"/>
      <c r="U536" s="413"/>
      <c r="V536" s="413"/>
      <c r="W536" s="413"/>
      <c r="X536" s="700">
        <v>1</v>
      </c>
      <c r="Y536" s="1309"/>
    </row>
    <row r="537" spans="1:25" hidden="1">
      <c r="A537" s="428" t="s">
        <v>6271</v>
      </c>
      <c r="B537" s="413" t="s">
        <v>201</v>
      </c>
      <c r="C537" s="715" t="s">
        <v>8836</v>
      </c>
      <c r="D537" s="715"/>
      <c r="E537" s="715"/>
      <c r="F537" s="715" t="s">
        <v>8824</v>
      </c>
      <c r="G537" s="715" t="s">
        <v>8837</v>
      </c>
      <c r="H537" s="413"/>
      <c r="I537" s="413"/>
      <c r="J537" s="413"/>
      <c r="K537" s="413"/>
      <c r="L537" s="413"/>
      <c r="M537" s="413"/>
      <c r="N537" s="413"/>
      <c r="O537" s="413"/>
      <c r="P537" s="413"/>
      <c r="Q537" s="413"/>
      <c r="R537" s="413"/>
      <c r="S537" s="413"/>
      <c r="T537" s="413"/>
      <c r="U537" s="413"/>
      <c r="V537" s="413"/>
      <c r="W537" s="413"/>
      <c r="X537" s="700">
        <v>1</v>
      </c>
      <c r="Y537" s="1309"/>
    </row>
    <row r="538" spans="1:25" hidden="1">
      <c r="A538" s="428" t="s">
        <v>6271</v>
      </c>
      <c r="B538" s="413" t="s">
        <v>201</v>
      </c>
      <c r="C538" s="715" t="s">
        <v>8838</v>
      </c>
      <c r="D538" s="715"/>
      <c r="E538" s="715"/>
      <c r="F538" s="715" t="s">
        <v>8824</v>
      </c>
      <c r="G538" s="715" t="s">
        <v>8839</v>
      </c>
      <c r="H538" s="413"/>
      <c r="I538" s="413"/>
      <c r="J538" s="413"/>
      <c r="K538" s="413"/>
      <c r="L538" s="413"/>
      <c r="M538" s="413"/>
      <c r="N538" s="413"/>
      <c r="O538" s="413"/>
      <c r="P538" s="413"/>
      <c r="Q538" s="413"/>
      <c r="R538" s="413"/>
      <c r="S538" s="413"/>
      <c r="T538" s="413"/>
      <c r="U538" s="413"/>
      <c r="V538" s="413"/>
      <c r="W538" s="413"/>
      <c r="X538" s="700">
        <v>1</v>
      </c>
      <c r="Y538" s="1309"/>
    </row>
    <row r="539" spans="1:25" hidden="1">
      <c r="A539" s="428" t="s">
        <v>6271</v>
      </c>
      <c r="B539" s="413" t="s">
        <v>201</v>
      </c>
      <c r="C539" s="715" t="s">
        <v>8840</v>
      </c>
      <c r="D539" s="715"/>
      <c r="E539" s="715"/>
      <c r="F539" s="715" t="s">
        <v>8824</v>
      </c>
      <c r="G539" s="715" t="s">
        <v>8841</v>
      </c>
      <c r="H539" s="413"/>
      <c r="I539" s="413"/>
      <c r="J539" s="413"/>
      <c r="K539" s="413"/>
      <c r="L539" s="413"/>
      <c r="M539" s="413"/>
      <c r="N539" s="413"/>
      <c r="O539" s="413"/>
      <c r="P539" s="413"/>
      <c r="Q539" s="413"/>
      <c r="R539" s="413"/>
      <c r="S539" s="413"/>
      <c r="T539" s="413"/>
      <c r="U539" s="413"/>
      <c r="V539" s="413"/>
      <c r="W539" s="413"/>
      <c r="X539" s="700">
        <v>1</v>
      </c>
      <c r="Y539" s="1309"/>
    </row>
    <row r="540" spans="1:25" hidden="1">
      <c r="A540" s="428" t="s">
        <v>6271</v>
      </c>
      <c r="B540" s="413" t="s">
        <v>201</v>
      </c>
      <c r="C540" s="715" t="s">
        <v>8842</v>
      </c>
      <c r="D540" s="715"/>
      <c r="E540" s="715"/>
      <c r="F540" s="715" t="s">
        <v>8824</v>
      </c>
      <c r="G540" s="715" t="s">
        <v>8843</v>
      </c>
      <c r="H540" s="413"/>
      <c r="I540" s="413"/>
      <c r="J540" s="413"/>
      <c r="K540" s="413"/>
      <c r="L540" s="413"/>
      <c r="M540" s="413"/>
      <c r="N540" s="413"/>
      <c r="O540" s="413"/>
      <c r="P540" s="413"/>
      <c r="Q540" s="413"/>
      <c r="R540" s="413"/>
      <c r="S540" s="413"/>
      <c r="T540" s="413"/>
      <c r="U540" s="413"/>
      <c r="V540" s="413"/>
      <c r="W540" s="413"/>
      <c r="X540" s="700">
        <v>1</v>
      </c>
      <c r="Y540" s="1309"/>
    </row>
    <row r="541" spans="1:25" hidden="1">
      <c r="A541" s="428" t="s">
        <v>6271</v>
      </c>
      <c r="B541" s="413" t="s">
        <v>201</v>
      </c>
      <c r="C541" s="715" t="s">
        <v>8844</v>
      </c>
      <c r="D541" s="715"/>
      <c r="E541" s="715"/>
      <c r="F541" s="715" t="s">
        <v>8824</v>
      </c>
      <c r="G541" s="715" t="s">
        <v>8845</v>
      </c>
      <c r="H541" s="413"/>
      <c r="I541" s="413"/>
      <c r="J541" s="413"/>
      <c r="K541" s="413"/>
      <c r="L541" s="413"/>
      <c r="M541" s="413"/>
      <c r="N541" s="413"/>
      <c r="O541" s="413"/>
      <c r="P541" s="413"/>
      <c r="Q541" s="413"/>
      <c r="R541" s="413"/>
      <c r="S541" s="413"/>
      <c r="T541" s="413"/>
      <c r="U541" s="413"/>
      <c r="V541" s="413"/>
      <c r="W541" s="413"/>
      <c r="X541" s="700">
        <v>1</v>
      </c>
      <c r="Y541" s="1309"/>
    </row>
    <row r="542" spans="1:25" hidden="1">
      <c r="A542" s="428" t="s">
        <v>6271</v>
      </c>
      <c r="B542" s="413" t="s">
        <v>201</v>
      </c>
      <c r="C542" s="715" t="s">
        <v>8810</v>
      </c>
      <c r="D542" s="715"/>
      <c r="E542" s="715"/>
      <c r="F542" s="715" t="s">
        <v>8824</v>
      </c>
      <c r="G542" s="715" t="s">
        <v>8846</v>
      </c>
      <c r="H542" s="413"/>
      <c r="I542" s="413"/>
      <c r="J542" s="413"/>
      <c r="K542" s="413"/>
      <c r="L542" s="413"/>
      <c r="M542" s="413"/>
      <c r="N542" s="413"/>
      <c r="O542" s="413"/>
      <c r="P542" s="413"/>
      <c r="Q542" s="413"/>
      <c r="R542" s="413"/>
      <c r="S542" s="413"/>
      <c r="T542" s="413"/>
      <c r="U542" s="413"/>
      <c r="V542" s="413"/>
      <c r="W542" s="413"/>
      <c r="X542" s="700">
        <v>1</v>
      </c>
      <c r="Y542" s="1309"/>
    </row>
    <row r="543" spans="1:25" hidden="1">
      <c r="A543" s="428" t="s">
        <v>6271</v>
      </c>
      <c r="B543" s="413" t="s">
        <v>201</v>
      </c>
      <c r="C543" s="715" t="s">
        <v>8847</v>
      </c>
      <c r="D543" s="715"/>
      <c r="E543" s="715"/>
      <c r="F543" s="715" t="s">
        <v>8824</v>
      </c>
      <c r="G543" s="715" t="s">
        <v>8848</v>
      </c>
      <c r="H543" s="413"/>
      <c r="I543" s="413"/>
      <c r="J543" s="413"/>
      <c r="K543" s="413"/>
      <c r="L543" s="413"/>
      <c r="M543" s="413"/>
      <c r="N543" s="413"/>
      <c r="O543" s="413"/>
      <c r="P543" s="413"/>
      <c r="Q543" s="413"/>
      <c r="R543" s="413"/>
      <c r="S543" s="413"/>
      <c r="T543" s="413"/>
      <c r="U543" s="413"/>
      <c r="V543" s="413"/>
      <c r="W543" s="413"/>
      <c r="X543" s="700">
        <v>1</v>
      </c>
      <c r="Y543" s="1309"/>
    </row>
    <row r="544" spans="1:25" hidden="1">
      <c r="A544" s="428" t="s">
        <v>6271</v>
      </c>
      <c r="B544" s="413" t="s">
        <v>201</v>
      </c>
      <c r="C544" s="715" t="s">
        <v>8849</v>
      </c>
      <c r="D544" s="715"/>
      <c r="E544" s="715"/>
      <c r="F544" s="715" t="s">
        <v>8824</v>
      </c>
      <c r="G544" s="715" t="s">
        <v>8850</v>
      </c>
      <c r="H544" s="413"/>
      <c r="I544" s="413"/>
      <c r="J544" s="413"/>
      <c r="K544" s="413"/>
      <c r="L544" s="413"/>
      <c r="M544" s="413"/>
      <c r="N544" s="413"/>
      <c r="O544" s="413"/>
      <c r="P544" s="413"/>
      <c r="Q544" s="413"/>
      <c r="R544" s="413"/>
      <c r="S544" s="413"/>
      <c r="T544" s="413"/>
      <c r="U544" s="413"/>
      <c r="V544" s="413"/>
      <c r="W544" s="413"/>
      <c r="X544" s="700">
        <v>1</v>
      </c>
      <c r="Y544" s="1309"/>
    </row>
    <row r="545" spans="1:25" hidden="1">
      <c r="A545" s="428" t="s">
        <v>6271</v>
      </c>
      <c r="B545" s="413" t="s">
        <v>201</v>
      </c>
      <c r="C545" s="715" t="s">
        <v>8814</v>
      </c>
      <c r="D545" s="715"/>
      <c r="E545" s="715"/>
      <c r="F545" s="715" t="s">
        <v>8824</v>
      </c>
      <c r="G545" s="715" t="s">
        <v>8851</v>
      </c>
      <c r="H545" s="413"/>
      <c r="I545" s="413"/>
      <c r="J545" s="413"/>
      <c r="K545" s="413"/>
      <c r="L545" s="413"/>
      <c r="M545" s="413"/>
      <c r="N545" s="413"/>
      <c r="O545" s="413"/>
      <c r="P545" s="413"/>
      <c r="Q545" s="413"/>
      <c r="R545" s="413"/>
      <c r="S545" s="413"/>
      <c r="T545" s="413"/>
      <c r="U545" s="413"/>
      <c r="V545" s="413"/>
      <c r="W545" s="413"/>
      <c r="X545" s="700">
        <v>1</v>
      </c>
      <c r="Y545" s="1309"/>
    </row>
    <row r="546" spans="1:25" hidden="1">
      <c r="A546" s="428" t="s">
        <v>6271</v>
      </c>
      <c r="B546" s="413" t="s">
        <v>201</v>
      </c>
      <c r="C546" s="715" t="s">
        <v>8814</v>
      </c>
      <c r="D546" s="715"/>
      <c r="E546" s="715"/>
      <c r="F546" s="715" t="s">
        <v>8824</v>
      </c>
      <c r="G546" s="715" t="s">
        <v>8852</v>
      </c>
      <c r="H546" s="413"/>
      <c r="I546" s="413"/>
      <c r="J546" s="413"/>
      <c r="K546" s="413"/>
      <c r="L546" s="413"/>
      <c r="M546" s="413"/>
      <c r="N546" s="413"/>
      <c r="O546" s="413"/>
      <c r="P546" s="413"/>
      <c r="Q546" s="413"/>
      <c r="R546" s="413"/>
      <c r="S546" s="413"/>
      <c r="T546" s="413"/>
      <c r="U546" s="413"/>
      <c r="V546" s="413"/>
      <c r="W546" s="413"/>
      <c r="X546" s="700">
        <v>1</v>
      </c>
      <c r="Y546" s="1309"/>
    </row>
    <row r="547" spans="1:25" hidden="1">
      <c r="A547" s="428" t="s">
        <v>6271</v>
      </c>
      <c r="B547" s="413" t="s">
        <v>201</v>
      </c>
      <c r="C547" s="715" t="s">
        <v>8853</v>
      </c>
      <c r="D547" s="715"/>
      <c r="E547" s="715"/>
      <c r="F547" s="715" t="s">
        <v>8824</v>
      </c>
      <c r="G547" s="715" t="s">
        <v>8854</v>
      </c>
      <c r="H547" s="413"/>
      <c r="I547" s="413"/>
      <c r="J547" s="413"/>
      <c r="K547" s="413"/>
      <c r="L547" s="413"/>
      <c r="M547" s="413"/>
      <c r="N547" s="413"/>
      <c r="O547" s="413"/>
      <c r="P547" s="413"/>
      <c r="Q547" s="413"/>
      <c r="R547" s="413"/>
      <c r="S547" s="413"/>
      <c r="T547" s="413"/>
      <c r="U547" s="413"/>
      <c r="V547" s="413"/>
      <c r="W547" s="413"/>
      <c r="X547" s="700">
        <v>1</v>
      </c>
      <c r="Y547" s="1309"/>
    </row>
    <row r="548" spans="1:25" hidden="1">
      <c r="A548" s="428" t="s">
        <v>6271</v>
      </c>
      <c r="B548" s="413" t="s">
        <v>201</v>
      </c>
      <c r="C548" s="715" t="s">
        <v>8833</v>
      </c>
      <c r="D548" s="715"/>
      <c r="E548" s="715"/>
      <c r="F548" s="715" t="s">
        <v>8824</v>
      </c>
      <c r="G548" s="715" t="s">
        <v>8855</v>
      </c>
      <c r="H548" s="413"/>
      <c r="I548" s="413"/>
      <c r="J548" s="413"/>
      <c r="K548" s="413"/>
      <c r="L548" s="413"/>
      <c r="M548" s="413"/>
      <c r="N548" s="413"/>
      <c r="O548" s="413"/>
      <c r="P548" s="413"/>
      <c r="Q548" s="413"/>
      <c r="R548" s="413"/>
      <c r="S548" s="413"/>
      <c r="T548" s="413"/>
      <c r="U548" s="413"/>
      <c r="V548" s="413"/>
      <c r="W548" s="413"/>
      <c r="X548" s="700">
        <v>1</v>
      </c>
      <c r="Y548" s="1309"/>
    </row>
    <row r="549" spans="1:25" hidden="1">
      <c r="A549" s="428" t="s">
        <v>6271</v>
      </c>
      <c r="B549" s="413" t="s">
        <v>201</v>
      </c>
      <c r="C549" s="715" t="s">
        <v>8833</v>
      </c>
      <c r="D549" s="715"/>
      <c r="E549" s="715"/>
      <c r="F549" s="715" t="s">
        <v>8824</v>
      </c>
      <c r="G549" s="715" t="s">
        <v>8856</v>
      </c>
      <c r="H549" s="413"/>
      <c r="I549" s="413"/>
      <c r="J549" s="413"/>
      <c r="K549" s="413"/>
      <c r="L549" s="413"/>
      <c r="M549" s="413"/>
      <c r="N549" s="413"/>
      <c r="O549" s="413"/>
      <c r="P549" s="413"/>
      <c r="Q549" s="413"/>
      <c r="R549" s="413"/>
      <c r="S549" s="413"/>
      <c r="T549" s="413"/>
      <c r="U549" s="413"/>
      <c r="V549" s="413"/>
      <c r="W549" s="413"/>
      <c r="X549" s="700">
        <v>1</v>
      </c>
      <c r="Y549" s="1309"/>
    </row>
    <row r="550" spans="1:25" hidden="1">
      <c r="A550" s="428" t="s">
        <v>6271</v>
      </c>
      <c r="B550" s="413" t="s">
        <v>201</v>
      </c>
      <c r="C550" s="715" t="s">
        <v>8819</v>
      </c>
      <c r="D550" s="715"/>
      <c r="E550" s="715"/>
      <c r="F550" s="715" t="s">
        <v>8824</v>
      </c>
      <c r="G550" s="715" t="s">
        <v>8857</v>
      </c>
      <c r="H550" s="413"/>
      <c r="I550" s="413"/>
      <c r="J550" s="413"/>
      <c r="K550" s="413"/>
      <c r="L550" s="413"/>
      <c r="M550" s="413"/>
      <c r="N550" s="413"/>
      <c r="O550" s="413"/>
      <c r="P550" s="413"/>
      <c r="Q550" s="413"/>
      <c r="R550" s="413"/>
      <c r="S550" s="413"/>
      <c r="T550" s="413"/>
      <c r="U550" s="413"/>
      <c r="V550" s="413"/>
      <c r="W550" s="413"/>
      <c r="X550" s="700">
        <v>1</v>
      </c>
      <c r="Y550" s="1309"/>
    </row>
    <row r="551" spans="1:25" hidden="1">
      <c r="A551" s="428" t="s">
        <v>6271</v>
      </c>
      <c r="B551" s="413" t="s">
        <v>201</v>
      </c>
      <c r="C551" s="715" t="s">
        <v>8833</v>
      </c>
      <c r="D551" s="715"/>
      <c r="E551" s="715"/>
      <c r="F551" s="715" t="s">
        <v>8824</v>
      </c>
      <c r="G551" s="715" t="s">
        <v>8858</v>
      </c>
      <c r="H551" s="413"/>
      <c r="I551" s="413"/>
      <c r="J551" s="413"/>
      <c r="K551" s="413"/>
      <c r="L551" s="413"/>
      <c r="M551" s="413"/>
      <c r="N551" s="413"/>
      <c r="O551" s="413"/>
      <c r="P551" s="413"/>
      <c r="Q551" s="413"/>
      <c r="R551" s="413"/>
      <c r="S551" s="413"/>
      <c r="T551" s="413"/>
      <c r="U551" s="413"/>
      <c r="V551" s="413"/>
      <c r="W551" s="413"/>
      <c r="X551" s="700">
        <v>1</v>
      </c>
      <c r="Y551" s="1309"/>
    </row>
    <row r="552" spans="1:25" hidden="1">
      <c r="A552" s="428" t="s">
        <v>6271</v>
      </c>
      <c r="B552" s="413" t="s">
        <v>201</v>
      </c>
      <c r="C552" s="715" t="s">
        <v>8821</v>
      </c>
      <c r="D552" s="715"/>
      <c r="E552" s="715"/>
      <c r="F552" s="715" t="s">
        <v>8824</v>
      </c>
      <c r="G552" s="715" t="s">
        <v>8859</v>
      </c>
      <c r="H552" s="413"/>
      <c r="I552" s="413"/>
      <c r="J552" s="413"/>
      <c r="K552" s="413"/>
      <c r="L552" s="413"/>
      <c r="M552" s="413"/>
      <c r="N552" s="413"/>
      <c r="O552" s="413"/>
      <c r="P552" s="413"/>
      <c r="Q552" s="413"/>
      <c r="R552" s="413"/>
      <c r="S552" s="413"/>
      <c r="T552" s="413"/>
      <c r="U552" s="413"/>
      <c r="V552" s="413"/>
      <c r="W552" s="413"/>
      <c r="X552" s="700">
        <v>1</v>
      </c>
      <c r="Y552" s="1309"/>
    </row>
    <row r="553" spans="1:25" hidden="1">
      <c r="A553" s="430" t="s">
        <v>6271</v>
      </c>
      <c r="B553" s="425" t="s">
        <v>201</v>
      </c>
      <c r="C553" s="716" t="s">
        <v>8822</v>
      </c>
      <c r="D553" s="716"/>
      <c r="E553" s="716"/>
      <c r="F553" s="716" t="s">
        <v>8824</v>
      </c>
      <c r="G553" s="716" t="s">
        <v>8860</v>
      </c>
      <c r="H553" s="425"/>
      <c r="I553" s="425"/>
      <c r="J553" s="425"/>
      <c r="K553" s="425"/>
      <c r="L553" s="425"/>
      <c r="M553" s="425"/>
      <c r="N553" s="425"/>
      <c r="O553" s="425"/>
      <c r="P553" s="425"/>
      <c r="Q553" s="425"/>
      <c r="R553" s="425"/>
      <c r="S553" s="425"/>
      <c r="T553" s="425"/>
      <c r="U553" s="425"/>
      <c r="V553" s="425"/>
      <c r="W553" s="425"/>
      <c r="X553" s="425">
        <v>1</v>
      </c>
      <c r="Y553" s="1309"/>
    </row>
    <row r="554" spans="1:25" hidden="1">
      <c r="A554" s="526" t="s">
        <v>6268</v>
      </c>
      <c r="B554" s="414" t="s">
        <v>173</v>
      </c>
      <c r="C554" s="658" t="s">
        <v>8861</v>
      </c>
      <c r="D554" s="414" t="s">
        <v>8862</v>
      </c>
      <c r="E554" s="658" t="s">
        <v>8863</v>
      </c>
      <c r="F554" s="414"/>
      <c r="G554" s="414"/>
      <c r="H554" s="414"/>
      <c r="I554" s="414"/>
      <c r="J554" s="414"/>
      <c r="K554" s="414"/>
      <c r="L554" s="414"/>
      <c r="M554" s="414"/>
      <c r="N554" s="414"/>
      <c r="O554" s="414"/>
      <c r="P554" s="414"/>
      <c r="Q554" s="414"/>
      <c r="R554" s="414"/>
      <c r="S554" s="414"/>
      <c r="T554" s="414"/>
      <c r="U554" s="414"/>
      <c r="V554" s="414"/>
      <c r="W554" s="414"/>
      <c r="X554" s="414">
        <v>1</v>
      </c>
      <c r="Y554" s="1306"/>
    </row>
    <row r="555" spans="1:25" hidden="1">
      <c r="A555" s="430" t="s">
        <v>6268</v>
      </c>
      <c r="B555" s="425" t="s">
        <v>173</v>
      </c>
      <c r="C555" s="425" t="s">
        <v>8864</v>
      </c>
      <c r="D555" s="425" t="s">
        <v>8862</v>
      </c>
      <c r="E555" s="425" t="s">
        <v>8865</v>
      </c>
      <c r="F555" s="425"/>
      <c r="G555" s="425"/>
      <c r="H555" s="425"/>
      <c r="I555" s="425"/>
      <c r="J555" s="425"/>
      <c r="K555" s="425"/>
      <c r="L555" s="425"/>
      <c r="M555" s="425"/>
      <c r="N555" s="425"/>
      <c r="O555" s="425"/>
      <c r="P555" s="425"/>
      <c r="Q555" s="425"/>
      <c r="R555" s="425"/>
      <c r="S555" s="425"/>
      <c r="T555" s="425"/>
      <c r="U555" s="425"/>
      <c r="V555" s="425"/>
      <c r="W555" s="425"/>
      <c r="X555" s="425">
        <v>1</v>
      </c>
      <c r="Y555" s="1307"/>
    </row>
    <row r="556" spans="1:25" s="316" customFormat="1" ht="101.5">
      <c r="A556" s="722" t="s">
        <v>6268</v>
      </c>
      <c r="B556" s="723" t="s">
        <v>145</v>
      </c>
      <c r="C556" s="734" t="s">
        <v>8866</v>
      </c>
      <c r="D556" s="724" t="s">
        <v>8867</v>
      </c>
      <c r="E556" s="723" t="s">
        <v>8868</v>
      </c>
      <c r="F556" s="723" t="s">
        <v>2221</v>
      </c>
      <c r="G556" s="723" t="s">
        <v>2221</v>
      </c>
      <c r="H556" s="725"/>
      <c r="I556" s="725"/>
      <c r="J556" s="725"/>
      <c r="K556" s="725"/>
      <c r="L556" s="725"/>
      <c r="M556" s="725"/>
      <c r="N556" s="725"/>
      <c r="O556" s="725"/>
      <c r="P556" s="725"/>
      <c r="Q556" s="725"/>
      <c r="R556" s="725"/>
      <c r="S556" s="725"/>
      <c r="T556" s="725"/>
      <c r="U556" s="725"/>
      <c r="V556" s="725"/>
      <c r="W556" s="725"/>
      <c r="X556" s="725">
        <v>1</v>
      </c>
      <c r="Y556" s="726"/>
    </row>
    <row r="557" spans="1:25" s="316" customFormat="1" ht="29">
      <c r="A557" s="727" t="s">
        <v>6268</v>
      </c>
      <c r="B557" s="719" t="s">
        <v>145</v>
      </c>
      <c r="C557" s="733" t="s">
        <v>8869</v>
      </c>
      <c r="D557" s="720" t="s">
        <v>8867</v>
      </c>
      <c r="E557" s="719" t="s">
        <v>8870</v>
      </c>
      <c r="F557" s="719" t="s">
        <v>2221</v>
      </c>
      <c r="G557" s="719" t="s">
        <v>2221</v>
      </c>
      <c r="H557" s="721"/>
      <c r="I557" s="721"/>
      <c r="J557" s="721"/>
      <c r="K557" s="721"/>
      <c r="L557" s="721"/>
      <c r="M557" s="721"/>
      <c r="N557" s="721"/>
      <c r="O557" s="721"/>
      <c r="P557" s="721"/>
      <c r="Q557" s="721"/>
      <c r="R557" s="721"/>
      <c r="S557" s="721"/>
      <c r="T557" s="721"/>
      <c r="U557" s="721"/>
      <c r="V557" s="721"/>
      <c r="W557" s="721"/>
      <c r="X557" s="721">
        <v>1</v>
      </c>
      <c r="Y557" s="728"/>
    </row>
    <row r="558" spans="1:25" s="316" customFormat="1" ht="51.75" customHeight="1">
      <c r="A558" s="727" t="s">
        <v>6268</v>
      </c>
      <c r="B558" s="719" t="s">
        <v>145</v>
      </c>
      <c r="C558" s="733" t="s">
        <v>8869</v>
      </c>
      <c r="D558" s="720" t="s">
        <v>8867</v>
      </c>
      <c r="E558" s="719" t="s">
        <v>8871</v>
      </c>
      <c r="F558" s="719" t="s">
        <v>8872</v>
      </c>
      <c r="G558" s="719" t="s">
        <v>8873</v>
      </c>
      <c r="H558" s="721"/>
      <c r="I558" s="721"/>
      <c r="J558" s="721"/>
      <c r="K558" s="721"/>
      <c r="L558" s="721"/>
      <c r="M558" s="721"/>
      <c r="N558" s="721"/>
      <c r="O558" s="721"/>
      <c r="P558" s="721"/>
      <c r="Q558" s="721"/>
      <c r="R558" s="721"/>
      <c r="S558" s="721"/>
      <c r="T558" s="721"/>
      <c r="U558" s="721"/>
      <c r="V558" s="721"/>
      <c r="W558" s="721"/>
      <c r="X558" s="721">
        <v>1</v>
      </c>
      <c r="Y558" s="728"/>
    </row>
    <row r="559" spans="1:25" s="316" customFormat="1" ht="57" customHeight="1">
      <c r="A559" s="727" t="s">
        <v>6268</v>
      </c>
      <c r="B559" s="719" t="s">
        <v>145</v>
      </c>
      <c r="C559" s="733" t="s">
        <v>8874</v>
      </c>
      <c r="D559" s="720" t="s">
        <v>8867</v>
      </c>
      <c r="E559" s="719" t="s">
        <v>8871</v>
      </c>
      <c r="F559" s="719" t="s">
        <v>8872</v>
      </c>
      <c r="G559" s="719" t="s">
        <v>8875</v>
      </c>
      <c r="H559" s="721"/>
      <c r="I559" s="721"/>
      <c r="J559" s="721"/>
      <c r="K559" s="721"/>
      <c r="L559" s="721"/>
      <c r="M559" s="721"/>
      <c r="N559" s="721"/>
      <c r="O559" s="721"/>
      <c r="P559" s="721"/>
      <c r="Q559" s="721"/>
      <c r="R559" s="721"/>
      <c r="S559" s="721"/>
      <c r="T559" s="721"/>
      <c r="U559" s="721"/>
      <c r="V559" s="721"/>
      <c r="W559" s="721"/>
      <c r="X559" s="721">
        <v>1</v>
      </c>
      <c r="Y559" s="728"/>
    </row>
    <row r="560" spans="1:25" s="316" customFormat="1">
      <c r="A560" s="729" t="s">
        <v>6268</v>
      </c>
      <c r="B560" s="730" t="s">
        <v>145</v>
      </c>
      <c r="C560" s="735" t="s">
        <v>8869</v>
      </c>
      <c r="D560" s="730" t="s">
        <v>8876</v>
      </c>
      <c r="E560" s="730" t="s">
        <v>8877</v>
      </c>
      <c r="F560" s="730" t="s">
        <v>2221</v>
      </c>
      <c r="G560" s="730" t="s">
        <v>2221</v>
      </c>
      <c r="H560" s="731"/>
      <c r="I560" s="731"/>
      <c r="J560" s="731"/>
      <c r="K560" s="731"/>
      <c r="L560" s="731"/>
      <c r="M560" s="731"/>
      <c r="N560" s="731"/>
      <c r="O560" s="731"/>
      <c r="P560" s="731"/>
      <c r="Q560" s="731"/>
      <c r="R560" s="731"/>
      <c r="S560" s="731"/>
      <c r="T560" s="731"/>
      <c r="U560" s="731"/>
      <c r="V560" s="731"/>
      <c r="W560" s="731"/>
      <c r="X560" s="731">
        <v>1</v>
      </c>
      <c r="Y560" s="732"/>
    </row>
    <row r="561" s="316" customFormat="1"/>
    <row r="562" s="316" customFormat="1"/>
  </sheetData>
  <autoFilter ref="A1:Y560">
    <filterColumn colId="1">
      <filters>
        <filter val="INTEREST_RATE_FLOOR"/>
      </filters>
    </filterColumn>
  </autoFilter>
  <mergeCells count="15">
    <mergeCell ref="Y2:Y128"/>
    <mergeCell ref="Y129:Y133"/>
    <mergeCell ref="Y134:Y174"/>
    <mergeCell ref="Y175:Y178"/>
    <mergeCell ref="Y179:Y194"/>
    <mergeCell ref="Y554:Y555"/>
    <mergeCell ref="Y521:Y553"/>
    <mergeCell ref="Y199:Y463"/>
    <mergeCell ref="Y476:Y478"/>
    <mergeCell ref="Y195:Y198"/>
    <mergeCell ref="Y503:Y520"/>
    <mergeCell ref="Y485:Y502"/>
    <mergeCell ref="Y479:Y481"/>
    <mergeCell ref="Y482:Y484"/>
    <mergeCell ref="Y464:Y475"/>
  </mergeCells>
  <pageMargins left="0.7" right="0.7" top="0.75" bottom="0.75" header="0.3" footer="0.3"/>
  <pageSetup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20"/>
  <sheetViews>
    <sheetView workbookViewId="0">
      <pane ySplit="2" topLeftCell="A924" activePane="bottomLeft" state="frozen"/>
      <selection pane="bottomLeft" activeCell="G924" sqref="G924"/>
    </sheetView>
  </sheetViews>
  <sheetFormatPr defaultRowHeight="14.5"/>
  <cols>
    <col min="1" max="1" width="13.453125" customWidth="1"/>
    <col min="2" max="2" width="16.453125" customWidth="1"/>
    <col min="3" max="3" width="19.453125" bestFit="1" customWidth="1"/>
    <col min="4" max="4" width="23.453125" bestFit="1" customWidth="1"/>
    <col min="5" max="5" width="16.1796875" style="56" bestFit="1" customWidth="1"/>
    <col min="6" max="6" width="30.1796875" style="484" bestFit="1" customWidth="1"/>
    <col min="7" max="8" width="45.453125" style="488" bestFit="1" customWidth="1"/>
    <col min="9" max="9" width="25.1796875" customWidth="1"/>
    <col min="10" max="10" width="46.1796875" style="488" customWidth="1"/>
    <col min="11" max="11" width="19.453125" style="316" customWidth="1"/>
  </cols>
  <sheetData>
    <row r="1" spans="1:11">
      <c r="A1" s="1301" t="s">
        <v>8340</v>
      </c>
      <c r="B1" s="1302"/>
      <c r="C1" s="1303" t="s">
        <v>6256</v>
      </c>
      <c r="D1" s="1304"/>
      <c r="E1" s="1305"/>
      <c r="F1" s="1349" t="s">
        <v>6257</v>
      </c>
      <c r="G1" s="1350"/>
      <c r="H1" s="1351"/>
      <c r="I1" s="1352" t="s">
        <v>6258</v>
      </c>
      <c r="J1" s="1353"/>
      <c r="K1" s="1354"/>
    </row>
    <row r="2" spans="1:11">
      <c r="A2" s="650" t="s">
        <v>8341</v>
      </c>
      <c r="B2" s="651" t="s">
        <v>8878</v>
      </c>
      <c r="C2" s="596" t="s">
        <v>6259</v>
      </c>
      <c r="D2" s="614" t="s">
        <v>6260</v>
      </c>
      <c r="E2" s="614" t="s">
        <v>6261</v>
      </c>
      <c r="F2" s="615" t="s">
        <v>6262</v>
      </c>
      <c r="G2" s="616" t="s">
        <v>6263</v>
      </c>
      <c r="H2" s="617" t="s">
        <v>6264</v>
      </c>
      <c r="I2" s="618" t="s">
        <v>6265</v>
      </c>
      <c r="J2" s="612" t="s">
        <v>6266</v>
      </c>
      <c r="K2" s="613" t="s">
        <v>6267</v>
      </c>
    </row>
    <row r="3" spans="1:11" ht="15" customHeight="1">
      <c r="A3" s="510" t="s">
        <v>8879</v>
      </c>
      <c r="B3" s="641" t="s">
        <v>31</v>
      </c>
      <c r="C3" s="646" t="s">
        <v>6268</v>
      </c>
      <c r="D3" s="600" t="s">
        <v>88</v>
      </c>
      <c r="E3" s="512">
        <v>1</v>
      </c>
      <c r="F3" s="599">
        <v>2</v>
      </c>
      <c r="G3" s="600" t="s">
        <v>2669</v>
      </c>
      <c r="H3" s="609" t="s">
        <v>2670</v>
      </c>
      <c r="I3" s="610" t="s">
        <v>2221</v>
      </c>
      <c r="J3" s="1245" t="s">
        <v>6269</v>
      </c>
      <c r="K3" s="1346" t="s">
        <v>5</v>
      </c>
    </row>
    <row r="4" spans="1:11">
      <c r="A4" s="428" t="s">
        <v>8879</v>
      </c>
      <c r="B4" s="570" t="s">
        <v>31</v>
      </c>
      <c r="C4" s="631" t="s">
        <v>6268</v>
      </c>
      <c r="D4" s="424" t="s">
        <v>88</v>
      </c>
      <c r="E4" s="384">
        <v>1</v>
      </c>
      <c r="F4" s="491">
        <v>3</v>
      </c>
      <c r="G4" s="424" t="s">
        <v>2672</v>
      </c>
      <c r="H4" s="602" t="s">
        <v>2673</v>
      </c>
      <c r="I4" s="604" t="s">
        <v>2221</v>
      </c>
      <c r="J4" s="1246"/>
      <c r="K4" s="1347"/>
    </row>
    <row r="5" spans="1:11">
      <c r="A5" s="428" t="s">
        <v>8879</v>
      </c>
      <c r="B5" s="570" t="s">
        <v>31</v>
      </c>
      <c r="C5" s="631" t="s">
        <v>6268</v>
      </c>
      <c r="D5" s="424" t="s">
        <v>88</v>
      </c>
      <c r="E5" s="384">
        <v>1</v>
      </c>
      <c r="F5" s="491">
        <v>4</v>
      </c>
      <c r="G5" s="424" t="s">
        <v>2675</v>
      </c>
      <c r="H5" s="602" t="s">
        <v>2676</v>
      </c>
      <c r="I5" s="604" t="s">
        <v>2221</v>
      </c>
      <c r="J5" s="1246"/>
      <c r="K5" s="1347"/>
    </row>
    <row r="6" spans="1:11">
      <c r="A6" s="428" t="s">
        <v>8879</v>
      </c>
      <c r="B6" s="570" t="s">
        <v>31</v>
      </c>
      <c r="C6" s="631" t="s">
        <v>6268</v>
      </c>
      <c r="D6" s="424" t="s">
        <v>88</v>
      </c>
      <c r="E6" s="384">
        <v>1</v>
      </c>
      <c r="F6" s="491">
        <v>5</v>
      </c>
      <c r="G6" s="424" t="s">
        <v>2677</v>
      </c>
      <c r="H6" s="602" t="s">
        <v>2678</v>
      </c>
      <c r="I6" s="604" t="s">
        <v>2221</v>
      </c>
      <c r="J6" s="1246"/>
      <c r="K6" s="1347"/>
    </row>
    <row r="7" spans="1:11">
      <c r="A7" s="428" t="s">
        <v>8879</v>
      </c>
      <c r="B7" s="570" t="s">
        <v>31</v>
      </c>
      <c r="C7" s="631" t="s">
        <v>6268</v>
      </c>
      <c r="D7" s="424" t="s">
        <v>88</v>
      </c>
      <c r="E7" s="384">
        <v>1</v>
      </c>
      <c r="F7" s="491">
        <v>6</v>
      </c>
      <c r="G7" s="424" t="s">
        <v>2680</v>
      </c>
      <c r="H7" s="602" t="s">
        <v>2681</v>
      </c>
      <c r="I7" s="604" t="s">
        <v>2221</v>
      </c>
      <c r="J7" s="1246"/>
      <c r="K7" s="1347"/>
    </row>
    <row r="8" spans="1:11">
      <c r="A8" s="428" t="s">
        <v>8879</v>
      </c>
      <c r="B8" s="570" t="s">
        <v>31</v>
      </c>
      <c r="C8" s="631" t="s">
        <v>6268</v>
      </c>
      <c r="D8" s="424" t="s">
        <v>88</v>
      </c>
      <c r="E8" s="384">
        <v>1</v>
      </c>
      <c r="F8" s="491">
        <v>7</v>
      </c>
      <c r="G8" s="424" t="s">
        <v>2682</v>
      </c>
      <c r="H8" s="602" t="s">
        <v>2683</v>
      </c>
      <c r="I8" s="604" t="s">
        <v>2221</v>
      </c>
      <c r="J8" s="1246"/>
      <c r="K8" s="1347"/>
    </row>
    <row r="9" spans="1:11">
      <c r="A9" s="428" t="s">
        <v>8879</v>
      </c>
      <c r="B9" s="570" t="s">
        <v>31</v>
      </c>
      <c r="C9" s="631" t="s">
        <v>6268</v>
      </c>
      <c r="D9" s="424" t="s">
        <v>88</v>
      </c>
      <c r="E9" s="384">
        <v>1</v>
      </c>
      <c r="F9" s="491">
        <v>8</v>
      </c>
      <c r="G9" s="424" t="s">
        <v>2685</v>
      </c>
      <c r="H9" s="602" t="s">
        <v>2686</v>
      </c>
      <c r="I9" s="604" t="s">
        <v>2221</v>
      </c>
      <c r="J9" s="1246"/>
      <c r="K9" s="1347"/>
    </row>
    <row r="10" spans="1:11">
      <c r="A10" s="428" t="s">
        <v>8879</v>
      </c>
      <c r="B10" s="570" t="s">
        <v>31</v>
      </c>
      <c r="C10" s="631" t="s">
        <v>6268</v>
      </c>
      <c r="D10" s="424" t="s">
        <v>88</v>
      </c>
      <c r="E10" s="384">
        <v>1</v>
      </c>
      <c r="F10" s="491">
        <v>9</v>
      </c>
      <c r="G10" s="424" t="s">
        <v>2687</v>
      </c>
      <c r="H10" s="602" t="s">
        <v>2688</v>
      </c>
      <c r="I10" s="604" t="s">
        <v>2221</v>
      </c>
      <c r="J10" s="1246"/>
      <c r="K10" s="1347"/>
    </row>
    <row r="11" spans="1:11">
      <c r="A11" s="428" t="s">
        <v>8879</v>
      </c>
      <c r="B11" s="570" t="s">
        <v>31</v>
      </c>
      <c r="C11" s="631" t="s">
        <v>6268</v>
      </c>
      <c r="D11" s="424" t="s">
        <v>88</v>
      </c>
      <c r="E11" s="384">
        <v>1</v>
      </c>
      <c r="F11" s="491">
        <v>10</v>
      </c>
      <c r="G11" s="424" t="s">
        <v>2689</v>
      </c>
      <c r="H11" s="602" t="s">
        <v>2690</v>
      </c>
      <c r="I11" s="604" t="s">
        <v>2221</v>
      </c>
      <c r="J11" s="1246"/>
      <c r="K11" s="1347"/>
    </row>
    <row r="12" spans="1:11">
      <c r="A12" s="428" t="s">
        <v>8879</v>
      </c>
      <c r="B12" s="570" t="s">
        <v>31</v>
      </c>
      <c r="C12" s="631" t="s">
        <v>6268</v>
      </c>
      <c r="D12" s="424" t="s">
        <v>88</v>
      </c>
      <c r="E12" s="384">
        <v>1</v>
      </c>
      <c r="F12" s="491">
        <v>12</v>
      </c>
      <c r="G12" s="424" t="s">
        <v>2691</v>
      </c>
      <c r="H12" s="602" t="s">
        <v>2692</v>
      </c>
      <c r="I12" s="604" t="s">
        <v>2221</v>
      </c>
      <c r="J12" s="1246"/>
      <c r="K12" s="1347"/>
    </row>
    <row r="13" spans="1:11">
      <c r="A13" s="428" t="s">
        <v>8879</v>
      </c>
      <c r="B13" s="570" t="s">
        <v>31</v>
      </c>
      <c r="C13" s="631" t="s">
        <v>6268</v>
      </c>
      <c r="D13" s="424" t="s">
        <v>88</v>
      </c>
      <c r="E13" s="384">
        <v>1</v>
      </c>
      <c r="F13" s="491">
        <v>13</v>
      </c>
      <c r="G13" s="486" t="s">
        <v>2712</v>
      </c>
      <c r="H13" s="602" t="s">
        <v>2694</v>
      </c>
      <c r="I13" s="604" t="s">
        <v>2695</v>
      </c>
      <c r="J13" s="1246"/>
      <c r="K13" s="1347"/>
    </row>
    <row r="14" spans="1:11">
      <c r="A14" s="428" t="s">
        <v>8879</v>
      </c>
      <c r="B14" s="570" t="s">
        <v>31</v>
      </c>
      <c r="C14" s="631" t="s">
        <v>6268</v>
      </c>
      <c r="D14" s="424" t="s">
        <v>88</v>
      </c>
      <c r="E14" s="384">
        <v>1</v>
      </c>
      <c r="F14" s="491">
        <v>14</v>
      </c>
      <c r="G14" s="424" t="s">
        <v>2697</v>
      </c>
      <c r="H14" s="602" t="s">
        <v>2698</v>
      </c>
      <c r="I14" s="604" t="s">
        <v>2221</v>
      </c>
      <c r="J14" s="1246"/>
      <c r="K14" s="1347"/>
    </row>
    <row r="15" spans="1:11">
      <c r="A15" s="428" t="s">
        <v>8879</v>
      </c>
      <c r="B15" s="570" t="s">
        <v>31</v>
      </c>
      <c r="C15" s="631" t="s">
        <v>6268</v>
      </c>
      <c r="D15" s="424" t="s">
        <v>88</v>
      </c>
      <c r="E15" s="384">
        <v>1</v>
      </c>
      <c r="F15" s="491">
        <v>15</v>
      </c>
      <c r="G15" s="424" t="s">
        <v>2700</v>
      </c>
      <c r="H15" s="602" t="s">
        <v>2701</v>
      </c>
      <c r="I15" s="604" t="s">
        <v>2221</v>
      </c>
      <c r="J15" s="1246"/>
      <c r="K15" s="1347"/>
    </row>
    <row r="16" spans="1:11">
      <c r="A16" s="428" t="s">
        <v>8879</v>
      </c>
      <c r="B16" s="570" t="s">
        <v>31</v>
      </c>
      <c r="C16" s="631" t="s">
        <v>6268</v>
      </c>
      <c r="D16" s="424" t="s">
        <v>88</v>
      </c>
      <c r="E16" s="384">
        <v>1</v>
      </c>
      <c r="F16" s="491">
        <v>41</v>
      </c>
      <c r="G16" s="424" t="s">
        <v>2703</v>
      </c>
      <c r="H16" s="602" t="s">
        <v>2704</v>
      </c>
      <c r="I16" s="604" t="s">
        <v>2221</v>
      </c>
      <c r="J16" s="1246"/>
      <c r="K16" s="1347"/>
    </row>
    <row r="17" spans="1:11">
      <c r="A17" s="428" t="s">
        <v>8879</v>
      </c>
      <c r="B17" s="570" t="s">
        <v>31</v>
      </c>
      <c r="C17" s="631" t="s">
        <v>6268</v>
      </c>
      <c r="D17" s="424" t="s">
        <v>88</v>
      </c>
      <c r="E17" s="384">
        <v>1</v>
      </c>
      <c r="F17" s="491">
        <v>45</v>
      </c>
      <c r="G17" s="424" t="s">
        <v>2705</v>
      </c>
      <c r="H17" s="602" t="s">
        <v>2706</v>
      </c>
      <c r="I17" s="604" t="s">
        <v>2221</v>
      </c>
      <c r="J17" s="1246"/>
      <c r="K17" s="1347"/>
    </row>
    <row r="18" spans="1:11">
      <c r="A18" s="428" t="s">
        <v>8879</v>
      </c>
      <c r="B18" s="570" t="s">
        <v>31</v>
      </c>
      <c r="C18" s="631" t="s">
        <v>6268</v>
      </c>
      <c r="D18" s="424" t="s">
        <v>88</v>
      </c>
      <c r="E18" s="384">
        <v>1</v>
      </c>
      <c r="F18" s="491">
        <v>46</v>
      </c>
      <c r="G18" s="424" t="s">
        <v>2707</v>
      </c>
      <c r="H18" s="602" t="s">
        <v>2708</v>
      </c>
      <c r="I18" s="604" t="s">
        <v>2221</v>
      </c>
      <c r="J18" s="1246"/>
      <c r="K18" s="1347"/>
    </row>
    <row r="19" spans="1:11">
      <c r="A19" s="428" t="s">
        <v>8879</v>
      </c>
      <c r="B19" s="570" t="s">
        <v>31</v>
      </c>
      <c r="C19" s="631" t="s">
        <v>6268</v>
      </c>
      <c r="D19" s="424" t="s">
        <v>88</v>
      </c>
      <c r="E19" s="384">
        <v>1</v>
      </c>
      <c r="F19" s="491">
        <v>47</v>
      </c>
      <c r="G19" s="424" t="s">
        <v>2709</v>
      </c>
      <c r="H19" s="602" t="s">
        <v>2710</v>
      </c>
      <c r="I19" s="604" t="s">
        <v>2221</v>
      </c>
      <c r="J19" s="1246"/>
      <c r="K19" s="1347"/>
    </row>
    <row r="20" spans="1:11">
      <c r="A20" s="428" t="s">
        <v>8879</v>
      </c>
      <c r="B20" s="570" t="s">
        <v>31</v>
      </c>
      <c r="C20" s="631" t="s">
        <v>6268</v>
      </c>
      <c r="D20" s="424" t="s">
        <v>88</v>
      </c>
      <c r="E20" s="384">
        <v>1</v>
      </c>
      <c r="F20" s="491">
        <v>48</v>
      </c>
      <c r="G20" s="424" t="s">
        <v>422</v>
      </c>
      <c r="H20" s="602" t="s">
        <v>2711</v>
      </c>
      <c r="I20" s="604" t="s">
        <v>2695</v>
      </c>
      <c r="J20" s="1246"/>
      <c r="K20" s="1347"/>
    </row>
    <row r="21" spans="1:11">
      <c r="A21" s="429" t="s">
        <v>8879</v>
      </c>
      <c r="B21" s="640" t="s">
        <v>31</v>
      </c>
      <c r="C21" s="628" t="s">
        <v>6268</v>
      </c>
      <c r="D21" s="598" t="s">
        <v>88</v>
      </c>
      <c r="E21" s="494">
        <v>1</v>
      </c>
      <c r="F21" s="507">
        <v>11111111111</v>
      </c>
      <c r="G21" s="508" t="s">
        <v>422</v>
      </c>
      <c r="H21" s="595" t="s">
        <v>2714</v>
      </c>
      <c r="I21" s="628"/>
      <c r="J21" s="1336"/>
      <c r="K21" s="1348"/>
    </row>
    <row r="22" spans="1:11">
      <c r="A22" s="510" t="s">
        <v>8879</v>
      </c>
      <c r="B22" s="641" t="s">
        <v>43</v>
      </c>
      <c r="C22" s="646" t="s">
        <v>6268</v>
      </c>
      <c r="D22" s="511" t="s">
        <v>88</v>
      </c>
      <c r="E22" s="512">
        <v>2</v>
      </c>
      <c r="F22" s="599">
        <v>2</v>
      </c>
      <c r="G22" s="600" t="s">
        <v>4369</v>
      </c>
      <c r="H22" s="609" t="s">
        <v>2670</v>
      </c>
      <c r="I22" s="611" t="s">
        <v>6215</v>
      </c>
      <c r="J22" s="1245" t="s">
        <v>6270</v>
      </c>
      <c r="K22" s="1346" t="s">
        <v>5</v>
      </c>
    </row>
    <row r="23" spans="1:11">
      <c r="A23" s="428" t="s">
        <v>8879</v>
      </c>
      <c r="B23" s="570" t="s">
        <v>43</v>
      </c>
      <c r="C23" s="631" t="s">
        <v>6268</v>
      </c>
      <c r="D23" s="413" t="s">
        <v>88</v>
      </c>
      <c r="E23" s="384">
        <v>2</v>
      </c>
      <c r="F23" s="491">
        <v>3</v>
      </c>
      <c r="G23" s="424" t="s">
        <v>5057</v>
      </c>
      <c r="H23" s="602" t="s">
        <v>2673</v>
      </c>
      <c r="I23" s="607"/>
      <c r="J23" s="1246"/>
      <c r="K23" s="1347"/>
    </row>
    <row r="24" spans="1:11">
      <c r="A24" s="428" t="s">
        <v>8879</v>
      </c>
      <c r="B24" s="570" t="s">
        <v>43</v>
      </c>
      <c r="C24" s="631" t="s">
        <v>6268</v>
      </c>
      <c r="D24" s="413" t="s">
        <v>88</v>
      </c>
      <c r="E24" s="384">
        <v>2</v>
      </c>
      <c r="F24" s="491">
        <v>4</v>
      </c>
      <c r="G24" s="424" t="s">
        <v>4369</v>
      </c>
      <c r="H24" s="602" t="s">
        <v>2676</v>
      </c>
      <c r="I24" s="608" t="s">
        <v>6215</v>
      </c>
      <c r="J24" s="1246"/>
      <c r="K24" s="1347"/>
    </row>
    <row r="25" spans="1:11">
      <c r="A25" s="428" t="s">
        <v>8879</v>
      </c>
      <c r="B25" s="570" t="s">
        <v>43</v>
      </c>
      <c r="C25" s="631" t="s">
        <v>6268</v>
      </c>
      <c r="D25" s="413" t="s">
        <v>88</v>
      </c>
      <c r="E25" s="384">
        <v>2</v>
      </c>
      <c r="F25" s="491">
        <v>5</v>
      </c>
      <c r="G25" s="424" t="s">
        <v>5057</v>
      </c>
      <c r="H25" s="602" t="s">
        <v>2678</v>
      </c>
      <c r="I25" s="608" t="s">
        <v>6215</v>
      </c>
      <c r="J25" s="1246"/>
      <c r="K25" s="1347"/>
    </row>
    <row r="26" spans="1:11">
      <c r="A26" s="428" t="s">
        <v>8879</v>
      </c>
      <c r="B26" s="570" t="s">
        <v>43</v>
      </c>
      <c r="C26" s="631" t="s">
        <v>6268</v>
      </c>
      <c r="D26" s="413" t="s">
        <v>88</v>
      </c>
      <c r="E26" s="384">
        <v>2</v>
      </c>
      <c r="F26" s="491">
        <v>6</v>
      </c>
      <c r="G26" s="424" t="s">
        <v>4369</v>
      </c>
      <c r="H26" s="602" t="s">
        <v>2681</v>
      </c>
      <c r="I26" s="608" t="s">
        <v>6215</v>
      </c>
      <c r="J26" s="1246"/>
      <c r="K26" s="1347"/>
    </row>
    <row r="27" spans="1:11">
      <c r="A27" s="428" t="s">
        <v>8879</v>
      </c>
      <c r="B27" s="570" t="s">
        <v>43</v>
      </c>
      <c r="C27" s="631" t="s">
        <v>6268</v>
      </c>
      <c r="D27" s="413" t="s">
        <v>88</v>
      </c>
      <c r="E27" s="384">
        <v>2</v>
      </c>
      <c r="F27" s="491">
        <v>7</v>
      </c>
      <c r="G27" s="424" t="s">
        <v>5057</v>
      </c>
      <c r="H27" s="602" t="s">
        <v>2683</v>
      </c>
      <c r="I27" s="608" t="s">
        <v>6215</v>
      </c>
      <c r="J27" s="1246"/>
      <c r="K27" s="1347"/>
    </row>
    <row r="28" spans="1:11">
      <c r="A28" s="428" t="s">
        <v>8879</v>
      </c>
      <c r="B28" s="570" t="s">
        <v>43</v>
      </c>
      <c r="C28" s="631" t="s">
        <v>6268</v>
      </c>
      <c r="D28" s="413" t="s">
        <v>88</v>
      </c>
      <c r="E28" s="384">
        <v>2</v>
      </c>
      <c r="F28" s="491">
        <v>8</v>
      </c>
      <c r="G28" s="424" t="s">
        <v>4369</v>
      </c>
      <c r="H28" s="602" t="s">
        <v>2686</v>
      </c>
      <c r="I28" s="608" t="s">
        <v>6215</v>
      </c>
      <c r="J28" s="1246"/>
      <c r="K28" s="1347"/>
    </row>
    <row r="29" spans="1:11">
      <c r="A29" s="428" t="s">
        <v>8879</v>
      </c>
      <c r="B29" s="570" t="s">
        <v>43</v>
      </c>
      <c r="C29" s="631" t="s">
        <v>6268</v>
      </c>
      <c r="D29" s="413" t="s">
        <v>88</v>
      </c>
      <c r="E29" s="384">
        <v>2</v>
      </c>
      <c r="F29" s="491">
        <v>9</v>
      </c>
      <c r="G29" s="424" t="s">
        <v>5057</v>
      </c>
      <c r="H29" s="602" t="s">
        <v>2688</v>
      </c>
      <c r="I29" s="608" t="s">
        <v>6215</v>
      </c>
      <c r="J29" s="1246"/>
      <c r="K29" s="1347"/>
    </row>
    <row r="30" spans="1:11">
      <c r="A30" s="428" t="s">
        <v>8879</v>
      </c>
      <c r="B30" s="570" t="s">
        <v>43</v>
      </c>
      <c r="C30" s="631" t="s">
        <v>6268</v>
      </c>
      <c r="D30" s="413" t="s">
        <v>88</v>
      </c>
      <c r="E30" s="384">
        <v>2</v>
      </c>
      <c r="F30" s="491">
        <v>10</v>
      </c>
      <c r="G30" s="424" t="s">
        <v>5057</v>
      </c>
      <c r="H30" s="602" t="s">
        <v>2690</v>
      </c>
      <c r="I30" s="608" t="s">
        <v>6215</v>
      </c>
      <c r="J30" s="1246"/>
      <c r="K30" s="1347"/>
    </row>
    <row r="31" spans="1:11">
      <c r="A31" s="428" t="s">
        <v>8879</v>
      </c>
      <c r="B31" s="570" t="s">
        <v>43</v>
      </c>
      <c r="C31" s="631" t="s">
        <v>6268</v>
      </c>
      <c r="D31" s="413" t="s">
        <v>88</v>
      </c>
      <c r="E31" s="384">
        <v>2</v>
      </c>
      <c r="F31" s="491">
        <v>12</v>
      </c>
      <c r="G31" s="424" t="s">
        <v>5057</v>
      </c>
      <c r="H31" s="602" t="s">
        <v>2692</v>
      </c>
      <c r="I31" s="608" t="s">
        <v>6215</v>
      </c>
      <c r="J31" s="1246"/>
      <c r="K31" s="1347"/>
    </row>
    <row r="32" spans="1:11">
      <c r="A32" s="428" t="s">
        <v>8879</v>
      </c>
      <c r="B32" s="570" t="s">
        <v>43</v>
      </c>
      <c r="C32" s="631" t="s">
        <v>6268</v>
      </c>
      <c r="D32" s="413" t="s">
        <v>88</v>
      </c>
      <c r="E32" s="384">
        <v>2</v>
      </c>
      <c r="F32" s="491">
        <v>13</v>
      </c>
      <c r="G32" s="424" t="s">
        <v>5057</v>
      </c>
      <c r="H32" s="602" t="s">
        <v>2694</v>
      </c>
      <c r="I32" s="608" t="s">
        <v>6215</v>
      </c>
      <c r="J32" s="1246"/>
      <c r="K32" s="1347"/>
    </row>
    <row r="33" spans="1:11">
      <c r="A33" s="428" t="s">
        <v>8879</v>
      </c>
      <c r="B33" s="570" t="s">
        <v>43</v>
      </c>
      <c r="C33" s="631" t="s">
        <v>6268</v>
      </c>
      <c r="D33" s="413" t="s">
        <v>88</v>
      </c>
      <c r="E33" s="384">
        <v>2</v>
      </c>
      <c r="F33" s="491">
        <v>14</v>
      </c>
      <c r="G33" s="424" t="s">
        <v>4369</v>
      </c>
      <c r="H33" s="602" t="s">
        <v>2698</v>
      </c>
      <c r="I33" s="608" t="s">
        <v>6215</v>
      </c>
      <c r="J33" s="1246"/>
      <c r="K33" s="1347"/>
    </row>
    <row r="34" spans="1:11">
      <c r="A34" s="428" t="s">
        <v>8879</v>
      </c>
      <c r="B34" s="570" t="s">
        <v>43</v>
      </c>
      <c r="C34" s="631" t="s">
        <v>6268</v>
      </c>
      <c r="D34" s="413" t="s">
        <v>88</v>
      </c>
      <c r="E34" s="384">
        <v>2</v>
      </c>
      <c r="F34" s="491">
        <v>15</v>
      </c>
      <c r="G34" s="424" t="s">
        <v>5057</v>
      </c>
      <c r="H34" s="602" t="s">
        <v>2701</v>
      </c>
      <c r="I34" s="608" t="s">
        <v>6215</v>
      </c>
      <c r="J34" s="1246"/>
      <c r="K34" s="1347"/>
    </row>
    <row r="35" spans="1:11">
      <c r="A35" s="428" t="s">
        <v>8879</v>
      </c>
      <c r="B35" s="570" t="s">
        <v>43</v>
      </c>
      <c r="C35" s="631" t="s">
        <v>6268</v>
      </c>
      <c r="D35" s="413" t="s">
        <v>88</v>
      </c>
      <c r="E35" s="384">
        <v>2</v>
      </c>
      <c r="F35" s="491">
        <v>41</v>
      </c>
      <c r="G35" s="424" t="s">
        <v>4369</v>
      </c>
      <c r="H35" s="602" t="s">
        <v>2704</v>
      </c>
      <c r="I35" s="608" t="s">
        <v>6215</v>
      </c>
      <c r="J35" s="1246"/>
      <c r="K35" s="1347"/>
    </row>
    <row r="36" spans="1:11">
      <c r="A36" s="428" t="s">
        <v>8879</v>
      </c>
      <c r="B36" s="570" t="s">
        <v>43</v>
      </c>
      <c r="C36" s="631" t="s">
        <v>6268</v>
      </c>
      <c r="D36" s="413" t="s">
        <v>88</v>
      </c>
      <c r="E36" s="384">
        <v>2</v>
      </c>
      <c r="F36" s="491">
        <v>45</v>
      </c>
      <c r="G36" s="424" t="s">
        <v>5057</v>
      </c>
      <c r="H36" s="602" t="s">
        <v>2706</v>
      </c>
      <c r="I36" s="608" t="s">
        <v>6215</v>
      </c>
      <c r="J36" s="1246"/>
      <c r="K36" s="1347"/>
    </row>
    <row r="37" spans="1:11">
      <c r="A37" s="428" t="s">
        <v>8879</v>
      </c>
      <c r="B37" s="570" t="s">
        <v>43</v>
      </c>
      <c r="C37" s="631" t="s">
        <v>6268</v>
      </c>
      <c r="D37" s="413" t="s">
        <v>88</v>
      </c>
      <c r="E37" s="384">
        <v>2</v>
      </c>
      <c r="F37" s="491">
        <v>46</v>
      </c>
      <c r="G37" s="424" t="s">
        <v>5057</v>
      </c>
      <c r="H37" s="602" t="s">
        <v>2708</v>
      </c>
      <c r="I37" s="608" t="s">
        <v>6215</v>
      </c>
      <c r="J37" s="1246"/>
      <c r="K37" s="1347"/>
    </row>
    <row r="38" spans="1:11">
      <c r="A38" s="428" t="s">
        <v>8879</v>
      </c>
      <c r="B38" s="570" t="s">
        <v>43</v>
      </c>
      <c r="C38" s="631" t="s">
        <v>6268</v>
      </c>
      <c r="D38" s="413" t="s">
        <v>88</v>
      </c>
      <c r="E38" s="384">
        <v>2</v>
      </c>
      <c r="F38" s="491">
        <v>47</v>
      </c>
      <c r="G38" s="424" t="s">
        <v>5057</v>
      </c>
      <c r="H38" s="602" t="s">
        <v>2710</v>
      </c>
      <c r="I38" s="608" t="s">
        <v>6215</v>
      </c>
      <c r="J38" s="1246"/>
      <c r="K38" s="1347"/>
    </row>
    <row r="39" spans="1:11">
      <c r="A39" s="428" t="s">
        <v>8879</v>
      </c>
      <c r="B39" s="570" t="s">
        <v>43</v>
      </c>
      <c r="C39" s="631" t="s">
        <v>6268</v>
      </c>
      <c r="D39" s="413" t="s">
        <v>88</v>
      </c>
      <c r="E39" s="384">
        <v>2</v>
      </c>
      <c r="F39" s="491">
        <v>48</v>
      </c>
      <c r="G39" s="424" t="s">
        <v>5057</v>
      </c>
      <c r="H39" s="602" t="s">
        <v>2711</v>
      </c>
      <c r="I39" s="608" t="s">
        <v>6215</v>
      </c>
      <c r="J39" s="1246"/>
      <c r="K39" s="1347"/>
    </row>
    <row r="40" spans="1:11">
      <c r="A40" s="430" t="s">
        <v>8879</v>
      </c>
      <c r="B40" s="571" t="s">
        <v>43</v>
      </c>
      <c r="C40" s="605" t="s">
        <v>6268</v>
      </c>
      <c r="D40" s="425" t="s">
        <v>88</v>
      </c>
      <c r="E40" s="493">
        <v>2</v>
      </c>
      <c r="F40" s="525">
        <v>11111111111</v>
      </c>
      <c r="G40" s="431" t="s">
        <v>422</v>
      </c>
      <c r="H40" s="619" t="s">
        <v>2714</v>
      </c>
      <c r="I40" s="629" t="s">
        <v>6215</v>
      </c>
      <c r="J40" s="1336"/>
      <c r="K40" s="1348"/>
    </row>
    <row r="41" spans="1:11">
      <c r="A41" s="426" t="s">
        <v>8879</v>
      </c>
      <c r="B41" s="569" t="s">
        <v>37</v>
      </c>
      <c r="C41" s="630" t="s">
        <v>6271</v>
      </c>
      <c r="D41" s="414" t="s">
        <v>182</v>
      </c>
      <c r="E41" s="492">
        <v>1</v>
      </c>
      <c r="F41" s="481">
        <v>1</v>
      </c>
      <c r="G41" s="485" t="s">
        <v>4372</v>
      </c>
      <c r="H41" s="620" t="s">
        <v>4372</v>
      </c>
      <c r="I41" s="630" t="s">
        <v>6272</v>
      </c>
      <c r="J41" s="1241" t="s">
        <v>6273</v>
      </c>
      <c r="K41" s="1330" t="s">
        <v>5</v>
      </c>
    </row>
    <row r="42" spans="1:11">
      <c r="A42" s="428" t="s">
        <v>8879</v>
      </c>
      <c r="B42" s="570" t="s">
        <v>37</v>
      </c>
      <c r="C42" s="631" t="s">
        <v>6271</v>
      </c>
      <c r="D42" s="413" t="s">
        <v>182</v>
      </c>
      <c r="E42" s="384">
        <v>1</v>
      </c>
      <c r="F42" s="482">
        <v>2</v>
      </c>
      <c r="G42" s="486" t="s">
        <v>4369</v>
      </c>
      <c r="H42" s="593" t="s">
        <v>4369</v>
      </c>
      <c r="I42" s="631"/>
      <c r="J42" s="1242"/>
      <c r="K42" s="1331"/>
    </row>
    <row r="43" spans="1:11">
      <c r="A43" s="430" t="s">
        <v>8879</v>
      </c>
      <c r="B43" s="571" t="s">
        <v>37</v>
      </c>
      <c r="C43" s="605" t="s">
        <v>6271</v>
      </c>
      <c r="D43" s="425" t="s">
        <v>182</v>
      </c>
      <c r="E43" s="493">
        <v>1</v>
      </c>
      <c r="F43" s="501">
        <v>3</v>
      </c>
      <c r="G43" s="502" t="s">
        <v>4371</v>
      </c>
      <c r="H43" s="594" t="s">
        <v>4371</v>
      </c>
      <c r="I43" s="632"/>
      <c r="J43" s="1251"/>
      <c r="K43" s="1332"/>
    </row>
    <row r="44" spans="1:11">
      <c r="A44" s="426" t="s">
        <v>8879</v>
      </c>
      <c r="B44" s="569" t="s">
        <v>8880</v>
      </c>
      <c r="C44" s="630" t="s">
        <v>6271</v>
      </c>
      <c r="D44" s="414" t="s">
        <v>183</v>
      </c>
      <c r="E44" s="481">
        <v>1</v>
      </c>
      <c r="F44" s="481">
        <v>14</v>
      </c>
      <c r="G44" s="485" t="s">
        <v>2662</v>
      </c>
      <c r="H44" s="569" t="s">
        <v>2662</v>
      </c>
      <c r="I44" s="633" t="s">
        <v>6215</v>
      </c>
      <c r="J44" s="1241" t="s">
        <v>6274</v>
      </c>
      <c r="K44" s="1330" t="s">
        <v>5</v>
      </c>
    </row>
    <row r="45" spans="1:11">
      <c r="A45" s="428" t="s">
        <v>8879</v>
      </c>
      <c r="B45" s="570" t="s">
        <v>8880</v>
      </c>
      <c r="C45" s="631" t="s">
        <v>6271</v>
      </c>
      <c r="D45" s="413" t="s">
        <v>183</v>
      </c>
      <c r="E45" s="482">
        <v>1</v>
      </c>
      <c r="F45" s="482">
        <v>18</v>
      </c>
      <c r="G45" s="486" t="s">
        <v>2664</v>
      </c>
      <c r="H45" s="570" t="s">
        <v>2664</v>
      </c>
      <c r="I45" s="634" t="s">
        <v>6215</v>
      </c>
      <c r="J45" s="1242"/>
      <c r="K45" s="1331"/>
    </row>
    <row r="46" spans="1:11">
      <c r="A46" s="428" t="s">
        <v>8879</v>
      </c>
      <c r="B46" s="570" t="s">
        <v>8880</v>
      </c>
      <c r="C46" s="631" t="s">
        <v>6271</v>
      </c>
      <c r="D46" s="413" t="s">
        <v>183</v>
      </c>
      <c r="E46" s="482">
        <v>1</v>
      </c>
      <c r="F46" s="482">
        <v>19</v>
      </c>
      <c r="G46" s="486" t="s">
        <v>2665</v>
      </c>
      <c r="H46" s="570" t="s">
        <v>2666</v>
      </c>
      <c r="I46" s="634" t="s">
        <v>6215</v>
      </c>
      <c r="J46" s="1242"/>
      <c r="K46" s="1331"/>
    </row>
    <row r="47" spans="1:11">
      <c r="A47" s="430" t="s">
        <v>8879</v>
      </c>
      <c r="B47" s="571" t="s">
        <v>8880</v>
      </c>
      <c r="C47" s="605" t="s">
        <v>6271</v>
      </c>
      <c r="D47" s="425" t="s">
        <v>183</v>
      </c>
      <c r="E47" s="501">
        <v>1</v>
      </c>
      <c r="F47" s="501">
        <v>20</v>
      </c>
      <c r="G47" s="502" t="s">
        <v>2667</v>
      </c>
      <c r="H47" s="571" t="s">
        <v>2667</v>
      </c>
      <c r="I47" s="632" t="s">
        <v>6215</v>
      </c>
      <c r="J47" s="1251"/>
      <c r="K47" s="1332"/>
    </row>
    <row r="48" spans="1:11">
      <c r="A48" s="426" t="s">
        <v>8879</v>
      </c>
      <c r="B48" s="569" t="s">
        <v>8880</v>
      </c>
      <c r="C48" s="630" t="s">
        <v>6268</v>
      </c>
      <c r="D48" s="527" t="s">
        <v>72</v>
      </c>
      <c r="E48" s="492">
        <v>1</v>
      </c>
      <c r="F48" s="481">
        <v>14</v>
      </c>
      <c r="G48" s="485" t="s">
        <v>2662</v>
      </c>
      <c r="H48" s="620" t="s">
        <v>2662</v>
      </c>
      <c r="I48" s="630" t="s">
        <v>2221</v>
      </c>
      <c r="J48" s="1241" t="s">
        <v>6275</v>
      </c>
      <c r="K48" s="1330" t="s">
        <v>5</v>
      </c>
    </row>
    <row r="49" spans="1:11">
      <c r="A49" s="428" t="s">
        <v>8879</v>
      </c>
      <c r="B49" s="570" t="s">
        <v>8880</v>
      </c>
      <c r="C49" s="631" t="s">
        <v>6268</v>
      </c>
      <c r="D49" s="503" t="s">
        <v>72</v>
      </c>
      <c r="E49" s="384">
        <v>1</v>
      </c>
      <c r="F49" s="482">
        <v>18</v>
      </c>
      <c r="G49" s="486" t="s">
        <v>2664</v>
      </c>
      <c r="H49" s="593" t="s">
        <v>2664</v>
      </c>
      <c r="I49" s="631" t="s">
        <v>2221</v>
      </c>
      <c r="J49" s="1242"/>
      <c r="K49" s="1331"/>
    </row>
    <row r="50" spans="1:11">
      <c r="A50" s="428" t="s">
        <v>8879</v>
      </c>
      <c r="B50" s="570" t="s">
        <v>8880</v>
      </c>
      <c r="C50" s="631" t="s">
        <v>6268</v>
      </c>
      <c r="D50" s="503" t="s">
        <v>72</v>
      </c>
      <c r="E50" s="384">
        <v>1</v>
      </c>
      <c r="F50" s="482">
        <v>19</v>
      </c>
      <c r="G50" s="486" t="s">
        <v>2665</v>
      </c>
      <c r="H50" s="593" t="s">
        <v>2666</v>
      </c>
      <c r="I50" s="631" t="s">
        <v>2221</v>
      </c>
      <c r="J50" s="1242"/>
      <c r="K50" s="1331"/>
    </row>
    <row r="51" spans="1:11">
      <c r="A51" s="430" t="s">
        <v>8879</v>
      </c>
      <c r="B51" s="571" t="s">
        <v>8880</v>
      </c>
      <c r="C51" s="605" t="s">
        <v>6268</v>
      </c>
      <c r="D51" s="506" t="s">
        <v>72</v>
      </c>
      <c r="E51" s="493">
        <v>1</v>
      </c>
      <c r="F51" s="501">
        <v>20</v>
      </c>
      <c r="G51" s="502" t="s">
        <v>2667</v>
      </c>
      <c r="H51" s="594" t="s">
        <v>2667</v>
      </c>
      <c r="I51" s="605" t="s">
        <v>2221</v>
      </c>
      <c r="J51" s="1251"/>
      <c r="K51" s="1332"/>
    </row>
    <row r="52" spans="1:11">
      <c r="A52" s="426" t="s">
        <v>8879</v>
      </c>
      <c r="B52" s="569" t="s">
        <v>8881</v>
      </c>
      <c r="C52" s="630" t="s">
        <v>6268</v>
      </c>
      <c r="D52" s="414" t="s">
        <v>123</v>
      </c>
      <c r="E52" s="492">
        <v>1</v>
      </c>
      <c r="F52" s="481">
        <v>1</v>
      </c>
      <c r="G52" s="485" t="s">
        <v>5213</v>
      </c>
      <c r="H52" s="620" t="s">
        <v>2798</v>
      </c>
      <c r="I52" s="633" t="s">
        <v>6215</v>
      </c>
      <c r="J52" s="1241" t="s">
        <v>6276</v>
      </c>
      <c r="K52" s="1330" t="s">
        <v>5</v>
      </c>
    </row>
    <row r="53" spans="1:11">
      <c r="A53" s="428" t="s">
        <v>8879</v>
      </c>
      <c r="B53" s="570" t="s">
        <v>8881</v>
      </c>
      <c r="C53" s="631" t="s">
        <v>6268</v>
      </c>
      <c r="D53" s="413" t="s">
        <v>123</v>
      </c>
      <c r="E53" s="384">
        <v>1</v>
      </c>
      <c r="F53" s="482" t="s">
        <v>2800</v>
      </c>
      <c r="G53" s="486" t="s">
        <v>5215</v>
      </c>
      <c r="H53" s="593" t="s">
        <v>2801</v>
      </c>
      <c r="I53" s="634" t="s">
        <v>6215</v>
      </c>
      <c r="J53" s="1242"/>
      <c r="K53" s="1331"/>
    </row>
    <row r="54" spans="1:11">
      <c r="A54" s="428" t="s">
        <v>8879</v>
      </c>
      <c r="B54" s="570" t="s">
        <v>8881</v>
      </c>
      <c r="C54" s="631" t="s">
        <v>6268</v>
      </c>
      <c r="D54" s="413" t="s">
        <v>123</v>
      </c>
      <c r="E54" s="384">
        <v>1</v>
      </c>
      <c r="F54" s="482" t="s">
        <v>2802</v>
      </c>
      <c r="G54" s="486" t="s">
        <v>5216</v>
      </c>
      <c r="H54" s="593" t="s">
        <v>2803</v>
      </c>
      <c r="I54" s="634" t="s">
        <v>6215</v>
      </c>
      <c r="J54" s="1242"/>
      <c r="K54" s="1331"/>
    </row>
    <row r="55" spans="1:11">
      <c r="A55" s="428" t="s">
        <v>8879</v>
      </c>
      <c r="B55" s="570" t="s">
        <v>8881</v>
      </c>
      <c r="C55" s="631" t="s">
        <v>6268</v>
      </c>
      <c r="D55" s="413" t="s">
        <v>123</v>
      </c>
      <c r="E55" s="384">
        <v>1</v>
      </c>
      <c r="F55" s="482" t="s">
        <v>2804</v>
      </c>
      <c r="G55" s="486" t="s">
        <v>5217</v>
      </c>
      <c r="H55" s="593" t="s">
        <v>2805</v>
      </c>
      <c r="I55" s="634" t="s">
        <v>6215</v>
      </c>
      <c r="J55" s="1242"/>
      <c r="K55" s="1331"/>
    </row>
    <row r="56" spans="1:11">
      <c r="A56" s="428" t="s">
        <v>8879</v>
      </c>
      <c r="B56" s="570" t="s">
        <v>8881</v>
      </c>
      <c r="C56" s="631" t="s">
        <v>6268</v>
      </c>
      <c r="D56" s="413" t="s">
        <v>123</v>
      </c>
      <c r="E56" s="384">
        <v>1</v>
      </c>
      <c r="F56" s="482" t="s">
        <v>2806</v>
      </c>
      <c r="G56" s="486" t="s">
        <v>5218</v>
      </c>
      <c r="H56" s="593" t="s">
        <v>2807</v>
      </c>
      <c r="I56" s="634" t="s">
        <v>6215</v>
      </c>
      <c r="J56" s="1242"/>
      <c r="K56" s="1331"/>
    </row>
    <row r="57" spans="1:11">
      <c r="A57" s="428" t="s">
        <v>8879</v>
      </c>
      <c r="B57" s="570" t="s">
        <v>8881</v>
      </c>
      <c r="C57" s="631" t="s">
        <v>6268</v>
      </c>
      <c r="D57" s="413" t="s">
        <v>123</v>
      </c>
      <c r="E57" s="384">
        <v>1</v>
      </c>
      <c r="F57" s="482" t="s">
        <v>2808</v>
      </c>
      <c r="G57" s="486" t="s">
        <v>5219</v>
      </c>
      <c r="H57" s="593" t="s">
        <v>2809</v>
      </c>
      <c r="I57" s="634" t="s">
        <v>6215</v>
      </c>
      <c r="J57" s="1242"/>
      <c r="K57" s="1331"/>
    </row>
    <row r="58" spans="1:11">
      <c r="A58" s="428" t="s">
        <v>8879</v>
      </c>
      <c r="B58" s="570" t="s">
        <v>8881</v>
      </c>
      <c r="C58" s="631" t="s">
        <v>6268</v>
      </c>
      <c r="D58" s="413" t="s">
        <v>123</v>
      </c>
      <c r="E58" s="384">
        <v>1</v>
      </c>
      <c r="F58" s="482" t="s">
        <v>2810</v>
      </c>
      <c r="G58" s="486" t="s">
        <v>5220</v>
      </c>
      <c r="H58" s="593" t="s">
        <v>2811</v>
      </c>
      <c r="I58" s="634" t="s">
        <v>6215</v>
      </c>
      <c r="J58" s="1242"/>
      <c r="K58" s="1331"/>
    </row>
    <row r="59" spans="1:11">
      <c r="A59" s="428" t="s">
        <v>8879</v>
      </c>
      <c r="B59" s="570" t="s">
        <v>8881</v>
      </c>
      <c r="C59" s="631" t="s">
        <v>6268</v>
      </c>
      <c r="D59" s="413" t="s">
        <v>123</v>
      </c>
      <c r="E59" s="384">
        <v>1</v>
      </c>
      <c r="F59" s="482" t="s">
        <v>2812</v>
      </c>
      <c r="G59" s="486" t="s">
        <v>5221</v>
      </c>
      <c r="H59" s="593" t="s">
        <v>2813</v>
      </c>
      <c r="I59" s="634" t="s">
        <v>6215</v>
      </c>
      <c r="J59" s="1242"/>
      <c r="K59" s="1331"/>
    </row>
    <row r="60" spans="1:11">
      <c r="A60" s="428" t="s">
        <v>8879</v>
      </c>
      <c r="B60" s="570" t="s">
        <v>8881</v>
      </c>
      <c r="C60" s="631" t="s">
        <v>6268</v>
      </c>
      <c r="D60" s="413" t="s">
        <v>123</v>
      </c>
      <c r="E60" s="384">
        <v>1</v>
      </c>
      <c r="F60" s="482" t="s">
        <v>2814</v>
      </c>
      <c r="G60" s="486" t="s">
        <v>5222</v>
      </c>
      <c r="H60" s="593" t="s">
        <v>2815</v>
      </c>
      <c r="I60" s="634" t="s">
        <v>6215</v>
      </c>
      <c r="J60" s="1242"/>
      <c r="K60" s="1331"/>
    </row>
    <row r="61" spans="1:11">
      <c r="A61" s="428" t="s">
        <v>8879</v>
      </c>
      <c r="B61" s="570" t="s">
        <v>8881</v>
      </c>
      <c r="C61" s="631" t="s">
        <v>6268</v>
      </c>
      <c r="D61" s="413" t="s">
        <v>123</v>
      </c>
      <c r="E61" s="384">
        <v>1</v>
      </c>
      <c r="F61" s="482" t="s">
        <v>2816</v>
      </c>
      <c r="G61" s="486" t="s">
        <v>5223</v>
      </c>
      <c r="H61" s="593" t="s">
        <v>2817</v>
      </c>
      <c r="I61" s="634" t="s">
        <v>6215</v>
      </c>
      <c r="J61" s="1242"/>
      <c r="K61" s="1331"/>
    </row>
    <row r="62" spans="1:11">
      <c r="A62" s="428" t="s">
        <v>8879</v>
      </c>
      <c r="B62" s="570" t="s">
        <v>8881</v>
      </c>
      <c r="C62" s="631" t="s">
        <v>6268</v>
      </c>
      <c r="D62" s="413" t="s">
        <v>123</v>
      </c>
      <c r="E62" s="384">
        <v>1</v>
      </c>
      <c r="F62" s="482" t="s">
        <v>2818</v>
      </c>
      <c r="G62" s="486" t="s">
        <v>5224</v>
      </c>
      <c r="H62" s="593" t="s">
        <v>2819</v>
      </c>
      <c r="I62" s="634" t="s">
        <v>6215</v>
      </c>
      <c r="J62" s="1242"/>
      <c r="K62" s="1331"/>
    </row>
    <row r="63" spans="1:11">
      <c r="A63" s="428" t="s">
        <v>8879</v>
      </c>
      <c r="B63" s="570" t="s">
        <v>8881</v>
      </c>
      <c r="C63" s="631" t="s">
        <v>6268</v>
      </c>
      <c r="D63" s="413" t="s">
        <v>123</v>
      </c>
      <c r="E63" s="384">
        <v>1</v>
      </c>
      <c r="F63" s="482" t="s">
        <v>2820</v>
      </c>
      <c r="G63" s="486" t="s">
        <v>5225</v>
      </c>
      <c r="H63" s="593" t="s">
        <v>2821</v>
      </c>
      <c r="I63" s="634" t="s">
        <v>6215</v>
      </c>
      <c r="J63" s="1242"/>
      <c r="K63" s="1331"/>
    </row>
    <row r="64" spans="1:11">
      <c r="A64" s="428" t="s">
        <v>8879</v>
      </c>
      <c r="B64" s="570" t="s">
        <v>8881</v>
      </c>
      <c r="C64" s="631" t="s">
        <v>6268</v>
      </c>
      <c r="D64" s="413" t="s">
        <v>123</v>
      </c>
      <c r="E64" s="384">
        <v>1</v>
      </c>
      <c r="F64" s="482" t="s">
        <v>2822</v>
      </c>
      <c r="G64" s="486" t="s">
        <v>5226</v>
      </c>
      <c r="H64" s="593" t="s">
        <v>2823</v>
      </c>
      <c r="I64" s="634" t="s">
        <v>6215</v>
      </c>
      <c r="J64" s="1242"/>
      <c r="K64" s="1331"/>
    </row>
    <row r="65" spans="1:11">
      <c r="A65" s="428" t="s">
        <v>8879</v>
      </c>
      <c r="B65" s="570" t="s">
        <v>8881</v>
      </c>
      <c r="C65" s="631" t="s">
        <v>6268</v>
      </c>
      <c r="D65" s="413" t="s">
        <v>123</v>
      </c>
      <c r="E65" s="384">
        <v>1</v>
      </c>
      <c r="F65" s="482" t="s">
        <v>2824</v>
      </c>
      <c r="G65" s="486" t="s">
        <v>5227</v>
      </c>
      <c r="H65" s="593" t="s">
        <v>2825</v>
      </c>
      <c r="I65" s="634" t="s">
        <v>6215</v>
      </c>
      <c r="J65" s="1242"/>
      <c r="K65" s="1331"/>
    </row>
    <row r="66" spans="1:11">
      <c r="A66" s="428" t="s">
        <v>8879</v>
      </c>
      <c r="B66" s="570" t="s">
        <v>8881</v>
      </c>
      <c r="C66" s="631" t="s">
        <v>6268</v>
      </c>
      <c r="D66" s="413" t="s">
        <v>123</v>
      </c>
      <c r="E66" s="384">
        <v>1</v>
      </c>
      <c r="F66" s="482" t="s">
        <v>2826</v>
      </c>
      <c r="G66" s="486" t="s">
        <v>5228</v>
      </c>
      <c r="H66" s="593" t="s">
        <v>2827</v>
      </c>
      <c r="I66" s="634" t="s">
        <v>6215</v>
      </c>
      <c r="J66" s="1242"/>
      <c r="K66" s="1331"/>
    </row>
    <row r="67" spans="1:11">
      <c r="A67" s="428" t="s">
        <v>8879</v>
      </c>
      <c r="B67" s="570" t="s">
        <v>8881</v>
      </c>
      <c r="C67" s="631" t="s">
        <v>6268</v>
      </c>
      <c r="D67" s="413" t="s">
        <v>123</v>
      </c>
      <c r="E67" s="384">
        <v>1</v>
      </c>
      <c r="F67" s="482" t="s">
        <v>2828</v>
      </c>
      <c r="G67" s="486" t="s">
        <v>5229</v>
      </c>
      <c r="H67" s="593" t="s">
        <v>2829</v>
      </c>
      <c r="I67" s="634" t="s">
        <v>6215</v>
      </c>
      <c r="J67" s="1242"/>
      <c r="K67" s="1331"/>
    </row>
    <row r="68" spans="1:11">
      <c r="A68" s="428" t="s">
        <v>8879</v>
      </c>
      <c r="B68" s="570" t="s">
        <v>8881</v>
      </c>
      <c r="C68" s="631" t="s">
        <v>6268</v>
      </c>
      <c r="D68" s="413" t="s">
        <v>123</v>
      </c>
      <c r="E68" s="384">
        <v>1</v>
      </c>
      <c r="F68" s="482" t="s">
        <v>2830</v>
      </c>
      <c r="G68" s="486" t="s">
        <v>5230</v>
      </c>
      <c r="H68" s="593" t="s">
        <v>2831</v>
      </c>
      <c r="I68" s="634" t="s">
        <v>6215</v>
      </c>
      <c r="J68" s="1242"/>
      <c r="K68" s="1331"/>
    </row>
    <row r="69" spans="1:11">
      <c r="A69" s="428" t="s">
        <v>8879</v>
      </c>
      <c r="B69" s="570" t="s">
        <v>8881</v>
      </c>
      <c r="C69" s="631" t="s">
        <v>6268</v>
      </c>
      <c r="D69" s="413" t="s">
        <v>123</v>
      </c>
      <c r="E69" s="384">
        <v>1</v>
      </c>
      <c r="F69" s="482" t="s">
        <v>2832</v>
      </c>
      <c r="G69" s="486" t="s">
        <v>5231</v>
      </c>
      <c r="H69" s="593" t="s">
        <v>2833</v>
      </c>
      <c r="I69" s="634" t="s">
        <v>6215</v>
      </c>
      <c r="J69" s="1242"/>
      <c r="K69" s="1331"/>
    </row>
    <row r="70" spans="1:11">
      <c r="A70" s="428" t="s">
        <v>8879</v>
      </c>
      <c r="B70" s="570" t="s">
        <v>8881</v>
      </c>
      <c r="C70" s="631" t="s">
        <v>6268</v>
      </c>
      <c r="D70" s="413" t="s">
        <v>123</v>
      </c>
      <c r="E70" s="384">
        <v>1</v>
      </c>
      <c r="F70" s="482" t="s">
        <v>2834</v>
      </c>
      <c r="G70" s="486" t="s">
        <v>5232</v>
      </c>
      <c r="H70" s="593" t="s">
        <v>2835</v>
      </c>
      <c r="I70" s="634" t="s">
        <v>6215</v>
      </c>
      <c r="J70" s="1242"/>
      <c r="K70" s="1331"/>
    </row>
    <row r="71" spans="1:11">
      <c r="A71" s="428" t="s">
        <v>8879</v>
      </c>
      <c r="B71" s="570" t="s">
        <v>8881</v>
      </c>
      <c r="C71" s="631" t="s">
        <v>6268</v>
      </c>
      <c r="D71" s="413" t="s">
        <v>123</v>
      </c>
      <c r="E71" s="384">
        <v>1</v>
      </c>
      <c r="F71" s="482" t="s">
        <v>2836</v>
      </c>
      <c r="G71" s="486" t="s">
        <v>5233</v>
      </c>
      <c r="H71" s="593" t="s">
        <v>2837</v>
      </c>
      <c r="I71" s="634" t="s">
        <v>6215</v>
      </c>
      <c r="J71" s="1242"/>
      <c r="K71" s="1331"/>
    </row>
    <row r="72" spans="1:11">
      <c r="A72" s="428" t="s">
        <v>8879</v>
      </c>
      <c r="B72" s="570" t="s">
        <v>8881</v>
      </c>
      <c r="C72" s="631" t="s">
        <v>6268</v>
      </c>
      <c r="D72" s="413" t="s">
        <v>123</v>
      </c>
      <c r="E72" s="384">
        <v>1</v>
      </c>
      <c r="F72" s="482" t="s">
        <v>2838</v>
      </c>
      <c r="G72" s="486" t="s">
        <v>5234</v>
      </c>
      <c r="H72" s="593" t="s">
        <v>2839</v>
      </c>
      <c r="I72" s="634" t="s">
        <v>6215</v>
      </c>
      <c r="J72" s="1242"/>
      <c r="K72" s="1331"/>
    </row>
    <row r="73" spans="1:11">
      <c r="A73" s="428" t="s">
        <v>8879</v>
      </c>
      <c r="B73" s="570" t="s">
        <v>8881</v>
      </c>
      <c r="C73" s="631" t="s">
        <v>6268</v>
      </c>
      <c r="D73" s="413" t="s">
        <v>123</v>
      </c>
      <c r="E73" s="384">
        <v>1</v>
      </c>
      <c r="F73" s="482" t="s">
        <v>2840</v>
      </c>
      <c r="G73" s="486" t="s">
        <v>5235</v>
      </c>
      <c r="H73" s="593" t="s">
        <v>2841</v>
      </c>
      <c r="I73" s="634" t="s">
        <v>6215</v>
      </c>
      <c r="J73" s="1242"/>
      <c r="K73" s="1331"/>
    </row>
    <row r="74" spans="1:11">
      <c r="A74" s="428" t="s">
        <v>8879</v>
      </c>
      <c r="B74" s="570" t="s">
        <v>8881</v>
      </c>
      <c r="C74" s="631" t="s">
        <v>6268</v>
      </c>
      <c r="D74" s="413" t="s">
        <v>123</v>
      </c>
      <c r="E74" s="384">
        <v>1</v>
      </c>
      <c r="F74" s="482" t="s">
        <v>2842</v>
      </c>
      <c r="G74" s="486" t="s">
        <v>5236</v>
      </c>
      <c r="H74" s="593" t="s">
        <v>2843</v>
      </c>
      <c r="I74" s="634" t="s">
        <v>6215</v>
      </c>
      <c r="J74" s="1242"/>
      <c r="K74" s="1331"/>
    </row>
    <row r="75" spans="1:11">
      <c r="A75" s="428" t="s">
        <v>8879</v>
      </c>
      <c r="B75" s="570" t="s">
        <v>8881</v>
      </c>
      <c r="C75" s="631" t="s">
        <v>6268</v>
      </c>
      <c r="D75" s="413" t="s">
        <v>123</v>
      </c>
      <c r="E75" s="384">
        <v>1</v>
      </c>
      <c r="F75" s="482" t="s">
        <v>2844</v>
      </c>
      <c r="G75" s="486" t="s">
        <v>5237</v>
      </c>
      <c r="H75" s="593" t="s">
        <v>2845</v>
      </c>
      <c r="I75" s="634" t="s">
        <v>6215</v>
      </c>
      <c r="J75" s="1242"/>
      <c r="K75" s="1331"/>
    </row>
    <row r="76" spans="1:11">
      <c r="A76" s="428" t="s">
        <v>8879</v>
      </c>
      <c r="B76" s="570" t="s">
        <v>8881</v>
      </c>
      <c r="C76" s="631" t="s">
        <v>6268</v>
      </c>
      <c r="D76" s="413" t="s">
        <v>123</v>
      </c>
      <c r="E76" s="384">
        <v>1</v>
      </c>
      <c r="F76" s="482" t="s">
        <v>2846</v>
      </c>
      <c r="G76" s="486" t="s">
        <v>5238</v>
      </c>
      <c r="H76" s="593" t="s">
        <v>2847</v>
      </c>
      <c r="I76" s="634" t="s">
        <v>6215</v>
      </c>
      <c r="J76" s="1242"/>
      <c r="K76" s="1331"/>
    </row>
    <row r="77" spans="1:11">
      <c r="A77" s="428" t="s">
        <v>8879</v>
      </c>
      <c r="B77" s="570" t="s">
        <v>8881</v>
      </c>
      <c r="C77" s="631" t="s">
        <v>6268</v>
      </c>
      <c r="D77" s="413" t="s">
        <v>123</v>
      </c>
      <c r="E77" s="384">
        <v>1</v>
      </c>
      <c r="F77" s="482" t="s">
        <v>2848</v>
      </c>
      <c r="G77" s="486" t="s">
        <v>5239</v>
      </c>
      <c r="H77" s="593" t="s">
        <v>2849</v>
      </c>
      <c r="I77" s="634" t="s">
        <v>6215</v>
      </c>
      <c r="J77" s="1242"/>
      <c r="K77" s="1331"/>
    </row>
    <row r="78" spans="1:11">
      <c r="A78" s="428" t="s">
        <v>8879</v>
      </c>
      <c r="B78" s="570" t="s">
        <v>8881</v>
      </c>
      <c r="C78" s="631" t="s">
        <v>6268</v>
      </c>
      <c r="D78" s="413" t="s">
        <v>123</v>
      </c>
      <c r="E78" s="384">
        <v>1</v>
      </c>
      <c r="F78" s="482" t="s">
        <v>2850</v>
      </c>
      <c r="G78" s="486" t="s">
        <v>5240</v>
      </c>
      <c r="H78" s="593" t="s">
        <v>2851</v>
      </c>
      <c r="I78" s="634" t="s">
        <v>6215</v>
      </c>
      <c r="J78" s="1242"/>
      <c r="K78" s="1331"/>
    </row>
    <row r="79" spans="1:11">
      <c r="A79" s="428" t="s">
        <v>8879</v>
      </c>
      <c r="B79" s="570" t="s">
        <v>8881</v>
      </c>
      <c r="C79" s="631" t="s">
        <v>6268</v>
      </c>
      <c r="D79" s="413" t="s">
        <v>123</v>
      </c>
      <c r="E79" s="384">
        <v>1</v>
      </c>
      <c r="F79" s="482" t="s">
        <v>2852</v>
      </c>
      <c r="G79" s="486" t="s">
        <v>5241</v>
      </c>
      <c r="H79" s="593" t="s">
        <v>2853</v>
      </c>
      <c r="I79" s="634" t="s">
        <v>6215</v>
      </c>
      <c r="J79" s="1242"/>
      <c r="K79" s="1331"/>
    </row>
    <row r="80" spans="1:11">
      <c r="A80" s="428" t="s">
        <v>8879</v>
      </c>
      <c r="B80" s="570" t="s">
        <v>8881</v>
      </c>
      <c r="C80" s="631" t="s">
        <v>6268</v>
      </c>
      <c r="D80" s="413" t="s">
        <v>123</v>
      </c>
      <c r="E80" s="384">
        <v>1</v>
      </c>
      <c r="F80" s="482" t="s">
        <v>2854</v>
      </c>
      <c r="G80" s="486" t="s">
        <v>5242</v>
      </c>
      <c r="H80" s="593" t="s">
        <v>2855</v>
      </c>
      <c r="I80" s="634" t="s">
        <v>6215</v>
      </c>
      <c r="J80" s="1242"/>
      <c r="K80" s="1331"/>
    </row>
    <row r="81" spans="1:11">
      <c r="A81" s="428" t="s">
        <v>8879</v>
      </c>
      <c r="B81" s="570" t="s">
        <v>8881</v>
      </c>
      <c r="C81" s="631" t="s">
        <v>6268</v>
      </c>
      <c r="D81" s="413" t="s">
        <v>123</v>
      </c>
      <c r="E81" s="384">
        <v>1</v>
      </c>
      <c r="F81" s="482" t="s">
        <v>2856</v>
      </c>
      <c r="G81" s="486" t="s">
        <v>5243</v>
      </c>
      <c r="H81" s="593" t="s">
        <v>2857</v>
      </c>
      <c r="I81" s="634" t="s">
        <v>6215</v>
      </c>
      <c r="J81" s="1242"/>
      <c r="K81" s="1331"/>
    </row>
    <row r="82" spans="1:11">
      <c r="A82" s="428" t="s">
        <v>8879</v>
      </c>
      <c r="B82" s="570" t="s">
        <v>8881</v>
      </c>
      <c r="C82" s="631" t="s">
        <v>6268</v>
      </c>
      <c r="D82" s="413" t="s">
        <v>123</v>
      </c>
      <c r="E82" s="384">
        <v>1</v>
      </c>
      <c r="F82" s="482" t="s">
        <v>2858</v>
      </c>
      <c r="G82" s="486" t="s">
        <v>5244</v>
      </c>
      <c r="H82" s="593" t="s">
        <v>2859</v>
      </c>
      <c r="I82" s="634" t="s">
        <v>6215</v>
      </c>
      <c r="J82" s="1242"/>
      <c r="K82" s="1331"/>
    </row>
    <row r="83" spans="1:11">
      <c r="A83" s="428" t="s">
        <v>8879</v>
      </c>
      <c r="B83" s="570" t="s">
        <v>8881</v>
      </c>
      <c r="C83" s="631" t="s">
        <v>6268</v>
      </c>
      <c r="D83" s="413" t="s">
        <v>123</v>
      </c>
      <c r="E83" s="384">
        <v>1</v>
      </c>
      <c r="F83" s="482" t="s">
        <v>2860</v>
      </c>
      <c r="G83" s="486" t="s">
        <v>5245</v>
      </c>
      <c r="H83" s="593" t="s">
        <v>2861</v>
      </c>
      <c r="I83" s="634" t="s">
        <v>6215</v>
      </c>
      <c r="J83" s="1242"/>
      <c r="K83" s="1331"/>
    </row>
    <row r="84" spans="1:11">
      <c r="A84" s="428" t="s">
        <v>8879</v>
      </c>
      <c r="B84" s="570" t="s">
        <v>8881</v>
      </c>
      <c r="C84" s="631" t="s">
        <v>6268</v>
      </c>
      <c r="D84" s="413" t="s">
        <v>123</v>
      </c>
      <c r="E84" s="384">
        <v>1</v>
      </c>
      <c r="F84" s="482" t="s">
        <v>2862</v>
      </c>
      <c r="G84" s="486" t="s">
        <v>5246</v>
      </c>
      <c r="H84" s="593" t="s">
        <v>2863</v>
      </c>
      <c r="I84" s="634" t="s">
        <v>6215</v>
      </c>
      <c r="J84" s="1242"/>
      <c r="K84" s="1331"/>
    </row>
    <row r="85" spans="1:11">
      <c r="A85" s="428" t="s">
        <v>8879</v>
      </c>
      <c r="B85" s="570" t="s">
        <v>8881</v>
      </c>
      <c r="C85" s="631" t="s">
        <v>6268</v>
      </c>
      <c r="D85" s="413" t="s">
        <v>123</v>
      </c>
      <c r="E85" s="384">
        <v>1</v>
      </c>
      <c r="F85" s="482" t="s">
        <v>2864</v>
      </c>
      <c r="G85" s="486" t="s">
        <v>5247</v>
      </c>
      <c r="H85" s="593" t="s">
        <v>2865</v>
      </c>
      <c r="I85" s="634" t="s">
        <v>6215</v>
      </c>
      <c r="J85" s="1242"/>
      <c r="K85" s="1331"/>
    </row>
    <row r="86" spans="1:11">
      <c r="A86" s="428" t="s">
        <v>8879</v>
      </c>
      <c r="B86" s="570" t="s">
        <v>8881</v>
      </c>
      <c r="C86" s="631" t="s">
        <v>6268</v>
      </c>
      <c r="D86" s="413" t="s">
        <v>123</v>
      </c>
      <c r="E86" s="384">
        <v>1</v>
      </c>
      <c r="F86" s="482" t="s">
        <v>2866</v>
      </c>
      <c r="G86" s="486" t="s">
        <v>5248</v>
      </c>
      <c r="H86" s="593" t="s">
        <v>2867</v>
      </c>
      <c r="I86" s="634" t="s">
        <v>6215</v>
      </c>
      <c r="J86" s="1242"/>
      <c r="K86" s="1331"/>
    </row>
    <row r="87" spans="1:11">
      <c r="A87" s="428" t="s">
        <v>8879</v>
      </c>
      <c r="B87" s="570" t="s">
        <v>8881</v>
      </c>
      <c r="C87" s="631" t="s">
        <v>6268</v>
      </c>
      <c r="D87" s="413" t="s">
        <v>123</v>
      </c>
      <c r="E87" s="384">
        <v>1</v>
      </c>
      <c r="F87" s="482" t="s">
        <v>2868</v>
      </c>
      <c r="G87" s="486" t="s">
        <v>5249</v>
      </c>
      <c r="H87" s="593" t="s">
        <v>2869</v>
      </c>
      <c r="I87" s="634" t="s">
        <v>6215</v>
      </c>
      <c r="J87" s="1242"/>
      <c r="K87" s="1331"/>
    </row>
    <row r="88" spans="1:11">
      <c r="A88" s="428" t="s">
        <v>8879</v>
      </c>
      <c r="B88" s="570" t="s">
        <v>8881</v>
      </c>
      <c r="C88" s="631" t="s">
        <v>6268</v>
      </c>
      <c r="D88" s="413" t="s">
        <v>123</v>
      </c>
      <c r="E88" s="384">
        <v>1</v>
      </c>
      <c r="F88" s="482">
        <v>2</v>
      </c>
      <c r="G88" s="486" t="s">
        <v>5250</v>
      </c>
      <c r="H88" s="593" t="s">
        <v>2870</v>
      </c>
      <c r="I88" s="634" t="s">
        <v>6215</v>
      </c>
      <c r="J88" s="1242"/>
      <c r="K88" s="1331"/>
    </row>
    <row r="89" spans="1:11">
      <c r="A89" s="428" t="s">
        <v>8879</v>
      </c>
      <c r="B89" s="570" t="s">
        <v>8881</v>
      </c>
      <c r="C89" s="631" t="s">
        <v>6268</v>
      </c>
      <c r="D89" s="413" t="s">
        <v>123</v>
      </c>
      <c r="E89" s="384">
        <v>1</v>
      </c>
      <c r="F89" s="482" t="s">
        <v>2871</v>
      </c>
      <c r="G89" s="486" t="s">
        <v>5251</v>
      </c>
      <c r="H89" s="593" t="s">
        <v>2872</v>
      </c>
      <c r="I89" s="634" t="s">
        <v>6215</v>
      </c>
      <c r="J89" s="1242"/>
      <c r="K89" s="1331"/>
    </row>
    <row r="90" spans="1:11">
      <c r="A90" s="428" t="s">
        <v>8879</v>
      </c>
      <c r="B90" s="570" t="s">
        <v>8881</v>
      </c>
      <c r="C90" s="631" t="s">
        <v>6268</v>
      </c>
      <c r="D90" s="413" t="s">
        <v>123</v>
      </c>
      <c r="E90" s="384">
        <v>1</v>
      </c>
      <c r="F90" s="482" t="s">
        <v>2873</v>
      </c>
      <c r="G90" s="486" t="s">
        <v>5252</v>
      </c>
      <c r="H90" s="593" t="s">
        <v>2874</v>
      </c>
      <c r="I90" s="634" t="s">
        <v>6215</v>
      </c>
      <c r="J90" s="1242"/>
      <c r="K90" s="1331"/>
    </row>
    <row r="91" spans="1:11">
      <c r="A91" s="428" t="s">
        <v>8879</v>
      </c>
      <c r="B91" s="570" t="s">
        <v>8881</v>
      </c>
      <c r="C91" s="631" t="s">
        <v>6268</v>
      </c>
      <c r="D91" s="413" t="s">
        <v>123</v>
      </c>
      <c r="E91" s="384">
        <v>1</v>
      </c>
      <c r="F91" s="482" t="s">
        <v>2875</v>
      </c>
      <c r="G91" s="486" t="s">
        <v>5253</v>
      </c>
      <c r="H91" s="593" t="s">
        <v>2876</v>
      </c>
      <c r="I91" s="634" t="s">
        <v>6215</v>
      </c>
      <c r="J91" s="1242"/>
      <c r="K91" s="1331"/>
    </row>
    <row r="92" spans="1:11">
      <c r="A92" s="428" t="s">
        <v>8879</v>
      </c>
      <c r="B92" s="570" t="s">
        <v>8881</v>
      </c>
      <c r="C92" s="631" t="s">
        <v>6268</v>
      </c>
      <c r="D92" s="413" t="s">
        <v>123</v>
      </c>
      <c r="E92" s="384">
        <v>1</v>
      </c>
      <c r="F92" s="482" t="s">
        <v>2877</v>
      </c>
      <c r="G92" s="486" t="s">
        <v>5254</v>
      </c>
      <c r="H92" s="593" t="s">
        <v>2878</v>
      </c>
      <c r="I92" s="634" t="s">
        <v>6215</v>
      </c>
      <c r="J92" s="1242"/>
      <c r="K92" s="1331"/>
    </row>
    <row r="93" spans="1:11">
      <c r="A93" s="428" t="s">
        <v>8879</v>
      </c>
      <c r="B93" s="570" t="s">
        <v>8881</v>
      </c>
      <c r="C93" s="631" t="s">
        <v>6268</v>
      </c>
      <c r="D93" s="413" t="s">
        <v>123</v>
      </c>
      <c r="E93" s="384">
        <v>1</v>
      </c>
      <c r="F93" s="482">
        <v>3</v>
      </c>
      <c r="G93" s="486" t="s">
        <v>5255</v>
      </c>
      <c r="H93" s="593" t="s">
        <v>2879</v>
      </c>
      <c r="I93" s="634" t="s">
        <v>6215</v>
      </c>
      <c r="J93" s="1242"/>
      <c r="K93" s="1331"/>
    </row>
    <row r="94" spans="1:11">
      <c r="A94" s="428" t="s">
        <v>8879</v>
      </c>
      <c r="B94" s="570" t="s">
        <v>8881</v>
      </c>
      <c r="C94" s="631" t="s">
        <v>6268</v>
      </c>
      <c r="D94" s="413" t="s">
        <v>123</v>
      </c>
      <c r="E94" s="384">
        <v>1</v>
      </c>
      <c r="F94" s="482" t="s">
        <v>2880</v>
      </c>
      <c r="G94" s="486" t="s">
        <v>5256</v>
      </c>
      <c r="H94" s="593" t="s">
        <v>2881</v>
      </c>
      <c r="I94" s="634" t="s">
        <v>6215</v>
      </c>
      <c r="J94" s="1242"/>
      <c r="K94" s="1331"/>
    </row>
    <row r="95" spans="1:11">
      <c r="A95" s="428" t="s">
        <v>8879</v>
      </c>
      <c r="B95" s="570" t="s">
        <v>8881</v>
      </c>
      <c r="C95" s="631" t="s">
        <v>6268</v>
      </c>
      <c r="D95" s="413" t="s">
        <v>123</v>
      </c>
      <c r="E95" s="384">
        <v>1</v>
      </c>
      <c r="F95" s="482" t="s">
        <v>2882</v>
      </c>
      <c r="G95" s="486" t="s">
        <v>5257</v>
      </c>
      <c r="H95" s="593" t="s">
        <v>2883</v>
      </c>
      <c r="I95" s="634" t="s">
        <v>6215</v>
      </c>
      <c r="J95" s="1242"/>
      <c r="K95" s="1331"/>
    </row>
    <row r="96" spans="1:11">
      <c r="A96" s="428" t="s">
        <v>8879</v>
      </c>
      <c r="B96" s="570" t="s">
        <v>8881</v>
      </c>
      <c r="C96" s="631" t="s">
        <v>6268</v>
      </c>
      <c r="D96" s="413" t="s">
        <v>123</v>
      </c>
      <c r="E96" s="384">
        <v>1</v>
      </c>
      <c r="F96" s="482" t="s">
        <v>2884</v>
      </c>
      <c r="G96" s="486" t="s">
        <v>5258</v>
      </c>
      <c r="H96" s="593" t="s">
        <v>2885</v>
      </c>
      <c r="I96" s="634" t="s">
        <v>6215</v>
      </c>
      <c r="J96" s="1242"/>
      <c r="K96" s="1331"/>
    </row>
    <row r="97" spans="1:11">
      <c r="A97" s="428" t="s">
        <v>8879</v>
      </c>
      <c r="B97" s="570" t="s">
        <v>8881</v>
      </c>
      <c r="C97" s="631" t="s">
        <v>6268</v>
      </c>
      <c r="D97" s="413" t="s">
        <v>123</v>
      </c>
      <c r="E97" s="384">
        <v>1</v>
      </c>
      <c r="F97" s="482" t="s">
        <v>2886</v>
      </c>
      <c r="G97" s="486" t="s">
        <v>5259</v>
      </c>
      <c r="H97" s="593" t="s">
        <v>2887</v>
      </c>
      <c r="I97" s="634" t="s">
        <v>6215</v>
      </c>
      <c r="J97" s="1242"/>
      <c r="K97" s="1331"/>
    </row>
    <row r="98" spans="1:11">
      <c r="A98" s="428" t="s">
        <v>8879</v>
      </c>
      <c r="B98" s="570" t="s">
        <v>8881</v>
      </c>
      <c r="C98" s="631" t="s">
        <v>6268</v>
      </c>
      <c r="D98" s="413" t="s">
        <v>123</v>
      </c>
      <c r="E98" s="384">
        <v>1</v>
      </c>
      <c r="F98" s="482" t="s">
        <v>2888</v>
      </c>
      <c r="G98" s="486" t="s">
        <v>5260</v>
      </c>
      <c r="H98" s="593" t="s">
        <v>2889</v>
      </c>
      <c r="I98" s="634" t="s">
        <v>6215</v>
      </c>
      <c r="J98" s="1242"/>
      <c r="K98" s="1331"/>
    </row>
    <row r="99" spans="1:11">
      <c r="A99" s="428" t="s">
        <v>8879</v>
      </c>
      <c r="B99" s="570" t="s">
        <v>8881</v>
      </c>
      <c r="C99" s="631" t="s">
        <v>6268</v>
      </c>
      <c r="D99" s="413" t="s">
        <v>123</v>
      </c>
      <c r="E99" s="384">
        <v>1</v>
      </c>
      <c r="F99" s="482" t="s">
        <v>2890</v>
      </c>
      <c r="G99" s="486" t="s">
        <v>5261</v>
      </c>
      <c r="H99" s="593" t="s">
        <v>2891</v>
      </c>
      <c r="I99" s="634" t="s">
        <v>6215</v>
      </c>
      <c r="J99" s="1242"/>
      <c r="K99" s="1331"/>
    </row>
    <row r="100" spans="1:11">
      <c r="A100" s="428" t="s">
        <v>8879</v>
      </c>
      <c r="B100" s="570" t="s">
        <v>8881</v>
      </c>
      <c r="C100" s="631" t="s">
        <v>6268</v>
      </c>
      <c r="D100" s="413" t="s">
        <v>123</v>
      </c>
      <c r="E100" s="384">
        <v>1</v>
      </c>
      <c r="F100" s="482">
        <v>5</v>
      </c>
      <c r="G100" s="486" t="s">
        <v>5262</v>
      </c>
      <c r="H100" s="593" t="s">
        <v>2892</v>
      </c>
      <c r="I100" s="634" t="s">
        <v>6215</v>
      </c>
      <c r="J100" s="1242"/>
      <c r="K100" s="1331"/>
    </row>
    <row r="101" spans="1:11">
      <c r="A101" s="428" t="s">
        <v>8879</v>
      </c>
      <c r="B101" s="570" t="s">
        <v>8881</v>
      </c>
      <c r="C101" s="631" t="s">
        <v>6268</v>
      </c>
      <c r="D101" s="413" t="s">
        <v>123</v>
      </c>
      <c r="E101" s="384">
        <v>1</v>
      </c>
      <c r="F101" s="482" t="s">
        <v>2893</v>
      </c>
      <c r="G101" s="486" t="s">
        <v>5263</v>
      </c>
      <c r="H101" s="593" t="s">
        <v>2894</v>
      </c>
      <c r="I101" s="634" t="s">
        <v>6215</v>
      </c>
      <c r="J101" s="1242"/>
      <c r="K101" s="1331"/>
    </row>
    <row r="102" spans="1:11">
      <c r="A102" s="428" t="s">
        <v>8879</v>
      </c>
      <c r="B102" s="570" t="s">
        <v>8881</v>
      </c>
      <c r="C102" s="631" t="s">
        <v>6268</v>
      </c>
      <c r="D102" s="413" t="s">
        <v>123</v>
      </c>
      <c r="E102" s="384">
        <v>1</v>
      </c>
      <c r="F102" s="482" t="s">
        <v>2895</v>
      </c>
      <c r="G102" s="486" t="s">
        <v>5264</v>
      </c>
      <c r="H102" s="593" t="s">
        <v>2896</v>
      </c>
      <c r="I102" s="634" t="s">
        <v>6215</v>
      </c>
      <c r="J102" s="1242"/>
      <c r="K102" s="1331"/>
    </row>
    <row r="103" spans="1:11">
      <c r="A103" s="428" t="s">
        <v>8879</v>
      </c>
      <c r="B103" s="570" t="s">
        <v>8881</v>
      </c>
      <c r="C103" s="631" t="s">
        <v>6268</v>
      </c>
      <c r="D103" s="413" t="s">
        <v>123</v>
      </c>
      <c r="E103" s="384">
        <v>1</v>
      </c>
      <c r="F103" s="482">
        <v>6</v>
      </c>
      <c r="G103" s="486" t="s">
        <v>5265</v>
      </c>
      <c r="H103" s="593" t="s">
        <v>2897</v>
      </c>
      <c r="I103" s="634" t="s">
        <v>6215</v>
      </c>
      <c r="J103" s="1242"/>
      <c r="K103" s="1331"/>
    </row>
    <row r="104" spans="1:11">
      <c r="A104" s="428" t="s">
        <v>8879</v>
      </c>
      <c r="B104" s="570" t="s">
        <v>8881</v>
      </c>
      <c r="C104" s="631" t="s">
        <v>6268</v>
      </c>
      <c r="D104" s="413" t="s">
        <v>123</v>
      </c>
      <c r="E104" s="384">
        <v>1</v>
      </c>
      <c r="F104" s="482" t="s">
        <v>2898</v>
      </c>
      <c r="G104" s="486" t="s">
        <v>5266</v>
      </c>
      <c r="H104" s="593" t="s">
        <v>2899</v>
      </c>
      <c r="I104" s="634" t="s">
        <v>6215</v>
      </c>
      <c r="J104" s="1242"/>
      <c r="K104" s="1331"/>
    </row>
    <row r="105" spans="1:11">
      <c r="A105" s="428" t="s">
        <v>8879</v>
      </c>
      <c r="B105" s="570" t="s">
        <v>8881</v>
      </c>
      <c r="C105" s="631" t="s">
        <v>6268</v>
      </c>
      <c r="D105" s="413" t="s">
        <v>123</v>
      </c>
      <c r="E105" s="384">
        <v>1</v>
      </c>
      <c r="F105" s="482" t="s">
        <v>2900</v>
      </c>
      <c r="G105" s="486" t="s">
        <v>5267</v>
      </c>
      <c r="H105" s="593" t="s">
        <v>2901</v>
      </c>
      <c r="I105" s="634" t="s">
        <v>6215</v>
      </c>
      <c r="J105" s="1242"/>
      <c r="K105" s="1331"/>
    </row>
    <row r="106" spans="1:11">
      <c r="A106" s="428" t="s">
        <v>8879</v>
      </c>
      <c r="B106" s="570" t="s">
        <v>8881</v>
      </c>
      <c r="C106" s="631" t="s">
        <v>6268</v>
      </c>
      <c r="D106" s="413" t="s">
        <v>123</v>
      </c>
      <c r="E106" s="384">
        <v>1</v>
      </c>
      <c r="F106" s="482">
        <v>7</v>
      </c>
      <c r="G106" s="486" t="s">
        <v>5268</v>
      </c>
      <c r="H106" s="593" t="s">
        <v>2902</v>
      </c>
      <c r="I106" s="634" t="s">
        <v>6215</v>
      </c>
      <c r="J106" s="1242"/>
      <c r="K106" s="1331"/>
    </row>
    <row r="107" spans="1:11">
      <c r="A107" s="428" t="s">
        <v>8879</v>
      </c>
      <c r="B107" s="570" t="s">
        <v>8881</v>
      </c>
      <c r="C107" s="631" t="s">
        <v>6268</v>
      </c>
      <c r="D107" s="413" t="s">
        <v>123</v>
      </c>
      <c r="E107" s="384">
        <v>1</v>
      </c>
      <c r="F107" s="482" t="s">
        <v>2903</v>
      </c>
      <c r="G107" s="486" t="s">
        <v>5269</v>
      </c>
      <c r="H107" s="593" t="s">
        <v>2904</v>
      </c>
      <c r="I107" s="634" t="s">
        <v>6215</v>
      </c>
      <c r="J107" s="1242"/>
      <c r="K107" s="1331"/>
    </row>
    <row r="108" spans="1:11">
      <c r="A108" s="428" t="s">
        <v>8879</v>
      </c>
      <c r="B108" s="570" t="s">
        <v>8881</v>
      </c>
      <c r="C108" s="631" t="s">
        <v>6268</v>
      </c>
      <c r="D108" s="413" t="s">
        <v>123</v>
      </c>
      <c r="E108" s="384">
        <v>1</v>
      </c>
      <c r="F108" s="482" t="s">
        <v>2905</v>
      </c>
      <c r="G108" s="486" t="s">
        <v>5270</v>
      </c>
      <c r="H108" s="593" t="s">
        <v>2906</v>
      </c>
      <c r="I108" s="634" t="s">
        <v>6215</v>
      </c>
      <c r="J108" s="1242"/>
      <c r="K108" s="1331"/>
    </row>
    <row r="109" spans="1:11">
      <c r="A109" s="428" t="s">
        <v>8879</v>
      </c>
      <c r="B109" s="570" t="s">
        <v>8881</v>
      </c>
      <c r="C109" s="631" t="s">
        <v>6268</v>
      </c>
      <c r="D109" s="413" t="s">
        <v>123</v>
      </c>
      <c r="E109" s="384">
        <v>1</v>
      </c>
      <c r="F109" s="482" t="s">
        <v>2907</v>
      </c>
      <c r="G109" s="486" t="s">
        <v>5271</v>
      </c>
      <c r="H109" s="593" t="s">
        <v>2908</v>
      </c>
      <c r="I109" s="634" t="s">
        <v>6215</v>
      </c>
      <c r="J109" s="1242"/>
      <c r="K109" s="1331"/>
    </row>
    <row r="110" spans="1:11">
      <c r="A110" s="428" t="s">
        <v>8879</v>
      </c>
      <c r="B110" s="570" t="s">
        <v>8881</v>
      </c>
      <c r="C110" s="631" t="s">
        <v>6268</v>
      </c>
      <c r="D110" s="413" t="s">
        <v>123</v>
      </c>
      <c r="E110" s="384">
        <v>1</v>
      </c>
      <c r="F110" s="482" t="s">
        <v>2909</v>
      </c>
      <c r="G110" s="486" t="s">
        <v>5272</v>
      </c>
      <c r="H110" s="593" t="s">
        <v>2910</v>
      </c>
      <c r="I110" s="634" t="s">
        <v>6215</v>
      </c>
      <c r="J110" s="1242"/>
      <c r="K110" s="1331"/>
    </row>
    <row r="111" spans="1:11">
      <c r="A111" s="428" t="s">
        <v>8879</v>
      </c>
      <c r="B111" s="570" t="s">
        <v>8881</v>
      </c>
      <c r="C111" s="631" t="s">
        <v>6268</v>
      </c>
      <c r="D111" s="413" t="s">
        <v>123</v>
      </c>
      <c r="E111" s="384">
        <v>1</v>
      </c>
      <c r="F111" s="482">
        <v>8</v>
      </c>
      <c r="G111" s="486" t="s">
        <v>5273</v>
      </c>
      <c r="H111" s="593" t="s">
        <v>2911</v>
      </c>
      <c r="I111" s="634" t="s">
        <v>6215</v>
      </c>
      <c r="J111" s="1242"/>
      <c r="K111" s="1331"/>
    </row>
    <row r="112" spans="1:11">
      <c r="A112" s="428" t="s">
        <v>8879</v>
      </c>
      <c r="B112" s="570" t="s">
        <v>8881</v>
      </c>
      <c r="C112" s="631" t="s">
        <v>6268</v>
      </c>
      <c r="D112" s="413" t="s">
        <v>123</v>
      </c>
      <c r="E112" s="384">
        <v>1</v>
      </c>
      <c r="F112" s="482" t="s">
        <v>2912</v>
      </c>
      <c r="G112" s="486" t="s">
        <v>5274</v>
      </c>
      <c r="H112" s="593" t="s">
        <v>2913</v>
      </c>
      <c r="I112" s="634" t="s">
        <v>6215</v>
      </c>
      <c r="J112" s="1242"/>
      <c r="K112" s="1331"/>
    </row>
    <row r="113" spans="1:11">
      <c r="A113" s="428" t="s">
        <v>8879</v>
      </c>
      <c r="B113" s="570" t="s">
        <v>8881</v>
      </c>
      <c r="C113" s="631" t="s">
        <v>6268</v>
      </c>
      <c r="D113" s="413" t="s">
        <v>123</v>
      </c>
      <c r="E113" s="384">
        <v>1</v>
      </c>
      <c r="F113" s="482" t="s">
        <v>2914</v>
      </c>
      <c r="G113" s="486" t="s">
        <v>5275</v>
      </c>
      <c r="H113" s="593" t="s">
        <v>2915</v>
      </c>
      <c r="I113" s="634" t="s">
        <v>6215</v>
      </c>
      <c r="J113" s="1242"/>
      <c r="K113" s="1331"/>
    </row>
    <row r="114" spans="1:11">
      <c r="A114" s="428" t="s">
        <v>8879</v>
      </c>
      <c r="B114" s="570" t="s">
        <v>8881</v>
      </c>
      <c r="C114" s="631" t="s">
        <v>6268</v>
      </c>
      <c r="D114" s="413" t="s">
        <v>123</v>
      </c>
      <c r="E114" s="384">
        <v>1</v>
      </c>
      <c r="F114" s="482" t="s">
        <v>2916</v>
      </c>
      <c r="G114" s="486" t="s">
        <v>5276</v>
      </c>
      <c r="H114" s="593" t="s">
        <v>2917</v>
      </c>
      <c r="I114" s="634" t="s">
        <v>6215</v>
      </c>
      <c r="J114" s="1242"/>
      <c r="K114" s="1331"/>
    </row>
    <row r="115" spans="1:11">
      <c r="A115" s="428" t="s">
        <v>8879</v>
      </c>
      <c r="B115" s="570" t="s">
        <v>8881</v>
      </c>
      <c r="C115" s="631" t="s">
        <v>6268</v>
      </c>
      <c r="D115" s="413" t="s">
        <v>123</v>
      </c>
      <c r="E115" s="384">
        <v>1</v>
      </c>
      <c r="F115" s="482" t="s">
        <v>2918</v>
      </c>
      <c r="G115" s="486" t="s">
        <v>5277</v>
      </c>
      <c r="H115" s="593" t="s">
        <v>2919</v>
      </c>
      <c r="I115" s="634" t="s">
        <v>6215</v>
      </c>
      <c r="J115" s="1242"/>
      <c r="K115" s="1331"/>
    </row>
    <row r="116" spans="1:11">
      <c r="A116" s="428" t="s">
        <v>8879</v>
      </c>
      <c r="B116" s="570" t="s">
        <v>8881</v>
      </c>
      <c r="C116" s="631" t="s">
        <v>6268</v>
      </c>
      <c r="D116" s="413" t="s">
        <v>123</v>
      </c>
      <c r="E116" s="384">
        <v>1</v>
      </c>
      <c r="F116" s="482" t="s">
        <v>2920</v>
      </c>
      <c r="G116" s="486" t="s">
        <v>5278</v>
      </c>
      <c r="H116" s="593" t="s">
        <v>2921</v>
      </c>
      <c r="I116" s="634" t="s">
        <v>6215</v>
      </c>
      <c r="J116" s="1242"/>
      <c r="K116" s="1331"/>
    </row>
    <row r="117" spans="1:11">
      <c r="A117" s="428" t="s">
        <v>8879</v>
      </c>
      <c r="B117" s="570" t="s">
        <v>8881</v>
      </c>
      <c r="C117" s="631" t="s">
        <v>6268</v>
      </c>
      <c r="D117" s="413" t="s">
        <v>123</v>
      </c>
      <c r="E117" s="384">
        <v>1</v>
      </c>
      <c r="F117" s="482" t="s">
        <v>2922</v>
      </c>
      <c r="G117" s="486" t="s">
        <v>5279</v>
      </c>
      <c r="H117" s="593" t="s">
        <v>2923</v>
      </c>
      <c r="I117" s="634" t="s">
        <v>6215</v>
      </c>
      <c r="J117" s="1242"/>
      <c r="K117" s="1331"/>
    </row>
    <row r="118" spans="1:11">
      <c r="A118" s="428" t="s">
        <v>8879</v>
      </c>
      <c r="B118" s="570" t="s">
        <v>8881</v>
      </c>
      <c r="C118" s="631" t="s">
        <v>6268</v>
      </c>
      <c r="D118" s="413" t="s">
        <v>123</v>
      </c>
      <c r="E118" s="384">
        <v>1</v>
      </c>
      <c r="F118" s="482" t="s">
        <v>2924</v>
      </c>
      <c r="G118" s="486" t="s">
        <v>5280</v>
      </c>
      <c r="H118" s="593" t="s">
        <v>2925</v>
      </c>
      <c r="I118" s="634" t="s">
        <v>6215</v>
      </c>
      <c r="J118" s="1242"/>
      <c r="K118" s="1331"/>
    </row>
    <row r="119" spans="1:11">
      <c r="A119" s="428" t="s">
        <v>8879</v>
      </c>
      <c r="B119" s="570" t="s">
        <v>8881</v>
      </c>
      <c r="C119" s="631" t="s">
        <v>6268</v>
      </c>
      <c r="D119" s="413" t="s">
        <v>123</v>
      </c>
      <c r="E119" s="384">
        <v>1</v>
      </c>
      <c r="F119" s="482" t="s">
        <v>2926</v>
      </c>
      <c r="G119" s="486" t="s">
        <v>5281</v>
      </c>
      <c r="H119" s="593" t="s">
        <v>2927</v>
      </c>
      <c r="I119" s="634" t="s">
        <v>6215</v>
      </c>
      <c r="J119" s="1242"/>
      <c r="K119" s="1331"/>
    </row>
    <row r="120" spans="1:11">
      <c r="A120" s="428" t="s">
        <v>8879</v>
      </c>
      <c r="B120" s="570" t="s">
        <v>8881</v>
      </c>
      <c r="C120" s="631" t="s">
        <v>6268</v>
      </c>
      <c r="D120" s="413" t="s">
        <v>123</v>
      </c>
      <c r="E120" s="384">
        <v>1</v>
      </c>
      <c r="F120" s="482">
        <v>9</v>
      </c>
      <c r="G120" s="486" t="s">
        <v>5282</v>
      </c>
      <c r="H120" s="593" t="s">
        <v>2928</v>
      </c>
      <c r="I120" s="634" t="s">
        <v>6215</v>
      </c>
      <c r="J120" s="1242"/>
      <c r="K120" s="1331"/>
    </row>
    <row r="121" spans="1:11">
      <c r="A121" s="428" t="s">
        <v>8879</v>
      </c>
      <c r="B121" s="570" t="s">
        <v>8881</v>
      </c>
      <c r="C121" s="631" t="s">
        <v>6268</v>
      </c>
      <c r="D121" s="413" t="s">
        <v>123</v>
      </c>
      <c r="E121" s="384">
        <v>1</v>
      </c>
      <c r="F121" s="482" t="s">
        <v>2929</v>
      </c>
      <c r="G121" s="486" t="s">
        <v>5283</v>
      </c>
      <c r="H121" s="593" t="s">
        <v>2930</v>
      </c>
      <c r="I121" s="634" t="s">
        <v>6215</v>
      </c>
      <c r="J121" s="1242"/>
      <c r="K121" s="1331"/>
    </row>
    <row r="122" spans="1:11">
      <c r="A122" s="428" t="s">
        <v>8879</v>
      </c>
      <c r="B122" s="570" t="s">
        <v>8881</v>
      </c>
      <c r="C122" s="631" t="s">
        <v>6268</v>
      </c>
      <c r="D122" s="413" t="s">
        <v>123</v>
      </c>
      <c r="E122" s="384">
        <v>1</v>
      </c>
      <c r="F122" s="482" t="s">
        <v>2931</v>
      </c>
      <c r="G122" s="486" t="s">
        <v>5284</v>
      </c>
      <c r="H122" s="593" t="s">
        <v>2932</v>
      </c>
      <c r="I122" s="634" t="s">
        <v>6215</v>
      </c>
      <c r="J122" s="1242"/>
      <c r="K122" s="1331"/>
    </row>
    <row r="123" spans="1:11">
      <c r="A123" s="428" t="s">
        <v>8879</v>
      </c>
      <c r="B123" s="570" t="s">
        <v>8881</v>
      </c>
      <c r="C123" s="631" t="s">
        <v>6268</v>
      </c>
      <c r="D123" s="413" t="s">
        <v>123</v>
      </c>
      <c r="E123" s="384">
        <v>1</v>
      </c>
      <c r="F123" s="482">
        <v>10</v>
      </c>
      <c r="G123" s="486" t="s">
        <v>5285</v>
      </c>
      <c r="H123" s="593" t="s">
        <v>2933</v>
      </c>
      <c r="I123" s="634" t="s">
        <v>6215</v>
      </c>
      <c r="J123" s="1242"/>
      <c r="K123" s="1331"/>
    </row>
    <row r="124" spans="1:11">
      <c r="A124" s="428" t="s">
        <v>8879</v>
      </c>
      <c r="B124" s="570" t="s">
        <v>8881</v>
      </c>
      <c r="C124" s="631" t="s">
        <v>6268</v>
      </c>
      <c r="D124" s="413" t="s">
        <v>123</v>
      </c>
      <c r="E124" s="384">
        <v>1</v>
      </c>
      <c r="F124" s="482" t="s">
        <v>2934</v>
      </c>
      <c r="G124" s="486" t="s">
        <v>5286</v>
      </c>
      <c r="H124" s="593" t="s">
        <v>2935</v>
      </c>
      <c r="I124" s="634" t="s">
        <v>6215</v>
      </c>
      <c r="J124" s="1242"/>
      <c r="K124" s="1331"/>
    </row>
    <row r="125" spans="1:11">
      <c r="A125" s="428" t="s">
        <v>8879</v>
      </c>
      <c r="B125" s="570" t="s">
        <v>8881</v>
      </c>
      <c r="C125" s="631" t="s">
        <v>6268</v>
      </c>
      <c r="D125" s="413" t="s">
        <v>123</v>
      </c>
      <c r="E125" s="384">
        <v>1</v>
      </c>
      <c r="F125" s="482" t="s">
        <v>2936</v>
      </c>
      <c r="G125" s="486" t="s">
        <v>5287</v>
      </c>
      <c r="H125" s="593" t="s">
        <v>2937</v>
      </c>
      <c r="I125" s="634" t="s">
        <v>6215</v>
      </c>
      <c r="J125" s="1242"/>
      <c r="K125" s="1331"/>
    </row>
    <row r="126" spans="1:11">
      <c r="A126" s="428" t="s">
        <v>8879</v>
      </c>
      <c r="B126" s="570" t="s">
        <v>8881</v>
      </c>
      <c r="C126" s="631" t="s">
        <v>6268</v>
      </c>
      <c r="D126" s="413" t="s">
        <v>123</v>
      </c>
      <c r="E126" s="384">
        <v>1</v>
      </c>
      <c r="F126" s="482" t="s">
        <v>2938</v>
      </c>
      <c r="G126" s="486" t="s">
        <v>5288</v>
      </c>
      <c r="H126" s="593" t="s">
        <v>2939</v>
      </c>
      <c r="I126" s="634" t="s">
        <v>6215</v>
      </c>
      <c r="J126" s="1242"/>
      <c r="K126" s="1331"/>
    </row>
    <row r="127" spans="1:11">
      <c r="A127" s="428" t="s">
        <v>8879</v>
      </c>
      <c r="B127" s="570" t="s">
        <v>8881</v>
      </c>
      <c r="C127" s="631" t="s">
        <v>6268</v>
      </c>
      <c r="D127" s="413" t="s">
        <v>123</v>
      </c>
      <c r="E127" s="384">
        <v>1</v>
      </c>
      <c r="F127" s="482" t="s">
        <v>2940</v>
      </c>
      <c r="G127" s="486" t="s">
        <v>5289</v>
      </c>
      <c r="H127" s="593" t="s">
        <v>2941</v>
      </c>
      <c r="I127" s="634" t="s">
        <v>6215</v>
      </c>
      <c r="J127" s="1242"/>
      <c r="K127" s="1331"/>
    </row>
    <row r="128" spans="1:11">
      <c r="A128" s="428" t="s">
        <v>8879</v>
      </c>
      <c r="B128" s="570" t="s">
        <v>8881</v>
      </c>
      <c r="C128" s="631" t="s">
        <v>6268</v>
      </c>
      <c r="D128" s="413" t="s">
        <v>123</v>
      </c>
      <c r="E128" s="384">
        <v>1</v>
      </c>
      <c r="F128" s="482" t="s">
        <v>2942</v>
      </c>
      <c r="G128" s="486" t="s">
        <v>5290</v>
      </c>
      <c r="H128" s="593" t="s">
        <v>2943</v>
      </c>
      <c r="I128" s="634" t="s">
        <v>6215</v>
      </c>
      <c r="J128" s="1242"/>
      <c r="K128" s="1331"/>
    </row>
    <row r="129" spans="1:11">
      <c r="A129" s="428" t="s">
        <v>8879</v>
      </c>
      <c r="B129" s="570" t="s">
        <v>8881</v>
      </c>
      <c r="C129" s="631" t="s">
        <v>6268</v>
      </c>
      <c r="D129" s="413" t="s">
        <v>123</v>
      </c>
      <c r="E129" s="384">
        <v>1</v>
      </c>
      <c r="F129" s="482" t="s">
        <v>2944</v>
      </c>
      <c r="G129" s="486" t="s">
        <v>5291</v>
      </c>
      <c r="H129" s="593" t="s">
        <v>2945</v>
      </c>
      <c r="I129" s="634" t="s">
        <v>6215</v>
      </c>
      <c r="J129" s="1242"/>
      <c r="K129" s="1331"/>
    </row>
    <row r="130" spans="1:11">
      <c r="A130" s="428" t="s">
        <v>8879</v>
      </c>
      <c r="B130" s="570" t="s">
        <v>8881</v>
      </c>
      <c r="C130" s="631" t="s">
        <v>6268</v>
      </c>
      <c r="D130" s="413" t="s">
        <v>123</v>
      </c>
      <c r="E130" s="384">
        <v>1</v>
      </c>
      <c r="F130" s="482" t="s">
        <v>2946</v>
      </c>
      <c r="G130" s="486" t="s">
        <v>5292</v>
      </c>
      <c r="H130" s="593" t="s">
        <v>2947</v>
      </c>
      <c r="I130" s="634" t="s">
        <v>6215</v>
      </c>
      <c r="J130" s="1242"/>
      <c r="K130" s="1331"/>
    </row>
    <row r="131" spans="1:11">
      <c r="A131" s="428" t="s">
        <v>8879</v>
      </c>
      <c r="B131" s="570" t="s">
        <v>8881</v>
      </c>
      <c r="C131" s="631" t="s">
        <v>6268</v>
      </c>
      <c r="D131" s="413" t="s">
        <v>123</v>
      </c>
      <c r="E131" s="384">
        <v>1</v>
      </c>
      <c r="F131" s="482" t="s">
        <v>2948</v>
      </c>
      <c r="G131" s="486" t="s">
        <v>5293</v>
      </c>
      <c r="H131" s="593" t="s">
        <v>2949</v>
      </c>
      <c r="I131" s="634" t="s">
        <v>6215</v>
      </c>
      <c r="J131" s="1242"/>
      <c r="K131" s="1331"/>
    </row>
    <row r="132" spans="1:11">
      <c r="A132" s="428" t="s">
        <v>8879</v>
      </c>
      <c r="B132" s="570" t="s">
        <v>8881</v>
      </c>
      <c r="C132" s="631" t="s">
        <v>6268</v>
      </c>
      <c r="D132" s="413" t="s">
        <v>123</v>
      </c>
      <c r="E132" s="384">
        <v>1</v>
      </c>
      <c r="F132" s="482" t="s">
        <v>2950</v>
      </c>
      <c r="G132" s="486" t="s">
        <v>5294</v>
      </c>
      <c r="H132" s="593" t="s">
        <v>2951</v>
      </c>
      <c r="I132" s="634" t="s">
        <v>6215</v>
      </c>
      <c r="J132" s="1242"/>
      <c r="K132" s="1331"/>
    </row>
    <row r="133" spans="1:11">
      <c r="A133" s="428" t="s">
        <v>8879</v>
      </c>
      <c r="B133" s="570" t="s">
        <v>8881</v>
      </c>
      <c r="C133" s="631" t="s">
        <v>6268</v>
      </c>
      <c r="D133" s="413" t="s">
        <v>123</v>
      </c>
      <c r="E133" s="384">
        <v>1</v>
      </c>
      <c r="F133" s="482" t="s">
        <v>2952</v>
      </c>
      <c r="G133" s="486" t="s">
        <v>5295</v>
      </c>
      <c r="H133" s="593" t="s">
        <v>2953</v>
      </c>
      <c r="I133" s="634" t="s">
        <v>6215</v>
      </c>
      <c r="J133" s="1242"/>
      <c r="K133" s="1331"/>
    </row>
    <row r="134" spans="1:11">
      <c r="A134" s="428" t="s">
        <v>8879</v>
      </c>
      <c r="B134" s="570" t="s">
        <v>8881</v>
      </c>
      <c r="C134" s="631" t="s">
        <v>6268</v>
      </c>
      <c r="D134" s="413" t="s">
        <v>123</v>
      </c>
      <c r="E134" s="384">
        <v>1</v>
      </c>
      <c r="F134" s="482" t="s">
        <v>2954</v>
      </c>
      <c r="G134" s="486" t="s">
        <v>5296</v>
      </c>
      <c r="H134" s="593" t="s">
        <v>2955</v>
      </c>
      <c r="I134" s="634" t="s">
        <v>6215</v>
      </c>
      <c r="J134" s="1242"/>
      <c r="K134" s="1331"/>
    </row>
    <row r="135" spans="1:11">
      <c r="A135" s="428" t="s">
        <v>8879</v>
      </c>
      <c r="B135" s="570" t="s">
        <v>8881</v>
      </c>
      <c r="C135" s="631" t="s">
        <v>6268</v>
      </c>
      <c r="D135" s="413" t="s">
        <v>123</v>
      </c>
      <c r="E135" s="384">
        <v>1</v>
      </c>
      <c r="F135" s="482" t="s">
        <v>2956</v>
      </c>
      <c r="G135" s="486" t="s">
        <v>5297</v>
      </c>
      <c r="H135" s="593" t="s">
        <v>2957</v>
      </c>
      <c r="I135" s="634" t="s">
        <v>6215</v>
      </c>
      <c r="J135" s="1242"/>
      <c r="K135" s="1331"/>
    </row>
    <row r="136" spans="1:11">
      <c r="A136" s="428" t="s">
        <v>8879</v>
      </c>
      <c r="B136" s="570" t="s">
        <v>8881</v>
      </c>
      <c r="C136" s="631" t="s">
        <v>6268</v>
      </c>
      <c r="D136" s="413" t="s">
        <v>123</v>
      </c>
      <c r="E136" s="384">
        <v>1</v>
      </c>
      <c r="F136" s="482" t="s">
        <v>2958</v>
      </c>
      <c r="G136" s="486" t="s">
        <v>5298</v>
      </c>
      <c r="H136" s="593" t="s">
        <v>2959</v>
      </c>
      <c r="I136" s="634" t="s">
        <v>6215</v>
      </c>
      <c r="J136" s="1242"/>
      <c r="K136" s="1331"/>
    </row>
    <row r="137" spans="1:11">
      <c r="A137" s="428" t="s">
        <v>8879</v>
      </c>
      <c r="B137" s="570" t="s">
        <v>8881</v>
      </c>
      <c r="C137" s="631" t="s">
        <v>6268</v>
      </c>
      <c r="D137" s="413" t="s">
        <v>123</v>
      </c>
      <c r="E137" s="384">
        <v>1</v>
      </c>
      <c r="F137" s="482" t="s">
        <v>2960</v>
      </c>
      <c r="G137" s="486" t="s">
        <v>5299</v>
      </c>
      <c r="H137" s="593" t="s">
        <v>2961</v>
      </c>
      <c r="I137" s="634" t="s">
        <v>6215</v>
      </c>
      <c r="J137" s="1242"/>
      <c r="K137" s="1331"/>
    </row>
    <row r="138" spans="1:11">
      <c r="A138" s="428" t="s">
        <v>8879</v>
      </c>
      <c r="B138" s="570" t="s">
        <v>8881</v>
      </c>
      <c r="C138" s="631" t="s">
        <v>6268</v>
      </c>
      <c r="D138" s="413" t="s">
        <v>123</v>
      </c>
      <c r="E138" s="384">
        <v>1</v>
      </c>
      <c r="F138" s="482" t="s">
        <v>2962</v>
      </c>
      <c r="G138" s="486" t="s">
        <v>5300</v>
      </c>
      <c r="H138" s="593" t="s">
        <v>2963</v>
      </c>
      <c r="I138" s="634" t="s">
        <v>6215</v>
      </c>
      <c r="J138" s="1242"/>
      <c r="K138" s="1331"/>
    </row>
    <row r="139" spans="1:11">
      <c r="A139" s="428" t="s">
        <v>8879</v>
      </c>
      <c r="B139" s="570" t="s">
        <v>8881</v>
      </c>
      <c r="C139" s="631" t="s">
        <v>6268</v>
      </c>
      <c r="D139" s="413" t="s">
        <v>123</v>
      </c>
      <c r="E139" s="384">
        <v>1</v>
      </c>
      <c r="F139" s="482" t="s">
        <v>2964</v>
      </c>
      <c r="G139" s="486" t="s">
        <v>5301</v>
      </c>
      <c r="H139" s="593" t="s">
        <v>2965</v>
      </c>
      <c r="I139" s="634" t="s">
        <v>6215</v>
      </c>
      <c r="J139" s="1242"/>
      <c r="K139" s="1331"/>
    </row>
    <row r="140" spans="1:11">
      <c r="A140" s="428" t="s">
        <v>8879</v>
      </c>
      <c r="B140" s="570" t="s">
        <v>8881</v>
      </c>
      <c r="C140" s="631" t="s">
        <v>6268</v>
      </c>
      <c r="D140" s="413" t="s">
        <v>123</v>
      </c>
      <c r="E140" s="384">
        <v>1</v>
      </c>
      <c r="F140" s="482" t="s">
        <v>2966</v>
      </c>
      <c r="G140" s="486" t="s">
        <v>5302</v>
      </c>
      <c r="H140" s="593" t="s">
        <v>2967</v>
      </c>
      <c r="I140" s="634" t="s">
        <v>6215</v>
      </c>
      <c r="J140" s="1242"/>
      <c r="K140" s="1331"/>
    </row>
    <row r="141" spans="1:11">
      <c r="A141" s="428" t="s">
        <v>8879</v>
      </c>
      <c r="B141" s="570" t="s">
        <v>8881</v>
      </c>
      <c r="C141" s="631" t="s">
        <v>6268</v>
      </c>
      <c r="D141" s="413" t="s">
        <v>123</v>
      </c>
      <c r="E141" s="384">
        <v>1</v>
      </c>
      <c r="F141" s="482" t="s">
        <v>2968</v>
      </c>
      <c r="G141" s="486" t="s">
        <v>5303</v>
      </c>
      <c r="H141" s="593" t="s">
        <v>2969</v>
      </c>
      <c r="I141" s="634" t="s">
        <v>6215</v>
      </c>
      <c r="J141" s="1242"/>
      <c r="K141" s="1331"/>
    </row>
    <row r="142" spans="1:11">
      <c r="A142" s="428" t="s">
        <v>8879</v>
      </c>
      <c r="B142" s="570" t="s">
        <v>8881</v>
      </c>
      <c r="C142" s="631" t="s">
        <v>6268</v>
      </c>
      <c r="D142" s="413" t="s">
        <v>123</v>
      </c>
      <c r="E142" s="384">
        <v>1</v>
      </c>
      <c r="F142" s="482" t="s">
        <v>2970</v>
      </c>
      <c r="G142" s="486" t="s">
        <v>5304</v>
      </c>
      <c r="H142" s="593" t="s">
        <v>2971</v>
      </c>
      <c r="I142" s="634" t="s">
        <v>6215</v>
      </c>
      <c r="J142" s="1242"/>
      <c r="K142" s="1331"/>
    </row>
    <row r="143" spans="1:11">
      <c r="A143" s="428" t="s">
        <v>8879</v>
      </c>
      <c r="B143" s="570" t="s">
        <v>8881</v>
      </c>
      <c r="C143" s="631" t="s">
        <v>6268</v>
      </c>
      <c r="D143" s="413" t="s">
        <v>123</v>
      </c>
      <c r="E143" s="384">
        <v>1</v>
      </c>
      <c r="F143" s="482" t="s">
        <v>2972</v>
      </c>
      <c r="G143" s="486" t="s">
        <v>5305</v>
      </c>
      <c r="H143" s="593" t="s">
        <v>2973</v>
      </c>
      <c r="I143" s="634" t="s">
        <v>6215</v>
      </c>
      <c r="J143" s="1242"/>
      <c r="K143" s="1331"/>
    </row>
    <row r="144" spans="1:11">
      <c r="A144" s="428" t="s">
        <v>8879</v>
      </c>
      <c r="B144" s="570" t="s">
        <v>8881</v>
      </c>
      <c r="C144" s="631" t="s">
        <v>6268</v>
      </c>
      <c r="D144" s="413" t="s">
        <v>123</v>
      </c>
      <c r="E144" s="384">
        <v>1</v>
      </c>
      <c r="F144" s="482" t="s">
        <v>2974</v>
      </c>
      <c r="G144" s="486" t="s">
        <v>5306</v>
      </c>
      <c r="H144" s="593" t="s">
        <v>2975</v>
      </c>
      <c r="I144" s="634" t="s">
        <v>6215</v>
      </c>
      <c r="J144" s="1242"/>
      <c r="K144" s="1331"/>
    </row>
    <row r="145" spans="1:11">
      <c r="A145" s="428" t="s">
        <v>8879</v>
      </c>
      <c r="B145" s="570" t="s">
        <v>8881</v>
      </c>
      <c r="C145" s="631" t="s">
        <v>6268</v>
      </c>
      <c r="D145" s="413" t="s">
        <v>123</v>
      </c>
      <c r="E145" s="384">
        <v>1</v>
      </c>
      <c r="F145" s="482" t="s">
        <v>2976</v>
      </c>
      <c r="G145" s="486" t="s">
        <v>5307</v>
      </c>
      <c r="H145" s="593" t="s">
        <v>2977</v>
      </c>
      <c r="I145" s="634" t="s">
        <v>6215</v>
      </c>
      <c r="J145" s="1242"/>
      <c r="K145" s="1331"/>
    </row>
    <row r="146" spans="1:11">
      <c r="A146" s="428" t="s">
        <v>8879</v>
      </c>
      <c r="B146" s="570" t="s">
        <v>8881</v>
      </c>
      <c r="C146" s="631" t="s">
        <v>6268</v>
      </c>
      <c r="D146" s="413" t="s">
        <v>123</v>
      </c>
      <c r="E146" s="384">
        <v>1</v>
      </c>
      <c r="F146" s="482" t="s">
        <v>2978</v>
      </c>
      <c r="G146" s="486" t="s">
        <v>5308</v>
      </c>
      <c r="H146" s="593" t="s">
        <v>2979</v>
      </c>
      <c r="I146" s="634" t="s">
        <v>6215</v>
      </c>
      <c r="J146" s="1242"/>
      <c r="K146" s="1331"/>
    </row>
    <row r="147" spans="1:11">
      <c r="A147" s="428" t="s">
        <v>8879</v>
      </c>
      <c r="B147" s="570" t="s">
        <v>8881</v>
      </c>
      <c r="C147" s="631" t="s">
        <v>6268</v>
      </c>
      <c r="D147" s="413" t="s">
        <v>123</v>
      </c>
      <c r="E147" s="384">
        <v>1</v>
      </c>
      <c r="F147" s="482" t="s">
        <v>2980</v>
      </c>
      <c r="G147" s="486" t="s">
        <v>5309</v>
      </c>
      <c r="H147" s="593" t="s">
        <v>2981</v>
      </c>
      <c r="I147" s="634" t="s">
        <v>6215</v>
      </c>
      <c r="J147" s="1242"/>
      <c r="K147" s="1331"/>
    </row>
    <row r="148" spans="1:11">
      <c r="A148" s="428" t="s">
        <v>8879</v>
      </c>
      <c r="B148" s="570" t="s">
        <v>8881</v>
      </c>
      <c r="C148" s="631" t="s">
        <v>6268</v>
      </c>
      <c r="D148" s="413" t="s">
        <v>123</v>
      </c>
      <c r="E148" s="384">
        <v>1</v>
      </c>
      <c r="F148" s="482" t="s">
        <v>2982</v>
      </c>
      <c r="G148" s="486" t="s">
        <v>5310</v>
      </c>
      <c r="H148" s="593" t="s">
        <v>2983</v>
      </c>
      <c r="I148" s="634" t="s">
        <v>6215</v>
      </c>
      <c r="J148" s="1242"/>
      <c r="K148" s="1331"/>
    </row>
    <row r="149" spans="1:11">
      <c r="A149" s="428" t="s">
        <v>8879</v>
      </c>
      <c r="B149" s="570" t="s">
        <v>8881</v>
      </c>
      <c r="C149" s="631" t="s">
        <v>6268</v>
      </c>
      <c r="D149" s="413" t="s">
        <v>123</v>
      </c>
      <c r="E149" s="384">
        <v>1</v>
      </c>
      <c r="F149" s="482" t="s">
        <v>2984</v>
      </c>
      <c r="G149" s="486" t="s">
        <v>5311</v>
      </c>
      <c r="H149" s="593" t="s">
        <v>2985</v>
      </c>
      <c r="I149" s="634" t="s">
        <v>6215</v>
      </c>
      <c r="J149" s="1242"/>
      <c r="K149" s="1331"/>
    </row>
    <row r="150" spans="1:11">
      <c r="A150" s="428" t="s">
        <v>8879</v>
      </c>
      <c r="B150" s="570" t="s">
        <v>8881</v>
      </c>
      <c r="C150" s="631" t="s">
        <v>6268</v>
      </c>
      <c r="D150" s="413" t="s">
        <v>123</v>
      </c>
      <c r="E150" s="384">
        <v>1</v>
      </c>
      <c r="F150" s="482" t="s">
        <v>2986</v>
      </c>
      <c r="G150" s="486" t="s">
        <v>5312</v>
      </c>
      <c r="H150" s="593" t="s">
        <v>2987</v>
      </c>
      <c r="I150" s="634" t="s">
        <v>6215</v>
      </c>
      <c r="J150" s="1242"/>
      <c r="K150" s="1331"/>
    </row>
    <row r="151" spans="1:11">
      <c r="A151" s="428" t="s">
        <v>8879</v>
      </c>
      <c r="B151" s="570" t="s">
        <v>8881</v>
      </c>
      <c r="C151" s="631" t="s">
        <v>6268</v>
      </c>
      <c r="D151" s="413" t="s">
        <v>123</v>
      </c>
      <c r="E151" s="384">
        <v>1</v>
      </c>
      <c r="F151" s="482" t="s">
        <v>2988</v>
      </c>
      <c r="G151" s="486" t="s">
        <v>5313</v>
      </c>
      <c r="H151" s="593" t="s">
        <v>2989</v>
      </c>
      <c r="I151" s="634" t="s">
        <v>6215</v>
      </c>
      <c r="J151" s="1242"/>
      <c r="K151" s="1331"/>
    </row>
    <row r="152" spans="1:11">
      <c r="A152" s="428" t="s">
        <v>8879</v>
      </c>
      <c r="B152" s="570" t="s">
        <v>8881</v>
      </c>
      <c r="C152" s="631" t="s">
        <v>6268</v>
      </c>
      <c r="D152" s="413" t="s">
        <v>123</v>
      </c>
      <c r="E152" s="384">
        <v>1</v>
      </c>
      <c r="F152" s="482" t="s">
        <v>2990</v>
      </c>
      <c r="G152" s="486" t="s">
        <v>5314</v>
      </c>
      <c r="H152" s="593" t="s">
        <v>2991</v>
      </c>
      <c r="I152" s="634" t="s">
        <v>6215</v>
      </c>
      <c r="J152" s="1242"/>
      <c r="K152" s="1331"/>
    </row>
    <row r="153" spans="1:11">
      <c r="A153" s="428" t="s">
        <v>8879</v>
      </c>
      <c r="B153" s="570" t="s">
        <v>8881</v>
      </c>
      <c r="C153" s="631" t="s">
        <v>6268</v>
      </c>
      <c r="D153" s="413" t="s">
        <v>123</v>
      </c>
      <c r="E153" s="384">
        <v>1</v>
      </c>
      <c r="F153" s="482" t="s">
        <v>2992</v>
      </c>
      <c r="G153" s="486" t="s">
        <v>5315</v>
      </c>
      <c r="H153" s="593" t="s">
        <v>2993</v>
      </c>
      <c r="I153" s="634" t="s">
        <v>6215</v>
      </c>
      <c r="J153" s="1242"/>
      <c r="K153" s="1331"/>
    </row>
    <row r="154" spans="1:11">
      <c r="A154" s="428" t="s">
        <v>8879</v>
      </c>
      <c r="B154" s="570" t="s">
        <v>8881</v>
      </c>
      <c r="C154" s="631" t="s">
        <v>6268</v>
      </c>
      <c r="D154" s="413" t="s">
        <v>123</v>
      </c>
      <c r="E154" s="384">
        <v>1</v>
      </c>
      <c r="F154" s="482" t="s">
        <v>2994</v>
      </c>
      <c r="G154" s="486" t="s">
        <v>5316</v>
      </c>
      <c r="H154" s="593" t="s">
        <v>2995</v>
      </c>
      <c r="I154" s="634" t="s">
        <v>6215</v>
      </c>
      <c r="J154" s="1242"/>
      <c r="K154" s="1331"/>
    </row>
    <row r="155" spans="1:11">
      <c r="A155" s="428" t="s">
        <v>8879</v>
      </c>
      <c r="B155" s="570" t="s">
        <v>8881</v>
      </c>
      <c r="C155" s="631" t="s">
        <v>6268</v>
      </c>
      <c r="D155" s="413" t="s">
        <v>123</v>
      </c>
      <c r="E155" s="384">
        <v>1</v>
      </c>
      <c r="F155" s="482" t="s">
        <v>2996</v>
      </c>
      <c r="G155" s="486" t="s">
        <v>5317</v>
      </c>
      <c r="H155" s="593" t="s">
        <v>2997</v>
      </c>
      <c r="I155" s="634" t="s">
        <v>6215</v>
      </c>
      <c r="J155" s="1242"/>
      <c r="K155" s="1331"/>
    </row>
    <row r="156" spans="1:11">
      <c r="A156" s="428" t="s">
        <v>8879</v>
      </c>
      <c r="B156" s="570" t="s">
        <v>8881</v>
      </c>
      <c r="C156" s="631" t="s">
        <v>6268</v>
      </c>
      <c r="D156" s="413" t="s">
        <v>123</v>
      </c>
      <c r="E156" s="384">
        <v>1</v>
      </c>
      <c r="F156" s="482" t="s">
        <v>2998</v>
      </c>
      <c r="G156" s="486" t="s">
        <v>5318</v>
      </c>
      <c r="H156" s="593" t="s">
        <v>2999</v>
      </c>
      <c r="I156" s="634" t="s">
        <v>6215</v>
      </c>
      <c r="J156" s="1242"/>
      <c r="K156" s="1331"/>
    </row>
    <row r="157" spans="1:11">
      <c r="A157" s="428" t="s">
        <v>8879</v>
      </c>
      <c r="B157" s="570" t="s">
        <v>8881</v>
      </c>
      <c r="C157" s="631" t="s">
        <v>6268</v>
      </c>
      <c r="D157" s="413" t="s">
        <v>123</v>
      </c>
      <c r="E157" s="384">
        <v>1</v>
      </c>
      <c r="F157" s="482">
        <v>11</v>
      </c>
      <c r="G157" s="486" t="s">
        <v>5319</v>
      </c>
      <c r="H157" s="593" t="s">
        <v>3000</v>
      </c>
      <c r="I157" s="634" t="s">
        <v>6215</v>
      </c>
      <c r="J157" s="1242"/>
      <c r="K157" s="1331"/>
    </row>
    <row r="158" spans="1:11">
      <c r="A158" s="428" t="s">
        <v>8879</v>
      </c>
      <c r="B158" s="570" t="s">
        <v>8881</v>
      </c>
      <c r="C158" s="631" t="s">
        <v>6268</v>
      </c>
      <c r="D158" s="413" t="s">
        <v>123</v>
      </c>
      <c r="E158" s="384">
        <v>1</v>
      </c>
      <c r="F158" s="482" t="s">
        <v>3001</v>
      </c>
      <c r="G158" s="486" t="s">
        <v>5320</v>
      </c>
      <c r="H158" s="593" t="s">
        <v>3002</v>
      </c>
      <c r="I158" s="634" t="s">
        <v>6215</v>
      </c>
      <c r="J158" s="1242"/>
      <c r="K158" s="1331"/>
    </row>
    <row r="159" spans="1:11">
      <c r="A159" s="428" t="s">
        <v>8879</v>
      </c>
      <c r="B159" s="570" t="s">
        <v>8881</v>
      </c>
      <c r="C159" s="631" t="s">
        <v>6268</v>
      </c>
      <c r="D159" s="413" t="s">
        <v>123</v>
      </c>
      <c r="E159" s="384">
        <v>1</v>
      </c>
      <c r="F159" s="482" t="s">
        <v>3003</v>
      </c>
      <c r="G159" s="486" t="s">
        <v>5321</v>
      </c>
      <c r="H159" s="593" t="s">
        <v>3004</v>
      </c>
      <c r="I159" s="634" t="s">
        <v>6215</v>
      </c>
      <c r="J159" s="1242"/>
      <c r="K159" s="1331"/>
    </row>
    <row r="160" spans="1:11">
      <c r="A160" s="428" t="s">
        <v>8879</v>
      </c>
      <c r="B160" s="570" t="s">
        <v>8881</v>
      </c>
      <c r="C160" s="631" t="s">
        <v>6268</v>
      </c>
      <c r="D160" s="413" t="s">
        <v>123</v>
      </c>
      <c r="E160" s="384">
        <v>1</v>
      </c>
      <c r="F160" s="482" t="s">
        <v>3005</v>
      </c>
      <c r="G160" s="486" t="s">
        <v>5322</v>
      </c>
      <c r="H160" s="593" t="s">
        <v>3006</v>
      </c>
      <c r="I160" s="634" t="s">
        <v>6215</v>
      </c>
      <c r="J160" s="1242"/>
      <c r="K160" s="1331"/>
    </row>
    <row r="161" spans="1:11">
      <c r="A161" s="428" t="s">
        <v>8879</v>
      </c>
      <c r="B161" s="570" t="s">
        <v>8881</v>
      </c>
      <c r="C161" s="631" t="s">
        <v>6268</v>
      </c>
      <c r="D161" s="413" t="s">
        <v>123</v>
      </c>
      <c r="E161" s="384">
        <v>1</v>
      </c>
      <c r="F161" s="482" t="s">
        <v>3007</v>
      </c>
      <c r="G161" s="486" t="s">
        <v>5323</v>
      </c>
      <c r="H161" s="593" t="s">
        <v>3008</v>
      </c>
      <c r="I161" s="634" t="s">
        <v>6215</v>
      </c>
      <c r="J161" s="1242"/>
      <c r="K161" s="1331"/>
    </row>
    <row r="162" spans="1:11">
      <c r="A162" s="428" t="s">
        <v>8879</v>
      </c>
      <c r="B162" s="570" t="s">
        <v>8881</v>
      </c>
      <c r="C162" s="631" t="s">
        <v>6268</v>
      </c>
      <c r="D162" s="413" t="s">
        <v>123</v>
      </c>
      <c r="E162" s="384">
        <v>1</v>
      </c>
      <c r="F162" s="482" t="s">
        <v>3009</v>
      </c>
      <c r="G162" s="486" t="s">
        <v>5324</v>
      </c>
      <c r="H162" s="593" t="s">
        <v>3010</v>
      </c>
      <c r="I162" s="634" t="s">
        <v>6215</v>
      </c>
      <c r="J162" s="1242"/>
      <c r="K162" s="1331"/>
    </row>
    <row r="163" spans="1:11">
      <c r="A163" s="428" t="s">
        <v>8879</v>
      </c>
      <c r="B163" s="570" t="s">
        <v>8881</v>
      </c>
      <c r="C163" s="631" t="s">
        <v>6268</v>
      </c>
      <c r="D163" s="413" t="s">
        <v>123</v>
      </c>
      <c r="E163" s="384">
        <v>1</v>
      </c>
      <c r="F163" s="482" t="s">
        <v>3011</v>
      </c>
      <c r="G163" s="486" t="s">
        <v>5325</v>
      </c>
      <c r="H163" s="593" t="s">
        <v>3012</v>
      </c>
      <c r="I163" s="634" t="s">
        <v>6215</v>
      </c>
      <c r="J163" s="1242"/>
      <c r="K163" s="1331"/>
    </row>
    <row r="164" spans="1:11">
      <c r="A164" s="428" t="s">
        <v>8879</v>
      </c>
      <c r="B164" s="570" t="s">
        <v>8881</v>
      </c>
      <c r="C164" s="631" t="s">
        <v>6268</v>
      </c>
      <c r="D164" s="413" t="s">
        <v>123</v>
      </c>
      <c r="E164" s="384">
        <v>1</v>
      </c>
      <c r="F164" s="482" t="s">
        <v>3013</v>
      </c>
      <c r="G164" s="486" t="s">
        <v>5326</v>
      </c>
      <c r="H164" s="593" t="s">
        <v>3014</v>
      </c>
      <c r="I164" s="634" t="s">
        <v>6215</v>
      </c>
      <c r="J164" s="1242"/>
      <c r="K164" s="1331"/>
    </row>
    <row r="165" spans="1:11">
      <c r="A165" s="428" t="s">
        <v>8879</v>
      </c>
      <c r="B165" s="570" t="s">
        <v>8881</v>
      </c>
      <c r="C165" s="631" t="s">
        <v>6268</v>
      </c>
      <c r="D165" s="413" t="s">
        <v>123</v>
      </c>
      <c r="E165" s="384">
        <v>1</v>
      </c>
      <c r="F165" s="482">
        <v>12</v>
      </c>
      <c r="G165" s="486" t="s">
        <v>5327</v>
      </c>
      <c r="H165" s="593" t="s">
        <v>3015</v>
      </c>
      <c r="I165" s="634" t="s">
        <v>6215</v>
      </c>
      <c r="J165" s="1242"/>
      <c r="K165" s="1331"/>
    </row>
    <row r="166" spans="1:11">
      <c r="A166" s="428" t="s">
        <v>8879</v>
      </c>
      <c r="B166" s="570" t="s">
        <v>8881</v>
      </c>
      <c r="C166" s="631" t="s">
        <v>6268</v>
      </c>
      <c r="D166" s="413" t="s">
        <v>123</v>
      </c>
      <c r="E166" s="384">
        <v>1</v>
      </c>
      <c r="F166" s="482">
        <v>13</v>
      </c>
      <c r="G166" s="486" t="s">
        <v>5328</v>
      </c>
      <c r="H166" s="593" t="s">
        <v>3016</v>
      </c>
      <c r="I166" s="634" t="s">
        <v>6215</v>
      </c>
      <c r="J166" s="1242"/>
      <c r="K166" s="1331"/>
    </row>
    <row r="167" spans="1:11">
      <c r="A167" s="428" t="s">
        <v>8879</v>
      </c>
      <c r="B167" s="570" t="s">
        <v>8881</v>
      </c>
      <c r="C167" s="631" t="s">
        <v>6268</v>
      </c>
      <c r="D167" s="413" t="s">
        <v>123</v>
      </c>
      <c r="E167" s="384">
        <v>1</v>
      </c>
      <c r="F167" s="482" t="s">
        <v>3017</v>
      </c>
      <c r="G167" s="486" t="s">
        <v>5329</v>
      </c>
      <c r="H167" s="593" t="s">
        <v>3018</v>
      </c>
      <c r="I167" s="634" t="s">
        <v>6215</v>
      </c>
      <c r="J167" s="1242"/>
      <c r="K167" s="1331"/>
    </row>
    <row r="168" spans="1:11">
      <c r="A168" s="428" t="s">
        <v>8879</v>
      </c>
      <c r="B168" s="570" t="s">
        <v>8881</v>
      </c>
      <c r="C168" s="631" t="s">
        <v>6268</v>
      </c>
      <c r="D168" s="413" t="s">
        <v>123</v>
      </c>
      <c r="E168" s="384">
        <v>1</v>
      </c>
      <c r="F168" s="482" t="s">
        <v>3019</v>
      </c>
      <c r="G168" s="486" t="s">
        <v>5330</v>
      </c>
      <c r="H168" s="593" t="s">
        <v>3020</v>
      </c>
      <c r="I168" s="634" t="s">
        <v>6215</v>
      </c>
      <c r="J168" s="1242"/>
      <c r="K168" s="1331"/>
    </row>
    <row r="169" spans="1:11">
      <c r="A169" s="428" t="s">
        <v>8879</v>
      </c>
      <c r="B169" s="570" t="s">
        <v>8881</v>
      </c>
      <c r="C169" s="631" t="s">
        <v>6268</v>
      </c>
      <c r="D169" s="413" t="s">
        <v>123</v>
      </c>
      <c r="E169" s="384">
        <v>1</v>
      </c>
      <c r="F169" s="482" t="s">
        <v>3021</v>
      </c>
      <c r="G169" s="486" t="s">
        <v>5331</v>
      </c>
      <c r="H169" s="593" t="s">
        <v>3022</v>
      </c>
      <c r="I169" s="634" t="s">
        <v>6215</v>
      </c>
      <c r="J169" s="1242"/>
      <c r="K169" s="1331"/>
    </row>
    <row r="170" spans="1:11">
      <c r="A170" s="428" t="s">
        <v>8879</v>
      </c>
      <c r="B170" s="570" t="s">
        <v>8881</v>
      </c>
      <c r="C170" s="631" t="s">
        <v>6268</v>
      </c>
      <c r="D170" s="413" t="s">
        <v>123</v>
      </c>
      <c r="E170" s="384">
        <v>1</v>
      </c>
      <c r="F170" s="482" t="s">
        <v>3023</v>
      </c>
      <c r="G170" s="486" t="s">
        <v>5332</v>
      </c>
      <c r="H170" s="593" t="s">
        <v>3024</v>
      </c>
      <c r="I170" s="634" t="s">
        <v>6215</v>
      </c>
      <c r="J170" s="1242"/>
      <c r="K170" s="1331"/>
    </row>
    <row r="171" spans="1:11">
      <c r="A171" s="428" t="s">
        <v>8879</v>
      </c>
      <c r="B171" s="570" t="s">
        <v>8881</v>
      </c>
      <c r="C171" s="631" t="s">
        <v>6268</v>
      </c>
      <c r="D171" s="413" t="s">
        <v>123</v>
      </c>
      <c r="E171" s="384">
        <v>1</v>
      </c>
      <c r="F171" s="482" t="s">
        <v>3025</v>
      </c>
      <c r="G171" s="486" t="s">
        <v>5333</v>
      </c>
      <c r="H171" s="593" t="s">
        <v>3026</v>
      </c>
      <c r="I171" s="634" t="s">
        <v>6215</v>
      </c>
      <c r="J171" s="1242"/>
      <c r="K171" s="1331"/>
    </row>
    <row r="172" spans="1:11">
      <c r="A172" s="428" t="s">
        <v>8879</v>
      </c>
      <c r="B172" s="570" t="s">
        <v>8881</v>
      </c>
      <c r="C172" s="631" t="s">
        <v>6268</v>
      </c>
      <c r="D172" s="413" t="s">
        <v>123</v>
      </c>
      <c r="E172" s="384">
        <v>1</v>
      </c>
      <c r="F172" s="482" t="s">
        <v>3027</v>
      </c>
      <c r="G172" s="486" t="s">
        <v>5334</v>
      </c>
      <c r="H172" s="593" t="s">
        <v>3028</v>
      </c>
      <c r="I172" s="634" t="s">
        <v>6215</v>
      </c>
      <c r="J172" s="1242"/>
      <c r="K172" s="1331"/>
    </row>
    <row r="173" spans="1:11">
      <c r="A173" s="428" t="s">
        <v>8879</v>
      </c>
      <c r="B173" s="570" t="s">
        <v>8881</v>
      </c>
      <c r="C173" s="631" t="s">
        <v>6268</v>
      </c>
      <c r="D173" s="413" t="s">
        <v>123</v>
      </c>
      <c r="E173" s="384">
        <v>1</v>
      </c>
      <c r="F173" s="482" t="s">
        <v>3029</v>
      </c>
      <c r="G173" s="486" t="s">
        <v>5335</v>
      </c>
      <c r="H173" s="593" t="s">
        <v>3030</v>
      </c>
      <c r="I173" s="634" t="s">
        <v>6215</v>
      </c>
      <c r="J173" s="1242"/>
      <c r="K173" s="1331"/>
    </row>
    <row r="174" spans="1:11">
      <c r="A174" s="428" t="s">
        <v>8879</v>
      </c>
      <c r="B174" s="570" t="s">
        <v>8881</v>
      </c>
      <c r="C174" s="631" t="s">
        <v>6268</v>
      </c>
      <c r="D174" s="413" t="s">
        <v>123</v>
      </c>
      <c r="E174" s="384">
        <v>1</v>
      </c>
      <c r="F174" s="482" t="s">
        <v>3031</v>
      </c>
      <c r="G174" s="486" t="s">
        <v>5336</v>
      </c>
      <c r="H174" s="593" t="s">
        <v>3032</v>
      </c>
      <c r="I174" s="634" t="s">
        <v>6215</v>
      </c>
      <c r="J174" s="1242"/>
      <c r="K174" s="1331"/>
    </row>
    <row r="175" spans="1:11">
      <c r="A175" s="428" t="s">
        <v>8879</v>
      </c>
      <c r="B175" s="570" t="s">
        <v>8881</v>
      </c>
      <c r="C175" s="631" t="s">
        <v>6268</v>
      </c>
      <c r="D175" s="413" t="s">
        <v>123</v>
      </c>
      <c r="E175" s="384">
        <v>1</v>
      </c>
      <c r="F175" s="482" t="s">
        <v>3033</v>
      </c>
      <c r="G175" s="486" t="s">
        <v>5337</v>
      </c>
      <c r="H175" s="593" t="s">
        <v>3034</v>
      </c>
      <c r="I175" s="634" t="s">
        <v>6215</v>
      </c>
      <c r="J175" s="1242"/>
      <c r="K175" s="1331"/>
    </row>
    <row r="176" spans="1:11">
      <c r="A176" s="428" t="s">
        <v>8879</v>
      </c>
      <c r="B176" s="570" t="s">
        <v>8881</v>
      </c>
      <c r="C176" s="631" t="s">
        <v>6268</v>
      </c>
      <c r="D176" s="413" t="s">
        <v>123</v>
      </c>
      <c r="E176" s="384">
        <v>1</v>
      </c>
      <c r="F176" s="482" t="s">
        <v>3035</v>
      </c>
      <c r="G176" s="486" t="s">
        <v>5338</v>
      </c>
      <c r="H176" s="593" t="s">
        <v>3036</v>
      </c>
      <c r="I176" s="634" t="s">
        <v>6215</v>
      </c>
      <c r="J176" s="1242"/>
      <c r="K176" s="1331"/>
    </row>
    <row r="177" spans="1:11">
      <c r="A177" s="428" t="s">
        <v>8879</v>
      </c>
      <c r="B177" s="570" t="s">
        <v>8881</v>
      </c>
      <c r="C177" s="631" t="s">
        <v>6268</v>
      </c>
      <c r="D177" s="413" t="s">
        <v>123</v>
      </c>
      <c r="E177" s="384">
        <v>1</v>
      </c>
      <c r="F177" s="482" t="s">
        <v>3037</v>
      </c>
      <c r="G177" s="486" t="s">
        <v>5339</v>
      </c>
      <c r="H177" s="593" t="s">
        <v>3038</v>
      </c>
      <c r="I177" s="634" t="s">
        <v>6215</v>
      </c>
      <c r="J177" s="1242"/>
      <c r="K177" s="1331"/>
    </row>
    <row r="178" spans="1:11">
      <c r="A178" s="428" t="s">
        <v>8879</v>
      </c>
      <c r="B178" s="570" t="s">
        <v>8881</v>
      </c>
      <c r="C178" s="631" t="s">
        <v>6268</v>
      </c>
      <c r="D178" s="413" t="s">
        <v>123</v>
      </c>
      <c r="E178" s="384">
        <v>1</v>
      </c>
      <c r="F178" s="482">
        <v>14</v>
      </c>
      <c r="G178" s="486" t="s">
        <v>5340</v>
      </c>
      <c r="H178" s="593" t="s">
        <v>3039</v>
      </c>
      <c r="I178" s="634" t="s">
        <v>6215</v>
      </c>
      <c r="J178" s="1242"/>
      <c r="K178" s="1331"/>
    </row>
    <row r="179" spans="1:11">
      <c r="A179" s="428" t="s">
        <v>8879</v>
      </c>
      <c r="B179" s="570" t="s">
        <v>8881</v>
      </c>
      <c r="C179" s="631" t="s">
        <v>6268</v>
      </c>
      <c r="D179" s="413" t="s">
        <v>123</v>
      </c>
      <c r="E179" s="384">
        <v>1</v>
      </c>
      <c r="F179" s="482" t="s">
        <v>3040</v>
      </c>
      <c r="G179" s="486" t="s">
        <v>5341</v>
      </c>
      <c r="H179" s="593" t="s">
        <v>3041</v>
      </c>
      <c r="I179" s="634" t="s">
        <v>6215</v>
      </c>
      <c r="J179" s="1242"/>
      <c r="K179" s="1331"/>
    </row>
    <row r="180" spans="1:11">
      <c r="A180" s="428" t="s">
        <v>8879</v>
      </c>
      <c r="B180" s="570" t="s">
        <v>8881</v>
      </c>
      <c r="C180" s="631" t="s">
        <v>6268</v>
      </c>
      <c r="D180" s="413" t="s">
        <v>123</v>
      </c>
      <c r="E180" s="384">
        <v>1</v>
      </c>
      <c r="F180" s="482" t="s">
        <v>3042</v>
      </c>
      <c r="G180" s="486" t="s">
        <v>5342</v>
      </c>
      <c r="H180" s="593" t="s">
        <v>3043</v>
      </c>
      <c r="I180" s="634" t="s">
        <v>6215</v>
      </c>
      <c r="J180" s="1242"/>
      <c r="K180" s="1331"/>
    </row>
    <row r="181" spans="1:11">
      <c r="A181" s="428" t="s">
        <v>8879</v>
      </c>
      <c r="B181" s="570" t="s">
        <v>8881</v>
      </c>
      <c r="C181" s="631" t="s">
        <v>6268</v>
      </c>
      <c r="D181" s="413" t="s">
        <v>123</v>
      </c>
      <c r="E181" s="384">
        <v>1</v>
      </c>
      <c r="F181" s="482" t="s">
        <v>3044</v>
      </c>
      <c r="G181" s="486" t="s">
        <v>5343</v>
      </c>
      <c r="H181" s="593" t="s">
        <v>3045</v>
      </c>
      <c r="I181" s="634" t="s">
        <v>6215</v>
      </c>
      <c r="J181" s="1242"/>
      <c r="K181" s="1331"/>
    </row>
    <row r="182" spans="1:11">
      <c r="A182" s="428" t="s">
        <v>8879</v>
      </c>
      <c r="B182" s="570" t="s">
        <v>8881</v>
      </c>
      <c r="C182" s="631" t="s">
        <v>6268</v>
      </c>
      <c r="D182" s="413" t="s">
        <v>123</v>
      </c>
      <c r="E182" s="384">
        <v>1</v>
      </c>
      <c r="F182" s="482" t="s">
        <v>3046</v>
      </c>
      <c r="G182" s="486" t="s">
        <v>5344</v>
      </c>
      <c r="H182" s="593" t="s">
        <v>3047</v>
      </c>
      <c r="I182" s="634" t="s">
        <v>6215</v>
      </c>
      <c r="J182" s="1242"/>
      <c r="K182" s="1331"/>
    </row>
    <row r="183" spans="1:11">
      <c r="A183" s="428" t="s">
        <v>8879</v>
      </c>
      <c r="B183" s="570" t="s">
        <v>8881</v>
      </c>
      <c r="C183" s="631" t="s">
        <v>6268</v>
      </c>
      <c r="D183" s="413" t="s">
        <v>123</v>
      </c>
      <c r="E183" s="384">
        <v>1</v>
      </c>
      <c r="F183" s="482" t="s">
        <v>3048</v>
      </c>
      <c r="G183" s="486" t="s">
        <v>5345</v>
      </c>
      <c r="H183" s="593" t="s">
        <v>3049</v>
      </c>
      <c r="I183" s="634" t="s">
        <v>6215</v>
      </c>
      <c r="J183" s="1242"/>
      <c r="K183" s="1331"/>
    </row>
    <row r="184" spans="1:11">
      <c r="A184" s="428" t="s">
        <v>8879</v>
      </c>
      <c r="B184" s="570" t="s">
        <v>8881</v>
      </c>
      <c r="C184" s="631" t="s">
        <v>6268</v>
      </c>
      <c r="D184" s="413" t="s">
        <v>123</v>
      </c>
      <c r="E184" s="384">
        <v>1</v>
      </c>
      <c r="F184" s="482" t="s">
        <v>3050</v>
      </c>
      <c r="G184" s="486" t="s">
        <v>5346</v>
      </c>
      <c r="H184" s="593" t="s">
        <v>3051</v>
      </c>
      <c r="I184" s="634" t="s">
        <v>6215</v>
      </c>
      <c r="J184" s="1242"/>
      <c r="K184" s="1331"/>
    </row>
    <row r="185" spans="1:11">
      <c r="A185" s="428" t="s">
        <v>8879</v>
      </c>
      <c r="B185" s="570" t="s">
        <v>8881</v>
      </c>
      <c r="C185" s="631" t="s">
        <v>6268</v>
      </c>
      <c r="D185" s="413" t="s">
        <v>123</v>
      </c>
      <c r="E185" s="384">
        <v>1</v>
      </c>
      <c r="F185" s="482" t="s">
        <v>3052</v>
      </c>
      <c r="G185" s="486" t="s">
        <v>5347</v>
      </c>
      <c r="H185" s="593" t="s">
        <v>3053</v>
      </c>
      <c r="I185" s="634" t="s">
        <v>6215</v>
      </c>
      <c r="J185" s="1242"/>
      <c r="K185" s="1331"/>
    </row>
    <row r="186" spans="1:11">
      <c r="A186" s="428" t="s">
        <v>8879</v>
      </c>
      <c r="B186" s="570" t="s">
        <v>8881</v>
      </c>
      <c r="C186" s="631" t="s">
        <v>6268</v>
      </c>
      <c r="D186" s="413" t="s">
        <v>123</v>
      </c>
      <c r="E186" s="384">
        <v>1</v>
      </c>
      <c r="F186" s="482" t="s">
        <v>3054</v>
      </c>
      <c r="G186" s="486" t="s">
        <v>5348</v>
      </c>
      <c r="H186" s="593" t="s">
        <v>3055</v>
      </c>
      <c r="I186" s="634" t="s">
        <v>6215</v>
      </c>
      <c r="J186" s="1242"/>
      <c r="K186" s="1331"/>
    </row>
    <row r="187" spans="1:11">
      <c r="A187" s="428" t="s">
        <v>8879</v>
      </c>
      <c r="B187" s="570" t="s">
        <v>8881</v>
      </c>
      <c r="C187" s="631" t="s">
        <v>6268</v>
      </c>
      <c r="D187" s="413" t="s">
        <v>123</v>
      </c>
      <c r="E187" s="384">
        <v>1</v>
      </c>
      <c r="F187" s="482" t="s">
        <v>3056</v>
      </c>
      <c r="G187" s="486" t="s">
        <v>5349</v>
      </c>
      <c r="H187" s="593" t="s">
        <v>3057</v>
      </c>
      <c r="I187" s="634" t="s">
        <v>6215</v>
      </c>
      <c r="J187" s="1242"/>
      <c r="K187" s="1331"/>
    </row>
    <row r="188" spans="1:11">
      <c r="A188" s="428" t="s">
        <v>8879</v>
      </c>
      <c r="B188" s="570" t="s">
        <v>8881</v>
      </c>
      <c r="C188" s="631" t="s">
        <v>6268</v>
      </c>
      <c r="D188" s="413" t="s">
        <v>123</v>
      </c>
      <c r="E188" s="384">
        <v>1</v>
      </c>
      <c r="F188" s="482" t="s">
        <v>3058</v>
      </c>
      <c r="G188" s="486" t="s">
        <v>5350</v>
      </c>
      <c r="H188" s="593" t="s">
        <v>3059</v>
      </c>
      <c r="I188" s="634" t="s">
        <v>6215</v>
      </c>
      <c r="J188" s="1242"/>
      <c r="K188" s="1331"/>
    </row>
    <row r="189" spans="1:11">
      <c r="A189" s="428" t="s">
        <v>8879</v>
      </c>
      <c r="B189" s="570" t="s">
        <v>8881</v>
      </c>
      <c r="C189" s="631" t="s">
        <v>6268</v>
      </c>
      <c r="D189" s="413" t="s">
        <v>123</v>
      </c>
      <c r="E189" s="384">
        <v>1</v>
      </c>
      <c r="F189" s="482">
        <v>15</v>
      </c>
      <c r="G189" s="486" t="s">
        <v>5351</v>
      </c>
      <c r="H189" s="593" t="s">
        <v>3060</v>
      </c>
      <c r="I189" s="634" t="s">
        <v>6215</v>
      </c>
      <c r="J189" s="1242"/>
      <c r="K189" s="1331"/>
    </row>
    <row r="190" spans="1:11">
      <c r="A190" s="428" t="s">
        <v>8879</v>
      </c>
      <c r="B190" s="570" t="s">
        <v>8881</v>
      </c>
      <c r="C190" s="631" t="s">
        <v>6268</v>
      </c>
      <c r="D190" s="413" t="s">
        <v>123</v>
      </c>
      <c r="E190" s="384">
        <v>1</v>
      </c>
      <c r="F190" s="482" t="s">
        <v>3061</v>
      </c>
      <c r="G190" s="486" t="s">
        <v>5352</v>
      </c>
      <c r="H190" s="593" t="s">
        <v>3062</v>
      </c>
      <c r="I190" s="634" t="s">
        <v>6215</v>
      </c>
      <c r="J190" s="1242"/>
      <c r="K190" s="1331"/>
    </row>
    <row r="191" spans="1:11">
      <c r="A191" s="428" t="s">
        <v>8879</v>
      </c>
      <c r="B191" s="570" t="s">
        <v>8881</v>
      </c>
      <c r="C191" s="631" t="s">
        <v>6268</v>
      </c>
      <c r="D191" s="413" t="s">
        <v>123</v>
      </c>
      <c r="E191" s="384">
        <v>1</v>
      </c>
      <c r="F191" s="482" t="s">
        <v>3063</v>
      </c>
      <c r="G191" s="486" t="s">
        <v>5353</v>
      </c>
      <c r="H191" s="593" t="s">
        <v>3064</v>
      </c>
      <c r="I191" s="634" t="s">
        <v>6215</v>
      </c>
      <c r="J191" s="1242"/>
      <c r="K191" s="1331"/>
    </row>
    <row r="192" spans="1:11">
      <c r="A192" s="428" t="s">
        <v>8879</v>
      </c>
      <c r="B192" s="570" t="s">
        <v>8881</v>
      </c>
      <c r="C192" s="631" t="s">
        <v>6268</v>
      </c>
      <c r="D192" s="413" t="s">
        <v>123</v>
      </c>
      <c r="E192" s="384">
        <v>1</v>
      </c>
      <c r="F192" s="482" t="s">
        <v>3065</v>
      </c>
      <c r="G192" s="486" t="s">
        <v>5354</v>
      </c>
      <c r="H192" s="593" t="s">
        <v>3066</v>
      </c>
      <c r="I192" s="634" t="s">
        <v>6215</v>
      </c>
      <c r="J192" s="1242"/>
      <c r="K192" s="1331"/>
    </row>
    <row r="193" spans="1:11">
      <c r="A193" s="428" t="s">
        <v>8879</v>
      </c>
      <c r="B193" s="570" t="s">
        <v>8881</v>
      </c>
      <c r="C193" s="631" t="s">
        <v>6268</v>
      </c>
      <c r="D193" s="413" t="s">
        <v>123</v>
      </c>
      <c r="E193" s="384">
        <v>1</v>
      </c>
      <c r="F193" s="482" t="s">
        <v>3067</v>
      </c>
      <c r="G193" s="486" t="s">
        <v>5355</v>
      </c>
      <c r="H193" s="593" t="s">
        <v>3068</v>
      </c>
      <c r="I193" s="634" t="s">
        <v>6215</v>
      </c>
      <c r="J193" s="1242"/>
      <c r="K193" s="1331"/>
    </row>
    <row r="194" spans="1:11">
      <c r="A194" s="428" t="s">
        <v>8879</v>
      </c>
      <c r="B194" s="570" t="s">
        <v>8881</v>
      </c>
      <c r="C194" s="631" t="s">
        <v>6268</v>
      </c>
      <c r="D194" s="413" t="s">
        <v>123</v>
      </c>
      <c r="E194" s="384">
        <v>1</v>
      </c>
      <c r="F194" s="482">
        <v>16</v>
      </c>
      <c r="G194" s="486" t="s">
        <v>5356</v>
      </c>
      <c r="H194" s="593" t="s">
        <v>3069</v>
      </c>
      <c r="I194" s="634" t="s">
        <v>6215</v>
      </c>
      <c r="J194" s="1242"/>
      <c r="K194" s="1331"/>
    </row>
    <row r="195" spans="1:11">
      <c r="A195" s="428" t="s">
        <v>8879</v>
      </c>
      <c r="B195" s="570" t="s">
        <v>8881</v>
      </c>
      <c r="C195" s="631" t="s">
        <v>6268</v>
      </c>
      <c r="D195" s="413" t="s">
        <v>123</v>
      </c>
      <c r="E195" s="384">
        <v>1</v>
      </c>
      <c r="F195" s="482" t="s">
        <v>3070</v>
      </c>
      <c r="G195" s="486" t="s">
        <v>5357</v>
      </c>
      <c r="H195" s="593" t="s">
        <v>3071</v>
      </c>
      <c r="I195" s="634" t="s">
        <v>6215</v>
      </c>
      <c r="J195" s="1242"/>
      <c r="K195" s="1331"/>
    </row>
    <row r="196" spans="1:11">
      <c r="A196" s="428" t="s">
        <v>8879</v>
      </c>
      <c r="B196" s="570" t="s">
        <v>8881</v>
      </c>
      <c r="C196" s="631" t="s">
        <v>6268</v>
      </c>
      <c r="D196" s="413" t="s">
        <v>123</v>
      </c>
      <c r="E196" s="384">
        <v>1</v>
      </c>
      <c r="F196" s="482" t="s">
        <v>3072</v>
      </c>
      <c r="G196" s="486" t="s">
        <v>5358</v>
      </c>
      <c r="H196" s="593" t="s">
        <v>3073</v>
      </c>
      <c r="I196" s="634" t="s">
        <v>6215</v>
      </c>
      <c r="J196" s="1242"/>
      <c r="K196" s="1331"/>
    </row>
    <row r="197" spans="1:11">
      <c r="A197" s="428" t="s">
        <v>8879</v>
      </c>
      <c r="B197" s="570" t="s">
        <v>8881</v>
      </c>
      <c r="C197" s="631" t="s">
        <v>6268</v>
      </c>
      <c r="D197" s="413" t="s">
        <v>123</v>
      </c>
      <c r="E197" s="384">
        <v>1</v>
      </c>
      <c r="F197" s="482" t="s">
        <v>3074</v>
      </c>
      <c r="G197" s="486" t="s">
        <v>5359</v>
      </c>
      <c r="H197" s="593" t="s">
        <v>3075</v>
      </c>
      <c r="I197" s="634" t="s">
        <v>6215</v>
      </c>
      <c r="J197" s="1242"/>
      <c r="K197" s="1331"/>
    </row>
    <row r="198" spans="1:11">
      <c r="A198" s="428" t="s">
        <v>8879</v>
      </c>
      <c r="B198" s="570" t="s">
        <v>8881</v>
      </c>
      <c r="C198" s="631" t="s">
        <v>6268</v>
      </c>
      <c r="D198" s="413" t="s">
        <v>123</v>
      </c>
      <c r="E198" s="384">
        <v>1</v>
      </c>
      <c r="F198" s="482" t="s">
        <v>3076</v>
      </c>
      <c r="G198" s="486" t="s">
        <v>5360</v>
      </c>
      <c r="H198" s="593" t="s">
        <v>3077</v>
      </c>
      <c r="I198" s="634" t="s">
        <v>6215</v>
      </c>
      <c r="J198" s="1242"/>
      <c r="K198" s="1331"/>
    </row>
    <row r="199" spans="1:11">
      <c r="A199" s="428" t="s">
        <v>8879</v>
      </c>
      <c r="B199" s="570" t="s">
        <v>8881</v>
      </c>
      <c r="C199" s="631" t="s">
        <v>6268</v>
      </c>
      <c r="D199" s="413" t="s">
        <v>123</v>
      </c>
      <c r="E199" s="384">
        <v>1</v>
      </c>
      <c r="F199" s="482" t="s">
        <v>3078</v>
      </c>
      <c r="G199" s="486" t="s">
        <v>5361</v>
      </c>
      <c r="H199" s="593" t="s">
        <v>3079</v>
      </c>
      <c r="I199" s="634" t="s">
        <v>6215</v>
      </c>
      <c r="J199" s="1242"/>
      <c r="K199" s="1331"/>
    </row>
    <row r="200" spans="1:11">
      <c r="A200" s="428" t="s">
        <v>8879</v>
      </c>
      <c r="B200" s="570" t="s">
        <v>8881</v>
      </c>
      <c r="C200" s="631" t="s">
        <v>6268</v>
      </c>
      <c r="D200" s="413" t="s">
        <v>123</v>
      </c>
      <c r="E200" s="384">
        <v>1</v>
      </c>
      <c r="F200" s="482" t="s">
        <v>3080</v>
      </c>
      <c r="G200" s="486" t="s">
        <v>5362</v>
      </c>
      <c r="H200" s="593" t="s">
        <v>3081</v>
      </c>
      <c r="I200" s="634" t="s">
        <v>6215</v>
      </c>
      <c r="J200" s="1242"/>
      <c r="K200" s="1331"/>
    </row>
    <row r="201" spans="1:11">
      <c r="A201" s="428" t="s">
        <v>8879</v>
      </c>
      <c r="B201" s="570" t="s">
        <v>8881</v>
      </c>
      <c r="C201" s="631" t="s">
        <v>6268</v>
      </c>
      <c r="D201" s="413" t="s">
        <v>123</v>
      </c>
      <c r="E201" s="384">
        <v>1</v>
      </c>
      <c r="F201" s="482" t="s">
        <v>3082</v>
      </c>
      <c r="G201" s="486" t="s">
        <v>5363</v>
      </c>
      <c r="H201" s="593" t="s">
        <v>3083</v>
      </c>
      <c r="I201" s="634" t="s">
        <v>6215</v>
      </c>
      <c r="J201" s="1242"/>
      <c r="K201" s="1331"/>
    </row>
    <row r="202" spans="1:11">
      <c r="A202" s="428" t="s">
        <v>8879</v>
      </c>
      <c r="B202" s="570" t="s">
        <v>8881</v>
      </c>
      <c r="C202" s="631" t="s">
        <v>6268</v>
      </c>
      <c r="D202" s="413" t="s">
        <v>123</v>
      </c>
      <c r="E202" s="384">
        <v>1</v>
      </c>
      <c r="F202" s="482">
        <v>17</v>
      </c>
      <c r="G202" s="486" t="s">
        <v>5364</v>
      </c>
      <c r="H202" s="593" t="s">
        <v>3084</v>
      </c>
      <c r="I202" s="634" t="s">
        <v>6215</v>
      </c>
      <c r="J202" s="1242"/>
      <c r="K202" s="1331"/>
    </row>
    <row r="203" spans="1:11">
      <c r="A203" s="428" t="s">
        <v>8879</v>
      </c>
      <c r="B203" s="570" t="s">
        <v>8881</v>
      </c>
      <c r="C203" s="631" t="s">
        <v>6268</v>
      </c>
      <c r="D203" s="413" t="s">
        <v>123</v>
      </c>
      <c r="E203" s="384">
        <v>1</v>
      </c>
      <c r="F203" s="482" t="s">
        <v>3085</v>
      </c>
      <c r="G203" s="486" t="s">
        <v>5365</v>
      </c>
      <c r="H203" s="593" t="s">
        <v>3086</v>
      </c>
      <c r="I203" s="634" t="s">
        <v>6215</v>
      </c>
      <c r="J203" s="1242"/>
      <c r="K203" s="1331"/>
    </row>
    <row r="204" spans="1:11">
      <c r="A204" s="428" t="s">
        <v>8879</v>
      </c>
      <c r="B204" s="570" t="s">
        <v>8881</v>
      </c>
      <c r="C204" s="631" t="s">
        <v>6268</v>
      </c>
      <c r="D204" s="413" t="s">
        <v>123</v>
      </c>
      <c r="E204" s="384">
        <v>1</v>
      </c>
      <c r="F204" s="482" t="s">
        <v>3087</v>
      </c>
      <c r="G204" s="486" t="s">
        <v>5366</v>
      </c>
      <c r="H204" s="593" t="s">
        <v>3088</v>
      </c>
      <c r="I204" s="634" t="s">
        <v>6215</v>
      </c>
      <c r="J204" s="1242"/>
      <c r="K204" s="1331"/>
    </row>
    <row r="205" spans="1:11">
      <c r="A205" s="428" t="s">
        <v>8879</v>
      </c>
      <c r="B205" s="570" t="s">
        <v>8881</v>
      </c>
      <c r="C205" s="631" t="s">
        <v>6268</v>
      </c>
      <c r="D205" s="413" t="s">
        <v>123</v>
      </c>
      <c r="E205" s="384">
        <v>1</v>
      </c>
      <c r="F205" s="482" t="s">
        <v>3089</v>
      </c>
      <c r="G205" s="486" t="s">
        <v>5367</v>
      </c>
      <c r="H205" s="593" t="s">
        <v>3090</v>
      </c>
      <c r="I205" s="634" t="s">
        <v>6215</v>
      </c>
      <c r="J205" s="1242"/>
      <c r="K205" s="1331"/>
    </row>
    <row r="206" spans="1:11">
      <c r="A206" s="428" t="s">
        <v>8879</v>
      </c>
      <c r="B206" s="570" t="s">
        <v>8881</v>
      </c>
      <c r="C206" s="631" t="s">
        <v>6268</v>
      </c>
      <c r="D206" s="413" t="s">
        <v>123</v>
      </c>
      <c r="E206" s="384">
        <v>1</v>
      </c>
      <c r="F206" s="482" t="s">
        <v>3091</v>
      </c>
      <c r="G206" s="486" t="s">
        <v>5368</v>
      </c>
      <c r="H206" s="593" t="s">
        <v>3092</v>
      </c>
      <c r="I206" s="634" t="s">
        <v>6215</v>
      </c>
      <c r="J206" s="1242"/>
      <c r="K206" s="1331"/>
    </row>
    <row r="207" spans="1:11">
      <c r="A207" s="428" t="s">
        <v>8879</v>
      </c>
      <c r="B207" s="570" t="s">
        <v>8881</v>
      </c>
      <c r="C207" s="631" t="s">
        <v>6268</v>
      </c>
      <c r="D207" s="413" t="s">
        <v>123</v>
      </c>
      <c r="E207" s="384">
        <v>1</v>
      </c>
      <c r="F207" s="482" t="s">
        <v>3093</v>
      </c>
      <c r="G207" s="486" t="s">
        <v>5369</v>
      </c>
      <c r="H207" s="593" t="s">
        <v>3094</v>
      </c>
      <c r="I207" s="634" t="s">
        <v>6215</v>
      </c>
      <c r="J207" s="1242"/>
      <c r="K207" s="1331"/>
    </row>
    <row r="208" spans="1:11">
      <c r="A208" s="428" t="s">
        <v>8879</v>
      </c>
      <c r="B208" s="570" t="s">
        <v>8881</v>
      </c>
      <c r="C208" s="631" t="s">
        <v>6268</v>
      </c>
      <c r="D208" s="413" t="s">
        <v>123</v>
      </c>
      <c r="E208" s="384">
        <v>1</v>
      </c>
      <c r="F208" s="482" t="s">
        <v>3095</v>
      </c>
      <c r="G208" s="486" t="s">
        <v>5370</v>
      </c>
      <c r="H208" s="593" t="s">
        <v>3096</v>
      </c>
      <c r="I208" s="634" t="s">
        <v>6215</v>
      </c>
      <c r="J208" s="1242"/>
      <c r="K208" s="1331"/>
    </row>
    <row r="209" spans="1:11">
      <c r="A209" s="428" t="s">
        <v>8879</v>
      </c>
      <c r="B209" s="570" t="s">
        <v>8881</v>
      </c>
      <c r="C209" s="631" t="s">
        <v>6268</v>
      </c>
      <c r="D209" s="413" t="s">
        <v>123</v>
      </c>
      <c r="E209" s="384">
        <v>1</v>
      </c>
      <c r="F209" s="482" t="s">
        <v>3097</v>
      </c>
      <c r="G209" s="486" t="s">
        <v>5371</v>
      </c>
      <c r="H209" s="593" t="s">
        <v>3098</v>
      </c>
      <c r="I209" s="634" t="s">
        <v>6215</v>
      </c>
      <c r="J209" s="1242"/>
      <c r="K209" s="1331"/>
    </row>
    <row r="210" spans="1:11">
      <c r="A210" s="428" t="s">
        <v>8879</v>
      </c>
      <c r="B210" s="570" t="s">
        <v>8881</v>
      </c>
      <c r="C210" s="631" t="s">
        <v>6268</v>
      </c>
      <c r="D210" s="413" t="s">
        <v>123</v>
      </c>
      <c r="E210" s="384">
        <v>1</v>
      </c>
      <c r="F210" s="482" t="s">
        <v>3099</v>
      </c>
      <c r="G210" s="486" t="s">
        <v>5372</v>
      </c>
      <c r="H210" s="593" t="s">
        <v>3100</v>
      </c>
      <c r="I210" s="634" t="s">
        <v>6215</v>
      </c>
      <c r="J210" s="1242"/>
      <c r="K210" s="1331"/>
    </row>
    <row r="211" spans="1:11">
      <c r="A211" s="428" t="s">
        <v>8879</v>
      </c>
      <c r="B211" s="570" t="s">
        <v>8881</v>
      </c>
      <c r="C211" s="631" t="s">
        <v>6268</v>
      </c>
      <c r="D211" s="413" t="s">
        <v>123</v>
      </c>
      <c r="E211" s="384">
        <v>1</v>
      </c>
      <c r="F211" s="482" t="s">
        <v>3101</v>
      </c>
      <c r="G211" s="486" t="s">
        <v>5373</v>
      </c>
      <c r="H211" s="593" t="s">
        <v>3102</v>
      </c>
      <c r="I211" s="634" t="s">
        <v>6215</v>
      </c>
      <c r="J211" s="1242"/>
      <c r="K211" s="1331"/>
    </row>
    <row r="212" spans="1:11">
      <c r="A212" s="428" t="s">
        <v>8879</v>
      </c>
      <c r="B212" s="570" t="s">
        <v>8881</v>
      </c>
      <c r="C212" s="631" t="s">
        <v>6268</v>
      </c>
      <c r="D212" s="413" t="s">
        <v>123</v>
      </c>
      <c r="E212" s="384">
        <v>1</v>
      </c>
      <c r="F212" s="482">
        <v>18</v>
      </c>
      <c r="G212" s="486" t="s">
        <v>5374</v>
      </c>
      <c r="H212" s="593" t="s">
        <v>3103</v>
      </c>
      <c r="I212" s="634" t="s">
        <v>6215</v>
      </c>
      <c r="J212" s="1242"/>
      <c r="K212" s="1331"/>
    </row>
    <row r="213" spans="1:11">
      <c r="A213" s="428" t="s">
        <v>8879</v>
      </c>
      <c r="B213" s="570" t="s">
        <v>8881</v>
      </c>
      <c r="C213" s="631" t="s">
        <v>6268</v>
      </c>
      <c r="D213" s="413" t="s">
        <v>123</v>
      </c>
      <c r="E213" s="384">
        <v>1</v>
      </c>
      <c r="F213" s="482" t="s">
        <v>3104</v>
      </c>
      <c r="G213" s="486" t="s">
        <v>5375</v>
      </c>
      <c r="H213" s="593" t="s">
        <v>3105</v>
      </c>
      <c r="I213" s="634" t="s">
        <v>6215</v>
      </c>
      <c r="J213" s="1242"/>
      <c r="K213" s="1331"/>
    </row>
    <row r="214" spans="1:11">
      <c r="A214" s="428" t="s">
        <v>8879</v>
      </c>
      <c r="B214" s="570" t="s">
        <v>8881</v>
      </c>
      <c r="C214" s="631" t="s">
        <v>6268</v>
      </c>
      <c r="D214" s="413" t="s">
        <v>123</v>
      </c>
      <c r="E214" s="384">
        <v>1</v>
      </c>
      <c r="F214" s="482" t="s">
        <v>3106</v>
      </c>
      <c r="G214" s="486" t="s">
        <v>5376</v>
      </c>
      <c r="H214" s="593" t="s">
        <v>3107</v>
      </c>
      <c r="I214" s="634" t="s">
        <v>6215</v>
      </c>
      <c r="J214" s="1242"/>
      <c r="K214" s="1331"/>
    </row>
    <row r="215" spans="1:11">
      <c r="A215" s="428" t="s">
        <v>8879</v>
      </c>
      <c r="B215" s="570" t="s">
        <v>8881</v>
      </c>
      <c r="C215" s="631" t="s">
        <v>6268</v>
      </c>
      <c r="D215" s="413" t="s">
        <v>123</v>
      </c>
      <c r="E215" s="384">
        <v>1</v>
      </c>
      <c r="F215" s="482" t="s">
        <v>3108</v>
      </c>
      <c r="G215" s="486" t="s">
        <v>5377</v>
      </c>
      <c r="H215" s="593" t="s">
        <v>3109</v>
      </c>
      <c r="I215" s="634" t="s">
        <v>6215</v>
      </c>
      <c r="J215" s="1242"/>
      <c r="K215" s="1331"/>
    </row>
    <row r="216" spans="1:11">
      <c r="A216" s="428" t="s">
        <v>8879</v>
      </c>
      <c r="B216" s="570" t="s">
        <v>8881</v>
      </c>
      <c r="C216" s="631" t="s">
        <v>6268</v>
      </c>
      <c r="D216" s="413" t="s">
        <v>123</v>
      </c>
      <c r="E216" s="384">
        <v>1</v>
      </c>
      <c r="F216" s="482" t="s">
        <v>3110</v>
      </c>
      <c r="G216" s="486" t="s">
        <v>5378</v>
      </c>
      <c r="H216" s="593" t="s">
        <v>3111</v>
      </c>
      <c r="I216" s="634" t="s">
        <v>6215</v>
      </c>
      <c r="J216" s="1242"/>
      <c r="K216" s="1331"/>
    </row>
    <row r="217" spans="1:11">
      <c r="A217" s="428" t="s">
        <v>8879</v>
      </c>
      <c r="B217" s="570" t="s">
        <v>8881</v>
      </c>
      <c r="C217" s="631" t="s">
        <v>6268</v>
      </c>
      <c r="D217" s="413" t="s">
        <v>123</v>
      </c>
      <c r="E217" s="384">
        <v>1</v>
      </c>
      <c r="F217" s="482" t="s">
        <v>3112</v>
      </c>
      <c r="G217" s="486" t="s">
        <v>5379</v>
      </c>
      <c r="H217" s="593" t="s">
        <v>3113</v>
      </c>
      <c r="I217" s="634" t="s">
        <v>6215</v>
      </c>
      <c r="J217" s="1242"/>
      <c r="K217" s="1331"/>
    </row>
    <row r="218" spans="1:11">
      <c r="A218" s="428" t="s">
        <v>8879</v>
      </c>
      <c r="B218" s="570" t="s">
        <v>8881</v>
      </c>
      <c r="C218" s="631" t="s">
        <v>6268</v>
      </c>
      <c r="D218" s="413" t="s">
        <v>123</v>
      </c>
      <c r="E218" s="384">
        <v>1</v>
      </c>
      <c r="F218" s="482" t="s">
        <v>3114</v>
      </c>
      <c r="G218" s="486" t="s">
        <v>5380</v>
      </c>
      <c r="H218" s="593" t="s">
        <v>3115</v>
      </c>
      <c r="I218" s="634" t="s">
        <v>6215</v>
      </c>
      <c r="J218" s="1242"/>
      <c r="K218" s="1331"/>
    </row>
    <row r="219" spans="1:11">
      <c r="A219" s="428" t="s">
        <v>8879</v>
      </c>
      <c r="B219" s="570" t="s">
        <v>8881</v>
      </c>
      <c r="C219" s="631" t="s">
        <v>6268</v>
      </c>
      <c r="D219" s="413" t="s">
        <v>123</v>
      </c>
      <c r="E219" s="384">
        <v>1</v>
      </c>
      <c r="F219" s="482">
        <v>19</v>
      </c>
      <c r="G219" s="486" t="s">
        <v>5381</v>
      </c>
      <c r="H219" s="593" t="s">
        <v>3116</v>
      </c>
      <c r="I219" s="634" t="s">
        <v>6215</v>
      </c>
      <c r="J219" s="1242"/>
      <c r="K219" s="1331"/>
    </row>
    <row r="220" spans="1:11">
      <c r="A220" s="428" t="s">
        <v>8879</v>
      </c>
      <c r="B220" s="570" t="s">
        <v>8881</v>
      </c>
      <c r="C220" s="631" t="s">
        <v>6268</v>
      </c>
      <c r="D220" s="413" t="s">
        <v>123</v>
      </c>
      <c r="E220" s="384">
        <v>1</v>
      </c>
      <c r="F220" s="482" t="s">
        <v>3117</v>
      </c>
      <c r="G220" s="486" t="s">
        <v>5382</v>
      </c>
      <c r="H220" s="593" t="s">
        <v>3118</v>
      </c>
      <c r="I220" s="634" t="s">
        <v>6215</v>
      </c>
      <c r="J220" s="1242"/>
      <c r="K220" s="1331"/>
    </row>
    <row r="221" spans="1:11">
      <c r="A221" s="428" t="s">
        <v>8879</v>
      </c>
      <c r="B221" s="570" t="s">
        <v>8881</v>
      </c>
      <c r="C221" s="631" t="s">
        <v>6268</v>
      </c>
      <c r="D221" s="413" t="s">
        <v>123</v>
      </c>
      <c r="E221" s="384">
        <v>1</v>
      </c>
      <c r="F221" s="482" t="s">
        <v>3119</v>
      </c>
      <c r="G221" s="486" t="s">
        <v>5383</v>
      </c>
      <c r="H221" s="593" t="s">
        <v>3120</v>
      </c>
      <c r="I221" s="634" t="s">
        <v>6215</v>
      </c>
      <c r="J221" s="1242"/>
      <c r="K221" s="1331"/>
    </row>
    <row r="222" spans="1:11">
      <c r="A222" s="428" t="s">
        <v>8879</v>
      </c>
      <c r="B222" s="570" t="s">
        <v>8881</v>
      </c>
      <c r="C222" s="631" t="s">
        <v>6268</v>
      </c>
      <c r="D222" s="413" t="s">
        <v>123</v>
      </c>
      <c r="E222" s="384">
        <v>1</v>
      </c>
      <c r="F222" s="482">
        <v>20</v>
      </c>
      <c r="G222" s="486" t="s">
        <v>5384</v>
      </c>
      <c r="H222" s="593" t="s">
        <v>3121</v>
      </c>
      <c r="I222" s="634" t="s">
        <v>6215</v>
      </c>
      <c r="J222" s="1242"/>
      <c r="K222" s="1331"/>
    </row>
    <row r="223" spans="1:11">
      <c r="A223" s="428" t="s">
        <v>8879</v>
      </c>
      <c r="B223" s="570" t="s">
        <v>8881</v>
      </c>
      <c r="C223" s="631" t="s">
        <v>6268</v>
      </c>
      <c r="D223" s="413" t="s">
        <v>123</v>
      </c>
      <c r="E223" s="384">
        <v>1</v>
      </c>
      <c r="F223" s="482" t="s">
        <v>3122</v>
      </c>
      <c r="G223" s="486" t="s">
        <v>5385</v>
      </c>
      <c r="H223" s="593" t="s">
        <v>3123</v>
      </c>
      <c r="I223" s="634" t="s">
        <v>6215</v>
      </c>
      <c r="J223" s="1242"/>
      <c r="K223" s="1331"/>
    </row>
    <row r="224" spans="1:11">
      <c r="A224" s="428" t="s">
        <v>8879</v>
      </c>
      <c r="B224" s="570" t="s">
        <v>8881</v>
      </c>
      <c r="C224" s="631" t="s">
        <v>6268</v>
      </c>
      <c r="D224" s="413" t="s">
        <v>123</v>
      </c>
      <c r="E224" s="384">
        <v>1</v>
      </c>
      <c r="F224" s="482" t="s">
        <v>3124</v>
      </c>
      <c r="G224" s="486" t="s">
        <v>5386</v>
      </c>
      <c r="H224" s="593" t="s">
        <v>3125</v>
      </c>
      <c r="I224" s="634" t="s">
        <v>6215</v>
      </c>
      <c r="J224" s="1242"/>
      <c r="K224" s="1331"/>
    </row>
    <row r="225" spans="1:11">
      <c r="A225" s="428" t="s">
        <v>8879</v>
      </c>
      <c r="B225" s="570" t="s">
        <v>8881</v>
      </c>
      <c r="C225" s="631" t="s">
        <v>6268</v>
      </c>
      <c r="D225" s="413" t="s">
        <v>123</v>
      </c>
      <c r="E225" s="384">
        <v>1</v>
      </c>
      <c r="F225" s="482" t="s">
        <v>3126</v>
      </c>
      <c r="G225" s="486" t="s">
        <v>5387</v>
      </c>
      <c r="H225" s="593" t="s">
        <v>3127</v>
      </c>
      <c r="I225" s="634" t="s">
        <v>6215</v>
      </c>
      <c r="J225" s="1242"/>
      <c r="K225" s="1331"/>
    </row>
    <row r="226" spans="1:11">
      <c r="A226" s="428" t="s">
        <v>8879</v>
      </c>
      <c r="B226" s="570" t="s">
        <v>8881</v>
      </c>
      <c r="C226" s="631" t="s">
        <v>6268</v>
      </c>
      <c r="D226" s="413" t="s">
        <v>123</v>
      </c>
      <c r="E226" s="384">
        <v>1</v>
      </c>
      <c r="F226" s="482" t="s">
        <v>3128</v>
      </c>
      <c r="G226" s="486" t="s">
        <v>5388</v>
      </c>
      <c r="H226" s="593" t="s">
        <v>3129</v>
      </c>
      <c r="I226" s="634" t="s">
        <v>6215</v>
      </c>
      <c r="J226" s="1242"/>
      <c r="K226" s="1331"/>
    </row>
    <row r="227" spans="1:11">
      <c r="A227" s="428" t="s">
        <v>8879</v>
      </c>
      <c r="B227" s="570" t="s">
        <v>8881</v>
      </c>
      <c r="C227" s="631" t="s">
        <v>6268</v>
      </c>
      <c r="D227" s="413" t="s">
        <v>123</v>
      </c>
      <c r="E227" s="384">
        <v>1</v>
      </c>
      <c r="F227" s="482" t="s">
        <v>3130</v>
      </c>
      <c r="G227" s="486" t="s">
        <v>5389</v>
      </c>
      <c r="H227" s="593" t="s">
        <v>3131</v>
      </c>
      <c r="I227" s="634" t="s">
        <v>6215</v>
      </c>
      <c r="J227" s="1242"/>
      <c r="K227" s="1331"/>
    </row>
    <row r="228" spans="1:11">
      <c r="A228" s="428" t="s">
        <v>8879</v>
      </c>
      <c r="B228" s="570" t="s">
        <v>8881</v>
      </c>
      <c r="C228" s="631" t="s">
        <v>6268</v>
      </c>
      <c r="D228" s="413" t="s">
        <v>123</v>
      </c>
      <c r="E228" s="384">
        <v>1</v>
      </c>
      <c r="F228" s="482" t="s">
        <v>3132</v>
      </c>
      <c r="G228" s="486" t="s">
        <v>5390</v>
      </c>
      <c r="H228" s="593" t="s">
        <v>3133</v>
      </c>
      <c r="I228" s="634" t="s">
        <v>6215</v>
      </c>
      <c r="J228" s="1242"/>
      <c r="K228" s="1331"/>
    </row>
    <row r="229" spans="1:11">
      <c r="A229" s="428" t="s">
        <v>8879</v>
      </c>
      <c r="B229" s="570" t="s">
        <v>8881</v>
      </c>
      <c r="C229" s="631" t="s">
        <v>6268</v>
      </c>
      <c r="D229" s="413" t="s">
        <v>123</v>
      </c>
      <c r="E229" s="384">
        <v>1</v>
      </c>
      <c r="F229" s="482" t="s">
        <v>3134</v>
      </c>
      <c r="G229" s="486" t="s">
        <v>5391</v>
      </c>
      <c r="H229" s="593" t="s">
        <v>3135</v>
      </c>
      <c r="I229" s="634" t="s">
        <v>6215</v>
      </c>
      <c r="J229" s="1242"/>
      <c r="K229" s="1331"/>
    </row>
    <row r="230" spans="1:11">
      <c r="A230" s="428" t="s">
        <v>8879</v>
      </c>
      <c r="B230" s="570" t="s">
        <v>8881</v>
      </c>
      <c r="C230" s="631" t="s">
        <v>6268</v>
      </c>
      <c r="D230" s="413" t="s">
        <v>123</v>
      </c>
      <c r="E230" s="384">
        <v>1</v>
      </c>
      <c r="F230" s="482" t="s">
        <v>3136</v>
      </c>
      <c r="G230" s="486" t="s">
        <v>5392</v>
      </c>
      <c r="H230" s="593" t="s">
        <v>3137</v>
      </c>
      <c r="I230" s="634" t="s">
        <v>6215</v>
      </c>
      <c r="J230" s="1242"/>
      <c r="K230" s="1331"/>
    </row>
    <row r="231" spans="1:11">
      <c r="A231" s="428" t="s">
        <v>8879</v>
      </c>
      <c r="B231" s="570" t="s">
        <v>8881</v>
      </c>
      <c r="C231" s="631" t="s">
        <v>6268</v>
      </c>
      <c r="D231" s="413" t="s">
        <v>123</v>
      </c>
      <c r="E231" s="384">
        <v>1</v>
      </c>
      <c r="F231" s="482" t="s">
        <v>3138</v>
      </c>
      <c r="G231" s="486" t="s">
        <v>5393</v>
      </c>
      <c r="H231" s="593" t="s">
        <v>3139</v>
      </c>
      <c r="I231" s="634" t="s">
        <v>6215</v>
      </c>
      <c r="J231" s="1242"/>
      <c r="K231" s="1331"/>
    </row>
    <row r="232" spans="1:11">
      <c r="A232" s="428" t="s">
        <v>8879</v>
      </c>
      <c r="B232" s="570" t="s">
        <v>8881</v>
      </c>
      <c r="C232" s="631" t="s">
        <v>6268</v>
      </c>
      <c r="D232" s="413" t="s">
        <v>123</v>
      </c>
      <c r="E232" s="384">
        <v>1</v>
      </c>
      <c r="F232" s="482" t="s">
        <v>3140</v>
      </c>
      <c r="G232" s="486" t="s">
        <v>5394</v>
      </c>
      <c r="H232" s="593" t="s">
        <v>3141</v>
      </c>
      <c r="I232" s="634" t="s">
        <v>6215</v>
      </c>
      <c r="J232" s="1242"/>
      <c r="K232" s="1331"/>
    </row>
    <row r="233" spans="1:11">
      <c r="A233" s="428" t="s">
        <v>8879</v>
      </c>
      <c r="B233" s="570" t="s">
        <v>8881</v>
      </c>
      <c r="C233" s="631" t="s">
        <v>6268</v>
      </c>
      <c r="D233" s="413" t="s">
        <v>123</v>
      </c>
      <c r="E233" s="384">
        <v>1</v>
      </c>
      <c r="F233" s="482" t="s">
        <v>3142</v>
      </c>
      <c r="G233" s="486" t="s">
        <v>5395</v>
      </c>
      <c r="H233" s="593" t="s">
        <v>3143</v>
      </c>
      <c r="I233" s="634" t="s">
        <v>6215</v>
      </c>
      <c r="J233" s="1242"/>
      <c r="K233" s="1331"/>
    </row>
    <row r="234" spans="1:11">
      <c r="A234" s="428" t="s">
        <v>8879</v>
      </c>
      <c r="B234" s="570" t="s">
        <v>8881</v>
      </c>
      <c r="C234" s="631" t="s">
        <v>6268</v>
      </c>
      <c r="D234" s="413" t="s">
        <v>123</v>
      </c>
      <c r="E234" s="384">
        <v>1</v>
      </c>
      <c r="F234" s="482" t="s">
        <v>3144</v>
      </c>
      <c r="G234" s="486" t="s">
        <v>5396</v>
      </c>
      <c r="H234" s="593" t="s">
        <v>3145</v>
      </c>
      <c r="I234" s="634" t="s">
        <v>6215</v>
      </c>
      <c r="J234" s="1242"/>
      <c r="K234" s="1331"/>
    </row>
    <row r="235" spans="1:11">
      <c r="A235" s="428" t="s">
        <v>8879</v>
      </c>
      <c r="B235" s="570" t="s">
        <v>8881</v>
      </c>
      <c r="C235" s="631" t="s">
        <v>6268</v>
      </c>
      <c r="D235" s="413" t="s">
        <v>123</v>
      </c>
      <c r="E235" s="384">
        <v>1</v>
      </c>
      <c r="F235" s="482" t="s">
        <v>3146</v>
      </c>
      <c r="G235" s="486" t="s">
        <v>5397</v>
      </c>
      <c r="H235" s="593" t="s">
        <v>3147</v>
      </c>
      <c r="I235" s="634" t="s">
        <v>6215</v>
      </c>
      <c r="J235" s="1242"/>
      <c r="K235" s="1331"/>
    </row>
    <row r="236" spans="1:11">
      <c r="A236" s="428" t="s">
        <v>8879</v>
      </c>
      <c r="B236" s="570" t="s">
        <v>8881</v>
      </c>
      <c r="C236" s="631" t="s">
        <v>6268</v>
      </c>
      <c r="D236" s="413" t="s">
        <v>123</v>
      </c>
      <c r="E236" s="384">
        <v>1</v>
      </c>
      <c r="F236" s="482" t="s">
        <v>3148</v>
      </c>
      <c r="G236" s="486" t="s">
        <v>5398</v>
      </c>
      <c r="H236" s="593" t="s">
        <v>3149</v>
      </c>
      <c r="I236" s="634" t="s">
        <v>6215</v>
      </c>
      <c r="J236" s="1242"/>
      <c r="K236" s="1331"/>
    </row>
    <row r="237" spans="1:11">
      <c r="A237" s="428" t="s">
        <v>8879</v>
      </c>
      <c r="B237" s="570" t="s">
        <v>8881</v>
      </c>
      <c r="C237" s="631" t="s">
        <v>6268</v>
      </c>
      <c r="D237" s="413" t="s">
        <v>123</v>
      </c>
      <c r="E237" s="384">
        <v>1</v>
      </c>
      <c r="F237" s="482" t="s">
        <v>3150</v>
      </c>
      <c r="G237" s="486" t="s">
        <v>5399</v>
      </c>
      <c r="H237" s="593" t="s">
        <v>3151</v>
      </c>
      <c r="I237" s="634" t="s">
        <v>6215</v>
      </c>
      <c r="J237" s="1242"/>
      <c r="K237" s="1331"/>
    </row>
    <row r="238" spans="1:11">
      <c r="A238" s="428" t="s">
        <v>8879</v>
      </c>
      <c r="B238" s="570" t="s">
        <v>8881</v>
      </c>
      <c r="C238" s="631" t="s">
        <v>6268</v>
      </c>
      <c r="D238" s="413" t="s">
        <v>123</v>
      </c>
      <c r="E238" s="384">
        <v>1</v>
      </c>
      <c r="F238" s="482" t="s">
        <v>3152</v>
      </c>
      <c r="G238" s="486" t="s">
        <v>5400</v>
      </c>
      <c r="H238" s="593" t="s">
        <v>3153</v>
      </c>
      <c r="I238" s="634" t="s">
        <v>6215</v>
      </c>
      <c r="J238" s="1242"/>
      <c r="K238" s="1331"/>
    </row>
    <row r="239" spans="1:11">
      <c r="A239" s="428" t="s">
        <v>8879</v>
      </c>
      <c r="B239" s="570" t="s">
        <v>8881</v>
      </c>
      <c r="C239" s="631" t="s">
        <v>6268</v>
      </c>
      <c r="D239" s="413" t="s">
        <v>123</v>
      </c>
      <c r="E239" s="384">
        <v>1</v>
      </c>
      <c r="F239" s="482" t="s">
        <v>3154</v>
      </c>
      <c r="G239" s="486" t="s">
        <v>5401</v>
      </c>
      <c r="H239" s="593" t="s">
        <v>3155</v>
      </c>
      <c r="I239" s="634" t="s">
        <v>6215</v>
      </c>
      <c r="J239" s="1242"/>
      <c r="K239" s="1331"/>
    </row>
    <row r="240" spans="1:11">
      <c r="A240" s="428" t="s">
        <v>8879</v>
      </c>
      <c r="B240" s="570" t="s">
        <v>8881</v>
      </c>
      <c r="C240" s="631" t="s">
        <v>6268</v>
      </c>
      <c r="D240" s="413" t="s">
        <v>123</v>
      </c>
      <c r="E240" s="384">
        <v>1</v>
      </c>
      <c r="F240" s="482" t="s">
        <v>3156</v>
      </c>
      <c r="G240" s="486" t="s">
        <v>5402</v>
      </c>
      <c r="H240" s="593" t="s">
        <v>3157</v>
      </c>
      <c r="I240" s="634" t="s">
        <v>6215</v>
      </c>
      <c r="J240" s="1242"/>
      <c r="K240" s="1331"/>
    </row>
    <row r="241" spans="1:11">
      <c r="A241" s="428" t="s">
        <v>8879</v>
      </c>
      <c r="B241" s="570" t="s">
        <v>8881</v>
      </c>
      <c r="C241" s="631" t="s">
        <v>6268</v>
      </c>
      <c r="D241" s="413" t="s">
        <v>123</v>
      </c>
      <c r="E241" s="384">
        <v>1</v>
      </c>
      <c r="F241" s="482" t="s">
        <v>3158</v>
      </c>
      <c r="G241" s="486" t="s">
        <v>5403</v>
      </c>
      <c r="H241" s="593" t="s">
        <v>3159</v>
      </c>
      <c r="I241" s="634" t="s">
        <v>6215</v>
      </c>
      <c r="J241" s="1242"/>
      <c r="K241" s="1331"/>
    </row>
    <row r="242" spans="1:11">
      <c r="A242" s="428" t="s">
        <v>8879</v>
      </c>
      <c r="B242" s="570" t="s">
        <v>8881</v>
      </c>
      <c r="C242" s="631" t="s">
        <v>6268</v>
      </c>
      <c r="D242" s="413" t="s">
        <v>123</v>
      </c>
      <c r="E242" s="384">
        <v>1</v>
      </c>
      <c r="F242" s="482">
        <v>21</v>
      </c>
      <c r="G242" s="486" t="s">
        <v>5404</v>
      </c>
      <c r="H242" s="593" t="s">
        <v>3160</v>
      </c>
      <c r="I242" s="634" t="s">
        <v>6215</v>
      </c>
      <c r="J242" s="1242"/>
      <c r="K242" s="1331"/>
    </row>
    <row r="243" spans="1:11">
      <c r="A243" s="428" t="s">
        <v>8879</v>
      </c>
      <c r="B243" s="570" t="s">
        <v>8881</v>
      </c>
      <c r="C243" s="631" t="s">
        <v>6268</v>
      </c>
      <c r="D243" s="413" t="s">
        <v>123</v>
      </c>
      <c r="E243" s="384">
        <v>1</v>
      </c>
      <c r="F243" s="482" t="s">
        <v>3161</v>
      </c>
      <c r="G243" s="486" t="s">
        <v>5405</v>
      </c>
      <c r="H243" s="593" t="s">
        <v>3162</v>
      </c>
      <c r="I243" s="634" t="s">
        <v>6215</v>
      </c>
      <c r="J243" s="1242"/>
      <c r="K243" s="1331"/>
    </row>
    <row r="244" spans="1:11">
      <c r="A244" s="428" t="s">
        <v>8879</v>
      </c>
      <c r="B244" s="570" t="s">
        <v>8881</v>
      </c>
      <c r="C244" s="631" t="s">
        <v>6268</v>
      </c>
      <c r="D244" s="413" t="s">
        <v>123</v>
      </c>
      <c r="E244" s="384">
        <v>1</v>
      </c>
      <c r="F244" s="482" t="s">
        <v>3163</v>
      </c>
      <c r="G244" s="486" t="s">
        <v>5406</v>
      </c>
      <c r="H244" s="593" t="s">
        <v>3164</v>
      </c>
      <c r="I244" s="634" t="s">
        <v>6215</v>
      </c>
      <c r="J244" s="1242"/>
      <c r="K244" s="1331"/>
    </row>
    <row r="245" spans="1:11">
      <c r="A245" s="428" t="s">
        <v>8879</v>
      </c>
      <c r="B245" s="570" t="s">
        <v>8881</v>
      </c>
      <c r="C245" s="631" t="s">
        <v>6268</v>
      </c>
      <c r="D245" s="413" t="s">
        <v>123</v>
      </c>
      <c r="E245" s="384">
        <v>1</v>
      </c>
      <c r="F245" s="482">
        <v>22</v>
      </c>
      <c r="G245" s="486" t="s">
        <v>5407</v>
      </c>
      <c r="H245" s="593" t="s">
        <v>3165</v>
      </c>
      <c r="I245" s="634" t="s">
        <v>6215</v>
      </c>
      <c r="J245" s="1242"/>
      <c r="K245" s="1331"/>
    </row>
    <row r="246" spans="1:11">
      <c r="A246" s="428" t="s">
        <v>8879</v>
      </c>
      <c r="B246" s="570" t="s">
        <v>8881</v>
      </c>
      <c r="C246" s="631" t="s">
        <v>6268</v>
      </c>
      <c r="D246" s="413" t="s">
        <v>123</v>
      </c>
      <c r="E246" s="384">
        <v>1</v>
      </c>
      <c r="F246" s="482" t="s">
        <v>3166</v>
      </c>
      <c r="G246" s="486" t="s">
        <v>5408</v>
      </c>
      <c r="H246" s="593" t="s">
        <v>3167</v>
      </c>
      <c r="I246" s="634" t="s">
        <v>6215</v>
      </c>
      <c r="J246" s="1242"/>
      <c r="K246" s="1331"/>
    </row>
    <row r="247" spans="1:11">
      <c r="A247" s="428" t="s">
        <v>8879</v>
      </c>
      <c r="B247" s="570" t="s">
        <v>8881</v>
      </c>
      <c r="C247" s="631" t="s">
        <v>6268</v>
      </c>
      <c r="D247" s="413" t="s">
        <v>123</v>
      </c>
      <c r="E247" s="384">
        <v>1</v>
      </c>
      <c r="F247" s="482" t="s">
        <v>3168</v>
      </c>
      <c r="G247" s="486" t="s">
        <v>5409</v>
      </c>
      <c r="H247" s="593" t="s">
        <v>3169</v>
      </c>
      <c r="I247" s="634" t="s">
        <v>6215</v>
      </c>
      <c r="J247" s="1242"/>
      <c r="K247" s="1331"/>
    </row>
    <row r="248" spans="1:11">
      <c r="A248" s="428" t="s">
        <v>8879</v>
      </c>
      <c r="B248" s="570" t="s">
        <v>8881</v>
      </c>
      <c r="C248" s="631" t="s">
        <v>6268</v>
      </c>
      <c r="D248" s="413" t="s">
        <v>123</v>
      </c>
      <c r="E248" s="384">
        <v>1</v>
      </c>
      <c r="F248" s="482" t="s">
        <v>3170</v>
      </c>
      <c r="G248" s="486" t="s">
        <v>5410</v>
      </c>
      <c r="H248" s="593" t="s">
        <v>3171</v>
      </c>
      <c r="I248" s="634" t="s">
        <v>6215</v>
      </c>
      <c r="J248" s="1242"/>
      <c r="K248" s="1331"/>
    </row>
    <row r="249" spans="1:11">
      <c r="A249" s="428" t="s">
        <v>8879</v>
      </c>
      <c r="B249" s="570" t="s">
        <v>8881</v>
      </c>
      <c r="C249" s="631" t="s">
        <v>6268</v>
      </c>
      <c r="D249" s="413" t="s">
        <v>123</v>
      </c>
      <c r="E249" s="384">
        <v>1</v>
      </c>
      <c r="F249" s="482" t="s">
        <v>3172</v>
      </c>
      <c r="G249" s="486" t="s">
        <v>5411</v>
      </c>
      <c r="H249" s="593" t="s">
        <v>3173</v>
      </c>
      <c r="I249" s="634" t="s">
        <v>6215</v>
      </c>
      <c r="J249" s="1242"/>
      <c r="K249" s="1331"/>
    </row>
    <row r="250" spans="1:11">
      <c r="A250" s="428" t="s">
        <v>8879</v>
      </c>
      <c r="B250" s="570" t="s">
        <v>8881</v>
      </c>
      <c r="C250" s="631" t="s">
        <v>6268</v>
      </c>
      <c r="D250" s="413" t="s">
        <v>123</v>
      </c>
      <c r="E250" s="384">
        <v>1</v>
      </c>
      <c r="F250" s="482" t="s">
        <v>3174</v>
      </c>
      <c r="G250" s="486" t="s">
        <v>5412</v>
      </c>
      <c r="H250" s="593" t="s">
        <v>3175</v>
      </c>
      <c r="I250" s="634" t="s">
        <v>6215</v>
      </c>
      <c r="J250" s="1242"/>
      <c r="K250" s="1331"/>
    </row>
    <row r="251" spans="1:11">
      <c r="A251" s="428" t="s">
        <v>8879</v>
      </c>
      <c r="B251" s="570" t="s">
        <v>8881</v>
      </c>
      <c r="C251" s="631" t="s">
        <v>6268</v>
      </c>
      <c r="D251" s="413" t="s">
        <v>123</v>
      </c>
      <c r="E251" s="384">
        <v>1</v>
      </c>
      <c r="F251" s="482" t="s">
        <v>3176</v>
      </c>
      <c r="G251" s="486" t="s">
        <v>5413</v>
      </c>
      <c r="H251" s="593" t="s">
        <v>3177</v>
      </c>
      <c r="I251" s="634" t="s">
        <v>6215</v>
      </c>
      <c r="J251" s="1242"/>
      <c r="K251" s="1331"/>
    </row>
    <row r="252" spans="1:11">
      <c r="A252" s="428" t="s">
        <v>8879</v>
      </c>
      <c r="B252" s="570" t="s">
        <v>8881</v>
      </c>
      <c r="C252" s="631" t="s">
        <v>6268</v>
      </c>
      <c r="D252" s="413" t="s">
        <v>123</v>
      </c>
      <c r="E252" s="384">
        <v>1</v>
      </c>
      <c r="F252" s="482" t="s">
        <v>3178</v>
      </c>
      <c r="G252" s="486" t="s">
        <v>5414</v>
      </c>
      <c r="H252" s="593" t="s">
        <v>3179</v>
      </c>
      <c r="I252" s="634" t="s">
        <v>6215</v>
      </c>
      <c r="J252" s="1242"/>
      <c r="K252" s="1331"/>
    </row>
    <row r="253" spans="1:11">
      <c r="A253" s="428" t="s">
        <v>8879</v>
      </c>
      <c r="B253" s="570" t="s">
        <v>8881</v>
      </c>
      <c r="C253" s="631" t="s">
        <v>6268</v>
      </c>
      <c r="D253" s="413" t="s">
        <v>123</v>
      </c>
      <c r="E253" s="384">
        <v>1</v>
      </c>
      <c r="F253" s="482" t="s">
        <v>3180</v>
      </c>
      <c r="G253" s="486" t="s">
        <v>5415</v>
      </c>
      <c r="H253" s="593" t="s">
        <v>3181</v>
      </c>
      <c r="I253" s="634" t="s">
        <v>6215</v>
      </c>
      <c r="J253" s="1242"/>
      <c r="K253" s="1331"/>
    </row>
    <row r="254" spans="1:11">
      <c r="A254" s="428" t="s">
        <v>8879</v>
      </c>
      <c r="B254" s="570" t="s">
        <v>8881</v>
      </c>
      <c r="C254" s="631" t="s">
        <v>6268</v>
      </c>
      <c r="D254" s="413" t="s">
        <v>123</v>
      </c>
      <c r="E254" s="384">
        <v>1</v>
      </c>
      <c r="F254" s="482">
        <v>23</v>
      </c>
      <c r="G254" s="486" t="s">
        <v>5416</v>
      </c>
      <c r="H254" s="593" t="s">
        <v>3182</v>
      </c>
      <c r="I254" s="634" t="s">
        <v>6215</v>
      </c>
      <c r="J254" s="1242"/>
      <c r="K254" s="1331"/>
    </row>
    <row r="255" spans="1:11">
      <c r="A255" s="428" t="s">
        <v>8879</v>
      </c>
      <c r="B255" s="570" t="s">
        <v>8881</v>
      </c>
      <c r="C255" s="631" t="s">
        <v>6268</v>
      </c>
      <c r="D255" s="413" t="s">
        <v>123</v>
      </c>
      <c r="E255" s="384">
        <v>1</v>
      </c>
      <c r="F255" s="482" t="s">
        <v>3183</v>
      </c>
      <c r="G255" s="486" t="s">
        <v>5417</v>
      </c>
      <c r="H255" s="593" t="s">
        <v>3184</v>
      </c>
      <c r="I255" s="634" t="s">
        <v>6215</v>
      </c>
      <c r="J255" s="1242"/>
      <c r="K255" s="1331"/>
    </row>
    <row r="256" spans="1:11">
      <c r="A256" s="428" t="s">
        <v>8879</v>
      </c>
      <c r="B256" s="570" t="s">
        <v>8881</v>
      </c>
      <c r="C256" s="631" t="s">
        <v>6268</v>
      </c>
      <c r="D256" s="413" t="s">
        <v>123</v>
      </c>
      <c r="E256" s="384">
        <v>1</v>
      </c>
      <c r="F256" s="482" t="s">
        <v>3185</v>
      </c>
      <c r="G256" s="486" t="s">
        <v>5418</v>
      </c>
      <c r="H256" s="593" t="s">
        <v>3186</v>
      </c>
      <c r="I256" s="634" t="s">
        <v>6215</v>
      </c>
      <c r="J256" s="1242"/>
      <c r="K256" s="1331"/>
    </row>
    <row r="257" spans="1:11">
      <c r="A257" s="428" t="s">
        <v>8879</v>
      </c>
      <c r="B257" s="570" t="s">
        <v>8881</v>
      </c>
      <c r="C257" s="631" t="s">
        <v>6268</v>
      </c>
      <c r="D257" s="413" t="s">
        <v>123</v>
      </c>
      <c r="E257" s="384">
        <v>1</v>
      </c>
      <c r="F257" s="482" t="s">
        <v>3187</v>
      </c>
      <c r="G257" s="486" t="s">
        <v>5419</v>
      </c>
      <c r="H257" s="593" t="s">
        <v>3188</v>
      </c>
      <c r="I257" s="634" t="s">
        <v>6215</v>
      </c>
      <c r="J257" s="1242"/>
      <c r="K257" s="1331"/>
    </row>
    <row r="258" spans="1:11">
      <c r="A258" s="428" t="s">
        <v>8879</v>
      </c>
      <c r="B258" s="570" t="s">
        <v>8881</v>
      </c>
      <c r="C258" s="631" t="s">
        <v>6268</v>
      </c>
      <c r="D258" s="413" t="s">
        <v>123</v>
      </c>
      <c r="E258" s="384">
        <v>1</v>
      </c>
      <c r="F258" s="482" t="s">
        <v>3189</v>
      </c>
      <c r="G258" s="486" t="s">
        <v>5420</v>
      </c>
      <c r="H258" s="593" t="s">
        <v>3190</v>
      </c>
      <c r="I258" s="634" t="s">
        <v>6215</v>
      </c>
      <c r="J258" s="1242"/>
      <c r="K258" s="1331"/>
    </row>
    <row r="259" spans="1:11">
      <c r="A259" s="428" t="s">
        <v>8879</v>
      </c>
      <c r="B259" s="570" t="s">
        <v>8881</v>
      </c>
      <c r="C259" s="631" t="s">
        <v>6268</v>
      </c>
      <c r="D259" s="413" t="s">
        <v>123</v>
      </c>
      <c r="E259" s="384">
        <v>1</v>
      </c>
      <c r="F259" s="482" t="s">
        <v>3191</v>
      </c>
      <c r="G259" s="486" t="s">
        <v>5421</v>
      </c>
      <c r="H259" s="593" t="s">
        <v>3192</v>
      </c>
      <c r="I259" s="634" t="s">
        <v>6215</v>
      </c>
      <c r="J259" s="1242"/>
      <c r="K259" s="1331"/>
    </row>
    <row r="260" spans="1:11">
      <c r="A260" s="428" t="s">
        <v>8879</v>
      </c>
      <c r="B260" s="570" t="s">
        <v>8881</v>
      </c>
      <c r="C260" s="631" t="s">
        <v>6268</v>
      </c>
      <c r="D260" s="413" t="s">
        <v>123</v>
      </c>
      <c r="E260" s="384">
        <v>1</v>
      </c>
      <c r="F260" s="482" t="s">
        <v>3193</v>
      </c>
      <c r="G260" s="486" t="s">
        <v>5422</v>
      </c>
      <c r="H260" s="593" t="s">
        <v>3194</v>
      </c>
      <c r="I260" s="634" t="s">
        <v>6215</v>
      </c>
      <c r="J260" s="1242"/>
      <c r="K260" s="1331"/>
    </row>
    <row r="261" spans="1:11">
      <c r="A261" s="428" t="s">
        <v>8879</v>
      </c>
      <c r="B261" s="570" t="s">
        <v>8881</v>
      </c>
      <c r="C261" s="631" t="s">
        <v>6268</v>
      </c>
      <c r="D261" s="413" t="s">
        <v>123</v>
      </c>
      <c r="E261" s="384">
        <v>1</v>
      </c>
      <c r="F261" s="482" t="s">
        <v>3195</v>
      </c>
      <c r="G261" s="486" t="s">
        <v>5423</v>
      </c>
      <c r="H261" s="593" t="s">
        <v>3196</v>
      </c>
      <c r="I261" s="634" t="s">
        <v>6215</v>
      </c>
      <c r="J261" s="1242"/>
      <c r="K261" s="1331"/>
    </row>
    <row r="262" spans="1:11">
      <c r="A262" s="428" t="s">
        <v>8879</v>
      </c>
      <c r="B262" s="570" t="s">
        <v>8881</v>
      </c>
      <c r="C262" s="631" t="s">
        <v>6268</v>
      </c>
      <c r="D262" s="413" t="s">
        <v>123</v>
      </c>
      <c r="E262" s="384">
        <v>1</v>
      </c>
      <c r="F262" s="482" t="s">
        <v>3197</v>
      </c>
      <c r="G262" s="486" t="s">
        <v>5424</v>
      </c>
      <c r="H262" s="593" t="s">
        <v>3198</v>
      </c>
      <c r="I262" s="634" t="s">
        <v>6215</v>
      </c>
      <c r="J262" s="1242"/>
      <c r="K262" s="1331"/>
    </row>
    <row r="263" spans="1:11">
      <c r="A263" s="428" t="s">
        <v>8879</v>
      </c>
      <c r="B263" s="570" t="s">
        <v>8881</v>
      </c>
      <c r="C263" s="631" t="s">
        <v>6268</v>
      </c>
      <c r="D263" s="413" t="s">
        <v>123</v>
      </c>
      <c r="E263" s="384">
        <v>1</v>
      </c>
      <c r="F263" s="482" t="s">
        <v>3199</v>
      </c>
      <c r="G263" s="486" t="s">
        <v>5425</v>
      </c>
      <c r="H263" s="593" t="s">
        <v>3200</v>
      </c>
      <c r="I263" s="634" t="s">
        <v>6215</v>
      </c>
      <c r="J263" s="1242"/>
      <c r="K263" s="1331"/>
    </row>
    <row r="264" spans="1:11">
      <c r="A264" s="428" t="s">
        <v>8879</v>
      </c>
      <c r="B264" s="570" t="s">
        <v>8881</v>
      </c>
      <c r="C264" s="631" t="s">
        <v>6268</v>
      </c>
      <c r="D264" s="413" t="s">
        <v>123</v>
      </c>
      <c r="E264" s="384">
        <v>1</v>
      </c>
      <c r="F264" s="482" t="s">
        <v>3201</v>
      </c>
      <c r="G264" s="486" t="s">
        <v>5426</v>
      </c>
      <c r="H264" s="593" t="s">
        <v>3202</v>
      </c>
      <c r="I264" s="634" t="s">
        <v>6215</v>
      </c>
      <c r="J264" s="1242"/>
      <c r="K264" s="1331"/>
    </row>
    <row r="265" spans="1:11">
      <c r="A265" s="428" t="s">
        <v>8879</v>
      </c>
      <c r="B265" s="570" t="s">
        <v>8881</v>
      </c>
      <c r="C265" s="631" t="s">
        <v>6268</v>
      </c>
      <c r="D265" s="413" t="s">
        <v>123</v>
      </c>
      <c r="E265" s="384">
        <v>1</v>
      </c>
      <c r="F265" s="482" t="s">
        <v>3203</v>
      </c>
      <c r="G265" s="486" t="s">
        <v>5427</v>
      </c>
      <c r="H265" s="593" t="s">
        <v>3204</v>
      </c>
      <c r="I265" s="634" t="s">
        <v>6215</v>
      </c>
      <c r="J265" s="1242"/>
      <c r="K265" s="1331"/>
    </row>
    <row r="266" spans="1:11">
      <c r="A266" s="428" t="s">
        <v>8879</v>
      </c>
      <c r="B266" s="570" t="s">
        <v>8881</v>
      </c>
      <c r="C266" s="631" t="s">
        <v>6268</v>
      </c>
      <c r="D266" s="413" t="s">
        <v>123</v>
      </c>
      <c r="E266" s="384">
        <v>1</v>
      </c>
      <c r="F266" s="482" t="s">
        <v>3205</v>
      </c>
      <c r="G266" s="486" t="s">
        <v>5428</v>
      </c>
      <c r="H266" s="593" t="s">
        <v>3206</v>
      </c>
      <c r="I266" s="634" t="s">
        <v>6215</v>
      </c>
      <c r="J266" s="1242"/>
      <c r="K266" s="1331"/>
    </row>
    <row r="267" spans="1:11">
      <c r="A267" s="428" t="s">
        <v>8879</v>
      </c>
      <c r="B267" s="570" t="s">
        <v>8881</v>
      </c>
      <c r="C267" s="631" t="s">
        <v>6268</v>
      </c>
      <c r="D267" s="413" t="s">
        <v>123</v>
      </c>
      <c r="E267" s="384">
        <v>1</v>
      </c>
      <c r="F267" s="482" t="s">
        <v>3207</v>
      </c>
      <c r="G267" s="486" t="s">
        <v>5429</v>
      </c>
      <c r="H267" s="593" t="s">
        <v>3208</v>
      </c>
      <c r="I267" s="634" t="s">
        <v>6215</v>
      </c>
      <c r="J267" s="1242"/>
      <c r="K267" s="1331"/>
    </row>
    <row r="268" spans="1:11">
      <c r="A268" s="428" t="s">
        <v>8879</v>
      </c>
      <c r="B268" s="570" t="s">
        <v>8881</v>
      </c>
      <c r="C268" s="631" t="s">
        <v>6268</v>
      </c>
      <c r="D268" s="413" t="s">
        <v>123</v>
      </c>
      <c r="E268" s="384">
        <v>1</v>
      </c>
      <c r="F268" s="482" t="s">
        <v>3209</v>
      </c>
      <c r="G268" s="486" t="s">
        <v>5430</v>
      </c>
      <c r="H268" s="593" t="s">
        <v>3210</v>
      </c>
      <c r="I268" s="634" t="s">
        <v>6215</v>
      </c>
      <c r="J268" s="1242"/>
      <c r="K268" s="1331"/>
    </row>
    <row r="269" spans="1:11">
      <c r="A269" s="428" t="s">
        <v>8879</v>
      </c>
      <c r="B269" s="570" t="s">
        <v>8881</v>
      </c>
      <c r="C269" s="631" t="s">
        <v>6268</v>
      </c>
      <c r="D269" s="413" t="s">
        <v>123</v>
      </c>
      <c r="E269" s="384">
        <v>1</v>
      </c>
      <c r="F269" s="482" t="s">
        <v>3211</v>
      </c>
      <c r="G269" s="486" t="s">
        <v>5431</v>
      </c>
      <c r="H269" s="593" t="s">
        <v>3212</v>
      </c>
      <c r="I269" s="634" t="s">
        <v>6215</v>
      </c>
      <c r="J269" s="1242"/>
      <c r="K269" s="1331"/>
    </row>
    <row r="270" spans="1:11">
      <c r="A270" s="428" t="s">
        <v>8879</v>
      </c>
      <c r="B270" s="570" t="s">
        <v>8881</v>
      </c>
      <c r="C270" s="631" t="s">
        <v>6268</v>
      </c>
      <c r="D270" s="413" t="s">
        <v>123</v>
      </c>
      <c r="E270" s="384">
        <v>1</v>
      </c>
      <c r="F270" s="482" t="s">
        <v>3213</v>
      </c>
      <c r="G270" s="486" t="s">
        <v>5432</v>
      </c>
      <c r="H270" s="593" t="s">
        <v>3214</v>
      </c>
      <c r="I270" s="634" t="s">
        <v>6215</v>
      </c>
      <c r="J270" s="1242"/>
      <c r="K270" s="1331"/>
    </row>
    <row r="271" spans="1:11">
      <c r="A271" s="428" t="s">
        <v>8879</v>
      </c>
      <c r="B271" s="570" t="s">
        <v>8881</v>
      </c>
      <c r="C271" s="631" t="s">
        <v>6268</v>
      </c>
      <c r="D271" s="413" t="s">
        <v>123</v>
      </c>
      <c r="E271" s="384">
        <v>1</v>
      </c>
      <c r="F271" s="482" t="s">
        <v>3215</v>
      </c>
      <c r="G271" s="486" t="s">
        <v>5433</v>
      </c>
      <c r="H271" s="593" t="s">
        <v>3216</v>
      </c>
      <c r="I271" s="634" t="s">
        <v>6215</v>
      </c>
      <c r="J271" s="1242"/>
      <c r="K271" s="1331"/>
    </row>
    <row r="272" spans="1:11">
      <c r="A272" s="428" t="s">
        <v>8879</v>
      </c>
      <c r="B272" s="570" t="s">
        <v>8881</v>
      </c>
      <c r="C272" s="631" t="s">
        <v>6268</v>
      </c>
      <c r="D272" s="413" t="s">
        <v>123</v>
      </c>
      <c r="E272" s="384">
        <v>1</v>
      </c>
      <c r="F272" s="482" t="s">
        <v>3217</v>
      </c>
      <c r="G272" s="486" t="s">
        <v>5434</v>
      </c>
      <c r="H272" s="593" t="s">
        <v>3218</v>
      </c>
      <c r="I272" s="634" t="s">
        <v>6215</v>
      </c>
      <c r="J272" s="1242"/>
      <c r="K272" s="1331"/>
    </row>
    <row r="273" spans="1:11">
      <c r="A273" s="428" t="s">
        <v>8879</v>
      </c>
      <c r="B273" s="570" t="s">
        <v>8881</v>
      </c>
      <c r="C273" s="631" t="s">
        <v>6268</v>
      </c>
      <c r="D273" s="413" t="s">
        <v>123</v>
      </c>
      <c r="E273" s="384">
        <v>1</v>
      </c>
      <c r="F273" s="482" t="s">
        <v>3219</v>
      </c>
      <c r="G273" s="486" t="s">
        <v>5435</v>
      </c>
      <c r="H273" s="593" t="s">
        <v>3220</v>
      </c>
      <c r="I273" s="634" t="s">
        <v>6215</v>
      </c>
      <c r="J273" s="1242"/>
      <c r="K273" s="1331"/>
    </row>
    <row r="274" spans="1:11">
      <c r="A274" s="428" t="s">
        <v>8879</v>
      </c>
      <c r="B274" s="570" t="s">
        <v>8881</v>
      </c>
      <c r="C274" s="631" t="s">
        <v>6268</v>
      </c>
      <c r="D274" s="413" t="s">
        <v>123</v>
      </c>
      <c r="E274" s="384">
        <v>1</v>
      </c>
      <c r="F274" s="482" t="s">
        <v>3221</v>
      </c>
      <c r="G274" s="486" t="s">
        <v>5436</v>
      </c>
      <c r="H274" s="593" t="s">
        <v>3222</v>
      </c>
      <c r="I274" s="634" t="s">
        <v>6215</v>
      </c>
      <c r="J274" s="1242"/>
      <c r="K274" s="1331"/>
    </row>
    <row r="275" spans="1:11">
      <c r="A275" s="428" t="s">
        <v>8879</v>
      </c>
      <c r="B275" s="570" t="s">
        <v>8881</v>
      </c>
      <c r="C275" s="631" t="s">
        <v>6268</v>
      </c>
      <c r="D275" s="413" t="s">
        <v>123</v>
      </c>
      <c r="E275" s="384">
        <v>1</v>
      </c>
      <c r="F275" s="482" t="s">
        <v>3223</v>
      </c>
      <c r="G275" s="486" t="s">
        <v>5437</v>
      </c>
      <c r="H275" s="593" t="s">
        <v>3224</v>
      </c>
      <c r="I275" s="634" t="s">
        <v>6215</v>
      </c>
      <c r="J275" s="1242"/>
      <c r="K275" s="1331"/>
    </row>
    <row r="276" spans="1:11">
      <c r="A276" s="428" t="s">
        <v>8879</v>
      </c>
      <c r="B276" s="570" t="s">
        <v>8881</v>
      </c>
      <c r="C276" s="631" t="s">
        <v>6268</v>
      </c>
      <c r="D276" s="413" t="s">
        <v>123</v>
      </c>
      <c r="E276" s="384">
        <v>1</v>
      </c>
      <c r="F276" s="482" t="s">
        <v>3225</v>
      </c>
      <c r="G276" s="486" t="s">
        <v>5438</v>
      </c>
      <c r="H276" s="593" t="s">
        <v>3226</v>
      </c>
      <c r="I276" s="634" t="s">
        <v>6215</v>
      </c>
      <c r="J276" s="1242"/>
      <c r="K276" s="1331"/>
    </row>
    <row r="277" spans="1:11">
      <c r="A277" s="428" t="s">
        <v>8879</v>
      </c>
      <c r="B277" s="570" t="s">
        <v>8881</v>
      </c>
      <c r="C277" s="631" t="s">
        <v>6268</v>
      </c>
      <c r="D277" s="413" t="s">
        <v>123</v>
      </c>
      <c r="E277" s="384">
        <v>1</v>
      </c>
      <c r="F277" s="482" t="s">
        <v>3227</v>
      </c>
      <c r="G277" s="486" t="s">
        <v>5439</v>
      </c>
      <c r="H277" s="593" t="s">
        <v>3228</v>
      </c>
      <c r="I277" s="634" t="s">
        <v>6215</v>
      </c>
      <c r="J277" s="1242"/>
      <c r="K277" s="1331"/>
    </row>
    <row r="278" spans="1:11">
      <c r="A278" s="428" t="s">
        <v>8879</v>
      </c>
      <c r="B278" s="570" t="s">
        <v>8881</v>
      </c>
      <c r="C278" s="631" t="s">
        <v>6268</v>
      </c>
      <c r="D278" s="413" t="s">
        <v>123</v>
      </c>
      <c r="E278" s="384">
        <v>1</v>
      </c>
      <c r="F278" s="482" t="s">
        <v>3229</v>
      </c>
      <c r="G278" s="486" t="s">
        <v>5440</v>
      </c>
      <c r="H278" s="593" t="s">
        <v>3230</v>
      </c>
      <c r="I278" s="634" t="s">
        <v>6215</v>
      </c>
      <c r="J278" s="1242"/>
      <c r="K278" s="1331"/>
    </row>
    <row r="279" spans="1:11">
      <c r="A279" s="428" t="s">
        <v>8879</v>
      </c>
      <c r="B279" s="570" t="s">
        <v>8881</v>
      </c>
      <c r="C279" s="631" t="s">
        <v>6268</v>
      </c>
      <c r="D279" s="413" t="s">
        <v>123</v>
      </c>
      <c r="E279" s="384">
        <v>1</v>
      </c>
      <c r="F279" s="482" t="s">
        <v>3231</v>
      </c>
      <c r="G279" s="486" t="s">
        <v>5441</v>
      </c>
      <c r="H279" s="593" t="s">
        <v>3232</v>
      </c>
      <c r="I279" s="634" t="s">
        <v>6215</v>
      </c>
      <c r="J279" s="1242"/>
      <c r="K279" s="1331"/>
    </row>
    <row r="280" spans="1:11">
      <c r="A280" s="428" t="s">
        <v>8879</v>
      </c>
      <c r="B280" s="570" t="s">
        <v>8881</v>
      </c>
      <c r="C280" s="631" t="s">
        <v>6268</v>
      </c>
      <c r="D280" s="413" t="s">
        <v>123</v>
      </c>
      <c r="E280" s="384">
        <v>1</v>
      </c>
      <c r="F280" s="482" t="s">
        <v>3233</v>
      </c>
      <c r="G280" s="486" t="s">
        <v>5442</v>
      </c>
      <c r="H280" s="593" t="s">
        <v>3234</v>
      </c>
      <c r="I280" s="634" t="s">
        <v>6215</v>
      </c>
      <c r="J280" s="1242"/>
      <c r="K280" s="1331"/>
    </row>
    <row r="281" spans="1:11">
      <c r="A281" s="428" t="s">
        <v>8879</v>
      </c>
      <c r="B281" s="570" t="s">
        <v>8881</v>
      </c>
      <c r="C281" s="631" t="s">
        <v>6268</v>
      </c>
      <c r="D281" s="413" t="s">
        <v>123</v>
      </c>
      <c r="E281" s="384">
        <v>1</v>
      </c>
      <c r="F281" s="482" t="s">
        <v>3235</v>
      </c>
      <c r="G281" s="486" t="s">
        <v>5443</v>
      </c>
      <c r="H281" s="593" t="s">
        <v>3236</v>
      </c>
      <c r="I281" s="634" t="s">
        <v>6215</v>
      </c>
      <c r="J281" s="1242"/>
      <c r="K281" s="1331"/>
    </row>
    <row r="282" spans="1:11">
      <c r="A282" s="428" t="s">
        <v>8879</v>
      </c>
      <c r="B282" s="570" t="s">
        <v>8881</v>
      </c>
      <c r="C282" s="631" t="s">
        <v>6268</v>
      </c>
      <c r="D282" s="413" t="s">
        <v>123</v>
      </c>
      <c r="E282" s="384">
        <v>1</v>
      </c>
      <c r="F282" s="482" t="s">
        <v>3237</v>
      </c>
      <c r="G282" s="486" t="s">
        <v>5444</v>
      </c>
      <c r="H282" s="593" t="s">
        <v>3238</v>
      </c>
      <c r="I282" s="634" t="s">
        <v>6215</v>
      </c>
      <c r="J282" s="1242"/>
      <c r="K282" s="1331"/>
    </row>
    <row r="283" spans="1:11">
      <c r="A283" s="428" t="s">
        <v>8879</v>
      </c>
      <c r="B283" s="570" t="s">
        <v>8881</v>
      </c>
      <c r="C283" s="631" t="s">
        <v>6268</v>
      </c>
      <c r="D283" s="413" t="s">
        <v>123</v>
      </c>
      <c r="E283" s="384">
        <v>1</v>
      </c>
      <c r="F283" s="482" t="s">
        <v>3239</v>
      </c>
      <c r="G283" s="486" t="s">
        <v>5445</v>
      </c>
      <c r="H283" s="593" t="s">
        <v>3240</v>
      </c>
      <c r="I283" s="634" t="s">
        <v>6215</v>
      </c>
      <c r="J283" s="1242"/>
      <c r="K283" s="1331"/>
    </row>
    <row r="284" spans="1:11">
      <c r="A284" s="428" t="s">
        <v>8879</v>
      </c>
      <c r="B284" s="570" t="s">
        <v>8881</v>
      </c>
      <c r="C284" s="631" t="s">
        <v>6268</v>
      </c>
      <c r="D284" s="413" t="s">
        <v>123</v>
      </c>
      <c r="E284" s="384">
        <v>1</v>
      </c>
      <c r="F284" s="482" t="s">
        <v>3241</v>
      </c>
      <c r="G284" s="486" t="s">
        <v>5446</v>
      </c>
      <c r="H284" s="593" t="s">
        <v>3242</v>
      </c>
      <c r="I284" s="634" t="s">
        <v>6215</v>
      </c>
      <c r="J284" s="1242"/>
      <c r="K284" s="1331"/>
    </row>
    <row r="285" spans="1:11">
      <c r="A285" s="428" t="s">
        <v>8879</v>
      </c>
      <c r="B285" s="570" t="s">
        <v>8881</v>
      </c>
      <c r="C285" s="631" t="s">
        <v>6268</v>
      </c>
      <c r="D285" s="413" t="s">
        <v>123</v>
      </c>
      <c r="E285" s="384">
        <v>1</v>
      </c>
      <c r="F285" s="482">
        <v>24</v>
      </c>
      <c r="G285" s="486" t="s">
        <v>5447</v>
      </c>
      <c r="H285" s="593" t="s">
        <v>3243</v>
      </c>
      <c r="I285" s="634" t="s">
        <v>6215</v>
      </c>
      <c r="J285" s="1242"/>
      <c r="K285" s="1331"/>
    </row>
    <row r="286" spans="1:11">
      <c r="A286" s="428" t="s">
        <v>8879</v>
      </c>
      <c r="B286" s="570" t="s">
        <v>8881</v>
      </c>
      <c r="C286" s="631" t="s">
        <v>6268</v>
      </c>
      <c r="D286" s="413" t="s">
        <v>123</v>
      </c>
      <c r="E286" s="384">
        <v>1</v>
      </c>
      <c r="F286" s="482" t="s">
        <v>3244</v>
      </c>
      <c r="G286" s="486" t="s">
        <v>5448</v>
      </c>
      <c r="H286" s="593" t="s">
        <v>3245</v>
      </c>
      <c r="I286" s="634" t="s">
        <v>6215</v>
      </c>
      <c r="J286" s="1242"/>
      <c r="K286" s="1331"/>
    </row>
    <row r="287" spans="1:11">
      <c r="A287" s="428" t="s">
        <v>8879</v>
      </c>
      <c r="B287" s="570" t="s">
        <v>8881</v>
      </c>
      <c r="C287" s="631" t="s">
        <v>6268</v>
      </c>
      <c r="D287" s="413" t="s">
        <v>123</v>
      </c>
      <c r="E287" s="384">
        <v>1</v>
      </c>
      <c r="F287" s="482" t="s">
        <v>3246</v>
      </c>
      <c r="G287" s="486" t="s">
        <v>5449</v>
      </c>
      <c r="H287" s="593" t="s">
        <v>3247</v>
      </c>
      <c r="I287" s="634" t="s">
        <v>6215</v>
      </c>
      <c r="J287" s="1242"/>
      <c r="K287" s="1331"/>
    </row>
    <row r="288" spans="1:11">
      <c r="A288" s="428" t="s">
        <v>8879</v>
      </c>
      <c r="B288" s="570" t="s">
        <v>8881</v>
      </c>
      <c r="C288" s="631" t="s">
        <v>6268</v>
      </c>
      <c r="D288" s="413" t="s">
        <v>123</v>
      </c>
      <c r="E288" s="384">
        <v>1</v>
      </c>
      <c r="F288" s="482" t="s">
        <v>3248</v>
      </c>
      <c r="G288" s="486" t="s">
        <v>5450</v>
      </c>
      <c r="H288" s="593" t="s">
        <v>3249</v>
      </c>
      <c r="I288" s="634" t="s">
        <v>6215</v>
      </c>
      <c r="J288" s="1242"/>
      <c r="K288" s="1331"/>
    </row>
    <row r="289" spans="1:11">
      <c r="A289" s="428" t="s">
        <v>8879</v>
      </c>
      <c r="B289" s="570" t="s">
        <v>8881</v>
      </c>
      <c r="C289" s="631" t="s">
        <v>6268</v>
      </c>
      <c r="D289" s="413" t="s">
        <v>123</v>
      </c>
      <c r="E289" s="384">
        <v>1</v>
      </c>
      <c r="F289" s="482" t="s">
        <v>3250</v>
      </c>
      <c r="G289" s="486" t="s">
        <v>5451</v>
      </c>
      <c r="H289" s="593" t="s">
        <v>3251</v>
      </c>
      <c r="I289" s="634" t="s">
        <v>6215</v>
      </c>
      <c r="J289" s="1242"/>
      <c r="K289" s="1331"/>
    </row>
    <row r="290" spans="1:11">
      <c r="A290" s="428" t="s">
        <v>8879</v>
      </c>
      <c r="B290" s="570" t="s">
        <v>8881</v>
      </c>
      <c r="C290" s="631" t="s">
        <v>6268</v>
      </c>
      <c r="D290" s="413" t="s">
        <v>123</v>
      </c>
      <c r="E290" s="384">
        <v>1</v>
      </c>
      <c r="F290" s="482" t="s">
        <v>3252</v>
      </c>
      <c r="G290" s="486" t="s">
        <v>5452</v>
      </c>
      <c r="H290" s="593" t="s">
        <v>3253</v>
      </c>
      <c r="I290" s="634" t="s">
        <v>6215</v>
      </c>
      <c r="J290" s="1242"/>
      <c r="K290" s="1331"/>
    </row>
    <row r="291" spans="1:11">
      <c r="A291" s="428" t="s">
        <v>8879</v>
      </c>
      <c r="B291" s="570" t="s">
        <v>8881</v>
      </c>
      <c r="C291" s="631" t="s">
        <v>6268</v>
      </c>
      <c r="D291" s="413" t="s">
        <v>123</v>
      </c>
      <c r="E291" s="384">
        <v>1</v>
      </c>
      <c r="F291" s="482" t="s">
        <v>3254</v>
      </c>
      <c r="G291" s="486" t="s">
        <v>5453</v>
      </c>
      <c r="H291" s="593" t="s">
        <v>3255</v>
      </c>
      <c r="I291" s="634" t="s">
        <v>6215</v>
      </c>
      <c r="J291" s="1242"/>
      <c r="K291" s="1331"/>
    </row>
    <row r="292" spans="1:11">
      <c r="A292" s="428" t="s">
        <v>8879</v>
      </c>
      <c r="B292" s="570" t="s">
        <v>8881</v>
      </c>
      <c r="C292" s="631" t="s">
        <v>6268</v>
      </c>
      <c r="D292" s="413" t="s">
        <v>123</v>
      </c>
      <c r="E292" s="384">
        <v>1</v>
      </c>
      <c r="F292" s="482" t="s">
        <v>3256</v>
      </c>
      <c r="G292" s="486" t="s">
        <v>5454</v>
      </c>
      <c r="H292" s="593" t="s">
        <v>3257</v>
      </c>
      <c r="I292" s="634" t="s">
        <v>6215</v>
      </c>
      <c r="J292" s="1242"/>
      <c r="K292" s="1331"/>
    </row>
    <row r="293" spans="1:11">
      <c r="A293" s="428" t="s">
        <v>8879</v>
      </c>
      <c r="B293" s="570" t="s">
        <v>8881</v>
      </c>
      <c r="C293" s="631" t="s">
        <v>6268</v>
      </c>
      <c r="D293" s="413" t="s">
        <v>123</v>
      </c>
      <c r="E293" s="384">
        <v>1</v>
      </c>
      <c r="F293" s="482" t="s">
        <v>3258</v>
      </c>
      <c r="G293" s="486" t="s">
        <v>5455</v>
      </c>
      <c r="H293" s="593" t="s">
        <v>3259</v>
      </c>
      <c r="I293" s="634" t="s">
        <v>6215</v>
      </c>
      <c r="J293" s="1242"/>
      <c r="K293" s="1331"/>
    </row>
    <row r="294" spans="1:11">
      <c r="A294" s="428" t="s">
        <v>8879</v>
      </c>
      <c r="B294" s="570" t="s">
        <v>8881</v>
      </c>
      <c r="C294" s="631" t="s">
        <v>6268</v>
      </c>
      <c r="D294" s="413" t="s">
        <v>123</v>
      </c>
      <c r="E294" s="384">
        <v>1</v>
      </c>
      <c r="F294" s="482" t="s">
        <v>3260</v>
      </c>
      <c r="G294" s="486" t="s">
        <v>5456</v>
      </c>
      <c r="H294" s="593" t="s">
        <v>3261</v>
      </c>
      <c r="I294" s="634" t="s">
        <v>6215</v>
      </c>
      <c r="J294" s="1242"/>
      <c r="K294" s="1331"/>
    </row>
    <row r="295" spans="1:11">
      <c r="A295" s="428" t="s">
        <v>8879</v>
      </c>
      <c r="B295" s="570" t="s">
        <v>8881</v>
      </c>
      <c r="C295" s="631" t="s">
        <v>6268</v>
      </c>
      <c r="D295" s="413" t="s">
        <v>123</v>
      </c>
      <c r="E295" s="384">
        <v>1</v>
      </c>
      <c r="F295" s="482" t="s">
        <v>3262</v>
      </c>
      <c r="G295" s="486" t="s">
        <v>5457</v>
      </c>
      <c r="H295" s="593" t="s">
        <v>3263</v>
      </c>
      <c r="I295" s="634" t="s">
        <v>6215</v>
      </c>
      <c r="J295" s="1242"/>
      <c r="K295" s="1331"/>
    </row>
    <row r="296" spans="1:11">
      <c r="A296" s="428" t="s">
        <v>8879</v>
      </c>
      <c r="B296" s="570" t="s">
        <v>8881</v>
      </c>
      <c r="C296" s="631" t="s">
        <v>6268</v>
      </c>
      <c r="D296" s="413" t="s">
        <v>123</v>
      </c>
      <c r="E296" s="384">
        <v>1</v>
      </c>
      <c r="F296" s="482" t="s">
        <v>3264</v>
      </c>
      <c r="G296" s="486" t="s">
        <v>5458</v>
      </c>
      <c r="H296" s="593" t="s">
        <v>3265</v>
      </c>
      <c r="I296" s="634" t="s">
        <v>6215</v>
      </c>
      <c r="J296" s="1242"/>
      <c r="K296" s="1331"/>
    </row>
    <row r="297" spans="1:11">
      <c r="A297" s="428" t="s">
        <v>8879</v>
      </c>
      <c r="B297" s="570" t="s">
        <v>8881</v>
      </c>
      <c r="C297" s="631" t="s">
        <v>6268</v>
      </c>
      <c r="D297" s="413" t="s">
        <v>123</v>
      </c>
      <c r="E297" s="384">
        <v>1</v>
      </c>
      <c r="F297" s="482" t="s">
        <v>3266</v>
      </c>
      <c r="G297" s="486" t="s">
        <v>5459</v>
      </c>
      <c r="H297" s="593" t="s">
        <v>3267</v>
      </c>
      <c r="I297" s="634" t="s">
        <v>6215</v>
      </c>
      <c r="J297" s="1242"/>
      <c r="K297" s="1331"/>
    </row>
    <row r="298" spans="1:11">
      <c r="A298" s="428" t="s">
        <v>8879</v>
      </c>
      <c r="B298" s="570" t="s">
        <v>8881</v>
      </c>
      <c r="C298" s="631" t="s">
        <v>6268</v>
      </c>
      <c r="D298" s="413" t="s">
        <v>123</v>
      </c>
      <c r="E298" s="384">
        <v>1</v>
      </c>
      <c r="F298" s="482" t="s">
        <v>3268</v>
      </c>
      <c r="G298" s="486" t="s">
        <v>5460</v>
      </c>
      <c r="H298" s="593" t="s">
        <v>3269</v>
      </c>
      <c r="I298" s="634" t="s">
        <v>6215</v>
      </c>
      <c r="J298" s="1242"/>
      <c r="K298" s="1331"/>
    </row>
    <row r="299" spans="1:11">
      <c r="A299" s="428" t="s">
        <v>8879</v>
      </c>
      <c r="B299" s="570" t="s">
        <v>8881</v>
      </c>
      <c r="C299" s="631" t="s">
        <v>6268</v>
      </c>
      <c r="D299" s="413" t="s">
        <v>123</v>
      </c>
      <c r="E299" s="384">
        <v>1</v>
      </c>
      <c r="F299" s="482" t="s">
        <v>3270</v>
      </c>
      <c r="G299" s="486" t="s">
        <v>5461</v>
      </c>
      <c r="H299" s="593" t="s">
        <v>3271</v>
      </c>
      <c r="I299" s="634" t="s">
        <v>6215</v>
      </c>
      <c r="J299" s="1242"/>
      <c r="K299" s="1331"/>
    </row>
    <row r="300" spans="1:11">
      <c r="A300" s="428" t="s">
        <v>8879</v>
      </c>
      <c r="B300" s="570" t="s">
        <v>8881</v>
      </c>
      <c r="C300" s="631" t="s">
        <v>6268</v>
      </c>
      <c r="D300" s="413" t="s">
        <v>123</v>
      </c>
      <c r="E300" s="384">
        <v>1</v>
      </c>
      <c r="F300" s="482" t="s">
        <v>3272</v>
      </c>
      <c r="G300" s="486" t="s">
        <v>5462</v>
      </c>
      <c r="H300" s="593" t="s">
        <v>3273</v>
      </c>
      <c r="I300" s="634" t="s">
        <v>6215</v>
      </c>
      <c r="J300" s="1242"/>
      <c r="K300" s="1331"/>
    </row>
    <row r="301" spans="1:11">
      <c r="A301" s="428" t="s">
        <v>8879</v>
      </c>
      <c r="B301" s="570" t="s">
        <v>8881</v>
      </c>
      <c r="C301" s="631" t="s">
        <v>6268</v>
      </c>
      <c r="D301" s="413" t="s">
        <v>123</v>
      </c>
      <c r="E301" s="384">
        <v>1</v>
      </c>
      <c r="F301" s="482" t="s">
        <v>3274</v>
      </c>
      <c r="G301" s="486" t="s">
        <v>5463</v>
      </c>
      <c r="H301" s="593" t="s">
        <v>3275</v>
      </c>
      <c r="I301" s="634" t="s">
        <v>6215</v>
      </c>
      <c r="J301" s="1242"/>
      <c r="K301" s="1331"/>
    </row>
    <row r="302" spans="1:11">
      <c r="A302" s="428" t="s">
        <v>8879</v>
      </c>
      <c r="B302" s="570" t="s">
        <v>8881</v>
      </c>
      <c r="C302" s="631" t="s">
        <v>6268</v>
      </c>
      <c r="D302" s="413" t="s">
        <v>123</v>
      </c>
      <c r="E302" s="384">
        <v>1</v>
      </c>
      <c r="F302" s="482" t="s">
        <v>3276</v>
      </c>
      <c r="G302" s="486" t="s">
        <v>5464</v>
      </c>
      <c r="H302" s="593" t="s">
        <v>3277</v>
      </c>
      <c r="I302" s="634" t="s">
        <v>6215</v>
      </c>
      <c r="J302" s="1242"/>
      <c r="K302" s="1331"/>
    </row>
    <row r="303" spans="1:11">
      <c r="A303" s="428" t="s">
        <v>8879</v>
      </c>
      <c r="B303" s="570" t="s">
        <v>8881</v>
      </c>
      <c r="C303" s="631" t="s">
        <v>6268</v>
      </c>
      <c r="D303" s="413" t="s">
        <v>123</v>
      </c>
      <c r="E303" s="384">
        <v>1</v>
      </c>
      <c r="F303" s="482" t="s">
        <v>3278</v>
      </c>
      <c r="G303" s="486" t="s">
        <v>5465</v>
      </c>
      <c r="H303" s="593" t="s">
        <v>3279</v>
      </c>
      <c r="I303" s="634" t="s">
        <v>6215</v>
      </c>
      <c r="J303" s="1242"/>
      <c r="K303" s="1331"/>
    </row>
    <row r="304" spans="1:11">
      <c r="A304" s="428" t="s">
        <v>8879</v>
      </c>
      <c r="B304" s="570" t="s">
        <v>8881</v>
      </c>
      <c r="C304" s="631" t="s">
        <v>6268</v>
      </c>
      <c r="D304" s="413" t="s">
        <v>123</v>
      </c>
      <c r="E304" s="384">
        <v>1</v>
      </c>
      <c r="F304" s="482" t="s">
        <v>3280</v>
      </c>
      <c r="G304" s="486" t="s">
        <v>5466</v>
      </c>
      <c r="H304" s="593" t="s">
        <v>3281</v>
      </c>
      <c r="I304" s="634" t="s">
        <v>6215</v>
      </c>
      <c r="J304" s="1242"/>
      <c r="K304" s="1331"/>
    </row>
    <row r="305" spans="1:11">
      <c r="A305" s="428" t="s">
        <v>8879</v>
      </c>
      <c r="B305" s="570" t="s">
        <v>8881</v>
      </c>
      <c r="C305" s="631" t="s">
        <v>6268</v>
      </c>
      <c r="D305" s="413" t="s">
        <v>123</v>
      </c>
      <c r="E305" s="384">
        <v>1</v>
      </c>
      <c r="F305" s="482">
        <v>25</v>
      </c>
      <c r="G305" s="486" t="s">
        <v>5467</v>
      </c>
      <c r="H305" s="593" t="s">
        <v>3282</v>
      </c>
      <c r="I305" s="634" t="s">
        <v>6215</v>
      </c>
      <c r="J305" s="1242"/>
      <c r="K305" s="1331"/>
    </row>
    <row r="306" spans="1:11">
      <c r="A306" s="428" t="s">
        <v>8879</v>
      </c>
      <c r="B306" s="570" t="s">
        <v>8881</v>
      </c>
      <c r="C306" s="631" t="s">
        <v>6268</v>
      </c>
      <c r="D306" s="413" t="s">
        <v>123</v>
      </c>
      <c r="E306" s="384">
        <v>1</v>
      </c>
      <c r="F306" s="482" t="s">
        <v>3283</v>
      </c>
      <c r="G306" s="486" t="s">
        <v>5468</v>
      </c>
      <c r="H306" s="593" t="s">
        <v>3284</v>
      </c>
      <c r="I306" s="634" t="s">
        <v>6215</v>
      </c>
      <c r="J306" s="1242"/>
      <c r="K306" s="1331"/>
    </row>
    <row r="307" spans="1:11">
      <c r="A307" s="428" t="s">
        <v>8879</v>
      </c>
      <c r="B307" s="570" t="s">
        <v>8881</v>
      </c>
      <c r="C307" s="631" t="s">
        <v>6268</v>
      </c>
      <c r="D307" s="413" t="s">
        <v>123</v>
      </c>
      <c r="E307" s="384">
        <v>1</v>
      </c>
      <c r="F307" s="482" t="s">
        <v>3285</v>
      </c>
      <c r="G307" s="486" t="s">
        <v>5469</v>
      </c>
      <c r="H307" s="593" t="s">
        <v>3286</v>
      </c>
      <c r="I307" s="634" t="s">
        <v>6215</v>
      </c>
      <c r="J307" s="1242"/>
      <c r="K307" s="1331"/>
    </row>
    <row r="308" spans="1:11">
      <c r="A308" s="428" t="s">
        <v>8879</v>
      </c>
      <c r="B308" s="570" t="s">
        <v>8881</v>
      </c>
      <c r="C308" s="631" t="s">
        <v>6268</v>
      </c>
      <c r="D308" s="413" t="s">
        <v>123</v>
      </c>
      <c r="E308" s="384">
        <v>1</v>
      </c>
      <c r="F308" s="482" t="s">
        <v>3287</v>
      </c>
      <c r="G308" s="486" t="s">
        <v>5470</v>
      </c>
      <c r="H308" s="593" t="s">
        <v>3288</v>
      </c>
      <c r="I308" s="634" t="s">
        <v>6215</v>
      </c>
      <c r="J308" s="1242"/>
      <c r="K308" s="1331"/>
    </row>
    <row r="309" spans="1:11">
      <c r="A309" s="428" t="s">
        <v>8879</v>
      </c>
      <c r="B309" s="570" t="s">
        <v>8881</v>
      </c>
      <c r="C309" s="631" t="s">
        <v>6268</v>
      </c>
      <c r="D309" s="413" t="s">
        <v>123</v>
      </c>
      <c r="E309" s="384">
        <v>1</v>
      </c>
      <c r="F309" s="482" t="s">
        <v>3289</v>
      </c>
      <c r="G309" s="486" t="s">
        <v>5471</v>
      </c>
      <c r="H309" s="593" t="s">
        <v>3290</v>
      </c>
      <c r="I309" s="634" t="s">
        <v>6215</v>
      </c>
      <c r="J309" s="1242"/>
      <c r="K309" s="1331"/>
    </row>
    <row r="310" spans="1:11">
      <c r="A310" s="428" t="s">
        <v>8879</v>
      </c>
      <c r="B310" s="570" t="s">
        <v>8881</v>
      </c>
      <c r="C310" s="631" t="s">
        <v>6268</v>
      </c>
      <c r="D310" s="413" t="s">
        <v>123</v>
      </c>
      <c r="E310" s="384">
        <v>1</v>
      </c>
      <c r="F310" s="482" t="s">
        <v>3291</v>
      </c>
      <c r="G310" s="486" t="s">
        <v>5472</v>
      </c>
      <c r="H310" s="593" t="s">
        <v>3292</v>
      </c>
      <c r="I310" s="634" t="s">
        <v>6215</v>
      </c>
      <c r="J310" s="1242"/>
      <c r="K310" s="1331"/>
    </row>
    <row r="311" spans="1:11">
      <c r="A311" s="428" t="s">
        <v>8879</v>
      </c>
      <c r="B311" s="570" t="s">
        <v>8881</v>
      </c>
      <c r="C311" s="631" t="s">
        <v>6268</v>
      </c>
      <c r="D311" s="413" t="s">
        <v>123</v>
      </c>
      <c r="E311" s="384">
        <v>1</v>
      </c>
      <c r="F311" s="482" t="s">
        <v>3293</v>
      </c>
      <c r="G311" s="486" t="s">
        <v>5473</v>
      </c>
      <c r="H311" s="593" t="s">
        <v>3294</v>
      </c>
      <c r="I311" s="634" t="s">
        <v>6215</v>
      </c>
      <c r="J311" s="1242"/>
      <c r="K311" s="1331"/>
    </row>
    <row r="312" spans="1:11">
      <c r="A312" s="428" t="s">
        <v>8879</v>
      </c>
      <c r="B312" s="570" t="s">
        <v>8881</v>
      </c>
      <c r="C312" s="631" t="s">
        <v>6268</v>
      </c>
      <c r="D312" s="413" t="s">
        <v>123</v>
      </c>
      <c r="E312" s="384">
        <v>1</v>
      </c>
      <c r="F312" s="482" t="s">
        <v>3295</v>
      </c>
      <c r="G312" s="486" t="s">
        <v>5474</v>
      </c>
      <c r="H312" s="593" t="s">
        <v>3296</v>
      </c>
      <c r="I312" s="634" t="s">
        <v>6215</v>
      </c>
      <c r="J312" s="1242"/>
      <c r="K312" s="1331"/>
    </row>
    <row r="313" spans="1:11">
      <c r="A313" s="428" t="s">
        <v>8879</v>
      </c>
      <c r="B313" s="570" t="s">
        <v>8881</v>
      </c>
      <c r="C313" s="631" t="s">
        <v>6268</v>
      </c>
      <c r="D313" s="413" t="s">
        <v>123</v>
      </c>
      <c r="E313" s="384">
        <v>1</v>
      </c>
      <c r="F313" s="482" t="s">
        <v>3297</v>
      </c>
      <c r="G313" s="486" t="s">
        <v>5475</v>
      </c>
      <c r="H313" s="593" t="s">
        <v>3298</v>
      </c>
      <c r="I313" s="634" t="s">
        <v>6215</v>
      </c>
      <c r="J313" s="1242"/>
      <c r="K313" s="1331"/>
    </row>
    <row r="314" spans="1:11">
      <c r="A314" s="428" t="s">
        <v>8879</v>
      </c>
      <c r="B314" s="570" t="s">
        <v>8881</v>
      </c>
      <c r="C314" s="631" t="s">
        <v>6268</v>
      </c>
      <c r="D314" s="413" t="s">
        <v>123</v>
      </c>
      <c r="E314" s="384">
        <v>1</v>
      </c>
      <c r="F314" s="482" t="s">
        <v>3299</v>
      </c>
      <c r="G314" s="486" t="s">
        <v>5476</v>
      </c>
      <c r="H314" s="593" t="s">
        <v>3300</v>
      </c>
      <c r="I314" s="634" t="s">
        <v>6215</v>
      </c>
      <c r="J314" s="1242"/>
      <c r="K314" s="1331"/>
    </row>
    <row r="315" spans="1:11">
      <c r="A315" s="428" t="s">
        <v>8879</v>
      </c>
      <c r="B315" s="570" t="s">
        <v>8881</v>
      </c>
      <c r="C315" s="631" t="s">
        <v>6268</v>
      </c>
      <c r="D315" s="413" t="s">
        <v>123</v>
      </c>
      <c r="E315" s="384">
        <v>1</v>
      </c>
      <c r="F315" s="482" t="s">
        <v>3301</v>
      </c>
      <c r="G315" s="486" t="s">
        <v>5477</v>
      </c>
      <c r="H315" s="593" t="s">
        <v>3302</v>
      </c>
      <c r="I315" s="634" t="s">
        <v>6215</v>
      </c>
      <c r="J315" s="1242"/>
      <c r="K315" s="1331"/>
    </row>
    <row r="316" spans="1:11">
      <c r="A316" s="428" t="s">
        <v>8879</v>
      </c>
      <c r="B316" s="570" t="s">
        <v>8881</v>
      </c>
      <c r="C316" s="631" t="s">
        <v>6268</v>
      </c>
      <c r="D316" s="413" t="s">
        <v>123</v>
      </c>
      <c r="E316" s="384">
        <v>1</v>
      </c>
      <c r="F316" s="482" t="s">
        <v>3303</v>
      </c>
      <c r="G316" s="486" t="s">
        <v>5478</v>
      </c>
      <c r="H316" s="593" t="s">
        <v>3304</v>
      </c>
      <c r="I316" s="634" t="s">
        <v>6215</v>
      </c>
      <c r="J316" s="1242"/>
      <c r="K316" s="1331"/>
    </row>
    <row r="317" spans="1:11">
      <c r="A317" s="428" t="s">
        <v>8879</v>
      </c>
      <c r="B317" s="570" t="s">
        <v>8881</v>
      </c>
      <c r="C317" s="631" t="s">
        <v>6268</v>
      </c>
      <c r="D317" s="413" t="s">
        <v>123</v>
      </c>
      <c r="E317" s="384">
        <v>1</v>
      </c>
      <c r="F317" s="482" t="s">
        <v>3305</v>
      </c>
      <c r="G317" s="486" t="s">
        <v>5479</v>
      </c>
      <c r="H317" s="593" t="s">
        <v>3306</v>
      </c>
      <c r="I317" s="634" t="s">
        <v>6215</v>
      </c>
      <c r="J317" s="1242"/>
      <c r="K317" s="1331"/>
    </row>
    <row r="318" spans="1:11">
      <c r="A318" s="428" t="s">
        <v>8879</v>
      </c>
      <c r="B318" s="570" t="s">
        <v>8881</v>
      </c>
      <c r="C318" s="631" t="s">
        <v>6268</v>
      </c>
      <c r="D318" s="413" t="s">
        <v>123</v>
      </c>
      <c r="E318" s="384">
        <v>1</v>
      </c>
      <c r="F318" s="482" t="s">
        <v>3307</v>
      </c>
      <c r="G318" s="486" t="s">
        <v>5480</v>
      </c>
      <c r="H318" s="593" t="s">
        <v>3308</v>
      </c>
      <c r="I318" s="634" t="s">
        <v>6215</v>
      </c>
      <c r="J318" s="1242"/>
      <c r="K318" s="1331"/>
    </row>
    <row r="319" spans="1:11">
      <c r="A319" s="428" t="s">
        <v>8879</v>
      </c>
      <c r="B319" s="570" t="s">
        <v>8881</v>
      </c>
      <c r="C319" s="631" t="s">
        <v>6268</v>
      </c>
      <c r="D319" s="413" t="s">
        <v>123</v>
      </c>
      <c r="E319" s="384">
        <v>1</v>
      </c>
      <c r="F319" s="482" t="s">
        <v>3309</v>
      </c>
      <c r="G319" s="486" t="s">
        <v>5481</v>
      </c>
      <c r="H319" s="593" t="s">
        <v>3310</v>
      </c>
      <c r="I319" s="634" t="s">
        <v>6215</v>
      </c>
      <c r="J319" s="1242"/>
      <c r="K319" s="1331"/>
    </row>
    <row r="320" spans="1:11">
      <c r="A320" s="428" t="s">
        <v>8879</v>
      </c>
      <c r="B320" s="570" t="s">
        <v>8881</v>
      </c>
      <c r="C320" s="631" t="s">
        <v>6268</v>
      </c>
      <c r="D320" s="413" t="s">
        <v>123</v>
      </c>
      <c r="E320" s="384">
        <v>1</v>
      </c>
      <c r="F320" s="482" t="s">
        <v>3311</v>
      </c>
      <c r="G320" s="486" t="s">
        <v>5482</v>
      </c>
      <c r="H320" s="593" t="s">
        <v>3312</v>
      </c>
      <c r="I320" s="634" t="s">
        <v>6215</v>
      </c>
      <c r="J320" s="1242"/>
      <c r="K320" s="1331"/>
    </row>
    <row r="321" spans="1:11">
      <c r="A321" s="428" t="s">
        <v>8879</v>
      </c>
      <c r="B321" s="570" t="s">
        <v>8881</v>
      </c>
      <c r="C321" s="631" t="s">
        <v>6268</v>
      </c>
      <c r="D321" s="413" t="s">
        <v>123</v>
      </c>
      <c r="E321" s="384">
        <v>1</v>
      </c>
      <c r="F321" s="482" t="s">
        <v>3313</v>
      </c>
      <c r="G321" s="486" t="s">
        <v>5483</v>
      </c>
      <c r="H321" s="593" t="s">
        <v>3314</v>
      </c>
      <c r="I321" s="634" t="s">
        <v>6215</v>
      </c>
      <c r="J321" s="1242"/>
      <c r="K321" s="1331"/>
    </row>
    <row r="322" spans="1:11">
      <c r="A322" s="428" t="s">
        <v>8879</v>
      </c>
      <c r="B322" s="570" t="s">
        <v>8881</v>
      </c>
      <c r="C322" s="631" t="s">
        <v>6268</v>
      </c>
      <c r="D322" s="413" t="s">
        <v>123</v>
      </c>
      <c r="E322" s="384">
        <v>1</v>
      </c>
      <c r="F322" s="482" t="s">
        <v>3315</v>
      </c>
      <c r="G322" s="486" t="s">
        <v>5484</v>
      </c>
      <c r="H322" s="593" t="s">
        <v>3316</v>
      </c>
      <c r="I322" s="634" t="s">
        <v>6215</v>
      </c>
      <c r="J322" s="1242"/>
      <c r="K322" s="1331"/>
    </row>
    <row r="323" spans="1:11">
      <c r="A323" s="428" t="s">
        <v>8879</v>
      </c>
      <c r="B323" s="570" t="s">
        <v>8881</v>
      </c>
      <c r="C323" s="631" t="s">
        <v>6268</v>
      </c>
      <c r="D323" s="413" t="s">
        <v>123</v>
      </c>
      <c r="E323" s="384">
        <v>1</v>
      </c>
      <c r="F323" s="482" t="s">
        <v>3317</v>
      </c>
      <c r="G323" s="486" t="s">
        <v>5485</v>
      </c>
      <c r="H323" s="593" t="s">
        <v>3318</v>
      </c>
      <c r="I323" s="634" t="s">
        <v>6215</v>
      </c>
      <c r="J323" s="1242"/>
      <c r="K323" s="1331"/>
    </row>
    <row r="324" spans="1:11">
      <c r="A324" s="428" t="s">
        <v>8879</v>
      </c>
      <c r="B324" s="570" t="s">
        <v>8881</v>
      </c>
      <c r="C324" s="631" t="s">
        <v>6268</v>
      </c>
      <c r="D324" s="413" t="s">
        <v>123</v>
      </c>
      <c r="E324" s="384">
        <v>1</v>
      </c>
      <c r="F324" s="482" t="s">
        <v>3319</v>
      </c>
      <c r="G324" s="486" t="s">
        <v>5486</v>
      </c>
      <c r="H324" s="593" t="s">
        <v>3320</v>
      </c>
      <c r="I324" s="634" t="s">
        <v>6215</v>
      </c>
      <c r="J324" s="1242"/>
      <c r="K324" s="1331"/>
    </row>
    <row r="325" spans="1:11">
      <c r="A325" s="428" t="s">
        <v>8879</v>
      </c>
      <c r="B325" s="570" t="s">
        <v>8881</v>
      </c>
      <c r="C325" s="631" t="s">
        <v>6268</v>
      </c>
      <c r="D325" s="413" t="s">
        <v>123</v>
      </c>
      <c r="E325" s="384">
        <v>1</v>
      </c>
      <c r="F325" s="482" t="s">
        <v>3321</v>
      </c>
      <c r="G325" s="486" t="s">
        <v>5487</v>
      </c>
      <c r="H325" s="593" t="s">
        <v>3322</v>
      </c>
      <c r="I325" s="634" t="s">
        <v>6215</v>
      </c>
      <c r="J325" s="1242"/>
      <c r="K325" s="1331"/>
    </row>
    <row r="326" spans="1:11">
      <c r="A326" s="428" t="s">
        <v>8879</v>
      </c>
      <c r="B326" s="570" t="s">
        <v>8881</v>
      </c>
      <c r="C326" s="631" t="s">
        <v>6268</v>
      </c>
      <c r="D326" s="413" t="s">
        <v>123</v>
      </c>
      <c r="E326" s="384">
        <v>1</v>
      </c>
      <c r="F326" s="482" t="s">
        <v>3323</v>
      </c>
      <c r="G326" s="486" t="s">
        <v>5488</v>
      </c>
      <c r="H326" s="593" t="s">
        <v>3324</v>
      </c>
      <c r="I326" s="634" t="s">
        <v>6215</v>
      </c>
      <c r="J326" s="1242"/>
      <c r="K326" s="1331"/>
    </row>
    <row r="327" spans="1:11">
      <c r="A327" s="428" t="s">
        <v>8879</v>
      </c>
      <c r="B327" s="570" t="s">
        <v>8881</v>
      </c>
      <c r="C327" s="631" t="s">
        <v>6268</v>
      </c>
      <c r="D327" s="413" t="s">
        <v>123</v>
      </c>
      <c r="E327" s="384">
        <v>1</v>
      </c>
      <c r="F327" s="482">
        <v>26</v>
      </c>
      <c r="G327" s="486" t="s">
        <v>5489</v>
      </c>
      <c r="H327" s="593" t="s">
        <v>3325</v>
      </c>
      <c r="I327" s="634" t="s">
        <v>6215</v>
      </c>
      <c r="J327" s="1242"/>
      <c r="K327" s="1331"/>
    </row>
    <row r="328" spans="1:11">
      <c r="A328" s="428" t="s">
        <v>8879</v>
      </c>
      <c r="B328" s="570" t="s">
        <v>8881</v>
      </c>
      <c r="C328" s="631" t="s">
        <v>6268</v>
      </c>
      <c r="D328" s="413" t="s">
        <v>123</v>
      </c>
      <c r="E328" s="384">
        <v>1</v>
      </c>
      <c r="F328" s="482" t="s">
        <v>3326</v>
      </c>
      <c r="G328" s="486" t="s">
        <v>5490</v>
      </c>
      <c r="H328" s="593" t="s">
        <v>3327</v>
      </c>
      <c r="I328" s="634" t="s">
        <v>6215</v>
      </c>
      <c r="J328" s="1242"/>
      <c r="K328" s="1331"/>
    </row>
    <row r="329" spans="1:11">
      <c r="A329" s="428" t="s">
        <v>8879</v>
      </c>
      <c r="B329" s="570" t="s">
        <v>8881</v>
      </c>
      <c r="C329" s="631" t="s">
        <v>6268</v>
      </c>
      <c r="D329" s="413" t="s">
        <v>123</v>
      </c>
      <c r="E329" s="384">
        <v>1</v>
      </c>
      <c r="F329" s="482" t="s">
        <v>3328</v>
      </c>
      <c r="G329" s="486" t="s">
        <v>5491</v>
      </c>
      <c r="H329" s="593" t="s">
        <v>3329</v>
      </c>
      <c r="I329" s="634" t="s">
        <v>6215</v>
      </c>
      <c r="J329" s="1242"/>
      <c r="K329" s="1331"/>
    </row>
    <row r="330" spans="1:11">
      <c r="A330" s="428" t="s">
        <v>8879</v>
      </c>
      <c r="B330" s="570" t="s">
        <v>8881</v>
      </c>
      <c r="C330" s="631" t="s">
        <v>6268</v>
      </c>
      <c r="D330" s="413" t="s">
        <v>123</v>
      </c>
      <c r="E330" s="384">
        <v>1</v>
      </c>
      <c r="F330" s="482" t="s">
        <v>3330</v>
      </c>
      <c r="G330" s="486" t="s">
        <v>5492</v>
      </c>
      <c r="H330" s="593" t="s">
        <v>3331</v>
      </c>
      <c r="I330" s="634" t="s">
        <v>6215</v>
      </c>
      <c r="J330" s="1242"/>
      <c r="K330" s="1331"/>
    </row>
    <row r="331" spans="1:11">
      <c r="A331" s="428" t="s">
        <v>8879</v>
      </c>
      <c r="B331" s="570" t="s">
        <v>8881</v>
      </c>
      <c r="C331" s="631" t="s">
        <v>6268</v>
      </c>
      <c r="D331" s="413" t="s">
        <v>123</v>
      </c>
      <c r="E331" s="384">
        <v>1</v>
      </c>
      <c r="F331" s="482" t="s">
        <v>3332</v>
      </c>
      <c r="G331" s="486" t="s">
        <v>5493</v>
      </c>
      <c r="H331" s="593" t="s">
        <v>3333</v>
      </c>
      <c r="I331" s="634" t="s">
        <v>6215</v>
      </c>
      <c r="J331" s="1242"/>
      <c r="K331" s="1331"/>
    </row>
    <row r="332" spans="1:11">
      <c r="A332" s="428" t="s">
        <v>8879</v>
      </c>
      <c r="B332" s="570" t="s">
        <v>8881</v>
      </c>
      <c r="C332" s="631" t="s">
        <v>6268</v>
      </c>
      <c r="D332" s="413" t="s">
        <v>123</v>
      </c>
      <c r="E332" s="384">
        <v>1</v>
      </c>
      <c r="F332" s="482" t="s">
        <v>3334</v>
      </c>
      <c r="G332" s="486" t="s">
        <v>5494</v>
      </c>
      <c r="H332" s="593" t="s">
        <v>3335</v>
      </c>
      <c r="I332" s="634" t="s">
        <v>6215</v>
      </c>
      <c r="J332" s="1242"/>
      <c r="K332" s="1331"/>
    </row>
    <row r="333" spans="1:11">
      <c r="A333" s="428" t="s">
        <v>8879</v>
      </c>
      <c r="B333" s="570" t="s">
        <v>8881</v>
      </c>
      <c r="C333" s="631" t="s">
        <v>6268</v>
      </c>
      <c r="D333" s="413" t="s">
        <v>123</v>
      </c>
      <c r="E333" s="384">
        <v>1</v>
      </c>
      <c r="F333" s="482" t="s">
        <v>3336</v>
      </c>
      <c r="G333" s="486" t="s">
        <v>5495</v>
      </c>
      <c r="H333" s="593" t="s">
        <v>3337</v>
      </c>
      <c r="I333" s="634" t="s">
        <v>6215</v>
      </c>
      <c r="J333" s="1242"/>
      <c r="K333" s="1331"/>
    </row>
    <row r="334" spans="1:11">
      <c r="A334" s="428" t="s">
        <v>8879</v>
      </c>
      <c r="B334" s="570" t="s">
        <v>8881</v>
      </c>
      <c r="C334" s="631" t="s">
        <v>6268</v>
      </c>
      <c r="D334" s="413" t="s">
        <v>123</v>
      </c>
      <c r="E334" s="384">
        <v>1</v>
      </c>
      <c r="F334" s="482" t="s">
        <v>3338</v>
      </c>
      <c r="G334" s="486" t="s">
        <v>5496</v>
      </c>
      <c r="H334" s="593" t="s">
        <v>3339</v>
      </c>
      <c r="I334" s="634" t="s">
        <v>6215</v>
      </c>
      <c r="J334" s="1242"/>
      <c r="K334" s="1331"/>
    </row>
    <row r="335" spans="1:11">
      <c r="A335" s="428" t="s">
        <v>8879</v>
      </c>
      <c r="B335" s="570" t="s">
        <v>8881</v>
      </c>
      <c r="C335" s="631" t="s">
        <v>6268</v>
      </c>
      <c r="D335" s="413" t="s">
        <v>123</v>
      </c>
      <c r="E335" s="384">
        <v>1</v>
      </c>
      <c r="F335" s="482" t="s">
        <v>3340</v>
      </c>
      <c r="G335" s="486" t="s">
        <v>5497</v>
      </c>
      <c r="H335" s="593" t="s">
        <v>3341</v>
      </c>
      <c r="I335" s="634" t="s">
        <v>6215</v>
      </c>
      <c r="J335" s="1242"/>
      <c r="K335" s="1331"/>
    </row>
    <row r="336" spans="1:11">
      <c r="A336" s="428" t="s">
        <v>8879</v>
      </c>
      <c r="B336" s="570" t="s">
        <v>8881</v>
      </c>
      <c r="C336" s="631" t="s">
        <v>6268</v>
      </c>
      <c r="D336" s="413" t="s">
        <v>123</v>
      </c>
      <c r="E336" s="384">
        <v>1</v>
      </c>
      <c r="F336" s="482" t="s">
        <v>3342</v>
      </c>
      <c r="G336" s="486" t="s">
        <v>5498</v>
      </c>
      <c r="H336" s="593" t="s">
        <v>3343</v>
      </c>
      <c r="I336" s="634" t="s">
        <v>6215</v>
      </c>
      <c r="J336" s="1242"/>
      <c r="K336" s="1331"/>
    </row>
    <row r="337" spans="1:11">
      <c r="A337" s="428" t="s">
        <v>8879</v>
      </c>
      <c r="B337" s="570" t="s">
        <v>8881</v>
      </c>
      <c r="C337" s="631" t="s">
        <v>6268</v>
      </c>
      <c r="D337" s="413" t="s">
        <v>123</v>
      </c>
      <c r="E337" s="384">
        <v>1</v>
      </c>
      <c r="F337" s="482" t="s">
        <v>3344</v>
      </c>
      <c r="G337" s="486" t="s">
        <v>5499</v>
      </c>
      <c r="H337" s="593" t="s">
        <v>3345</v>
      </c>
      <c r="I337" s="634" t="s">
        <v>6215</v>
      </c>
      <c r="J337" s="1242"/>
      <c r="K337" s="1331"/>
    </row>
    <row r="338" spans="1:11">
      <c r="A338" s="428" t="s">
        <v>8879</v>
      </c>
      <c r="B338" s="570" t="s">
        <v>8881</v>
      </c>
      <c r="C338" s="631" t="s">
        <v>6268</v>
      </c>
      <c r="D338" s="413" t="s">
        <v>123</v>
      </c>
      <c r="E338" s="384">
        <v>1</v>
      </c>
      <c r="F338" s="482" t="s">
        <v>3346</v>
      </c>
      <c r="G338" s="486" t="s">
        <v>5500</v>
      </c>
      <c r="H338" s="593" t="s">
        <v>3347</v>
      </c>
      <c r="I338" s="634" t="s">
        <v>6215</v>
      </c>
      <c r="J338" s="1242"/>
      <c r="K338" s="1331"/>
    </row>
    <row r="339" spans="1:11">
      <c r="A339" s="428" t="s">
        <v>8879</v>
      </c>
      <c r="B339" s="570" t="s">
        <v>8881</v>
      </c>
      <c r="C339" s="631" t="s">
        <v>6268</v>
      </c>
      <c r="D339" s="413" t="s">
        <v>123</v>
      </c>
      <c r="E339" s="384">
        <v>1</v>
      </c>
      <c r="F339" s="482" t="s">
        <v>3348</v>
      </c>
      <c r="G339" s="486" t="s">
        <v>5501</v>
      </c>
      <c r="H339" s="593" t="s">
        <v>3349</v>
      </c>
      <c r="I339" s="634" t="s">
        <v>6215</v>
      </c>
      <c r="J339" s="1242"/>
      <c r="K339" s="1331"/>
    </row>
    <row r="340" spans="1:11">
      <c r="A340" s="428" t="s">
        <v>8879</v>
      </c>
      <c r="B340" s="570" t="s">
        <v>8881</v>
      </c>
      <c r="C340" s="631" t="s">
        <v>6268</v>
      </c>
      <c r="D340" s="413" t="s">
        <v>123</v>
      </c>
      <c r="E340" s="384">
        <v>1</v>
      </c>
      <c r="F340" s="482" t="s">
        <v>3350</v>
      </c>
      <c r="G340" s="486" t="s">
        <v>5502</v>
      </c>
      <c r="H340" s="593" t="s">
        <v>3351</v>
      </c>
      <c r="I340" s="634" t="s">
        <v>6215</v>
      </c>
      <c r="J340" s="1242"/>
      <c r="K340" s="1331"/>
    </row>
    <row r="341" spans="1:11">
      <c r="A341" s="428" t="s">
        <v>8879</v>
      </c>
      <c r="B341" s="570" t="s">
        <v>8881</v>
      </c>
      <c r="C341" s="631" t="s">
        <v>6268</v>
      </c>
      <c r="D341" s="413" t="s">
        <v>123</v>
      </c>
      <c r="E341" s="384">
        <v>1</v>
      </c>
      <c r="F341" s="482">
        <v>27</v>
      </c>
      <c r="G341" s="486" t="s">
        <v>5503</v>
      </c>
      <c r="H341" s="593" t="s">
        <v>3352</v>
      </c>
      <c r="I341" s="634" t="s">
        <v>6215</v>
      </c>
      <c r="J341" s="1242"/>
      <c r="K341" s="1331"/>
    </row>
    <row r="342" spans="1:11">
      <c r="A342" s="428" t="s">
        <v>8879</v>
      </c>
      <c r="B342" s="570" t="s">
        <v>8881</v>
      </c>
      <c r="C342" s="631" t="s">
        <v>6268</v>
      </c>
      <c r="D342" s="413" t="s">
        <v>123</v>
      </c>
      <c r="E342" s="384">
        <v>1</v>
      </c>
      <c r="F342" s="482" t="s">
        <v>3353</v>
      </c>
      <c r="G342" s="486" t="s">
        <v>5504</v>
      </c>
      <c r="H342" s="593" t="s">
        <v>3354</v>
      </c>
      <c r="I342" s="634" t="s">
        <v>6215</v>
      </c>
      <c r="J342" s="1242"/>
      <c r="K342" s="1331"/>
    </row>
    <row r="343" spans="1:11">
      <c r="A343" s="428" t="s">
        <v>8879</v>
      </c>
      <c r="B343" s="570" t="s">
        <v>8881</v>
      </c>
      <c r="C343" s="631" t="s">
        <v>6268</v>
      </c>
      <c r="D343" s="413" t="s">
        <v>123</v>
      </c>
      <c r="E343" s="384">
        <v>1</v>
      </c>
      <c r="F343" s="482" t="s">
        <v>3355</v>
      </c>
      <c r="G343" s="486" t="s">
        <v>5505</v>
      </c>
      <c r="H343" s="593" t="s">
        <v>3356</v>
      </c>
      <c r="I343" s="634" t="s">
        <v>6215</v>
      </c>
      <c r="J343" s="1242"/>
      <c r="K343" s="1331"/>
    </row>
    <row r="344" spans="1:11">
      <c r="A344" s="428" t="s">
        <v>8879</v>
      </c>
      <c r="B344" s="570" t="s">
        <v>8881</v>
      </c>
      <c r="C344" s="631" t="s">
        <v>6268</v>
      </c>
      <c r="D344" s="413" t="s">
        <v>123</v>
      </c>
      <c r="E344" s="384">
        <v>1</v>
      </c>
      <c r="F344" s="482" t="s">
        <v>3357</v>
      </c>
      <c r="G344" s="486" t="s">
        <v>5506</v>
      </c>
      <c r="H344" s="593" t="s">
        <v>3358</v>
      </c>
      <c r="I344" s="634" t="s">
        <v>6215</v>
      </c>
      <c r="J344" s="1242"/>
      <c r="K344" s="1331"/>
    </row>
    <row r="345" spans="1:11">
      <c r="A345" s="428" t="s">
        <v>8879</v>
      </c>
      <c r="B345" s="570" t="s">
        <v>8881</v>
      </c>
      <c r="C345" s="631" t="s">
        <v>6268</v>
      </c>
      <c r="D345" s="413" t="s">
        <v>123</v>
      </c>
      <c r="E345" s="384">
        <v>1</v>
      </c>
      <c r="F345" s="482" t="s">
        <v>3359</v>
      </c>
      <c r="G345" s="486" t="s">
        <v>5507</v>
      </c>
      <c r="H345" s="593" t="s">
        <v>3360</v>
      </c>
      <c r="I345" s="634" t="s">
        <v>6215</v>
      </c>
      <c r="J345" s="1242"/>
      <c r="K345" s="1331"/>
    </row>
    <row r="346" spans="1:11">
      <c r="A346" s="428" t="s">
        <v>8879</v>
      </c>
      <c r="B346" s="570" t="s">
        <v>8881</v>
      </c>
      <c r="C346" s="631" t="s">
        <v>6268</v>
      </c>
      <c r="D346" s="413" t="s">
        <v>123</v>
      </c>
      <c r="E346" s="384">
        <v>1</v>
      </c>
      <c r="F346" s="482" t="s">
        <v>3361</v>
      </c>
      <c r="G346" s="486" t="s">
        <v>5508</v>
      </c>
      <c r="H346" s="593" t="s">
        <v>3362</v>
      </c>
      <c r="I346" s="634" t="s">
        <v>6215</v>
      </c>
      <c r="J346" s="1242"/>
      <c r="K346" s="1331"/>
    </row>
    <row r="347" spans="1:11">
      <c r="A347" s="428" t="s">
        <v>8879</v>
      </c>
      <c r="B347" s="570" t="s">
        <v>8881</v>
      </c>
      <c r="C347" s="631" t="s">
        <v>6268</v>
      </c>
      <c r="D347" s="413" t="s">
        <v>123</v>
      </c>
      <c r="E347" s="384">
        <v>1</v>
      </c>
      <c r="F347" s="482" t="s">
        <v>3363</v>
      </c>
      <c r="G347" s="486" t="s">
        <v>5509</v>
      </c>
      <c r="H347" s="593" t="s">
        <v>3364</v>
      </c>
      <c r="I347" s="634" t="s">
        <v>6215</v>
      </c>
      <c r="J347" s="1242"/>
      <c r="K347" s="1331"/>
    </row>
    <row r="348" spans="1:11">
      <c r="A348" s="428" t="s">
        <v>8879</v>
      </c>
      <c r="B348" s="570" t="s">
        <v>8881</v>
      </c>
      <c r="C348" s="631" t="s">
        <v>6268</v>
      </c>
      <c r="D348" s="413" t="s">
        <v>123</v>
      </c>
      <c r="E348" s="384">
        <v>1</v>
      </c>
      <c r="F348" s="482" t="s">
        <v>3365</v>
      </c>
      <c r="G348" s="486" t="s">
        <v>5510</v>
      </c>
      <c r="H348" s="593" t="s">
        <v>3366</v>
      </c>
      <c r="I348" s="634" t="s">
        <v>6215</v>
      </c>
      <c r="J348" s="1242"/>
      <c r="K348" s="1331"/>
    </row>
    <row r="349" spans="1:11">
      <c r="A349" s="428" t="s">
        <v>8879</v>
      </c>
      <c r="B349" s="570" t="s">
        <v>8881</v>
      </c>
      <c r="C349" s="631" t="s">
        <v>6268</v>
      </c>
      <c r="D349" s="413" t="s">
        <v>123</v>
      </c>
      <c r="E349" s="384">
        <v>1</v>
      </c>
      <c r="F349" s="482" t="s">
        <v>3367</v>
      </c>
      <c r="G349" s="486" t="s">
        <v>5511</v>
      </c>
      <c r="H349" s="593" t="s">
        <v>3368</v>
      </c>
      <c r="I349" s="634" t="s">
        <v>6215</v>
      </c>
      <c r="J349" s="1242"/>
      <c r="K349" s="1331"/>
    </row>
    <row r="350" spans="1:11">
      <c r="A350" s="428" t="s">
        <v>8879</v>
      </c>
      <c r="B350" s="570" t="s">
        <v>8881</v>
      </c>
      <c r="C350" s="631" t="s">
        <v>6268</v>
      </c>
      <c r="D350" s="413" t="s">
        <v>123</v>
      </c>
      <c r="E350" s="384">
        <v>1</v>
      </c>
      <c r="F350" s="482" t="s">
        <v>3369</v>
      </c>
      <c r="G350" s="486" t="s">
        <v>5512</v>
      </c>
      <c r="H350" s="593" t="s">
        <v>3370</v>
      </c>
      <c r="I350" s="634" t="s">
        <v>6215</v>
      </c>
      <c r="J350" s="1242"/>
      <c r="K350" s="1331"/>
    </row>
    <row r="351" spans="1:11">
      <c r="A351" s="428" t="s">
        <v>8879</v>
      </c>
      <c r="B351" s="570" t="s">
        <v>8881</v>
      </c>
      <c r="C351" s="631" t="s">
        <v>6268</v>
      </c>
      <c r="D351" s="413" t="s">
        <v>123</v>
      </c>
      <c r="E351" s="384">
        <v>1</v>
      </c>
      <c r="F351" s="482" t="s">
        <v>3371</v>
      </c>
      <c r="G351" s="486" t="s">
        <v>5513</v>
      </c>
      <c r="H351" s="593" t="s">
        <v>3372</v>
      </c>
      <c r="I351" s="634" t="s">
        <v>6215</v>
      </c>
      <c r="J351" s="1242"/>
      <c r="K351" s="1331"/>
    </row>
    <row r="352" spans="1:11">
      <c r="A352" s="428" t="s">
        <v>8879</v>
      </c>
      <c r="B352" s="570" t="s">
        <v>8881</v>
      </c>
      <c r="C352" s="631" t="s">
        <v>6268</v>
      </c>
      <c r="D352" s="413" t="s">
        <v>123</v>
      </c>
      <c r="E352" s="384">
        <v>1</v>
      </c>
      <c r="F352" s="482" t="s">
        <v>3373</v>
      </c>
      <c r="G352" s="486" t="s">
        <v>5514</v>
      </c>
      <c r="H352" s="593" t="s">
        <v>3374</v>
      </c>
      <c r="I352" s="634" t="s">
        <v>6215</v>
      </c>
      <c r="J352" s="1242"/>
      <c r="K352" s="1331"/>
    </row>
    <row r="353" spans="1:11">
      <c r="A353" s="428" t="s">
        <v>8879</v>
      </c>
      <c r="B353" s="570" t="s">
        <v>8881</v>
      </c>
      <c r="C353" s="631" t="s">
        <v>6268</v>
      </c>
      <c r="D353" s="413" t="s">
        <v>123</v>
      </c>
      <c r="E353" s="384">
        <v>1</v>
      </c>
      <c r="F353" s="482" t="s">
        <v>3375</v>
      </c>
      <c r="G353" s="486" t="s">
        <v>5515</v>
      </c>
      <c r="H353" s="593" t="s">
        <v>3376</v>
      </c>
      <c r="I353" s="634" t="s">
        <v>6215</v>
      </c>
      <c r="J353" s="1242"/>
      <c r="K353" s="1331"/>
    </row>
    <row r="354" spans="1:11">
      <c r="A354" s="428" t="s">
        <v>8879</v>
      </c>
      <c r="B354" s="570" t="s">
        <v>8881</v>
      </c>
      <c r="C354" s="631" t="s">
        <v>6268</v>
      </c>
      <c r="D354" s="413" t="s">
        <v>123</v>
      </c>
      <c r="E354" s="384">
        <v>1</v>
      </c>
      <c r="F354" s="482" t="s">
        <v>3377</v>
      </c>
      <c r="G354" s="486" t="s">
        <v>5516</v>
      </c>
      <c r="H354" s="593" t="s">
        <v>3378</v>
      </c>
      <c r="I354" s="634" t="s">
        <v>6215</v>
      </c>
      <c r="J354" s="1242"/>
      <c r="K354" s="1331"/>
    </row>
    <row r="355" spans="1:11">
      <c r="A355" s="428" t="s">
        <v>8879</v>
      </c>
      <c r="B355" s="570" t="s">
        <v>8881</v>
      </c>
      <c r="C355" s="631" t="s">
        <v>6268</v>
      </c>
      <c r="D355" s="413" t="s">
        <v>123</v>
      </c>
      <c r="E355" s="384">
        <v>1</v>
      </c>
      <c r="F355" s="482">
        <v>28</v>
      </c>
      <c r="G355" s="486" t="s">
        <v>5517</v>
      </c>
      <c r="H355" s="593" t="s">
        <v>3379</v>
      </c>
      <c r="I355" s="634" t="s">
        <v>6215</v>
      </c>
      <c r="J355" s="1242"/>
      <c r="K355" s="1331"/>
    </row>
    <row r="356" spans="1:11">
      <c r="A356" s="428" t="s">
        <v>8879</v>
      </c>
      <c r="B356" s="570" t="s">
        <v>8881</v>
      </c>
      <c r="C356" s="631" t="s">
        <v>6268</v>
      </c>
      <c r="D356" s="413" t="s">
        <v>123</v>
      </c>
      <c r="E356" s="384">
        <v>1</v>
      </c>
      <c r="F356" s="482" t="s">
        <v>3380</v>
      </c>
      <c r="G356" s="486" t="s">
        <v>5518</v>
      </c>
      <c r="H356" s="593" t="s">
        <v>3381</v>
      </c>
      <c r="I356" s="634" t="s">
        <v>6215</v>
      </c>
      <c r="J356" s="1242"/>
      <c r="K356" s="1331"/>
    </row>
    <row r="357" spans="1:11">
      <c r="A357" s="428" t="s">
        <v>8879</v>
      </c>
      <c r="B357" s="570" t="s">
        <v>8881</v>
      </c>
      <c r="C357" s="631" t="s">
        <v>6268</v>
      </c>
      <c r="D357" s="413" t="s">
        <v>123</v>
      </c>
      <c r="E357" s="384">
        <v>1</v>
      </c>
      <c r="F357" s="482" t="s">
        <v>3382</v>
      </c>
      <c r="G357" s="486" t="s">
        <v>5519</v>
      </c>
      <c r="H357" s="593" t="s">
        <v>3383</v>
      </c>
      <c r="I357" s="634" t="s">
        <v>6215</v>
      </c>
      <c r="J357" s="1242"/>
      <c r="K357" s="1331"/>
    </row>
    <row r="358" spans="1:11">
      <c r="A358" s="428" t="s">
        <v>8879</v>
      </c>
      <c r="B358" s="570" t="s">
        <v>8881</v>
      </c>
      <c r="C358" s="631" t="s">
        <v>6268</v>
      </c>
      <c r="D358" s="413" t="s">
        <v>123</v>
      </c>
      <c r="E358" s="384">
        <v>1</v>
      </c>
      <c r="F358" s="482" t="s">
        <v>3384</v>
      </c>
      <c r="G358" s="486" t="s">
        <v>5520</v>
      </c>
      <c r="H358" s="593" t="s">
        <v>3385</v>
      </c>
      <c r="I358" s="634" t="s">
        <v>6215</v>
      </c>
      <c r="J358" s="1242"/>
      <c r="K358" s="1331"/>
    </row>
    <row r="359" spans="1:11">
      <c r="A359" s="428" t="s">
        <v>8879</v>
      </c>
      <c r="B359" s="570" t="s">
        <v>8881</v>
      </c>
      <c r="C359" s="631" t="s">
        <v>6268</v>
      </c>
      <c r="D359" s="413" t="s">
        <v>123</v>
      </c>
      <c r="E359" s="384">
        <v>1</v>
      </c>
      <c r="F359" s="482" t="s">
        <v>3386</v>
      </c>
      <c r="G359" s="486" t="s">
        <v>5521</v>
      </c>
      <c r="H359" s="593" t="s">
        <v>3387</v>
      </c>
      <c r="I359" s="634" t="s">
        <v>6215</v>
      </c>
      <c r="J359" s="1242"/>
      <c r="K359" s="1331"/>
    </row>
    <row r="360" spans="1:11">
      <c r="A360" s="428" t="s">
        <v>8879</v>
      </c>
      <c r="B360" s="570" t="s">
        <v>8881</v>
      </c>
      <c r="C360" s="631" t="s">
        <v>6268</v>
      </c>
      <c r="D360" s="413" t="s">
        <v>123</v>
      </c>
      <c r="E360" s="384">
        <v>1</v>
      </c>
      <c r="F360" s="482" t="s">
        <v>3388</v>
      </c>
      <c r="G360" s="486" t="s">
        <v>5522</v>
      </c>
      <c r="H360" s="593" t="s">
        <v>3389</v>
      </c>
      <c r="I360" s="634" t="s">
        <v>6215</v>
      </c>
      <c r="J360" s="1242"/>
      <c r="K360" s="1331"/>
    </row>
    <row r="361" spans="1:11">
      <c r="A361" s="428" t="s">
        <v>8879</v>
      </c>
      <c r="B361" s="570" t="s">
        <v>8881</v>
      </c>
      <c r="C361" s="631" t="s">
        <v>6268</v>
      </c>
      <c r="D361" s="413" t="s">
        <v>123</v>
      </c>
      <c r="E361" s="384">
        <v>1</v>
      </c>
      <c r="F361" s="482" t="s">
        <v>3390</v>
      </c>
      <c r="G361" s="486" t="s">
        <v>5523</v>
      </c>
      <c r="H361" s="593" t="s">
        <v>3391</v>
      </c>
      <c r="I361" s="634" t="s">
        <v>6215</v>
      </c>
      <c r="J361" s="1242"/>
      <c r="K361" s="1331"/>
    </row>
    <row r="362" spans="1:11">
      <c r="A362" s="428" t="s">
        <v>8879</v>
      </c>
      <c r="B362" s="570" t="s">
        <v>8881</v>
      </c>
      <c r="C362" s="631" t="s">
        <v>6268</v>
      </c>
      <c r="D362" s="413" t="s">
        <v>123</v>
      </c>
      <c r="E362" s="384">
        <v>1</v>
      </c>
      <c r="F362" s="482" t="s">
        <v>3392</v>
      </c>
      <c r="G362" s="486" t="s">
        <v>5524</v>
      </c>
      <c r="H362" s="593" t="s">
        <v>3393</v>
      </c>
      <c r="I362" s="634" t="s">
        <v>6215</v>
      </c>
      <c r="J362" s="1242"/>
      <c r="K362" s="1331"/>
    </row>
    <row r="363" spans="1:11">
      <c r="A363" s="428" t="s">
        <v>8879</v>
      </c>
      <c r="B363" s="570" t="s">
        <v>8881</v>
      </c>
      <c r="C363" s="631" t="s">
        <v>6268</v>
      </c>
      <c r="D363" s="413" t="s">
        <v>123</v>
      </c>
      <c r="E363" s="384">
        <v>1</v>
      </c>
      <c r="F363" s="482" t="s">
        <v>3394</v>
      </c>
      <c r="G363" s="486" t="s">
        <v>5525</v>
      </c>
      <c r="H363" s="593" t="s">
        <v>3395</v>
      </c>
      <c r="I363" s="634" t="s">
        <v>6215</v>
      </c>
      <c r="J363" s="1242"/>
      <c r="K363" s="1331"/>
    </row>
    <row r="364" spans="1:11">
      <c r="A364" s="428" t="s">
        <v>8879</v>
      </c>
      <c r="B364" s="570" t="s">
        <v>8881</v>
      </c>
      <c r="C364" s="631" t="s">
        <v>6268</v>
      </c>
      <c r="D364" s="413" t="s">
        <v>123</v>
      </c>
      <c r="E364" s="384">
        <v>1</v>
      </c>
      <c r="F364" s="482" t="s">
        <v>3396</v>
      </c>
      <c r="G364" s="486" t="s">
        <v>5526</v>
      </c>
      <c r="H364" s="593" t="s">
        <v>3397</v>
      </c>
      <c r="I364" s="634" t="s">
        <v>6215</v>
      </c>
      <c r="J364" s="1242"/>
      <c r="K364" s="1331"/>
    </row>
    <row r="365" spans="1:11">
      <c r="A365" s="428" t="s">
        <v>8879</v>
      </c>
      <c r="B365" s="570" t="s">
        <v>8881</v>
      </c>
      <c r="C365" s="631" t="s">
        <v>6268</v>
      </c>
      <c r="D365" s="413" t="s">
        <v>123</v>
      </c>
      <c r="E365" s="384">
        <v>1</v>
      </c>
      <c r="F365" s="482" t="s">
        <v>3398</v>
      </c>
      <c r="G365" s="486" t="s">
        <v>5527</v>
      </c>
      <c r="H365" s="593" t="s">
        <v>3399</v>
      </c>
      <c r="I365" s="634" t="s">
        <v>6215</v>
      </c>
      <c r="J365" s="1242"/>
      <c r="K365" s="1331"/>
    </row>
    <row r="366" spans="1:11">
      <c r="A366" s="428" t="s">
        <v>8879</v>
      </c>
      <c r="B366" s="570" t="s">
        <v>8881</v>
      </c>
      <c r="C366" s="631" t="s">
        <v>6268</v>
      </c>
      <c r="D366" s="413" t="s">
        <v>123</v>
      </c>
      <c r="E366" s="384">
        <v>1</v>
      </c>
      <c r="F366" s="482" t="s">
        <v>3400</v>
      </c>
      <c r="G366" s="486" t="s">
        <v>5528</v>
      </c>
      <c r="H366" s="593" t="s">
        <v>3401</v>
      </c>
      <c r="I366" s="634" t="s">
        <v>6215</v>
      </c>
      <c r="J366" s="1242"/>
      <c r="K366" s="1331"/>
    </row>
    <row r="367" spans="1:11">
      <c r="A367" s="428" t="s">
        <v>8879</v>
      </c>
      <c r="B367" s="570" t="s">
        <v>8881</v>
      </c>
      <c r="C367" s="631" t="s">
        <v>6268</v>
      </c>
      <c r="D367" s="413" t="s">
        <v>123</v>
      </c>
      <c r="E367" s="384">
        <v>1</v>
      </c>
      <c r="F367" s="482" t="s">
        <v>3402</v>
      </c>
      <c r="G367" s="486" t="s">
        <v>5529</v>
      </c>
      <c r="H367" s="593" t="s">
        <v>3403</v>
      </c>
      <c r="I367" s="634" t="s">
        <v>6215</v>
      </c>
      <c r="J367" s="1242"/>
      <c r="K367" s="1331"/>
    </row>
    <row r="368" spans="1:11">
      <c r="A368" s="428" t="s">
        <v>8879</v>
      </c>
      <c r="B368" s="570" t="s">
        <v>8881</v>
      </c>
      <c r="C368" s="631" t="s">
        <v>6268</v>
      </c>
      <c r="D368" s="413" t="s">
        <v>123</v>
      </c>
      <c r="E368" s="384">
        <v>1</v>
      </c>
      <c r="F368" s="482" t="s">
        <v>3404</v>
      </c>
      <c r="G368" s="486" t="s">
        <v>5530</v>
      </c>
      <c r="H368" s="593" t="s">
        <v>3405</v>
      </c>
      <c r="I368" s="634" t="s">
        <v>6215</v>
      </c>
      <c r="J368" s="1242"/>
      <c r="K368" s="1331"/>
    </row>
    <row r="369" spans="1:11">
      <c r="A369" s="428" t="s">
        <v>8879</v>
      </c>
      <c r="B369" s="570" t="s">
        <v>8881</v>
      </c>
      <c r="C369" s="631" t="s">
        <v>6268</v>
      </c>
      <c r="D369" s="413" t="s">
        <v>123</v>
      </c>
      <c r="E369" s="384">
        <v>1</v>
      </c>
      <c r="F369" s="482" t="s">
        <v>3406</v>
      </c>
      <c r="G369" s="486" t="s">
        <v>5531</v>
      </c>
      <c r="H369" s="593" t="s">
        <v>3407</v>
      </c>
      <c r="I369" s="634" t="s">
        <v>6215</v>
      </c>
      <c r="J369" s="1242"/>
      <c r="K369" s="1331"/>
    </row>
    <row r="370" spans="1:11">
      <c r="A370" s="428" t="s">
        <v>8879</v>
      </c>
      <c r="B370" s="570" t="s">
        <v>8881</v>
      </c>
      <c r="C370" s="631" t="s">
        <v>6268</v>
      </c>
      <c r="D370" s="413" t="s">
        <v>123</v>
      </c>
      <c r="E370" s="384">
        <v>1</v>
      </c>
      <c r="F370" s="482" t="s">
        <v>3408</v>
      </c>
      <c r="G370" s="486" t="s">
        <v>5532</v>
      </c>
      <c r="H370" s="593" t="s">
        <v>3409</v>
      </c>
      <c r="I370" s="634" t="s">
        <v>6215</v>
      </c>
      <c r="J370" s="1242"/>
      <c r="K370" s="1331"/>
    </row>
    <row r="371" spans="1:11">
      <c r="A371" s="428" t="s">
        <v>8879</v>
      </c>
      <c r="B371" s="570" t="s">
        <v>8881</v>
      </c>
      <c r="C371" s="631" t="s">
        <v>6268</v>
      </c>
      <c r="D371" s="413" t="s">
        <v>123</v>
      </c>
      <c r="E371" s="384">
        <v>1</v>
      </c>
      <c r="F371" s="482" t="s">
        <v>3410</v>
      </c>
      <c r="G371" s="486" t="s">
        <v>5533</v>
      </c>
      <c r="H371" s="593" t="s">
        <v>3411</v>
      </c>
      <c r="I371" s="634" t="s">
        <v>6215</v>
      </c>
      <c r="J371" s="1242"/>
      <c r="K371" s="1331"/>
    </row>
    <row r="372" spans="1:11">
      <c r="A372" s="428" t="s">
        <v>8879</v>
      </c>
      <c r="B372" s="570" t="s">
        <v>8881</v>
      </c>
      <c r="C372" s="631" t="s">
        <v>6268</v>
      </c>
      <c r="D372" s="413" t="s">
        <v>123</v>
      </c>
      <c r="E372" s="384">
        <v>1</v>
      </c>
      <c r="F372" s="482" t="s">
        <v>3412</v>
      </c>
      <c r="G372" s="486" t="s">
        <v>5534</v>
      </c>
      <c r="H372" s="593" t="s">
        <v>3413</v>
      </c>
      <c r="I372" s="634" t="s">
        <v>6215</v>
      </c>
      <c r="J372" s="1242"/>
      <c r="K372" s="1331"/>
    </row>
    <row r="373" spans="1:11">
      <c r="A373" s="428" t="s">
        <v>8879</v>
      </c>
      <c r="B373" s="570" t="s">
        <v>8881</v>
      </c>
      <c r="C373" s="631" t="s">
        <v>6268</v>
      </c>
      <c r="D373" s="413" t="s">
        <v>123</v>
      </c>
      <c r="E373" s="384">
        <v>1</v>
      </c>
      <c r="F373" s="482" t="s">
        <v>3414</v>
      </c>
      <c r="G373" s="486" t="s">
        <v>5535</v>
      </c>
      <c r="H373" s="593" t="s">
        <v>3415</v>
      </c>
      <c r="I373" s="634" t="s">
        <v>6215</v>
      </c>
      <c r="J373" s="1242"/>
      <c r="K373" s="1331"/>
    </row>
    <row r="374" spans="1:11">
      <c r="A374" s="428" t="s">
        <v>8879</v>
      </c>
      <c r="B374" s="570" t="s">
        <v>8881</v>
      </c>
      <c r="C374" s="631" t="s">
        <v>6268</v>
      </c>
      <c r="D374" s="413" t="s">
        <v>123</v>
      </c>
      <c r="E374" s="384">
        <v>1</v>
      </c>
      <c r="F374" s="482" t="s">
        <v>3416</v>
      </c>
      <c r="G374" s="486" t="s">
        <v>5536</v>
      </c>
      <c r="H374" s="593" t="s">
        <v>3417</v>
      </c>
      <c r="I374" s="634" t="s">
        <v>6215</v>
      </c>
      <c r="J374" s="1242"/>
      <c r="K374" s="1331"/>
    </row>
    <row r="375" spans="1:11">
      <c r="A375" s="428" t="s">
        <v>8879</v>
      </c>
      <c r="B375" s="570" t="s">
        <v>8881</v>
      </c>
      <c r="C375" s="631" t="s">
        <v>6268</v>
      </c>
      <c r="D375" s="413" t="s">
        <v>123</v>
      </c>
      <c r="E375" s="384">
        <v>1</v>
      </c>
      <c r="F375" s="482" t="s">
        <v>3418</v>
      </c>
      <c r="G375" s="486" t="s">
        <v>5537</v>
      </c>
      <c r="H375" s="593" t="s">
        <v>3419</v>
      </c>
      <c r="I375" s="634" t="s">
        <v>6215</v>
      </c>
      <c r="J375" s="1242"/>
      <c r="K375" s="1331"/>
    </row>
    <row r="376" spans="1:11">
      <c r="A376" s="428" t="s">
        <v>8879</v>
      </c>
      <c r="B376" s="570" t="s">
        <v>8881</v>
      </c>
      <c r="C376" s="631" t="s">
        <v>6268</v>
      </c>
      <c r="D376" s="413" t="s">
        <v>123</v>
      </c>
      <c r="E376" s="384">
        <v>1</v>
      </c>
      <c r="F376" s="482" t="s">
        <v>3420</v>
      </c>
      <c r="G376" s="486" t="s">
        <v>5538</v>
      </c>
      <c r="H376" s="593" t="s">
        <v>3421</v>
      </c>
      <c r="I376" s="634" t="s">
        <v>6215</v>
      </c>
      <c r="J376" s="1242"/>
      <c r="K376" s="1331"/>
    </row>
    <row r="377" spans="1:11">
      <c r="A377" s="428" t="s">
        <v>8879</v>
      </c>
      <c r="B377" s="570" t="s">
        <v>8881</v>
      </c>
      <c r="C377" s="631" t="s">
        <v>6268</v>
      </c>
      <c r="D377" s="413" t="s">
        <v>123</v>
      </c>
      <c r="E377" s="384">
        <v>1</v>
      </c>
      <c r="F377" s="482" t="s">
        <v>3422</v>
      </c>
      <c r="G377" s="486" t="s">
        <v>5539</v>
      </c>
      <c r="H377" s="593" t="s">
        <v>3423</v>
      </c>
      <c r="I377" s="634" t="s">
        <v>6215</v>
      </c>
      <c r="J377" s="1242"/>
      <c r="K377" s="1331"/>
    </row>
    <row r="378" spans="1:11">
      <c r="A378" s="428" t="s">
        <v>8879</v>
      </c>
      <c r="B378" s="570" t="s">
        <v>8881</v>
      </c>
      <c r="C378" s="631" t="s">
        <v>6268</v>
      </c>
      <c r="D378" s="413" t="s">
        <v>123</v>
      </c>
      <c r="E378" s="384">
        <v>1</v>
      </c>
      <c r="F378" s="482" t="s">
        <v>3424</v>
      </c>
      <c r="G378" s="486" t="s">
        <v>5540</v>
      </c>
      <c r="H378" s="593" t="s">
        <v>3425</v>
      </c>
      <c r="I378" s="634" t="s">
        <v>6215</v>
      </c>
      <c r="J378" s="1242"/>
      <c r="K378" s="1331"/>
    </row>
    <row r="379" spans="1:11">
      <c r="A379" s="428" t="s">
        <v>8879</v>
      </c>
      <c r="B379" s="570" t="s">
        <v>8881</v>
      </c>
      <c r="C379" s="631" t="s">
        <v>6268</v>
      </c>
      <c r="D379" s="413" t="s">
        <v>123</v>
      </c>
      <c r="E379" s="384">
        <v>1</v>
      </c>
      <c r="F379" s="482" t="s">
        <v>3426</v>
      </c>
      <c r="G379" s="486" t="s">
        <v>5541</v>
      </c>
      <c r="H379" s="593" t="s">
        <v>3427</v>
      </c>
      <c r="I379" s="634" t="s">
        <v>6215</v>
      </c>
      <c r="J379" s="1242"/>
      <c r="K379" s="1331"/>
    </row>
    <row r="380" spans="1:11">
      <c r="A380" s="428" t="s">
        <v>8879</v>
      </c>
      <c r="B380" s="570" t="s">
        <v>8881</v>
      </c>
      <c r="C380" s="631" t="s">
        <v>6268</v>
      </c>
      <c r="D380" s="413" t="s">
        <v>123</v>
      </c>
      <c r="E380" s="384">
        <v>1</v>
      </c>
      <c r="F380" s="482" t="s">
        <v>3428</v>
      </c>
      <c r="G380" s="486" t="s">
        <v>5542</v>
      </c>
      <c r="H380" s="593" t="s">
        <v>3429</v>
      </c>
      <c r="I380" s="634" t="s">
        <v>6215</v>
      </c>
      <c r="J380" s="1242"/>
      <c r="K380" s="1331"/>
    </row>
    <row r="381" spans="1:11">
      <c r="A381" s="428" t="s">
        <v>8879</v>
      </c>
      <c r="B381" s="570" t="s">
        <v>8881</v>
      </c>
      <c r="C381" s="631" t="s">
        <v>6268</v>
      </c>
      <c r="D381" s="413" t="s">
        <v>123</v>
      </c>
      <c r="E381" s="384">
        <v>1</v>
      </c>
      <c r="F381" s="482">
        <v>29</v>
      </c>
      <c r="G381" s="486" t="s">
        <v>5543</v>
      </c>
      <c r="H381" s="593" t="s">
        <v>3430</v>
      </c>
      <c r="I381" s="634" t="s">
        <v>6215</v>
      </c>
      <c r="J381" s="1242"/>
      <c r="K381" s="1331"/>
    </row>
    <row r="382" spans="1:11">
      <c r="A382" s="428" t="s">
        <v>8879</v>
      </c>
      <c r="B382" s="570" t="s">
        <v>8881</v>
      </c>
      <c r="C382" s="631" t="s">
        <v>6268</v>
      </c>
      <c r="D382" s="413" t="s">
        <v>123</v>
      </c>
      <c r="E382" s="384">
        <v>1</v>
      </c>
      <c r="F382" s="482" t="s">
        <v>3431</v>
      </c>
      <c r="G382" s="486" t="s">
        <v>5544</v>
      </c>
      <c r="H382" s="593" t="s">
        <v>3432</v>
      </c>
      <c r="I382" s="634" t="s">
        <v>6215</v>
      </c>
      <c r="J382" s="1242"/>
      <c r="K382" s="1331"/>
    </row>
    <row r="383" spans="1:11">
      <c r="A383" s="428" t="s">
        <v>8879</v>
      </c>
      <c r="B383" s="570" t="s">
        <v>8881</v>
      </c>
      <c r="C383" s="631" t="s">
        <v>6268</v>
      </c>
      <c r="D383" s="413" t="s">
        <v>123</v>
      </c>
      <c r="E383" s="384">
        <v>1</v>
      </c>
      <c r="F383" s="482" t="s">
        <v>3433</v>
      </c>
      <c r="G383" s="486" t="s">
        <v>5545</v>
      </c>
      <c r="H383" s="593" t="s">
        <v>3434</v>
      </c>
      <c r="I383" s="634" t="s">
        <v>6215</v>
      </c>
      <c r="J383" s="1242"/>
      <c r="K383" s="1331"/>
    </row>
    <row r="384" spans="1:11">
      <c r="A384" s="428" t="s">
        <v>8879</v>
      </c>
      <c r="B384" s="570" t="s">
        <v>8881</v>
      </c>
      <c r="C384" s="631" t="s">
        <v>6268</v>
      </c>
      <c r="D384" s="413" t="s">
        <v>123</v>
      </c>
      <c r="E384" s="384">
        <v>1</v>
      </c>
      <c r="F384" s="482" t="s">
        <v>3435</v>
      </c>
      <c r="G384" s="486" t="s">
        <v>5546</v>
      </c>
      <c r="H384" s="593" t="s">
        <v>3436</v>
      </c>
      <c r="I384" s="634" t="s">
        <v>6215</v>
      </c>
      <c r="J384" s="1242"/>
      <c r="K384" s="1331"/>
    </row>
    <row r="385" spans="1:11">
      <c r="A385" s="428" t="s">
        <v>8879</v>
      </c>
      <c r="B385" s="570" t="s">
        <v>8881</v>
      </c>
      <c r="C385" s="631" t="s">
        <v>6268</v>
      </c>
      <c r="D385" s="413" t="s">
        <v>123</v>
      </c>
      <c r="E385" s="384">
        <v>1</v>
      </c>
      <c r="F385" s="482" t="s">
        <v>3437</v>
      </c>
      <c r="G385" s="486" t="s">
        <v>5547</v>
      </c>
      <c r="H385" s="593" t="s">
        <v>3438</v>
      </c>
      <c r="I385" s="634" t="s">
        <v>6215</v>
      </c>
      <c r="J385" s="1242"/>
      <c r="K385" s="1331"/>
    </row>
    <row r="386" spans="1:11">
      <c r="A386" s="428" t="s">
        <v>8879</v>
      </c>
      <c r="B386" s="570" t="s">
        <v>8881</v>
      </c>
      <c r="C386" s="631" t="s">
        <v>6268</v>
      </c>
      <c r="D386" s="413" t="s">
        <v>123</v>
      </c>
      <c r="E386" s="384">
        <v>1</v>
      </c>
      <c r="F386" s="482" t="s">
        <v>3439</v>
      </c>
      <c r="G386" s="486" t="s">
        <v>5548</v>
      </c>
      <c r="H386" s="593" t="s">
        <v>3440</v>
      </c>
      <c r="I386" s="634" t="s">
        <v>6215</v>
      </c>
      <c r="J386" s="1242"/>
      <c r="K386" s="1331"/>
    </row>
    <row r="387" spans="1:11">
      <c r="A387" s="428" t="s">
        <v>8879</v>
      </c>
      <c r="B387" s="570" t="s">
        <v>8881</v>
      </c>
      <c r="C387" s="631" t="s">
        <v>6268</v>
      </c>
      <c r="D387" s="413" t="s">
        <v>123</v>
      </c>
      <c r="E387" s="384">
        <v>1</v>
      </c>
      <c r="F387" s="482">
        <v>30</v>
      </c>
      <c r="G387" s="486" t="s">
        <v>5549</v>
      </c>
      <c r="H387" s="593" t="s">
        <v>3441</v>
      </c>
      <c r="I387" s="634" t="s">
        <v>6215</v>
      </c>
      <c r="J387" s="1242"/>
      <c r="K387" s="1331"/>
    </row>
    <row r="388" spans="1:11">
      <c r="A388" s="428" t="s">
        <v>8879</v>
      </c>
      <c r="B388" s="570" t="s">
        <v>8881</v>
      </c>
      <c r="C388" s="631" t="s">
        <v>6268</v>
      </c>
      <c r="D388" s="413" t="s">
        <v>123</v>
      </c>
      <c r="E388" s="384">
        <v>1</v>
      </c>
      <c r="F388" s="482" t="s">
        <v>3442</v>
      </c>
      <c r="G388" s="486" t="s">
        <v>5550</v>
      </c>
      <c r="H388" s="593" t="s">
        <v>3443</v>
      </c>
      <c r="I388" s="634" t="s">
        <v>6215</v>
      </c>
      <c r="J388" s="1242"/>
      <c r="K388" s="1331"/>
    </row>
    <row r="389" spans="1:11">
      <c r="A389" s="428" t="s">
        <v>8879</v>
      </c>
      <c r="B389" s="570" t="s">
        <v>8881</v>
      </c>
      <c r="C389" s="631" t="s">
        <v>6268</v>
      </c>
      <c r="D389" s="413" t="s">
        <v>123</v>
      </c>
      <c r="E389" s="384">
        <v>1</v>
      </c>
      <c r="F389" s="482" t="s">
        <v>3444</v>
      </c>
      <c r="G389" s="486" t="s">
        <v>5551</v>
      </c>
      <c r="H389" s="593" t="s">
        <v>3445</v>
      </c>
      <c r="I389" s="634" t="s">
        <v>6215</v>
      </c>
      <c r="J389" s="1242"/>
      <c r="K389" s="1331"/>
    </row>
    <row r="390" spans="1:11">
      <c r="A390" s="428" t="s">
        <v>8879</v>
      </c>
      <c r="B390" s="570" t="s">
        <v>8881</v>
      </c>
      <c r="C390" s="631" t="s">
        <v>6268</v>
      </c>
      <c r="D390" s="413" t="s">
        <v>123</v>
      </c>
      <c r="E390" s="384">
        <v>1</v>
      </c>
      <c r="F390" s="482" t="s">
        <v>3446</v>
      </c>
      <c r="G390" s="486" t="s">
        <v>5552</v>
      </c>
      <c r="H390" s="593" t="s">
        <v>3447</v>
      </c>
      <c r="I390" s="634" t="s">
        <v>6215</v>
      </c>
      <c r="J390" s="1242"/>
      <c r="K390" s="1331"/>
    </row>
    <row r="391" spans="1:11">
      <c r="A391" s="428" t="s">
        <v>8879</v>
      </c>
      <c r="B391" s="570" t="s">
        <v>8881</v>
      </c>
      <c r="C391" s="631" t="s">
        <v>6268</v>
      </c>
      <c r="D391" s="413" t="s">
        <v>123</v>
      </c>
      <c r="E391" s="384">
        <v>1</v>
      </c>
      <c r="F391" s="482" t="s">
        <v>3448</v>
      </c>
      <c r="G391" s="486" t="s">
        <v>5553</v>
      </c>
      <c r="H391" s="593" t="s">
        <v>3449</v>
      </c>
      <c r="I391" s="634" t="s">
        <v>6215</v>
      </c>
      <c r="J391" s="1242"/>
      <c r="K391" s="1331"/>
    </row>
    <row r="392" spans="1:11">
      <c r="A392" s="428" t="s">
        <v>8879</v>
      </c>
      <c r="B392" s="570" t="s">
        <v>8881</v>
      </c>
      <c r="C392" s="631" t="s">
        <v>6268</v>
      </c>
      <c r="D392" s="413" t="s">
        <v>123</v>
      </c>
      <c r="E392" s="384">
        <v>1</v>
      </c>
      <c r="F392" s="482" t="s">
        <v>3450</v>
      </c>
      <c r="G392" s="486" t="s">
        <v>5554</v>
      </c>
      <c r="H392" s="593" t="s">
        <v>3451</v>
      </c>
      <c r="I392" s="634" t="s">
        <v>6215</v>
      </c>
      <c r="J392" s="1242"/>
      <c r="K392" s="1331"/>
    </row>
    <row r="393" spans="1:11">
      <c r="A393" s="428" t="s">
        <v>8879</v>
      </c>
      <c r="B393" s="570" t="s">
        <v>8881</v>
      </c>
      <c r="C393" s="631" t="s">
        <v>6268</v>
      </c>
      <c r="D393" s="413" t="s">
        <v>123</v>
      </c>
      <c r="E393" s="384">
        <v>1</v>
      </c>
      <c r="F393" s="482" t="s">
        <v>3452</v>
      </c>
      <c r="G393" s="486" t="s">
        <v>5555</v>
      </c>
      <c r="H393" s="593" t="s">
        <v>3453</v>
      </c>
      <c r="I393" s="634" t="s">
        <v>6215</v>
      </c>
      <c r="J393" s="1242"/>
      <c r="K393" s="1331"/>
    </row>
    <row r="394" spans="1:11">
      <c r="A394" s="428" t="s">
        <v>8879</v>
      </c>
      <c r="B394" s="570" t="s">
        <v>8881</v>
      </c>
      <c r="C394" s="631" t="s">
        <v>6268</v>
      </c>
      <c r="D394" s="413" t="s">
        <v>123</v>
      </c>
      <c r="E394" s="384">
        <v>1</v>
      </c>
      <c r="F394" s="482" t="s">
        <v>3454</v>
      </c>
      <c r="G394" s="486" t="s">
        <v>5556</v>
      </c>
      <c r="H394" s="593" t="s">
        <v>3455</v>
      </c>
      <c r="I394" s="634" t="s">
        <v>6215</v>
      </c>
      <c r="J394" s="1242"/>
      <c r="K394" s="1331"/>
    </row>
    <row r="395" spans="1:11">
      <c r="A395" s="428" t="s">
        <v>8879</v>
      </c>
      <c r="B395" s="570" t="s">
        <v>8881</v>
      </c>
      <c r="C395" s="631" t="s">
        <v>6268</v>
      </c>
      <c r="D395" s="413" t="s">
        <v>123</v>
      </c>
      <c r="E395" s="384">
        <v>1</v>
      </c>
      <c r="F395" s="482" t="s">
        <v>3456</v>
      </c>
      <c r="G395" s="486" t="s">
        <v>5557</v>
      </c>
      <c r="H395" s="593" t="s">
        <v>3457</v>
      </c>
      <c r="I395" s="634" t="s">
        <v>6215</v>
      </c>
      <c r="J395" s="1242"/>
      <c r="K395" s="1331"/>
    </row>
    <row r="396" spans="1:11">
      <c r="A396" s="428" t="s">
        <v>8879</v>
      </c>
      <c r="B396" s="570" t="s">
        <v>8881</v>
      </c>
      <c r="C396" s="631" t="s">
        <v>6268</v>
      </c>
      <c r="D396" s="413" t="s">
        <v>123</v>
      </c>
      <c r="E396" s="384">
        <v>1</v>
      </c>
      <c r="F396" s="482" t="s">
        <v>3458</v>
      </c>
      <c r="G396" s="486" t="s">
        <v>5558</v>
      </c>
      <c r="H396" s="593" t="s">
        <v>3459</v>
      </c>
      <c r="I396" s="634" t="s">
        <v>6215</v>
      </c>
      <c r="J396" s="1242"/>
      <c r="K396" s="1331"/>
    </row>
    <row r="397" spans="1:11">
      <c r="A397" s="428" t="s">
        <v>8879</v>
      </c>
      <c r="B397" s="570" t="s">
        <v>8881</v>
      </c>
      <c r="C397" s="631" t="s">
        <v>6268</v>
      </c>
      <c r="D397" s="413" t="s">
        <v>123</v>
      </c>
      <c r="E397" s="384">
        <v>1</v>
      </c>
      <c r="F397" s="482" t="s">
        <v>3460</v>
      </c>
      <c r="G397" s="486" t="s">
        <v>5559</v>
      </c>
      <c r="H397" s="593" t="s">
        <v>3461</v>
      </c>
      <c r="I397" s="634" t="s">
        <v>6215</v>
      </c>
      <c r="J397" s="1242"/>
      <c r="K397" s="1331"/>
    </row>
    <row r="398" spans="1:11">
      <c r="A398" s="428" t="s">
        <v>8879</v>
      </c>
      <c r="B398" s="570" t="s">
        <v>8881</v>
      </c>
      <c r="C398" s="631" t="s">
        <v>6268</v>
      </c>
      <c r="D398" s="413" t="s">
        <v>123</v>
      </c>
      <c r="E398" s="384">
        <v>1</v>
      </c>
      <c r="F398" s="482">
        <v>31</v>
      </c>
      <c r="G398" s="486" t="s">
        <v>5560</v>
      </c>
      <c r="H398" s="593" t="s">
        <v>3462</v>
      </c>
      <c r="I398" s="634" t="s">
        <v>6215</v>
      </c>
      <c r="J398" s="1242"/>
      <c r="K398" s="1331"/>
    </row>
    <row r="399" spans="1:11">
      <c r="A399" s="428" t="s">
        <v>8879</v>
      </c>
      <c r="B399" s="570" t="s">
        <v>8881</v>
      </c>
      <c r="C399" s="631" t="s">
        <v>6268</v>
      </c>
      <c r="D399" s="413" t="s">
        <v>123</v>
      </c>
      <c r="E399" s="384">
        <v>1</v>
      </c>
      <c r="F399" s="482" t="s">
        <v>3463</v>
      </c>
      <c r="G399" s="486" t="s">
        <v>5561</v>
      </c>
      <c r="H399" s="593" t="s">
        <v>3464</v>
      </c>
      <c r="I399" s="634" t="s">
        <v>6215</v>
      </c>
      <c r="J399" s="1242"/>
      <c r="K399" s="1331"/>
    </row>
    <row r="400" spans="1:11">
      <c r="A400" s="428" t="s">
        <v>8879</v>
      </c>
      <c r="B400" s="570" t="s">
        <v>8881</v>
      </c>
      <c r="C400" s="631" t="s">
        <v>6268</v>
      </c>
      <c r="D400" s="413" t="s">
        <v>123</v>
      </c>
      <c r="E400" s="384">
        <v>1</v>
      </c>
      <c r="F400" s="482" t="s">
        <v>3465</v>
      </c>
      <c r="G400" s="486" t="s">
        <v>5562</v>
      </c>
      <c r="H400" s="593" t="s">
        <v>3466</v>
      </c>
      <c r="I400" s="634" t="s">
        <v>6215</v>
      </c>
      <c r="J400" s="1242"/>
      <c r="K400" s="1331"/>
    </row>
    <row r="401" spans="1:11">
      <c r="A401" s="428" t="s">
        <v>8879</v>
      </c>
      <c r="B401" s="570" t="s">
        <v>8881</v>
      </c>
      <c r="C401" s="631" t="s">
        <v>6268</v>
      </c>
      <c r="D401" s="413" t="s">
        <v>123</v>
      </c>
      <c r="E401" s="384">
        <v>1</v>
      </c>
      <c r="F401" s="482" t="s">
        <v>3467</v>
      </c>
      <c r="G401" s="486" t="s">
        <v>5563</v>
      </c>
      <c r="H401" s="593" t="s">
        <v>3468</v>
      </c>
      <c r="I401" s="634" t="s">
        <v>6215</v>
      </c>
      <c r="J401" s="1242"/>
      <c r="K401" s="1331"/>
    </row>
    <row r="402" spans="1:11">
      <c r="A402" s="428" t="s">
        <v>8879</v>
      </c>
      <c r="B402" s="570" t="s">
        <v>8881</v>
      </c>
      <c r="C402" s="631" t="s">
        <v>6268</v>
      </c>
      <c r="D402" s="413" t="s">
        <v>123</v>
      </c>
      <c r="E402" s="384">
        <v>1</v>
      </c>
      <c r="F402" s="482" t="s">
        <v>3469</v>
      </c>
      <c r="G402" s="486" t="s">
        <v>5564</v>
      </c>
      <c r="H402" s="593" t="s">
        <v>3470</v>
      </c>
      <c r="I402" s="634" t="s">
        <v>6215</v>
      </c>
      <c r="J402" s="1242"/>
      <c r="K402" s="1331"/>
    </row>
    <row r="403" spans="1:11">
      <c r="A403" s="428" t="s">
        <v>8879</v>
      </c>
      <c r="B403" s="570" t="s">
        <v>8881</v>
      </c>
      <c r="C403" s="631" t="s">
        <v>6268</v>
      </c>
      <c r="D403" s="413" t="s">
        <v>123</v>
      </c>
      <c r="E403" s="384">
        <v>1</v>
      </c>
      <c r="F403" s="482">
        <v>32</v>
      </c>
      <c r="G403" s="486" t="s">
        <v>5565</v>
      </c>
      <c r="H403" s="593" t="s">
        <v>3471</v>
      </c>
      <c r="I403" s="634" t="s">
        <v>6215</v>
      </c>
      <c r="J403" s="1242"/>
      <c r="K403" s="1331"/>
    </row>
    <row r="404" spans="1:11">
      <c r="A404" s="428" t="s">
        <v>8879</v>
      </c>
      <c r="B404" s="570" t="s">
        <v>8881</v>
      </c>
      <c r="C404" s="631" t="s">
        <v>6268</v>
      </c>
      <c r="D404" s="413" t="s">
        <v>123</v>
      </c>
      <c r="E404" s="384">
        <v>1</v>
      </c>
      <c r="F404" s="482" t="s">
        <v>3472</v>
      </c>
      <c r="G404" s="486" t="s">
        <v>5566</v>
      </c>
      <c r="H404" s="593" t="s">
        <v>3473</v>
      </c>
      <c r="I404" s="634" t="s">
        <v>6215</v>
      </c>
      <c r="J404" s="1242"/>
      <c r="K404" s="1331"/>
    </row>
    <row r="405" spans="1:11">
      <c r="A405" s="428" t="s">
        <v>8879</v>
      </c>
      <c r="B405" s="570" t="s">
        <v>8881</v>
      </c>
      <c r="C405" s="631" t="s">
        <v>6268</v>
      </c>
      <c r="D405" s="413" t="s">
        <v>123</v>
      </c>
      <c r="E405" s="384">
        <v>1</v>
      </c>
      <c r="F405" s="482" t="s">
        <v>3474</v>
      </c>
      <c r="G405" s="486" t="s">
        <v>5567</v>
      </c>
      <c r="H405" s="593" t="s">
        <v>3475</v>
      </c>
      <c r="I405" s="634" t="s">
        <v>6215</v>
      </c>
      <c r="J405" s="1242"/>
      <c r="K405" s="1331"/>
    </row>
    <row r="406" spans="1:11">
      <c r="A406" s="428" t="s">
        <v>8879</v>
      </c>
      <c r="B406" s="570" t="s">
        <v>8881</v>
      </c>
      <c r="C406" s="631" t="s">
        <v>6268</v>
      </c>
      <c r="D406" s="413" t="s">
        <v>123</v>
      </c>
      <c r="E406" s="384">
        <v>1</v>
      </c>
      <c r="F406" s="482" t="s">
        <v>3476</v>
      </c>
      <c r="G406" s="486" t="s">
        <v>5568</v>
      </c>
      <c r="H406" s="593" t="s">
        <v>3477</v>
      </c>
      <c r="I406" s="634" t="s">
        <v>6215</v>
      </c>
      <c r="J406" s="1242"/>
      <c r="K406" s="1331"/>
    </row>
    <row r="407" spans="1:11">
      <c r="A407" s="428" t="s">
        <v>8879</v>
      </c>
      <c r="B407" s="570" t="s">
        <v>8881</v>
      </c>
      <c r="C407" s="631" t="s">
        <v>6268</v>
      </c>
      <c r="D407" s="413" t="s">
        <v>123</v>
      </c>
      <c r="E407" s="384">
        <v>1</v>
      </c>
      <c r="F407" s="482" t="s">
        <v>3478</v>
      </c>
      <c r="G407" s="486" t="s">
        <v>5569</v>
      </c>
      <c r="H407" s="593" t="s">
        <v>3479</v>
      </c>
      <c r="I407" s="634" t="s">
        <v>6215</v>
      </c>
      <c r="J407" s="1242"/>
      <c r="K407" s="1331"/>
    </row>
    <row r="408" spans="1:11">
      <c r="A408" s="428" t="s">
        <v>8879</v>
      </c>
      <c r="B408" s="570" t="s">
        <v>8881</v>
      </c>
      <c r="C408" s="631" t="s">
        <v>6268</v>
      </c>
      <c r="D408" s="413" t="s">
        <v>123</v>
      </c>
      <c r="E408" s="384">
        <v>1</v>
      </c>
      <c r="F408" s="482" t="s">
        <v>3480</v>
      </c>
      <c r="G408" s="486" t="s">
        <v>5570</v>
      </c>
      <c r="H408" s="593" t="s">
        <v>3481</v>
      </c>
      <c r="I408" s="634" t="s">
        <v>6215</v>
      </c>
      <c r="J408" s="1242"/>
      <c r="K408" s="1331"/>
    </row>
    <row r="409" spans="1:11">
      <c r="A409" s="428" t="s">
        <v>8879</v>
      </c>
      <c r="B409" s="570" t="s">
        <v>8881</v>
      </c>
      <c r="C409" s="631" t="s">
        <v>6268</v>
      </c>
      <c r="D409" s="413" t="s">
        <v>123</v>
      </c>
      <c r="E409" s="384">
        <v>1</v>
      </c>
      <c r="F409" s="482" t="s">
        <v>3482</v>
      </c>
      <c r="G409" s="486" t="s">
        <v>5571</v>
      </c>
      <c r="H409" s="593" t="s">
        <v>3483</v>
      </c>
      <c r="I409" s="634" t="s">
        <v>6215</v>
      </c>
      <c r="J409" s="1242"/>
      <c r="K409" s="1331"/>
    </row>
    <row r="410" spans="1:11">
      <c r="A410" s="428" t="s">
        <v>8879</v>
      </c>
      <c r="B410" s="570" t="s">
        <v>8881</v>
      </c>
      <c r="C410" s="631" t="s">
        <v>6268</v>
      </c>
      <c r="D410" s="413" t="s">
        <v>123</v>
      </c>
      <c r="E410" s="384">
        <v>1</v>
      </c>
      <c r="F410" s="482" t="s">
        <v>3484</v>
      </c>
      <c r="G410" s="486" t="s">
        <v>5572</v>
      </c>
      <c r="H410" s="593" t="s">
        <v>3485</v>
      </c>
      <c r="I410" s="634" t="s">
        <v>6215</v>
      </c>
      <c r="J410" s="1242"/>
      <c r="K410" s="1331"/>
    </row>
    <row r="411" spans="1:11">
      <c r="A411" s="428" t="s">
        <v>8879</v>
      </c>
      <c r="B411" s="570" t="s">
        <v>8881</v>
      </c>
      <c r="C411" s="631" t="s">
        <v>6268</v>
      </c>
      <c r="D411" s="413" t="s">
        <v>123</v>
      </c>
      <c r="E411" s="384">
        <v>1</v>
      </c>
      <c r="F411" s="482" t="s">
        <v>3486</v>
      </c>
      <c r="G411" s="486" t="s">
        <v>5573</v>
      </c>
      <c r="H411" s="593" t="s">
        <v>3487</v>
      </c>
      <c r="I411" s="634" t="s">
        <v>6215</v>
      </c>
      <c r="J411" s="1242"/>
      <c r="K411" s="1331"/>
    </row>
    <row r="412" spans="1:11">
      <c r="A412" s="428" t="s">
        <v>8879</v>
      </c>
      <c r="B412" s="570" t="s">
        <v>8881</v>
      </c>
      <c r="C412" s="631" t="s">
        <v>6268</v>
      </c>
      <c r="D412" s="413" t="s">
        <v>123</v>
      </c>
      <c r="E412" s="384">
        <v>1</v>
      </c>
      <c r="F412" s="482" t="s">
        <v>3488</v>
      </c>
      <c r="G412" s="486" t="s">
        <v>5574</v>
      </c>
      <c r="H412" s="593" t="s">
        <v>3489</v>
      </c>
      <c r="I412" s="634" t="s">
        <v>6215</v>
      </c>
      <c r="J412" s="1242"/>
      <c r="K412" s="1331"/>
    </row>
    <row r="413" spans="1:11">
      <c r="A413" s="428" t="s">
        <v>8879</v>
      </c>
      <c r="B413" s="570" t="s">
        <v>8881</v>
      </c>
      <c r="C413" s="631" t="s">
        <v>6268</v>
      </c>
      <c r="D413" s="413" t="s">
        <v>123</v>
      </c>
      <c r="E413" s="384">
        <v>1</v>
      </c>
      <c r="F413" s="482" t="s">
        <v>3490</v>
      </c>
      <c r="G413" s="486" t="s">
        <v>5575</v>
      </c>
      <c r="H413" s="593" t="s">
        <v>3491</v>
      </c>
      <c r="I413" s="634" t="s">
        <v>6215</v>
      </c>
      <c r="J413" s="1242"/>
      <c r="K413" s="1331"/>
    </row>
    <row r="414" spans="1:11">
      <c r="A414" s="428" t="s">
        <v>8879</v>
      </c>
      <c r="B414" s="570" t="s">
        <v>8881</v>
      </c>
      <c r="C414" s="631" t="s">
        <v>6268</v>
      </c>
      <c r="D414" s="413" t="s">
        <v>123</v>
      </c>
      <c r="E414" s="384">
        <v>1</v>
      </c>
      <c r="F414" s="482" t="s">
        <v>3492</v>
      </c>
      <c r="G414" s="486" t="s">
        <v>5576</v>
      </c>
      <c r="H414" s="593" t="s">
        <v>3493</v>
      </c>
      <c r="I414" s="634" t="s">
        <v>6215</v>
      </c>
      <c r="J414" s="1242"/>
      <c r="K414" s="1331"/>
    </row>
    <row r="415" spans="1:11">
      <c r="A415" s="428" t="s">
        <v>8879</v>
      </c>
      <c r="B415" s="570" t="s">
        <v>8881</v>
      </c>
      <c r="C415" s="631" t="s">
        <v>6268</v>
      </c>
      <c r="D415" s="413" t="s">
        <v>123</v>
      </c>
      <c r="E415" s="384">
        <v>1</v>
      </c>
      <c r="F415" s="482">
        <v>33</v>
      </c>
      <c r="G415" s="486" t="s">
        <v>5577</v>
      </c>
      <c r="H415" s="593" t="s">
        <v>3494</v>
      </c>
      <c r="I415" s="634" t="s">
        <v>6215</v>
      </c>
      <c r="J415" s="1242"/>
      <c r="K415" s="1331"/>
    </row>
    <row r="416" spans="1:11">
      <c r="A416" s="428" t="s">
        <v>8879</v>
      </c>
      <c r="B416" s="570" t="s">
        <v>8881</v>
      </c>
      <c r="C416" s="631" t="s">
        <v>6268</v>
      </c>
      <c r="D416" s="413" t="s">
        <v>123</v>
      </c>
      <c r="E416" s="384">
        <v>1</v>
      </c>
      <c r="F416" s="482" t="s">
        <v>3495</v>
      </c>
      <c r="G416" s="486" t="s">
        <v>5578</v>
      </c>
      <c r="H416" s="593" t="s">
        <v>3496</v>
      </c>
      <c r="I416" s="634" t="s">
        <v>6215</v>
      </c>
      <c r="J416" s="1242"/>
      <c r="K416" s="1331"/>
    </row>
    <row r="417" spans="1:11">
      <c r="A417" s="428" t="s">
        <v>8879</v>
      </c>
      <c r="B417" s="570" t="s">
        <v>8881</v>
      </c>
      <c r="C417" s="631" t="s">
        <v>6268</v>
      </c>
      <c r="D417" s="413" t="s">
        <v>123</v>
      </c>
      <c r="E417" s="384">
        <v>1</v>
      </c>
      <c r="F417" s="482" t="s">
        <v>3497</v>
      </c>
      <c r="G417" s="486" t="s">
        <v>5579</v>
      </c>
      <c r="H417" s="593" t="s">
        <v>3498</v>
      </c>
      <c r="I417" s="634" t="s">
        <v>6215</v>
      </c>
      <c r="J417" s="1242"/>
      <c r="K417" s="1331"/>
    </row>
    <row r="418" spans="1:11">
      <c r="A418" s="428" t="s">
        <v>8879</v>
      </c>
      <c r="B418" s="570" t="s">
        <v>8881</v>
      </c>
      <c r="C418" s="631" t="s">
        <v>6268</v>
      </c>
      <c r="D418" s="413" t="s">
        <v>123</v>
      </c>
      <c r="E418" s="384">
        <v>1</v>
      </c>
      <c r="F418" s="482" t="s">
        <v>3499</v>
      </c>
      <c r="G418" s="486" t="s">
        <v>5580</v>
      </c>
      <c r="H418" s="593" t="s">
        <v>3500</v>
      </c>
      <c r="I418" s="634" t="s">
        <v>6215</v>
      </c>
      <c r="J418" s="1242"/>
      <c r="K418" s="1331"/>
    </row>
    <row r="419" spans="1:11">
      <c r="A419" s="428" t="s">
        <v>8879</v>
      </c>
      <c r="B419" s="570" t="s">
        <v>8881</v>
      </c>
      <c r="C419" s="631" t="s">
        <v>6268</v>
      </c>
      <c r="D419" s="413" t="s">
        <v>123</v>
      </c>
      <c r="E419" s="384">
        <v>1</v>
      </c>
      <c r="F419" s="482" t="s">
        <v>3501</v>
      </c>
      <c r="G419" s="486" t="s">
        <v>5581</v>
      </c>
      <c r="H419" s="593" t="s">
        <v>3502</v>
      </c>
      <c r="I419" s="634" t="s">
        <v>6215</v>
      </c>
      <c r="J419" s="1242"/>
      <c r="K419" s="1331"/>
    </row>
    <row r="420" spans="1:11">
      <c r="A420" s="428" t="s">
        <v>8879</v>
      </c>
      <c r="B420" s="570" t="s">
        <v>8881</v>
      </c>
      <c r="C420" s="631" t="s">
        <v>6268</v>
      </c>
      <c r="D420" s="413" t="s">
        <v>123</v>
      </c>
      <c r="E420" s="384">
        <v>1</v>
      </c>
      <c r="F420" s="482" t="s">
        <v>3503</v>
      </c>
      <c r="G420" s="486" t="s">
        <v>5582</v>
      </c>
      <c r="H420" s="593" t="s">
        <v>3504</v>
      </c>
      <c r="I420" s="634" t="s">
        <v>6215</v>
      </c>
      <c r="J420" s="1242"/>
      <c r="K420" s="1331"/>
    </row>
    <row r="421" spans="1:11">
      <c r="A421" s="428" t="s">
        <v>8879</v>
      </c>
      <c r="B421" s="570" t="s">
        <v>8881</v>
      </c>
      <c r="C421" s="631" t="s">
        <v>6268</v>
      </c>
      <c r="D421" s="413" t="s">
        <v>123</v>
      </c>
      <c r="E421" s="384">
        <v>1</v>
      </c>
      <c r="F421" s="482" t="s">
        <v>3505</v>
      </c>
      <c r="G421" s="486" t="s">
        <v>5583</v>
      </c>
      <c r="H421" s="593" t="s">
        <v>3506</v>
      </c>
      <c r="I421" s="634" t="s">
        <v>6215</v>
      </c>
      <c r="J421" s="1242"/>
      <c r="K421" s="1331"/>
    </row>
    <row r="422" spans="1:11">
      <c r="A422" s="428" t="s">
        <v>8879</v>
      </c>
      <c r="B422" s="570" t="s">
        <v>8881</v>
      </c>
      <c r="C422" s="631" t="s">
        <v>6268</v>
      </c>
      <c r="D422" s="413" t="s">
        <v>123</v>
      </c>
      <c r="E422" s="384">
        <v>1</v>
      </c>
      <c r="F422" s="482" t="s">
        <v>3507</v>
      </c>
      <c r="G422" s="486" t="s">
        <v>5584</v>
      </c>
      <c r="H422" s="593" t="s">
        <v>3508</v>
      </c>
      <c r="I422" s="634" t="s">
        <v>6215</v>
      </c>
      <c r="J422" s="1242"/>
      <c r="K422" s="1331"/>
    </row>
    <row r="423" spans="1:11">
      <c r="A423" s="428" t="s">
        <v>8879</v>
      </c>
      <c r="B423" s="570" t="s">
        <v>8881</v>
      </c>
      <c r="C423" s="631" t="s">
        <v>6268</v>
      </c>
      <c r="D423" s="413" t="s">
        <v>123</v>
      </c>
      <c r="E423" s="384">
        <v>1</v>
      </c>
      <c r="F423" s="482" t="s">
        <v>3509</v>
      </c>
      <c r="G423" s="486" t="s">
        <v>5585</v>
      </c>
      <c r="H423" s="593" t="s">
        <v>3510</v>
      </c>
      <c r="I423" s="634" t="s">
        <v>6215</v>
      </c>
      <c r="J423" s="1242"/>
      <c r="K423" s="1331"/>
    </row>
    <row r="424" spans="1:11">
      <c r="A424" s="428" t="s">
        <v>8879</v>
      </c>
      <c r="B424" s="570" t="s">
        <v>8881</v>
      </c>
      <c r="C424" s="631" t="s">
        <v>6268</v>
      </c>
      <c r="D424" s="413" t="s">
        <v>123</v>
      </c>
      <c r="E424" s="384">
        <v>1</v>
      </c>
      <c r="F424" s="482" t="s">
        <v>3511</v>
      </c>
      <c r="G424" s="486" t="s">
        <v>5586</v>
      </c>
      <c r="H424" s="593" t="s">
        <v>3512</v>
      </c>
      <c r="I424" s="634" t="s">
        <v>6215</v>
      </c>
      <c r="J424" s="1242"/>
      <c r="K424" s="1331"/>
    </row>
    <row r="425" spans="1:11">
      <c r="A425" s="428" t="s">
        <v>8879</v>
      </c>
      <c r="B425" s="570" t="s">
        <v>8881</v>
      </c>
      <c r="C425" s="631" t="s">
        <v>6268</v>
      </c>
      <c r="D425" s="413" t="s">
        <v>123</v>
      </c>
      <c r="E425" s="384">
        <v>1</v>
      </c>
      <c r="F425" s="482" t="s">
        <v>3513</v>
      </c>
      <c r="G425" s="486" t="s">
        <v>5587</v>
      </c>
      <c r="H425" s="593" t="s">
        <v>3514</v>
      </c>
      <c r="I425" s="634" t="s">
        <v>6215</v>
      </c>
      <c r="J425" s="1242"/>
      <c r="K425" s="1331"/>
    </row>
    <row r="426" spans="1:11">
      <c r="A426" s="428" t="s">
        <v>8879</v>
      </c>
      <c r="B426" s="570" t="s">
        <v>8881</v>
      </c>
      <c r="C426" s="631" t="s">
        <v>6268</v>
      </c>
      <c r="D426" s="413" t="s">
        <v>123</v>
      </c>
      <c r="E426" s="384">
        <v>1</v>
      </c>
      <c r="F426" s="482">
        <v>35</v>
      </c>
      <c r="G426" s="486" t="s">
        <v>5588</v>
      </c>
      <c r="H426" s="593" t="s">
        <v>3515</v>
      </c>
      <c r="I426" s="634" t="s">
        <v>6215</v>
      </c>
      <c r="J426" s="1242"/>
      <c r="K426" s="1331"/>
    </row>
    <row r="427" spans="1:11">
      <c r="A427" s="428" t="s">
        <v>8879</v>
      </c>
      <c r="B427" s="570" t="s">
        <v>8881</v>
      </c>
      <c r="C427" s="631" t="s">
        <v>6268</v>
      </c>
      <c r="D427" s="413" t="s">
        <v>123</v>
      </c>
      <c r="E427" s="384">
        <v>1</v>
      </c>
      <c r="F427" s="482" t="s">
        <v>3516</v>
      </c>
      <c r="G427" s="486" t="s">
        <v>5589</v>
      </c>
      <c r="H427" s="593" t="s">
        <v>3517</v>
      </c>
      <c r="I427" s="634" t="s">
        <v>6215</v>
      </c>
      <c r="J427" s="1242"/>
      <c r="K427" s="1331"/>
    </row>
    <row r="428" spans="1:11">
      <c r="A428" s="428" t="s">
        <v>8879</v>
      </c>
      <c r="B428" s="570" t="s">
        <v>8881</v>
      </c>
      <c r="C428" s="631" t="s">
        <v>6268</v>
      </c>
      <c r="D428" s="413" t="s">
        <v>123</v>
      </c>
      <c r="E428" s="384">
        <v>1</v>
      </c>
      <c r="F428" s="482" t="s">
        <v>3518</v>
      </c>
      <c r="G428" s="486" t="s">
        <v>5590</v>
      </c>
      <c r="H428" s="593" t="s">
        <v>3519</v>
      </c>
      <c r="I428" s="634" t="s">
        <v>6215</v>
      </c>
      <c r="J428" s="1242"/>
      <c r="K428" s="1331"/>
    </row>
    <row r="429" spans="1:11">
      <c r="A429" s="428" t="s">
        <v>8879</v>
      </c>
      <c r="B429" s="570" t="s">
        <v>8881</v>
      </c>
      <c r="C429" s="631" t="s">
        <v>6268</v>
      </c>
      <c r="D429" s="413" t="s">
        <v>123</v>
      </c>
      <c r="E429" s="384">
        <v>1</v>
      </c>
      <c r="F429" s="482" t="s">
        <v>3520</v>
      </c>
      <c r="G429" s="486" t="s">
        <v>5591</v>
      </c>
      <c r="H429" s="593" t="s">
        <v>3521</v>
      </c>
      <c r="I429" s="634" t="s">
        <v>6215</v>
      </c>
      <c r="J429" s="1242"/>
      <c r="K429" s="1331"/>
    </row>
    <row r="430" spans="1:11">
      <c r="A430" s="428" t="s">
        <v>8879</v>
      </c>
      <c r="B430" s="570" t="s">
        <v>8881</v>
      </c>
      <c r="C430" s="631" t="s">
        <v>6268</v>
      </c>
      <c r="D430" s="413" t="s">
        <v>123</v>
      </c>
      <c r="E430" s="384">
        <v>1</v>
      </c>
      <c r="F430" s="482" t="s">
        <v>3522</v>
      </c>
      <c r="G430" s="486" t="s">
        <v>5592</v>
      </c>
      <c r="H430" s="593" t="s">
        <v>3523</v>
      </c>
      <c r="I430" s="634" t="s">
        <v>6215</v>
      </c>
      <c r="J430" s="1242"/>
      <c r="K430" s="1331"/>
    </row>
    <row r="431" spans="1:11">
      <c r="A431" s="428" t="s">
        <v>8879</v>
      </c>
      <c r="B431" s="570" t="s">
        <v>8881</v>
      </c>
      <c r="C431" s="631" t="s">
        <v>6268</v>
      </c>
      <c r="D431" s="413" t="s">
        <v>123</v>
      </c>
      <c r="E431" s="384">
        <v>1</v>
      </c>
      <c r="F431" s="482" t="s">
        <v>3524</v>
      </c>
      <c r="G431" s="486" t="s">
        <v>5593</v>
      </c>
      <c r="H431" s="593" t="s">
        <v>3525</v>
      </c>
      <c r="I431" s="634" t="s">
        <v>6215</v>
      </c>
      <c r="J431" s="1242"/>
      <c r="K431" s="1331"/>
    </row>
    <row r="432" spans="1:11">
      <c r="A432" s="428" t="s">
        <v>8879</v>
      </c>
      <c r="B432" s="570" t="s">
        <v>8881</v>
      </c>
      <c r="C432" s="631" t="s">
        <v>6268</v>
      </c>
      <c r="D432" s="413" t="s">
        <v>123</v>
      </c>
      <c r="E432" s="384">
        <v>1</v>
      </c>
      <c r="F432" s="482" t="s">
        <v>3526</v>
      </c>
      <c r="G432" s="486" t="s">
        <v>5594</v>
      </c>
      <c r="H432" s="593" t="s">
        <v>3527</v>
      </c>
      <c r="I432" s="634" t="s">
        <v>6215</v>
      </c>
      <c r="J432" s="1242"/>
      <c r="K432" s="1331"/>
    </row>
    <row r="433" spans="1:11">
      <c r="A433" s="428" t="s">
        <v>8879</v>
      </c>
      <c r="B433" s="570" t="s">
        <v>8881</v>
      </c>
      <c r="C433" s="631" t="s">
        <v>6268</v>
      </c>
      <c r="D433" s="413" t="s">
        <v>123</v>
      </c>
      <c r="E433" s="384">
        <v>1</v>
      </c>
      <c r="F433" s="482" t="s">
        <v>3528</v>
      </c>
      <c r="G433" s="486" t="s">
        <v>5595</v>
      </c>
      <c r="H433" s="593" t="s">
        <v>3529</v>
      </c>
      <c r="I433" s="634" t="s">
        <v>6215</v>
      </c>
      <c r="J433" s="1242"/>
      <c r="K433" s="1331"/>
    </row>
    <row r="434" spans="1:11">
      <c r="A434" s="428" t="s">
        <v>8879</v>
      </c>
      <c r="B434" s="570" t="s">
        <v>8881</v>
      </c>
      <c r="C434" s="631" t="s">
        <v>6268</v>
      </c>
      <c r="D434" s="413" t="s">
        <v>123</v>
      </c>
      <c r="E434" s="384">
        <v>1</v>
      </c>
      <c r="F434" s="482" t="s">
        <v>3530</v>
      </c>
      <c r="G434" s="486" t="s">
        <v>5596</v>
      </c>
      <c r="H434" s="593" t="s">
        <v>3531</v>
      </c>
      <c r="I434" s="634" t="s">
        <v>6215</v>
      </c>
      <c r="J434" s="1242"/>
      <c r="K434" s="1331"/>
    </row>
    <row r="435" spans="1:11">
      <c r="A435" s="428" t="s">
        <v>8879</v>
      </c>
      <c r="B435" s="570" t="s">
        <v>8881</v>
      </c>
      <c r="C435" s="631" t="s">
        <v>6268</v>
      </c>
      <c r="D435" s="413" t="s">
        <v>123</v>
      </c>
      <c r="E435" s="384">
        <v>1</v>
      </c>
      <c r="F435" s="482" t="s">
        <v>3532</v>
      </c>
      <c r="G435" s="486" t="s">
        <v>5597</v>
      </c>
      <c r="H435" s="593" t="s">
        <v>3533</v>
      </c>
      <c r="I435" s="634" t="s">
        <v>6215</v>
      </c>
      <c r="J435" s="1242"/>
      <c r="K435" s="1331"/>
    </row>
    <row r="436" spans="1:11">
      <c r="A436" s="428" t="s">
        <v>8879</v>
      </c>
      <c r="B436" s="570" t="s">
        <v>8881</v>
      </c>
      <c r="C436" s="631" t="s">
        <v>6268</v>
      </c>
      <c r="D436" s="413" t="s">
        <v>123</v>
      </c>
      <c r="E436" s="384">
        <v>1</v>
      </c>
      <c r="F436" s="482" t="s">
        <v>3534</v>
      </c>
      <c r="G436" s="486" t="s">
        <v>5598</v>
      </c>
      <c r="H436" s="593" t="s">
        <v>3535</v>
      </c>
      <c r="I436" s="634" t="s">
        <v>6215</v>
      </c>
      <c r="J436" s="1242"/>
      <c r="K436" s="1331"/>
    </row>
    <row r="437" spans="1:11">
      <c r="A437" s="428" t="s">
        <v>8879</v>
      </c>
      <c r="B437" s="570" t="s">
        <v>8881</v>
      </c>
      <c r="C437" s="631" t="s">
        <v>6268</v>
      </c>
      <c r="D437" s="413" t="s">
        <v>123</v>
      </c>
      <c r="E437" s="384">
        <v>1</v>
      </c>
      <c r="F437" s="482">
        <v>36</v>
      </c>
      <c r="G437" s="486" t="s">
        <v>5599</v>
      </c>
      <c r="H437" s="593" t="s">
        <v>3536</v>
      </c>
      <c r="I437" s="634" t="s">
        <v>6215</v>
      </c>
      <c r="J437" s="1242"/>
      <c r="K437" s="1331"/>
    </row>
    <row r="438" spans="1:11">
      <c r="A438" s="428" t="s">
        <v>8879</v>
      </c>
      <c r="B438" s="570" t="s">
        <v>8881</v>
      </c>
      <c r="C438" s="631" t="s">
        <v>6268</v>
      </c>
      <c r="D438" s="413" t="s">
        <v>123</v>
      </c>
      <c r="E438" s="384">
        <v>1</v>
      </c>
      <c r="F438" s="482">
        <v>37</v>
      </c>
      <c r="G438" s="486" t="s">
        <v>5600</v>
      </c>
      <c r="H438" s="593" t="s">
        <v>3537</v>
      </c>
      <c r="I438" s="634" t="s">
        <v>6215</v>
      </c>
      <c r="J438" s="1242"/>
      <c r="K438" s="1331"/>
    </row>
    <row r="439" spans="1:11">
      <c r="A439" s="428" t="s">
        <v>8879</v>
      </c>
      <c r="B439" s="570" t="s">
        <v>8881</v>
      </c>
      <c r="C439" s="631" t="s">
        <v>6268</v>
      </c>
      <c r="D439" s="413" t="s">
        <v>123</v>
      </c>
      <c r="E439" s="384">
        <v>1</v>
      </c>
      <c r="F439" s="482">
        <v>38</v>
      </c>
      <c r="G439" s="486" t="s">
        <v>5601</v>
      </c>
      <c r="H439" s="593" t="s">
        <v>3538</v>
      </c>
      <c r="I439" s="634" t="s">
        <v>6215</v>
      </c>
      <c r="J439" s="1242"/>
      <c r="K439" s="1331"/>
    </row>
    <row r="440" spans="1:11">
      <c r="A440" s="428" t="s">
        <v>8879</v>
      </c>
      <c r="B440" s="570" t="s">
        <v>8881</v>
      </c>
      <c r="C440" s="631" t="s">
        <v>6268</v>
      </c>
      <c r="D440" s="413" t="s">
        <v>123</v>
      </c>
      <c r="E440" s="384">
        <v>1</v>
      </c>
      <c r="F440" s="482" t="s">
        <v>3539</v>
      </c>
      <c r="G440" s="486" t="s">
        <v>5602</v>
      </c>
      <c r="H440" s="593" t="s">
        <v>3540</v>
      </c>
      <c r="I440" s="634" t="s">
        <v>6215</v>
      </c>
      <c r="J440" s="1242"/>
      <c r="K440" s="1331"/>
    </row>
    <row r="441" spans="1:11">
      <c r="A441" s="428" t="s">
        <v>8879</v>
      </c>
      <c r="B441" s="570" t="s">
        <v>8881</v>
      </c>
      <c r="C441" s="631" t="s">
        <v>6268</v>
      </c>
      <c r="D441" s="413" t="s">
        <v>123</v>
      </c>
      <c r="E441" s="384">
        <v>1</v>
      </c>
      <c r="F441" s="482" t="s">
        <v>3541</v>
      </c>
      <c r="G441" s="486" t="s">
        <v>5603</v>
      </c>
      <c r="H441" s="593" t="s">
        <v>3542</v>
      </c>
      <c r="I441" s="634" t="s">
        <v>6215</v>
      </c>
      <c r="J441" s="1242"/>
      <c r="K441" s="1331"/>
    </row>
    <row r="442" spans="1:11">
      <c r="A442" s="428" t="s">
        <v>8879</v>
      </c>
      <c r="B442" s="570" t="s">
        <v>8881</v>
      </c>
      <c r="C442" s="631" t="s">
        <v>6268</v>
      </c>
      <c r="D442" s="413" t="s">
        <v>123</v>
      </c>
      <c r="E442" s="384">
        <v>1</v>
      </c>
      <c r="F442" s="482" t="s">
        <v>3543</v>
      </c>
      <c r="G442" s="486" t="s">
        <v>5604</v>
      </c>
      <c r="H442" s="593" t="s">
        <v>3544</v>
      </c>
      <c r="I442" s="634" t="s">
        <v>6215</v>
      </c>
      <c r="J442" s="1242"/>
      <c r="K442" s="1331"/>
    </row>
    <row r="443" spans="1:11">
      <c r="A443" s="428" t="s">
        <v>8879</v>
      </c>
      <c r="B443" s="570" t="s">
        <v>8881</v>
      </c>
      <c r="C443" s="631" t="s">
        <v>6268</v>
      </c>
      <c r="D443" s="413" t="s">
        <v>123</v>
      </c>
      <c r="E443" s="384">
        <v>1</v>
      </c>
      <c r="F443" s="482" t="s">
        <v>3545</v>
      </c>
      <c r="G443" s="486" t="s">
        <v>5605</v>
      </c>
      <c r="H443" s="593" t="s">
        <v>3546</v>
      </c>
      <c r="I443" s="634" t="s">
        <v>6215</v>
      </c>
      <c r="J443" s="1242"/>
      <c r="K443" s="1331"/>
    </row>
    <row r="444" spans="1:11">
      <c r="A444" s="428" t="s">
        <v>8879</v>
      </c>
      <c r="B444" s="570" t="s">
        <v>8881</v>
      </c>
      <c r="C444" s="631" t="s">
        <v>6268</v>
      </c>
      <c r="D444" s="413" t="s">
        <v>123</v>
      </c>
      <c r="E444" s="384">
        <v>1</v>
      </c>
      <c r="F444" s="482" t="s">
        <v>3547</v>
      </c>
      <c r="G444" s="486" t="s">
        <v>5606</v>
      </c>
      <c r="H444" s="593" t="s">
        <v>3548</v>
      </c>
      <c r="I444" s="634" t="s">
        <v>6215</v>
      </c>
      <c r="J444" s="1242"/>
      <c r="K444" s="1331"/>
    </row>
    <row r="445" spans="1:11">
      <c r="A445" s="428" t="s">
        <v>8879</v>
      </c>
      <c r="B445" s="570" t="s">
        <v>8881</v>
      </c>
      <c r="C445" s="631" t="s">
        <v>6268</v>
      </c>
      <c r="D445" s="413" t="s">
        <v>123</v>
      </c>
      <c r="E445" s="384">
        <v>1</v>
      </c>
      <c r="F445" s="482" t="s">
        <v>3549</v>
      </c>
      <c r="G445" s="486" t="s">
        <v>5607</v>
      </c>
      <c r="H445" s="593" t="s">
        <v>3550</v>
      </c>
      <c r="I445" s="634" t="s">
        <v>6215</v>
      </c>
      <c r="J445" s="1242"/>
      <c r="K445" s="1331"/>
    </row>
    <row r="446" spans="1:11">
      <c r="A446" s="428" t="s">
        <v>8879</v>
      </c>
      <c r="B446" s="570" t="s">
        <v>8881</v>
      </c>
      <c r="C446" s="631" t="s">
        <v>6268</v>
      </c>
      <c r="D446" s="413" t="s">
        <v>123</v>
      </c>
      <c r="E446" s="384">
        <v>1</v>
      </c>
      <c r="F446" s="482" t="s">
        <v>3551</v>
      </c>
      <c r="G446" s="486" t="s">
        <v>5608</v>
      </c>
      <c r="H446" s="593" t="s">
        <v>3552</v>
      </c>
      <c r="I446" s="634" t="s">
        <v>6215</v>
      </c>
      <c r="J446" s="1242"/>
      <c r="K446" s="1331"/>
    </row>
    <row r="447" spans="1:11">
      <c r="A447" s="428" t="s">
        <v>8879</v>
      </c>
      <c r="B447" s="570" t="s">
        <v>8881</v>
      </c>
      <c r="C447" s="631" t="s">
        <v>6268</v>
      </c>
      <c r="D447" s="413" t="s">
        <v>123</v>
      </c>
      <c r="E447" s="384">
        <v>1</v>
      </c>
      <c r="F447" s="482" t="s">
        <v>3553</v>
      </c>
      <c r="G447" s="486" t="s">
        <v>5609</v>
      </c>
      <c r="H447" s="593" t="s">
        <v>3554</v>
      </c>
      <c r="I447" s="634" t="s">
        <v>6215</v>
      </c>
      <c r="J447" s="1242"/>
      <c r="K447" s="1331"/>
    </row>
    <row r="448" spans="1:11">
      <c r="A448" s="428" t="s">
        <v>8879</v>
      </c>
      <c r="B448" s="570" t="s">
        <v>8881</v>
      </c>
      <c r="C448" s="631" t="s">
        <v>6268</v>
      </c>
      <c r="D448" s="413" t="s">
        <v>123</v>
      </c>
      <c r="E448" s="384">
        <v>1</v>
      </c>
      <c r="F448" s="482" t="s">
        <v>3555</v>
      </c>
      <c r="G448" s="486" t="s">
        <v>5610</v>
      </c>
      <c r="H448" s="593" t="s">
        <v>3556</v>
      </c>
      <c r="I448" s="634" t="s">
        <v>6215</v>
      </c>
      <c r="J448" s="1242"/>
      <c r="K448" s="1331"/>
    </row>
    <row r="449" spans="1:11">
      <c r="A449" s="428" t="s">
        <v>8879</v>
      </c>
      <c r="B449" s="570" t="s">
        <v>8881</v>
      </c>
      <c r="C449" s="631" t="s">
        <v>6268</v>
      </c>
      <c r="D449" s="413" t="s">
        <v>123</v>
      </c>
      <c r="E449" s="384">
        <v>1</v>
      </c>
      <c r="F449" s="482">
        <v>39</v>
      </c>
      <c r="G449" s="486" t="s">
        <v>5611</v>
      </c>
      <c r="H449" s="593" t="s">
        <v>3557</v>
      </c>
      <c r="I449" s="634" t="s">
        <v>6215</v>
      </c>
      <c r="J449" s="1242"/>
      <c r="K449" s="1331"/>
    </row>
    <row r="450" spans="1:11">
      <c r="A450" s="428" t="s">
        <v>8879</v>
      </c>
      <c r="B450" s="570" t="s">
        <v>8881</v>
      </c>
      <c r="C450" s="631" t="s">
        <v>6268</v>
      </c>
      <c r="D450" s="413" t="s">
        <v>123</v>
      </c>
      <c r="E450" s="384">
        <v>1</v>
      </c>
      <c r="F450" s="482">
        <v>41</v>
      </c>
      <c r="G450" s="486" t="s">
        <v>5612</v>
      </c>
      <c r="H450" s="593" t="s">
        <v>3558</v>
      </c>
      <c r="I450" s="634" t="s">
        <v>6215</v>
      </c>
      <c r="J450" s="1242"/>
      <c r="K450" s="1331"/>
    </row>
    <row r="451" spans="1:11">
      <c r="A451" s="428" t="s">
        <v>8879</v>
      </c>
      <c r="B451" s="570" t="s">
        <v>8881</v>
      </c>
      <c r="C451" s="631" t="s">
        <v>6268</v>
      </c>
      <c r="D451" s="413" t="s">
        <v>123</v>
      </c>
      <c r="E451" s="384">
        <v>1</v>
      </c>
      <c r="F451" s="482" t="s">
        <v>3559</v>
      </c>
      <c r="G451" s="486" t="s">
        <v>5613</v>
      </c>
      <c r="H451" s="593" t="s">
        <v>3560</v>
      </c>
      <c r="I451" s="634" t="s">
        <v>6215</v>
      </c>
      <c r="J451" s="1242"/>
      <c r="K451" s="1331"/>
    </row>
    <row r="452" spans="1:11">
      <c r="A452" s="428" t="s">
        <v>8879</v>
      </c>
      <c r="B452" s="570" t="s">
        <v>8881</v>
      </c>
      <c r="C452" s="631" t="s">
        <v>6268</v>
      </c>
      <c r="D452" s="413" t="s">
        <v>123</v>
      </c>
      <c r="E452" s="384">
        <v>1</v>
      </c>
      <c r="F452" s="482" t="s">
        <v>3561</v>
      </c>
      <c r="G452" s="486" t="s">
        <v>5614</v>
      </c>
      <c r="H452" s="593" t="s">
        <v>3562</v>
      </c>
      <c r="I452" s="634" t="s">
        <v>6215</v>
      </c>
      <c r="J452" s="1242"/>
      <c r="K452" s="1331"/>
    </row>
    <row r="453" spans="1:11">
      <c r="A453" s="428" t="s">
        <v>8879</v>
      </c>
      <c r="B453" s="570" t="s">
        <v>8881</v>
      </c>
      <c r="C453" s="631" t="s">
        <v>6268</v>
      </c>
      <c r="D453" s="413" t="s">
        <v>123</v>
      </c>
      <c r="E453" s="384">
        <v>1</v>
      </c>
      <c r="F453" s="482">
        <v>42</v>
      </c>
      <c r="G453" s="486" t="s">
        <v>5615</v>
      </c>
      <c r="H453" s="593" t="s">
        <v>3563</v>
      </c>
      <c r="I453" s="634" t="s">
        <v>6215</v>
      </c>
      <c r="J453" s="1242"/>
      <c r="K453" s="1331"/>
    </row>
    <row r="454" spans="1:11">
      <c r="A454" s="428" t="s">
        <v>8879</v>
      </c>
      <c r="B454" s="570" t="s">
        <v>8881</v>
      </c>
      <c r="C454" s="631" t="s">
        <v>6268</v>
      </c>
      <c r="D454" s="413" t="s">
        <v>123</v>
      </c>
      <c r="E454" s="384">
        <v>1</v>
      </c>
      <c r="F454" s="482" t="s">
        <v>3564</v>
      </c>
      <c r="G454" s="486" t="s">
        <v>5616</v>
      </c>
      <c r="H454" s="593" t="s">
        <v>3565</v>
      </c>
      <c r="I454" s="634" t="s">
        <v>6215</v>
      </c>
      <c r="J454" s="1242"/>
      <c r="K454" s="1331"/>
    </row>
    <row r="455" spans="1:11">
      <c r="A455" s="428" t="s">
        <v>8879</v>
      </c>
      <c r="B455" s="570" t="s">
        <v>8881</v>
      </c>
      <c r="C455" s="631" t="s">
        <v>6268</v>
      </c>
      <c r="D455" s="413" t="s">
        <v>123</v>
      </c>
      <c r="E455" s="384">
        <v>1</v>
      </c>
      <c r="F455" s="482" t="s">
        <v>3566</v>
      </c>
      <c r="G455" s="486" t="s">
        <v>5617</v>
      </c>
      <c r="H455" s="593" t="s">
        <v>3567</v>
      </c>
      <c r="I455" s="634" t="s">
        <v>6215</v>
      </c>
      <c r="J455" s="1242"/>
      <c r="K455" s="1331"/>
    </row>
    <row r="456" spans="1:11">
      <c r="A456" s="428" t="s">
        <v>8879</v>
      </c>
      <c r="B456" s="570" t="s">
        <v>8881</v>
      </c>
      <c r="C456" s="631" t="s">
        <v>6268</v>
      </c>
      <c r="D456" s="413" t="s">
        <v>123</v>
      </c>
      <c r="E456" s="384">
        <v>1</v>
      </c>
      <c r="F456" s="482" t="s">
        <v>3568</v>
      </c>
      <c r="G456" s="486" t="s">
        <v>5618</v>
      </c>
      <c r="H456" s="593" t="s">
        <v>3569</v>
      </c>
      <c r="I456" s="634" t="s">
        <v>6215</v>
      </c>
      <c r="J456" s="1242"/>
      <c r="K456" s="1331"/>
    </row>
    <row r="457" spans="1:11">
      <c r="A457" s="428" t="s">
        <v>8879</v>
      </c>
      <c r="B457" s="570" t="s">
        <v>8881</v>
      </c>
      <c r="C457" s="631" t="s">
        <v>6268</v>
      </c>
      <c r="D457" s="413" t="s">
        <v>123</v>
      </c>
      <c r="E457" s="384">
        <v>1</v>
      </c>
      <c r="F457" s="482" t="s">
        <v>3570</v>
      </c>
      <c r="G457" s="486" t="s">
        <v>5619</v>
      </c>
      <c r="H457" s="593" t="s">
        <v>3571</v>
      </c>
      <c r="I457" s="634" t="s">
        <v>6215</v>
      </c>
      <c r="J457" s="1242"/>
      <c r="K457" s="1331"/>
    </row>
    <row r="458" spans="1:11">
      <c r="A458" s="428" t="s">
        <v>8879</v>
      </c>
      <c r="B458" s="570" t="s">
        <v>8881</v>
      </c>
      <c r="C458" s="631" t="s">
        <v>6268</v>
      </c>
      <c r="D458" s="413" t="s">
        <v>123</v>
      </c>
      <c r="E458" s="384">
        <v>1</v>
      </c>
      <c r="F458" s="482" t="s">
        <v>3572</v>
      </c>
      <c r="G458" s="486" t="s">
        <v>5620</v>
      </c>
      <c r="H458" s="593" t="s">
        <v>3573</v>
      </c>
      <c r="I458" s="634" t="s">
        <v>6215</v>
      </c>
      <c r="J458" s="1242"/>
      <c r="K458" s="1331"/>
    </row>
    <row r="459" spans="1:11">
      <c r="A459" s="428" t="s">
        <v>8879</v>
      </c>
      <c r="B459" s="570" t="s">
        <v>8881</v>
      </c>
      <c r="C459" s="631" t="s">
        <v>6268</v>
      </c>
      <c r="D459" s="413" t="s">
        <v>123</v>
      </c>
      <c r="E459" s="384">
        <v>1</v>
      </c>
      <c r="F459" s="482" t="s">
        <v>3574</v>
      </c>
      <c r="G459" s="486" t="s">
        <v>5621</v>
      </c>
      <c r="H459" s="593" t="s">
        <v>3575</v>
      </c>
      <c r="I459" s="634" t="s">
        <v>6215</v>
      </c>
      <c r="J459" s="1242"/>
      <c r="K459" s="1331"/>
    </row>
    <row r="460" spans="1:11">
      <c r="A460" s="428" t="s">
        <v>8879</v>
      </c>
      <c r="B460" s="570" t="s">
        <v>8881</v>
      </c>
      <c r="C460" s="631" t="s">
        <v>6268</v>
      </c>
      <c r="D460" s="413" t="s">
        <v>123</v>
      </c>
      <c r="E460" s="384">
        <v>1</v>
      </c>
      <c r="F460" s="482" t="s">
        <v>3576</v>
      </c>
      <c r="G460" s="486" t="s">
        <v>5622</v>
      </c>
      <c r="H460" s="593" t="s">
        <v>3577</v>
      </c>
      <c r="I460" s="634" t="s">
        <v>6215</v>
      </c>
      <c r="J460" s="1242"/>
      <c r="K460" s="1331"/>
    </row>
    <row r="461" spans="1:11">
      <c r="A461" s="428" t="s">
        <v>8879</v>
      </c>
      <c r="B461" s="570" t="s">
        <v>8881</v>
      </c>
      <c r="C461" s="631" t="s">
        <v>6268</v>
      </c>
      <c r="D461" s="413" t="s">
        <v>123</v>
      </c>
      <c r="E461" s="384">
        <v>1</v>
      </c>
      <c r="F461" s="482" t="s">
        <v>3578</v>
      </c>
      <c r="G461" s="486" t="s">
        <v>5623</v>
      </c>
      <c r="H461" s="593" t="s">
        <v>3579</v>
      </c>
      <c r="I461" s="634" t="s">
        <v>6215</v>
      </c>
      <c r="J461" s="1242"/>
      <c r="K461" s="1331"/>
    </row>
    <row r="462" spans="1:11">
      <c r="A462" s="428" t="s">
        <v>8879</v>
      </c>
      <c r="B462" s="570" t="s">
        <v>8881</v>
      </c>
      <c r="C462" s="631" t="s">
        <v>6268</v>
      </c>
      <c r="D462" s="413" t="s">
        <v>123</v>
      </c>
      <c r="E462" s="384">
        <v>1</v>
      </c>
      <c r="F462" s="482" t="s">
        <v>3580</v>
      </c>
      <c r="G462" s="486" t="s">
        <v>5624</v>
      </c>
      <c r="H462" s="593" t="s">
        <v>3581</v>
      </c>
      <c r="I462" s="634" t="s">
        <v>6215</v>
      </c>
      <c r="J462" s="1242"/>
      <c r="K462" s="1331"/>
    </row>
    <row r="463" spans="1:11">
      <c r="A463" s="428" t="s">
        <v>8879</v>
      </c>
      <c r="B463" s="570" t="s">
        <v>8881</v>
      </c>
      <c r="C463" s="631" t="s">
        <v>6268</v>
      </c>
      <c r="D463" s="413" t="s">
        <v>123</v>
      </c>
      <c r="E463" s="384">
        <v>1</v>
      </c>
      <c r="F463" s="482" t="s">
        <v>3582</v>
      </c>
      <c r="G463" s="486" t="s">
        <v>5625</v>
      </c>
      <c r="H463" s="593" t="s">
        <v>3583</v>
      </c>
      <c r="I463" s="634" t="s">
        <v>6215</v>
      </c>
      <c r="J463" s="1242"/>
      <c r="K463" s="1331"/>
    </row>
    <row r="464" spans="1:11">
      <c r="A464" s="428" t="s">
        <v>8879</v>
      </c>
      <c r="B464" s="570" t="s">
        <v>8881</v>
      </c>
      <c r="C464" s="631" t="s">
        <v>6268</v>
      </c>
      <c r="D464" s="413" t="s">
        <v>123</v>
      </c>
      <c r="E464" s="384">
        <v>1</v>
      </c>
      <c r="F464" s="482">
        <v>43</v>
      </c>
      <c r="G464" s="486" t="s">
        <v>5626</v>
      </c>
      <c r="H464" s="593" t="s">
        <v>3584</v>
      </c>
      <c r="I464" s="634" t="s">
        <v>6215</v>
      </c>
      <c r="J464" s="1242"/>
      <c r="K464" s="1331"/>
    </row>
    <row r="465" spans="1:11">
      <c r="A465" s="428" t="s">
        <v>8879</v>
      </c>
      <c r="B465" s="570" t="s">
        <v>8881</v>
      </c>
      <c r="C465" s="631" t="s">
        <v>6268</v>
      </c>
      <c r="D465" s="413" t="s">
        <v>123</v>
      </c>
      <c r="E465" s="384">
        <v>1</v>
      </c>
      <c r="F465" s="482" t="s">
        <v>3585</v>
      </c>
      <c r="G465" s="486" t="s">
        <v>5627</v>
      </c>
      <c r="H465" s="593" t="s">
        <v>3586</v>
      </c>
      <c r="I465" s="634" t="s">
        <v>6215</v>
      </c>
      <c r="J465" s="1242"/>
      <c r="K465" s="1331"/>
    </row>
    <row r="466" spans="1:11">
      <c r="A466" s="428" t="s">
        <v>8879</v>
      </c>
      <c r="B466" s="570" t="s">
        <v>8881</v>
      </c>
      <c r="C466" s="631" t="s">
        <v>6268</v>
      </c>
      <c r="D466" s="413" t="s">
        <v>123</v>
      </c>
      <c r="E466" s="384">
        <v>1</v>
      </c>
      <c r="F466" s="482" t="s">
        <v>3587</v>
      </c>
      <c r="G466" s="486" t="s">
        <v>5628</v>
      </c>
      <c r="H466" s="593" t="s">
        <v>3588</v>
      </c>
      <c r="I466" s="634" t="s">
        <v>6215</v>
      </c>
      <c r="J466" s="1242"/>
      <c r="K466" s="1331"/>
    </row>
    <row r="467" spans="1:11">
      <c r="A467" s="428" t="s">
        <v>8879</v>
      </c>
      <c r="B467" s="570" t="s">
        <v>8881</v>
      </c>
      <c r="C467" s="631" t="s">
        <v>6268</v>
      </c>
      <c r="D467" s="413" t="s">
        <v>123</v>
      </c>
      <c r="E467" s="384">
        <v>1</v>
      </c>
      <c r="F467" s="482" t="s">
        <v>3589</v>
      </c>
      <c r="G467" s="486" t="s">
        <v>5629</v>
      </c>
      <c r="H467" s="593" t="s">
        <v>3590</v>
      </c>
      <c r="I467" s="634" t="s">
        <v>6215</v>
      </c>
      <c r="J467" s="1242"/>
      <c r="K467" s="1331"/>
    </row>
    <row r="468" spans="1:11">
      <c r="A468" s="428" t="s">
        <v>8879</v>
      </c>
      <c r="B468" s="570" t="s">
        <v>8881</v>
      </c>
      <c r="C468" s="631" t="s">
        <v>6268</v>
      </c>
      <c r="D468" s="413" t="s">
        <v>123</v>
      </c>
      <c r="E468" s="384">
        <v>1</v>
      </c>
      <c r="F468" s="482" t="s">
        <v>3591</v>
      </c>
      <c r="G468" s="486" t="s">
        <v>5630</v>
      </c>
      <c r="H468" s="593" t="s">
        <v>3592</v>
      </c>
      <c r="I468" s="634" t="s">
        <v>6215</v>
      </c>
      <c r="J468" s="1242"/>
      <c r="K468" s="1331"/>
    </row>
    <row r="469" spans="1:11">
      <c r="A469" s="428" t="s">
        <v>8879</v>
      </c>
      <c r="B469" s="570" t="s">
        <v>8881</v>
      </c>
      <c r="C469" s="631" t="s">
        <v>6268</v>
      </c>
      <c r="D469" s="413" t="s">
        <v>123</v>
      </c>
      <c r="E469" s="384">
        <v>1</v>
      </c>
      <c r="F469" s="482" t="s">
        <v>3593</v>
      </c>
      <c r="G469" s="486" t="s">
        <v>5631</v>
      </c>
      <c r="H469" s="593" t="s">
        <v>3594</v>
      </c>
      <c r="I469" s="634" t="s">
        <v>6215</v>
      </c>
      <c r="J469" s="1242"/>
      <c r="K469" s="1331"/>
    </row>
    <row r="470" spans="1:11">
      <c r="A470" s="428" t="s">
        <v>8879</v>
      </c>
      <c r="B470" s="570" t="s">
        <v>8881</v>
      </c>
      <c r="C470" s="631" t="s">
        <v>6268</v>
      </c>
      <c r="D470" s="413" t="s">
        <v>123</v>
      </c>
      <c r="E470" s="384">
        <v>1</v>
      </c>
      <c r="F470" s="482" t="s">
        <v>3595</v>
      </c>
      <c r="G470" s="486" t="s">
        <v>5632</v>
      </c>
      <c r="H470" s="593" t="s">
        <v>3596</v>
      </c>
      <c r="I470" s="634" t="s">
        <v>6215</v>
      </c>
      <c r="J470" s="1242"/>
      <c r="K470" s="1331"/>
    </row>
    <row r="471" spans="1:11">
      <c r="A471" s="428" t="s">
        <v>8879</v>
      </c>
      <c r="B471" s="570" t="s">
        <v>8881</v>
      </c>
      <c r="C471" s="631" t="s">
        <v>6268</v>
      </c>
      <c r="D471" s="413" t="s">
        <v>123</v>
      </c>
      <c r="E471" s="384">
        <v>1</v>
      </c>
      <c r="F471" s="482" t="s">
        <v>3597</v>
      </c>
      <c r="G471" s="486" t="s">
        <v>5633</v>
      </c>
      <c r="H471" s="593" t="s">
        <v>3598</v>
      </c>
      <c r="I471" s="634" t="s">
        <v>6215</v>
      </c>
      <c r="J471" s="1242"/>
      <c r="K471" s="1331"/>
    </row>
    <row r="472" spans="1:11">
      <c r="A472" s="428" t="s">
        <v>8879</v>
      </c>
      <c r="B472" s="570" t="s">
        <v>8881</v>
      </c>
      <c r="C472" s="631" t="s">
        <v>6268</v>
      </c>
      <c r="D472" s="413" t="s">
        <v>123</v>
      </c>
      <c r="E472" s="384">
        <v>1</v>
      </c>
      <c r="F472" s="482" t="s">
        <v>3599</v>
      </c>
      <c r="G472" s="486" t="s">
        <v>5634</v>
      </c>
      <c r="H472" s="593" t="s">
        <v>3600</v>
      </c>
      <c r="I472" s="634" t="s">
        <v>6215</v>
      </c>
      <c r="J472" s="1242"/>
      <c r="K472" s="1331"/>
    </row>
    <row r="473" spans="1:11">
      <c r="A473" s="428" t="s">
        <v>8879</v>
      </c>
      <c r="B473" s="570" t="s">
        <v>8881</v>
      </c>
      <c r="C473" s="631" t="s">
        <v>6268</v>
      </c>
      <c r="D473" s="413" t="s">
        <v>123</v>
      </c>
      <c r="E473" s="384">
        <v>1</v>
      </c>
      <c r="F473" s="482" t="s">
        <v>3601</v>
      </c>
      <c r="G473" s="486" t="s">
        <v>5635</v>
      </c>
      <c r="H473" s="593" t="s">
        <v>3602</v>
      </c>
      <c r="I473" s="634" t="s">
        <v>6215</v>
      </c>
      <c r="J473" s="1242"/>
      <c r="K473" s="1331"/>
    </row>
    <row r="474" spans="1:11">
      <c r="A474" s="428" t="s">
        <v>8879</v>
      </c>
      <c r="B474" s="570" t="s">
        <v>8881</v>
      </c>
      <c r="C474" s="631" t="s">
        <v>6268</v>
      </c>
      <c r="D474" s="413" t="s">
        <v>123</v>
      </c>
      <c r="E474" s="384">
        <v>1</v>
      </c>
      <c r="F474" s="482" t="s">
        <v>3603</v>
      </c>
      <c r="G474" s="486" t="s">
        <v>5636</v>
      </c>
      <c r="H474" s="593" t="s">
        <v>3604</v>
      </c>
      <c r="I474" s="634" t="s">
        <v>6215</v>
      </c>
      <c r="J474" s="1242"/>
      <c r="K474" s="1331"/>
    </row>
    <row r="475" spans="1:11">
      <c r="A475" s="428" t="s">
        <v>8879</v>
      </c>
      <c r="B475" s="570" t="s">
        <v>8881</v>
      </c>
      <c r="C475" s="631" t="s">
        <v>6268</v>
      </c>
      <c r="D475" s="413" t="s">
        <v>123</v>
      </c>
      <c r="E475" s="384">
        <v>1</v>
      </c>
      <c r="F475" s="482" t="s">
        <v>3605</v>
      </c>
      <c r="G475" s="486" t="s">
        <v>5637</v>
      </c>
      <c r="H475" s="593" t="s">
        <v>3606</v>
      </c>
      <c r="I475" s="634" t="s">
        <v>6215</v>
      </c>
      <c r="J475" s="1242"/>
      <c r="K475" s="1331"/>
    </row>
    <row r="476" spans="1:11">
      <c r="A476" s="428" t="s">
        <v>8879</v>
      </c>
      <c r="B476" s="570" t="s">
        <v>8881</v>
      </c>
      <c r="C476" s="631" t="s">
        <v>6268</v>
      </c>
      <c r="D476" s="413" t="s">
        <v>123</v>
      </c>
      <c r="E476" s="384">
        <v>1</v>
      </c>
      <c r="F476" s="482" t="s">
        <v>3607</v>
      </c>
      <c r="G476" s="486" t="s">
        <v>5638</v>
      </c>
      <c r="H476" s="593" t="s">
        <v>3608</v>
      </c>
      <c r="I476" s="634" t="s">
        <v>6215</v>
      </c>
      <c r="J476" s="1242"/>
      <c r="K476" s="1331"/>
    </row>
    <row r="477" spans="1:11">
      <c r="A477" s="428" t="s">
        <v>8879</v>
      </c>
      <c r="B477" s="570" t="s">
        <v>8881</v>
      </c>
      <c r="C477" s="631" t="s">
        <v>6268</v>
      </c>
      <c r="D477" s="413" t="s">
        <v>123</v>
      </c>
      <c r="E477" s="384">
        <v>1</v>
      </c>
      <c r="F477" s="482" t="s">
        <v>3609</v>
      </c>
      <c r="G477" s="486" t="s">
        <v>5639</v>
      </c>
      <c r="H477" s="593" t="s">
        <v>3610</v>
      </c>
      <c r="I477" s="634" t="s">
        <v>6215</v>
      </c>
      <c r="J477" s="1242"/>
      <c r="K477" s="1331"/>
    </row>
    <row r="478" spans="1:11">
      <c r="A478" s="428" t="s">
        <v>8879</v>
      </c>
      <c r="B478" s="570" t="s">
        <v>8881</v>
      </c>
      <c r="C478" s="631" t="s">
        <v>6268</v>
      </c>
      <c r="D478" s="413" t="s">
        <v>123</v>
      </c>
      <c r="E478" s="384">
        <v>1</v>
      </c>
      <c r="F478" s="482" t="s">
        <v>3611</v>
      </c>
      <c r="G478" s="486" t="s">
        <v>5640</v>
      </c>
      <c r="H478" s="593" t="s">
        <v>3612</v>
      </c>
      <c r="I478" s="634" t="s">
        <v>6215</v>
      </c>
      <c r="J478" s="1242"/>
      <c r="K478" s="1331"/>
    </row>
    <row r="479" spans="1:11">
      <c r="A479" s="428" t="s">
        <v>8879</v>
      </c>
      <c r="B479" s="570" t="s">
        <v>8881</v>
      </c>
      <c r="C479" s="631" t="s">
        <v>6268</v>
      </c>
      <c r="D479" s="413" t="s">
        <v>123</v>
      </c>
      <c r="E479" s="384">
        <v>1</v>
      </c>
      <c r="F479" s="482" t="s">
        <v>3613</v>
      </c>
      <c r="G479" s="486" t="s">
        <v>5641</v>
      </c>
      <c r="H479" s="593" t="s">
        <v>3614</v>
      </c>
      <c r="I479" s="634" t="s">
        <v>6215</v>
      </c>
      <c r="J479" s="1242"/>
      <c r="K479" s="1331"/>
    </row>
    <row r="480" spans="1:11">
      <c r="A480" s="428" t="s">
        <v>8879</v>
      </c>
      <c r="B480" s="570" t="s">
        <v>8881</v>
      </c>
      <c r="C480" s="631" t="s">
        <v>6268</v>
      </c>
      <c r="D480" s="413" t="s">
        <v>123</v>
      </c>
      <c r="E480" s="384">
        <v>1</v>
      </c>
      <c r="F480" s="482" t="s">
        <v>3615</v>
      </c>
      <c r="G480" s="486" t="s">
        <v>5642</v>
      </c>
      <c r="H480" s="593" t="s">
        <v>3616</v>
      </c>
      <c r="I480" s="634" t="s">
        <v>6215</v>
      </c>
      <c r="J480" s="1242"/>
      <c r="K480" s="1331"/>
    </row>
    <row r="481" spans="1:11">
      <c r="A481" s="428" t="s">
        <v>8879</v>
      </c>
      <c r="B481" s="570" t="s">
        <v>8881</v>
      </c>
      <c r="C481" s="631" t="s">
        <v>6268</v>
      </c>
      <c r="D481" s="413" t="s">
        <v>123</v>
      </c>
      <c r="E481" s="384">
        <v>1</v>
      </c>
      <c r="F481" s="482" t="s">
        <v>3617</v>
      </c>
      <c r="G481" s="486" t="s">
        <v>5643</v>
      </c>
      <c r="H481" s="593" t="s">
        <v>3618</v>
      </c>
      <c r="I481" s="634" t="s">
        <v>6215</v>
      </c>
      <c r="J481" s="1242"/>
      <c r="K481" s="1331"/>
    </row>
    <row r="482" spans="1:11">
      <c r="A482" s="428" t="s">
        <v>8879</v>
      </c>
      <c r="B482" s="570" t="s">
        <v>8881</v>
      </c>
      <c r="C482" s="631" t="s">
        <v>6268</v>
      </c>
      <c r="D482" s="413" t="s">
        <v>123</v>
      </c>
      <c r="E482" s="384">
        <v>1</v>
      </c>
      <c r="F482" s="482">
        <v>45</v>
      </c>
      <c r="G482" s="486" t="s">
        <v>5644</v>
      </c>
      <c r="H482" s="593" t="s">
        <v>3619</v>
      </c>
      <c r="I482" s="634" t="s">
        <v>6215</v>
      </c>
      <c r="J482" s="1242"/>
      <c r="K482" s="1331"/>
    </row>
    <row r="483" spans="1:11">
      <c r="A483" s="428" t="s">
        <v>8879</v>
      </c>
      <c r="B483" s="570" t="s">
        <v>8881</v>
      </c>
      <c r="C483" s="631" t="s">
        <v>6268</v>
      </c>
      <c r="D483" s="413" t="s">
        <v>123</v>
      </c>
      <c r="E483" s="384">
        <v>1</v>
      </c>
      <c r="F483" s="482" t="s">
        <v>3620</v>
      </c>
      <c r="G483" s="486" t="s">
        <v>5645</v>
      </c>
      <c r="H483" s="593" t="s">
        <v>3621</v>
      </c>
      <c r="I483" s="634" t="s">
        <v>6215</v>
      </c>
      <c r="J483" s="1242"/>
      <c r="K483" s="1331"/>
    </row>
    <row r="484" spans="1:11">
      <c r="A484" s="428" t="s">
        <v>8879</v>
      </c>
      <c r="B484" s="570" t="s">
        <v>8881</v>
      </c>
      <c r="C484" s="631" t="s">
        <v>6268</v>
      </c>
      <c r="D484" s="413" t="s">
        <v>123</v>
      </c>
      <c r="E484" s="384">
        <v>1</v>
      </c>
      <c r="F484" s="482" t="s">
        <v>3622</v>
      </c>
      <c r="G484" s="486" t="s">
        <v>5646</v>
      </c>
      <c r="H484" s="593" t="s">
        <v>3623</v>
      </c>
      <c r="I484" s="634" t="s">
        <v>6215</v>
      </c>
      <c r="J484" s="1242"/>
      <c r="K484" s="1331"/>
    </row>
    <row r="485" spans="1:11">
      <c r="A485" s="428" t="s">
        <v>8879</v>
      </c>
      <c r="B485" s="570" t="s">
        <v>8881</v>
      </c>
      <c r="C485" s="631" t="s">
        <v>6268</v>
      </c>
      <c r="D485" s="413" t="s">
        <v>123</v>
      </c>
      <c r="E485" s="384">
        <v>1</v>
      </c>
      <c r="F485" s="482" t="s">
        <v>3624</v>
      </c>
      <c r="G485" s="486" t="s">
        <v>5647</v>
      </c>
      <c r="H485" s="593" t="s">
        <v>3625</v>
      </c>
      <c r="I485" s="634" t="s">
        <v>6215</v>
      </c>
      <c r="J485" s="1242"/>
      <c r="K485" s="1331"/>
    </row>
    <row r="486" spans="1:11">
      <c r="A486" s="428" t="s">
        <v>8879</v>
      </c>
      <c r="B486" s="570" t="s">
        <v>8881</v>
      </c>
      <c r="C486" s="631" t="s">
        <v>6268</v>
      </c>
      <c r="D486" s="413" t="s">
        <v>123</v>
      </c>
      <c r="E486" s="384">
        <v>1</v>
      </c>
      <c r="F486" s="482" t="s">
        <v>3626</v>
      </c>
      <c r="G486" s="486" t="s">
        <v>5648</v>
      </c>
      <c r="H486" s="593" t="s">
        <v>3627</v>
      </c>
      <c r="I486" s="634" t="s">
        <v>6215</v>
      </c>
      <c r="J486" s="1242"/>
      <c r="K486" s="1331"/>
    </row>
    <row r="487" spans="1:11">
      <c r="A487" s="428" t="s">
        <v>8879</v>
      </c>
      <c r="B487" s="570" t="s">
        <v>8881</v>
      </c>
      <c r="C487" s="631" t="s">
        <v>6268</v>
      </c>
      <c r="D487" s="413" t="s">
        <v>123</v>
      </c>
      <c r="E487" s="384">
        <v>1</v>
      </c>
      <c r="F487" s="482" t="s">
        <v>3628</v>
      </c>
      <c r="G487" s="486" t="s">
        <v>5649</v>
      </c>
      <c r="H487" s="593" t="s">
        <v>3629</v>
      </c>
      <c r="I487" s="634" t="s">
        <v>6215</v>
      </c>
      <c r="J487" s="1242"/>
      <c r="K487" s="1331"/>
    </row>
    <row r="488" spans="1:11">
      <c r="A488" s="428" t="s">
        <v>8879</v>
      </c>
      <c r="B488" s="570" t="s">
        <v>8881</v>
      </c>
      <c r="C488" s="631" t="s">
        <v>6268</v>
      </c>
      <c r="D488" s="413" t="s">
        <v>123</v>
      </c>
      <c r="E488" s="384">
        <v>1</v>
      </c>
      <c r="F488" s="482" t="s">
        <v>3630</v>
      </c>
      <c r="G488" s="486" t="s">
        <v>5650</v>
      </c>
      <c r="H488" s="593" t="s">
        <v>3631</v>
      </c>
      <c r="I488" s="634" t="s">
        <v>6215</v>
      </c>
      <c r="J488" s="1242"/>
      <c r="K488" s="1331"/>
    </row>
    <row r="489" spans="1:11">
      <c r="A489" s="428" t="s">
        <v>8879</v>
      </c>
      <c r="B489" s="570" t="s">
        <v>8881</v>
      </c>
      <c r="C489" s="631" t="s">
        <v>6268</v>
      </c>
      <c r="D489" s="413" t="s">
        <v>123</v>
      </c>
      <c r="E489" s="384">
        <v>1</v>
      </c>
      <c r="F489" s="482" t="s">
        <v>3632</v>
      </c>
      <c r="G489" s="486" t="s">
        <v>5651</v>
      </c>
      <c r="H489" s="593" t="s">
        <v>3633</v>
      </c>
      <c r="I489" s="634" t="s">
        <v>6215</v>
      </c>
      <c r="J489" s="1242"/>
      <c r="K489" s="1331"/>
    </row>
    <row r="490" spans="1:11">
      <c r="A490" s="428" t="s">
        <v>8879</v>
      </c>
      <c r="B490" s="570" t="s">
        <v>8881</v>
      </c>
      <c r="C490" s="631" t="s">
        <v>6268</v>
      </c>
      <c r="D490" s="413" t="s">
        <v>123</v>
      </c>
      <c r="E490" s="384">
        <v>1</v>
      </c>
      <c r="F490" s="482" t="s">
        <v>3634</v>
      </c>
      <c r="G490" s="486" t="s">
        <v>5652</v>
      </c>
      <c r="H490" s="593" t="s">
        <v>3635</v>
      </c>
      <c r="I490" s="634" t="s">
        <v>6215</v>
      </c>
      <c r="J490" s="1242"/>
      <c r="K490" s="1331"/>
    </row>
    <row r="491" spans="1:11">
      <c r="A491" s="428" t="s">
        <v>8879</v>
      </c>
      <c r="B491" s="570" t="s">
        <v>8881</v>
      </c>
      <c r="C491" s="631" t="s">
        <v>6268</v>
      </c>
      <c r="D491" s="413" t="s">
        <v>123</v>
      </c>
      <c r="E491" s="384">
        <v>1</v>
      </c>
      <c r="F491" s="482">
        <v>46</v>
      </c>
      <c r="G491" s="486" t="s">
        <v>5653</v>
      </c>
      <c r="H491" s="593" t="s">
        <v>3636</v>
      </c>
      <c r="I491" s="634" t="s">
        <v>6215</v>
      </c>
      <c r="J491" s="1242"/>
      <c r="K491" s="1331"/>
    </row>
    <row r="492" spans="1:11">
      <c r="A492" s="428" t="s">
        <v>8879</v>
      </c>
      <c r="B492" s="570" t="s">
        <v>8881</v>
      </c>
      <c r="C492" s="631" t="s">
        <v>6268</v>
      </c>
      <c r="D492" s="413" t="s">
        <v>123</v>
      </c>
      <c r="E492" s="384">
        <v>1</v>
      </c>
      <c r="F492" s="482" t="s">
        <v>3637</v>
      </c>
      <c r="G492" s="486" t="s">
        <v>5654</v>
      </c>
      <c r="H492" s="593" t="s">
        <v>3638</v>
      </c>
      <c r="I492" s="634" t="s">
        <v>6215</v>
      </c>
      <c r="J492" s="1242"/>
      <c r="K492" s="1331"/>
    </row>
    <row r="493" spans="1:11">
      <c r="A493" s="428" t="s">
        <v>8879</v>
      </c>
      <c r="B493" s="570" t="s">
        <v>8881</v>
      </c>
      <c r="C493" s="631" t="s">
        <v>6268</v>
      </c>
      <c r="D493" s="413" t="s">
        <v>123</v>
      </c>
      <c r="E493" s="384">
        <v>1</v>
      </c>
      <c r="F493" s="482" t="s">
        <v>3639</v>
      </c>
      <c r="G493" s="486" t="s">
        <v>5655</v>
      </c>
      <c r="H493" s="593" t="s">
        <v>3640</v>
      </c>
      <c r="I493" s="634" t="s">
        <v>6215</v>
      </c>
      <c r="J493" s="1242"/>
      <c r="K493" s="1331"/>
    </row>
    <row r="494" spans="1:11">
      <c r="A494" s="428" t="s">
        <v>8879</v>
      </c>
      <c r="B494" s="570" t="s">
        <v>8881</v>
      </c>
      <c r="C494" s="631" t="s">
        <v>6268</v>
      </c>
      <c r="D494" s="413" t="s">
        <v>123</v>
      </c>
      <c r="E494" s="384">
        <v>1</v>
      </c>
      <c r="F494" s="482" t="s">
        <v>3641</v>
      </c>
      <c r="G494" s="486" t="s">
        <v>5656</v>
      </c>
      <c r="H494" s="593" t="s">
        <v>3642</v>
      </c>
      <c r="I494" s="634" t="s">
        <v>6215</v>
      </c>
      <c r="J494" s="1242"/>
      <c r="K494" s="1331"/>
    </row>
    <row r="495" spans="1:11">
      <c r="A495" s="428" t="s">
        <v>8879</v>
      </c>
      <c r="B495" s="570" t="s">
        <v>8881</v>
      </c>
      <c r="C495" s="631" t="s">
        <v>6268</v>
      </c>
      <c r="D495" s="413" t="s">
        <v>123</v>
      </c>
      <c r="E495" s="384">
        <v>1</v>
      </c>
      <c r="F495" s="482" t="s">
        <v>3643</v>
      </c>
      <c r="G495" s="486" t="s">
        <v>5657</v>
      </c>
      <c r="H495" s="593" t="s">
        <v>3644</v>
      </c>
      <c r="I495" s="634" t="s">
        <v>6215</v>
      </c>
      <c r="J495" s="1242"/>
      <c r="K495" s="1331"/>
    </row>
    <row r="496" spans="1:11">
      <c r="A496" s="428" t="s">
        <v>8879</v>
      </c>
      <c r="B496" s="570" t="s">
        <v>8881</v>
      </c>
      <c r="C496" s="631" t="s">
        <v>6268</v>
      </c>
      <c r="D496" s="413" t="s">
        <v>123</v>
      </c>
      <c r="E496" s="384">
        <v>1</v>
      </c>
      <c r="F496" s="482" t="s">
        <v>3645</v>
      </c>
      <c r="G496" s="486" t="s">
        <v>5658</v>
      </c>
      <c r="H496" s="593" t="s">
        <v>3646</v>
      </c>
      <c r="I496" s="634" t="s">
        <v>6215</v>
      </c>
      <c r="J496" s="1242"/>
      <c r="K496" s="1331"/>
    </row>
    <row r="497" spans="1:11">
      <c r="A497" s="428" t="s">
        <v>8879</v>
      </c>
      <c r="B497" s="570" t="s">
        <v>8881</v>
      </c>
      <c r="C497" s="631" t="s">
        <v>6268</v>
      </c>
      <c r="D497" s="413" t="s">
        <v>123</v>
      </c>
      <c r="E497" s="384">
        <v>1</v>
      </c>
      <c r="F497" s="482" t="s">
        <v>3647</v>
      </c>
      <c r="G497" s="486" t="s">
        <v>5659</v>
      </c>
      <c r="H497" s="593" t="s">
        <v>3648</v>
      </c>
      <c r="I497" s="634" t="s">
        <v>6215</v>
      </c>
      <c r="J497" s="1242"/>
      <c r="K497" s="1331"/>
    </row>
    <row r="498" spans="1:11">
      <c r="A498" s="428" t="s">
        <v>8879</v>
      </c>
      <c r="B498" s="570" t="s">
        <v>8881</v>
      </c>
      <c r="C498" s="631" t="s">
        <v>6268</v>
      </c>
      <c r="D498" s="413" t="s">
        <v>123</v>
      </c>
      <c r="E498" s="384">
        <v>1</v>
      </c>
      <c r="F498" s="482" t="s">
        <v>3649</v>
      </c>
      <c r="G498" s="486" t="s">
        <v>5660</v>
      </c>
      <c r="H498" s="593" t="s">
        <v>3650</v>
      </c>
      <c r="I498" s="634" t="s">
        <v>6215</v>
      </c>
      <c r="J498" s="1242"/>
      <c r="K498" s="1331"/>
    </row>
    <row r="499" spans="1:11">
      <c r="A499" s="428" t="s">
        <v>8879</v>
      </c>
      <c r="B499" s="570" t="s">
        <v>8881</v>
      </c>
      <c r="C499" s="631" t="s">
        <v>6268</v>
      </c>
      <c r="D499" s="413" t="s">
        <v>123</v>
      </c>
      <c r="E499" s="384">
        <v>1</v>
      </c>
      <c r="F499" s="482" t="s">
        <v>3651</v>
      </c>
      <c r="G499" s="486" t="s">
        <v>5661</v>
      </c>
      <c r="H499" s="593" t="s">
        <v>3652</v>
      </c>
      <c r="I499" s="634" t="s">
        <v>6215</v>
      </c>
      <c r="J499" s="1242"/>
      <c r="K499" s="1331"/>
    </row>
    <row r="500" spans="1:11">
      <c r="A500" s="428" t="s">
        <v>8879</v>
      </c>
      <c r="B500" s="570" t="s">
        <v>8881</v>
      </c>
      <c r="C500" s="631" t="s">
        <v>6268</v>
      </c>
      <c r="D500" s="413" t="s">
        <v>123</v>
      </c>
      <c r="E500" s="384">
        <v>1</v>
      </c>
      <c r="F500" s="482" t="s">
        <v>3653</v>
      </c>
      <c r="G500" s="486" t="s">
        <v>5662</v>
      </c>
      <c r="H500" s="593" t="s">
        <v>3654</v>
      </c>
      <c r="I500" s="634" t="s">
        <v>6215</v>
      </c>
      <c r="J500" s="1242"/>
      <c r="K500" s="1331"/>
    </row>
    <row r="501" spans="1:11">
      <c r="A501" s="428" t="s">
        <v>8879</v>
      </c>
      <c r="B501" s="570" t="s">
        <v>8881</v>
      </c>
      <c r="C501" s="631" t="s">
        <v>6268</v>
      </c>
      <c r="D501" s="413" t="s">
        <v>123</v>
      </c>
      <c r="E501" s="384">
        <v>1</v>
      </c>
      <c r="F501" s="482" t="s">
        <v>3655</v>
      </c>
      <c r="G501" s="486" t="s">
        <v>5663</v>
      </c>
      <c r="H501" s="593" t="s">
        <v>3656</v>
      </c>
      <c r="I501" s="634" t="s">
        <v>6215</v>
      </c>
      <c r="J501" s="1242"/>
      <c r="K501" s="1331"/>
    </row>
    <row r="502" spans="1:11">
      <c r="A502" s="428" t="s">
        <v>8879</v>
      </c>
      <c r="B502" s="570" t="s">
        <v>8881</v>
      </c>
      <c r="C502" s="631" t="s">
        <v>6268</v>
      </c>
      <c r="D502" s="413" t="s">
        <v>123</v>
      </c>
      <c r="E502" s="384">
        <v>1</v>
      </c>
      <c r="F502" s="482" t="s">
        <v>3657</v>
      </c>
      <c r="G502" s="486" t="s">
        <v>5664</v>
      </c>
      <c r="H502" s="593" t="s">
        <v>3658</v>
      </c>
      <c r="I502" s="634" t="s">
        <v>6215</v>
      </c>
      <c r="J502" s="1242"/>
      <c r="K502" s="1331"/>
    </row>
    <row r="503" spans="1:11">
      <c r="A503" s="428" t="s">
        <v>8879</v>
      </c>
      <c r="B503" s="570" t="s">
        <v>8881</v>
      </c>
      <c r="C503" s="631" t="s">
        <v>6268</v>
      </c>
      <c r="D503" s="413" t="s">
        <v>123</v>
      </c>
      <c r="E503" s="384">
        <v>1</v>
      </c>
      <c r="F503" s="482" t="s">
        <v>3659</v>
      </c>
      <c r="G503" s="486" t="s">
        <v>5665</v>
      </c>
      <c r="H503" s="593" t="s">
        <v>3660</v>
      </c>
      <c r="I503" s="634" t="s">
        <v>6215</v>
      </c>
      <c r="J503" s="1242"/>
      <c r="K503" s="1331"/>
    </row>
    <row r="504" spans="1:11">
      <c r="A504" s="428" t="s">
        <v>8879</v>
      </c>
      <c r="B504" s="570" t="s">
        <v>8881</v>
      </c>
      <c r="C504" s="631" t="s">
        <v>6268</v>
      </c>
      <c r="D504" s="413" t="s">
        <v>123</v>
      </c>
      <c r="E504" s="384">
        <v>1</v>
      </c>
      <c r="F504" s="482" t="s">
        <v>3661</v>
      </c>
      <c r="G504" s="486" t="s">
        <v>5666</v>
      </c>
      <c r="H504" s="593" t="s">
        <v>3662</v>
      </c>
      <c r="I504" s="634" t="s">
        <v>6215</v>
      </c>
      <c r="J504" s="1242"/>
      <c r="K504" s="1331"/>
    </row>
    <row r="505" spans="1:11">
      <c r="A505" s="428" t="s">
        <v>8879</v>
      </c>
      <c r="B505" s="570" t="s">
        <v>8881</v>
      </c>
      <c r="C505" s="631" t="s">
        <v>6268</v>
      </c>
      <c r="D505" s="413" t="s">
        <v>123</v>
      </c>
      <c r="E505" s="384">
        <v>1</v>
      </c>
      <c r="F505" s="482" t="s">
        <v>3663</v>
      </c>
      <c r="G505" s="486" t="s">
        <v>5667</v>
      </c>
      <c r="H505" s="593" t="s">
        <v>3664</v>
      </c>
      <c r="I505" s="634" t="s">
        <v>6215</v>
      </c>
      <c r="J505" s="1242"/>
      <c r="K505" s="1331"/>
    </row>
    <row r="506" spans="1:11">
      <c r="A506" s="428" t="s">
        <v>8879</v>
      </c>
      <c r="B506" s="570" t="s">
        <v>8881</v>
      </c>
      <c r="C506" s="631" t="s">
        <v>6268</v>
      </c>
      <c r="D506" s="413" t="s">
        <v>123</v>
      </c>
      <c r="E506" s="384">
        <v>1</v>
      </c>
      <c r="F506" s="482" t="s">
        <v>3665</v>
      </c>
      <c r="G506" s="486" t="s">
        <v>5668</v>
      </c>
      <c r="H506" s="593" t="s">
        <v>3666</v>
      </c>
      <c r="I506" s="634" t="s">
        <v>6215</v>
      </c>
      <c r="J506" s="1242"/>
      <c r="K506" s="1331"/>
    </row>
    <row r="507" spans="1:11">
      <c r="A507" s="428" t="s">
        <v>8879</v>
      </c>
      <c r="B507" s="570" t="s">
        <v>8881</v>
      </c>
      <c r="C507" s="631" t="s">
        <v>6268</v>
      </c>
      <c r="D507" s="413" t="s">
        <v>123</v>
      </c>
      <c r="E507" s="384">
        <v>1</v>
      </c>
      <c r="F507" s="482" t="s">
        <v>3667</v>
      </c>
      <c r="G507" s="486" t="s">
        <v>5669</v>
      </c>
      <c r="H507" s="593" t="s">
        <v>3668</v>
      </c>
      <c r="I507" s="634" t="s">
        <v>6215</v>
      </c>
      <c r="J507" s="1242"/>
      <c r="K507" s="1331"/>
    </row>
    <row r="508" spans="1:11">
      <c r="A508" s="428" t="s">
        <v>8879</v>
      </c>
      <c r="B508" s="570" t="s">
        <v>8881</v>
      </c>
      <c r="C508" s="631" t="s">
        <v>6268</v>
      </c>
      <c r="D508" s="413" t="s">
        <v>123</v>
      </c>
      <c r="E508" s="384">
        <v>1</v>
      </c>
      <c r="F508" s="482" t="s">
        <v>3669</v>
      </c>
      <c r="G508" s="486" t="s">
        <v>5670</v>
      </c>
      <c r="H508" s="593" t="s">
        <v>3670</v>
      </c>
      <c r="I508" s="634" t="s">
        <v>6215</v>
      </c>
      <c r="J508" s="1242"/>
      <c r="K508" s="1331"/>
    </row>
    <row r="509" spans="1:11">
      <c r="A509" s="428" t="s">
        <v>8879</v>
      </c>
      <c r="B509" s="570" t="s">
        <v>8881</v>
      </c>
      <c r="C509" s="631" t="s">
        <v>6268</v>
      </c>
      <c r="D509" s="413" t="s">
        <v>123</v>
      </c>
      <c r="E509" s="384">
        <v>1</v>
      </c>
      <c r="F509" s="482" t="s">
        <v>3671</v>
      </c>
      <c r="G509" s="486" t="s">
        <v>5671</v>
      </c>
      <c r="H509" s="593" t="s">
        <v>3672</v>
      </c>
      <c r="I509" s="634" t="s">
        <v>6215</v>
      </c>
      <c r="J509" s="1242"/>
      <c r="K509" s="1331"/>
    </row>
    <row r="510" spans="1:11">
      <c r="A510" s="428" t="s">
        <v>8879</v>
      </c>
      <c r="B510" s="570" t="s">
        <v>8881</v>
      </c>
      <c r="C510" s="631" t="s">
        <v>6268</v>
      </c>
      <c r="D510" s="413" t="s">
        <v>123</v>
      </c>
      <c r="E510" s="384">
        <v>1</v>
      </c>
      <c r="F510" s="482" t="s">
        <v>3673</v>
      </c>
      <c r="G510" s="486" t="s">
        <v>5672</v>
      </c>
      <c r="H510" s="593" t="s">
        <v>3674</v>
      </c>
      <c r="I510" s="634" t="s">
        <v>6215</v>
      </c>
      <c r="J510" s="1242"/>
      <c r="K510" s="1331"/>
    </row>
    <row r="511" spans="1:11">
      <c r="A511" s="428" t="s">
        <v>8879</v>
      </c>
      <c r="B511" s="570" t="s">
        <v>8881</v>
      </c>
      <c r="C511" s="631" t="s">
        <v>6268</v>
      </c>
      <c r="D511" s="413" t="s">
        <v>123</v>
      </c>
      <c r="E511" s="384">
        <v>1</v>
      </c>
      <c r="F511" s="482" t="s">
        <v>3675</v>
      </c>
      <c r="G511" s="486" t="s">
        <v>5673</v>
      </c>
      <c r="H511" s="593" t="s">
        <v>3676</v>
      </c>
      <c r="I511" s="634" t="s">
        <v>6215</v>
      </c>
      <c r="J511" s="1242"/>
      <c r="K511" s="1331"/>
    </row>
    <row r="512" spans="1:11">
      <c r="A512" s="428" t="s">
        <v>8879</v>
      </c>
      <c r="B512" s="570" t="s">
        <v>8881</v>
      </c>
      <c r="C512" s="631" t="s">
        <v>6268</v>
      </c>
      <c r="D512" s="413" t="s">
        <v>123</v>
      </c>
      <c r="E512" s="384">
        <v>1</v>
      </c>
      <c r="F512" s="482" t="s">
        <v>3677</v>
      </c>
      <c r="G512" s="486" t="s">
        <v>5674</v>
      </c>
      <c r="H512" s="593" t="s">
        <v>3678</v>
      </c>
      <c r="I512" s="634" t="s">
        <v>6215</v>
      </c>
      <c r="J512" s="1242"/>
      <c r="K512" s="1331"/>
    </row>
    <row r="513" spans="1:11">
      <c r="A513" s="428" t="s">
        <v>8879</v>
      </c>
      <c r="B513" s="570" t="s">
        <v>8881</v>
      </c>
      <c r="C513" s="631" t="s">
        <v>6268</v>
      </c>
      <c r="D513" s="413" t="s">
        <v>123</v>
      </c>
      <c r="E513" s="384">
        <v>1</v>
      </c>
      <c r="F513" s="482" t="s">
        <v>3679</v>
      </c>
      <c r="G513" s="486" t="s">
        <v>5675</v>
      </c>
      <c r="H513" s="593" t="s">
        <v>3680</v>
      </c>
      <c r="I513" s="634" t="s">
        <v>6215</v>
      </c>
      <c r="J513" s="1242"/>
      <c r="K513" s="1331"/>
    </row>
    <row r="514" spans="1:11">
      <c r="A514" s="428" t="s">
        <v>8879</v>
      </c>
      <c r="B514" s="570" t="s">
        <v>8881</v>
      </c>
      <c r="C514" s="631" t="s">
        <v>6268</v>
      </c>
      <c r="D514" s="413" t="s">
        <v>123</v>
      </c>
      <c r="E514" s="384">
        <v>1</v>
      </c>
      <c r="F514" s="482" t="s">
        <v>3681</v>
      </c>
      <c r="G514" s="486" t="s">
        <v>5676</v>
      </c>
      <c r="H514" s="593" t="s">
        <v>3682</v>
      </c>
      <c r="I514" s="634" t="s">
        <v>6215</v>
      </c>
      <c r="J514" s="1242"/>
      <c r="K514" s="1331"/>
    </row>
    <row r="515" spans="1:11">
      <c r="A515" s="428" t="s">
        <v>8879</v>
      </c>
      <c r="B515" s="570" t="s">
        <v>8881</v>
      </c>
      <c r="C515" s="631" t="s">
        <v>6268</v>
      </c>
      <c r="D515" s="413" t="s">
        <v>123</v>
      </c>
      <c r="E515" s="384">
        <v>1</v>
      </c>
      <c r="F515" s="482" t="s">
        <v>3683</v>
      </c>
      <c r="G515" s="486" t="s">
        <v>5677</v>
      </c>
      <c r="H515" s="593" t="s">
        <v>3684</v>
      </c>
      <c r="I515" s="634" t="s">
        <v>6215</v>
      </c>
      <c r="J515" s="1242"/>
      <c r="K515" s="1331"/>
    </row>
    <row r="516" spans="1:11">
      <c r="A516" s="428" t="s">
        <v>8879</v>
      </c>
      <c r="B516" s="570" t="s">
        <v>8881</v>
      </c>
      <c r="C516" s="631" t="s">
        <v>6268</v>
      </c>
      <c r="D516" s="413" t="s">
        <v>123</v>
      </c>
      <c r="E516" s="384">
        <v>1</v>
      </c>
      <c r="F516" s="482" t="s">
        <v>3685</v>
      </c>
      <c r="G516" s="486" t="s">
        <v>5678</v>
      </c>
      <c r="H516" s="593" t="s">
        <v>3686</v>
      </c>
      <c r="I516" s="634" t="s">
        <v>6215</v>
      </c>
      <c r="J516" s="1242"/>
      <c r="K516" s="1331"/>
    </row>
    <row r="517" spans="1:11">
      <c r="A517" s="428" t="s">
        <v>8879</v>
      </c>
      <c r="B517" s="570" t="s">
        <v>8881</v>
      </c>
      <c r="C517" s="631" t="s">
        <v>6268</v>
      </c>
      <c r="D517" s="413" t="s">
        <v>123</v>
      </c>
      <c r="E517" s="384">
        <v>1</v>
      </c>
      <c r="F517" s="482" t="s">
        <v>3687</v>
      </c>
      <c r="G517" s="486" t="s">
        <v>5679</v>
      </c>
      <c r="H517" s="593" t="s">
        <v>3688</v>
      </c>
      <c r="I517" s="634" t="s">
        <v>6215</v>
      </c>
      <c r="J517" s="1242"/>
      <c r="K517" s="1331"/>
    </row>
    <row r="518" spans="1:11">
      <c r="A518" s="428" t="s">
        <v>8879</v>
      </c>
      <c r="B518" s="570" t="s">
        <v>8881</v>
      </c>
      <c r="C518" s="631" t="s">
        <v>6268</v>
      </c>
      <c r="D518" s="413" t="s">
        <v>123</v>
      </c>
      <c r="E518" s="384">
        <v>1</v>
      </c>
      <c r="F518" s="482" t="s">
        <v>3689</v>
      </c>
      <c r="G518" s="486" t="s">
        <v>5680</v>
      </c>
      <c r="H518" s="593" t="s">
        <v>3690</v>
      </c>
      <c r="I518" s="634" t="s">
        <v>6215</v>
      </c>
      <c r="J518" s="1242"/>
      <c r="K518" s="1331"/>
    </row>
    <row r="519" spans="1:11">
      <c r="A519" s="428" t="s">
        <v>8879</v>
      </c>
      <c r="B519" s="570" t="s">
        <v>8881</v>
      </c>
      <c r="C519" s="631" t="s">
        <v>6268</v>
      </c>
      <c r="D519" s="413" t="s">
        <v>123</v>
      </c>
      <c r="E519" s="384">
        <v>1</v>
      </c>
      <c r="F519" s="482" t="s">
        <v>3691</v>
      </c>
      <c r="G519" s="486" t="s">
        <v>5681</v>
      </c>
      <c r="H519" s="593" t="s">
        <v>3692</v>
      </c>
      <c r="I519" s="634" t="s">
        <v>6215</v>
      </c>
      <c r="J519" s="1242"/>
      <c r="K519" s="1331"/>
    </row>
    <row r="520" spans="1:11">
      <c r="A520" s="428" t="s">
        <v>8879</v>
      </c>
      <c r="B520" s="570" t="s">
        <v>8881</v>
      </c>
      <c r="C520" s="631" t="s">
        <v>6268</v>
      </c>
      <c r="D520" s="413" t="s">
        <v>123</v>
      </c>
      <c r="E520" s="384">
        <v>1</v>
      </c>
      <c r="F520" s="482" t="s">
        <v>3693</v>
      </c>
      <c r="G520" s="486" t="s">
        <v>5682</v>
      </c>
      <c r="H520" s="593" t="s">
        <v>3694</v>
      </c>
      <c r="I520" s="634" t="s">
        <v>6215</v>
      </c>
      <c r="J520" s="1242"/>
      <c r="K520" s="1331"/>
    </row>
    <row r="521" spans="1:11">
      <c r="A521" s="428" t="s">
        <v>8879</v>
      </c>
      <c r="B521" s="570" t="s">
        <v>8881</v>
      </c>
      <c r="C521" s="631" t="s">
        <v>6268</v>
      </c>
      <c r="D521" s="413" t="s">
        <v>123</v>
      </c>
      <c r="E521" s="384">
        <v>1</v>
      </c>
      <c r="F521" s="482" t="s">
        <v>3695</v>
      </c>
      <c r="G521" s="486" t="s">
        <v>5683</v>
      </c>
      <c r="H521" s="593" t="s">
        <v>3696</v>
      </c>
      <c r="I521" s="634" t="s">
        <v>6215</v>
      </c>
      <c r="J521" s="1242"/>
      <c r="K521" s="1331"/>
    </row>
    <row r="522" spans="1:11">
      <c r="A522" s="428" t="s">
        <v>8879</v>
      </c>
      <c r="B522" s="570" t="s">
        <v>8881</v>
      </c>
      <c r="C522" s="631" t="s">
        <v>6268</v>
      </c>
      <c r="D522" s="413" t="s">
        <v>123</v>
      </c>
      <c r="E522" s="384">
        <v>1</v>
      </c>
      <c r="F522" s="482" t="s">
        <v>3697</v>
      </c>
      <c r="G522" s="486" t="s">
        <v>5684</v>
      </c>
      <c r="H522" s="593" t="s">
        <v>3698</v>
      </c>
      <c r="I522" s="634" t="s">
        <v>6215</v>
      </c>
      <c r="J522" s="1242"/>
      <c r="K522" s="1331"/>
    </row>
    <row r="523" spans="1:11">
      <c r="A523" s="428" t="s">
        <v>8879</v>
      </c>
      <c r="B523" s="570" t="s">
        <v>8881</v>
      </c>
      <c r="C523" s="631" t="s">
        <v>6268</v>
      </c>
      <c r="D523" s="413" t="s">
        <v>123</v>
      </c>
      <c r="E523" s="384">
        <v>1</v>
      </c>
      <c r="F523" s="482" t="s">
        <v>3699</v>
      </c>
      <c r="G523" s="486" t="s">
        <v>5685</v>
      </c>
      <c r="H523" s="593" t="s">
        <v>3700</v>
      </c>
      <c r="I523" s="634" t="s">
        <v>6215</v>
      </c>
      <c r="J523" s="1242"/>
      <c r="K523" s="1331"/>
    </row>
    <row r="524" spans="1:11">
      <c r="A524" s="428" t="s">
        <v>8879</v>
      </c>
      <c r="B524" s="570" t="s">
        <v>8881</v>
      </c>
      <c r="C524" s="631" t="s">
        <v>6268</v>
      </c>
      <c r="D524" s="413" t="s">
        <v>123</v>
      </c>
      <c r="E524" s="384">
        <v>1</v>
      </c>
      <c r="F524" s="482" t="s">
        <v>3701</v>
      </c>
      <c r="G524" s="486" t="s">
        <v>5686</v>
      </c>
      <c r="H524" s="593" t="s">
        <v>3702</v>
      </c>
      <c r="I524" s="634" t="s">
        <v>6215</v>
      </c>
      <c r="J524" s="1242"/>
      <c r="K524" s="1331"/>
    </row>
    <row r="525" spans="1:11">
      <c r="A525" s="428" t="s">
        <v>8879</v>
      </c>
      <c r="B525" s="570" t="s">
        <v>8881</v>
      </c>
      <c r="C525" s="631" t="s">
        <v>6268</v>
      </c>
      <c r="D525" s="413" t="s">
        <v>123</v>
      </c>
      <c r="E525" s="384">
        <v>1</v>
      </c>
      <c r="F525" s="482" t="s">
        <v>3703</v>
      </c>
      <c r="G525" s="486" t="s">
        <v>5687</v>
      </c>
      <c r="H525" s="593" t="s">
        <v>3704</v>
      </c>
      <c r="I525" s="634" t="s">
        <v>6215</v>
      </c>
      <c r="J525" s="1242"/>
      <c r="K525" s="1331"/>
    </row>
    <row r="526" spans="1:11">
      <c r="A526" s="428" t="s">
        <v>8879</v>
      </c>
      <c r="B526" s="570" t="s">
        <v>8881</v>
      </c>
      <c r="C526" s="631" t="s">
        <v>6268</v>
      </c>
      <c r="D526" s="413" t="s">
        <v>123</v>
      </c>
      <c r="E526" s="384">
        <v>1</v>
      </c>
      <c r="F526" s="482" t="s">
        <v>3705</v>
      </c>
      <c r="G526" s="486" t="s">
        <v>5688</v>
      </c>
      <c r="H526" s="593" t="s">
        <v>3706</v>
      </c>
      <c r="I526" s="634" t="s">
        <v>6215</v>
      </c>
      <c r="J526" s="1242"/>
      <c r="K526" s="1331"/>
    </row>
    <row r="527" spans="1:11">
      <c r="A527" s="428" t="s">
        <v>8879</v>
      </c>
      <c r="B527" s="570" t="s">
        <v>8881</v>
      </c>
      <c r="C527" s="631" t="s">
        <v>6268</v>
      </c>
      <c r="D527" s="413" t="s">
        <v>123</v>
      </c>
      <c r="E527" s="384">
        <v>1</v>
      </c>
      <c r="F527" s="482" t="s">
        <v>3707</v>
      </c>
      <c r="G527" s="486" t="s">
        <v>5689</v>
      </c>
      <c r="H527" s="593" t="s">
        <v>3708</v>
      </c>
      <c r="I527" s="634" t="s">
        <v>6215</v>
      </c>
      <c r="J527" s="1242"/>
      <c r="K527" s="1331"/>
    </row>
    <row r="528" spans="1:11">
      <c r="A528" s="428" t="s">
        <v>8879</v>
      </c>
      <c r="B528" s="570" t="s">
        <v>8881</v>
      </c>
      <c r="C528" s="631" t="s">
        <v>6268</v>
      </c>
      <c r="D528" s="413" t="s">
        <v>123</v>
      </c>
      <c r="E528" s="384">
        <v>1</v>
      </c>
      <c r="F528" s="482" t="s">
        <v>3709</v>
      </c>
      <c r="G528" s="486" t="s">
        <v>5690</v>
      </c>
      <c r="H528" s="593" t="s">
        <v>3710</v>
      </c>
      <c r="I528" s="634" t="s">
        <v>6215</v>
      </c>
      <c r="J528" s="1242"/>
      <c r="K528" s="1331"/>
    </row>
    <row r="529" spans="1:11">
      <c r="A529" s="428" t="s">
        <v>8879</v>
      </c>
      <c r="B529" s="570" t="s">
        <v>8881</v>
      </c>
      <c r="C529" s="631" t="s">
        <v>6268</v>
      </c>
      <c r="D529" s="413" t="s">
        <v>123</v>
      </c>
      <c r="E529" s="384">
        <v>1</v>
      </c>
      <c r="F529" s="482" t="s">
        <v>3711</v>
      </c>
      <c r="G529" s="486" t="s">
        <v>5691</v>
      </c>
      <c r="H529" s="593" t="s">
        <v>3712</v>
      </c>
      <c r="I529" s="634" t="s">
        <v>6215</v>
      </c>
      <c r="J529" s="1242"/>
      <c r="K529" s="1331"/>
    </row>
    <row r="530" spans="1:11">
      <c r="A530" s="428" t="s">
        <v>8879</v>
      </c>
      <c r="B530" s="570" t="s">
        <v>8881</v>
      </c>
      <c r="C530" s="631" t="s">
        <v>6268</v>
      </c>
      <c r="D530" s="413" t="s">
        <v>123</v>
      </c>
      <c r="E530" s="384">
        <v>1</v>
      </c>
      <c r="F530" s="482" t="s">
        <v>3713</v>
      </c>
      <c r="G530" s="486" t="s">
        <v>5692</v>
      </c>
      <c r="H530" s="593" t="s">
        <v>3714</v>
      </c>
      <c r="I530" s="634" t="s">
        <v>6215</v>
      </c>
      <c r="J530" s="1242"/>
      <c r="K530" s="1331"/>
    </row>
    <row r="531" spans="1:11">
      <c r="A531" s="428" t="s">
        <v>8879</v>
      </c>
      <c r="B531" s="570" t="s">
        <v>8881</v>
      </c>
      <c r="C531" s="631" t="s">
        <v>6268</v>
      </c>
      <c r="D531" s="413" t="s">
        <v>123</v>
      </c>
      <c r="E531" s="384">
        <v>1</v>
      </c>
      <c r="F531" s="482" t="s">
        <v>3715</v>
      </c>
      <c r="G531" s="486" t="s">
        <v>5693</v>
      </c>
      <c r="H531" s="593" t="s">
        <v>3716</v>
      </c>
      <c r="I531" s="634" t="s">
        <v>6215</v>
      </c>
      <c r="J531" s="1242"/>
      <c r="K531" s="1331"/>
    </row>
    <row r="532" spans="1:11">
      <c r="A532" s="428" t="s">
        <v>8879</v>
      </c>
      <c r="B532" s="570" t="s">
        <v>8881</v>
      </c>
      <c r="C532" s="631" t="s">
        <v>6268</v>
      </c>
      <c r="D532" s="413" t="s">
        <v>123</v>
      </c>
      <c r="E532" s="384">
        <v>1</v>
      </c>
      <c r="F532" s="482" t="s">
        <v>3717</v>
      </c>
      <c r="G532" s="486" t="s">
        <v>5694</v>
      </c>
      <c r="H532" s="593" t="s">
        <v>3718</v>
      </c>
      <c r="I532" s="634" t="s">
        <v>6215</v>
      </c>
      <c r="J532" s="1242"/>
      <c r="K532" s="1331"/>
    </row>
    <row r="533" spans="1:11">
      <c r="A533" s="428" t="s">
        <v>8879</v>
      </c>
      <c r="B533" s="570" t="s">
        <v>8881</v>
      </c>
      <c r="C533" s="631" t="s">
        <v>6268</v>
      </c>
      <c r="D533" s="413" t="s">
        <v>123</v>
      </c>
      <c r="E533" s="384">
        <v>1</v>
      </c>
      <c r="F533" s="482" t="s">
        <v>3719</v>
      </c>
      <c r="G533" s="486" t="s">
        <v>5695</v>
      </c>
      <c r="H533" s="593" t="s">
        <v>3720</v>
      </c>
      <c r="I533" s="634" t="s">
        <v>6215</v>
      </c>
      <c r="J533" s="1242"/>
      <c r="K533" s="1331"/>
    </row>
    <row r="534" spans="1:11">
      <c r="A534" s="428" t="s">
        <v>8879</v>
      </c>
      <c r="B534" s="570" t="s">
        <v>8881</v>
      </c>
      <c r="C534" s="631" t="s">
        <v>6268</v>
      </c>
      <c r="D534" s="413" t="s">
        <v>123</v>
      </c>
      <c r="E534" s="384">
        <v>1</v>
      </c>
      <c r="F534" s="482" t="s">
        <v>3721</v>
      </c>
      <c r="G534" s="486" t="s">
        <v>5696</v>
      </c>
      <c r="H534" s="593" t="s">
        <v>3722</v>
      </c>
      <c r="I534" s="634" t="s">
        <v>6215</v>
      </c>
      <c r="J534" s="1242"/>
      <c r="K534" s="1331"/>
    </row>
    <row r="535" spans="1:11">
      <c r="A535" s="428" t="s">
        <v>8879</v>
      </c>
      <c r="B535" s="570" t="s">
        <v>8881</v>
      </c>
      <c r="C535" s="631" t="s">
        <v>6268</v>
      </c>
      <c r="D535" s="413" t="s">
        <v>123</v>
      </c>
      <c r="E535" s="384">
        <v>1</v>
      </c>
      <c r="F535" s="482" t="s">
        <v>3723</v>
      </c>
      <c r="G535" s="486" t="s">
        <v>5697</v>
      </c>
      <c r="H535" s="593" t="s">
        <v>3724</v>
      </c>
      <c r="I535" s="634" t="s">
        <v>6215</v>
      </c>
      <c r="J535" s="1242"/>
      <c r="K535" s="1331"/>
    </row>
    <row r="536" spans="1:11">
      <c r="A536" s="428" t="s">
        <v>8879</v>
      </c>
      <c r="B536" s="570" t="s">
        <v>8881</v>
      </c>
      <c r="C536" s="631" t="s">
        <v>6268</v>
      </c>
      <c r="D536" s="413" t="s">
        <v>123</v>
      </c>
      <c r="E536" s="384">
        <v>1</v>
      </c>
      <c r="F536" s="482" t="s">
        <v>3725</v>
      </c>
      <c r="G536" s="486" t="s">
        <v>5698</v>
      </c>
      <c r="H536" s="593" t="s">
        <v>3726</v>
      </c>
      <c r="I536" s="634" t="s">
        <v>6215</v>
      </c>
      <c r="J536" s="1242"/>
      <c r="K536" s="1331"/>
    </row>
    <row r="537" spans="1:11">
      <c r="A537" s="428" t="s">
        <v>8879</v>
      </c>
      <c r="B537" s="570" t="s">
        <v>8881</v>
      </c>
      <c r="C537" s="631" t="s">
        <v>6268</v>
      </c>
      <c r="D537" s="413" t="s">
        <v>123</v>
      </c>
      <c r="E537" s="384">
        <v>1</v>
      </c>
      <c r="F537" s="482" t="s">
        <v>3727</v>
      </c>
      <c r="G537" s="486" t="s">
        <v>5699</v>
      </c>
      <c r="H537" s="593" t="s">
        <v>3728</v>
      </c>
      <c r="I537" s="634" t="s">
        <v>6215</v>
      </c>
      <c r="J537" s="1242"/>
      <c r="K537" s="1331"/>
    </row>
    <row r="538" spans="1:11">
      <c r="A538" s="428" t="s">
        <v>8879</v>
      </c>
      <c r="B538" s="570" t="s">
        <v>8881</v>
      </c>
      <c r="C538" s="631" t="s">
        <v>6268</v>
      </c>
      <c r="D538" s="413" t="s">
        <v>123</v>
      </c>
      <c r="E538" s="384">
        <v>1</v>
      </c>
      <c r="F538" s="482" t="s">
        <v>3729</v>
      </c>
      <c r="G538" s="486" t="s">
        <v>5700</v>
      </c>
      <c r="H538" s="593" t="s">
        <v>3730</v>
      </c>
      <c r="I538" s="634" t="s">
        <v>6215</v>
      </c>
      <c r="J538" s="1242"/>
      <c r="K538" s="1331"/>
    </row>
    <row r="539" spans="1:11">
      <c r="A539" s="428" t="s">
        <v>8879</v>
      </c>
      <c r="B539" s="570" t="s">
        <v>8881</v>
      </c>
      <c r="C539" s="631" t="s">
        <v>6268</v>
      </c>
      <c r="D539" s="413" t="s">
        <v>123</v>
      </c>
      <c r="E539" s="384">
        <v>1</v>
      </c>
      <c r="F539" s="482" t="s">
        <v>3731</v>
      </c>
      <c r="G539" s="486" t="s">
        <v>5701</v>
      </c>
      <c r="H539" s="593" t="s">
        <v>3732</v>
      </c>
      <c r="I539" s="634" t="s">
        <v>6215</v>
      </c>
      <c r="J539" s="1242"/>
      <c r="K539" s="1331"/>
    </row>
    <row r="540" spans="1:11">
      <c r="A540" s="428" t="s">
        <v>8879</v>
      </c>
      <c r="B540" s="570" t="s">
        <v>8881</v>
      </c>
      <c r="C540" s="631" t="s">
        <v>6268</v>
      </c>
      <c r="D540" s="413" t="s">
        <v>123</v>
      </c>
      <c r="E540" s="384">
        <v>1</v>
      </c>
      <c r="F540" s="482" t="s">
        <v>3733</v>
      </c>
      <c r="G540" s="486" t="s">
        <v>5702</v>
      </c>
      <c r="H540" s="593" t="s">
        <v>3734</v>
      </c>
      <c r="I540" s="634" t="s">
        <v>6215</v>
      </c>
      <c r="J540" s="1242"/>
      <c r="K540" s="1331"/>
    </row>
    <row r="541" spans="1:11">
      <c r="A541" s="428" t="s">
        <v>8879</v>
      </c>
      <c r="B541" s="570" t="s">
        <v>8881</v>
      </c>
      <c r="C541" s="631" t="s">
        <v>6268</v>
      </c>
      <c r="D541" s="413" t="s">
        <v>123</v>
      </c>
      <c r="E541" s="384">
        <v>1</v>
      </c>
      <c r="F541" s="482" t="s">
        <v>3735</v>
      </c>
      <c r="G541" s="486" t="s">
        <v>5703</v>
      </c>
      <c r="H541" s="593" t="s">
        <v>3736</v>
      </c>
      <c r="I541" s="634" t="s">
        <v>6215</v>
      </c>
      <c r="J541" s="1242"/>
      <c r="K541" s="1331"/>
    </row>
    <row r="542" spans="1:11">
      <c r="A542" s="428" t="s">
        <v>8879</v>
      </c>
      <c r="B542" s="570" t="s">
        <v>8881</v>
      </c>
      <c r="C542" s="631" t="s">
        <v>6268</v>
      </c>
      <c r="D542" s="413" t="s">
        <v>123</v>
      </c>
      <c r="E542" s="384">
        <v>1</v>
      </c>
      <c r="F542" s="482" t="s">
        <v>3737</v>
      </c>
      <c r="G542" s="486" t="s">
        <v>5704</v>
      </c>
      <c r="H542" s="593" t="s">
        <v>3738</v>
      </c>
      <c r="I542" s="634" t="s">
        <v>6215</v>
      </c>
      <c r="J542" s="1242"/>
      <c r="K542" s="1331"/>
    </row>
    <row r="543" spans="1:11">
      <c r="A543" s="428" t="s">
        <v>8879</v>
      </c>
      <c r="B543" s="570" t="s">
        <v>8881</v>
      </c>
      <c r="C543" s="631" t="s">
        <v>6268</v>
      </c>
      <c r="D543" s="413" t="s">
        <v>123</v>
      </c>
      <c r="E543" s="384">
        <v>1</v>
      </c>
      <c r="F543" s="482" t="s">
        <v>3739</v>
      </c>
      <c r="G543" s="486" t="s">
        <v>5705</v>
      </c>
      <c r="H543" s="593" t="s">
        <v>3740</v>
      </c>
      <c r="I543" s="634" t="s">
        <v>6215</v>
      </c>
      <c r="J543" s="1242"/>
      <c r="K543" s="1331"/>
    </row>
    <row r="544" spans="1:11">
      <c r="A544" s="428" t="s">
        <v>8879</v>
      </c>
      <c r="B544" s="570" t="s">
        <v>8881</v>
      </c>
      <c r="C544" s="631" t="s">
        <v>6268</v>
      </c>
      <c r="D544" s="413" t="s">
        <v>123</v>
      </c>
      <c r="E544" s="384">
        <v>1</v>
      </c>
      <c r="F544" s="482" t="s">
        <v>3741</v>
      </c>
      <c r="G544" s="486" t="s">
        <v>5706</v>
      </c>
      <c r="H544" s="593" t="s">
        <v>3742</v>
      </c>
      <c r="I544" s="634" t="s">
        <v>6215</v>
      </c>
      <c r="J544" s="1242"/>
      <c r="K544" s="1331"/>
    </row>
    <row r="545" spans="1:11">
      <c r="A545" s="428" t="s">
        <v>8879</v>
      </c>
      <c r="B545" s="570" t="s">
        <v>8881</v>
      </c>
      <c r="C545" s="631" t="s">
        <v>6268</v>
      </c>
      <c r="D545" s="413" t="s">
        <v>123</v>
      </c>
      <c r="E545" s="384">
        <v>1</v>
      </c>
      <c r="F545" s="482" t="s">
        <v>3743</v>
      </c>
      <c r="G545" s="486" t="s">
        <v>5707</v>
      </c>
      <c r="H545" s="593" t="s">
        <v>3744</v>
      </c>
      <c r="I545" s="634" t="s">
        <v>6215</v>
      </c>
      <c r="J545" s="1242"/>
      <c r="K545" s="1331"/>
    </row>
    <row r="546" spans="1:11">
      <c r="A546" s="428" t="s">
        <v>8879</v>
      </c>
      <c r="B546" s="570" t="s">
        <v>8881</v>
      </c>
      <c r="C546" s="631" t="s">
        <v>6268</v>
      </c>
      <c r="D546" s="413" t="s">
        <v>123</v>
      </c>
      <c r="E546" s="384">
        <v>1</v>
      </c>
      <c r="F546" s="482" t="s">
        <v>3745</v>
      </c>
      <c r="G546" s="486" t="s">
        <v>5708</v>
      </c>
      <c r="H546" s="593" t="s">
        <v>3746</v>
      </c>
      <c r="I546" s="634" t="s">
        <v>6215</v>
      </c>
      <c r="J546" s="1242"/>
      <c r="K546" s="1331"/>
    </row>
    <row r="547" spans="1:11">
      <c r="A547" s="428" t="s">
        <v>8879</v>
      </c>
      <c r="B547" s="570" t="s">
        <v>8881</v>
      </c>
      <c r="C547" s="631" t="s">
        <v>6268</v>
      </c>
      <c r="D547" s="413" t="s">
        <v>123</v>
      </c>
      <c r="E547" s="384">
        <v>1</v>
      </c>
      <c r="F547" s="482">
        <v>47</v>
      </c>
      <c r="G547" s="486" t="s">
        <v>5709</v>
      </c>
      <c r="H547" s="593" t="s">
        <v>3747</v>
      </c>
      <c r="I547" s="634" t="s">
        <v>6215</v>
      </c>
      <c r="J547" s="1242"/>
      <c r="K547" s="1331"/>
    </row>
    <row r="548" spans="1:11">
      <c r="A548" s="428" t="s">
        <v>8879</v>
      </c>
      <c r="B548" s="570" t="s">
        <v>8881</v>
      </c>
      <c r="C548" s="631" t="s">
        <v>6268</v>
      </c>
      <c r="D548" s="413" t="s">
        <v>123</v>
      </c>
      <c r="E548" s="384">
        <v>1</v>
      </c>
      <c r="F548" s="482" t="s">
        <v>3748</v>
      </c>
      <c r="G548" s="486" t="s">
        <v>5710</v>
      </c>
      <c r="H548" s="593" t="s">
        <v>3749</v>
      </c>
      <c r="I548" s="634" t="s">
        <v>6215</v>
      </c>
      <c r="J548" s="1242"/>
      <c r="K548" s="1331"/>
    </row>
    <row r="549" spans="1:11">
      <c r="A549" s="428" t="s">
        <v>8879</v>
      </c>
      <c r="B549" s="570" t="s">
        <v>8881</v>
      </c>
      <c r="C549" s="631" t="s">
        <v>6268</v>
      </c>
      <c r="D549" s="413" t="s">
        <v>123</v>
      </c>
      <c r="E549" s="384">
        <v>1</v>
      </c>
      <c r="F549" s="482" t="s">
        <v>3750</v>
      </c>
      <c r="G549" s="486" t="s">
        <v>5711</v>
      </c>
      <c r="H549" s="593" t="s">
        <v>3751</v>
      </c>
      <c r="I549" s="634" t="s">
        <v>6215</v>
      </c>
      <c r="J549" s="1242"/>
      <c r="K549" s="1331"/>
    </row>
    <row r="550" spans="1:11">
      <c r="A550" s="428" t="s">
        <v>8879</v>
      </c>
      <c r="B550" s="570" t="s">
        <v>8881</v>
      </c>
      <c r="C550" s="631" t="s">
        <v>6268</v>
      </c>
      <c r="D550" s="413" t="s">
        <v>123</v>
      </c>
      <c r="E550" s="384">
        <v>1</v>
      </c>
      <c r="F550" s="482" t="s">
        <v>3752</v>
      </c>
      <c r="G550" s="486" t="s">
        <v>5712</v>
      </c>
      <c r="H550" s="593" t="s">
        <v>3753</v>
      </c>
      <c r="I550" s="634" t="s">
        <v>6215</v>
      </c>
      <c r="J550" s="1242"/>
      <c r="K550" s="1331"/>
    </row>
    <row r="551" spans="1:11">
      <c r="A551" s="428" t="s">
        <v>8879</v>
      </c>
      <c r="B551" s="570" t="s">
        <v>8881</v>
      </c>
      <c r="C551" s="631" t="s">
        <v>6268</v>
      </c>
      <c r="D551" s="413" t="s">
        <v>123</v>
      </c>
      <c r="E551" s="384">
        <v>1</v>
      </c>
      <c r="F551" s="482" t="s">
        <v>3754</v>
      </c>
      <c r="G551" s="486" t="s">
        <v>5713</v>
      </c>
      <c r="H551" s="593" t="s">
        <v>3755</v>
      </c>
      <c r="I551" s="634" t="s">
        <v>6215</v>
      </c>
      <c r="J551" s="1242"/>
      <c r="K551" s="1331"/>
    </row>
    <row r="552" spans="1:11">
      <c r="A552" s="428" t="s">
        <v>8879</v>
      </c>
      <c r="B552" s="570" t="s">
        <v>8881</v>
      </c>
      <c r="C552" s="631" t="s">
        <v>6268</v>
      </c>
      <c r="D552" s="413" t="s">
        <v>123</v>
      </c>
      <c r="E552" s="384">
        <v>1</v>
      </c>
      <c r="F552" s="482" t="s">
        <v>3756</v>
      </c>
      <c r="G552" s="486" t="s">
        <v>5714</v>
      </c>
      <c r="H552" s="593" t="s">
        <v>3757</v>
      </c>
      <c r="I552" s="634" t="s">
        <v>6215</v>
      </c>
      <c r="J552" s="1242"/>
      <c r="K552" s="1331"/>
    </row>
    <row r="553" spans="1:11">
      <c r="A553" s="428" t="s">
        <v>8879</v>
      </c>
      <c r="B553" s="570" t="s">
        <v>8881</v>
      </c>
      <c r="C553" s="631" t="s">
        <v>6268</v>
      </c>
      <c r="D553" s="413" t="s">
        <v>123</v>
      </c>
      <c r="E553" s="384">
        <v>1</v>
      </c>
      <c r="F553" s="482" t="s">
        <v>3758</v>
      </c>
      <c r="G553" s="486" t="s">
        <v>5715</v>
      </c>
      <c r="H553" s="593" t="s">
        <v>3759</v>
      </c>
      <c r="I553" s="634" t="s">
        <v>6215</v>
      </c>
      <c r="J553" s="1242"/>
      <c r="K553" s="1331"/>
    </row>
    <row r="554" spans="1:11">
      <c r="A554" s="428" t="s">
        <v>8879</v>
      </c>
      <c r="B554" s="570" t="s">
        <v>8881</v>
      </c>
      <c r="C554" s="631" t="s">
        <v>6268</v>
      </c>
      <c r="D554" s="413" t="s">
        <v>123</v>
      </c>
      <c r="E554" s="384">
        <v>1</v>
      </c>
      <c r="F554" s="482" t="s">
        <v>3760</v>
      </c>
      <c r="G554" s="486" t="s">
        <v>5716</v>
      </c>
      <c r="H554" s="593" t="s">
        <v>3761</v>
      </c>
      <c r="I554" s="634" t="s">
        <v>6215</v>
      </c>
      <c r="J554" s="1242"/>
      <c r="K554" s="1331"/>
    </row>
    <row r="555" spans="1:11">
      <c r="A555" s="428" t="s">
        <v>8879</v>
      </c>
      <c r="B555" s="570" t="s">
        <v>8881</v>
      </c>
      <c r="C555" s="631" t="s">
        <v>6268</v>
      </c>
      <c r="D555" s="413" t="s">
        <v>123</v>
      </c>
      <c r="E555" s="384">
        <v>1</v>
      </c>
      <c r="F555" s="482" t="s">
        <v>3762</v>
      </c>
      <c r="G555" s="486" t="s">
        <v>5717</v>
      </c>
      <c r="H555" s="593" t="s">
        <v>3763</v>
      </c>
      <c r="I555" s="634" t="s">
        <v>6215</v>
      </c>
      <c r="J555" s="1242"/>
      <c r="K555" s="1331"/>
    </row>
    <row r="556" spans="1:11">
      <c r="A556" s="428" t="s">
        <v>8879</v>
      </c>
      <c r="B556" s="570" t="s">
        <v>8881</v>
      </c>
      <c r="C556" s="631" t="s">
        <v>6268</v>
      </c>
      <c r="D556" s="413" t="s">
        <v>123</v>
      </c>
      <c r="E556" s="384">
        <v>1</v>
      </c>
      <c r="F556" s="482" t="s">
        <v>3764</v>
      </c>
      <c r="G556" s="486" t="s">
        <v>5718</v>
      </c>
      <c r="H556" s="593" t="s">
        <v>3765</v>
      </c>
      <c r="I556" s="634" t="s">
        <v>6215</v>
      </c>
      <c r="J556" s="1242"/>
      <c r="K556" s="1331"/>
    </row>
    <row r="557" spans="1:11">
      <c r="A557" s="428" t="s">
        <v>8879</v>
      </c>
      <c r="B557" s="570" t="s">
        <v>8881</v>
      </c>
      <c r="C557" s="631" t="s">
        <v>6268</v>
      </c>
      <c r="D557" s="413" t="s">
        <v>123</v>
      </c>
      <c r="E557" s="384">
        <v>1</v>
      </c>
      <c r="F557" s="482" t="s">
        <v>3766</v>
      </c>
      <c r="G557" s="486" t="s">
        <v>5719</v>
      </c>
      <c r="H557" s="593" t="s">
        <v>3767</v>
      </c>
      <c r="I557" s="634" t="s">
        <v>6215</v>
      </c>
      <c r="J557" s="1242"/>
      <c r="K557" s="1331"/>
    </row>
    <row r="558" spans="1:11">
      <c r="A558" s="428" t="s">
        <v>8879</v>
      </c>
      <c r="B558" s="570" t="s">
        <v>8881</v>
      </c>
      <c r="C558" s="631" t="s">
        <v>6268</v>
      </c>
      <c r="D558" s="413" t="s">
        <v>123</v>
      </c>
      <c r="E558" s="384">
        <v>1</v>
      </c>
      <c r="F558" s="482" t="s">
        <v>3768</v>
      </c>
      <c r="G558" s="486" t="s">
        <v>5720</v>
      </c>
      <c r="H558" s="593" t="s">
        <v>3769</v>
      </c>
      <c r="I558" s="634" t="s">
        <v>6215</v>
      </c>
      <c r="J558" s="1242"/>
      <c r="K558" s="1331"/>
    </row>
    <row r="559" spans="1:11">
      <c r="A559" s="428" t="s">
        <v>8879</v>
      </c>
      <c r="B559" s="570" t="s">
        <v>8881</v>
      </c>
      <c r="C559" s="631" t="s">
        <v>6268</v>
      </c>
      <c r="D559" s="413" t="s">
        <v>123</v>
      </c>
      <c r="E559" s="384">
        <v>1</v>
      </c>
      <c r="F559" s="482" t="s">
        <v>3770</v>
      </c>
      <c r="G559" s="486" t="s">
        <v>5721</v>
      </c>
      <c r="H559" s="593" t="s">
        <v>3771</v>
      </c>
      <c r="I559" s="634" t="s">
        <v>6215</v>
      </c>
      <c r="J559" s="1242"/>
      <c r="K559" s="1331"/>
    </row>
    <row r="560" spans="1:11">
      <c r="A560" s="428" t="s">
        <v>8879</v>
      </c>
      <c r="B560" s="570" t="s">
        <v>8881</v>
      </c>
      <c r="C560" s="631" t="s">
        <v>6268</v>
      </c>
      <c r="D560" s="413" t="s">
        <v>123</v>
      </c>
      <c r="E560" s="384">
        <v>1</v>
      </c>
      <c r="F560" s="482" t="s">
        <v>3772</v>
      </c>
      <c r="G560" s="486" t="s">
        <v>5722</v>
      </c>
      <c r="H560" s="593" t="s">
        <v>3773</v>
      </c>
      <c r="I560" s="634" t="s">
        <v>6215</v>
      </c>
      <c r="J560" s="1242"/>
      <c r="K560" s="1331"/>
    </row>
    <row r="561" spans="1:11">
      <c r="A561" s="428" t="s">
        <v>8879</v>
      </c>
      <c r="B561" s="570" t="s">
        <v>8881</v>
      </c>
      <c r="C561" s="631" t="s">
        <v>6268</v>
      </c>
      <c r="D561" s="413" t="s">
        <v>123</v>
      </c>
      <c r="E561" s="384">
        <v>1</v>
      </c>
      <c r="F561" s="482" t="s">
        <v>3774</v>
      </c>
      <c r="G561" s="486" t="s">
        <v>5723</v>
      </c>
      <c r="H561" s="593" t="s">
        <v>3775</v>
      </c>
      <c r="I561" s="634" t="s">
        <v>6215</v>
      </c>
      <c r="J561" s="1242"/>
      <c r="K561" s="1331"/>
    </row>
    <row r="562" spans="1:11">
      <c r="A562" s="428" t="s">
        <v>8879</v>
      </c>
      <c r="B562" s="570" t="s">
        <v>8881</v>
      </c>
      <c r="C562" s="631" t="s">
        <v>6268</v>
      </c>
      <c r="D562" s="413" t="s">
        <v>123</v>
      </c>
      <c r="E562" s="384">
        <v>1</v>
      </c>
      <c r="F562" s="482" t="s">
        <v>3776</v>
      </c>
      <c r="G562" s="486" t="s">
        <v>5724</v>
      </c>
      <c r="H562" s="593" t="s">
        <v>3777</v>
      </c>
      <c r="I562" s="634" t="s">
        <v>6215</v>
      </c>
      <c r="J562" s="1242"/>
      <c r="K562" s="1331"/>
    </row>
    <row r="563" spans="1:11">
      <c r="A563" s="428" t="s">
        <v>8879</v>
      </c>
      <c r="B563" s="570" t="s">
        <v>8881</v>
      </c>
      <c r="C563" s="631" t="s">
        <v>6268</v>
      </c>
      <c r="D563" s="413" t="s">
        <v>123</v>
      </c>
      <c r="E563" s="384">
        <v>1</v>
      </c>
      <c r="F563" s="482" t="s">
        <v>3778</v>
      </c>
      <c r="G563" s="486" t="s">
        <v>5725</v>
      </c>
      <c r="H563" s="593" t="s">
        <v>3779</v>
      </c>
      <c r="I563" s="634" t="s">
        <v>6215</v>
      </c>
      <c r="J563" s="1242"/>
      <c r="K563" s="1331"/>
    </row>
    <row r="564" spans="1:11">
      <c r="A564" s="428" t="s">
        <v>8879</v>
      </c>
      <c r="B564" s="570" t="s">
        <v>8881</v>
      </c>
      <c r="C564" s="631" t="s">
        <v>6268</v>
      </c>
      <c r="D564" s="413" t="s">
        <v>123</v>
      </c>
      <c r="E564" s="384">
        <v>1</v>
      </c>
      <c r="F564" s="482" t="s">
        <v>3780</v>
      </c>
      <c r="G564" s="486" t="s">
        <v>5726</v>
      </c>
      <c r="H564" s="593" t="s">
        <v>3781</v>
      </c>
      <c r="I564" s="634" t="s">
        <v>6215</v>
      </c>
      <c r="J564" s="1242"/>
      <c r="K564" s="1331"/>
    </row>
    <row r="565" spans="1:11">
      <c r="A565" s="428" t="s">
        <v>8879</v>
      </c>
      <c r="B565" s="570" t="s">
        <v>8881</v>
      </c>
      <c r="C565" s="631" t="s">
        <v>6268</v>
      </c>
      <c r="D565" s="413" t="s">
        <v>123</v>
      </c>
      <c r="E565" s="384">
        <v>1</v>
      </c>
      <c r="F565" s="482" t="s">
        <v>3782</v>
      </c>
      <c r="G565" s="486" t="s">
        <v>5727</v>
      </c>
      <c r="H565" s="593" t="s">
        <v>3783</v>
      </c>
      <c r="I565" s="634" t="s">
        <v>6215</v>
      </c>
      <c r="J565" s="1242"/>
      <c r="K565" s="1331"/>
    </row>
    <row r="566" spans="1:11">
      <c r="A566" s="428" t="s">
        <v>8879</v>
      </c>
      <c r="B566" s="570" t="s">
        <v>8881</v>
      </c>
      <c r="C566" s="631" t="s">
        <v>6268</v>
      </c>
      <c r="D566" s="413" t="s">
        <v>123</v>
      </c>
      <c r="E566" s="384">
        <v>1</v>
      </c>
      <c r="F566" s="482" t="s">
        <v>3784</v>
      </c>
      <c r="G566" s="486" t="s">
        <v>5728</v>
      </c>
      <c r="H566" s="593" t="s">
        <v>3785</v>
      </c>
      <c r="I566" s="634" t="s">
        <v>6215</v>
      </c>
      <c r="J566" s="1242"/>
      <c r="K566" s="1331"/>
    </row>
    <row r="567" spans="1:11">
      <c r="A567" s="428" t="s">
        <v>8879</v>
      </c>
      <c r="B567" s="570" t="s">
        <v>8881</v>
      </c>
      <c r="C567" s="631" t="s">
        <v>6268</v>
      </c>
      <c r="D567" s="413" t="s">
        <v>123</v>
      </c>
      <c r="E567" s="384">
        <v>1</v>
      </c>
      <c r="F567" s="482" t="s">
        <v>3786</v>
      </c>
      <c r="G567" s="486" t="s">
        <v>5729</v>
      </c>
      <c r="H567" s="593" t="s">
        <v>3787</v>
      </c>
      <c r="I567" s="634" t="s">
        <v>6215</v>
      </c>
      <c r="J567" s="1242"/>
      <c r="K567" s="1331"/>
    </row>
    <row r="568" spans="1:11">
      <c r="A568" s="428" t="s">
        <v>8879</v>
      </c>
      <c r="B568" s="570" t="s">
        <v>8881</v>
      </c>
      <c r="C568" s="631" t="s">
        <v>6268</v>
      </c>
      <c r="D568" s="413" t="s">
        <v>123</v>
      </c>
      <c r="E568" s="384">
        <v>1</v>
      </c>
      <c r="F568" s="482" t="s">
        <v>3788</v>
      </c>
      <c r="G568" s="486" t="s">
        <v>5730</v>
      </c>
      <c r="H568" s="593" t="s">
        <v>3789</v>
      </c>
      <c r="I568" s="634" t="s">
        <v>6215</v>
      </c>
      <c r="J568" s="1242"/>
      <c r="K568" s="1331"/>
    </row>
    <row r="569" spans="1:11">
      <c r="A569" s="428" t="s">
        <v>8879</v>
      </c>
      <c r="B569" s="570" t="s">
        <v>8881</v>
      </c>
      <c r="C569" s="631" t="s">
        <v>6268</v>
      </c>
      <c r="D569" s="413" t="s">
        <v>123</v>
      </c>
      <c r="E569" s="384">
        <v>1</v>
      </c>
      <c r="F569" s="482" t="s">
        <v>3790</v>
      </c>
      <c r="G569" s="486" t="s">
        <v>5731</v>
      </c>
      <c r="H569" s="593" t="s">
        <v>3791</v>
      </c>
      <c r="I569" s="634" t="s">
        <v>6215</v>
      </c>
      <c r="J569" s="1242"/>
      <c r="K569" s="1331"/>
    </row>
    <row r="570" spans="1:11">
      <c r="A570" s="428" t="s">
        <v>8879</v>
      </c>
      <c r="B570" s="570" t="s">
        <v>8881</v>
      </c>
      <c r="C570" s="631" t="s">
        <v>6268</v>
      </c>
      <c r="D570" s="413" t="s">
        <v>123</v>
      </c>
      <c r="E570" s="384">
        <v>1</v>
      </c>
      <c r="F570" s="482" t="s">
        <v>3792</v>
      </c>
      <c r="G570" s="486" t="s">
        <v>5732</v>
      </c>
      <c r="H570" s="593" t="s">
        <v>3793</v>
      </c>
      <c r="I570" s="634" t="s">
        <v>6215</v>
      </c>
      <c r="J570" s="1242"/>
      <c r="K570" s="1331"/>
    </row>
    <row r="571" spans="1:11">
      <c r="A571" s="428" t="s">
        <v>8879</v>
      </c>
      <c r="B571" s="570" t="s">
        <v>8881</v>
      </c>
      <c r="C571" s="631" t="s">
        <v>6268</v>
      </c>
      <c r="D571" s="413" t="s">
        <v>123</v>
      </c>
      <c r="E571" s="384">
        <v>1</v>
      </c>
      <c r="F571" s="482" t="s">
        <v>3794</v>
      </c>
      <c r="G571" s="486" t="s">
        <v>5733</v>
      </c>
      <c r="H571" s="593" t="s">
        <v>3795</v>
      </c>
      <c r="I571" s="634" t="s">
        <v>6215</v>
      </c>
      <c r="J571" s="1242"/>
      <c r="K571" s="1331"/>
    </row>
    <row r="572" spans="1:11">
      <c r="A572" s="428" t="s">
        <v>8879</v>
      </c>
      <c r="B572" s="570" t="s">
        <v>8881</v>
      </c>
      <c r="C572" s="631" t="s">
        <v>6268</v>
      </c>
      <c r="D572" s="413" t="s">
        <v>123</v>
      </c>
      <c r="E572" s="384">
        <v>1</v>
      </c>
      <c r="F572" s="482" t="s">
        <v>3796</v>
      </c>
      <c r="G572" s="486" t="s">
        <v>5734</v>
      </c>
      <c r="H572" s="593" t="s">
        <v>3797</v>
      </c>
      <c r="I572" s="634" t="s">
        <v>6215</v>
      </c>
      <c r="J572" s="1242"/>
      <c r="K572" s="1331"/>
    </row>
    <row r="573" spans="1:11">
      <c r="A573" s="428" t="s">
        <v>8879</v>
      </c>
      <c r="B573" s="570" t="s">
        <v>8881</v>
      </c>
      <c r="C573" s="631" t="s">
        <v>6268</v>
      </c>
      <c r="D573" s="413" t="s">
        <v>123</v>
      </c>
      <c r="E573" s="384">
        <v>1</v>
      </c>
      <c r="F573" s="482" t="s">
        <v>3798</v>
      </c>
      <c r="G573" s="486" t="s">
        <v>5735</v>
      </c>
      <c r="H573" s="593" t="s">
        <v>3799</v>
      </c>
      <c r="I573" s="634" t="s">
        <v>6215</v>
      </c>
      <c r="J573" s="1242"/>
      <c r="K573" s="1331"/>
    </row>
    <row r="574" spans="1:11">
      <c r="A574" s="428" t="s">
        <v>8879</v>
      </c>
      <c r="B574" s="570" t="s">
        <v>8881</v>
      </c>
      <c r="C574" s="631" t="s">
        <v>6268</v>
      </c>
      <c r="D574" s="413" t="s">
        <v>123</v>
      </c>
      <c r="E574" s="384">
        <v>1</v>
      </c>
      <c r="F574" s="482" t="s">
        <v>3800</v>
      </c>
      <c r="G574" s="486" t="s">
        <v>5736</v>
      </c>
      <c r="H574" s="593" t="s">
        <v>3801</v>
      </c>
      <c r="I574" s="634" t="s">
        <v>6215</v>
      </c>
      <c r="J574" s="1242"/>
      <c r="K574" s="1331"/>
    </row>
    <row r="575" spans="1:11">
      <c r="A575" s="428" t="s">
        <v>8879</v>
      </c>
      <c r="B575" s="570" t="s">
        <v>8881</v>
      </c>
      <c r="C575" s="631" t="s">
        <v>6268</v>
      </c>
      <c r="D575" s="413" t="s">
        <v>123</v>
      </c>
      <c r="E575" s="384">
        <v>1</v>
      </c>
      <c r="F575" s="482" t="s">
        <v>3802</v>
      </c>
      <c r="G575" s="486" t="s">
        <v>5737</v>
      </c>
      <c r="H575" s="593" t="s">
        <v>3803</v>
      </c>
      <c r="I575" s="634" t="s">
        <v>6215</v>
      </c>
      <c r="J575" s="1242"/>
      <c r="K575" s="1331"/>
    </row>
    <row r="576" spans="1:11">
      <c r="A576" s="428" t="s">
        <v>8879</v>
      </c>
      <c r="B576" s="570" t="s">
        <v>8881</v>
      </c>
      <c r="C576" s="631" t="s">
        <v>6268</v>
      </c>
      <c r="D576" s="413" t="s">
        <v>123</v>
      </c>
      <c r="E576" s="384">
        <v>1</v>
      </c>
      <c r="F576" s="482" t="s">
        <v>3804</v>
      </c>
      <c r="G576" s="486" t="s">
        <v>5738</v>
      </c>
      <c r="H576" s="593" t="s">
        <v>3805</v>
      </c>
      <c r="I576" s="634" t="s">
        <v>6215</v>
      </c>
      <c r="J576" s="1242"/>
      <c r="K576" s="1331"/>
    </row>
    <row r="577" spans="1:11">
      <c r="A577" s="428" t="s">
        <v>8879</v>
      </c>
      <c r="B577" s="570" t="s">
        <v>8881</v>
      </c>
      <c r="C577" s="631" t="s">
        <v>6268</v>
      </c>
      <c r="D577" s="413" t="s">
        <v>123</v>
      </c>
      <c r="E577" s="384">
        <v>1</v>
      </c>
      <c r="F577" s="482" t="s">
        <v>3806</v>
      </c>
      <c r="G577" s="486" t="s">
        <v>5739</v>
      </c>
      <c r="H577" s="593" t="s">
        <v>3807</v>
      </c>
      <c r="I577" s="634" t="s">
        <v>6215</v>
      </c>
      <c r="J577" s="1242"/>
      <c r="K577" s="1331"/>
    </row>
    <row r="578" spans="1:11">
      <c r="A578" s="428" t="s">
        <v>8879</v>
      </c>
      <c r="B578" s="570" t="s">
        <v>8881</v>
      </c>
      <c r="C578" s="631" t="s">
        <v>6268</v>
      </c>
      <c r="D578" s="413" t="s">
        <v>123</v>
      </c>
      <c r="E578" s="384">
        <v>1</v>
      </c>
      <c r="F578" s="482" t="s">
        <v>3808</v>
      </c>
      <c r="G578" s="486" t="s">
        <v>5740</v>
      </c>
      <c r="H578" s="593" t="s">
        <v>3809</v>
      </c>
      <c r="I578" s="634" t="s">
        <v>6215</v>
      </c>
      <c r="J578" s="1242"/>
      <c r="K578" s="1331"/>
    </row>
    <row r="579" spans="1:11">
      <c r="A579" s="428" t="s">
        <v>8879</v>
      </c>
      <c r="B579" s="570" t="s">
        <v>8881</v>
      </c>
      <c r="C579" s="631" t="s">
        <v>6268</v>
      </c>
      <c r="D579" s="413" t="s">
        <v>123</v>
      </c>
      <c r="E579" s="384">
        <v>1</v>
      </c>
      <c r="F579" s="482" t="s">
        <v>3810</v>
      </c>
      <c r="G579" s="486" t="s">
        <v>5741</v>
      </c>
      <c r="H579" s="593" t="s">
        <v>3811</v>
      </c>
      <c r="I579" s="634" t="s">
        <v>6215</v>
      </c>
      <c r="J579" s="1242"/>
      <c r="K579" s="1331"/>
    </row>
    <row r="580" spans="1:11">
      <c r="A580" s="428" t="s">
        <v>8879</v>
      </c>
      <c r="B580" s="570" t="s">
        <v>8881</v>
      </c>
      <c r="C580" s="631" t="s">
        <v>6268</v>
      </c>
      <c r="D580" s="413" t="s">
        <v>123</v>
      </c>
      <c r="E580" s="384">
        <v>1</v>
      </c>
      <c r="F580" s="482" t="s">
        <v>3812</v>
      </c>
      <c r="G580" s="486" t="s">
        <v>5742</v>
      </c>
      <c r="H580" s="593" t="s">
        <v>3813</v>
      </c>
      <c r="I580" s="634" t="s">
        <v>6215</v>
      </c>
      <c r="J580" s="1242"/>
      <c r="K580" s="1331"/>
    </row>
    <row r="581" spans="1:11">
      <c r="A581" s="428" t="s">
        <v>8879</v>
      </c>
      <c r="B581" s="570" t="s">
        <v>8881</v>
      </c>
      <c r="C581" s="631" t="s">
        <v>6268</v>
      </c>
      <c r="D581" s="413" t="s">
        <v>123</v>
      </c>
      <c r="E581" s="384">
        <v>1</v>
      </c>
      <c r="F581" s="482" t="s">
        <v>3814</v>
      </c>
      <c r="G581" s="486" t="s">
        <v>5743</v>
      </c>
      <c r="H581" s="593" t="s">
        <v>3815</v>
      </c>
      <c r="I581" s="634" t="s">
        <v>6215</v>
      </c>
      <c r="J581" s="1242"/>
      <c r="K581" s="1331"/>
    </row>
    <row r="582" spans="1:11">
      <c r="A582" s="428" t="s">
        <v>8879</v>
      </c>
      <c r="B582" s="570" t="s">
        <v>8881</v>
      </c>
      <c r="C582" s="631" t="s">
        <v>6268</v>
      </c>
      <c r="D582" s="413" t="s">
        <v>123</v>
      </c>
      <c r="E582" s="384">
        <v>1</v>
      </c>
      <c r="F582" s="482" t="s">
        <v>3816</v>
      </c>
      <c r="G582" s="486" t="s">
        <v>5744</v>
      </c>
      <c r="H582" s="593" t="s">
        <v>3817</v>
      </c>
      <c r="I582" s="634" t="s">
        <v>6215</v>
      </c>
      <c r="J582" s="1242"/>
      <c r="K582" s="1331"/>
    </row>
    <row r="583" spans="1:11">
      <c r="A583" s="428" t="s">
        <v>8879</v>
      </c>
      <c r="B583" s="570" t="s">
        <v>8881</v>
      </c>
      <c r="C583" s="631" t="s">
        <v>6268</v>
      </c>
      <c r="D583" s="413" t="s">
        <v>123</v>
      </c>
      <c r="E583" s="384">
        <v>1</v>
      </c>
      <c r="F583" s="482" t="s">
        <v>3818</v>
      </c>
      <c r="G583" s="486" t="s">
        <v>5745</v>
      </c>
      <c r="H583" s="593" t="s">
        <v>3819</v>
      </c>
      <c r="I583" s="634" t="s">
        <v>6215</v>
      </c>
      <c r="J583" s="1242"/>
      <c r="K583" s="1331"/>
    </row>
    <row r="584" spans="1:11">
      <c r="A584" s="428" t="s">
        <v>8879</v>
      </c>
      <c r="B584" s="570" t="s">
        <v>8881</v>
      </c>
      <c r="C584" s="631" t="s">
        <v>6268</v>
      </c>
      <c r="D584" s="413" t="s">
        <v>123</v>
      </c>
      <c r="E584" s="384">
        <v>1</v>
      </c>
      <c r="F584" s="482" t="s">
        <v>3820</v>
      </c>
      <c r="G584" s="486" t="s">
        <v>5746</v>
      </c>
      <c r="H584" s="593" t="s">
        <v>3821</v>
      </c>
      <c r="I584" s="634" t="s">
        <v>6215</v>
      </c>
      <c r="J584" s="1242"/>
      <c r="K584" s="1331"/>
    </row>
    <row r="585" spans="1:11">
      <c r="A585" s="428" t="s">
        <v>8879</v>
      </c>
      <c r="B585" s="570" t="s">
        <v>8881</v>
      </c>
      <c r="C585" s="631" t="s">
        <v>6268</v>
      </c>
      <c r="D585" s="413" t="s">
        <v>123</v>
      </c>
      <c r="E585" s="384">
        <v>1</v>
      </c>
      <c r="F585" s="482" t="s">
        <v>3822</v>
      </c>
      <c r="G585" s="486" t="s">
        <v>5747</v>
      </c>
      <c r="H585" s="593" t="s">
        <v>3823</v>
      </c>
      <c r="I585" s="634" t="s">
        <v>6215</v>
      </c>
      <c r="J585" s="1242"/>
      <c r="K585" s="1331"/>
    </row>
    <row r="586" spans="1:11">
      <c r="A586" s="428" t="s">
        <v>8879</v>
      </c>
      <c r="B586" s="570" t="s">
        <v>8881</v>
      </c>
      <c r="C586" s="631" t="s">
        <v>6268</v>
      </c>
      <c r="D586" s="413" t="s">
        <v>123</v>
      </c>
      <c r="E586" s="384">
        <v>1</v>
      </c>
      <c r="F586" s="482" t="s">
        <v>3824</v>
      </c>
      <c r="G586" s="486" t="s">
        <v>5748</v>
      </c>
      <c r="H586" s="593" t="s">
        <v>3825</v>
      </c>
      <c r="I586" s="634" t="s">
        <v>6215</v>
      </c>
      <c r="J586" s="1242"/>
      <c r="K586" s="1331"/>
    </row>
    <row r="587" spans="1:11">
      <c r="A587" s="428" t="s">
        <v>8879</v>
      </c>
      <c r="B587" s="570" t="s">
        <v>8881</v>
      </c>
      <c r="C587" s="631" t="s">
        <v>6268</v>
      </c>
      <c r="D587" s="413" t="s">
        <v>123</v>
      </c>
      <c r="E587" s="384">
        <v>1</v>
      </c>
      <c r="F587" s="482" t="s">
        <v>3826</v>
      </c>
      <c r="G587" s="486" t="s">
        <v>5749</v>
      </c>
      <c r="H587" s="593" t="s">
        <v>3827</v>
      </c>
      <c r="I587" s="634" t="s">
        <v>6215</v>
      </c>
      <c r="J587" s="1242"/>
      <c r="K587" s="1331"/>
    </row>
    <row r="588" spans="1:11">
      <c r="A588" s="428" t="s">
        <v>8879</v>
      </c>
      <c r="B588" s="570" t="s">
        <v>8881</v>
      </c>
      <c r="C588" s="631" t="s">
        <v>6268</v>
      </c>
      <c r="D588" s="413" t="s">
        <v>123</v>
      </c>
      <c r="E588" s="384">
        <v>1</v>
      </c>
      <c r="F588" s="482" t="s">
        <v>3828</v>
      </c>
      <c r="G588" s="486" t="s">
        <v>5750</v>
      </c>
      <c r="H588" s="593" t="s">
        <v>3829</v>
      </c>
      <c r="I588" s="634" t="s">
        <v>6215</v>
      </c>
      <c r="J588" s="1242"/>
      <c r="K588" s="1331"/>
    </row>
    <row r="589" spans="1:11">
      <c r="A589" s="428" t="s">
        <v>8879</v>
      </c>
      <c r="B589" s="570" t="s">
        <v>8881</v>
      </c>
      <c r="C589" s="631" t="s">
        <v>6268</v>
      </c>
      <c r="D589" s="413" t="s">
        <v>123</v>
      </c>
      <c r="E589" s="384">
        <v>1</v>
      </c>
      <c r="F589" s="482" t="s">
        <v>3830</v>
      </c>
      <c r="G589" s="486" t="s">
        <v>5751</v>
      </c>
      <c r="H589" s="593" t="s">
        <v>3831</v>
      </c>
      <c r="I589" s="634" t="s">
        <v>6215</v>
      </c>
      <c r="J589" s="1242"/>
      <c r="K589" s="1331"/>
    </row>
    <row r="590" spans="1:11">
      <c r="A590" s="428" t="s">
        <v>8879</v>
      </c>
      <c r="B590" s="570" t="s">
        <v>8881</v>
      </c>
      <c r="C590" s="631" t="s">
        <v>6268</v>
      </c>
      <c r="D590" s="413" t="s">
        <v>123</v>
      </c>
      <c r="E590" s="384">
        <v>1</v>
      </c>
      <c r="F590" s="482" t="s">
        <v>3832</v>
      </c>
      <c r="G590" s="486" t="s">
        <v>5752</v>
      </c>
      <c r="H590" s="593" t="s">
        <v>3833</v>
      </c>
      <c r="I590" s="634" t="s">
        <v>6215</v>
      </c>
      <c r="J590" s="1242"/>
      <c r="K590" s="1331"/>
    </row>
    <row r="591" spans="1:11">
      <c r="A591" s="428" t="s">
        <v>8879</v>
      </c>
      <c r="B591" s="570" t="s">
        <v>8881</v>
      </c>
      <c r="C591" s="631" t="s">
        <v>6268</v>
      </c>
      <c r="D591" s="413" t="s">
        <v>123</v>
      </c>
      <c r="E591" s="384">
        <v>1</v>
      </c>
      <c r="F591" s="482" t="s">
        <v>3834</v>
      </c>
      <c r="G591" s="486" t="s">
        <v>5753</v>
      </c>
      <c r="H591" s="593" t="s">
        <v>3835</v>
      </c>
      <c r="I591" s="634" t="s">
        <v>6215</v>
      </c>
      <c r="J591" s="1242"/>
      <c r="K591" s="1331"/>
    </row>
    <row r="592" spans="1:11">
      <c r="A592" s="428" t="s">
        <v>8879</v>
      </c>
      <c r="B592" s="570" t="s">
        <v>8881</v>
      </c>
      <c r="C592" s="631" t="s">
        <v>6268</v>
      </c>
      <c r="D592" s="413" t="s">
        <v>123</v>
      </c>
      <c r="E592" s="384">
        <v>1</v>
      </c>
      <c r="F592" s="482" t="s">
        <v>3836</v>
      </c>
      <c r="G592" s="486" t="s">
        <v>5754</v>
      </c>
      <c r="H592" s="593" t="s">
        <v>3837</v>
      </c>
      <c r="I592" s="634" t="s">
        <v>6215</v>
      </c>
      <c r="J592" s="1242"/>
      <c r="K592" s="1331"/>
    </row>
    <row r="593" spans="1:11">
      <c r="A593" s="428" t="s">
        <v>8879</v>
      </c>
      <c r="B593" s="570" t="s">
        <v>8881</v>
      </c>
      <c r="C593" s="631" t="s">
        <v>6268</v>
      </c>
      <c r="D593" s="413" t="s">
        <v>123</v>
      </c>
      <c r="E593" s="384">
        <v>1</v>
      </c>
      <c r="F593" s="482">
        <v>49</v>
      </c>
      <c r="G593" s="486" t="s">
        <v>5755</v>
      </c>
      <c r="H593" s="593" t="s">
        <v>3838</v>
      </c>
      <c r="I593" s="634" t="s">
        <v>6215</v>
      </c>
      <c r="J593" s="1242"/>
      <c r="K593" s="1331"/>
    </row>
    <row r="594" spans="1:11">
      <c r="A594" s="428" t="s">
        <v>8879</v>
      </c>
      <c r="B594" s="570" t="s">
        <v>8881</v>
      </c>
      <c r="C594" s="631" t="s">
        <v>6268</v>
      </c>
      <c r="D594" s="413" t="s">
        <v>123</v>
      </c>
      <c r="E594" s="384">
        <v>1</v>
      </c>
      <c r="F594" s="482" t="s">
        <v>3839</v>
      </c>
      <c r="G594" s="486" t="s">
        <v>5756</v>
      </c>
      <c r="H594" s="593" t="s">
        <v>3840</v>
      </c>
      <c r="I594" s="634" t="s">
        <v>6215</v>
      </c>
      <c r="J594" s="1242"/>
      <c r="K594" s="1331"/>
    </row>
    <row r="595" spans="1:11">
      <c r="A595" s="428" t="s">
        <v>8879</v>
      </c>
      <c r="B595" s="570" t="s">
        <v>8881</v>
      </c>
      <c r="C595" s="631" t="s">
        <v>6268</v>
      </c>
      <c r="D595" s="413" t="s">
        <v>123</v>
      </c>
      <c r="E595" s="384">
        <v>1</v>
      </c>
      <c r="F595" s="482" t="s">
        <v>3841</v>
      </c>
      <c r="G595" s="486" t="s">
        <v>5757</v>
      </c>
      <c r="H595" s="593" t="s">
        <v>3842</v>
      </c>
      <c r="I595" s="634" t="s">
        <v>6215</v>
      </c>
      <c r="J595" s="1242"/>
      <c r="K595" s="1331"/>
    </row>
    <row r="596" spans="1:11">
      <c r="A596" s="428" t="s">
        <v>8879</v>
      </c>
      <c r="B596" s="570" t="s">
        <v>8881</v>
      </c>
      <c r="C596" s="631" t="s">
        <v>6268</v>
      </c>
      <c r="D596" s="413" t="s">
        <v>123</v>
      </c>
      <c r="E596" s="384">
        <v>1</v>
      </c>
      <c r="F596" s="482" t="s">
        <v>3843</v>
      </c>
      <c r="G596" s="486" t="s">
        <v>5758</v>
      </c>
      <c r="H596" s="593" t="s">
        <v>3844</v>
      </c>
      <c r="I596" s="634" t="s">
        <v>6215</v>
      </c>
      <c r="J596" s="1242"/>
      <c r="K596" s="1331"/>
    </row>
    <row r="597" spans="1:11">
      <c r="A597" s="428" t="s">
        <v>8879</v>
      </c>
      <c r="B597" s="570" t="s">
        <v>8881</v>
      </c>
      <c r="C597" s="631" t="s">
        <v>6268</v>
      </c>
      <c r="D597" s="413" t="s">
        <v>123</v>
      </c>
      <c r="E597" s="384">
        <v>1</v>
      </c>
      <c r="F597" s="482" t="s">
        <v>3845</v>
      </c>
      <c r="G597" s="486" t="s">
        <v>5759</v>
      </c>
      <c r="H597" s="593" t="s">
        <v>3846</v>
      </c>
      <c r="I597" s="634" t="s">
        <v>6215</v>
      </c>
      <c r="J597" s="1242"/>
      <c r="K597" s="1331"/>
    </row>
    <row r="598" spans="1:11">
      <c r="A598" s="428" t="s">
        <v>8879</v>
      </c>
      <c r="B598" s="570" t="s">
        <v>8881</v>
      </c>
      <c r="C598" s="631" t="s">
        <v>6268</v>
      </c>
      <c r="D598" s="413" t="s">
        <v>123</v>
      </c>
      <c r="E598" s="384">
        <v>1</v>
      </c>
      <c r="F598" s="482" t="s">
        <v>3847</v>
      </c>
      <c r="G598" s="486" t="s">
        <v>5760</v>
      </c>
      <c r="H598" s="593" t="s">
        <v>3848</v>
      </c>
      <c r="I598" s="634" t="s">
        <v>6215</v>
      </c>
      <c r="J598" s="1242"/>
      <c r="K598" s="1331"/>
    </row>
    <row r="599" spans="1:11">
      <c r="A599" s="428" t="s">
        <v>8879</v>
      </c>
      <c r="B599" s="570" t="s">
        <v>8881</v>
      </c>
      <c r="C599" s="631" t="s">
        <v>6268</v>
      </c>
      <c r="D599" s="413" t="s">
        <v>123</v>
      </c>
      <c r="E599" s="384">
        <v>1</v>
      </c>
      <c r="F599" s="482" t="s">
        <v>3849</v>
      </c>
      <c r="G599" s="486" t="s">
        <v>5761</v>
      </c>
      <c r="H599" s="593" t="s">
        <v>3850</v>
      </c>
      <c r="I599" s="634" t="s">
        <v>6215</v>
      </c>
      <c r="J599" s="1242"/>
      <c r="K599" s="1331"/>
    </row>
    <row r="600" spans="1:11">
      <c r="A600" s="428" t="s">
        <v>8879</v>
      </c>
      <c r="B600" s="570" t="s">
        <v>8881</v>
      </c>
      <c r="C600" s="631" t="s">
        <v>6268</v>
      </c>
      <c r="D600" s="413" t="s">
        <v>123</v>
      </c>
      <c r="E600" s="384">
        <v>1</v>
      </c>
      <c r="F600" s="482" t="s">
        <v>3851</v>
      </c>
      <c r="G600" s="486" t="s">
        <v>5762</v>
      </c>
      <c r="H600" s="593" t="s">
        <v>3852</v>
      </c>
      <c r="I600" s="634" t="s">
        <v>6215</v>
      </c>
      <c r="J600" s="1242"/>
      <c r="K600" s="1331"/>
    </row>
    <row r="601" spans="1:11">
      <c r="A601" s="428" t="s">
        <v>8879</v>
      </c>
      <c r="B601" s="570" t="s">
        <v>8881</v>
      </c>
      <c r="C601" s="631" t="s">
        <v>6268</v>
      </c>
      <c r="D601" s="413" t="s">
        <v>123</v>
      </c>
      <c r="E601" s="384">
        <v>1</v>
      </c>
      <c r="F601" s="482" t="s">
        <v>3853</v>
      </c>
      <c r="G601" s="486" t="s">
        <v>5763</v>
      </c>
      <c r="H601" s="593" t="s">
        <v>3854</v>
      </c>
      <c r="I601" s="634" t="s">
        <v>6215</v>
      </c>
      <c r="J601" s="1242"/>
      <c r="K601" s="1331"/>
    </row>
    <row r="602" spans="1:11">
      <c r="A602" s="428" t="s">
        <v>8879</v>
      </c>
      <c r="B602" s="570" t="s">
        <v>8881</v>
      </c>
      <c r="C602" s="631" t="s">
        <v>6268</v>
      </c>
      <c r="D602" s="413" t="s">
        <v>123</v>
      </c>
      <c r="E602" s="384">
        <v>1</v>
      </c>
      <c r="F602" s="482" t="s">
        <v>3855</v>
      </c>
      <c r="G602" s="486" t="s">
        <v>5764</v>
      </c>
      <c r="H602" s="593" t="s">
        <v>3856</v>
      </c>
      <c r="I602" s="634" t="s">
        <v>6215</v>
      </c>
      <c r="J602" s="1242"/>
      <c r="K602" s="1331"/>
    </row>
    <row r="603" spans="1:11">
      <c r="A603" s="428" t="s">
        <v>8879</v>
      </c>
      <c r="B603" s="570" t="s">
        <v>8881</v>
      </c>
      <c r="C603" s="631" t="s">
        <v>6268</v>
      </c>
      <c r="D603" s="413" t="s">
        <v>123</v>
      </c>
      <c r="E603" s="384">
        <v>1</v>
      </c>
      <c r="F603" s="482" t="s">
        <v>3857</v>
      </c>
      <c r="G603" s="486" t="s">
        <v>5765</v>
      </c>
      <c r="H603" s="593" t="s">
        <v>3858</v>
      </c>
      <c r="I603" s="634" t="s">
        <v>6215</v>
      </c>
      <c r="J603" s="1242"/>
      <c r="K603" s="1331"/>
    </row>
    <row r="604" spans="1:11">
      <c r="A604" s="428" t="s">
        <v>8879</v>
      </c>
      <c r="B604" s="570" t="s">
        <v>8881</v>
      </c>
      <c r="C604" s="631" t="s">
        <v>6268</v>
      </c>
      <c r="D604" s="413" t="s">
        <v>123</v>
      </c>
      <c r="E604" s="384">
        <v>1</v>
      </c>
      <c r="F604" s="482">
        <v>50</v>
      </c>
      <c r="G604" s="486" t="s">
        <v>5766</v>
      </c>
      <c r="H604" s="593" t="s">
        <v>3859</v>
      </c>
      <c r="I604" s="634" t="s">
        <v>6215</v>
      </c>
      <c r="J604" s="1242"/>
      <c r="K604" s="1331"/>
    </row>
    <row r="605" spans="1:11">
      <c r="A605" s="428" t="s">
        <v>8879</v>
      </c>
      <c r="B605" s="570" t="s">
        <v>8881</v>
      </c>
      <c r="C605" s="631" t="s">
        <v>6268</v>
      </c>
      <c r="D605" s="413" t="s">
        <v>123</v>
      </c>
      <c r="E605" s="384">
        <v>1</v>
      </c>
      <c r="F605" s="482" t="s">
        <v>3860</v>
      </c>
      <c r="G605" s="486" t="s">
        <v>5767</v>
      </c>
      <c r="H605" s="593" t="s">
        <v>3861</v>
      </c>
      <c r="I605" s="634" t="s">
        <v>6215</v>
      </c>
      <c r="J605" s="1242"/>
      <c r="K605" s="1331"/>
    </row>
    <row r="606" spans="1:11">
      <c r="A606" s="428" t="s">
        <v>8879</v>
      </c>
      <c r="B606" s="570" t="s">
        <v>8881</v>
      </c>
      <c r="C606" s="631" t="s">
        <v>6268</v>
      </c>
      <c r="D606" s="413" t="s">
        <v>123</v>
      </c>
      <c r="E606" s="384">
        <v>1</v>
      </c>
      <c r="F606" s="482" t="s">
        <v>3862</v>
      </c>
      <c r="G606" s="486" t="s">
        <v>5768</v>
      </c>
      <c r="H606" s="593" t="s">
        <v>3863</v>
      </c>
      <c r="I606" s="634" t="s">
        <v>6215</v>
      </c>
      <c r="J606" s="1242"/>
      <c r="K606" s="1331"/>
    </row>
    <row r="607" spans="1:11">
      <c r="A607" s="428" t="s">
        <v>8879</v>
      </c>
      <c r="B607" s="570" t="s">
        <v>8881</v>
      </c>
      <c r="C607" s="631" t="s">
        <v>6268</v>
      </c>
      <c r="D607" s="413" t="s">
        <v>123</v>
      </c>
      <c r="E607" s="384">
        <v>1</v>
      </c>
      <c r="F607" s="482" t="s">
        <v>3864</v>
      </c>
      <c r="G607" s="486" t="s">
        <v>5769</v>
      </c>
      <c r="H607" s="593" t="s">
        <v>3865</v>
      </c>
      <c r="I607" s="634" t="s">
        <v>6215</v>
      </c>
      <c r="J607" s="1242"/>
      <c r="K607" s="1331"/>
    </row>
    <row r="608" spans="1:11">
      <c r="A608" s="428" t="s">
        <v>8879</v>
      </c>
      <c r="B608" s="570" t="s">
        <v>8881</v>
      </c>
      <c r="C608" s="631" t="s">
        <v>6268</v>
      </c>
      <c r="D608" s="413" t="s">
        <v>123</v>
      </c>
      <c r="E608" s="384">
        <v>1</v>
      </c>
      <c r="F608" s="482" t="s">
        <v>3866</v>
      </c>
      <c r="G608" s="486" t="s">
        <v>5770</v>
      </c>
      <c r="H608" s="593" t="s">
        <v>3867</v>
      </c>
      <c r="I608" s="634" t="s">
        <v>6215</v>
      </c>
      <c r="J608" s="1242"/>
      <c r="K608" s="1331"/>
    </row>
    <row r="609" spans="1:11">
      <c r="A609" s="428" t="s">
        <v>8879</v>
      </c>
      <c r="B609" s="570" t="s">
        <v>8881</v>
      </c>
      <c r="C609" s="631" t="s">
        <v>6268</v>
      </c>
      <c r="D609" s="413" t="s">
        <v>123</v>
      </c>
      <c r="E609" s="384">
        <v>1</v>
      </c>
      <c r="F609" s="482">
        <v>51</v>
      </c>
      <c r="G609" s="486" t="s">
        <v>5771</v>
      </c>
      <c r="H609" s="593" t="s">
        <v>3868</v>
      </c>
      <c r="I609" s="634" t="s">
        <v>6215</v>
      </c>
      <c r="J609" s="1242"/>
      <c r="K609" s="1331"/>
    </row>
    <row r="610" spans="1:11">
      <c r="A610" s="428" t="s">
        <v>8879</v>
      </c>
      <c r="B610" s="570" t="s">
        <v>8881</v>
      </c>
      <c r="C610" s="631" t="s">
        <v>6268</v>
      </c>
      <c r="D610" s="413" t="s">
        <v>123</v>
      </c>
      <c r="E610" s="384">
        <v>1</v>
      </c>
      <c r="F610" s="482" t="s">
        <v>3869</v>
      </c>
      <c r="G610" s="486" t="s">
        <v>5772</v>
      </c>
      <c r="H610" s="593" t="s">
        <v>3870</v>
      </c>
      <c r="I610" s="634" t="s">
        <v>6215</v>
      </c>
      <c r="J610" s="1242"/>
      <c r="K610" s="1331"/>
    </row>
    <row r="611" spans="1:11">
      <c r="A611" s="428" t="s">
        <v>8879</v>
      </c>
      <c r="B611" s="570" t="s">
        <v>8881</v>
      </c>
      <c r="C611" s="631" t="s">
        <v>6268</v>
      </c>
      <c r="D611" s="413" t="s">
        <v>123</v>
      </c>
      <c r="E611" s="384">
        <v>1</v>
      </c>
      <c r="F611" s="482" t="s">
        <v>3871</v>
      </c>
      <c r="G611" s="486" t="s">
        <v>5773</v>
      </c>
      <c r="H611" s="593" t="s">
        <v>3872</v>
      </c>
      <c r="I611" s="634" t="s">
        <v>6215</v>
      </c>
      <c r="J611" s="1242"/>
      <c r="K611" s="1331"/>
    </row>
    <row r="612" spans="1:11">
      <c r="A612" s="428" t="s">
        <v>8879</v>
      </c>
      <c r="B612" s="570" t="s">
        <v>8881</v>
      </c>
      <c r="C612" s="631" t="s">
        <v>6268</v>
      </c>
      <c r="D612" s="413" t="s">
        <v>123</v>
      </c>
      <c r="E612" s="384">
        <v>1</v>
      </c>
      <c r="F612" s="482" t="s">
        <v>3873</v>
      </c>
      <c r="G612" s="486" t="s">
        <v>5774</v>
      </c>
      <c r="H612" s="593" t="s">
        <v>3874</v>
      </c>
      <c r="I612" s="634" t="s">
        <v>6215</v>
      </c>
      <c r="J612" s="1242"/>
      <c r="K612" s="1331"/>
    </row>
    <row r="613" spans="1:11">
      <c r="A613" s="428" t="s">
        <v>8879</v>
      </c>
      <c r="B613" s="570" t="s">
        <v>8881</v>
      </c>
      <c r="C613" s="631" t="s">
        <v>6268</v>
      </c>
      <c r="D613" s="413" t="s">
        <v>123</v>
      </c>
      <c r="E613" s="384">
        <v>1</v>
      </c>
      <c r="F613" s="482" t="s">
        <v>3875</v>
      </c>
      <c r="G613" s="486" t="s">
        <v>5775</v>
      </c>
      <c r="H613" s="593" t="s">
        <v>3876</v>
      </c>
      <c r="I613" s="634" t="s">
        <v>6215</v>
      </c>
      <c r="J613" s="1242"/>
      <c r="K613" s="1331"/>
    </row>
    <row r="614" spans="1:11">
      <c r="A614" s="428" t="s">
        <v>8879</v>
      </c>
      <c r="B614" s="570" t="s">
        <v>8881</v>
      </c>
      <c r="C614" s="631" t="s">
        <v>6268</v>
      </c>
      <c r="D614" s="413" t="s">
        <v>123</v>
      </c>
      <c r="E614" s="384">
        <v>1</v>
      </c>
      <c r="F614" s="482">
        <v>52</v>
      </c>
      <c r="G614" s="486" t="s">
        <v>5776</v>
      </c>
      <c r="H614" s="593" t="s">
        <v>3877</v>
      </c>
      <c r="I614" s="634" t="s">
        <v>6215</v>
      </c>
      <c r="J614" s="1242"/>
      <c r="K614" s="1331"/>
    </row>
    <row r="615" spans="1:11">
      <c r="A615" s="428" t="s">
        <v>8879</v>
      </c>
      <c r="B615" s="570" t="s">
        <v>8881</v>
      </c>
      <c r="C615" s="631" t="s">
        <v>6268</v>
      </c>
      <c r="D615" s="413" t="s">
        <v>123</v>
      </c>
      <c r="E615" s="384">
        <v>1</v>
      </c>
      <c r="F615" s="482" t="s">
        <v>3878</v>
      </c>
      <c r="G615" s="486" t="s">
        <v>5777</v>
      </c>
      <c r="H615" s="593" t="s">
        <v>3879</v>
      </c>
      <c r="I615" s="634" t="s">
        <v>6215</v>
      </c>
      <c r="J615" s="1242"/>
      <c r="K615" s="1331"/>
    </row>
    <row r="616" spans="1:11">
      <c r="A616" s="428" t="s">
        <v>8879</v>
      </c>
      <c r="B616" s="570" t="s">
        <v>8881</v>
      </c>
      <c r="C616" s="631" t="s">
        <v>6268</v>
      </c>
      <c r="D616" s="413" t="s">
        <v>123</v>
      </c>
      <c r="E616" s="384">
        <v>1</v>
      </c>
      <c r="F616" s="482" t="s">
        <v>3880</v>
      </c>
      <c r="G616" s="486" t="s">
        <v>5778</v>
      </c>
      <c r="H616" s="593" t="s">
        <v>3881</v>
      </c>
      <c r="I616" s="634" t="s">
        <v>6215</v>
      </c>
      <c r="J616" s="1242"/>
      <c r="K616" s="1331"/>
    </row>
    <row r="617" spans="1:11">
      <c r="A617" s="428" t="s">
        <v>8879</v>
      </c>
      <c r="B617" s="570" t="s">
        <v>8881</v>
      </c>
      <c r="C617" s="631" t="s">
        <v>6268</v>
      </c>
      <c r="D617" s="413" t="s">
        <v>123</v>
      </c>
      <c r="E617" s="384">
        <v>1</v>
      </c>
      <c r="F617" s="482" t="s">
        <v>3882</v>
      </c>
      <c r="G617" s="486" t="s">
        <v>5779</v>
      </c>
      <c r="H617" s="593" t="s">
        <v>3883</v>
      </c>
      <c r="I617" s="634" t="s">
        <v>6215</v>
      </c>
      <c r="J617" s="1242"/>
      <c r="K617" s="1331"/>
    </row>
    <row r="618" spans="1:11">
      <c r="A618" s="428" t="s">
        <v>8879</v>
      </c>
      <c r="B618" s="570" t="s">
        <v>8881</v>
      </c>
      <c r="C618" s="631" t="s">
        <v>6268</v>
      </c>
      <c r="D618" s="413" t="s">
        <v>123</v>
      </c>
      <c r="E618" s="384">
        <v>1</v>
      </c>
      <c r="F618" s="482" t="s">
        <v>3884</v>
      </c>
      <c r="G618" s="486" t="s">
        <v>5780</v>
      </c>
      <c r="H618" s="593" t="s">
        <v>3885</v>
      </c>
      <c r="I618" s="634" t="s">
        <v>6215</v>
      </c>
      <c r="J618" s="1242"/>
      <c r="K618" s="1331"/>
    </row>
    <row r="619" spans="1:11">
      <c r="A619" s="428" t="s">
        <v>8879</v>
      </c>
      <c r="B619" s="570" t="s">
        <v>8881</v>
      </c>
      <c r="C619" s="631" t="s">
        <v>6268</v>
      </c>
      <c r="D619" s="413" t="s">
        <v>123</v>
      </c>
      <c r="E619" s="384">
        <v>1</v>
      </c>
      <c r="F619" s="482" t="s">
        <v>3886</v>
      </c>
      <c r="G619" s="486" t="s">
        <v>5781</v>
      </c>
      <c r="H619" s="593" t="s">
        <v>3887</v>
      </c>
      <c r="I619" s="634" t="s">
        <v>6215</v>
      </c>
      <c r="J619" s="1242"/>
      <c r="K619" s="1331"/>
    </row>
    <row r="620" spans="1:11">
      <c r="A620" s="428" t="s">
        <v>8879</v>
      </c>
      <c r="B620" s="570" t="s">
        <v>8881</v>
      </c>
      <c r="C620" s="631" t="s">
        <v>6268</v>
      </c>
      <c r="D620" s="413" t="s">
        <v>123</v>
      </c>
      <c r="E620" s="384">
        <v>1</v>
      </c>
      <c r="F620" s="482" t="s">
        <v>3888</v>
      </c>
      <c r="G620" s="486" t="s">
        <v>5782</v>
      </c>
      <c r="H620" s="593" t="s">
        <v>3889</v>
      </c>
      <c r="I620" s="634" t="s">
        <v>6215</v>
      </c>
      <c r="J620" s="1242"/>
      <c r="K620" s="1331"/>
    </row>
    <row r="621" spans="1:11">
      <c r="A621" s="428" t="s">
        <v>8879</v>
      </c>
      <c r="B621" s="570" t="s">
        <v>8881</v>
      </c>
      <c r="C621" s="631" t="s">
        <v>6268</v>
      </c>
      <c r="D621" s="413" t="s">
        <v>123</v>
      </c>
      <c r="E621" s="384">
        <v>1</v>
      </c>
      <c r="F621" s="482" t="s">
        <v>3890</v>
      </c>
      <c r="G621" s="486" t="s">
        <v>5783</v>
      </c>
      <c r="H621" s="593" t="s">
        <v>3891</v>
      </c>
      <c r="I621" s="634" t="s">
        <v>6215</v>
      </c>
      <c r="J621" s="1242"/>
      <c r="K621" s="1331"/>
    </row>
    <row r="622" spans="1:11">
      <c r="A622" s="428" t="s">
        <v>8879</v>
      </c>
      <c r="B622" s="570" t="s">
        <v>8881</v>
      </c>
      <c r="C622" s="631" t="s">
        <v>6268</v>
      </c>
      <c r="D622" s="413" t="s">
        <v>123</v>
      </c>
      <c r="E622" s="384">
        <v>1</v>
      </c>
      <c r="F622" s="482">
        <v>53</v>
      </c>
      <c r="G622" s="486" t="s">
        <v>5784</v>
      </c>
      <c r="H622" s="593" t="s">
        <v>3892</v>
      </c>
      <c r="I622" s="634" t="s">
        <v>6215</v>
      </c>
      <c r="J622" s="1242"/>
      <c r="K622" s="1331"/>
    </row>
    <row r="623" spans="1:11">
      <c r="A623" s="428" t="s">
        <v>8879</v>
      </c>
      <c r="B623" s="570" t="s">
        <v>8881</v>
      </c>
      <c r="C623" s="631" t="s">
        <v>6268</v>
      </c>
      <c r="D623" s="413" t="s">
        <v>123</v>
      </c>
      <c r="E623" s="384">
        <v>1</v>
      </c>
      <c r="F623" s="482" t="s">
        <v>3893</v>
      </c>
      <c r="G623" s="486" t="s">
        <v>5785</v>
      </c>
      <c r="H623" s="593" t="s">
        <v>3894</v>
      </c>
      <c r="I623" s="634" t="s">
        <v>6215</v>
      </c>
      <c r="J623" s="1242"/>
      <c r="K623" s="1331"/>
    </row>
    <row r="624" spans="1:11">
      <c r="A624" s="428" t="s">
        <v>8879</v>
      </c>
      <c r="B624" s="570" t="s">
        <v>8881</v>
      </c>
      <c r="C624" s="631" t="s">
        <v>6268</v>
      </c>
      <c r="D624" s="413" t="s">
        <v>123</v>
      </c>
      <c r="E624" s="384">
        <v>1</v>
      </c>
      <c r="F624" s="482" t="s">
        <v>3895</v>
      </c>
      <c r="G624" s="486" t="s">
        <v>5786</v>
      </c>
      <c r="H624" s="593" t="s">
        <v>3896</v>
      </c>
      <c r="I624" s="634" t="s">
        <v>6215</v>
      </c>
      <c r="J624" s="1242"/>
      <c r="K624" s="1331"/>
    </row>
    <row r="625" spans="1:11">
      <c r="A625" s="428" t="s">
        <v>8879</v>
      </c>
      <c r="B625" s="570" t="s">
        <v>8881</v>
      </c>
      <c r="C625" s="631" t="s">
        <v>6268</v>
      </c>
      <c r="D625" s="413" t="s">
        <v>123</v>
      </c>
      <c r="E625" s="384">
        <v>1</v>
      </c>
      <c r="F625" s="482">
        <v>55</v>
      </c>
      <c r="G625" s="486" t="s">
        <v>5787</v>
      </c>
      <c r="H625" s="593" t="s">
        <v>3897</v>
      </c>
      <c r="I625" s="634" t="s">
        <v>6215</v>
      </c>
      <c r="J625" s="1242"/>
      <c r="K625" s="1331"/>
    </row>
    <row r="626" spans="1:11">
      <c r="A626" s="428" t="s">
        <v>8879</v>
      </c>
      <c r="B626" s="570" t="s">
        <v>8881</v>
      </c>
      <c r="C626" s="631" t="s">
        <v>6268</v>
      </c>
      <c r="D626" s="413" t="s">
        <v>123</v>
      </c>
      <c r="E626" s="384">
        <v>1</v>
      </c>
      <c r="F626" s="482" t="s">
        <v>3898</v>
      </c>
      <c r="G626" s="486" t="s">
        <v>5788</v>
      </c>
      <c r="H626" s="593" t="s">
        <v>3899</v>
      </c>
      <c r="I626" s="634" t="s">
        <v>6215</v>
      </c>
      <c r="J626" s="1242"/>
      <c r="K626" s="1331"/>
    </row>
    <row r="627" spans="1:11">
      <c r="A627" s="428" t="s">
        <v>8879</v>
      </c>
      <c r="B627" s="570" t="s">
        <v>8881</v>
      </c>
      <c r="C627" s="631" t="s">
        <v>6268</v>
      </c>
      <c r="D627" s="413" t="s">
        <v>123</v>
      </c>
      <c r="E627" s="384">
        <v>1</v>
      </c>
      <c r="F627" s="482" t="s">
        <v>3898</v>
      </c>
      <c r="G627" s="486" t="s">
        <v>5788</v>
      </c>
      <c r="H627" s="593" t="s">
        <v>3899</v>
      </c>
      <c r="I627" s="634" t="s">
        <v>6215</v>
      </c>
      <c r="J627" s="1242"/>
      <c r="K627" s="1331"/>
    </row>
    <row r="628" spans="1:11">
      <c r="A628" s="428" t="s">
        <v>8879</v>
      </c>
      <c r="B628" s="570" t="s">
        <v>8881</v>
      </c>
      <c r="C628" s="631" t="s">
        <v>6268</v>
      </c>
      <c r="D628" s="413" t="s">
        <v>123</v>
      </c>
      <c r="E628" s="384">
        <v>1</v>
      </c>
      <c r="F628" s="482" t="s">
        <v>3898</v>
      </c>
      <c r="G628" s="486" t="s">
        <v>5788</v>
      </c>
      <c r="H628" s="593" t="s">
        <v>3899</v>
      </c>
      <c r="I628" s="634" t="s">
        <v>6215</v>
      </c>
      <c r="J628" s="1242"/>
      <c r="K628" s="1331"/>
    </row>
    <row r="629" spans="1:11">
      <c r="A629" s="428" t="s">
        <v>8879</v>
      </c>
      <c r="B629" s="570" t="s">
        <v>8881</v>
      </c>
      <c r="C629" s="631" t="s">
        <v>6268</v>
      </c>
      <c r="D629" s="413" t="s">
        <v>123</v>
      </c>
      <c r="E629" s="384">
        <v>1</v>
      </c>
      <c r="F629" s="482" t="s">
        <v>3900</v>
      </c>
      <c r="G629" s="486" t="s">
        <v>5789</v>
      </c>
      <c r="H629" s="593" t="s">
        <v>3901</v>
      </c>
      <c r="I629" s="634" t="s">
        <v>6215</v>
      </c>
      <c r="J629" s="1242"/>
      <c r="K629" s="1331"/>
    </row>
    <row r="630" spans="1:11">
      <c r="A630" s="428" t="s">
        <v>8879</v>
      </c>
      <c r="B630" s="570" t="s">
        <v>8881</v>
      </c>
      <c r="C630" s="631" t="s">
        <v>6268</v>
      </c>
      <c r="D630" s="413" t="s">
        <v>123</v>
      </c>
      <c r="E630" s="384">
        <v>1</v>
      </c>
      <c r="F630" s="482" t="s">
        <v>3902</v>
      </c>
      <c r="G630" s="486" t="s">
        <v>5790</v>
      </c>
      <c r="H630" s="593" t="s">
        <v>3903</v>
      </c>
      <c r="I630" s="634" t="s">
        <v>6215</v>
      </c>
      <c r="J630" s="1242"/>
      <c r="K630" s="1331"/>
    </row>
    <row r="631" spans="1:11">
      <c r="A631" s="428" t="s">
        <v>8879</v>
      </c>
      <c r="B631" s="570" t="s">
        <v>8881</v>
      </c>
      <c r="C631" s="631" t="s">
        <v>6268</v>
      </c>
      <c r="D631" s="413" t="s">
        <v>123</v>
      </c>
      <c r="E631" s="384">
        <v>1</v>
      </c>
      <c r="F631" s="482" t="s">
        <v>3904</v>
      </c>
      <c r="G631" s="486" t="s">
        <v>5791</v>
      </c>
      <c r="H631" s="593" t="s">
        <v>3905</v>
      </c>
      <c r="I631" s="634" t="s">
        <v>6215</v>
      </c>
      <c r="J631" s="1242"/>
      <c r="K631" s="1331"/>
    </row>
    <row r="632" spans="1:11">
      <c r="A632" s="428" t="s">
        <v>8879</v>
      </c>
      <c r="B632" s="570" t="s">
        <v>8881</v>
      </c>
      <c r="C632" s="631" t="s">
        <v>6268</v>
      </c>
      <c r="D632" s="413" t="s">
        <v>123</v>
      </c>
      <c r="E632" s="384">
        <v>1</v>
      </c>
      <c r="F632" s="482">
        <v>56</v>
      </c>
      <c r="G632" s="486" t="s">
        <v>5792</v>
      </c>
      <c r="H632" s="593" t="s">
        <v>3906</v>
      </c>
      <c r="I632" s="634" t="s">
        <v>6215</v>
      </c>
      <c r="J632" s="1242"/>
      <c r="K632" s="1331"/>
    </row>
    <row r="633" spans="1:11">
      <c r="A633" s="428" t="s">
        <v>8879</v>
      </c>
      <c r="B633" s="570" t="s">
        <v>8881</v>
      </c>
      <c r="C633" s="631" t="s">
        <v>6268</v>
      </c>
      <c r="D633" s="413" t="s">
        <v>123</v>
      </c>
      <c r="E633" s="384">
        <v>1</v>
      </c>
      <c r="F633" s="482" t="s">
        <v>3907</v>
      </c>
      <c r="G633" s="486" t="s">
        <v>5793</v>
      </c>
      <c r="H633" s="593" t="s">
        <v>3908</v>
      </c>
      <c r="I633" s="634" t="s">
        <v>6215</v>
      </c>
      <c r="J633" s="1242"/>
      <c r="K633" s="1331"/>
    </row>
    <row r="634" spans="1:11">
      <c r="A634" s="428" t="s">
        <v>8879</v>
      </c>
      <c r="B634" s="570" t="s">
        <v>8881</v>
      </c>
      <c r="C634" s="631" t="s">
        <v>6268</v>
      </c>
      <c r="D634" s="413" t="s">
        <v>123</v>
      </c>
      <c r="E634" s="384">
        <v>1</v>
      </c>
      <c r="F634" s="482" t="s">
        <v>3909</v>
      </c>
      <c r="G634" s="486" t="s">
        <v>5794</v>
      </c>
      <c r="H634" s="593" t="s">
        <v>3910</v>
      </c>
      <c r="I634" s="634" t="s">
        <v>6215</v>
      </c>
      <c r="J634" s="1242"/>
      <c r="K634" s="1331"/>
    </row>
    <row r="635" spans="1:11">
      <c r="A635" s="428" t="s">
        <v>8879</v>
      </c>
      <c r="B635" s="570" t="s">
        <v>8881</v>
      </c>
      <c r="C635" s="631" t="s">
        <v>6268</v>
      </c>
      <c r="D635" s="413" t="s">
        <v>123</v>
      </c>
      <c r="E635" s="384">
        <v>1</v>
      </c>
      <c r="F635" s="482" t="s">
        <v>3911</v>
      </c>
      <c r="G635" s="486" t="s">
        <v>5795</v>
      </c>
      <c r="H635" s="593" t="s">
        <v>3912</v>
      </c>
      <c r="I635" s="634" t="s">
        <v>6215</v>
      </c>
      <c r="J635" s="1242"/>
      <c r="K635" s="1331"/>
    </row>
    <row r="636" spans="1:11">
      <c r="A636" s="428" t="s">
        <v>8879</v>
      </c>
      <c r="B636" s="570" t="s">
        <v>8881</v>
      </c>
      <c r="C636" s="631" t="s">
        <v>6268</v>
      </c>
      <c r="D636" s="413" t="s">
        <v>123</v>
      </c>
      <c r="E636" s="384">
        <v>1</v>
      </c>
      <c r="F636" s="482" t="s">
        <v>3913</v>
      </c>
      <c r="G636" s="486" t="s">
        <v>5796</v>
      </c>
      <c r="H636" s="593" t="s">
        <v>3914</v>
      </c>
      <c r="I636" s="634" t="s">
        <v>6215</v>
      </c>
      <c r="J636" s="1242"/>
      <c r="K636" s="1331"/>
    </row>
    <row r="637" spans="1:11">
      <c r="A637" s="428" t="s">
        <v>8879</v>
      </c>
      <c r="B637" s="570" t="s">
        <v>8881</v>
      </c>
      <c r="C637" s="631" t="s">
        <v>6268</v>
      </c>
      <c r="D637" s="413" t="s">
        <v>123</v>
      </c>
      <c r="E637" s="384">
        <v>1</v>
      </c>
      <c r="F637" s="482" t="s">
        <v>3915</v>
      </c>
      <c r="G637" s="486" t="s">
        <v>5797</v>
      </c>
      <c r="H637" s="593" t="s">
        <v>3916</v>
      </c>
      <c r="I637" s="634" t="s">
        <v>6215</v>
      </c>
      <c r="J637" s="1242"/>
      <c r="K637" s="1331"/>
    </row>
    <row r="638" spans="1:11">
      <c r="A638" s="428" t="s">
        <v>8879</v>
      </c>
      <c r="B638" s="570" t="s">
        <v>8881</v>
      </c>
      <c r="C638" s="631" t="s">
        <v>6268</v>
      </c>
      <c r="D638" s="413" t="s">
        <v>123</v>
      </c>
      <c r="E638" s="384">
        <v>1</v>
      </c>
      <c r="F638" s="482">
        <v>58</v>
      </c>
      <c r="G638" s="486" t="s">
        <v>5798</v>
      </c>
      <c r="H638" s="593" t="s">
        <v>3917</v>
      </c>
      <c r="I638" s="634" t="s">
        <v>6215</v>
      </c>
      <c r="J638" s="1242"/>
      <c r="K638" s="1331"/>
    </row>
    <row r="639" spans="1:11">
      <c r="A639" s="428" t="s">
        <v>8879</v>
      </c>
      <c r="B639" s="570" t="s">
        <v>8881</v>
      </c>
      <c r="C639" s="631" t="s">
        <v>6268</v>
      </c>
      <c r="D639" s="413" t="s">
        <v>123</v>
      </c>
      <c r="E639" s="384">
        <v>1</v>
      </c>
      <c r="F639" s="482" t="s">
        <v>3918</v>
      </c>
      <c r="G639" s="486" t="s">
        <v>5799</v>
      </c>
      <c r="H639" s="593" t="s">
        <v>3919</v>
      </c>
      <c r="I639" s="634" t="s">
        <v>6215</v>
      </c>
      <c r="J639" s="1242"/>
      <c r="K639" s="1331"/>
    </row>
    <row r="640" spans="1:11">
      <c r="A640" s="428" t="s">
        <v>8879</v>
      </c>
      <c r="B640" s="570" t="s">
        <v>8881</v>
      </c>
      <c r="C640" s="631" t="s">
        <v>6268</v>
      </c>
      <c r="D640" s="413" t="s">
        <v>123</v>
      </c>
      <c r="E640" s="384">
        <v>1</v>
      </c>
      <c r="F640" s="482" t="s">
        <v>3920</v>
      </c>
      <c r="G640" s="486" t="s">
        <v>5800</v>
      </c>
      <c r="H640" s="593" t="s">
        <v>3921</v>
      </c>
      <c r="I640" s="634" t="s">
        <v>6215</v>
      </c>
      <c r="J640" s="1242"/>
      <c r="K640" s="1331"/>
    </row>
    <row r="641" spans="1:11">
      <c r="A641" s="428" t="s">
        <v>8879</v>
      </c>
      <c r="B641" s="570" t="s">
        <v>8881</v>
      </c>
      <c r="C641" s="631" t="s">
        <v>6268</v>
      </c>
      <c r="D641" s="413" t="s">
        <v>123</v>
      </c>
      <c r="E641" s="384">
        <v>1</v>
      </c>
      <c r="F641" s="482" t="s">
        <v>3922</v>
      </c>
      <c r="G641" s="486" t="s">
        <v>5801</v>
      </c>
      <c r="H641" s="593" t="s">
        <v>3923</v>
      </c>
      <c r="I641" s="634" t="s">
        <v>6215</v>
      </c>
      <c r="J641" s="1242"/>
      <c r="K641" s="1331"/>
    </row>
    <row r="642" spans="1:11">
      <c r="A642" s="428" t="s">
        <v>8879</v>
      </c>
      <c r="B642" s="570" t="s">
        <v>8881</v>
      </c>
      <c r="C642" s="631" t="s">
        <v>6268</v>
      </c>
      <c r="D642" s="413" t="s">
        <v>123</v>
      </c>
      <c r="E642" s="384">
        <v>1</v>
      </c>
      <c r="F642" s="482" t="s">
        <v>3924</v>
      </c>
      <c r="G642" s="486" t="s">
        <v>5802</v>
      </c>
      <c r="H642" s="593" t="s">
        <v>3925</v>
      </c>
      <c r="I642" s="634" t="s">
        <v>6215</v>
      </c>
      <c r="J642" s="1242"/>
      <c r="K642" s="1331"/>
    </row>
    <row r="643" spans="1:11">
      <c r="A643" s="428" t="s">
        <v>8879</v>
      </c>
      <c r="B643" s="570" t="s">
        <v>8881</v>
      </c>
      <c r="C643" s="631" t="s">
        <v>6268</v>
      </c>
      <c r="D643" s="413" t="s">
        <v>123</v>
      </c>
      <c r="E643" s="384">
        <v>1</v>
      </c>
      <c r="F643" s="482" t="s">
        <v>3926</v>
      </c>
      <c r="G643" s="486" t="s">
        <v>5803</v>
      </c>
      <c r="H643" s="593" t="s">
        <v>3927</v>
      </c>
      <c r="I643" s="634" t="s">
        <v>6215</v>
      </c>
      <c r="J643" s="1242"/>
      <c r="K643" s="1331"/>
    </row>
    <row r="644" spans="1:11">
      <c r="A644" s="428" t="s">
        <v>8879</v>
      </c>
      <c r="B644" s="570" t="s">
        <v>8881</v>
      </c>
      <c r="C644" s="631" t="s">
        <v>6268</v>
      </c>
      <c r="D644" s="413" t="s">
        <v>123</v>
      </c>
      <c r="E644" s="384">
        <v>1</v>
      </c>
      <c r="F644" s="482" t="s">
        <v>3928</v>
      </c>
      <c r="G644" s="486" t="s">
        <v>5804</v>
      </c>
      <c r="H644" s="593" t="s">
        <v>3929</v>
      </c>
      <c r="I644" s="634" t="s">
        <v>6215</v>
      </c>
      <c r="J644" s="1242"/>
      <c r="K644" s="1331"/>
    </row>
    <row r="645" spans="1:11">
      <c r="A645" s="428" t="s">
        <v>8879</v>
      </c>
      <c r="B645" s="570" t="s">
        <v>8881</v>
      </c>
      <c r="C645" s="631" t="s">
        <v>6268</v>
      </c>
      <c r="D645" s="413" t="s">
        <v>123</v>
      </c>
      <c r="E645" s="384">
        <v>1</v>
      </c>
      <c r="F645" s="482" t="s">
        <v>3930</v>
      </c>
      <c r="G645" s="486" t="s">
        <v>5805</v>
      </c>
      <c r="H645" s="593" t="s">
        <v>3931</v>
      </c>
      <c r="I645" s="634" t="s">
        <v>6215</v>
      </c>
      <c r="J645" s="1242"/>
      <c r="K645" s="1331"/>
    </row>
    <row r="646" spans="1:11">
      <c r="A646" s="428" t="s">
        <v>8879</v>
      </c>
      <c r="B646" s="570" t="s">
        <v>8881</v>
      </c>
      <c r="C646" s="631" t="s">
        <v>6268</v>
      </c>
      <c r="D646" s="413" t="s">
        <v>123</v>
      </c>
      <c r="E646" s="384">
        <v>1</v>
      </c>
      <c r="F646" s="482" t="s">
        <v>3932</v>
      </c>
      <c r="G646" s="486" t="s">
        <v>5806</v>
      </c>
      <c r="H646" s="593" t="s">
        <v>3933</v>
      </c>
      <c r="I646" s="634" t="s">
        <v>6215</v>
      </c>
      <c r="J646" s="1242"/>
      <c r="K646" s="1331"/>
    </row>
    <row r="647" spans="1:11">
      <c r="A647" s="428" t="s">
        <v>8879</v>
      </c>
      <c r="B647" s="570" t="s">
        <v>8881</v>
      </c>
      <c r="C647" s="631" t="s">
        <v>6268</v>
      </c>
      <c r="D647" s="413" t="s">
        <v>123</v>
      </c>
      <c r="E647" s="384">
        <v>1</v>
      </c>
      <c r="F647" s="482" t="s">
        <v>3934</v>
      </c>
      <c r="G647" s="486" t="s">
        <v>5807</v>
      </c>
      <c r="H647" s="593" t="s">
        <v>3935</v>
      </c>
      <c r="I647" s="634" t="s">
        <v>6215</v>
      </c>
      <c r="J647" s="1242"/>
      <c r="K647" s="1331"/>
    </row>
    <row r="648" spans="1:11">
      <c r="A648" s="428" t="s">
        <v>8879</v>
      </c>
      <c r="B648" s="570" t="s">
        <v>8881</v>
      </c>
      <c r="C648" s="631" t="s">
        <v>6268</v>
      </c>
      <c r="D648" s="413" t="s">
        <v>123</v>
      </c>
      <c r="E648" s="384">
        <v>1</v>
      </c>
      <c r="F648" s="482">
        <v>59</v>
      </c>
      <c r="G648" s="486" t="s">
        <v>5808</v>
      </c>
      <c r="H648" s="593" t="s">
        <v>3936</v>
      </c>
      <c r="I648" s="634" t="s">
        <v>6215</v>
      </c>
      <c r="J648" s="1242"/>
      <c r="K648" s="1331"/>
    </row>
    <row r="649" spans="1:11">
      <c r="A649" s="428" t="s">
        <v>8879</v>
      </c>
      <c r="B649" s="570" t="s">
        <v>8881</v>
      </c>
      <c r="C649" s="631" t="s">
        <v>6268</v>
      </c>
      <c r="D649" s="413" t="s">
        <v>123</v>
      </c>
      <c r="E649" s="384">
        <v>1</v>
      </c>
      <c r="F649" s="482" t="s">
        <v>3937</v>
      </c>
      <c r="G649" s="486" t="s">
        <v>5809</v>
      </c>
      <c r="H649" s="593" t="s">
        <v>3938</v>
      </c>
      <c r="I649" s="634" t="s">
        <v>6215</v>
      </c>
      <c r="J649" s="1242"/>
      <c r="K649" s="1331"/>
    </row>
    <row r="650" spans="1:11">
      <c r="A650" s="428" t="s">
        <v>8879</v>
      </c>
      <c r="B650" s="570" t="s">
        <v>8881</v>
      </c>
      <c r="C650" s="631" t="s">
        <v>6268</v>
      </c>
      <c r="D650" s="413" t="s">
        <v>123</v>
      </c>
      <c r="E650" s="384">
        <v>1</v>
      </c>
      <c r="F650" s="482" t="s">
        <v>3939</v>
      </c>
      <c r="G650" s="486" t="s">
        <v>5810</v>
      </c>
      <c r="H650" s="593" t="s">
        <v>3940</v>
      </c>
      <c r="I650" s="634" t="s">
        <v>6215</v>
      </c>
      <c r="J650" s="1242"/>
      <c r="K650" s="1331"/>
    </row>
    <row r="651" spans="1:11">
      <c r="A651" s="428" t="s">
        <v>8879</v>
      </c>
      <c r="B651" s="570" t="s">
        <v>8881</v>
      </c>
      <c r="C651" s="631" t="s">
        <v>6268</v>
      </c>
      <c r="D651" s="413" t="s">
        <v>123</v>
      </c>
      <c r="E651" s="384">
        <v>1</v>
      </c>
      <c r="F651" s="482" t="s">
        <v>3941</v>
      </c>
      <c r="G651" s="486" t="s">
        <v>5811</v>
      </c>
      <c r="H651" s="593" t="s">
        <v>3942</v>
      </c>
      <c r="I651" s="634" t="s">
        <v>6215</v>
      </c>
      <c r="J651" s="1242"/>
      <c r="K651" s="1331"/>
    </row>
    <row r="652" spans="1:11">
      <c r="A652" s="428" t="s">
        <v>8879</v>
      </c>
      <c r="B652" s="570" t="s">
        <v>8881</v>
      </c>
      <c r="C652" s="631" t="s">
        <v>6268</v>
      </c>
      <c r="D652" s="413" t="s">
        <v>123</v>
      </c>
      <c r="E652" s="384">
        <v>1</v>
      </c>
      <c r="F652" s="482" t="s">
        <v>3943</v>
      </c>
      <c r="G652" s="486" t="s">
        <v>5812</v>
      </c>
      <c r="H652" s="593" t="s">
        <v>3944</v>
      </c>
      <c r="I652" s="634" t="s">
        <v>6215</v>
      </c>
      <c r="J652" s="1242"/>
      <c r="K652" s="1331"/>
    </row>
    <row r="653" spans="1:11">
      <c r="A653" s="428" t="s">
        <v>8879</v>
      </c>
      <c r="B653" s="570" t="s">
        <v>8881</v>
      </c>
      <c r="C653" s="631" t="s">
        <v>6268</v>
      </c>
      <c r="D653" s="413" t="s">
        <v>123</v>
      </c>
      <c r="E653" s="384">
        <v>1</v>
      </c>
      <c r="F653" s="482" t="s">
        <v>3945</v>
      </c>
      <c r="G653" s="486" t="s">
        <v>5813</v>
      </c>
      <c r="H653" s="593" t="s">
        <v>3946</v>
      </c>
      <c r="I653" s="634" t="s">
        <v>6215</v>
      </c>
      <c r="J653" s="1242"/>
      <c r="K653" s="1331"/>
    </row>
    <row r="654" spans="1:11">
      <c r="A654" s="428" t="s">
        <v>8879</v>
      </c>
      <c r="B654" s="570" t="s">
        <v>8881</v>
      </c>
      <c r="C654" s="631" t="s">
        <v>6268</v>
      </c>
      <c r="D654" s="413" t="s">
        <v>123</v>
      </c>
      <c r="E654" s="384">
        <v>1</v>
      </c>
      <c r="F654" s="482" t="s">
        <v>3947</v>
      </c>
      <c r="G654" s="486" t="s">
        <v>5814</v>
      </c>
      <c r="H654" s="593" t="s">
        <v>3948</v>
      </c>
      <c r="I654" s="634" t="s">
        <v>6215</v>
      </c>
      <c r="J654" s="1242"/>
      <c r="K654" s="1331"/>
    </row>
    <row r="655" spans="1:11">
      <c r="A655" s="428" t="s">
        <v>8879</v>
      </c>
      <c r="B655" s="570" t="s">
        <v>8881</v>
      </c>
      <c r="C655" s="631" t="s">
        <v>6268</v>
      </c>
      <c r="D655" s="413" t="s">
        <v>123</v>
      </c>
      <c r="E655" s="384">
        <v>1</v>
      </c>
      <c r="F655" s="482">
        <v>60</v>
      </c>
      <c r="G655" s="486" t="s">
        <v>5815</v>
      </c>
      <c r="H655" s="593" t="s">
        <v>3949</v>
      </c>
      <c r="I655" s="634" t="s">
        <v>6215</v>
      </c>
      <c r="J655" s="1242"/>
      <c r="K655" s="1331"/>
    </row>
    <row r="656" spans="1:11">
      <c r="A656" s="428" t="s">
        <v>8879</v>
      </c>
      <c r="B656" s="570" t="s">
        <v>8881</v>
      </c>
      <c r="C656" s="631" t="s">
        <v>6268</v>
      </c>
      <c r="D656" s="413" t="s">
        <v>123</v>
      </c>
      <c r="E656" s="384">
        <v>1</v>
      </c>
      <c r="F656" s="482" t="s">
        <v>3950</v>
      </c>
      <c r="G656" s="486" t="s">
        <v>5816</v>
      </c>
      <c r="H656" s="593" t="s">
        <v>3951</v>
      </c>
      <c r="I656" s="634" t="s">
        <v>6215</v>
      </c>
      <c r="J656" s="1242"/>
      <c r="K656" s="1331"/>
    </row>
    <row r="657" spans="1:11">
      <c r="A657" s="428" t="s">
        <v>8879</v>
      </c>
      <c r="B657" s="570" t="s">
        <v>8881</v>
      </c>
      <c r="C657" s="631" t="s">
        <v>6268</v>
      </c>
      <c r="D657" s="413" t="s">
        <v>123</v>
      </c>
      <c r="E657" s="384">
        <v>1</v>
      </c>
      <c r="F657" s="482" t="s">
        <v>3952</v>
      </c>
      <c r="G657" s="486" t="s">
        <v>5817</v>
      </c>
      <c r="H657" s="593" t="s">
        <v>3953</v>
      </c>
      <c r="I657" s="634" t="s">
        <v>6215</v>
      </c>
      <c r="J657" s="1242"/>
      <c r="K657" s="1331"/>
    </row>
    <row r="658" spans="1:11">
      <c r="A658" s="428" t="s">
        <v>8879</v>
      </c>
      <c r="B658" s="570" t="s">
        <v>8881</v>
      </c>
      <c r="C658" s="631" t="s">
        <v>6268</v>
      </c>
      <c r="D658" s="413" t="s">
        <v>123</v>
      </c>
      <c r="E658" s="384">
        <v>1</v>
      </c>
      <c r="F658" s="482">
        <v>61</v>
      </c>
      <c r="G658" s="486" t="s">
        <v>5818</v>
      </c>
      <c r="H658" s="593" t="s">
        <v>3954</v>
      </c>
      <c r="I658" s="634" t="s">
        <v>6215</v>
      </c>
      <c r="J658" s="1242"/>
      <c r="K658" s="1331"/>
    </row>
    <row r="659" spans="1:11">
      <c r="A659" s="428" t="s">
        <v>8879</v>
      </c>
      <c r="B659" s="570" t="s">
        <v>8881</v>
      </c>
      <c r="C659" s="631" t="s">
        <v>6268</v>
      </c>
      <c r="D659" s="413" t="s">
        <v>123</v>
      </c>
      <c r="E659" s="384">
        <v>1</v>
      </c>
      <c r="F659" s="482" t="s">
        <v>3955</v>
      </c>
      <c r="G659" s="486" t="s">
        <v>5819</v>
      </c>
      <c r="H659" s="593" t="s">
        <v>3956</v>
      </c>
      <c r="I659" s="634" t="s">
        <v>6215</v>
      </c>
      <c r="J659" s="1242"/>
      <c r="K659" s="1331"/>
    </row>
    <row r="660" spans="1:11">
      <c r="A660" s="428" t="s">
        <v>8879</v>
      </c>
      <c r="B660" s="570" t="s">
        <v>8881</v>
      </c>
      <c r="C660" s="631" t="s">
        <v>6268</v>
      </c>
      <c r="D660" s="413" t="s">
        <v>123</v>
      </c>
      <c r="E660" s="384">
        <v>1</v>
      </c>
      <c r="F660" s="482" t="s">
        <v>3957</v>
      </c>
      <c r="G660" s="486" t="s">
        <v>5820</v>
      </c>
      <c r="H660" s="593" t="s">
        <v>3958</v>
      </c>
      <c r="I660" s="634" t="s">
        <v>6215</v>
      </c>
      <c r="J660" s="1242"/>
      <c r="K660" s="1331"/>
    </row>
    <row r="661" spans="1:11">
      <c r="A661" s="428" t="s">
        <v>8879</v>
      </c>
      <c r="B661" s="570" t="s">
        <v>8881</v>
      </c>
      <c r="C661" s="631" t="s">
        <v>6268</v>
      </c>
      <c r="D661" s="413" t="s">
        <v>123</v>
      </c>
      <c r="E661" s="384">
        <v>1</v>
      </c>
      <c r="F661" s="482" t="s">
        <v>3959</v>
      </c>
      <c r="G661" s="486" t="s">
        <v>5821</v>
      </c>
      <c r="H661" s="593" t="s">
        <v>3960</v>
      </c>
      <c r="I661" s="634" t="s">
        <v>6215</v>
      </c>
      <c r="J661" s="1242"/>
      <c r="K661" s="1331"/>
    </row>
    <row r="662" spans="1:11">
      <c r="A662" s="428" t="s">
        <v>8879</v>
      </c>
      <c r="B662" s="570" t="s">
        <v>8881</v>
      </c>
      <c r="C662" s="631" t="s">
        <v>6268</v>
      </c>
      <c r="D662" s="413" t="s">
        <v>123</v>
      </c>
      <c r="E662" s="384">
        <v>1</v>
      </c>
      <c r="F662" s="482" t="s">
        <v>3961</v>
      </c>
      <c r="G662" s="486" t="s">
        <v>5822</v>
      </c>
      <c r="H662" s="593" t="s">
        <v>3962</v>
      </c>
      <c r="I662" s="634" t="s">
        <v>6215</v>
      </c>
      <c r="J662" s="1242"/>
      <c r="K662" s="1331"/>
    </row>
    <row r="663" spans="1:11">
      <c r="A663" s="428" t="s">
        <v>8879</v>
      </c>
      <c r="B663" s="570" t="s">
        <v>8881</v>
      </c>
      <c r="C663" s="631" t="s">
        <v>6268</v>
      </c>
      <c r="D663" s="413" t="s">
        <v>123</v>
      </c>
      <c r="E663" s="384">
        <v>1</v>
      </c>
      <c r="F663" s="482">
        <v>62</v>
      </c>
      <c r="G663" s="486" t="s">
        <v>5823</v>
      </c>
      <c r="H663" s="593" t="s">
        <v>3963</v>
      </c>
      <c r="I663" s="634" t="s">
        <v>6215</v>
      </c>
      <c r="J663" s="1242"/>
      <c r="K663" s="1331"/>
    </row>
    <row r="664" spans="1:11">
      <c r="A664" s="428" t="s">
        <v>8879</v>
      </c>
      <c r="B664" s="570" t="s">
        <v>8881</v>
      </c>
      <c r="C664" s="631" t="s">
        <v>6268</v>
      </c>
      <c r="D664" s="413" t="s">
        <v>123</v>
      </c>
      <c r="E664" s="384">
        <v>1</v>
      </c>
      <c r="F664" s="482" t="s">
        <v>3964</v>
      </c>
      <c r="G664" s="486" t="s">
        <v>5824</v>
      </c>
      <c r="H664" s="593" t="s">
        <v>3965</v>
      </c>
      <c r="I664" s="634" t="s">
        <v>6215</v>
      </c>
      <c r="J664" s="1242"/>
      <c r="K664" s="1331"/>
    </row>
    <row r="665" spans="1:11">
      <c r="A665" s="428" t="s">
        <v>8879</v>
      </c>
      <c r="B665" s="570" t="s">
        <v>8881</v>
      </c>
      <c r="C665" s="631" t="s">
        <v>6268</v>
      </c>
      <c r="D665" s="413" t="s">
        <v>123</v>
      </c>
      <c r="E665" s="384">
        <v>1</v>
      </c>
      <c r="F665" s="482" t="s">
        <v>3966</v>
      </c>
      <c r="G665" s="486" t="s">
        <v>5825</v>
      </c>
      <c r="H665" s="593" t="s">
        <v>3967</v>
      </c>
      <c r="I665" s="634" t="s">
        <v>6215</v>
      </c>
      <c r="J665" s="1242"/>
      <c r="K665" s="1331"/>
    </row>
    <row r="666" spans="1:11">
      <c r="A666" s="428" t="s">
        <v>8879</v>
      </c>
      <c r="B666" s="570" t="s">
        <v>8881</v>
      </c>
      <c r="C666" s="631" t="s">
        <v>6268</v>
      </c>
      <c r="D666" s="413" t="s">
        <v>123</v>
      </c>
      <c r="E666" s="384">
        <v>1</v>
      </c>
      <c r="F666" s="482" t="s">
        <v>3968</v>
      </c>
      <c r="G666" s="486" t="s">
        <v>5826</v>
      </c>
      <c r="H666" s="593" t="s">
        <v>3969</v>
      </c>
      <c r="I666" s="634" t="s">
        <v>6215</v>
      </c>
      <c r="J666" s="1242"/>
      <c r="K666" s="1331"/>
    </row>
    <row r="667" spans="1:11">
      <c r="A667" s="428" t="s">
        <v>8879</v>
      </c>
      <c r="B667" s="570" t="s">
        <v>8881</v>
      </c>
      <c r="C667" s="631" t="s">
        <v>6268</v>
      </c>
      <c r="D667" s="413" t="s">
        <v>123</v>
      </c>
      <c r="E667" s="384">
        <v>1</v>
      </c>
      <c r="F667" s="482" t="s">
        <v>3970</v>
      </c>
      <c r="G667" s="486" t="s">
        <v>5827</v>
      </c>
      <c r="H667" s="593" t="s">
        <v>3971</v>
      </c>
      <c r="I667" s="634" t="s">
        <v>6215</v>
      </c>
      <c r="J667" s="1242"/>
      <c r="K667" s="1331"/>
    </row>
    <row r="668" spans="1:11">
      <c r="A668" s="428" t="s">
        <v>8879</v>
      </c>
      <c r="B668" s="570" t="s">
        <v>8881</v>
      </c>
      <c r="C668" s="631" t="s">
        <v>6268</v>
      </c>
      <c r="D668" s="413" t="s">
        <v>123</v>
      </c>
      <c r="E668" s="384">
        <v>1</v>
      </c>
      <c r="F668" s="482">
        <v>63</v>
      </c>
      <c r="G668" s="486" t="s">
        <v>5828</v>
      </c>
      <c r="H668" s="593" t="s">
        <v>3972</v>
      </c>
      <c r="I668" s="634" t="s">
        <v>6215</v>
      </c>
      <c r="J668" s="1242"/>
      <c r="K668" s="1331"/>
    </row>
    <row r="669" spans="1:11">
      <c r="A669" s="428" t="s">
        <v>8879</v>
      </c>
      <c r="B669" s="570" t="s">
        <v>8881</v>
      </c>
      <c r="C669" s="631" t="s">
        <v>6268</v>
      </c>
      <c r="D669" s="413" t="s">
        <v>123</v>
      </c>
      <c r="E669" s="384">
        <v>1</v>
      </c>
      <c r="F669" s="482" t="s">
        <v>3973</v>
      </c>
      <c r="G669" s="486" t="s">
        <v>5829</v>
      </c>
      <c r="H669" s="593" t="s">
        <v>3974</v>
      </c>
      <c r="I669" s="634" t="s">
        <v>6215</v>
      </c>
      <c r="J669" s="1242"/>
      <c r="K669" s="1331"/>
    </row>
    <row r="670" spans="1:11">
      <c r="A670" s="428" t="s">
        <v>8879</v>
      </c>
      <c r="B670" s="570" t="s">
        <v>8881</v>
      </c>
      <c r="C670" s="631" t="s">
        <v>6268</v>
      </c>
      <c r="D670" s="413" t="s">
        <v>123</v>
      </c>
      <c r="E670" s="384">
        <v>1</v>
      </c>
      <c r="F670" s="482" t="s">
        <v>3975</v>
      </c>
      <c r="G670" s="486" t="s">
        <v>5830</v>
      </c>
      <c r="H670" s="593" t="s">
        <v>3976</v>
      </c>
      <c r="I670" s="634" t="s">
        <v>6215</v>
      </c>
      <c r="J670" s="1242"/>
      <c r="K670" s="1331"/>
    </row>
    <row r="671" spans="1:11">
      <c r="A671" s="428" t="s">
        <v>8879</v>
      </c>
      <c r="B671" s="570" t="s">
        <v>8881</v>
      </c>
      <c r="C671" s="631" t="s">
        <v>6268</v>
      </c>
      <c r="D671" s="413" t="s">
        <v>123</v>
      </c>
      <c r="E671" s="384">
        <v>1</v>
      </c>
      <c r="F671" s="482" t="s">
        <v>3977</v>
      </c>
      <c r="G671" s="486" t="s">
        <v>5831</v>
      </c>
      <c r="H671" s="593" t="s">
        <v>3978</v>
      </c>
      <c r="I671" s="634" t="s">
        <v>6215</v>
      </c>
      <c r="J671" s="1242"/>
      <c r="K671" s="1331"/>
    </row>
    <row r="672" spans="1:11">
      <c r="A672" s="428" t="s">
        <v>8879</v>
      </c>
      <c r="B672" s="570" t="s">
        <v>8881</v>
      </c>
      <c r="C672" s="631" t="s">
        <v>6268</v>
      </c>
      <c r="D672" s="413" t="s">
        <v>123</v>
      </c>
      <c r="E672" s="384">
        <v>1</v>
      </c>
      <c r="F672" s="482" t="s">
        <v>3979</v>
      </c>
      <c r="G672" s="486" t="s">
        <v>5832</v>
      </c>
      <c r="H672" s="593" t="s">
        <v>3980</v>
      </c>
      <c r="I672" s="634" t="s">
        <v>6215</v>
      </c>
      <c r="J672" s="1242"/>
      <c r="K672" s="1331"/>
    </row>
    <row r="673" spans="1:11">
      <c r="A673" s="428" t="s">
        <v>8879</v>
      </c>
      <c r="B673" s="570" t="s">
        <v>8881</v>
      </c>
      <c r="C673" s="631" t="s">
        <v>6268</v>
      </c>
      <c r="D673" s="413" t="s">
        <v>123</v>
      </c>
      <c r="E673" s="384">
        <v>1</v>
      </c>
      <c r="F673" s="482" t="s">
        <v>3981</v>
      </c>
      <c r="G673" s="486" t="s">
        <v>5833</v>
      </c>
      <c r="H673" s="593" t="s">
        <v>3982</v>
      </c>
      <c r="I673" s="634" t="s">
        <v>6215</v>
      </c>
      <c r="J673" s="1242"/>
      <c r="K673" s="1331"/>
    </row>
    <row r="674" spans="1:11">
      <c r="A674" s="428" t="s">
        <v>8879</v>
      </c>
      <c r="B674" s="570" t="s">
        <v>8881</v>
      </c>
      <c r="C674" s="631" t="s">
        <v>6268</v>
      </c>
      <c r="D674" s="413" t="s">
        <v>123</v>
      </c>
      <c r="E674" s="384">
        <v>1</v>
      </c>
      <c r="F674" s="482" t="s">
        <v>3983</v>
      </c>
      <c r="G674" s="486" t="s">
        <v>5834</v>
      </c>
      <c r="H674" s="593" t="s">
        <v>3984</v>
      </c>
      <c r="I674" s="634" t="s">
        <v>6215</v>
      </c>
      <c r="J674" s="1242"/>
      <c r="K674" s="1331"/>
    </row>
    <row r="675" spans="1:11">
      <c r="A675" s="428" t="s">
        <v>8879</v>
      </c>
      <c r="B675" s="570" t="s">
        <v>8881</v>
      </c>
      <c r="C675" s="631" t="s">
        <v>6268</v>
      </c>
      <c r="D675" s="413" t="s">
        <v>123</v>
      </c>
      <c r="E675" s="384">
        <v>1</v>
      </c>
      <c r="F675" s="482">
        <v>64</v>
      </c>
      <c r="G675" s="486" t="s">
        <v>5835</v>
      </c>
      <c r="H675" s="593" t="s">
        <v>3985</v>
      </c>
      <c r="I675" s="634" t="s">
        <v>6215</v>
      </c>
      <c r="J675" s="1242"/>
      <c r="K675" s="1331"/>
    </row>
    <row r="676" spans="1:11">
      <c r="A676" s="428" t="s">
        <v>8879</v>
      </c>
      <c r="B676" s="570" t="s">
        <v>8881</v>
      </c>
      <c r="C676" s="631" t="s">
        <v>6268</v>
      </c>
      <c r="D676" s="413" t="s">
        <v>123</v>
      </c>
      <c r="E676" s="384">
        <v>1</v>
      </c>
      <c r="F676" s="482" t="s">
        <v>3986</v>
      </c>
      <c r="G676" s="486" t="s">
        <v>5836</v>
      </c>
      <c r="H676" s="593" t="s">
        <v>3987</v>
      </c>
      <c r="I676" s="634" t="s">
        <v>6215</v>
      </c>
      <c r="J676" s="1242"/>
      <c r="K676" s="1331"/>
    </row>
    <row r="677" spans="1:11">
      <c r="A677" s="428" t="s">
        <v>8879</v>
      </c>
      <c r="B677" s="570" t="s">
        <v>8881</v>
      </c>
      <c r="C677" s="631" t="s">
        <v>6268</v>
      </c>
      <c r="D677" s="413" t="s">
        <v>123</v>
      </c>
      <c r="E677" s="384">
        <v>1</v>
      </c>
      <c r="F677" s="482" t="s">
        <v>3988</v>
      </c>
      <c r="G677" s="486" t="s">
        <v>5837</v>
      </c>
      <c r="H677" s="593" t="s">
        <v>3989</v>
      </c>
      <c r="I677" s="634" t="s">
        <v>6215</v>
      </c>
      <c r="J677" s="1242"/>
      <c r="K677" s="1331"/>
    </row>
    <row r="678" spans="1:11">
      <c r="A678" s="428" t="s">
        <v>8879</v>
      </c>
      <c r="B678" s="570" t="s">
        <v>8881</v>
      </c>
      <c r="C678" s="631" t="s">
        <v>6268</v>
      </c>
      <c r="D678" s="413" t="s">
        <v>123</v>
      </c>
      <c r="E678" s="384">
        <v>1</v>
      </c>
      <c r="F678" s="482" t="s">
        <v>3990</v>
      </c>
      <c r="G678" s="486" t="s">
        <v>5838</v>
      </c>
      <c r="H678" s="593" t="s">
        <v>3991</v>
      </c>
      <c r="I678" s="634" t="s">
        <v>6215</v>
      </c>
      <c r="J678" s="1242"/>
      <c r="K678" s="1331"/>
    </row>
    <row r="679" spans="1:11">
      <c r="A679" s="428" t="s">
        <v>8879</v>
      </c>
      <c r="B679" s="570" t="s">
        <v>8881</v>
      </c>
      <c r="C679" s="631" t="s">
        <v>6268</v>
      </c>
      <c r="D679" s="413" t="s">
        <v>123</v>
      </c>
      <c r="E679" s="384">
        <v>1</v>
      </c>
      <c r="F679" s="482" t="s">
        <v>3992</v>
      </c>
      <c r="G679" s="486" t="s">
        <v>5839</v>
      </c>
      <c r="H679" s="593" t="s">
        <v>3993</v>
      </c>
      <c r="I679" s="634" t="s">
        <v>6215</v>
      </c>
      <c r="J679" s="1242"/>
      <c r="K679" s="1331"/>
    </row>
    <row r="680" spans="1:11">
      <c r="A680" s="428" t="s">
        <v>8879</v>
      </c>
      <c r="B680" s="570" t="s">
        <v>8881</v>
      </c>
      <c r="C680" s="631" t="s">
        <v>6268</v>
      </c>
      <c r="D680" s="413" t="s">
        <v>123</v>
      </c>
      <c r="E680" s="384">
        <v>1</v>
      </c>
      <c r="F680" s="482" t="s">
        <v>3994</v>
      </c>
      <c r="G680" s="486" t="s">
        <v>5840</v>
      </c>
      <c r="H680" s="593" t="s">
        <v>3995</v>
      </c>
      <c r="I680" s="634" t="s">
        <v>6215</v>
      </c>
      <c r="J680" s="1242"/>
      <c r="K680" s="1331"/>
    </row>
    <row r="681" spans="1:11">
      <c r="A681" s="428" t="s">
        <v>8879</v>
      </c>
      <c r="B681" s="570" t="s">
        <v>8881</v>
      </c>
      <c r="C681" s="631" t="s">
        <v>6268</v>
      </c>
      <c r="D681" s="413" t="s">
        <v>123</v>
      </c>
      <c r="E681" s="384">
        <v>1</v>
      </c>
      <c r="F681" s="482" t="s">
        <v>3996</v>
      </c>
      <c r="G681" s="486" t="s">
        <v>5841</v>
      </c>
      <c r="H681" s="593" t="s">
        <v>3997</v>
      </c>
      <c r="I681" s="634" t="s">
        <v>6215</v>
      </c>
      <c r="J681" s="1242"/>
      <c r="K681" s="1331"/>
    </row>
    <row r="682" spans="1:11">
      <c r="A682" s="428" t="s">
        <v>8879</v>
      </c>
      <c r="B682" s="570" t="s">
        <v>8881</v>
      </c>
      <c r="C682" s="631" t="s">
        <v>6268</v>
      </c>
      <c r="D682" s="413" t="s">
        <v>123</v>
      </c>
      <c r="E682" s="384">
        <v>1</v>
      </c>
      <c r="F682" s="482" t="s">
        <v>3998</v>
      </c>
      <c r="G682" s="486" t="s">
        <v>5842</v>
      </c>
      <c r="H682" s="593" t="s">
        <v>3999</v>
      </c>
      <c r="I682" s="634" t="s">
        <v>6215</v>
      </c>
      <c r="J682" s="1242"/>
      <c r="K682" s="1331"/>
    </row>
    <row r="683" spans="1:11">
      <c r="A683" s="428" t="s">
        <v>8879</v>
      </c>
      <c r="B683" s="570" t="s">
        <v>8881</v>
      </c>
      <c r="C683" s="631" t="s">
        <v>6268</v>
      </c>
      <c r="D683" s="413" t="s">
        <v>123</v>
      </c>
      <c r="E683" s="384">
        <v>1</v>
      </c>
      <c r="F683" s="482" t="s">
        <v>4000</v>
      </c>
      <c r="G683" s="486" t="s">
        <v>5843</v>
      </c>
      <c r="H683" s="593" t="s">
        <v>4001</v>
      </c>
      <c r="I683" s="634" t="s">
        <v>6215</v>
      </c>
      <c r="J683" s="1242"/>
      <c r="K683" s="1331"/>
    </row>
    <row r="684" spans="1:11">
      <c r="A684" s="428" t="s">
        <v>8879</v>
      </c>
      <c r="B684" s="570" t="s">
        <v>8881</v>
      </c>
      <c r="C684" s="631" t="s">
        <v>6268</v>
      </c>
      <c r="D684" s="413" t="s">
        <v>123</v>
      </c>
      <c r="E684" s="384">
        <v>1</v>
      </c>
      <c r="F684" s="482" t="s">
        <v>4002</v>
      </c>
      <c r="G684" s="486" t="s">
        <v>5844</v>
      </c>
      <c r="H684" s="593" t="s">
        <v>4003</v>
      </c>
      <c r="I684" s="634" t="s">
        <v>6215</v>
      </c>
      <c r="J684" s="1242"/>
      <c r="K684" s="1331"/>
    </row>
    <row r="685" spans="1:11">
      <c r="A685" s="428" t="s">
        <v>8879</v>
      </c>
      <c r="B685" s="570" t="s">
        <v>8881</v>
      </c>
      <c r="C685" s="631" t="s">
        <v>6268</v>
      </c>
      <c r="D685" s="413" t="s">
        <v>123</v>
      </c>
      <c r="E685" s="384">
        <v>1</v>
      </c>
      <c r="F685" s="482">
        <v>65</v>
      </c>
      <c r="G685" s="486" t="s">
        <v>5845</v>
      </c>
      <c r="H685" s="593" t="s">
        <v>4004</v>
      </c>
      <c r="I685" s="634" t="s">
        <v>6215</v>
      </c>
      <c r="J685" s="1242"/>
      <c r="K685" s="1331"/>
    </row>
    <row r="686" spans="1:11">
      <c r="A686" s="428" t="s">
        <v>8879</v>
      </c>
      <c r="B686" s="570" t="s">
        <v>8881</v>
      </c>
      <c r="C686" s="631" t="s">
        <v>6268</v>
      </c>
      <c r="D686" s="413" t="s">
        <v>123</v>
      </c>
      <c r="E686" s="384">
        <v>1</v>
      </c>
      <c r="F686" s="482" t="s">
        <v>4005</v>
      </c>
      <c r="G686" s="486" t="s">
        <v>5846</v>
      </c>
      <c r="H686" s="593" t="s">
        <v>4006</v>
      </c>
      <c r="I686" s="634" t="s">
        <v>6215</v>
      </c>
      <c r="J686" s="1242"/>
      <c r="K686" s="1331"/>
    </row>
    <row r="687" spans="1:11">
      <c r="A687" s="428" t="s">
        <v>8879</v>
      </c>
      <c r="B687" s="570" t="s">
        <v>8881</v>
      </c>
      <c r="C687" s="631" t="s">
        <v>6268</v>
      </c>
      <c r="D687" s="413" t="s">
        <v>123</v>
      </c>
      <c r="E687" s="384">
        <v>1</v>
      </c>
      <c r="F687" s="482" t="s">
        <v>4007</v>
      </c>
      <c r="G687" s="486" t="s">
        <v>5847</v>
      </c>
      <c r="H687" s="593" t="s">
        <v>4008</v>
      </c>
      <c r="I687" s="634" t="s">
        <v>6215</v>
      </c>
      <c r="J687" s="1242"/>
      <c r="K687" s="1331"/>
    </row>
    <row r="688" spans="1:11">
      <c r="A688" s="428" t="s">
        <v>8879</v>
      </c>
      <c r="B688" s="570" t="s">
        <v>8881</v>
      </c>
      <c r="C688" s="631" t="s">
        <v>6268</v>
      </c>
      <c r="D688" s="413" t="s">
        <v>123</v>
      </c>
      <c r="E688" s="384">
        <v>1</v>
      </c>
      <c r="F688" s="482" t="s">
        <v>4009</v>
      </c>
      <c r="G688" s="486" t="s">
        <v>5848</v>
      </c>
      <c r="H688" s="593" t="s">
        <v>4010</v>
      </c>
      <c r="I688" s="634" t="s">
        <v>6215</v>
      </c>
      <c r="J688" s="1242"/>
      <c r="K688" s="1331"/>
    </row>
    <row r="689" spans="1:11">
      <c r="A689" s="428" t="s">
        <v>8879</v>
      </c>
      <c r="B689" s="570" t="s">
        <v>8881</v>
      </c>
      <c r="C689" s="631" t="s">
        <v>6268</v>
      </c>
      <c r="D689" s="413" t="s">
        <v>123</v>
      </c>
      <c r="E689" s="384">
        <v>1</v>
      </c>
      <c r="F689" s="482" t="s">
        <v>4011</v>
      </c>
      <c r="G689" s="486" t="s">
        <v>5849</v>
      </c>
      <c r="H689" s="593" t="s">
        <v>4012</v>
      </c>
      <c r="I689" s="634" t="s">
        <v>6215</v>
      </c>
      <c r="J689" s="1242"/>
      <c r="K689" s="1331"/>
    </row>
    <row r="690" spans="1:11">
      <c r="A690" s="428" t="s">
        <v>8879</v>
      </c>
      <c r="B690" s="570" t="s">
        <v>8881</v>
      </c>
      <c r="C690" s="631" t="s">
        <v>6268</v>
      </c>
      <c r="D690" s="413" t="s">
        <v>123</v>
      </c>
      <c r="E690" s="384">
        <v>1</v>
      </c>
      <c r="F690" s="482" t="s">
        <v>4013</v>
      </c>
      <c r="G690" s="486" t="s">
        <v>5850</v>
      </c>
      <c r="H690" s="593" t="s">
        <v>4014</v>
      </c>
      <c r="I690" s="634" t="s">
        <v>6215</v>
      </c>
      <c r="J690" s="1242"/>
      <c r="K690" s="1331"/>
    </row>
    <row r="691" spans="1:11">
      <c r="A691" s="428" t="s">
        <v>8879</v>
      </c>
      <c r="B691" s="570" t="s">
        <v>8881</v>
      </c>
      <c r="C691" s="631" t="s">
        <v>6268</v>
      </c>
      <c r="D691" s="413" t="s">
        <v>123</v>
      </c>
      <c r="E691" s="384">
        <v>1</v>
      </c>
      <c r="F691" s="482">
        <v>66</v>
      </c>
      <c r="G691" s="486" t="s">
        <v>5851</v>
      </c>
      <c r="H691" s="593" t="s">
        <v>4015</v>
      </c>
      <c r="I691" s="634" t="s">
        <v>6215</v>
      </c>
      <c r="J691" s="1242"/>
      <c r="K691" s="1331"/>
    </row>
    <row r="692" spans="1:11">
      <c r="A692" s="428" t="s">
        <v>8879</v>
      </c>
      <c r="B692" s="570" t="s">
        <v>8881</v>
      </c>
      <c r="C692" s="631" t="s">
        <v>6268</v>
      </c>
      <c r="D692" s="413" t="s">
        <v>123</v>
      </c>
      <c r="E692" s="384">
        <v>1</v>
      </c>
      <c r="F692" s="482" t="s">
        <v>4016</v>
      </c>
      <c r="G692" s="486" t="s">
        <v>5852</v>
      </c>
      <c r="H692" s="593" t="s">
        <v>4017</v>
      </c>
      <c r="I692" s="634" t="s">
        <v>6215</v>
      </c>
      <c r="J692" s="1242"/>
      <c r="K692" s="1331"/>
    </row>
    <row r="693" spans="1:11">
      <c r="A693" s="428" t="s">
        <v>8879</v>
      </c>
      <c r="B693" s="570" t="s">
        <v>8881</v>
      </c>
      <c r="C693" s="631" t="s">
        <v>6268</v>
      </c>
      <c r="D693" s="413" t="s">
        <v>123</v>
      </c>
      <c r="E693" s="384">
        <v>1</v>
      </c>
      <c r="F693" s="482" t="s">
        <v>4018</v>
      </c>
      <c r="G693" s="486" t="s">
        <v>5853</v>
      </c>
      <c r="H693" s="593" t="s">
        <v>4019</v>
      </c>
      <c r="I693" s="634" t="s">
        <v>6215</v>
      </c>
      <c r="J693" s="1242"/>
      <c r="K693" s="1331"/>
    </row>
    <row r="694" spans="1:11">
      <c r="A694" s="428" t="s">
        <v>8879</v>
      </c>
      <c r="B694" s="570" t="s">
        <v>8881</v>
      </c>
      <c r="C694" s="631" t="s">
        <v>6268</v>
      </c>
      <c r="D694" s="413" t="s">
        <v>123</v>
      </c>
      <c r="E694" s="384">
        <v>1</v>
      </c>
      <c r="F694" s="482" t="s">
        <v>4020</v>
      </c>
      <c r="G694" s="486" t="s">
        <v>5854</v>
      </c>
      <c r="H694" s="593" t="s">
        <v>4021</v>
      </c>
      <c r="I694" s="634" t="s">
        <v>6215</v>
      </c>
      <c r="J694" s="1242"/>
      <c r="K694" s="1331"/>
    </row>
    <row r="695" spans="1:11">
      <c r="A695" s="428" t="s">
        <v>8879</v>
      </c>
      <c r="B695" s="570" t="s">
        <v>8881</v>
      </c>
      <c r="C695" s="631" t="s">
        <v>6268</v>
      </c>
      <c r="D695" s="413" t="s">
        <v>123</v>
      </c>
      <c r="E695" s="384">
        <v>1</v>
      </c>
      <c r="F695" s="482" t="s">
        <v>4022</v>
      </c>
      <c r="G695" s="486" t="s">
        <v>5855</v>
      </c>
      <c r="H695" s="593" t="s">
        <v>4023</v>
      </c>
      <c r="I695" s="634" t="s">
        <v>6215</v>
      </c>
      <c r="J695" s="1242"/>
      <c r="K695" s="1331"/>
    </row>
    <row r="696" spans="1:11">
      <c r="A696" s="428" t="s">
        <v>8879</v>
      </c>
      <c r="B696" s="570" t="s">
        <v>8881</v>
      </c>
      <c r="C696" s="631" t="s">
        <v>6268</v>
      </c>
      <c r="D696" s="413" t="s">
        <v>123</v>
      </c>
      <c r="E696" s="384">
        <v>1</v>
      </c>
      <c r="F696" s="482" t="s">
        <v>4024</v>
      </c>
      <c r="G696" s="486" t="s">
        <v>5856</v>
      </c>
      <c r="H696" s="593" t="s">
        <v>4025</v>
      </c>
      <c r="I696" s="634" t="s">
        <v>6215</v>
      </c>
      <c r="J696" s="1242"/>
      <c r="K696" s="1331"/>
    </row>
    <row r="697" spans="1:11">
      <c r="A697" s="428" t="s">
        <v>8879</v>
      </c>
      <c r="B697" s="570" t="s">
        <v>8881</v>
      </c>
      <c r="C697" s="631" t="s">
        <v>6268</v>
      </c>
      <c r="D697" s="413" t="s">
        <v>123</v>
      </c>
      <c r="E697" s="384">
        <v>1</v>
      </c>
      <c r="F697" s="482" t="s">
        <v>4026</v>
      </c>
      <c r="G697" s="486" t="s">
        <v>5857</v>
      </c>
      <c r="H697" s="593" t="s">
        <v>4027</v>
      </c>
      <c r="I697" s="634" t="s">
        <v>6215</v>
      </c>
      <c r="J697" s="1242"/>
      <c r="K697" s="1331"/>
    </row>
    <row r="698" spans="1:11">
      <c r="A698" s="428" t="s">
        <v>8879</v>
      </c>
      <c r="B698" s="570" t="s">
        <v>8881</v>
      </c>
      <c r="C698" s="631" t="s">
        <v>6268</v>
      </c>
      <c r="D698" s="413" t="s">
        <v>123</v>
      </c>
      <c r="E698" s="384">
        <v>1</v>
      </c>
      <c r="F698" s="482" t="s">
        <v>4028</v>
      </c>
      <c r="G698" s="486" t="s">
        <v>5858</v>
      </c>
      <c r="H698" s="593" t="s">
        <v>4029</v>
      </c>
      <c r="I698" s="634" t="s">
        <v>6215</v>
      </c>
      <c r="J698" s="1242"/>
      <c r="K698" s="1331"/>
    </row>
    <row r="699" spans="1:11">
      <c r="A699" s="428" t="s">
        <v>8879</v>
      </c>
      <c r="B699" s="570" t="s">
        <v>8881</v>
      </c>
      <c r="C699" s="631" t="s">
        <v>6268</v>
      </c>
      <c r="D699" s="413" t="s">
        <v>123</v>
      </c>
      <c r="E699" s="384">
        <v>1</v>
      </c>
      <c r="F699" s="482" t="s">
        <v>4030</v>
      </c>
      <c r="G699" s="486" t="s">
        <v>5859</v>
      </c>
      <c r="H699" s="593" t="s">
        <v>4031</v>
      </c>
      <c r="I699" s="634" t="s">
        <v>6215</v>
      </c>
      <c r="J699" s="1242"/>
      <c r="K699" s="1331"/>
    </row>
    <row r="700" spans="1:11">
      <c r="A700" s="428" t="s">
        <v>8879</v>
      </c>
      <c r="B700" s="570" t="s">
        <v>8881</v>
      </c>
      <c r="C700" s="631" t="s">
        <v>6268</v>
      </c>
      <c r="D700" s="413" t="s">
        <v>123</v>
      </c>
      <c r="E700" s="384">
        <v>1</v>
      </c>
      <c r="F700" s="482" t="s">
        <v>4032</v>
      </c>
      <c r="G700" s="486" t="s">
        <v>5860</v>
      </c>
      <c r="H700" s="593" t="s">
        <v>4033</v>
      </c>
      <c r="I700" s="634" t="s">
        <v>6215</v>
      </c>
      <c r="J700" s="1242"/>
      <c r="K700" s="1331"/>
    </row>
    <row r="701" spans="1:11">
      <c r="A701" s="428" t="s">
        <v>8879</v>
      </c>
      <c r="B701" s="570" t="s">
        <v>8881</v>
      </c>
      <c r="C701" s="631" t="s">
        <v>6268</v>
      </c>
      <c r="D701" s="413" t="s">
        <v>123</v>
      </c>
      <c r="E701" s="384">
        <v>1</v>
      </c>
      <c r="F701" s="482">
        <v>68</v>
      </c>
      <c r="G701" s="486" t="s">
        <v>5861</v>
      </c>
      <c r="H701" s="593" t="s">
        <v>4034</v>
      </c>
      <c r="I701" s="634" t="s">
        <v>6215</v>
      </c>
      <c r="J701" s="1242"/>
      <c r="K701" s="1331"/>
    </row>
    <row r="702" spans="1:11">
      <c r="A702" s="428" t="s">
        <v>8879</v>
      </c>
      <c r="B702" s="570" t="s">
        <v>8881</v>
      </c>
      <c r="C702" s="631" t="s">
        <v>6268</v>
      </c>
      <c r="D702" s="413" t="s">
        <v>123</v>
      </c>
      <c r="E702" s="384">
        <v>1</v>
      </c>
      <c r="F702" s="482" t="s">
        <v>4035</v>
      </c>
      <c r="G702" s="486" t="s">
        <v>5862</v>
      </c>
      <c r="H702" s="593" t="s">
        <v>4036</v>
      </c>
      <c r="I702" s="634" t="s">
        <v>6215</v>
      </c>
      <c r="J702" s="1242"/>
      <c r="K702" s="1331"/>
    </row>
    <row r="703" spans="1:11">
      <c r="A703" s="428" t="s">
        <v>8879</v>
      </c>
      <c r="B703" s="570" t="s">
        <v>8881</v>
      </c>
      <c r="C703" s="631" t="s">
        <v>6268</v>
      </c>
      <c r="D703" s="413" t="s">
        <v>123</v>
      </c>
      <c r="E703" s="384">
        <v>1</v>
      </c>
      <c r="F703" s="482" t="s">
        <v>4037</v>
      </c>
      <c r="G703" s="486" t="s">
        <v>5863</v>
      </c>
      <c r="H703" s="593" t="s">
        <v>4038</v>
      </c>
      <c r="I703" s="634" t="s">
        <v>6215</v>
      </c>
      <c r="J703" s="1242"/>
      <c r="K703" s="1331"/>
    </row>
    <row r="704" spans="1:11">
      <c r="A704" s="428" t="s">
        <v>8879</v>
      </c>
      <c r="B704" s="570" t="s">
        <v>8881</v>
      </c>
      <c r="C704" s="631" t="s">
        <v>6268</v>
      </c>
      <c r="D704" s="413" t="s">
        <v>123</v>
      </c>
      <c r="E704" s="384">
        <v>1</v>
      </c>
      <c r="F704" s="482" t="s">
        <v>4039</v>
      </c>
      <c r="G704" s="486" t="s">
        <v>5864</v>
      </c>
      <c r="H704" s="593" t="s">
        <v>4040</v>
      </c>
      <c r="I704" s="634" t="s">
        <v>6215</v>
      </c>
      <c r="J704" s="1242"/>
      <c r="K704" s="1331"/>
    </row>
    <row r="705" spans="1:11">
      <c r="A705" s="428" t="s">
        <v>8879</v>
      </c>
      <c r="B705" s="570" t="s">
        <v>8881</v>
      </c>
      <c r="C705" s="631" t="s">
        <v>6268</v>
      </c>
      <c r="D705" s="413" t="s">
        <v>123</v>
      </c>
      <c r="E705" s="384">
        <v>1</v>
      </c>
      <c r="F705" s="482" t="s">
        <v>4041</v>
      </c>
      <c r="G705" s="486" t="s">
        <v>5865</v>
      </c>
      <c r="H705" s="593" t="s">
        <v>4042</v>
      </c>
      <c r="I705" s="634" t="s">
        <v>6215</v>
      </c>
      <c r="J705" s="1242"/>
      <c r="K705" s="1331"/>
    </row>
    <row r="706" spans="1:11">
      <c r="A706" s="428" t="s">
        <v>8879</v>
      </c>
      <c r="B706" s="570" t="s">
        <v>8881</v>
      </c>
      <c r="C706" s="631" t="s">
        <v>6268</v>
      </c>
      <c r="D706" s="413" t="s">
        <v>123</v>
      </c>
      <c r="E706" s="384">
        <v>1</v>
      </c>
      <c r="F706" s="482" t="s">
        <v>4043</v>
      </c>
      <c r="G706" s="486" t="s">
        <v>5866</v>
      </c>
      <c r="H706" s="593" t="s">
        <v>4044</v>
      </c>
      <c r="I706" s="634" t="s">
        <v>6215</v>
      </c>
      <c r="J706" s="1242"/>
      <c r="K706" s="1331"/>
    </row>
    <row r="707" spans="1:11">
      <c r="A707" s="428" t="s">
        <v>8879</v>
      </c>
      <c r="B707" s="570" t="s">
        <v>8881</v>
      </c>
      <c r="C707" s="631" t="s">
        <v>6268</v>
      </c>
      <c r="D707" s="413" t="s">
        <v>123</v>
      </c>
      <c r="E707" s="384">
        <v>1</v>
      </c>
      <c r="F707" s="482">
        <v>69</v>
      </c>
      <c r="G707" s="486" t="s">
        <v>5867</v>
      </c>
      <c r="H707" s="593" t="s">
        <v>4045</v>
      </c>
      <c r="I707" s="634" t="s">
        <v>6215</v>
      </c>
      <c r="J707" s="1242"/>
      <c r="K707" s="1331"/>
    </row>
    <row r="708" spans="1:11">
      <c r="A708" s="428" t="s">
        <v>8879</v>
      </c>
      <c r="B708" s="570" t="s">
        <v>8881</v>
      </c>
      <c r="C708" s="631" t="s">
        <v>6268</v>
      </c>
      <c r="D708" s="413" t="s">
        <v>123</v>
      </c>
      <c r="E708" s="384">
        <v>1</v>
      </c>
      <c r="F708" s="482" t="s">
        <v>4046</v>
      </c>
      <c r="G708" s="486" t="s">
        <v>5868</v>
      </c>
      <c r="H708" s="593" t="s">
        <v>4047</v>
      </c>
      <c r="I708" s="634" t="s">
        <v>6215</v>
      </c>
      <c r="J708" s="1242"/>
      <c r="K708" s="1331"/>
    </row>
    <row r="709" spans="1:11">
      <c r="A709" s="428" t="s">
        <v>8879</v>
      </c>
      <c r="B709" s="570" t="s">
        <v>8881</v>
      </c>
      <c r="C709" s="631" t="s">
        <v>6268</v>
      </c>
      <c r="D709" s="413" t="s">
        <v>123</v>
      </c>
      <c r="E709" s="384">
        <v>1</v>
      </c>
      <c r="F709" s="482" t="s">
        <v>4048</v>
      </c>
      <c r="G709" s="486" t="s">
        <v>5869</v>
      </c>
      <c r="H709" s="593" t="s">
        <v>4049</v>
      </c>
      <c r="I709" s="634" t="s">
        <v>6215</v>
      </c>
      <c r="J709" s="1242"/>
      <c r="K709" s="1331"/>
    </row>
    <row r="710" spans="1:11">
      <c r="A710" s="428" t="s">
        <v>8879</v>
      </c>
      <c r="B710" s="570" t="s">
        <v>8881</v>
      </c>
      <c r="C710" s="631" t="s">
        <v>6268</v>
      </c>
      <c r="D710" s="413" t="s">
        <v>123</v>
      </c>
      <c r="E710" s="384">
        <v>1</v>
      </c>
      <c r="F710" s="482">
        <v>70</v>
      </c>
      <c r="G710" s="486" t="s">
        <v>5870</v>
      </c>
      <c r="H710" s="593" t="s">
        <v>4050</v>
      </c>
      <c r="I710" s="634" t="s">
        <v>6215</v>
      </c>
      <c r="J710" s="1242"/>
      <c r="K710" s="1331"/>
    </row>
    <row r="711" spans="1:11">
      <c r="A711" s="428" t="s">
        <v>8879</v>
      </c>
      <c r="B711" s="570" t="s">
        <v>8881</v>
      </c>
      <c r="C711" s="631" t="s">
        <v>6268</v>
      </c>
      <c r="D711" s="413" t="s">
        <v>123</v>
      </c>
      <c r="E711" s="384">
        <v>1</v>
      </c>
      <c r="F711" s="482" t="s">
        <v>4051</v>
      </c>
      <c r="G711" s="486" t="s">
        <v>5871</v>
      </c>
      <c r="H711" s="593" t="s">
        <v>4052</v>
      </c>
      <c r="I711" s="634" t="s">
        <v>6215</v>
      </c>
      <c r="J711" s="1242"/>
      <c r="K711" s="1331"/>
    </row>
    <row r="712" spans="1:11">
      <c r="A712" s="428" t="s">
        <v>8879</v>
      </c>
      <c r="B712" s="570" t="s">
        <v>8881</v>
      </c>
      <c r="C712" s="631" t="s">
        <v>6268</v>
      </c>
      <c r="D712" s="413" t="s">
        <v>123</v>
      </c>
      <c r="E712" s="384">
        <v>1</v>
      </c>
      <c r="F712" s="482" t="s">
        <v>4053</v>
      </c>
      <c r="G712" s="486" t="s">
        <v>5872</v>
      </c>
      <c r="H712" s="593" t="s">
        <v>4054</v>
      </c>
      <c r="I712" s="634" t="s">
        <v>6215</v>
      </c>
      <c r="J712" s="1242"/>
      <c r="K712" s="1331"/>
    </row>
    <row r="713" spans="1:11">
      <c r="A713" s="428" t="s">
        <v>8879</v>
      </c>
      <c r="B713" s="570" t="s">
        <v>8881</v>
      </c>
      <c r="C713" s="631" t="s">
        <v>6268</v>
      </c>
      <c r="D713" s="413" t="s">
        <v>123</v>
      </c>
      <c r="E713" s="384">
        <v>1</v>
      </c>
      <c r="F713" s="482" t="s">
        <v>4055</v>
      </c>
      <c r="G713" s="486" t="s">
        <v>5873</v>
      </c>
      <c r="H713" s="593" t="s">
        <v>4056</v>
      </c>
      <c r="I713" s="634" t="s">
        <v>6215</v>
      </c>
      <c r="J713" s="1242"/>
      <c r="K713" s="1331"/>
    </row>
    <row r="714" spans="1:11">
      <c r="A714" s="428" t="s">
        <v>8879</v>
      </c>
      <c r="B714" s="570" t="s">
        <v>8881</v>
      </c>
      <c r="C714" s="631" t="s">
        <v>6268</v>
      </c>
      <c r="D714" s="413" t="s">
        <v>123</v>
      </c>
      <c r="E714" s="384">
        <v>1</v>
      </c>
      <c r="F714" s="482" t="s">
        <v>4057</v>
      </c>
      <c r="G714" s="486" t="s">
        <v>5874</v>
      </c>
      <c r="H714" s="593" t="s">
        <v>4058</v>
      </c>
      <c r="I714" s="634" t="s">
        <v>6215</v>
      </c>
      <c r="J714" s="1242"/>
      <c r="K714" s="1331"/>
    </row>
    <row r="715" spans="1:11">
      <c r="A715" s="428" t="s">
        <v>8879</v>
      </c>
      <c r="B715" s="570" t="s">
        <v>8881</v>
      </c>
      <c r="C715" s="631" t="s">
        <v>6268</v>
      </c>
      <c r="D715" s="413" t="s">
        <v>123</v>
      </c>
      <c r="E715" s="384">
        <v>1</v>
      </c>
      <c r="F715" s="482">
        <v>71</v>
      </c>
      <c r="G715" s="486" t="s">
        <v>5875</v>
      </c>
      <c r="H715" s="593" t="s">
        <v>4059</v>
      </c>
      <c r="I715" s="634" t="s">
        <v>6215</v>
      </c>
      <c r="J715" s="1242"/>
      <c r="K715" s="1331"/>
    </row>
    <row r="716" spans="1:11">
      <c r="A716" s="428" t="s">
        <v>8879</v>
      </c>
      <c r="B716" s="570" t="s">
        <v>8881</v>
      </c>
      <c r="C716" s="631" t="s">
        <v>6268</v>
      </c>
      <c r="D716" s="413" t="s">
        <v>123</v>
      </c>
      <c r="E716" s="384">
        <v>1</v>
      </c>
      <c r="F716" s="482" t="s">
        <v>4060</v>
      </c>
      <c r="G716" s="486" t="s">
        <v>5876</v>
      </c>
      <c r="H716" s="593" t="s">
        <v>4061</v>
      </c>
      <c r="I716" s="634" t="s">
        <v>6215</v>
      </c>
      <c r="J716" s="1242"/>
      <c r="K716" s="1331"/>
    </row>
    <row r="717" spans="1:11">
      <c r="A717" s="428" t="s">
        <v>8879</v>
      </c>
      <c r="B717" s="570" t="s">
        <v>8881</v>
      </c>
      <c r="C717" s="631" t="s">
        <v>6268</v>
      </c>
      <c r="D717" s="413" t="s">
        <v>123</v>
      </c>
      <c r="E717" s="384">
        <v>1</v>
      </c>
      <c r="F717" s="482" t="s">
        <v>4062</v>
      </c>
      <c r="G717" s="486" t="s">
        <v>5877</v>
      </c>
      <c r="H717" s="593" t="s">
        <v>4063</v>
      </c>
      <c r="I717" s="634" t="s">
        <v>6215</v>
      </c>
      <c r="J717" s="1242"/>
      <c r="K717" s="1331"/>
    </row>
    <row r="718" spans="1:11">
      <c r="A718" s="428" t="s">
        <v>8879</v>
      </c>
      <c r="B718" s="570" t="s">
        <v>8881</v>
      </c>
      <c r="C718" s="631" t="s">
        <v>6268</v>
      </c>
      <c r="D718" s="413" t="s">
        <v>123</v>
      </c>
      <c r="E718" s="384">
        <v>1</v>
      </c>
      <c r="F718" s="482" t="s">
        <v>4064</v>
      </c>
      <c r="G718" s="486" t="s">
        <v>5878</v>
      </c>
      <c r="H718" s="593" t="s">
        <v>4065</v>
      </c>
      <c r="I718" s="634" t="s">
        <v>6215</v>
      </c>
      <c r="J718" s="1242"/>
      <c r="K718" s="1331"/>
    </row>
    <row r="719" spans="1:11">
      <c r="A719" s="428" t="s">
        <v>8879</v>
      </c>
      <c r="B719" s="570" t="s">
        <v>8881</v>
      </c>
      <c r="C719" s="631" t="s">
        <v>6268</v>
      </c>
      <c r="D719" s="413" t="s">
        <v>123</v>
      </c>
      <c r="E719" s="384">
        <v>1</v>
      </c>
      <c r="F719" s="482" t="s">
        <v>4066</v>
      </c>
      <c r="G719" s="486" t="s">
        <v>5879</v>
      </c>
      <c r="H719" s="593" t="s">
        <v>4067</v>
      </c>
      <c r="I719" s="634" t="s">
        <v>6215</v>
      </c>
      <c r="J719" s="1242"/>
      <c r="K719" s="1331"/>
    </row>
    <row r="720" spans="1:11">
      <c r="A720" s="428" t="s">
        <v>8879</v>
      </c>
      <c r="B720" s="570" t="s">
        <v>8881</v>
      </c>
      <c r="C720" s="631" t="s">
        <v>6268</v>
      </c>
      <c r="D720" s="413" t="s">
        <v>123</v>
      </c>
      <c r="E720" s="384">
        <v>1</v>
      </c>
      <c r="F720" s="482">
        <v>72</v>
      </c>
      <c r="G720" s="486" t="s">
        <v>5880</v>
      </c>
      <c r="H720" s="593" t="s">
        <v>4068</v>
      </c>
      <c r="I720" s="634" t="s">
        <v>6215</v>
      </c>
      <c r="J720" s="1242"/>
      <c r="K720" s="1331"/>
    </row>
    <row r="721" spans="1:11">
      <c r="A721" s="428" t="s">
        <v>8879</v>
      </c>
      <c r="B721" s="570" t="s">
        <v>8881</v>
      </c>
      <c r="C721" s="631" t="s">
        <v>6268</v>
      </c>
      <c r="D721" s="413" t="s">
        <v>123</v>
      </c>
      <c r="E721" s="384">
        <v>1</v>
      </c>
      <c r="F721" s="482" t="s">
        <v>4069</v>
      </c>
      <c r="G721" s="486" t="s">
        <v>5881</v>
      </c>
      <c r="H721" s="593" t="s">
        <v>4070</v>
      </c>
      <c r="I721" s="634" t="s">
        <v>6215</v>
      </c>
      <c r="J721" s="1242"/>
      <c r="K721" s="1331"/>
    </row>
    <row r="722" spans="1:11">
      <c r="A722" s="428" t="s">
        <v>8879</v>
      </c>
      <c r="B722" s="570" t="s">
        <v>8881</v>
      </c>
      <c r="C722" s="631" t="s">
        <v>6268</v>
      </c>
      <c r="D722" s="413" t="s">
        <v>123</v>
      </c>
      <c r="E722" s="384">
        <v>1</v>
      </c>
      <c r="F722" s="482" t="s">
        <v>4071</v>
      </c>
      <c r="G722" s="486" t="s">
        <v>5882</v>
      </c>
      <c r="H722" s="593" t="s">
        <v>4072</v>
      </c>
      <c r="I722" s="634" t="s">
        <v>6215</v>
      </c>
      <c r="J722" s="1242"/>
      <c r="K722" s="1331"/>
    </row>
    <row r="723" spans="1:11">
      <c r="A723" s="428" t="s">
        <v>8879</v>
      </c>
      <c r="B723" s="570" t="s">
        <v>8881</v>
      </c>
      <c r="C723" s="631" t="s">
        <v>6268</v>
      </c>
      <c r="D723" s="413" t="s">
        <v>123</v>
      </c>
      <c r="E723" s="384">
        <v>1</v>
      </c>
      <c r="F723" s="482" t="s">
        <v>4073</v>
      </c>
      <c r="G723" s="486" t="s">
        <v>5883</v>
      </c>
      <c r="H723" s="593" t="s">
        <v>4074</v>
      </c>
      <c r="I723" s="634" t="s">
        <v>6215</v>
      </c>
      <c r="J723" s="1242"/>
      <c r="K723" s="1331"/>
    </row>
    <row r="724" spans="1:11">
      <c r="A724" s="428" t="s">
        <v>8879</v>
      </c>
      <c r="B724" s="570" t="s">
        <v>8881</v>
      </c>
      <c r="C724" s="631" t="s">
        <v>6268</v>
      </c>
      <c r="D724" s="413" t="s">
        <v>123</v>
      </c>
      <c r="E724" s="384">
        <v>1</v>
      </c>
      <c r="F724" s="482" t="s">
        <v>4075</v>
      </c>
      <c r="G724" s="486" t="s">
        <v>5884</v>
      </c>
      <c r="H724" s="593" t="s">
        <v>4076</v>
      </c>
      <c r="I724" s="634" t="s">
        <v>6215</v>
      </c>
      <c r="J724" s="1242"/>
      <c r="K724" s="1331"/>
    </row>
    <row r="725" spans="1:11">
      <c r="A725" s="428" t="s">
        <v>8879</v>
      </c>
      <c r="B725" s="570" t="s">
        <v>8881</v>
      </c>
      <c r="C725" s="631" t="s">
        <v>6268</v>
      </c>
      <c r="D725" s="413" t="s">
        <v>123</v>
      </c>
      <c r="E725" s="384">
        <v>1</v>
      </c>
      <c r="F725" s="482">
        <v>73</v>
      </c>
      <c r="G725" s="486" t="s">
        <v>5885</v>
      </c>
      <c r="H725" s="593" t="s">
        <v>4077</v>
      </c>
      <c r="I725" s="634" t="s">
        <v>6215</v>
      </c>
      <c r="J725" s="1242"/>
      <c r="K725" s="1331"/>
    </row>
    <row r="726" spans="1:11">
      <c r="A726" s="428" t="s">
        <v>8879</v>
      </c>
      <c r="B726" s="570" t="s">
        <v>8881</v>
      </c>
      <c r="C726" s="631" t="s">
        <v>6268</v>
      </c>
      <c r="D726" s="413" t="s">
        <v>123</v>
      </c>
      <c r="E726" s="384">
        <v>1</v>
      </c>
      <c r="F726" s="482" t="s">
        <v>4078</v>
      </c>
      <c r="G726" s="486" t="s">
        <v>5886</v>
      </c>
      <c r="H726" s="593" t="s">
        <v>4079</v>
      </c>
      <c r="I726" s="634" t="s">
        <v>6215</v>
      </c>
      <c r="J726" s="1242"/>
      <c r="K726" s="1331"/>
    </row>
    <row r="727" spans="1:11">
      <c r="A727" s="428" t="s">
        <v>8879</v>
      </c>
      <c r="B727" s="570" t="s">
        <v>8881</v>
      </c>
      <c r="C727" s="631" t="s">
        <v>6268</v>
      </c>
      <c r="D727" s="413" t="s">
        <v>123</v>
      </c>
      <c r="E727" s="384">
        <v>1</v>
      </c>
      <c r="F727" s="482" t="s">
        <v>4080</v>
      </c>
      <c r="G727" s="486" t="s">
        <v>5887</v>
      </c>
      <c r="H727" s="593" t="s">
        <v>4081</v>
      </c>
      <c r="I727" s="634" t="s">
        <v>6215</v>
      </c>
      <c r="J727" s="1242"/>
      <c r="K727" s="1331"/>
    </row>
    <row r="728" spans="1:11">
      <c r="A728" s="428" t="s">
        <v>8879</v>
      </c>
      <c r="B728" s="570" t="s">
        <v>8881</v>
      </c>
      <c r="C728" s="631" t="s">
        <v>6268</v>
      </c>
      <c r="D728" s="413" t="s">
        <v>123</v>
      </c>
      <c r="E728" s="384">
        <v>1</v>
      </c>
      <c r="F728" s="482" t="s">
        <v>4082</v>
      </c>
      <c r="G728" s="486" t="s">
        <v>5888</v>
      </c>
      <c r="H728" s="593" t="s">
        <v>4083</v>
      </c>
      <c r="I728" s="634" t="s">
        <v>6215</v>
      </c>
      <c r="J728" s="1242"/>
      <c r="K728" s="1331"/>
    </row>
    <row r="729" spans="1:11">
      <c r="A729" s="428" t="s">
        <v>8879</v>
      </c>
      <c r="B729" s="570" t="s">
        <v>8881</v>
      </c>
      <c r="C729" s="631" t="s">
        <v>6268</v>
      </c>
      <c r="D729" s="413" t="s">
        <v>123</v>
      </c>
      <c r="E729" s="384">
        <v>1</v>
      </c>
      <c r="F729" s="482" t="s">
        <v>4084</v>
      </c>
      <c r="G729" s="486" t="s">
        <v>5889</v>
      </c>
      <c r="H729" s="593" t="s">
        <v>4085</v>
      </c>
      <c r="I729" s="634" t="s">
        <v>6215</v>
      </c>
      <c r="J729" s="1242"/>
      <c r="K729" s="1331"/>
    </row>
    <row r="730" spans="1:11">
      <c r="A730" s="428" t="s">
        <v>8879</v>
      </c>
      <c r="B730" s="570" t="s">
        <v>8881</v>
      </c>
      <c r="C730" s="631" t="s">
        <v>6268</v>
      </c>
      <c r="D730" s="413" t="s">
        <v>123</v>
      </c>
      <c r="E730" s="384">
        <v>1</v>
      </c>
      <c r="F730" s="482">
        <v>74</v>
      </c>
      <c r="G730" s="486" t="s">
        <v>5890</v>
      </c>
      <c r="H730" s="593" t="s">
        <v>4086</v>
      </c>
      <c r="I730" s="634" t="s">
        <v>6215</v>
      </c>
      <c r="J730" s="1242"/>
      <c r="K730" s="1331"/>
    </row>
    <row r="731" spans="1:11">
      <c r="A731" s="428" t="s">
        <v>8879</v>
      </c>
      <c r="B731" s="570" t="s">
        <v>8881</v>
      </c>
      <c r="C731" s="631" t="s">
        <v>6268</v>
      </c>
      <c r="D731" s="413" t="s">
        <v>123</v>
      </c>
      <c r="E731" s="384">
        <v>1</v>
      </c>
      <c r="F731" s="482" t="s">
        <v>4087</v>
      </c>
      <c r="G731" s="486" t="s">
        <v>5891</v>
      </c>
      <c r="H731" s="593" t="s">
        <v>4088</v>
      </c>
      <c r="I731" s="634" t="s">
        <v>6215</v>
      </c>
      <c r="J731" s="1242"/>
      <c r="K731" s="1331"/>
    </row>
    <row r="732" spans="1:11">
      <c r="A732" s="428" t="s">
        <v>8879</v>
      </c>
      <c r="B732" s="570" t="s">
        <v>8881</v>
      </c>
      <c r="C732" s="631" t="s">
        <v>6268</v>
      </c>
      <c r="D732" s="413" t="s">
        <v>123</v>
      </c>
      <c r="E732" s="384">
        <v>1</v>
      </c>
      <c r="F732" s="482" t="s">
        <v>4089</v>
      </c>
      <c r="G732" s="486" t="s">
        <v>5892</v>
      </c>
      <c r="H732" s="593" t="s">
        <v>4090</v>
      </c>
      <c r="I732" s="634" t="s">
        <v>6215</v>
      </c>
      <c r="J732" s="1242"/>
      <c r="K732" s="1331"/>
    </row>
    <row r="733" spans="1:11">
      <c r="A733" s="428" t="s">
        <v>8879</v>
      </c>
      <c r="B733" s="570" t="s">
        <v>8881</v>
      </c>
      <c r="C733" s="631" t="s">
        <v>6268</v>
      </c>
      <c r="D733" s="413" t="s">
        <v>123</v>
      </c>
      <c r="E733" s="384">
        <v>1</v>
      </c>
      <c r="F733" s="482" t="s">
        <v>4091</v>
      </c>
      <c r="G733" s="486" t="s">
        <v>5893</v>
      </c>
      <c r="H733" s="593" t="s">
        <v>4092</v>
      </c>
      <c r="I733" s="634" t="s">
        <v>6215</v>
      </c>
      <c r="J733" s="1242"/>
      <c r="K733" s="1331"/>
    </row>
    <row r="734" spans="1:11">
      <c r="A734" s="428" t="s">
        <v>8879</v>
      </c>
      <c r="B734" s="570" t="s">
        <v>8881</v>
      </c>
      <c r="C734" s="631" t="s">
        <v>6268</v>
      </c>
      <c r="D734" s="413" t="s">
        <v>123</v>
      </c>
      <c r="E734" s="384">
        <v>1</v>
      </c>
      <c r="F734" s="482" t="s">
        <v>4093</v>
      </c>
      <c r="G734" s="486" t="s">
        <v>5894</v>
      </c>
      <c r="H734" s="593" t="s">
        <v>4094</v>
      </c>
      <c r="I734" s="634" t="s">
        <v>6215</v>
      </c>
      <c r="J734" s="1242"/>
      <c r="K734" s="1331"/>
    </row>
    <row r="735" spans="1:11">
      <c r="A735" s="428" t="s">
        <v>8879</v>
      </c>
      <c r="B735" s="570" t="s">
        <v>8881</v>
      </c>
      <c r="C735" s="631" t="s">
        <v>6268</v>
      </c>
      <c r="D735" s="413" t="s">
        <v>123</v>
      </c>
      <c r="E735" s="384">
        <v>1</v>
      </c>
      <c r="F735" s="482">
        <v>75</v>
      </c>
      <c r="G735" s="486" t="s">
        <v>5895</v>
      </c>
      <c r="H735" s="593" t="s">
        <v>4095</v>
      </c>
      <c r="I735" s="634" t="s">
        <v>6215</v>
      </c>
      <c r="J735" s="1242"/>
      <c r="K735" s="1331"/>
    </row>
    <row r="736" spans="1:11">
      <c r="A736" s="428" t="s">
        <v>8879</v>
      </c>
      <c r="B736" s="570" t="s">
        <v>8881</v>
      </c>
      <c r="C736" s="631" t="s">
        <v>6268</v>
      </c>
      <c r="D736" s="413" t="s">
        <v>123</v>
      </c>
      <c r="E736" s="384">
        <v>1</v>
      </c>
      <c r="F736" s="482">
        <v>77</v>
      </c>
      <c r="G736" s="486" t="s">
        <v>5896</v>
      </c>
      <c r="H736" s="593" t="s">
        <v>4096</v>
      </c>
      <c r="I736" s="634" t="s">
        <v>6215</v>
      </c>
      <c r="J736" s="1242"/>
      <c r="K736" s="1331"/>
    </row>
    <row r="737" spans="1:11">
      <c r="A737" s="428" t="s">
        <v>8879</v>
      </c>
      <c r="B737" s="570" t="s">
        <v>8881</v>
      </c>
      <c r="C737" s="631" t="s">
        <v>6268</v>
      </c>
      <c r="D737" s="413" t="s">
        <v>123</v>
      </c>
      <c r="E737" s="384">
        <v>1</v>
      </c>
      <c r="F737" s="482" t="s">
        <v>4097</v>
      </c>
      <c r="G737" s="486" t="s">
        <v>5897</v>
      </c>
      <c r="H737" s="593" t="s">
        <v>4098</v>
      </c>
      <c r="I737" s="634" t="s">
        <v>6215</v>
      </c>
      <c r="J737" s="1242"/>
      <c r="K737" s="1331"/>
    </row>
    <row r="738" spans="1:11">
      <c r="A738" s="428" t="s">
        <v>8879</v>
      </c>
      <c r="B738" s="570" t="s">
        <v>8881</v>
      </c>
      <c r="C738" s="631" t="s">
        <v>6268</v>
      </c>
      <c r="D738" s="413" t="s">
        <v>123</v>
      </c>
      <c r="E738" s="384">
        <v>1</v>
      </c>
      <c r="F738" s="482" t="s">
        <v>4099</v>
      </c>
      <c r="G738" s="486" t="s">
        <v>5898</v>
      </c>
      <c r="H738" s="593" t="s">
        <v>4100</v>
      </c>
      <c r="I738" s="634" t="s">
        <v>6215</v>
      </c>
      <c r="J738" s="1242"/>
      <c r="K738" s="1331"/>
    </row>
    <row r="739" spans="1:11">
      <c r="A739" s="428" t="s">
        <v>8879</v>
      </c>
      <c r="B739" s="570" t="s">
        <v>8881</v>
      </c>
      <c r="C739" s="631" t="s">
        <v>6268</v>
      </c>
      <c r="D739" s="413" t="s">
        <v>123</v>
      </c>
      <c r="E739" s="384">
        <v>1</v>
      </c>
      <c r="F739" s="482" t="s">
        <v>4101</v>
      </c>
      <c r="G739" s="486" t="s">
        <v>5899</v>
      </c>
      <c r="H739" s="593" t="s">
        <v>4102</v>
      </c>
      <c r="I739" s="634" t="s">
        <v>6215</v>
      </c>
      <c r="J739" s="1242"/>
      <c r="K739" s="1331"/>
    </row>
    <row r="740" spans="1:11">
      <c r="A740" s="428" t="s">
        <v>8879</v>
      </c>
      <c r="B740" s="570" t="s">
        <v>8881</v>
      </c>
      <c r="C740" s="631" t="s">
        <v>6268</v>
      </c>
      <c r="D740" s="413" t="s">
        <v>123</v>
      </c>
      <c r="E740" s="384">
        <v>1</v>
      </c>
      <c r="F740" s="482" t="s">
        <v>4103</v>
      </c>
      <c r="G740" s="486" t="s">
        <v>5900</v>
      </c>
      <c r="H740" s="593" t="s">
        <v>4104</v>
      </c>
      <c r="I740" s="634" t="s">
        <v>6215</v>
      </c>
      <c r="J740" s="1242"/>
      <c r="K740" s="1331"/>
    </row>
    <row r="741" spans="1:11">
      <c r="A741" s="428" t="s">
        <v>8879</v>
      </c>
      <c r="B741" s="570" t="s">
        <v>8881</v>
      </c>
      <c r="C741" s="631" t="s">
        <v>6268</v>
      </c>
      <c r="D741" s="413" t="s">
        <v>123</v>
      </c>
      <c r="E741" s="384">
        <v>1</v>
      </c>
      <c r="F741" s="482" t="s">
        <v>4105</v>
      </c>
      <c r="G741" s="486" t="s">
        <v>5901</v>
      </c>
      <c r="H741" s="593" t="s">
        <v>4106</v>
      </c>
      <c r="I741" s="634" t="s">
        <v>6215</v>
      </c>
      <c r="J741" s="1242"/>
      <c r="K741" s="1331"/>
    </row>
    <row r="742" spans="1:11">
      <c r="A742" s="428" t="s">
        <v>8879</v>
      </c>
      <c r="B742" s="570" t="s">
        <v>8881</v>
      </c>
      <c r="C742" s="631" t="s">
        <v>6268</v>
      </c>
      <c r="D742" s="413" t="s">
        <v>123</v>
      </c>
      <c r="E742" s="384">
        <v>1</v>
      </c>
      <c r="F742" s="482" t="s">
        <v>4107</v>
      </c>
      <c r="G742" s="486" t="s">
        <v>5902</v>
      </c>
      <c r="H742" s="593" t="s">
        <v>4108</v>
      </c>
      <c r="I742" s="634" t="s">
        <v>6215</v>
      </c>
      <c r="J742" s="1242"/>
      <c r="K742" s="1331"/>
    </row>
    <row r="743" spans="1:11">
      <c r="A743" s="428" t="s">
        <v>8879</v>
      </c>
      <c r="B743" s="570" t="s">
        <v>8881</v>
      </c>
      <c r="C743" s="631" t="s">
        <v>6268</v>
      </c>
      <c r="D743" s="413" t="s">
        <v>123</v>
      </c>
      <c r="E743" s="384">
        <v>1</v>
      </c>
      <c r="F743" s="482" t="s">
        <v>4109</v>
      </c>
      <c r="G743" s="486" t="s">
        <v>5903</v>
      </c>
      <c r="H743" s="593" t="s">
        <v>4110</v>
      </c>
      <c r="I743" s="634" t="s">
        <v>6215</v>
      </c>
      <c r="J743" s="1242"/>
      <c r="K743" s="1331"/>
    </row>
    <row r="744" spans="1:11">
      <c r="A744" s="428" t="s">
        <v>8879</v>
      </c>
      <c r="B744" s="570" t="s">
        <v>8881</v>
      </c>
      <c r="C744" s="631" t="s">
        <v>6268</v>
      </c>
      <c r="D744" s="413" t="s">
        <v>123</v>
      </c>
      <c r="E744" s="384">
        <v>1</v>
      </c>
      <c r="F744" s="482" t="s">
        <v>4111</v>
      </c>
      <c r="G744" s="486" t="s">
        <v>5904</v>
      </c>
      <c r="H744" s="593" t="s">
        <v>4112</v>
      </c>
      <c r="I744" s="634" t="s">
        <v>6215</v>
      </c>
      <c r="J744" s="1242"/>
      <c r="K744" s="1331"/>
    </row>
    <row r="745" spans="1:11">
      <c r="A745" s="428" t="s">
        <v>8879</v>
      </c>
      <c r="B745" s="570" t="s">
        <v>8881</v>
      </c>
      <c r="C745" s="631" t="s">
        <v>6268</v>
      </c>
      <c r="D745" s="413" t="s">
        <v>123</v>
      </c>
      <c r="E745" s="384">
        <v>1</v>
      </c>
      <c r="F745" s="482" t="s">
        <v>4113</v>
      </c>
      <c r="G745" s="486" t="s">
        <v>5905</v>
      </c>
      <c r="H745" s="593" t="s">
        <v>4114</v>
      </c>
      <c r="I745" s="634" t="s">
        <v>6215</v>
      </c>
      <c r="J745" s="1242"/>
      <c r="K745" s="1331"/>
    </row>
    <row r="746" spans="1:11">
      <c r="A746" s="428" t="s">
        <v>8879</v>
      </c>
      <c r="B746" s="570" t="s">
        <v>8881</v>
      </c>
      <c r="C746" s="631" t="s">
        <v>6268</v>
      </c>
      <c r="D746" s="413" t="s">
        <v>123</v>
      </c>
      <c r="E746" s="384">
        <v>1</v>
      </c>
      <c r="F746" s="482" t="s">
        <v>4115</v>
      </c>
      <c r="G746" s="486" t="s">
        <v>5906</v>
      </c>
      <c r="H746" s="593" t="s">
        <v>4116</v>
      </c>
      <c r="I746" s="634" t="s">
        <v>6215</v>
      </c>
      <c r="J746" s="1242"/>
      <c r="K746" s="1331"/>
    </row>
    <row r="747" spans="1:11">
      <c r="A747" s="428" t="s">
        <v>8879</v>
      </c>
      <c r="B747" s="570" t="s">
        <v>8881</v>
      </c>
      <c r="C747" s="631" t="s">
        <v>6268</v>
      </c>
      <c r="D747" s="413" t="s">
        <v>123</v>
      </c>
      <c r="E747" s="384">
        <v>1</v>
      </c>
      <c r="F747" s="482" t="s">
        <v>4117</v>
      </c>
      <c r="G747" s="486" t="s">
        <v>5907</v>
      </c>
      <c r="H747" s="593" t="s">
        <v>4118</v>
      </c>
      <c r="I747" s="634" t="s">
        <v>6215</v>
      </c>
      <c r="J747" s="1242"/>
      <c r="K747" s="1331"/>
    </row>
    <row r="748" spans="1:11">
      <c r="A748" s="428" t="s">
        <v>8879</v>
      </c>
      <c r="B748" s="570" t="s">
        <v>8881</v>
      </c>
      <c r="C748" s="631" t="s">
        <v>6268</v>
      </c>
      <c r="D748" s="413" t="s">
        <v>123</v>
      </c>
      <c r="E748" s="384">
        <v>1</v>
      </c>
      <c r="F748" s="482" t="s">
        <v>4119</v>
      </c>
      <c r="G748" s="486" t="s">
        <v>5908</v>
      </c>
      <c r="H748" s="593" t="s">
        <v>4120</v>
      </c>
      <c r="I748" s="634" t="s">
        <v>6215</v>
      </c>
      <c r="J748" s="1242"/>
      <c r="K748" s="1331"/>
    </row>
    <row r="749" spans="1:11">
      <c r="A749" s="428" t="s">
        <v>8879</v>
      </c>
      <c r="B749" s="570" t="s">
        <v>8881</v>
      </c>
      <c r="C749" s="631" t="s">
        <v>6268</v>
      </c>
      <c r="D749" s="413" t="s">
        <v>123</v>
      </c>
      <c r="E749" s="384">
        <v>1</v>
      </c>
      <c r="F749" s="482" t="s">
        <v>4121</v>
      </c>
      <c r="G749" s="486" t="s">
        <v>5909</v>
      </c>
      <c r="H749" s="593" t="s">
        <v>4122</v>
      </c>
      <c r="I749" s="634" t="s">
        <v>6215</v>
      </c>
      <c r="J749" s="1242"/>
      <c r="K749" s="1331"/>
    </row>
    <row r="750" spans="1:11">
      <c r="A750" s="428" t="s">
        <v>8879</v>
      </c>
      <c r="B750" s="570" t="s">
        <v>8881</v>
      </c>
      <c r="C750" s="631" t="s">
        <v>6268</v>
      </c>
      <c r="D750" s="413" t="s">
        <v>123</v>
      </c>
      <c r="E750" s="384">
        <v>1</v>
      </c>
      <c r="F750" s="482" t="s">
        <v>4123</v>
      </c>
      <c r="G750" s="486" t="s">
        <v>5910</v>
      </c>
      <c r="H750" s="593" t="s">
        <v>4124</v>
      </c>
      <c r="I750" s="634" t="s">
        <v>6215</v>
      </c>
      <c r="J750" s="1242"/>
      <c r="K750" s="1331"/>
    </row>
    <row r="751" spans="1:11">
      <c r="A751" s="428" t="s">
        <v>8879</v>
      </c>
      <c r="B751" s="570" t="s">
        <v>8881</v>
      </c>
      <c r="C751" s="631" t="s">
        <v>6268</v>
      </c>
      <c r="D751" s="413" t="s">
        <v>123</v>
      </c>
      <c r="E751" s="384">
        <v>1</v>
      </c>
      <c r="F751" s="482" t="s">
        <v>4125</v>
      </c>
      <c r="G751" s="486" t="s">
        <v>5911</v>
      </c>
      <c r="H751" s="593" t="s">
        <v>4126</v>
      </c>
      <c r="I751" s="634" t="s">
        <v>6215</v>
      </c>
      <c r="J751" s="1242"/>
      <c r="K751" s="1331"/>
    </row>
    <row r="752" spans="1:11">
      <c r="A752" s="428" t="s">
        <v>8879</v>
      </c>
      <c r="B752" s="570" t="s">
        <v>8881</v>
      </c>
      <c r="C752" s="631" t="s">
        <v>6268</v>
      </c>
      <c r="D752" s="413" t="s">
        <v>123</v>
      </c>
      <c r="E752" s="384">
        <v>1</v>
      </c>
      <c r="F752" s="482">
        <v>78</v>
      </c>
      <c r="G752" s="486" t="s">
        <v>5912</v>
      </c>
      <c r="H752" s="593" t="s">
        <v>4127</v>
      </c>
      <c r="I752" s="634" t="s">
        <v>6215</v>
      </c>
      <c r="J752" s="1242"/>
      <c r="K752" s="1331"/>
    </row>
    <row r="753" spans="1:11">
      <c r="A753" s="428" t="s">
        <v>8879</v>
      </c>
      <c r="B753" s="570" t="s">
        <v>8881</v>
      </c>
      <c r="C753" s="631" t="s">
        <v>6268</v>
      </c>
      <c r="D753" s="413" t="s">
        <v>123</v>
      </c>
      <c r="E753" s="384">
        <v>1</v>
      </c>
      <c r="F753" s="482" t="s">
        <v>4128</v>
      </c>
      <c r="G753" s="486" t="s">
        <v>5913</v>
      </c>
      <c r="H753" s="593" t="s">
        <v>4129</v>
      </c>
      <c r="I753" s="634" t="s">
        <v>6215</v>
      </c>
      <c r="J753" s="1242"/>
      <c r="K753" s="1331"/>
    </row>
    <row r="754" spans="1:11">
      <c r="A754" s="428" t="s">
        <v>8879</v>
      </c>
      <c r="B754" s="570" t="s">
        <v>8881</v>
      </c>
      <c r="C754" s="631" t="s">
        <v>6268</v>
      </c>
      <c r="D754" s="413" t="s">
        <v>123</v>
      </c>
      <c r="E754" s="384">
        <v>1</v>
      </c>
      <c r="F754" s="482" t="s">
        <v>4130</v>
      </c>
      <c r="G754" s="486" t="s">
        <v>5914</v>
      </c>
      <c r="H754" s="593" t="s">
        <v>4131</v>
      </c>
      <c r="I754" s="634" t="s">
        <v>6215</v>
      </c>
      <c r="J754" s="1242"/>
      <c r="K754" s="1331"/>
    </row>
    <row r="755" spans="1:11">
      <c r="A755" s="428" t="s">
        <v>8879</v>
      </c>
      <c r="B755" s="570" t="s">
        <v>8881</v>
      </c>
      <c r="C755" s="631" t="s">
        <v>6268</v>
      </c>
      <c r="D755" s="413" t="s">
        <v>123</v>
      </c>
      <c r="E755" s="384">
        <v>1</v>
      </c>
      <c r="F755" s="482" t="s">
        <v>4132</v>
      </c>
      <c r="G755" s="486" t="s">
        <v>5915</v>
      </c>
      <c r="H755" s="593" t="s">
        <v>4133</v>
      </c>
      <c r="I755" s="634" t="s">
        <v>6215</v>
      </c>
      <c r="J755" s="1242"/>
      <c r="K755" s="1331"/>
    </row>
    <row r="756" spans="1:11">
      <c r="A756" s="428" t="s">
        <v>8879</v>
      </c>
      <c r="B756" s="570" t="s">
        <v>8881</v>
      </c>
      <c r="C756" s="631" t="s">
        <v>6268</v>
      </c>
      <c r="D756" s="413" t="s">
        <v>123</v>
      </c>
      <c r="E756" s="384">
        <v>1</v>
      </c>
      <c r="F756" s="482">
        <v>79</v>
      </c>
      <c r="G756" s="486" t="s">
        <v>5916</v>
      </c>
      <c r="H756" s="593" t="s">
        <v>4134</v>
      </c>
      <c r="I756" s="634" t="s">
        <v>6215</v>
      </c>
      <c r="J756" s="1242"/>
      <c r="K756" s="1331"/>
    </row>
    <row r="757" spans="1:11">
      <c r="A757" s="428" t="s">
        <v>8879</v>
      </c>
      <c r="B757" s="570" t="s">
        <v>8881</v>
      </c>
      <c r="C757" s="631" t="s">
        <v>6268</v>
      </c>
      <c r="D757" s="413" t="s">
        <v>123</v>
      </c>
      <c r="E757" s="384">
        <v>1</v>
      </c>
      <c r="F757" s="482" t="s">
        <v>4135</v>
      </c>
      <c r="G757" s="486" t="s">
        <v>5917</v>
      </c>
      <c r="H757" s="593" t="s">
        <v>4136</v>
      </c>
      <c r="I757" s="634" t="s">
        <v>6215</v>
      </c>
      <c r="J757" s="1242"/>
      <c r="K757" s="1331"/>
    </row>
    <row r="758" spans="1:11">
      <c r="A758" s="428" t="s">
        <v>8879</v>
      </c>
      <c r="B758" s="570" t="s">
        <v>8881</v>
      </c>
      <c r="C758" s="631" t="s">
        <v>6268</v>
      </c>
      <c r="D758" s="413" t="s">
        <v>123</v>
      </c>
      <c r="E758" s="384">
        <v>1</v>
      </c>
      <c r="F758" s="482" t="s">
        <v>4137</v>
      </c>
      <c r="G758" s="486" t="s">
        <v>5918</v>
      </c>
      <c r="H758" s="593" t="s">
        <v>4138</v>
      </c>
      <c r="I758" s="634" t="s">
        <v>6215</v>
      </c>
      <c r="J758" s="1242"/>
      <c r="K758" s="1331"/>
    </row>
    <row r="759" spans="1:11">
      <c r="A759" s="428" t="s">
        <v>8879</v>
      </c>
      <c r="B759" s="570" t="s">
        <v>8881</v>
      </c>
      <c r="C759" s="631" t="s">
        <v>6268</v>
      </c>
      <c r="D759" s="413" t="s">
        <v>123</v>
      </c>
      <c r="E759" s="384">
        <v>1</v>
      </c>
      <c r="F759" s="482" t="s">
        <v>4139</v>
      </c>
      <c r="G759" s="486" t="s">
        <v>5919</v>
      </c>
      <c r="H759" s="593" t="s">
        <v>4140</v>
      </c>
      <c r="I759" s="634" t="s">
        <v>6215</v>
      </c>
      <c r="J759" s="1242"/>
      <c r="K759" s="1331"/>
    </row>
    <row r="760" spans="1:11">
      <c r="A760" s="428" t="s">
        <v>8879</v>
      </c>
      <c r="B760" s="570" t="s">
        <v>8881</v>
      </c>
      <c r="C760" s="631" t="s">
        <v>6268</v>
      </c>
      <c r="D760" s="413" t="s">
        <v>123</v>
      </c>
      <c r="E760" s="384">
        <v>1</v>
      </c>
      <c r="F760" s="482" t="s">
        <v>4141</v>
      </c>
      <c r="G760" s="486" t="s">
        <v>5920</v>
      </c>
      <c r="H760" s="593" t="s">
        <v>4142</v>
      </c>
      <c r="I760" s="634" t="s">
        <v>6215</v>
      </c>
      <c r="J760" s="1242"/>
      <c r="K760" s="1331"/>
    </row>
    <row r="761" spans="1:11">
      <c r="A761" s="428" t="s">
        <v>8879</v>
      </c>
      <c r="B761" s="570" t="s">
        <v>8881</v>
      </c>
      <c r="C761" s="631" t="s">
        <v>6268</v>
      </c>
      <c r="D761" s="413" t="s">
        <v>123</v>
      </c>
      <c r="E761" s="384">
        <v>1</v>
      </c>
      <c r="F761" s="482">
        <v>80</v>
      </c>
      <c r="G761" s="486" t="s">
        <v>5921</v>
      </c>
      <c r="H761" s="593" t="s">
        <v>4143</v>
      </c>
      <c r="I761" s="634" t="s">
        <v>6215</v>
      </c>
      <c r="J761" s="1242"/>
      <c r="K761" s="1331"/>
    </row>
    <row r="762" spans="1:11">
      <c r="A762" s="428" t="s">
        <v>8879</v>
      </c>
      <c r="B762" s="570" t="s">
        <v>8881</v>
      </c>
      <c r="C762" s="631" t="s">
        <v>6268</v>
      </c>
      <c r="D762" s="413" t="s">
        <v>123</v>
      </c>
      <c r="E762" s="384">
        <v>1</v>
      </c>
      <c r="F762" s="482" t="s">
        <v>4144</v>
      </c>
      <c r="G762" s="486" t="s">
        <v>5922</v>
      </c>
      <c r="H762" s="593" t="s">
        <v>4145</v>
      </c>
      <c r="I762" s="634" t="s">
        <v>6215</v>
      </c>
      <c r="J762" s="1242"/>
      <c r="K762" s="1331"/>
    </row>
    <row r="763" spans="1:11">
      <c r="A763" s="428" t="s">
        <v>8879</v>
      </c>
      <c r="B763" s="570" t="s">
        <v>8881</v>
      </c>
      <c r="C763" s="631" t="s">
        <v>6268</v>
      </c>
      <c r="D763" s="413" t="s">
        <v>123</v>
      </c>
      <c r="E763" s="384">
        <v>1</v>
      </c>
      <c r="F763" s="482" t="s">
        <v>4146</v>
      </c>
      <c r="G763" s="486" t="s">
        <v>5923</v>
      </c>
      <c r="H763" s="593" t="s">
        <v>4147</v>
      </c>
      <c r="I763" s="634" t="s">
        <v>6215</v>
      </c>
      <c r="J763" s="1242"/>
      <c r="K763" s="1331"/>
    </row>
    <row r="764" spans="1:11">
      <c r="A764" s="428" t="s">
        <v>8879</v>
      </c>
      <c r="B764" s="570" t="s">
        <v>8881</v>
      </c>
      <c r="C764" s="631" t="s">
        <v>6268</v>
      </c>
      <c r="D764" s="413" t="s">
        <v>123</v>
      </c>
      <c r="E764" s="384">
        <v>1</v>
      </c>
      <c r="F764" s="482" t="s">
        <v>4148</v>
      </c>
      <c r="G764" s="486" t="s">
        <v>5924</v>
      </c>
      <c r="H764" s="593" t="s">
        <v>4149</v>
      </c>
      <c r="I764" s="634" t="s">
        <v>6215</v>
      </c>
      <c r="J764" s="1242"/>
      <c r="K764" s="1331"/>
    </row>
    <row r="765" spans="1:11">
      <c r="A765" s="428" t="s">
        <v>8879</v>
      </c>
      <c r="B765" s="570" t="s">
        <v>8881</v>
      </c>
      <c r="C765" s="631" t="s">
        <v>6268</v>
      </c>
      <c r="D765" s="413" t="s">
        <v>123</v>
      </c>
      <c r="E765" s="384">
        <v>1</v>
      </c>
      <c r="F765" s="482">
        <v>81</v>
      </c>
      <c r="G765" s="486" t="s">
        <v>5925</v>
      </c>
      <c r="H765" s="593" t="s">
        <v>4150</v>
      </c>
      <c r="I765" s="634" t="s">
        <v>6215</v>
      </c>
      <c r="J765" s="1242"/>
      <c r="K765" s="1331"/>
    </row>
    <row r="766" spans="1:11">
      <c r="A766" s="428" t="s">
        <v>8879</v>
      </c>
      <c r="B766" s="570" t="s">
        <v>8881</v>
      </c>
      <c r="C766" s="631" t="s">
        <v>6268</v>
      </c>
      <c r="D766" s="413" t="s">
        <v>123</v>
      </c>
      <c r="E766" s="384">
        <v>1</v>
      </c>
      <c r="F766" s="482" t="s">
        <v>4151</v>
      </c>
      <c r="G766" s="486" t="s">
        <v>5926</v>
      </c>
      <c r="H766" s="593" t="s">
        <v>4152</v>
      </c>
      <c r="I766" s="634" t="s">
        <v>6215</v>
      </c>
      <c r="J766" s="1242"/>
      <c r="K766" s="1331"/>
    </row>
    <row r="767" spans="1:11">
      <c r="A767" s="428" t="s">
        <v>8879</v>
      </c>
      <c r="B767" s="570" t="s">
        <v>8881</v>
      </c>
      <c r="C767" s="631" t="s">
        <v>6268</v>
      </c>
      <c r="D767" s="413" t="s">
        <v>123</v>
      </c>
      <c r="E767" s="384">
        <v>1</v>
      </c>
      <c r="F767" s="482" t="s">
        <v>4153</v>
      </c>
      <c r="G767" s="486" t="s">
        <v>5927</v>
      </c>
      <c r="H767" s="593" t="s">
        <v>4154</v>
      </c>
      <c r="I767" s="634" t="s">
        <v>6215</v>
      </c>
      <c r="J767" s="1242"/>
      <c r="K767" s="1331"/>
    </row>
    <row r="768" spans="1:11">
      <c r="A768" s="428" t="s">
        <v>8879</v>
      </c>
      <c r="B768" s="570" t="s">
        <v>8881</v>
      </c>
      <c r="C768" s="631" t="s">
        <v>6268</v>
      </c>
      <c r="D768" s="413" t="s">
        <v>123</v>
      </c>
      <c r="E768" s="384">
        <v>1</v>
      </c>
      <c r="F768" s="482" t="s">
        <v>4155</v>
      </c>
      <c r="G768" s="486" t="s">
        <v>5928</v>
      </c>
      <c r="H768" s="593" t="s">
        <v>4156</v>
      </c>
      <c r="I768" s="634" t="s">
        <v>6215</v>
      </c>
      <c r="J768" s="1242"/>
      <c r="K768" s="1331"/>
    </row>
    <row r="769" spans="1:11">
      <c r="A769" s="428" t="s">
        <v>8879</v>
      </c>
      <c r="B769" s="570" t="s">
        <v>8881</v>
      </c>
      <c r="C769" s="631" t="s">
        <v>6268</v>
      </c>
      <c r="D769" s="413" t="s">
        <v>123</v>
      </c>
      <c r="E769" s="384">
        <v>1</v>
      </c>
      <c r="F769" s="482" t="s">
        <v>4157</v>
      </c>
      <c r="G769" s="486" t="s">
        <v>5929</v>
      </c>
      <c r="H769" s="593" t="s">
        <v>4158</v>
      </c>
      <c r="I769" s="634" t="s">
        <v>6215</v>
      </c>
      <c r="J769" s="1242"/>
      <c r="K769" s="1331"/>
    </row>
    <row r="770" spans="1:11">
      <c r="A770" s="428" t="s">
        <v>8879</v>
      </c>
      <c r="B770" s="570" t="s">
        <v>8881</v>
      </c>
      <c r="C770" s="631" t="s">
        <v>6268</v>
      </c>
      <c r="D770" s="413" t="s">
        <v>123</v>
      </c>
      <c r="E770" s="384">
        <v>1</v>
      </c>
      <c r="F770" s="482" t="s">
        <v>4159</v>
      </c>
      <c r="G770" s="486" t="s">
        <v>5930</v>
      </c>
      <c r="H770" s="593" t="s">
        <v>4160</v>
      </c>
      <c r="I770" s="634" t="s">
        <v>6215</v>
      </c>
      <c r="J770" s="1242"/>
      <c r="K770" s="1331"/>
    </row>
    <row r="771" spans="1:11">
      <c r="A771" s="428" t="s">
        <v>8879</v>
      </c>
      <c r="B771" s="570" t="s">
        <v>8881</v>
      </c>
      <c r="C771" s="631" t="s">
        <v>6268</v>
      </c>
      <c r="D771" s="413" t="s">
        <v>123</v>
      </c>
      <c r="E771" s="384">
        <v>1</v>
      </c>
      <c r="F771" s="482" t="s">
        <v>4161</v>
      </c>
      <c r="G771" s="486" t="s">
        <v>5931</v>
      </c>
      <c r="H771" s="593" t="s">
        <v>4162</v>
      </c>
      <c r="I771" s="634" t="s">
        <v>6215</v>
      </c>
      <c r="J771" s="1242"/>
      <c r="K771" s="1331"/>
    </row>
    <row r="772" spans="1:11">
      <c r="A772" s="428" t="s">
        <v>8879</v>
      </c>
      <c r="B772" s="570" t="s">
        <v>8881</v>
      </c>
      <c r="C772" s="631" t="s">
        <v>6268</v>
      </c>
      <c r="D772" s="413" t="s">
        <v>123</v>
      </c>
      <c r="E772" s="384">
        <v>1</v>
      </c>
      <c r="F772" s="482">
        <v>82</v>
      </c>
      <c r="G772" s="486" t="s">
        <v>5932</v>
      </c>
      <c r="H772" s="593" t="s">
        <v>4163</v>
      </c>
      <c r="I772" s="634" t="s">
        <v>6215</v>
      </c>
      <c r="J772" s="1242"/>
      <c r="K772" s="1331"/>
    </row>
    <row r="773" spans="1:11">
      <c r="A773" s="428" t="s">
        <v>8879</v>
      </c>
      <c r="B773" s="570" t="s">
        <v>8881</v>
      </c>
      <c r="C773" s="631" t="s">
        <v>6268</v>
      </c>
      <c r="D773" s="413" t="s">
        <v>123</v>
      </c>
      <c r="E773" s="384">
        <v>1</v>
      </c>
      <c r="F773" s="482" t="s">
        <v>4164</v>
      </c>
      <c r="G773" s="486" t="s">
        <v>5933</v>
      </c>
      <c r="H773" s="593" t="s">
        <v>4165</v>
      </c>
      <c r="I773" s="634" t="s">
        <v>6215</v>
      </c>
      <c r="J773" s="1242"/>
      <c r="K773" s="1331"/>
    </row>
    <row r="774" spans="1:11">
      <c r="A774" s="428" t="s">
        <v>8879</v>
      </c>
      <c r="B774" s="570" t="s">
        <v>8881</v>
      </c>
      <c r="C774" s="631" t="s">
        <v>6268</v>
      </c>
      <c r="D774" s="413" t="s">
        <v>123</v>
      </c>
      <c r="E774" s="384">
        <v>1</v>
      </c>
      <c r="F774" s="482" t="s">
        <v>4166</v>
      </c>
      <c r="G774" s="486" t="s">
        <v>5934</v>
      </c>
      <c r="H774" s="593" t="s">
        <v>4167</v>
      </c>
      <c r="I774" s="634" t="s">
        <v>6215</v>
      </c>
      <c r="J774" s="1242"/>
      <c r="K774" s="1331"/>
    </row>
    <row r="775" spans="1:11">
      <c r="A775" s="428" t="s">
        <v>8879</v>
      </c>
      <c r="B775" s="570" t="s">
        <v>8881</v>
      </c>
      <c r="C775" s="631" t="s">
        <v>6268</v>
      </c>
      <c r="D775" s="413" t="s">
        <v>123</v>
      </c>
      <c r="E775" s="384">
        <v>1</v>
      </c>
      <c r="F775" s="482" t="s">
        <v>4168</v>
      </c>
      <c r="G775" s="486" t="s">
        <v>5935</v>
      </c>
      <c r="H775" s="593" t="s">
        <v>4169</v>
      </c>
      <c r="I775" s="634" t="s">
        <v>6215</v>
      </c>
      <c r="J775" s="1242"/>
      <c r="K775" s="1331"/>
    </row>
    <row r="776" spans="1:11">
      <c r="A776" s="428" t="s">
        <v>8879</v>
      </c>
      <c r="B776" s="570" t="s">
        <v>8881</v>
      </c>
      <c r="C776" s="631" t="s">
        <v>6268</v>
      </c>
      <c r="D776" s="413" t="s">
        <v>123</v>
      </c>
      <c r="E776" s="384">
        <v>1</v>
      </c>
      <c r="F776" s="482" t="s">
        <v>4170</v>
      </c>
      <c r="G776" s="486" t="s">
        <v>5936</v>
      </c>
      <c r="H776" s="593" t="s">
        <v>4171</v>
      </c>
      <c r="I776" s="634" t="s">
        <v>6215</v>
      </c>
      <c r="J776" s="1242"/>
      <c r="K776" s="1331"/>
    </row>
    <row r="777" spans="1:11">
      <c r="A777" s="428" t="s">
        <v>8879</v>
      </c>
      <c r="B777" s="570" t="s">
        <v>8881</v>
      </c>
      <c r="C777" s="631" t="s">
        <v>6268</v>
      </c>
      <c r="D777" s="413" t="s">
        <v>123</v>
      </c>
      <c r="E777" s="384">
        <v>1</v>
      </c>
      <c r="F777" s="482" t="s">
        <v>4172</v>
      </c>
      <c r="G777" s="486" t="s">
        <v>5937</v>
      </c>
      <c r="H777" s="593" t="s">
        <v>4173</v>
      </c>
      <c r="I777" s="634" t="s">
        <v>6215</v>
      </c>
      <c r="J777" s="1242"/>
      <c r="K777" s="1331"/>
    </row>
    <row r="778" spans="1:11">
      <c r="A778" s="428" t="s">
        <v>8879</v>
      </c>
      <c r="B778" s="570" t="s">
        <v>8881</v>
      </c>
      <c r="C778" s="631" t="s">
        <v>6268</v>
      </c>
      <c r="D778" s="413" t="s">
        <v>123</v>
      </c>
      <c r="E778" s="384">
        <v>1</v>
      </c>
      <c r="F778" s="482" t="s">
        <v>4174</v>
      </c>
      <c r="G778" s="486" t="s">
        <v>5938</v>
      </c>
      <c r="H778" s="593" t="s">
        <v>4175</v>
      </c>
      <c r="I778" s="634" t="s">
        <v>6215</v>
      </c>
      <c r="J778" s="1242"/>
      <c r="K778" s="1331"/>
    </row>
    <row r="779" spans="1:11">
      <c r="A779" s="428" t="s">
        <v>8879</v>
      </c>
      <c r="B779" s="570" t="s">
        <v>8881</v>
      </c>
      <c r="C779" s="631" t="s">
        <v>6268</v>
      </c>
      <c r="D779" s="413" t="s">
        <v>123</v>
      </c>
      <c r="E779" s="384">
        <v>1</v>
      </c>
      <c r="F779" s="482" t="s">
        <v>4176</v>
      </c>
      <c r="G779" s="486" t="s">
        <v>5939</v>
      </c>
      <c r="H779" s="593" t="s">
        <v>4177</v>
      </c>
      <c r="I779" s="634" t="s">
        <v>6215</v>
      </c>
      <c r="J779" s="1242"/>
      <c r="K779" s="1331"/>
    </row>
    <row r="780" spans="1:11">
      <c r="A780" s="428" t="s">
        <v>8879</v>
      </c>
      <c r="B780" s="570" t="s">
        <v>8881</v>
      </c>
      <c r="C780" s="631" t="s">
        <v>6268</v>
      </c>
      <c r="D780" s="413" t="s">
        <v>123</v>
      </c>
      <c r="E780" s="384">
        <v>1</v>
      </c>
      <c r="F780" s="482" t="s">
        <v>4178</v>
      </c>
      <c r="G780" s="486" t="s">
        <v>5940</v>
      </c>
      <c r="H780" s="593" t="s">
        <v>4179</v>
      </c>
      <c r="I780" s="634" t="s">
        <v>6215</v>
      </c>
      <c r="J780" s="1242"/>
      <c r="K780" s="1331"/>
    </row>
    <row r="781" spans="1:11">
      <c r="A781" s="428" t="s">
        <v>8879</v>
      </c>
      <c r="B781" s="570" t="s">
        <v>8881</v>
      </c>
      <c r="C781" s="631" t="s">
        <v>6268</v>
      </c>
      <c r="D781" s="413" t="s">
        <v>123</v>
      </c>
      <c r="E781" s="384">
        <v>1</v>
      </c>
      <c r="F781" s="482" t="s">
        <v>4180</v>
      </c>
      <c r="G781" s="486" t="s">
        <v>5941</v>
      </c>
      <c r="H781" s="593" t="s">
        <v>4181</v>
      </c>
      <c r="I781" s="634" t="s">
        <v>6215</v>
      </c>
      <c r="J781" s="1242"/>
      <c r="K781" s="1331"/>
    </row>
    <row r="782" spans="1:11">
      <c r="A782" s="428" t="s">
        <v>8879</v>
      </c>
      <c r="B782" s="570" t="s">
        <v>8881</v>
      </c>
      <c r="C782" s="631" t="s">
        <v>6268</v>
      </c>
      <c r="D782" s="413" t="s">
        <v>123</v>
      </c>
      <c r="E782" s="384">
        <v>1</v>
      </c>
      <c r="F782" s="482">
        <v>84</v>
      </c>
      <c r="G782" s="486" t="s">
        <v>5942</v>
      </c>
      <c r="H782" s="593" t="s">
        <v>4182</v>
      </c>
      <c r="I782" s="634" t="s">
        <v>6215</v>
      </c>
      <c r="J782" s="1242"/>
      <c r="K782" s="1331"/>
    </row>
    <row r="783" spans="1:11">
      <c r="A783" s="428" t="s">
        <v>8879</v>
      </c>
      <c r="B783" s="570" t="s">
        <v>8881</v>
      </c>
      <c r="C783" s="631" t="s">
        <v>6268</v>
      </c>
      <c r="D783" s="413" t="s">
        <v>123</v>
      </c>
      <c r="E783" s="384">
        <v>1</v>
      </c>
      <c r="F783" s="482" t="s">
        <v>4183</v>
      </c>
      <c r="G783" s="486" t="s">
        <v>5943</v>
      </c>
      <c r="H783" s="593" t="s">
        <v>4184</v>
      </c>
      <c r="I783" s="634" t="s">
        <v>6215</v>
      </c>
      <c r="J783" s="1242"/>
      <c r="K783" s="1331"/>
    </row>
    <row r="784" spans="1:11">
      <c r="A784" s="428" t="s">
        <v>8879</v>
      </c>
      <c r="B784" s="570" t="s">
        <v>8881</v>
      </c>
      <c r="C784" s="631" t="s">
        <v>6268</v>
      </c>
      <c r="D784" s="413" t="s">
        <v>123</v>
      </c>
      <c r="E784" s="384">
        <v>1</v>
      </c>
      <c r="F784" s="482" t="s">
        <v>4185</v>
      </c>
      <c r="G784" s="486" t="s">
        <v>5944</v>
      </c>
      <c r="H784" s="593" t="s">
        <v>4186</v>
      </c>
      <c r="I784" s="634" t="s">
        <v>6215</v>
      </c>
      <c r="J784" s="1242"/>
      <c r="K784" s="1331"/>
    </row>
    <row r="785" spans="1:11">
      <c r="A785" s="428" t="s">
        <v>8879</v>
      </c>
      <c r="B785" s="570" t="s">
        <v>8881</v>
      </c>
      <c r="C785" s="631" t="s">
        <v>6268</v>
      </c>
      <c r="D785" s="413" t="s">
        <v>123</v>
      </c>
      <c r="E785" s="384">
        <v>1</v>
      </c>
      <c r="F785" s="482" t="s">
        <v>4187</v>
      </c>
      <c r="G785" s="486" t="s">
        <v>5945</v>
      </c>
      <c r="H785" s="593" t="s">
        <v>4188</v>
      </c>
      <c r="I785" s="634" t="s">
        <v>6215</v>
      </c>
      <c r="J785" s="1242"/>
      <c r="K785" s="1331"/>
    </row>
    <row r="786" spans="1:11">
      <c r="A786" s="428" t="s">
        <v>8879</v>
      </c>
      <c r="B786" s="570" t="s">
        <v>8881</v>
      </c>
      <c r="C786" s="631" t="s">
        <v>6268</v>
      </c>
      <c r="D786" s="413" t="s">
        <v>123</v>
      </c>
      <c r="E786" s="384">
        <v>1</v>
      </c>
      <c r="F786" s="482" t="s">
        <v>4189</v>
      </c>
      <c r="G786" s="486" t="s">
        <v>5946</v>
      </c>
      <c r="H786" s="593" t="s">
        <v>4190</v>
      </c>
      <c r="I786" s="634" t="s">
        <v>6215</v>
      </c>
      <c r="J786" s="1242"/>
      <c r="K786" s="1331"/>
    </row>
    <row r="787" spans="1:11">
      <c r="A787" s="428" t="s">
        <v>8879</v>
      </c>
      <c r="B787" s="570" t="s">
        <v>8881</v>
      </c>
      <c r="C787" s="631" t="s">
        <v>6268</v>
      </c>
      <c r="D787" s="413" t="s">
        <v>123</v>
      </c>
      <c r="E787" s="384">
        <v>1</v>
      </c>
      <c r="F787" s="482" t="s">
        <v>4191</v>
      </c>
      <c r="G787" s="486" t="s">
        <v>5947</v>
      </c>
      <c r="H787" s="593" t="s">
        <v>4192</v>
      </c>
      <c r="I787" s="634" t="s">
        <v>6215</v>
      </c>
      <c r="J787" s="1242"/>
      <c r="K787" s="1331"/>
    </row>
    <row r="788" spans="1:11">
      <c r="A788" s="428" t="s">
        <v>8879</v>
      </c>
      <c r="B788" s="570" t="s">
        <v>8881</v>
      </c>
      <c r="C788" s="631" t="s">
        <v>6268</v>
      </c>
      <c r="D788" s="413" t="s">
        <v>123</v>
      </c>
      <c r="E788" s="384">
        <v>1</v>
      </c>
      <c r="F788" s="482" t="s">
        <v>4193</v>
      </c>
      <c r="G788" s="486" t="s">
        <v>5948</v>
      </c>
      <c r="H788" s="593" t="s">
        <v>4194</v>
      </c>
      <c r="I788" s="634" t="s">
        <v>6215</v>
      </c>
      <c r="J788" s="1242"/>
      <c r="K788" s="1331"/>
    </row>
    <row r="789" spans="1:11">
      <c r="A789" s="428" t="s">
        <v>8879</v>
      </c>
      <c r="B789" s="570" t="s">
        <v>8881</v>
      </c>
      <c r="C789" s="631" t="s">
        <v>6268</v>
      </c>
      <c r="D789" s="413" t="s">
        <v>123</v>
      </c>
      <c r="E789" s="384">
        <v>1</v>
      </c>
      <c r="F789" s="482" t="s">
        <v>4195</v>
      </c>
      <c r="G789" s="486" t="s">
        <v>5949</v>
      </c>
      <c r="H789" s="593" t="s">
        <v>4196</v>
      </c>
      <c r="I789" s="634" t="s">
        <v>6215</v>
      </c>
      <c r="J789" s="1242"/>
      <c r="K789" s="1331"/>
    </row>
    <row r="790" spans="1:11">
      <c r="A790" s="428" t="s">
        <v>8879</v>
      </c>
      <c r="B790" s="570" t="s">
        <v>8881</v>
      </c>
      <c r="C790" s="631" t="s">
        <v>6268</v>
      </c>
      <c r="D790" s="413" t="s">
        <v>123</v>
      </c>
      <c r="E790" s="384">
        <v>1</v>
      </c>
      <c r="F790" s="482" t="s">
        <v>4197</v>
      </c>
      <c r="G790" s="486" t="s">
        <v>5950</v>
      </c>
      <c r="H790" s="593" t="s">
        <v>4198</v>
      </c>
      <c r="I790" s="634" t="s">
        <v>6215</v>
      </c>
      <c r="J790" s="1242"/>
      <c r="K790" s="1331"/>
    </row>
    <row r="791" spans="1:11">
      <c r="A791" s="428" t="s">
        <v>8879</v>
      </c>
      <c r="B791" s="570" t="s">
        <v>8881</v>
      </c>
      <c r="C791" s="631" t="s">
        <v>6268</v>
      </c>
      <c r="D791" s="413" t="s">
        <v>123</v>
      </c>
      <c r="E791" s="384">
        <v>1</v>
      </c>
      <c r="F791" s="482" t="s">
        <v>4199</v>
      </c>
      <c r="G791" s="486" t="s">
        <v>5951</v>
      </c>
      <c r="H791" s="593" t="s">
        <v>4200</v>
      </c>
      <c r="I791" s="634" t="s">
        <v>6215</v>
      </c>
      <c r="J791" s="1242"/>
      <c r="K791" s="1331"/>
    </row>
    <row r="792" spans="1:11">
      <c r="A792" s="428" t="s">
        <v>8879</v>
      </c>
      <c r="B792" s="570" t="s">
        <v>8881</v>
      </c>
      <c r="C792" s="631" t="s">
        <v>6268</v>
      </c>
      <c r="D792" s="413" t="s">
        <v>123</v>
      </c>
      <c r="E792" s="384">
        <v>1</v>
      </c>
      <c r="F792" s="482" t="s">
        <v>4201</v>
      </c>
      <c r="G792" s="486" t="s">
        <v>5952</v>
      </c>
      <c r="H792" s="593" t="s">
        <v>4202</v>
      </c>
      <c r="I792" s="634" t="s">
        <v>6215</v>
      </c>
      <c r="J792" s="1242"/>
      <c r="K792" s="1331"/>
    </row>
    <row r="793" spans="1:11">
      <c r="A793" s="428" t="s">
        <v>8879</v>
      </c>
      <c r="B793" s="570" t="s">
        <v>8881</v>
      </c>
      <c r="C793" s="631" t="s">
        <v>6268</v>
      </c>
      <c r="D793" s="413" t="s">
        <v>123</v>
      </c>
      <c r="E793" s="384">
        <v>1</v>
      </c>
      <c r="F793" s="482" t="s">
        <v>4203</v>
      </c>
      <c r="G793" s="486" t="s">
        <v>5953</v>
      </c>
      <c r="H793" s="593" t="s">
        <v>4204</v>
      </c>
      <c r="I793" s="634" t="s">
        <v>6215</v>
      </c>
      <c r="J793" s="1242"/>
      <c r="K793" s="1331"/>
    </row>
    <row r="794" spans="1:11">
      <c r="A794" s="428" t="s">
        <v>8879</v>
      </c>
      <c r="B794" s="570" t="s">
        <v>8881</v>
      </c>
      <c r="C794" s="631" t="s">
        <v>6268</v>
      </c>
      <c r="D794" s="413" t="s">
        <v>123</v>
      </c>
      <c r="E794" s="384">
        <v>1</v>
      </c>
      <c r="F794" s="482">
        <v>85</v>
      </c>
      <c r="G794" s="486" t="s">
        <v>5954</v>
      </c>
      <c r="H794" s="593" t="s">
        <v>4205</v>
      </c>
      <c r="I794" s="634" t="s">
        <v>6215</v>
      </c>
      <c r="J794" s="1242"/>
      <c r="K794" s="1331"/>
    </row>
    <row r="795" spans="1:11">
      <c r="A795" s="428" t="s">
        <v>8879</v>
      </c>
      <c r="B795" s="570" t="s">
        <v>8881</v>
      </c>
      <c r="C795" s="631" t="s">
        <v>6268</v>
      </c>
      <c r="D795" s="413" t="s">
        <v>123</v>
      </c>
      <c r="E795" s="384">
        <v>1</v>
      </c>
      <c r="F795" s="482" t="s">
        <v>4206</v>
      </c>
      <c r="G795" s="486" t="s">
        <v>5955</v>
      </c>
      <c r="H795" s="593" t="s">
        <v>4207</v>
      </c>
      <c r="I795" s="634" t="s">
        <v>6215</v>
      </c>
      <c r="J795" s="1242"/>
      <c r="K795" s="1331"/>
    </row>
    <row r="796" spans="1:11">
      <c r="A796" s="428" t="s">
        <v>8879</v>
      </c>
      <c r="B796" s="570" t="s">
        <v>8881</v>
      </c>
      <c r="C796" s="631" t="s">
        <v>6268</v>
      </c>
      <c r="D796" s="413" t="s">
        <v>123</v>
      </c>
      <c r="E796" s="384">
        <v>1</v>
      </c>
      <c r="F796" s="482" t="s">
        <v>4208</v>
      </c>
      <c r="G796" s="486" t="s">
        <v>5956</v>
      </c>
      <c r="H796" s="593" t="s">
        <v>4209</v>
      </c>
      <c r="I796" s="634" t="s">
        <v>6215</v>
      </c>
      <c r="J796" s="1242"/>
      <c r="K796" s="1331"/>
    </row>
    <row r="797" spans="1:11">
      <c r="A797" s="428" t="s">
        <v>8879</v>
      </c>
      <c r="B797" s="570" t="s">
        <v>8881</v>
      </c>
      <c r="C797" s="631" t="s">
        <v>6268</v>
      </c>
      <c r="D797" s="413" t="s">
        <v>123</v>
      </c>
      <c r="E797" s="384">
        <v>1</v>
      </c>
      <c r="F797" s="482" t="s">
        <v>4210</v>
      </c>
      <c r="G797" s="486" t="s">
        <v>5957</v>
      </c>
      <c r="H797" s="593" t="s">
        <v>4211</v>
      </c>
      <c r="I797" s="634" t="s">
        <v>6215</v>
      </c>
      <c r="J797" s="1242"/>
      <c r="K797" s="1331"/>
    </row>
    <row r="798" spans="1:11">
      <c r="A798" s="428" t="s">
        <v>8879</v>
      </c>
      <c r="B798" s="570" t="s">
        <v>8881</v>
      </c>
      <c r="C798" s="631" t="s">
        <v>6268</v>
      </c>
      <c r="D798" s="413" t="s">
        <v>123</v>
      </c>
      <c r="E798" s="384">
        <v>1</v>
      </c>
      <c r="F798" s="482" t="s">
        <v>4212</v>
      </c>
      <c r="G798" s="486" t="s">
        <v>5958</v>
      </c>
      <c r="H798" s="593" t="s">
        <v>4213</v>
      </c>
      <c r="I798" s="634" t="s">
        <v>6215</v>
      </c>
      <c r="J798" s="1242"/>
      <c r="K798" s="1331"/>
    </row>
    <row r="799" spans="1:11">
      <c r="A799" s="428" t="s">
        <v>8879</v>
      </c>
      <c r="B799" s="570" t="s">
        <v>8881</v>
      </c>
      <c r="C799" s="631" t="s">
        <v>6268</v>
      </c>
      <c r="D799" s="413" t="s">
        <v>123</v>
      </c>
      <c r="E799" s="384">
        <v>1</v>
      </c>
      <c r="F799" s="482" t="s">
        <v>4214</v>
      </c>
      <c r="G799" s="486" t="s">
        <v>5959</v>
      </c>
      <c r="H799" s="593" t="s">
        <v>4215</v>
      </c>
      <c r="I799" s="634" t="s">
        <v>6215</v>
      </c>
      <c r="J799" s="1242"/>
      <c r="K799" s="1331"/>
    </row>
    <row r="800" spans="1:11">
      <c r="A800" s="428" t="s">
        <v>8879</v>
      </c>
      <c r="B800" s="570" t="s">
        <v>8881</v>
      </c>
      <c r="C800" s="631" t="s">
        <v>6268</v>
      </c>
      <c r="D800" s="413" t="s">
        <v>123</v>
      </c>
      <c r="E800" s="384">
        <v>1</v>
      </c>
      <c r="F800" s="482" t="s">
        <v>4216</v>
      </c>
      <c r="G800" s="486" t="s">
        <v>5960</v>
      </c>
      <c r="H800" s="593" t="s">
        <v>4217</v>
      </c>
      <c r="I800" s="634" t="s">
        <v>6215</v>
      </c>
      <c r="J800" s="1242"/>
      <c r="K800" s="1331"/>
    </row>
    <row r="801" spans="1:11">
      <c r="A801" s="428" t="s">
        <v>8879</v>
      </c>
      <c r="B801" s="570" t="s">
        <v>8881</v>
      </c>
      <c r="C801" s="631" t="s">
        <v>6268</v>
      </c>
      <c r="D801" s="413" t="s">
        <v>123</v>
      </c>
      <c r="E801" s="384">
        <v>1</v>
      </c>
      <c r="F801" s="482" t="s">
        <v>4218</v>
      </c>
      <c r="G801" s="486" t="s">
        <v>5961</v>
      </c>
      <c r="H801" s="593" t="s">
        <v>4219</v>
      </c>
      <c r="I801" s="634" t="s">
        <v>6215</v>
      </c>
      <c r="J801" s="1242"/>
      <c r="K801" s="1331"/>
    </row>
    <row r="802" spans="1:11">
      <c r="A802" s="428" t="s">
        <v>8879</v>
      </c>
      <c r="B802" s="570" t="s">
        <v>8881</v>
      </c>
      <c r="C802" s="631" t="s">
        <v>6268</v>
      </c>
      <c r="D802" s="413" t="s">
        <v>123</v>
      </c>
      <c r="E802" s="384">
        <v>1</v>
      </c>
      <c r="F802" s="482" t="s">
        <v>4220</v>
      </c>
      <c r="G802" s="486" t="s">
        <v>5962</v>
      </c>
      <c r="H802" s="593" t="s">
        <v>4221</v>
      </c>
      <c r="I802" s="634" t="s">
        <v>6215</v>
      </c>
      <c r="J802" s="1242"/>
      <c r="K802" s="1331"/>
    </row>
    <row r="803" spans="1:11">
      <c r="A803" s="428" t="s">
        <v>8879</v>
      </c>
      <c r="B803" s="570" t="s">
        <v>8881</v>
      </c>
      <c r="C803" s="631" t="s">
        <v>6268</v>
      </c>
      <c r="D803" s="413" t="s">
        <v>123</v>
      </c>
      <c r="E803" s="384">
        <v>1</v>
      </c>
      <c r="F803" s="482" t="s">
        <v>4222</v>
      </c>
      <c r="G803" s="486" t="s">
        <v>5963</v>
      </c>
      <c r="H803" s="593" t="s">
        <v>4223</v>
      </c>
      <c r="I803" s="634" t="s">
        <v>6215</v>
      </c>
      <c r="J803" s="1242"/>
      <c r="K803" s="1331"/>
    </row>
    <row r="804" spans="1:11">
      <c r="A804" s="428" t="s">
        <v>8879</v>
      </c>
      <c r="B804" s="570" t="s">
        <v>8881</v>
      </c>
      <c r="C804" s="631" t="s">
        <v>6268</v>
      </c>
      <c r="D804" s="413" t="s">
        <v>123</v>
      </c>
      <c r="E804" s="384">
        <v>1</v>
      </c>
      <c r="F804" s="482" t="s">
        <v>4224</v>
      </c>
      <c r="G804" s="486" t="s">
        <v>5964</v>
      </c>
      <c r="H804" s="593" t="s">
        <v>4225</v>
      </c>
      <c r="I804" s="634" t="s">
        <v>6215</v>
      </c>
      <c r="J804" s="1242"/>
      <c r="K804" s="1331"/>
    </row>
    <row r="805" spans="1:11">
      <c r="A805" s="428" t="s">
        <v>8879</v>
      </c>
      <c r="B805" s="570" t="s">
        <v>8881</v>
      </c>
      <c r="C805" s="631" t="s">
        <v>6268</v>
      </c>
      <c r="D805" s="413" t="s">
        <v>123</v>
      </c>
      <c r="E805" s="384">
        <v>1</v>
      </c>
      <c r="F805" s="482" t="s">
        <v>4226</v>
      </c>
      <c r="G805" s="486" t="s">
        <v>5965</v>
      </c>
      <c r="H805" s="593" t="s">
        <v>4227</v>
      </c>
      <c r="I805" s="634" t="s">
        <v>6215</v>
      </c>
      <c r="J805" s="1242"/>
      <c r="K805" s="1331"/>
    </row>
    <row r="806" spans="1:11">
      <c r="A806" s="428" t="s">
        <v>8879</v>
      </c>
      <c r="B806" s="570" t="s">
        <v>8881</v>
      </c>
      <c r="C806" s="631" t="s">
        <v>6268</v>
      </c>
      <c r="D806" s="413" t="s">
        <v>123</v>
      </c>
      <c r="E806" s="384">
        <v>1</v>
      </c>
      <c r="F806" s="482" t="s">
        <v>4228</v>
      </c>
      <c r="G806" s="486" t="s">
        <v>5966</v>
      </c>
      <c r="H806" s="593" t="s">
        <v>4229</v>
      </c>
      <c r="I806" s="634" t="s">
        <v>6215</v>
      </c>
      <c r="J806" s="1242"/>
      <c r="K806" s="1331"/>
    </row>
    <row r="807" spans="1:11">
      <c r="A807" s="428" t="s">
        <v>8879</v>
      </c>
      <c r="B807" s="570" t="s">
        <v>8881</v>
      </c>
      <c r="C807" s="631" t="s">
        <v>6268</v>
      </c>
      <c r="D807" s="413" t="s">
        <v>123</v>
      </c>
      <c r="E807" s="384">
        <v>1</v>
      </c>
      <c r="F807" s="482" t="s">
        <v>4230</v>
      </c>
      <c r="G807" s="486" t="s">
        <v>5967</v>
      </c>
      <c r="H807" s="593" t="s">
        <v>4231</v>
      </c>
      <c r="I807" s="634" t="s">
        <v>6215</v>
      </c>
      <c r="J807" s="1242"/>
      <c r="K807" s="1331"/>
    </row>
    <row r="808" spans="1:11">
      <c r="A808" s="428" t="s">
        <v>8879</v>
      </c>
      <c r="B808" s="570" t="s">
        <v>8881</v>
      </c>
      <c r="C808" s="631" t="s">
        <v>6268</v>
      </c>
      <c r="D808" s="413" t="s">
        <v>123</v>
      </c>
      <c r="E808" s="384">
        <v>1</v>
      </c>
      <c r="F808" s="482" t="s">
        <v>4232</v>
      </c>
      <c r="G808" s="486" t="s">
        <v>5968</v>
      </c>
      <c r="H808" s="593" t="s">
        <v>4233</v>
      </c>
      <c r="I808" s="634" t="s">
        <v>6215</v>
      </c>
      <c r="J808" s="1242"/>
      <c r="K808" s="1331"/>
    </row>
    <row r="809" spans="1:11">
      <c r="A809" s="428" t="s">
        <v>8879</v>
      </c>
      <c r="B809" s="570" t="s">
        <v>8881</v>
      </c>
      <c r="C809" s="631" t="s">
        <v>6268</v>
      </c>
      <c r="D809" s="413" t="s">
        <v>123</v>
      </c>
      <c r="E809" s="384">
        <v>1</v>
      </c>
      <c r="F809" s="482">
        <v>86</v>
      </c>
      <c r="G809" s="486" t="s">
        <v>5969</v>
      </c>
      <c r="H809" s="593" t="s">
        <v>4234</v>
      </c>
      <c r="I809" s="634" t="s">
        <v>6215</v>
      </c>
      <c r="J809" s="1242"/>
      <c r="K809" s="1331"/>
    </row>
    <row r="810" spans="1:11">
      <c r="A810" s="428" t="s">
        <v>8879</v>
      </c>
      <c r="B810" s="570" t="s">
        <v>8881</v>
      </c>
      <c r="C810" s="631" t="s">
        <v>6268</v>
      </c>
      <c r="D810" s="413" t="s">
        <v>123</v>
      </c>
      <c r="E810" s="384">
        <v>1</v>
      </c>
      <c r="F810" s="482" t="s">
        <v>4235</v>
      </c>
      <c r="G810" s="486" t="s">
        <v>5970</v>
      </c>
      <c r="H810" s="593" t="s">
        <v>4236</v>
      </c>
      <c r="I810" s="634" t="s">
        <v>6215</v>
      </c>
      <c r="J810" s="1242"/>
      <c r="K810" s="1331"/>
    </row>
    <row r="811" spans="1:11">
      <c r="A811" s="428" t="s">
        <v>8879</v>
      </c>
      <c r="B811" s="570" t="s">
        <v>8881</v>
      </c>
      <c r="C811" s="631" t="s">
        <v>6268</v>
      </c>
      <c r="D811" s="413" t="s">
        <v>123</v>
      </c>
      <c r="E811" s="384">
        <v>1</v>
      </c>
      <c r="F811" s="482" t="s">
        <v>4237</v>
      </c>
      <c r="G811" s="486" t="s">
        <v>5971</v>
      </c>
      <c r="H811" s="593" t="s">
        <v>4238</v>
      </c>
      <c r="I811" s="634" t="s">
        <v>6215</v>
      </c>
      <c r="J811" s="1242"/>
      <c r="K811" s="1331"/>
    </row>
    <row r="812" spans="1:11">
      <c r="A812" s="428" t="s">
        <v>8879</v>
      </c>
      <c r="B812" s="570" t="s">
        <v>8881</v>
      </c>
      <c r="C812" s="631" t="s">
        <v>6268</v>
      </c>
      <c r="D812" s="413" t="s">
        <v>123</v>
      </c>
      <c r="E812" s="384">
        <v>1</v>
      </c>
      <c r="F812" s="482" t="s">
        <v>4239</v>
      </c>
      <c r="G812" s="486" t="s">
        <v>5972</v>
      </c>
      <c r="H812" s="593" t="s">
        <v>4240</v>
      </c>
      <c r="I812" s="634" t="s">
        <v>6215</v>
      </c>
      <c r="J812" s="1242"/>
      <c r="K812" s="1331"/>
    </row>
    <row r="813" spans="1:11">
      <c r="A813" s="428" t="s">
        <v>8879</v>
      </c>
      <c r="B813" s="570" t="s">
        <v>8881</v>
      </c>
      <c r="C813" s="631" t="s">
        <v>6268</v>
      </c>
      <c r="D813" s="413" t="s">
        <v>123</v>
      </c>
      <c r="E813" s="384">
        <v>1</v>
      </c>
      <c r="F813" s="482" t="s">
        <v>4241</v>
      </c>
      <c r="G813" s="486" t="s">
        <v>5973</v>
      </c>
      <c r="H813" s="593" t="s">
        <v>4242</v>
      </c>
      <c r="I813" s="634" t="s">
        <v>6215</v>
      </c>
      <c r="J813" s="1242"/>
      <c r="K813" s="1331"/>
    </row>
    <row r="814" spans="1:11">
      <c r="A814" s="428" t="s">
        <v>8879</v>
      </c>
      <c r="B814" s="570" t="s">
        <v>8881</v>
      </c>
      <c r="C814" s="631" t="s">
        <v>6268</v>
      </c>
      <c r="D814" s="413" t="s">
        <v>123</v>
      </c>
      <c r="E814" s="384">
        <v>1</v>
      </c>
      <c r="F814" s="482" t="s">
        <v>4243</v>
      </c>
      <c r="G814" s="486" t="s">
        <v>5974</v>
      </c>
      <c r="H814" s="593" t="s">
        <v>4244</v>
      </c>
      <c r="I814" s="634" t="s">
        <v>6215</v>
      </c>
      <c r="J814" s="1242"/>
      <c r="K814" s="1331"/>
    </row>
    <row r="815" spans="1:11">
      <c r="A815" s="428" t="s">
        <v>8879</v>
      </c>
      <c r="B815" s="570" t="s">
        <v>8881</v>
      </c>
      <c r="C815" s="631" t="s">
        <v>6268</v>
      </c>
      <c r="D815" s="413" t="s">
        <v>123</v>
      </c>
      <c r="E815" s="384">
        <v>1</v>
      </c>
      <c r="F815" s="482" t="s">
        <v>4245</v>
      </c>
      <c r="G815" s="486" t="s">
        <v>5975</v>
      </c>
      <c r="H815" s="593" t="s">
        <v>4246</v>
      </c>
      <c r="I815" s="634" t="s">
        <v>6215</v>
      </c>
      <c r="J815" s="1242"/>
      <c r="K815" s="1331"/>
    </row>
    <row r="816" spans="1:11">
      <c r="A816" s="428" t="s">
        <v>8879</v>
      </c>
      <c r="B816" s="570" t="s">
        <v>8881</v>
      </c>
      <c r="C816" s="631" t="s">
        <v>6268</v>
      </c>
      <c r="D816" s="413" t="s">
        <v>123</v>
      </c>
      <c r="E816" s="384">
        <v>1</v>
      </c>
      <c r="F816" s="482">
        <v>87</v>
      </c>
      <c r="G816" s="486" t="s">
        <v>5976</v>
      </c>
      <c r="H816" s="593" t="s">
        <v>4247</v>
      </c>
      <c r="I816" s="634" t="s">
        <v>6215</v>
      </c>
      <c r="J816" s="1242"/>
      <c r="K816" s="1331"/>
    </row>
    <row r="817" spans="1:11">
      <c r="A817" s="428" t="s">
        <v>8879</v>
      </c>
      <c r="B817" s="570" t="s">
        <v>8881</v>
      </c>
      <c r="C817" s="631" t="s">
        <v>6268</v>
      </c>
      <c r="D817" s="413" t="s">
        <v>123</v>
      </c>
      <c r="E817" s="384">
        <v>1</v>
      </c>
      <c r="F817" s="482" t="s">
        <v>4248</v>
      </c>
      <c r="G817" s="486" t="s">
        <v>5977</v>
      </c>
      <c r="H817" s="593" t="s">
        <v>4249</v>
      </c>
      <c r="I817" s="634" t="s">
        <v>6215</v>
      </c>
      <c r="J817" s="1242"/>
      <c r="K817" s="1331"/>
    </row>
    <row r="818" spans="1:11">
      <c r="A818" s="428" t="s">
        <v>8879</v>
      </c>
      <c r="B818" s="570" t="s">
        <v>8881</v>
      </c>
      <c r="C818" s="631" t="s">
        <v>6268</v>
      </c>
      <c r="D818" s="413" t="s">
        <v>123</v>
      </c>
      <c r="E818" s="384">
        <v>1</v>
      </c>
      <c r="F818" s="482" t="s">
        <v>4250</v>
      </c>
      <c r="G818" s="486" t="s">
        <v>5978</v>
      </c>
      <c r="H818" s="593" t="s">
        <v>4251</v>
      </c>
      <c r="I818" s="634" t="s">
        <v>6215</v>
      </c>
      <c r="J818" s="1242"/>
      <c r="K818" s="1331"/>
    </row>
    <row r="819" spans="1:11">
      <c r="A819" s="428" t="s">
        <v>8879</v>
      </c>
      <c r="B819" s="570" t="s">
        <v>8881</v>
      </c>
      <c r="C819" s="631" t="s">
        <v>6268</v>
      </c>
      <c r="D819" s="413" t="s">
        <v>123</v>
      </c>
      <c r="E819" s="384">
        <v>1</v>
      </c>
      <c r="F819" s="482" t="s">
        <v>4252</v>
      </c>
      <c r="G819" s="486" t="s">
        <v>5979</v>
      </c>
      <c r="H819" s="593" t="s">
        <v>4253</v>
      </c>
      <c r="I819" s="634" t="s">
        <v>6215</v>
      </c>
      <c r="J819" s="1242"/>
      <c r="K819" s="1331"/>
    </row>
    <row r="820" spans="1:11">
      <c r="A820" s="428" t="s">
        <v>8879</v>
      </c>
      <c r="B820" s="570" t="s">
        <v>8881</v>
      </c>
      <c r="C820" s="631" t="s">
        <v>6268</v>
      </c>
      <c r="D820" s="413" t="s">
        <v>123</v>
      </c>
      <c r="E820" s="384">
        <v>1</v>
      </c>
      <c r="F820" s="482" t="s">
        <v>4254</v>
      </c>
      <c r="G820" s="486" t="s">
        <v>5980</v>
      </c>
      <c r="H820" s="593" t="s">
        <v>4255</v>
      </c>
      <c r="I820" s="634" t="s">
        <v>6215</v>
      </c>
      <c r="J820" s="1242"/>
      <c r="K820" s="1331"/>
    </row>
    <row r="821" spans="1:11">
      <c r="A821" s="428" t="s">
        <v>8879</v>
      </c>
      <c r="B821" s="570" t="s">
        <v>8881</v>
      </c>
      <c r="C821" s="631" t="s">
        <v>6268</v>
      </c>
      <c r="D821" s="413" t="s">
        <v>123</v>
      </c>
      <c r="E821" s="384">
        <v>1</v>
      </c>
      <c r="F821" s="482">
        <v>88</v>
      </c>
      <c r="G821" s="486" t="s">
        <v>5981</v>
      </c>
      <c r="H821" s="593" t="s">
        <v>4256</v>
      </c>
      <c r="I821" s="634" t="s">
        <v>6215</v>
      </c>
      <c r="J821" s="1242"/>
      <c r="K821" s="1331"/>
    </row>
    <row r="822" spans="1:11">
      <c r="A822" s="428" t="s">
        <v>8879</v>
      </c>
      <c r="B822" s="570" t="s">
        <v>8881</v>
      </c>
      <c r="C822" s="631" t="s">
        <v>6268</v>
      </c>
      <c r="D822" s="413" t="s">
        <v>123</v>
      </c>
      <c r="E822" s="384">
        <v>1</v>
      </c>
      <c r="F822" s="482" t="s">
        <v>4257</v>
      </c>
      <c r="G822" s="486" t="s">
        <v>5982</v>
      </c>
      <c r="H822" s="593" t="s">
        <v>4258</v>
      </c>
      <c r="I822" s="634" t="s">
        <v>6215</v>
      </c>
      <c r="J822" s="1242"/>
      <c r="K822" s="1331"/>
    </row>
    <row r="823" spans="1:11">
      <c r="A823" s="428" t="s">
        <v>8879</v>
      </c>
      <c r="B823" s="570" t="s">
        <v>8881</v>
      </c>
      <c r="C823" s="631" t="s">
        <v>6268</v>
      </c>
      <c r="D823" s="413" t="s">
        <v>123</v>
      </c>
      <c r="E823" s="384">
        <v>1</v>
      </c>
      <c r="F823" s="482" t="s">
        <v>4259</v>
      </c>
      <c r="G823" s="486" t="s">
        <v>5983</v>
      </c>
      <c r="H823" s="593" t="s">
        <v>4260</v>
      </c>
      <c r="I823" s="634" t="s">
        <v>6215</v>
      </c>
      <c r="J823" s="1242"/>
      <c r="K823" s="1331"/>
    </row>
    <row r="824" spans="1:11">
      <c r="A824" s="428" t="s">
        <v>8879</v>
      </c>
      <c r="B824" s="570" t="s">
        <v>8881</v>
      </c>
      <c r="C824" s="631" t="s">
        <v>6268</v>
      </c>
      <c r="D824" s="413" t="s">
        <v>123</v>
      </c>
      <c r="E824" s="384">
        <v>1</v>
      </c>
      <c r="F824" s="482" t="s">
        <v>4261</v>
      </c>
      <c r="G824" s="486" t="s">
        <v>5984</v>
      </c>
      <c r="H824" s="593" t="s">
        <v>4262</v>
      </c>
      <c r="I824" s="634" t="s">
        <v>6215</v>
      </c>
      <c r="J824" s="1242"/>
      <c r="K824" s="1331"/>
    </row>
    <row r="825" spans="1:11">
      <c r="A825" s="428" t="s">
        <v>8879</v>
      </c>
      <c r="B825" s="570" t="s">
        <v>8881</v>
      </c>
      <c r="C825" s="631" t="s">
        <v>6268</v>
      </c>
      <c r="D825" s="413" t="s">
        <v>123</v>
      </c>
      <c r="E825" s="384">
        <v>1</v>
      </c>
      <c r="F825" s="482" t="s">
        <v>4263</v>
      </c>
      <c r="G825" s="486" t="s">
        <v>5985</v>
      </c>
      <c r="H825" s="593" t="s">
        <v>4264</v>
      </c>
      <c r="I825" s="634" t="s">
        <v>6215</v>
      </c>
      <c r="J825" s="1242"/>
      <c r="K825" s="1331"/>
    </row>
    <row r="826" spans="1:11">
      <c r="A826" s="428" t="s">
        <v>8879</v>
      </c>
      <c r="B826" s="570" t="s">
        <v>8881</v>
      </c>
      <c r="C826" s="631" t="s">
        <v>6268</v>
      </c>
      <c r="D826" s="413" t="s">
        <v>123</v>
      </c>
      <c r="E826" s="384">
        <v>1</v>
      </c>
      <c r="F826" s="482">
        <v>90</v>
      </c>
      <c r="G826" s="486" t="s">
        <v>5986</v>
      </c>
      <c r="H826" s="593" t="s">
        <v>4265</v>
      </c>
      <c r="I826" s="634" t="s">
        <v>6215</v>
      </c>
      <c r="J826" s="1242"/>
      <c r="K826" s="1331"/>
    </row>
    <row r="827" spans="1:11">
      <c r="A827" s="428" t="s">
        <v>8879</v>
      </c>
      <c r="B827" s="570" t="s">
        <v>8881</v>
      </c>
      <c r="C827" s="631" t="s">
        <v>6268</v>
      </c>
      <c r="D827" s="413" t="s">
        <v>123</v>
      </c>
      <c r="E827" s="384">
        <v>1</v>
      </c>
      <c r="F827" s="482" t="s">
        <v>4266</v>
      </c>
      <c r="G827" s="486" t="s">
        <v>5987</v>
      </c>
      <c r="H827" s="593" t="s">
        <v>4267</v>
      </c>
      <c r="I827" s="634" t="s">
        <v>6215</v>
      </c>
      <c r="J827" s="1242"/>
      <c r="K827" s="1331"/>
    </row>
    <row r="828" spans="1:11">
      <c r="A828" s="428" t="s">
        <v>8879</v>
      </c>
      <c r="B828" s="570" t="s">
        <v>8881</v>
      </c>
      <c r="C828" s="631" t="s">
        <v>6268</v>
      </c>
      <c r="D828" s="413" t="s">
        <v>123</v>
      </c>
      <c r="E828" s="384">
        <v>1</v>
      </c>
      <c r="F828" s="482" t="s">
        <v>4268</v>
      </c>
      <c r="G828" s="486" t="s">
        <v>5988</v>
      </c>
      <c r="H828" s="593" t="s">
        <v>4269</v>
      </c>
      <c r="I828" s="634" t="s">
        <v>6215</v>
      </c>
      <c r="J828" s="1242"/>
      <c r="K828" s="1331"/>
    </row>
    <row r="829" spans="1:11">
      <c r="A829" s="428" t="s">
        <v>8879</v>
      </c>
      <c r="B829" s="570" t="s">
        <v>8881</v>
      </c>
      <c r="C829" s="631" t="s">
        <v>6268</v>
      </c>
      <c r="D829" s="413" t="s">
        <v>123</v>
      </c>
      <c r="E829" s="384">
        <v>1</v>
      </c>
      <c r="F829" s="482" t="s">
        <v>4270</v>
      </c>
      <c r="G829" s="486" t="s">
        <v>5989</v>
      </c>
      <c r="H829" s="593" t="s">
        <v>4271</v>
      </c>
      <c r="I829" s="634" t="s">
        <v>6215</v>
      </c>
      <c r="J829" s="1242"/>
      <c r="K829" s="1331"/>
    </row>
    <row r="830" spans="1:11">
      <c r="A830" s="428" t="s">
        <v>8879</v>
      </c>
      <c r="B830" s="570" t="s">
        <v>8881</v>
      </c>
      <c r="C830" s="631" t="s">
        <v>6268</v>
      </c>
      <c r="D830" s="413" t="s">
        <v>123</v>
      </c>
      <c r="E830" s="384">
        <v>1</v>
      </c>
      <c r="F830" s="482" t="s">
        <v>4272</v>
      </c>
      <c r="G830" s="486" t="s">
        <v>5990</v>
      </c>
      <c r="H830" s="593" t="s">
        <v>4273</v>
      </c>
      <c r="I830" s="634" t="s">
        <v>6215</v>
      </c>
      <c r="J830" s="1242"/>
      <c r="K830" s="1331"/>
    </row>
    <row r="831" spans="1:11">
      <c r="A831" s="428" t="s">
        <v>8879</v>
      </c>
      <c r="B831" s="570" t="s">
        <v>8881</v>
      </c>
      <c r="C831" s="631" t="s">
        <v>6268</v>
      </c>
      <c r="D831" s="413" t="s">
        <v>123</v>
      </c>
      <c r="E831" s="384">
        <v>1</v>
      </c>
      <c r="F831" s="482">
        <v>91</v>
      </c>
      <c r="G831" s="486" t="s">
        <v>5991</v>
      </c>
      <c r="H831" s="593" t="s">
        <v>4274</v>
      </c>
      <c r="I831" s="634" t="s">
        <v>6215</v>
      </c>
      <c r="J831" s="1242"/>
      <c r="K831" s="1331"/>
    </row>
    <row r="832" spans="1:11">
      <c r="A832" s="428" t="s">
        <v>8879</v>
      </c>
      <c r="B832" s="570" t="s">
        <v>8881</v>
      </c>
      <c r="C832" s="631" t="s">
        <v>6268</v>
      </c>
      <c r="D832" s="413" t="s">
        <v>123</v>
      </c>
      <c r="E832" s="384">
        <v>1</v>
      </c>
      <c r="F832" s="482" t="s">
        <v>4275</v>
      </c>
      <c r="G832" s="486" t="s">
        <v>5992</v>
      </c>
      <c r="H832" s="593" t="s">
        <v>4276</v>
      </c>
      <c r="I832" s="634" t="s">
        <v>6215</v>
      </c>
      <c r="J832" s="1242"/>
      <c r="K832" s="1331"/>
    </row>
    <row r="833" spans="1:11">
      <c r="A833" s="428" t="s">
        <v>8879</v>
      </c>
      <c r="B833" s="570" t="s">
        <v>8881</v>
      </c>
      <c r="C833" s="631" t="s">
        <v>6268</v>
      </c>
      <c r="D833" s="413" t="s">
        <v>123</v>
      </c>
      <c r="E833" s="384">
        <v>1</v>
      </c>
      <c r="F833" s="482" t="s">
        <v>4277</v>
      </c>
      <c r="G833" s="486" t="s">
        <v>5993</v>
      </c>
      <c r="H833" s="593" t="s">
        <v>4278</v>
      </c>
      <c r="I833" s="634" t="s">
        <v>6215</v>
      </c>
      <c r="J833" s="1242"/>
      <c r="K833" s="1331"/>
    </row>
    <row r="834" spans="1:11">
      <c r="A834" s="428" t="s">
        <v>8879</v>
      </c>
      <c r="B834" s="570" t="s">
        <v>8881</v>
      </c>
      <c r="C834" s="631" t="s">
        <v>6268</v>
      </c>
      <c r="D834" s="413" t="s">
        <v>123</v>
      </c>
      <c r="E834" s="384">
        <v>1</v>
      </c>
      <c r="F834" s="482" t="s">
        <v>4279</v>
      </c>
      <c r="G834" s="486" t="s">
        <v>5994</v>
      </c>
      <c r="H834" s="593" t="s">
        <v>4280</v>
      </c>
      <c r="I834" s="634" t="s">
        <v>6215</v>
      </c>
      <c r="J834" s="1242"/>
      <c r="K834" s="1331"/>
    </row>
    <row r="835" spans="1:11">
      <c r="A835" s="428" t="s">
        <v>8879</v>
      </c>
      <c r="B835" s="570" t="s">
        <v>8881</v>
      </c>
      <c r="C835" s="631" t="s">
        <v>6268</v>
      </c>
      <c r="D835" s="413" t="s">
        <v>123</v>
      </c>
      <c r="E835" s="384">
        <v>1</v>
      </c>
      <c r="F835" s="482" t="s">
        <v>4281</v>
      </c>
      <c r="G835" s="486" t="s">
        <v>5995</v>
      </c>
      <c r="H835" s="593" t="s">
        <v>4282</v>
      </c>
      <c r="I835" s="634" t="s">
        <v>6215</v>
      </c>
      <c r="J835" s="1242"/>
      <c r="K835" s="1331"/>
    </row>
    <row r="836" spans="1:11">
      <c r="A836" s="428" t="s">
        <v>8879</v>
      </c>
      <c r="B836" s="570" t="s">
        <v>8881</v>
      </c>
      <c r="C836" s="631" t="s">
        <v>6268</v>
      </c>
      <c r="D836" s="413" t="s">
        <v>123</v>
      </c>
      <c r="E836" s="384">
        <v>1</v>
      </c>
      <c r="F836" s="482">
        <v>92</v>
      </c>
      <c r="G836" s="486" t="s">
        <v>5996</v>
      </c>
      <c r="H836" s="593" t="s">
        <v>4283</v>
      </c>
      <c r="I836" s="634" t="s">
        <v>6215</v>
      </c>
      <c r="J836" s="1242"/>
      <c r="K836" s="1331"/>
    </row>
    <row r="837" spans="1:11">
      <c r="A837" s="428" t="s">
        <v>8879</v>
      </c>
      <c r="B837" s="570" t="s">
        <v>8881</v>
      </c>
      <c r="C837" s="631" t="s">
        <v>6268</v>
      </c>
      <c r="D837" s="413" t="s">
        <v>123</v>
      </c>
      <c r="E837" s="384">
        <v>1</v>
      </c>
      <c r="F837" s="482">
        <v>93</v>
      </c>
      <c r="G837" s="486" t="s">
        <v>5997</v>
      </c>
      <c r="H837" s="593" t="s">
        <v>4284</v>
      </c>
      <c r="I837" s="634" t="s">
        <v>6215</v>
      </c>
      <c r="J837" s="1242"/>
      <c r="K837" s="1331"/>
    </row>
    <row r="838" spans="1:11">
      <c r="A838" s="428" t="s">
        <v>8879</v>
      </c>
      <c r="B838" s="570" t="s">
        <v>8881</v>
      </c>
      <c r="C838" s="631" t="s">
        <v>6268</v>
      </c>
      <c r="D838" s="413" t="s">
        <v>123</v>
      </c>
      <c r="E838" s="384">
        <v>1</v>
      </c>
      <c r="F838" s="482" t="s">
        <v>4285</v>
      </c>
      <c r="G838" s="486" t="s">
        <v>5998</v>
      </c>
      <c r="H838" s="593" t="s">
        <v>4286</v>
      </c>
      <c r="I838" s="634" t="s">
        <v>6215</v>
      </c>
      <c r="J838" s="1242"/>
      <c r="K838" s="1331"/>
    </row>
    <row r="839" spans="1:11">
      <c r="A839" s="428" t="s">
        <v>8879</v>
      </c>
      <c r="B839" s="570" t="s">
        <v>8881</v>
      </c>
      <c r="C839" s="631" t="s">
        <v>6268</v>
      </c>
      <c r="D839" s="413" t="s">
        <v>123</v>
      </c>
      <c r="E839" s="384">
        <v>1</v>
      </c>
      <c r="F839" s="482" t="s">
        <v>4287</v>
      </c>
      <c r="G839" s="486" t="s">
        <v>5999</v>
      </c>
      <c r="H839" s="593" t="s">
        <v>4288</v>
      </c>
      <c r="I839" s="634" t="s">
        <v>6215</v>
      </c>
      <c r="J839" s="1242"/>
      <c r="K839" s="1331"/>
    </row>
    <row r="840" spans="1:11">
      <c r="A840" s="428" t="s">
        <v>8879</v>
      </c>
      <c r="B840" s="570" t="s">
        <v>8881</v>
      </c>
      <c r="C840" s="631" t="s">
        <v>6268</v>
      </c>
      <c r="D840" s="413" t="s">
        <v>123</v>
      </c>
      <c r="E840" s="384">
        <v>1</v>
      </c>
      <c r="F840" s="482" t="s">
        <v>4289</v>
      </c>
      <c r="G840" s="486" t="s">
        <v>6000</v>
      </c>
      <c r="H840" s="593" t="s">
        <v>4290</v>
      </c>
      <c r="I840" s="634" t="s">
        <v>6215</v>
      </c>
      <c r="J840" s="1242"/>
      <c r="K840" s="1331"/>
    </row>
    <row r="841" spans="1:11">
      <c r="A841" s="428" t="s">
        <v>8879</v>
      </c>
      <c r="B841" s="570" t="s">
        <v>8881</v>
      </c>
      <c r="C841" s="631" t="s">
        <v>6268</v>
      </c>
      <c r="D841" s="413" t="s">
        <v>123</v>
      </c>
      <c r="E841" s="384">
        <v>1</v>
      </c>
      <c r="F841" s="482" t="s">
        <v>4291</v>
      </c>
      <c r="G841" s="486" t="s">
        <v>6001</v>
      </c>
      <c r="H841" s="593" t="s">
        <v>4292</v>
      </c>
      <c r="I841" s="634" t="s">
        <v>6215</v>
      </c>
      <c r="J841" s="1242"/>
      <c r="K841" s="1331"/>
    </row>
    <row r="842" spans="1:11">
      <c r="A842" s="428" t="s">
        <v>8879</v>
      </c>
      <c r="B842" s="570" t="s">
        <v>8881</v>
      </c>
      <c r="C842" s="631" t="s">
        <v>6268</v>
      </c>
      <c r="D842" s="413" t="s">
        <v>123</v>
      </c>
      <c r="E842" s="384">
        <v>1</v>
      </c>
      <c r="F842" s="482" t="s">
        <v>4293</v>
      </c>
      <c r="G842" s="486" t="s">
        <v>6002</v>
      </c>
      <c r="H842" s="593" t="s">
        <v>4294</v>
      </c>
      <c r="I842" s="634" t="s">
        <v>6215</v>
      </c>
      <c r="J842" s="1242"/>
      <c r="K842" s="1331"/>
    </row>
    <row r="843" spans="1:11">
      <c r="A843" s="428" t="s">
        <v>8879</v>
      </c>
      <c r="B843" s="570" t="s">
        <v>8881</v>
      </c>
      <c r="C843" s="631" t="s">
        <v>6268</v>
      </c>
      <c r="D843" s="413" t="s">
        <v>123</v>
      </c>
      <c r="E843" s="384">
        <v>1</v>
      </c>
      <c r="F843" s="482" t="s">
        <v>4295</v>
      </c>
      <c r="G843" s="486" t="s">
        <v>6003</v>
      </c>
      <c r="H843" s="593" t="s">
        <v>4296</v>
      </c>
      <c r="I843" s="634" t="s">
        <v>6215</v>
      </c>
      <c r="J843" s="1242"/>
      <c r="K843" s="1331"/>
    </row>
    <row r="844" spans="1:11">
      <c r="A844" s="428" t="s">
        <v>8879</v>
      </c>
      <c r="B844" s="570" t="s">
        <v>8881</v>
      </c>
      <c r="C844" s="631" t="s">
        <v>6268</v>
      </c>
      <c r="D844" s="413" t="s">
        <v>123</v>
      </c>
      <c r="E844" s="384">
        <v>1</v>
      </c>
      <c r="F844" s="482" t="s">
        <v>4297</v>
      </c>
      <c r="G844" s="486" t="s">
        <v>6004</v>
      </c>
      <c r="H844" s="593" t="s">
        <v>4298</v>
      </c>
      <c r="I844" s="634" t="s">
        <v>6215</v>
      </c>
      <c r="J844" s="1242"/>
      <c r="K844" s="1331"/>
    </row>
    <row r="845" spans="1:11">
      <c r="A845" s="428" t="s">
        <v>8879</v>
      </c>
      <c r="B845" s="570" t="s">
        <v>8881</v>
      </c>
      <c r="C845" s="631" t="s">
        <v>6268</v>
      </c>
      <c r="D845" s="413" t="s">
        <v>123</v>
      </c>
      <c r="E845" s="384">
        <v>1</v>
      </c>
      <c r="F845" s="482" t="s">
        <v>4299</v>
      </c>
      <c r="G845" s="486" t="s">
        <v>6005</v>
      </c>
      <c r="H845" s="593" t="s">
        <v>4300</v>
      </c>
      <c r="I845" s="634" t="s">
        <v>6215</v>
      </c>
      <c r="J845" s="1242"/>
      <c r="K845" s="1331"/>
    </row>
    <row r="846" spans="1:11">
      <c r="A846" s="428" t="s">
        <v>8879</v>
      </c>
      <c r="B846" s="570" t="s">
        <v>8881</v>
      </c>
      <c r="C846" s="631" t="s">
        <v>6268</v>
      </c>
      <c r="D846" s="413" t="s">
        <v>123</v>
      </c>
      <c r="E846" s="384">
        <v>1</v>
      </c>
      <c r="F846" s="482">
        <v>94</v>
      </c>
      <c r="G846" s="486" t="s">
        <v>6006</v>
      </c>
      <c r="H846" s="593" t="s">
        <v>4301</v>
      </c>
      <c r="I846" s="634" t="s">
        <v>6215</v>
      </c>
      <c r="J846" s="1242"/>
      <c r="K846" s="1331"/>
    </row>
    <row r="847" spans="1:11">
      <c r="A847" s="428" t="s">
        <v>8879</v>
      </c>
      <c r="B847" s="570" t="s">
        <v>8881</v>
      </c>
      <c r="C847" s="631" t="s">
        <v>6268</v>
      </c>
      <c r="D847" s="413" t="s">
        <v>123</v>
      </c>
      <c r="E847" s="384">
        <v>1</v>
      </c>
      <c r="F847" s="482" t="s">
        <v>4302</v>
      </c>
      <c r="G847" s="486" t="s">
        <v>6007</v>
      </c>
      <c r="H847" s="593" t="s">
        <v>4303</v>
      </c>
      <c r="I847" s="634" t="s">
        <v>6215</v>
      </c>
      <c r="J847" s="1242"/>
      <c r="K847" s="1331"/>
    </row>
    <row r="848" spans="1:11">
      <c r="A848" s="428" t="s">
        <v>8879</v>
      </c>
      <c r="B848" s="570" t="s">
        <v>8881</v>
      </c>
      <c r="C848" s="631" t="s">
        <v>6268</v>
      </c>
      <c r="D848" s="413" t="s">
        <v>123</v>
      </c>
      <c r="E848" s="384">
        <v>1</v>
      </c>
      <c r="F848" s="482" t="s">
        <v>4304</v>
      </c>
      <c r="G848" s="486" t="s">
        <v>6008</v>
      </c>
      <c r="H848" s="593" t="s">
        <v>4305</v>
      </c>
      <c r="I848" s="634" t="s">
        <v>6215</v>
      </c>
      <c r="J848" s="1242"/>
      <c r="K848" s="1331"/>
    </row>
    <row r="849" spans="1:11">
      <c r="A849" s="428" t="s">
        <v>8879</v>
      </c>
      <c r="B849" s="570" t="s">
        <v>8881</v>
      </c>
      <c r="C849" s="631" t="s">
        <v>6268</v>
      </c>
      <c r="D849" s="413" t="s">
        <v>123</v>
      </c>
      <c r="E849" s="384">
        <v>1</v>
      </c>
      <c r="F849" s="482" t="s">
        <v>4306</v>
      </c>
      <c r="G849" s="486" t="s">
        <v>6009</v>
      </c>
      <c r="H849" s="593" t="s">
        <v>4307</v>
      </c>
      <c r="I849" s="634" t="s">
        <v>6215</v>
      </c>
      <c r="J849" s="1242"/>
      <c r="K849" s="1331"/>
    </row>
    <row r="850" spans="1:11">
      <c r="A850" s="428" t="s">
        <v>8879</v>
      </c>
      <c r="B850" s="570" t="s">
        <v>8881</v>
      </c>
      <c r="C850" s="631" t="s">
        <v>6268</v>
      </c>
      <c r="D850" s="413" t="s">
        <v>123</v>
      </c>
      <c r="E850" s="384">
        <v>1</v>
      </c>
      <c r="F850" s="482" t="s">
        <v>4308</v>
      </c>
      <c r="G850" s="486" t="s">
        <v>6010</v>
      </c>
      <c r="H850" s="593" t="s">
        <v>4309</v>
      </c>
      <c r="I850" s="634" t="s">
        <v>6215</v>
      </c>
      <c r="J850" s="1242"/>
      <c r="K850" s="1331"/>
    </row>
    <row r="851" spans="1:11">
      <c r="A851" s="428" t="s">
        <v>8879</v>
      </c>
      <c r="B851" s="570" t="s">
        <v>8881</v>
      </c>
      <c r="C851" s="631" t="s">
        <v>6268</v>
      </c>
      <c r="D851" s="413" t="s">
        <v>123</v>
      </c>
      <c r="E851" s="384">
        <v>1</v>
      </c>
      <c r="F851" s="482" t="s">
        <v>4310</v>
      </c>
      <c r="G851" s="486" t="s">
        <v>6011</v>
      </c>
      <c r="H851" s="593" t="s">
        <v>4311</v>
      </c>
      <c r="I851" s="634" t="s">
        <v>6215</v>
      </c>
      <c r="J851" s="1242"/>
      <c r="K851" s="1331"/>
    </row>
    <row r="852" spans="1:11">
      <c r="A852" s="428" t="s">
        <v>8879</v>
      </c>
      <c r="B852" s="570" t="s">
        <v>8881</v>
      </c>
      <c r="C852" s="631" t="s">
        <v>6268</v>
      </c>
      <c r="D852" s="413" t="s">
        <v>123</v>
      </c>
      <c r="E852" s="384">
        <v>1</v>
      </c>
      <c r="F852" s="482" t="s">
        <v>4312</v>
      </c>
      <c r="G852" s="486" t="s">
        <v>6012</v>
      </c>
      <c r="H852" s="593" t="s">
        <v>4313</v>
      </c>
      <c r="I852" s="634" t="s">
        <v>6215</v>
      </c>
      <c r="J852" s="1242"/>
      <c r="K852" s="1331"/>
    </row>
    <row r="853" spans="1:11">
      <c r="A853" s="428" t="s">
        <v>8879</v>
      </c>
      <c r="B853" s="570" t="s">
        <v>8881</v>
      </c>
      <c r="C853" s="631" t="s">
        <v>6268</v>
      </c>
      <c r="D853" s="413" t="s">
        <v>123</v>
      </c>
      <c r="E853" s="384">
        <v>1</v>
      </c>
      <c r="F853" s="482" t="s">
        <v>4314</v>
      </c>
      <c r="G853" s="486" t="s">
        <v>6013</v>
      </c>
      <c r="H853" s="593" t="s">
        <v>4315</v>
      </c>
      <c r="I853" s="634" t="s">
        <v>6215</v>
      </c>
      <c r="J853" s="1242"/>
      <c r="K853" s="1331"/>
    </row>
    <row r="854" spans="1:11">
      <c r="A854" s="428" t="s">
        <v>8879</v>
      </c>
      <c r="B854" s="570" t="s">
        <v>8881</v>
      </c>
      <c r="C854" s="631" t="s">
        <v>6268</v>
      </c>
      <c r="D854" s="413" t="s">
        <v>123</v>
      </c>
      <c r="E854" s="384">
        <v>1</v>
      </c>
      <c r="F854" s="482" t="s">
        <v>4316</v>
      </c>
      <c r="G854" s="486" t="s">
        <v>6014</v>
      </c>
      <c r="H854" s="593" t="s">
        <v>4317</v>
      </c>
      <c r="I854" s="634" t="s">
        <v>6215</v>
      </c>
      <c r="J854" s="1242"/>
      <c r="K854" s="1331"/>
    </row>
    <row r="855" spans="1:11">
      <c r="A855" s="428" t="s">
        <v>8879</v>
      </c>
      <c r="B855" s="570" t="s">
        <v>8881</v>
      </c>
      <c r="C855" s="631" t="s">
        <v>6268</v>
      </c>
      <c r="D855" s="413" t="s">
        <v>123</v>
      </c>
      <c r="E855" s="384">
        <v>1</v>
      </c>
      <c r="F855" s="482">
        <v>95</v>
      </c>
      <c r="G855" s="486" t="s">
        <v>6015</v>
      </c>
      <c r="H855" s="593" t="s">
        <v>4318</v>
      </c>
      <c r="I855" s="634" t="s">
        <v>6215</v>
      </c>
      <c r="J855" s="1242"/>
      <c r="K855" s="1331"/>
    </row>
    <row r="856" spans="1:11">
      <c r="A856" s="428" t="s">
        <v>8879</v>
      </c>
      <c r="B856" s="570" t="s">
        <v>8881</v>
      </c>
      <c r="C856" s="631" t="s">
        <v>6268</v>
      </c>
      <c r="D856" s="413" t="s">
        <v>123</v>
      </c>
      <c r="E856" s="384">
        <v>1</v>
      </c>
      <c r="F856" s="482" t="s">
        <v>4319</v>
      </c>
      <c r="G856" s="486" t="s">
        <v>6016</v>
      </c>
      <c r="H856" s="593" t="s">
        <v>4320</v>
      </c>
      <c r="I856" s="634" t="s">
        <v>6215</v>
      </c>
      <c r="J856" s="1242"/>
      <c r="K856" s="1331"/>
    </row>
    <row r="857" spans="1:11">
      <c r="A857" s="428" t="s">
        <v>8879</v>
      </c>
      <c r="B857" s="570" t="s">
        <v>8881</v>
      </c>
      <c r="C857" s="631" t="s">
        <v>6268</v>
      </c>
      <c r="D857" s="413" t="s">
        <v>123</v>
      </c>
      <c r="E857" s="384">
        <v>1</v>
      </c>
      <c r="F857" s="482" t="s">
        <v>4321</v>
      </c>
      <c r="G857" s="486" t="s">
        <v>6017</v>
      </c>
      <c r="H857" s="593" t="s">
        <v>4322</v>
      </c>
      <c r="I857" s="634" t="s">
        <v>6215</v>
      </c>
      <c r="J857" s="1242"/>
      <c r="K857" s="1331"/>
    </row>
    <row r="858" spans="1:11">
      <c r="A858" s="428" t="s">
        <v>8879</v>
      </c>
      <c r="B858" s="570" t="s">
        <v>8881</v>
      </c>
      <c r="C858" s="631" t="s">
        <v>6268</v>
      </c>
      <c r="D858" s="413" t="s">
        <v>123</v>
      </c>
      <c r="E858" s="384">
        <v>1</v>
      </c>
      <c r="F858" s="482" t="s">
        <v>4323</v>
      </c>
      <c r="G858" s="486" t="s">
        <v>6018</v>
      </c>
      <c r="H858" s="593" t="s">
        <v>4324</v>
      </c>
      <c r="I858" s="634" t="s">
        <v>6215</v>
      </c>
      <c r="J858" s="1242"/>
      <c r="K858" s="1331"/>
    </row>
    <row r="859" spans="1:11">
      <c r="A859" s="428" t="s">
        <v>8879</v>
      </c>
      <c r="B859" s="570" t="s">
        <v>8881</v>
      </c>
      <c r="C859" s="631" t="s">
        <v>6268</v>
      </c>
      <c r="D859" s="413" t="s">
        <v>123</v>
      </c>
      <c r="E859" s="384">
        <v>1</v>
      </c>
      <c r="F859" s="482" t="s">
        <v>4325</v>
      </c>
      <c r="G859" s="486" t="s">
        <v>6019</v>
      </c>
      <c r="H859" s="593" t="s">
        <v>4326</v>
      </c>
      <c r="I859" s="634" t="s">
        <v>6215</v>
      </c>
      <c r="J859" s="1242"/>
      <c r="K859" s="1331"/>
    </row>
    <row r="860" spans="1:11">
      <c r="A860" s="428" t="s">
        <v>8879</v>
      </c>
      <c r="B860" s="570" t="s">
        <v>8881</v>
      </c>
      <c r="C860" s="631" t="s">
        <v>6268</v>
      </c>
      <c r="D860" s="413" t="s">
        <v>123</v>
      </c>
      <c r="E860" s="384">
        <v>1</v>
      </c>
      <c r="F860" s="482" t="s">
        <v>4327</v>
      </c>
      <c r="G860" s="486" t="s">
        <v>6020</v>
      </c>
      <c r="H860" s="593" t="s">
        <v>4328</v>
      </c>
      <c r="I860" s="634" t="s">
        <v>6215</v>
      </c>
      <c r="J860" s="1242"/>
      <c r="K860" s="1331"/>
    </row>
    <row r="861" spans="1:11">
      <c r="A861" s="428" t="s">
        <v>8879</v>
      </c>
      <c r="B861" s="570" t="s">
        <v>8881</v>
      </c>
      <c r="C861" s="631" t="s">
        <v>6268</v>
      </c>
      <c r="D861" s="413" t="s">
        <v>123</v>
      </c>
      <c r="E861" s="384">
        <v>1</v>
      </c>
      <c r="F861" s="482" t="s">
        <v>4329</v>
      </c>
      <c r="G861" s="486" t="s">
        <v>6021</v>
      </c>
      <c r="H861" s="593" t="s">
        <v>4330</v>
      </c>
      <c r="I861" s="634" t="s">
        <v>6215</v>
      </c>
      <c r="J861" s="1242"/>
      <c r="K861" s="1331"/>
    </row>
    <row r="862" spans="1:11">
      <c r="A862" s="428" t="s">
        <v>8879</v>
      </c>
      <c r="B862" s="570" t="s">
        <v>8881</v>
      </c>
      <c r="C862" s="631" t="s">
        <v>6268</v>
      </c>
      <c r="D862" s="413" t="s">
        <v>123</v>
      </c>
      <c r="E862" s="384">
        <v>1</v>
      </c>
      <c r="F862" s="482" t="s">
        <v>4331</v>
      </c>
      <c r="G862" s="486" t="s">
        <v>6022</v>
      </c>
      <c r="H862" s="593" t="s">
        <v>4332</v>
      </c>
      <c r="I862" s="634" t="s">
        <v>6215</v>
      </c>
      <c r="J862" s="1242"/>
      <c r="K862" s="1331"/>
    </row>
    <row r="863" spans="1:11">
      <c r="A863" s="428" t="s">
        <v>8879</v>
      </c>
      <c r="B863" s="570" t="s">
        <v>8881</v>
      </c>
      <c r="C863" s="631" t="s">
        <v>6268</v>
      </c>
      <c r="D863" s="413" t="s">
        <v>123</v>
      </c>
      <c r="E863" s="384">
        <v>1</v>
      </c>
      <c r="F863" s="482" t="s">
        <v>4333</v>
      </c>
      <c r="G863" s="486" t="s">
        <v>6023</v>
      </c>
      <c r="H863" s="593" t="s">
        <v>4334</v>
      </c>
      <c r="I863" s="634" t="s">
        <v>6215</v>
      </c>
      <c r="J863" s="1242"/>
      <c r="K863" s="1331"/>
    </row>
    <row r="864" spans="1:11">
      <c r="A864" s="428" t="s">
        <v>8879</v>
      </c>
      <c r="B864" s="570" t="s">
        <v>8881</v>
      </c>
      <c r="C864" s="631" t="s">
        <v>6268</v>
      </c>
      <c r="D864" s="413" t="s">
        <v>123</v>
      </c>
      <c r="E864" s="384">
        <v>1</v>
      </c>
      <c r="F864" s="482" t="s">
        <v>4335</v>
      </c>
      <c r="G864" s="486" t="s">
        <v>6024</v>
      </c>
      <c r="H864" s="593" t="s">
        <v>4336</v>
      </c>
      <c r="I864" s="634" t="s">
        <v>6215</v>
      </c>
      <c r="J864" s="1242"/>
      <c r="K864" s="1331"/>
    </row>
    <row r="865" spans="1:11">
      <c r="A865" s="428" t="s">
        <v>8879</v>
      </c>
      <c r="B865" s="570" t="s">
        <v>8881</v>
      </c>
      <c r="C865" s="631" t="s">
        <v>6268</v>
      </c>
      <c r="D865" s="413" t="s">
        <v>123</v>
      </c>
      <c r="E865" s="384">
        <v>1</v>
      </c>
      <c r="F865" s="482" t="s">
        <v>4337</v>
      </c>
      <c r="G865" s="486" t="s">
        <v>6025</v>
      </c>
      <c r="H865" s="593" t="s">
        <v>4338</v>
      </c>
      <c r="I865" s="634" t="s">
        <v>6215</v>
      </c>
      <c r="J865" s="1242"/>
      <c r="K865" s="1331"/>
    </row>
    <row r="866" spans="1:11">
      <c r="A866" s="428" t="s">
        <v>8879</v>
      </c>
      <c r="B866" s="570" t="s">
        <v>8881</v>
      </c>
      <c r="C866" s="631" t="s">
        <v>6268</v>
      </c>
      <c r="D866" s="413" t="s">
        <v>123</v>
      </c>
      <c r="E866" s="384">
        <v>1</v>
      </c>
      <c r="F866" s="482">
        <v>96</v>
      </c>
      <c r="G866" s="486" t="s">
        <v>6026</v>
      </c>
      <c r="H866" s="593" t="s">
        <v>4339</v>
      </c>
      <c r="I866" s="634" t="s">
        <v>6215</v>
      </c>
      <c r="J866" s="1242"/>
      <c r="K866" s="1331"/>
    </row>
    <row r="867" spans="1:11">
      <c r="A867" s="428" t="s">
        <v>8879</v>
      </c>
      <c r="B867" s="570" t="s">
        <v>8881</v>
      </c>
      <c r="C867" s="631" t="s">
        <v>6268</v>
      </c>
      <c r="D867" s="413" t="s">
        <v>123</v>
      </c>
      <c r="E867" s="384">
        <v>1</v>
      </c>
      <c r="F867" s="482" t="s">
        <v>4340</v>
      </c>
      <c r="G867" s="486" t="s">
        <v>6027</v>
      </c>
      <c r="H867" s="593" t="s">
        <v>4341</v>
      </c>
      <c r="I867" s="634" t="s">
        <v>6215</v>
      </c>
      <c r="J867" s="1242"/>
      <c r="K867" s="1331"/>
    </row>
    <row r="868" spans="1:11">
      <c r="A868" s="428" t="s">
        <v>8879</v>
      </c>
      <c r="B868" s="570" t="s">
        <v>8881</v>
      </c>
      <c r="C868" s="631" t="s">
        <v>6268</v>
      </c>
      <c r="D868" s="413" t="s">
        <v>123</v>
      </c>
      <c r="E868" s="384">
        <v>1</v>
      </c>
      <c r="F868" s="482" t="s">
        <v>4342</v>
      </c>
      <c r="G868" s="486" t="s">
        <v>6028</v>
      </c>
      <c r="H868" s="593" t="s">
        <v>4343</v>
      </c>
      <c r="I868" s="634" t="s">
        <v>6215</v>
      </c>
      <c r="J868" s="1242"/>
      <c r="K868" s="1331"/>
    </row>
    <row r="869" spans="1:11">
      <c r="A869" s="428" t="s">
        <v>8879</v>
      </c>
      <c r="B869" s="570" t="s">
        <v>8881</v>
      </c>
      <c r="C869" s="631" t="s">
        <v>6268</v>
      </c>
      <c r="D869" s="413" t="s">
        <v>123</v>
      </c>
      <c r="E869" s="384">
        <v>1</v>
      </c>
      <c r="F869" s="482" t="s">
        <v>4344</v>
      </c>
      <c r="G869" s="486" t="s">
        <v>6029</v>
      </c>
      <c r="H869" s="593" t="s">
        <v>4345</v>
      </c>
      <c r="I869" s="634" t="s">
        <v>6215</v>
      </c>
      <c r="J869" s="1242"/>
      <c r="K869" s="1331"/>
    </row>
    <row r="870" spans="1:11">
      <c r="A870" s="428" t="s">
        <v>8879</v>
      </c>
      <c r="B870" s="570" t="s">
        <v>8881</v>
      </c>
      <c r="C870" s="631" t="s">
        <v>6268</v>
      </c>
      <c r="D870" s="413" t="s">
        <v>123</v>
      </c>
      <c r="E870" s="384">
        <v>1</v>
      </c>
      <c r="F870" s="482" t="s">
        <v>4346</v>
      </c>
      <c r="G870" s="486" t="s">
        <v>6030</v>
      </c>
      <c r="H870" s="593" t="s">
        <v>4347</v>
      </c>
      <c r="I870" s="634" t="s">
        <v>6215</v>
      </c>
      <c r="J870" s="1242"/>
      <c r="K870" s="1331"/>
    </row>
    <row r="871" spans="1:11">
      <c r="A871" s="428" t="s">
        <v>8879</v>
      </c>
      <c r="B871" s="570" t="s">
        <v>8881</v>
      </c>
      <c r="C871" s="631" t="s">
        <v>6268</v>
      </c>
      <c r="D871" s="413" t="s">
        <v>123</v>
      </c>
      <c r="E871" s="384">
        <v>1</v>
      </c>
      <c r="F871" s="482" t="s">
        <v>4348</v>
      </c>
      <c r="G871" s="486" t="s">
        <v>6031</v>
      </c>
      <c r="H871" s="593" t="s">
        <v>4349</v>
      </c>
      <c r="I871" s="634" t="s">
        <v>6215</v>
      </c>
      <c r="J871" s="1242"/>
      <c r="K871" s="1331"/>
    </row>
    <row r="872" spans="1:11">
      <c r="A872" s="428" t="s">
        <v>8879</v>
      </c>
      <c r="B872" s="570" t="s">
        <v>8881</v>
      </c>
      <c r="C872" s="631" t="s">
        <v>6268</v>
      </c>
      <c r="D872" s="413" t="s">
        <v>123</v>
      </c>
      <c r="E872" s="384">
        <v>1</v>
      </c>
      <c r="F872" s="482">
        <v>97</v>
      </c>
      <c r="G872" s="486" t="s">
        <v>6032</v>
      </c>
      <c r="H872" s="593" t="s">
        <v>4350</v>
      </c>
      <c r="I872" s="634" t="s">
        <v>6215</v>
      </c>
      <c r="J872" s="1242"/>
      <c r="K872" s="1331"/>
    </row>
    <row r="873" spans="1:11">
      <c r="A873" s="428" t="s">
        <v>8879</v>
      </c>
      <c r="B873" s="570" t="s">
        <v>8881</v>
      </c>
      <c r="C873" s="631" t="s">
        <v>6268</v>
      </c>
      <c r="D873" s="413" t="s">
        <v>123</v>
      </c>
      <c r="E873" s="384">
        <v>1</v>
      </c>
      <c r="F873" s="482">
        <v>98</v>
      </c>
      <c r="G873" s="486" t="s">
        <v>6033</v>
      </c>
      <c r="H873" s="593" t="s">
        <v>4351</v>
      </c>
      <c r="I873" s="634" t="s">
        <v>6215</v>
      </c>
      <c r="J873" s="1242"/>
      <c r="K873" s="1331"/>
    </row>
    <row r="874" spans="1:11">
      <c r="A874" s="428" t="s">
        <v>8879</v>
      </c>
      <c r="B874" s="570" t="s">
        <v>8881</v>
      </c>
      <c r="C874" s="631" t="s">
        <v>6268</v>
      </c>
      <c r="D874" s="413" t="s">
        <v>123</v>
      </c>
      <c r="E874" s="384">
        <v>1</v>
      </c>
      <c r="F874" s="482" t="s">
        <v>4352</v>
      </c>
      <c r="G874" s="486" t="s">
        <v>6034</v>
      </c>
      <c r="H874" s="593" t="s">
        <v>4353</v>
      </c>
      <c r="I874" s="634" t="s">
        <v>6215</v>
      </c>
      <c r="J874" s="1242"/>
      <c r="K874" s="1331"/>
    </row>
    <row r="875" spans="1:11">
      <c r="A875" s="428" t="s">
        <v>8879</v>
      </c>
      <c r="B875" s="570" t="s">
        <v>8881</v>
      </c>
      <c r="C875" s="631" t="s">
        <v>6268</v>
      </c>
      <c r="D875" s="413" t="s">
        <v>123</v>
      </c>
      <c r="E875" s="384">
        <v>1</v>
      </c>
      <c r="F875" s="482" t="s">
        <v>4354</v>
      </c>
      <c r="G875" s="486" t="s">
        <v>6035</v>
      </c>
      <c r="H875" s="593" t="s">
        <v>4355</v>
      </c>
      <c r="I875" s="634" t="s">
        <v>6215</v>
      </c>
      <c r="J875" s="1242"/>
      <c r="K875" s="1331"/>
    </row>
    <row r="876" spans="1:11">
      <c r="A876" s="430" t="s">
        <v>8879</v>
      </c>
      <c r="B876" s="571" t="s">
        <v>8881</v>
      </c>
      <c r="C876" s="605" t="s">
        <v>6268</v>
      </c>
      <c r="D876" s="425" t="s">
        <v>123</v>
      </c>
      <c r="E876" s="493">
        <v>1</v>
      </c>
      <c r="F876" s="501">
        <v>99</v>
      </c>
      <c r="G876" s="502" t="s">
        <v>6036</v>
      </c>
      <c r="H876" s="594" t="s">
        <v>4356</v>
      </c>
      <c r="I876" s="632" t="s">
        <v>6215</v>
      </c>
      <c r="J876" s="1251"/>
      <c r="K876" s="1332"/>
    </row>
    <row r="877" spans="1:11">
      <c r="A877" s="526" t="s">
        <v>8879</v>
      </c>
      <c r="B877" s="569" t="s">
        <v>45</v>
      </c>
      <c r="C877" s="630" t="s">
        <v>6268</v>
      </c>
      <c r="D877" s="414" t="s">
        <v>112</v>
      </c>
      <c r="E877" s="492">
        <v>1</v>
      </c>
      <c r="F877" s="481" t="s">
        <v>6277</v>
      </c>
      <c r="G877" s="485" t="s">
        <v>6278</v>
      </c>
      <c r="H877" s="620" t="s">
        <v>6278</v>
      </c>
      <c r="I877" s="630"/>
      <c r="J877" s="1241" t="s">
        <v>6279</v>
      </c>
      <c r="K877" s="1327" t="s">
        <v>5</v>
      </c>
    </row>
    <row r="878" spans="1:11">
      <c r="A878" s="529" t="s">
        <v>8879</v>
      </c>
      <c r="B878" s="571" t="s">
        <v>45</v>
      </c>
      <c r="C878" s="605" t="s">
        <v>6268</v>
      </c>
      <c r="D878" s="425" t="s">
        <v>112</v>
      </c>
      <c r="E878" s="493">
        <v>1</v>
      </c>
      <c r="F878" s="501" t="s">
        <v>6280</v>
      </c>
      <c r="G878" s="502" t="s">
        <v>6281</v>
      </c>
      <c r="H878" s="594" t="s">
        <v>6281</v>
      </c>
      <c r="I878" s="605"/>
      <c r="J878" s="1251"/>
      <c r="K878" s="1329"/>
    </row>
    <row r="879" spans="1:11">
      <c r="A879" s="426" t="s">
        <v>8879</v>
      </c>
      <c r="B879" s="569" t="s">
        <v>37</v>
      </c>
      <c r="C879" s="630" t="s">
        <v>6271</v>
      </c>
      <c r="D879" s="414" t="s">
        <v>185</v>
      </c>
      <c r="E879" s="492">
        <v>1</v>
      </c>
      <c r="F879" s="481">
        <v>1</v>
      </c>
      <c r="G879" s="485" t="s">
        <v>4363</v>
      </c>
      <c r="H879" s="620" t="s">
        <v>4363</v>
      </c>
      <c r="I879" s="630"/>
      <c r="J879" s="1241" t="s">
        <v>6282</v>
      </c>
      <c r="K879" s="1330" t="s">
        <v>5</v>
      </c>
    </row>
    <row r="880" spans="1:11">
      <c r="A880" s="428" t="s">
        <v>8879</v>
      </c>
      <c r="B880" s="570" t="s">
        <v>37</v>
      </c>
      <c r="C880" s="631" t="s">
        <v>6271</v>
      </c>
      <c r="D880" s="413" t="s">
        <v>185</v>
      </c>
      <c r="E880" s="384">
        <v>1</v>
      </c>
      <c r="F880" s="482">
        <v>2</v>
      </c>
      <c r="G880" s="486" t="s">
        <v>4368</v>
      </c>
      <c r="H880" s="593" t="s">
        <v>4368</v>
      </c>
      <c r="I880" s="631"/>
      <c r="J880" s="1242"/>
      <c r="K880" s="1331"/>
    </row>
    <row r="881" spans="1:11">
      <c r="A881" s="428" t="s">
        <v>8879</v>
      </c>
      <c r="B881" s="570" t="s">
        <v>37</v>
      </c>
      <c r="C881" s="631" t="s">
        <v>6271</v>
      </c>
      <c r="D881" s="413" t="s">
        <v>185</v>
      </c>
      <c r="E881" s="384">
        <v>1</v>
      </c>
      <c r="F881" s="482">
        <v>3</v>
      </c>
      <c r="G881" s="486" t="s">
        <v>4367</v>
      </c>
      <c r="H881" s="593" t="s">
        <v>4367</v>
      </c>
      <c r="I881" s="631"/>
      <c r="J881" s="1242"/>
      <c r="K881" s="1331"/>
    </row>
    <row r="882" spans="1:11">
      <c r="A882" s="430" t="s">
        <v>8879</v>
      </c>
      <c r="B882" s="571" t="s">
        <v>37</v>
      </c>
      <c r="C882" s="605" t="s">
        <v>6271</v>
      </c>
      <c r="D882" s="425" t="s">
        <v>185</v>
      </c>
      <c r="E882" s="493">
        <v>1</v>
      </c>
      <c r="F882" s="501">
        <v>4</v>
      </c>
      <c r="G882" s="502" t="s">
        <v>4365</v>
      </c>
      <c r="H882" s="594" t="s">
        <v>4366</v>
      </c>
      <c r="I882" s="605"/>
      <c r="J882" s="1251"/>
      <c r="K882" s="1332"/>
    </row>
    <row r="883" spans="1:11">
      <c r="A883" s="426" t="s">
        <v>8879</v>
      </c>
      <c r="B883" s="569" t="s">
        <v>8880</v>
      </c>
      <c r="C883" s="630" t="s">
        <v>6268</v>
      </c>
      <c r="D883" s="414" t="s">
        <v>78</v>
      </c>
      <c r="E883" s="492">
        <v>1</v>
      </c>
      <c r="F883" s="481">
        <v>3</v>
      </c>
      <c r="G883" s="485" t="s">
        <v>2767</v>
      </c>
      <c r="H883" s="620" t="s">
        <v>2768</v>
      </c>
      <c r="I883" s="633" t="s">
        <v>6215</v>
      </c>
      <c r="J883" s="1241" t="s">
        <v>6283</v>
      </c>
      <c r="K883" s="1330" t="s">
        <v>5</v>
      </c>
    </row>
    <row r="884" spans="1:11">
      <c r="A884" s="428" t="s">
        <v>8879</v>
      </c>
      <c r="B884" s="570" t="s">
        <v>8880</v>
      </c>
      <c r="C884" s="631" t="s">
        <v>6268</v>
      </c>
      <c r="D884" s="413" t="s">
        <v>78</v>
      </c>
      <c r="E884" s="384">
        <v>1</v>
      </c>
      <c r="F884" s="482">
        <v>4</v>
      </c>
      <c r="G884" s="486" t="s">
        <v>2770</v>
      </c>
      <c r="H884" s="593" t="s">
        <v>2770</v>
      </c>
      <c r="I884" s="634" t="s">
        <v>6215</v>
      </c>
      <c r="J884" s="1242"/>
      <c r="K884" s="1331"/>
    </row>
    <row r="885" spans="1:11">
      <c r="A885" s="428" t="s">
        <v>8879</v>
      </c>
      <c r="B885" s="570" t="s">
        <v>8880</v>
      </c>
      <c r="C885" s="631" t="s">
        <v>6268</v>
      </c>
      <c r="D885" s="413" t="s">
        <v>78</v>
      </c>
      <c r="E885" s="384">
        <v>1</v>
      </c>
      <c r="F885" s="482">
        <v>5</v>
      </c>
      <c r="G885" s="486" t="s">
        <v>2771</v>
      </c>
      <c r="H885" s="593" t="s">
        <v>2771</v>
      </c>
      <c r="I885" s="634" t="s">
        <v>6215</v>
      </c>
      <c r="J885" s="1242"/>
      <c r="K885" s="1331"/>
    </row>
    <row r="886" spans="1:11">
      <c r="A886" s="428" t="s">
        <v>8879</v>
      </c>
      <c r="B886" s="570" t="s">
        <v>8880</v>
      </c>
      <c r="C886" s="631" t="s">
        <v>6268</v>
      </c>
      <c r="D886" s="413" t="s">
        <v>78</v>
      </c>
      <c r="E886" s="384">
        <v>1</v>
      </c>
      <c r="F886" s="482">
        <v>8</v>
      </c>
      <c r="G886" s="486" t="s">
        <v>2772</v>
      </c>
      <c r="H886" s="593" t="s">
        <v>2772</v>
      </c>
      <c r="I886" s="634" t="s">
        <v>6215</v>
      </c>
      <c r="J886" s="1242"/>
      <c r="K886" s="1331"/>
    </row>
    <row r="887" spans="1:11">
      <c r="A887" s="430" t="s">
        <v>8879</v>
      </c>
      <c r="B887" s="571" t="s">
        <v>8880</v>
      </c>
      <c r="C887" s="605" t="s">
        <v>6268</v>
      </c>
      <c r="D887" s="425" t="s">
        <v>78</v>
      </c>
      <c r="E887" s="493">
        <v>1</v>
      </c>
      <c r="F887" s="501">
        <v>9</v>
      </c>
      <c r="G887" s="502" t="s">
        <v>2773</v>
      </c>
      <c r="H887" s="594" t="s">
        <v>2773</v>
      </c>
      <c r="I887" s="632" t="s">
        <v>6215</v>
      </c>
      <c r="J887" s="1251"/>
      <c r="K887" s="1332"/>
    </row>
    <row r="888" spans="1:11">
      <c r="A888" s="426" t="s">
        <v>8879</v>
      </c>
      <c r="B888" s="569" t="s">
        <v>8880</v>
      </c>
      <c r="C888" s="630" t="s">
        <v>6268</v>
      </c>
      <c r="D888" s="414" t="s">
        <v>104</v>
      </c>
      <c r="E888" s="492">
        <v>1</v>
      </c>
      <c r="F888" s="481">
        <v>1</v>
      </c>
      <c r="G888" s="485" t="s">
        <v>2723</v>
      </c>
      <c r="H888" s="620" t="s">
        <v>2723</v>
      </c>
      <c r="I888" s="630"/>
      <c r="J888" s="1241" t="s">
        <v>6284</v>
      </c>
      <c r="K888" s="1330" t="s">
        <v>5</v>
      </c>
    </row>
    <row r="889" spans="1:11">
      <c r="A889" s="430" t="s">
        <v>8879</v>
      </c>
      <c r="B889" s="571" t="s">
        <v>8880</v>
      </c>
      <c r="C889" s="605" t="s">
        <v>6268</v>
      </c>
      <c r="D889" s="425" t="s">
        <v>104</v>
      </c>
      <c r="E889" s="493">
        <v>1</v>
      </c>
      <c r="F889" s="501">
        <v>2</v>
      </c>
      <c r="G889" s="502" t="s">
        <v>2726</v>
      </c>
      <c r="H889" s="594" t="s">
        <v>2726</v>
      </c>
      <c r="I889" s="605"/>
      <c r="J889" s="1251"/>
      <c r="K889" s="1332"/>
    </row>
    <row r="890" spans="1:11">
      <c r="A890" s="426" t="s">
        <v>8879</v>
      </c>
      <c r="B890" s="569" t="s">
        <v>8880</v>
      </c>
      <c r="C890" s="630" t="s">
        <v>6268</v>
      </c>
      <c r="D890" s="414" t="s">
        <v>79</v>
      </c>
      <c r="E890" s="492">
        <v>1</v>
      </c>
      <c r="F890" s="481">
        <v>21</v>
      </c>
      <c r="G890" s="485" t="s">
        <v>2716</v>
      </c>
      <c r="H890" s="620" t="s">
        <v>2716</v>
      </c>
      <c r="I890" s="630"/>
      <c r="J890" s="1241" t="s">
        <v>6285</v>
      </c>
      <c r="K890" s="1330" t="s">
        <v>5</v>
      </c>
    </row>
    <row r="891" spans="1:11">
      <c r="A891" s="428" t="s">
        <v>8879</v>
      </c>
      <c r="B891" s="570" t="s">
        <v>8880</v>
      </c>
      <c r="C891" s="631" t="s">
        <v>6268</v>
      </c>
      <c r="D891" s="413" t="s">
        <v>79</v>
      </c>
      <c r="E891" s="384">
        <v>1</v>
      </c>
      <c r="F891" s="482">
        <v>23</v>
      </c>
      <c r="G891" s="486" t="s">
        <v>2719</v>
      </c>
      <c r="H891" s="593" t="s">
        <v>2719</v>
      </c>
      <c r="I891" s="631"/>
      <c r="J891" s="1242"/>
      <c r="K891" s="1331"/>
    </row>
    <row r="892" spans="1:11">
      <c r="A892" s="428" t="s">
        <v>8879</v>
      </c>
      <c r="B892" s="570" t="s">
        <v>8880</v>
      </c>
      <c r="C892" s="631" t="s">
        <v>6268</v>
      </c>
      <c r="D892" s="413" t="s">
        <v>79</v>
      </c>
      <c r="E892" s="384">
        <v>1</v>
      </c>
      <c r="F892" s="482">
        <v>24</v>
      </c>
      <c r="G892" s="486" t="s">
        <v>2720</v>
      </c>
      <c r="H892" s="593" t="s">
        <v>2720</v>
      </c>
      <c r="I892" s="631"/>
      <c r="J892" s="1242"/>
      <c r="K892" s="1331"/>
    </row>
    <row r="893" spans="1:11">
      <c r="A893" s="428" t="s">
        <v>8879</v>
      </c>
      <c r="B893" s="570" t="s">
        <v>8880</v>
      </c>
      <c r="C893" s="631" t="s">
        <v>6268</v>
      </c>
      <c r="D893" s="413" t="s">
        <v>79</v>
      </c>
      <c r="E893" s="384">
        <v>1</v>
      </c>
      <c r="F893" s="482">
        <v>25</v>
      </c>
      <c r="G893" s="486" t="s">
        <v>2721</v>
      </c>
      <c r="H893" s="593" t="s">
        <v>2721</v>
      </c>
      <c r="I893" s="631"/>
      <c r="J893" s="1242"/>
      <c r="K893" s="1331"/>
    </row>
    <row r="894" spans="1:11">
      <c r="A894" s="430" t="s">
        <v>8879</v>
      </c>
      <c r="B894" s="571" t="s">
        <v>8880</v>
      </c>
      <c r="C894" s="605" t="s">
        <v>6268</v>
      </c>
      <c r="D894" s="425" t="s">
        <v>79</v>
      </c>
      <c r="E894" s="493">
        <v>1</v>
      </c>
      <c r="F894" s="501">
        <v>26</v>
      </c>
      <c r="G894" s="502" t="s">
        <v>2722</v>
      </c>
      <c r="H894" s="594" t="s">
        <v>2722</v>
      </c>
      <c r="I894" s="605"/>
      <c r="J894" s="1251"/>
      <c r="K894" s="1332"/>
    </row>
    <row r="895" spans="1:11">
      <c r="A895" s="426" t="s">
        <v>8879</v>
      </c>
      <c r="B895" s="569" t="s">
        <v>8882</v>
      </c>
      <c r="C895" s="630" t="s">
        <v>6268</v>
      </c>
      <c r="D895" s="414" t="s">
        <v>81</v>
      </c>
      <c r="E895" s="492">
        <v>1</v>
      </c>
      <c r="F895" s="481" t="s">
        <v>2226</v>
      </c>
      <c r="G895" s="485" t="s">
        <v>2227</v>
      </c>
      <c r="H895" s="620" t="s">
        <v>2227</v>
      </c>
      <c r="I895" s="630"/>
      <c r="J895" s="1343" t="s">
        <v>6286</v>
      </c>
      <c r="K895" s="1333" t="s">
        <v>5</v>
      </c>
    </row>
    <row r="896" spans="1:11">
      <c r="A896" s="428" t="s">
        <v>8879</v>
      </c>
      <c r="B896" s="570" t="s">
        <v>8882</v>
      </c>
      <c r="C896" s="631" t="s">
        <v>6268</v>
      </c>
      <c r="D896" s="413" t="s">
        <v>81</v>
      </c>
      <c r="E896" s="384">
        <v>1</v>
      </c>
      <c r="F896" s="482" t="s">
        <v>2228</v>
      </c>
      <c r="G896" s="486" t="s">
        <v>2229</v>
      </c>
      <c r="H896" s="593" t="s">
        <v>2229</v>
      </c>
      <c r="I896" s="631"/>
      <c r="J896" s="1344"/>
      <c r="K896" s="1334"/>
    </row>
    <row r="897" spans="1:11">
      <c r="A897" s="428" t="s">
        <v>8879</v>
      </c>
      <c r="B897" s="570" t="s">
        <v>8882</v>
      </c>
      <c r="C897" s="631" t="s">
        <v>6268</v>
      </c>
      <c r="D897" s="413" t="s">
        <v>81</v>
      </c>
      <c r="E897" s="384">
        <v>1</v>
      </c>
      <c r="F897" s="482" t="s">
        <v>2222</v>
      </c>
      <c r="G897" s="486" t="s">
        <v>2223</v>
      </c>
      <c r="H897" s="593" t="s">
        <v>2223</v>
      </c>
      <c r="I897" s="631"/>
      <c r="J897" s="1344"/>
      <c r="K897" s="1334"/>
    </row>
    <row r="898" spans="1:11">
      <c r="A898" s="428" t="s">
        <v>8879</v>
      </c>
      <c r="B898" s="570" t="s">
        <v>8882</v>
      </c>
      <c r="C898" s="631" t="s">
        <v>6268</v>
      </c>
      <c r="D898" s="413" t="s">
        <v>81</v>
      </c>
      <c r="E898" s="384">
        <v>1</v>
      </c>
      <c r="F898" s="482" t="s">
        <v>2219</v>
      </c>
      <c r="G898" s="486" t="s">
        <v>2220</v>
      </c>
      <c r="H898" s="593" t="s">
        <v>2220</v>
      </c>
      <c r="I898" s="631"/>
      <c r="J898" s="1344"/>
      <c r="K898" s="1334"/>
    </row>
    <row r="899" spans="1:11">
      <c r="A899" s="428" t="s">
        <v>8879</v>
      </c>
      <c r="B899" s="570" t="s">
        <v>8882</v>
      </c>
      <c r="C899" s="631" t="s">
        <v>6268</v>
      </c>
      <c r="D899" s="413" t="s">
        <v>81</v>
      </c>
      <c r="E899" s="384">
        <v>1</v>
      </c>
      <c r="F899" s="482" t="s">
        <v>2224</v>
      </c>
      <c r="G899" s="486" t="s">
        <v>2225</v>
      </c>
      <c r="H899" s="593" t="s">
        <v>2225</v>
      </c>
      <c r="I899" s="631"/>
      <c r="J899" s="1344"/>
      <c r="K899" s="1334"/>
    </row>
    <row r="900" spans="1:11">
      <c r="A900" s="428" t="s">
        <v>8879</v>
      </c>
      <c r="B900" s="570" t="s">
        <v>8882</v>
      </c>
      <c r="C900" s="631" t="s">
        <v>6268</v>
      </c>
      <c r="D900" s="413" t="s">
        <v>81</v>
      </c>
      <c r="E900" s="384">
        <v>1</v>
      </c>
      <c r="F900" s="482" t="s">
        <v>2230</v>
      </c>
      <c r="G900" s="486" t="s">
        <v>2231</v>
      </c>
      <c r="H900" s="593" t="s">
        <v>2231</v>
      </c>
      <c r="I900" s="631"/>
      <c r="J900" s="1344"/>
      <c r="K900" s="1334"/>
    </row>
    <row r="901" spans="1:11">
      <c r="A901" s="430" t="s">
        <v>8879</v>
      </c>
      <c r="B901" s="571" t="s">
        <v>8882</v>
      </c>
      <c r="C901" s="605" t="s">
        <v>6268</v>
      </c>
      <c r="D901" s="425" t="s">
        <v>81</v>
      </c>
      <c r="E901" s="493">
        <v>1</v>
      </c>
      <c r="F901" s="501" t="s">
        <v>6287</v>
      </c>
      <c r="G901" s="580" t="s">
        <v>422</v>
      </c>
      <c r="H901" s="621" t="s">
        <v>6287</v>
      </c>
      <c r="I901" s="635" t="s">
        <v>6288</v>
      </c>
      <c r="J901" s="1345"/>
      <c r="K901" s="1335"/>
    </row>
    <row r="902" spans="1:11">
      <c r="A902" s="426" t="s">
        <v>8879</v>
      </c>
      <c r="B902" s="569" t="s">
        <v>31</v>
      </c>
      <c r="C902" s="630" t="s">
        <v>6268</v>
      </c>
      <c r="D902" s="414" t="s">
        <v>108</v>
      </c>
      <c r="E902" s="492">
        <v>1</v>
      </c>
      <c r="F902" s="492">
        <v>1</v>
      </c>
      <c r="G902" s="485" t="s">
        <v>2296</v>
      </c>
      <c r="H902" s="620" t="s">
        <v>2300</v>
      </c>
      <c r="I902" s="633" t="s">
        <v>6215</v>
      </c>
      <c r="J902" s="1241" t="s">
        <v>6289</v>
      </c>
      <c r="K902" s="1330" t="s">
        <v>5</v>
      </c>
    </row>
    <row r="903" spans="1:11">
      <c r="A903" s="428" t="s">
        <v>8879</v>
      </c>
      <c r="B903" s="570" t="s">
        <v>31</v>
      </c>
      <c r="C903" s="631" t="s">
        <v>6268</v>
      </c>
      <c r="D903" s="413" t="s">
        <v>108</v>
      </c>
      <c r="E903" s="384">
        <v>1</v>
      </c>
      <c r="F903" s="384">
        <v>3</v>
      </c>
      <c r="G903" s="486" t="s">
        <v>2540</v>
      </c>
      <c r="H903" s="593" t="s">
        <v>2540</v>
      </c>
      <c r="I903" s="634" t="s">
        <v>6215</v>
      </c>
      <c r="J903" s="1242"/>
      <c r="K903" s="1331"/>
    </row>
    <row r="904" spans="1:11">
      <c r="A904" s="428" t="s">
        <v>8879</v>
      </c>
      <c r="B904" s="570" t="s">
        <v>31</v>
      </c>
      <c r="C904" s="631" t="s">
        <v>6268</v>
      </c>
      <c r="D904" s="413" t="s">
        <v>108</v>
      </c>
      <c r="E904" s="384">
        <v>1</v>
      </c>
      <c r="F904" s="384">
        <v>8</v>
      </c>
      <c r="G904" s="486" t="s">
        <v>2296</v>
      </c>
      <c r="H904" s="593" t="s">
        <v>2297</v>
      </c>
      <c r="I904" s="634" t="s">
        <v>6215</v>
      </c>
      <c r="J904" s="1242"/>
      <c r="K904" s="1331"/>
    </row>
    <row r="905" spans="1:11">
      <c r="A905" s="428" t="s">
        <v>8879</v>
      </c>
      <c r="B905" s="570" t="s">
        <v>31</v>
      </c>
      <c r="C905" s="631" t="s">
        <v>6268</v>
      </c>
      <c r="D905" s="413" t="s">
        <v>108</v>
      </c>
      <c r="E905" s="384">
        <v>1</v>
      </c>
      <c r="F905" s="384">
        <v>12</v>
      </c>
      <c r="G905" s="486" t="s">
        <v>2293</v>
      </c>
      <c r="H905" s="593" t="s">
        <v>2294</v>
      </c>
      <c r="I905" s="634" t="s">
        <v>6215</v>
      </c>
      <c r="J905" s="1242"/>
      <c r="K905" s="1331"/>
    </row>
    <row r="906" spans="1:11">
      <c r="A906" s="428" t="s">
        <v>8879</v>
      </c>
      <c r="B906" s="570" t="s">
        <v>31</v>
      </c>
      <c r="C906" s="631" t="s">
        <v>6268</v>
      </c>
      <c r="D906" s="413" t="s">
        <v>108</v>
      </c>
      <c r="E906" s="384">
        <v>1</v>
      </c>
      <c r="F906" s="384">
        <v>16</v>
      </c>
      <c r="G906" s="486" t="s">
        <v>2542</v>
      </c>
      <c r="H906" s="570" t="s">
        <v>2542</v>
      </c>
      <c r="I906" s="634" t="s">
        <v>6215</v>
      </c>
      <c r="J906" s="1242"/>
      <c r="K906" s="1331"/>
    </row>
    <row r="907" spans="1:11">
      <c r="A907" s="428" t="s">
        <v>8879</v>
      </c>
      <c r="B907" s="570" t="s">
        <v>31</v>
      </c>
      <c r="C907" s="631" t="s">
        <v>6268</v>
      </c>
      <c r="D907" s="413" t="s">
        <v>108</v>
      </c>
      <c r="E907" s="384">
        <v>1</v>
      </c>
      <c r="F907" s="384">
        <v>18</v>
      </c>
      <c r="G907" s="486" t="s">
        <v>2296</v>
      </c>
      <c r="H907" s="593" t="s">
        <v>2298</v>
      </c>
      <c r="I907" s="634" t="s">
        <v>6215</v>
      </c>
      <c r="J907" s="1242"/>
      <c r="K907" s="1331"/>
    </row>
    <row r="908" spans="1:11">
      <c r="A908" s="430" t="s">
        <v>8879</v>
      </c>
      <c r="B908" s="571" t="s">
        <v>31</v>
      </c>
      <c r="C908" s="605" t="s">
        <v>6268</v>
      </c>
      <c r="D908" s="425" t="s">
        <v>108</v>
      </c>
      <c r="E908" s="493">
        <v>1</v>
      </c>
      <c r="F908" s="493">
        <v>19</v>
      </c>
      <c r="G908" s="502" t="s">
        <v>2296</v>
      </c>
      <c r="H908" s="594" t="s">
        <v>2299</v>
      </c>
      <c r="I908" s="632" t="s">
        <v>6215</v>
      </c>
      <c r="J908" s="1251"/>
      <c r="K908" s="1332"/>
    </row>
    <row r="909" spans="1:11">
      <c r="A909" s="426" t="s">
        <v>8879</v>
      </c>
      <c r="B909" s="569" t="s">
        <v>8881</v>
      </c>
      <c r="C909" s="630" t="s">
        <v>6268</v>
      </c>
      <c r="D909" s="414" t="s">
        <v>126</v>
      </c>
      <c r="E909" s="492">
        <v>1</v>
      </c>
      <c r="F909" s="481">
        <v>1</v>
      </c>
      <c r="G909" s="485" t="s">
        <v>6290</v>
      </c>
      <c r="H909" s="620" t="s">
        <v>6039</v>
      </c>
      <c r="I909" s="630"/>
      <c r="J909" s="1241" t="s">
        <v>6291</v>
      </c>
      <c r="K909" s="1330" t="s">
        <v>5</v>
      </c>
    </row>
    <row r="910" spans="1:11">
      <c r="A910" s="430" t="s">
        <v>8879</v>
      </c>
      <c r="B910" s="571" t="s">
        <v>8881</v>
      </c>
      <c r="C910" s="605" t="s">
        <v>6268</v>
      </c>
      <c r="D910" s="425" t="s">
        <v>126</v>
      </c>
      <c r="E910" s="493">
        <v>1</v>
      </c>
      <c r="F910" s="501">
        <v>2</v>
      </c>
      <c r="G910" s="502" t="s">
        <v>6292</v>
      </c>
      <c r="H910" s="594" t="s">
        <v>6037</v>
      </c>
      <c r="I910" s="605"/>
      <c r="J910" s="1251"/>
      <c r="K910" s="1332"/>
    </row>
    <row r="911" spans="1:11">
      <c r="A911" s="526" t="s">
        <v>8879</v>
      </c>
      <c r="B911" s="642" t="s">
        <v>45</v>
      </c>
      <c r="C911" s="647" t="s">
        <v>6268</v>
      </c>
      <c r="D911" s="527" t="s">
        <v>127</v>
      </c>
      <c r="E911" s="492">
        <v>1</v>
      </c>
      <c r="F911" s="481">
        <v>1</v>
      </c>
      <c r="G911" s="485" t="s">
        <v>6238</v>
      </c>
      <c r="H911" s="620" t="s">
        <v>6237</v>
      </c>
      <c r="I911" s="636"/>
      <c r="J911" s="1241" t="s">
        <v>6293</v>
      </c>
      <c r="K911" s="1340" t="s">
        <v>5</v>
      </c>
    </row>
    <row r="912" spans="1:11">
      <c r="A912" s="528" t="s">
        <v>8879</v>
      </c>
      <c r="B912" s="643" t="s">
        <v>45</v>
      </c>
      <c r="C912" s="648" t="s">
        <v>6268</v>
      </c>
      <c r="D912" s="503" t="s">
        <v>127</v>
      </c>
      <c r="E912" s="384">
        <v>1</v>
      </c>
      <c r="F912" s="482">
        <v>2</v>
      </c>
      <c r="G912" s="486" t="s">
        <v>6241</v>
      </c>
      <c r="H912" s="593" t="s">
        <v>6240</v>
      </c>
      <c r="I912" s="637" t="s">
        <v>6215</v>
      </c>
      <c r="J912" s="1242"/>
      <c r="K912" s="1341"/>
    </row>
    <row r="913" spans="1:11">
      <c r="A913" s="528" t="s">
        <v>8879</v>
      </c>
      <c r="B913" s="643" t="s">
        <v>45</v>
      </c>
      <c r="C913" s="648" t="s">
        <v>6268</v>
      </c>
      <c r="D913" s="503" t="s">
        <v>127</v>
      </c>
      <c r="E913" s="384">
        <v>1</v>
      </c>
      <c r="F913" s="482">
        <v>3</v>
      </c>
      <c r="G913" s="486" t="s">
        <v>6244</v>
      </c>
      <c r="H913" s="593" t="s">
        <v>6243</v>
      </c>
      <c r="I913" s="637" t="s">
        <v>6215</v>
      </c>
      <c r="J913" s="1242"/>
      <c r="K913" s="1341"/>
    </row>
    <row r="914" spans="1:11">
      <c r="A914" s="529" t="s">
        <v>8879</v>
      </c>
      <c r="B914" s="644" t="s">
        <v>45</v>
      </c>
      <c r="C914" s="649" t="s">
        <v>6268</v>
      </c>
      <c r="D914" s="506" t="s">
        <v>127</v>
      </c>
      <c r="E914" s="493">
        <v>1</v>
      </c>
      <c r="F914" s="501">
        <v>11111111111</v>
      </c>
      <c r="G914" s="502" t="s">
        <v>422</v>
      </c>
      <c r="H914" s="594" t="s">
        <v>2714</v>
      </c>
      <c r="I914" s="638" t="s">
        <v>6215</v>
      </c>
      <c r="J914" s="1251"/>
      <c r="K914" s="1342"/>
    </row>
    <row r="915" spans="1:11">
      <c r="A915" s="426" t="s">
        <v>8879</v>
      </c>
      <c r="B915" s="569" t="s">
        <v>37</v>
      </c>
      <c r="C915" s="630" t="s">
        <v>6271</v>
      </c>
      <c r="D915" s="414" t="s">
        <v>187</v>
      </c>
      <c r="E915" s="492">
        <v>1</v>
      </c>
      <c r="F915" s="481">
        <v>1</v>
      </c>
      <c r="G915" s="485" t="s">
        <v>4357</v>
      </c>
      <c r="H915" s="620" t="s">
        <v>4357</v>
      </c>
      <c r="I915" s="633" t="s">
        <v>6215</v>
      </c>
      <c r="J915" s="1241" t="s">
        <v>6294</v>
      </c>
      <c r="K915" s="1330" t="s">
        <v>5</v>
      </c>
    </row>
    <row r="916" spans="1:11">
      <c r="A916" s="428" t="s">
        <v>8879</v>
      </c>
      <c r="B916" s="570" t="s">
        <v>37</v>
      </c>
      <c r="C916" s="631" t="s">
        <v>6271</v>
      </c>
      <c r="D916" s="413" t="s">
        <v>187</v>
      </c>
      <c r="E916" s="384">
        <v>1</v>
      </c>
      <c r="F916" s="482">
        <v>2</v>
      </c>
      <c r="G916" s="486" t="s">
        <v>4359</v>
      </c>
      <c r="H916" s="593" t="s">
        <v>4359</v>
      </c>
      <c r="I916" s="634" t="s">
        <v>6215</v>
      </c>
      <c r="J916" s="1242"/>
      <c r="K916" s="1331"/>
    </row>
    <row r="917" spans="1:11">
      <c r="A917" s="428" t="s">
        <v>8879</v>
      </c>
      <c r="B917" s="570" t="s">
        <v>37</v>
      </c>
      <c r="C917" s="631" t="s">
        <v>6271</v>
      </c>
      <c r="D917" s="413" t="s">
        <v>187</v>
      </c>
      <c r="E917" s="384">
        <v>1</v>
      </c>
      <c r="F917" s="482">
        <v>3</v>
      </c>
      <c r="G917" s="486" t="s">
        <v>4360</v>
      </c>
      <c r="H917" s="593" t="s">
        <v>4361</v>
      </c>
      <c r="I917" s="634" t="s">
        <v>6215</v>
      </c>
      <c r="J917" s="1242"/>
      <c r="K917" s="1331"/>
    </row>
    <row r="918" spans="1:11">
      <c r="A918" s="430" t="s">
        <v>8879</v>
      </c>
      <c r="B918" s="571" t="s">
        <v>37</v>
      </c>
      <c r="C918" s="605" t="s">
        <v>6271</v>
      </c>
      <c r="D918" s="425" t="s">
        <v>187</v>
      </c>
      <c r="E918" s="493">
        <v>1</v>
      </c>
      <c r="F918" s="501">
        <v>4</v>
      </c>
      <c r="G918" s="502" t="s">
        <v>4362</v>
      </c>
      <c r="H918" s="594" t="s">
        <v>4362</v>
      </c>
      <c r="I918" s="632" t="s">
        <v>6215</v>
      </c>
      <c r="J918" s="1251"/>
      <c r="K918" s="1332"/>
    </row>
    <row r="919" spans="1:11">
      <c r="A919" s="526" t="s">
        <v>8879</v>
      </c>
      <c r="B919" s="569" t="s">
        <v>45</v>
      </c>
      <c r="C919" s="630" t="s">
        <v>6268</v>
      </c>
      <c r="D919" s="414" t="s">
        <v>128</v>
      </c>
      <c r="E919" s="492">
        <v>1</v>
      </c>
      <c r="F919" s="481" t="s">
        <v>6277</v>
      </c>
      <c r="G919" s="485" t="s">
        <v>6278</v>
      </c>
      <c r="H919" s="620" t="s">
        <v>6278</v>
      </c>
      <c r="I919" s="630"/>
      <c r="J919" s="1241" t="s">
        <v>6295</v>
      </c>
      <c r="K919" s="1327" t="s">
        <v>5</v>
      </c>
    </row>
    <row r="920" spans="1:11">
      <c r="A920" s="529" t="s">
        <v>8879</v>
      </c>
      <c r="B920" s="571" t="s">
        <v>45</v>
      </c>
      <c r="C920" s="605" t="s">
        <v>6268</v>
      </c>
      <c r="D920" s="425" t="s">
        <v>128</v>
      </c>
      <c r="E920" s="493">
        <v>1</v>
      </c>
      <c r="F920" s="501" t="s">
        <v>6280</v>
      </c>
      <c r="G920" s="502" t="s">
        <v>6281</v>
      </c>
      <c r="H920" s="594" t="s">
        <v>6281</v>
      </c>
      <c r="I920" s="605"/>
      <c r="J920" s="1251"/>
      <c r="K920" s="1329"/>
    </row>
    <row r="921" spans="1:11">
      <c r="A921" s="426" t="s">
        <v>8879</v>
      </c>
      <c r="B921" s="569" t="s">
        <v>8883</v>
      </c>
      <c r="C921" s="630" t="s">
        <v>6268</v>
      </c>
      <c r="D921" s="414" t="s">
        <v>129</v>
      </c>
      <c r="E921" s="492">
        <v>1</v>
      </c>
      <c r="F921" s="481">
        <v>1</v>
      </c>
      <c r="G921" s="485" t="s">
        <v>2776</v>
      </c>
      <c r="H921" s="620" t="s">
        <v>2776</v>
      </c>
      <c r="I921" s="630"/>
      <c r="J921" s="1241" t="s">
        <v>6296</v>
      </c>
      <c r="K921" s="1330" t="s">
        <v>5</v>
      </c>
    </row>
    <row r="922" spans="1:11">
      <c r="A922" s="430" t="s">
        <v>8879</v>
      </c>
      <c r="B922" s="571" t="s">
        <v>8883</v>
      </c>
      <c r="C922" s="605" t="s">
        <v>6268</v>
      </c>
      <c r="D922" s="425" t="s">
        <v>129</v>
      </c>
      <c r="E922" s="493">
        <v>1</v>
      </c>
      <c r="F922" s="501">
        <v>2</v>
      </c>
      <c r="G922" s="502" t="s">
        <v>6297</v>
      </c>
      <c r="H922" s="594" t="s">
        <v>6297</v>
      </c>
      <c r="I922" s="605"/>
      <c r="J922" s="1251"/>
      <c r="K922" s="1332"/>
    </row>
    <row r="923" spans="1:11">
      <c r="A923" s="426" t="s">
        <v>8879</v>
      </c>
      <c r="B923" s="569" t="s">
        <v>8880</v>
      </c>
      <c r="C923" s="630" t="s">
        <v>6268</v>
      </c>
      <c r="D923" s="414" t="s">
        <v>82</v>
      </c>
      <c r="E923" s="492">
        <v>1</v>
      </c>
      <c r="F923" s="481">
        <v>1</v>
      </c>
      <c r="G923" s="485" t="s">
        <v>2766</v>
      </c>
      <c r="H923" s="620" t="s">
        <v>2766</v>
      </c>
      <c r="I923" s="630"/>
      <c r="J923" s="1241" t="s">
        <v>6298</v>
      </c>
      <c r="K923" s="1330" t="s">
        <v>5</v>
      </c>
    </row>
    <row r="924" spans="1:11">
      <c r="A924" s="430" t="s">
        <v>8879</v>
      </c>
      <c r="B924" s="571" t="s">
        <v>8880</v>
      </c>
      <c r="C924" s="605" t="s">
        <v>6268</v>
      </c>
      <c r="D924" s="425" t="s">
        <v>82</v>
      </c>
      <c r="E924" s="493">
        <v>1</v>
      </c>
      <c r="F924" s="501">
        <v>11</v>
      </c>
      <c r="G924" s="502" t="s">
        <v>2764</v>
      </c>
      <c r="H924" s="594" t="s">
        <v>6299</v>
      </c>
      <c r="I924" s="605"/>
      <c r="J924" s="1251"/>
      <c r="K924" s="1332"/>
    </row>
    <row r="925" spans="1:11">
      <c r="A925" s="526" t="s">
        <v>8879</v>
      </c>
      <c r="B925" s="569" t="s">
        <v>8881</v>
      </c>
      <c r="C925" s="630" t="s">
        <v>6268</v>
      </c>
      <c r="D925" s="414" t="s">
        <v>131</v>
      </c>
      <c r="E925" s="492">
        <v>1</v>
      </c>
      <c r="F925" s="481" t="s">
        <v>6277</v>
      </c>
      <c r="G925" s="485" t="s">
        <v>6278</v>
      </c>
      <c r="H925" s="620" t="s">
        <v>6278</v>
      </c>
      <c r="I925" s="630"/>
      <c r="J925" s="1241" t="s">
        <v>6300</v>
      </c>
      <c r="K925" s="1327" t="s">
        <v>5</v>
      </c>
    </row>
    <row r="926" spans="1:11">
      <c r="A926" s="529" t="s">
        <v>8879</v>
      </c>
      <c r="B926" s="571" t="s">
        <v>8881</v>
      </c>
      <c r="C926" s="605" t="s">
        <v>6268</v>
      </c>
      <c r="D926" s="425" t="s">
        <v>131</v>
      </c>
      <c r="E926" s="493">
        <v>1</v>
      </c>
      <c r="F926" s="501" t="s">
        <v>6280</v>
      </c>
      <c r="G926" s="502" t="s">
        <v>6281</v>
      </c>
      <c r="H926" s="594" t="s">
        <v>6281</v>
      </c>
      <c r="I926" s="605"/>
      <c r="J926" s="1251"/>
      <c r="K926" s="1329"/>
    </row>
    <row r="927" spans="1:11">
      <c r="A927" s="426" t="s">
        <v>8879</v>
      </c>
      <c r="B927" s="569" t="s">
        <v>8880</v>
      </c>
      <c r="C927" s="630" t="s">
        <v>6301</v>
      </c>
      <c r="D927" s="414" t="s">
        <v>219</v>
      </c>
      <c r="E927" s="492">
        <v>1</v>
      </c>
      <c r="F927" s="481">
        <v>1</v>
      </c>
      <c r="G927" s="485" t="s">
        <v>2788</v>
      </c>
      <c r="H927" s="620" t="s">
        <v>2788</v>
      </c>
      <c r="I927" s="630" t="s">
        <v>2221</v>
      </c>
      <c r="J927" s="1241" t="s">
        <v>6302</v>
      </c>
      <c r="K927" s="1330" t="s">
        <v>5</v>
      </c>
    </row>
    <row r="928" spans="1:11">
      <c r="A928" s="428" t="s">
        <v>8879</v>
      </c>
      <c r="B928" s="570" t="s">
        <v>8880</v>
      </c>
      <c r="C928" s="631" t="s">
        <v>6301</v>
      </c>
      <c r="D928" s="413" t="s">
        <v>219</v>
      </c>
      <c r="E928" s="384">
        <v>1</v>
      </c>
      <c r="F928" s="482">
        <v>2</v>
      </c>
      <c r="G928" s="486" t="s">
        <v>2790</v>
      </c>
      <c r="H928" s="593" t="s">
        <v>2790</v>
      </c>
      <c r="I928" s="631" t="s">
        <v>2221</v>
      </c>
      <c r="J928" s="1242"/>
      <c r="K928" s="1331"/>
    </row>
    <row r="929" spans="1:11">
      <c r="A929" s="428" t="s">
        <v>8879</v>
      </c>
      <c r="B929" s="570" t="s">
        <v>8880</v>
      </c>
      <c r="C929" s="631" t="s">
        <v>6301</v>
      </c>
      <c r="D929" s="413" t="s">
        <v>219</v>
      </c>
      <c r="E929" s="384">
        <v>1</v>
      </c>
      <c r="F929" s="482">
        <v>3</v>
      </c>
      <c r="G929" s="486" t="s">
        <v>6303</v>
      </c>
      <c r="H929" s="593" t="s">
        <v>2792</v>
      </c>
      <c r="I929" s="631" t="s">
        <v>6304</v>
      </c>
      <c r="J929" s="1242"/>
      <c r="K929" s="1331"/>
    </row>
    <row r="930" spans="1:11">
      <c r="A930" s="428" t="s">
        <v>8879</v>
      </c>
      <c r="B930" s="570" t="s">
        <v>8880</v>
      </c>
      <c r="C930" s="631" t="s">
        <v>6301</v>
      </c>
      <c r="D930" s="413" t="s">
        <v>219</v>
      </c>
      <c r="E930" s="384">
        <v>1</v>
      </c>
      <c r="F930" s="576">
        <v>4</v>
      </c>
      <c r="G930" s="577" t="s">
        <v>2793</v>
      </c>
      <c r="H930" s="622" t="s">
        <v>2793</v>
      </c>
      <c r="I930" s="639" t="s">
        <v>6305</v>
      </c>
      <c r="J930" s="1242"/>
      <c r="K930" s="1331"/>
    </row>
    <row r="931" spans="1:11">
      <c r="A931" s="430" t="s">
        <v>8879</v>
      </c>
      <c r="B931" s="571" t="s">
        <v>8880</v>
      </c>
      <c r="C931" s="605" t="s">
        <v>6301</v>
      </c>
      <c r="D931" s="425" t="s">
        <v>219</v>
      </c>
      <c r="E931" s="493">
        <v>1</v>
      </c>
      <c r="F931" s="501">
        <v>5</v>
      </c>
      <c r="G931" s="502" t="s">
        <v>2795</v>
      </c>
      <c r="H931" s="594" t="s">
        <v>2796</v>
      </c>
      <c r="I931" s="605" t="s">
        <v>2221</v>
      </c>
      <c r="J931" s="1251"/>
      <c r="K931" s="1332"/>
    </row>
    <row r="932" spans="1:11">
      <c r="A932" s="426" t="s">
        <v>8879</v>
      </c>
      <c r="B932" s="569" t="s">
        <v>31</v>
      </c>
      <c r="C932" s="630" t="s">
        <v>6268</v>
      </c>
      <c r="D932" s="414" t="s">
        <v>97</v>
      </c>
      <c r="E932" s="492">
        <v>1</v>
      </c>
      <c r="F932" s="481">
        <v>1</v>
      </c>
      <c r="G932" s="485" t="s">
        <v>2296</v>
      </c>
      <c r="H932" s="620" t="s">
        <v>2300</v>
      </c>
      <c r="I932" s="630"/>
      <c r="J932" s="1241" t="s">
        <v>6306</v>
      </c>
      <c r="K932" s="1330" t="s">
        <v>5</v>
      </c>
    </row>
    <row r="933" spans="1:11">
      <c r="A933" s="428" t="s">
        <v>8879</v>
      </c>
      <c r="B933" s="570" t="s">
        <v>31</v>
      </c>
      <c r="C933" s="631" t="s">
        <v>6268</v>
      </c>
      <c r="D933" s="413" t="s">
        <v>97</v>
      </c>
      <c r="E933" s="384">
        <v>1</v>
      </c>
      <c r="F933" s="482">
        <v>4</v>
      </c>
      <c r="G933" s="486" t="s">
        <v>2282</v>
      </c>
      <c r="H933" s="593" t="s">
        <v>2282</v>
      </c>
      <c r="I933" s="631"/>
      <c r="J933" s="1242"/>
      <c r="K933" s="1331"/>
    </row>
    <row r="934" spans="1:11">
      <c r="A934" s="428" t="s">
        <v>8879</v>
      </c>
      <c r="B934" s="570" t="s">
        <v>31</v>
      </c>
      <c r="C934" s="631" t="s">
        <v>6268</v>
      </c>
      <c r="D934" s="413" t="s">
        <v>97</v>
      </c>
      <c r="E934" s="384">
        <v>1</v>
      </c>
      <c r="F934" s="482">
        <v>8</v>
      </c>
      <c r="G934" s="486" t="s">
        <v>2296</v>
      </c>
      <c r="H934" s="593" t="s">
        <v>2297</v>
      </c>
      <c r="I934" s="631"/>
      <c r="J934" s="1242"/>
      <c r="K934" s="1331"/>
    </row>
    <row r="935" spans="1:11">
      <c r="A935" s="428" t="s">
        <v>8879</v>
      </c>
      <c r="B935" s="570" t="s">
        <v>31</v>
      </c>
      <c r="C935" s="631" t="s">
        <v>6268</v>
      </c>
      <c r="D935" s="413" t="s">
        <v>97</v>
      </c>
      <c r="E935" s="384">
        <v>1</v>
      </c>
      <c r="F935" s="482">
        <v>15</v>
      </c>
      <c r="G935" s="486" t="s">
        <v>2267</v>
      </c>
      <c r="H935" s="593" t="s">
        <v>2655</v>
      </c>
      <c r="I935" s="634" t="s">
        <v>6215</v>
      </c>
      <c r="J935" s="1242"/>
      <c r="K935" s="1331"/>
    </row>
    <row r="936" spans="1:11">
      <c r="A936" s="428" t="s">
        <v>8879</v>
      </c>
      <c r="B936" s="570" t="s">
        <v>31</v>
      </c>
      <c r="C936" s="631" t="s">
        <v>6268</v>
      </c>
      <c r="D936" s="413" t="s">
        <v>97</v>
      </c>
      <c r="E936" s="384">
        <v>1</v>
      </c>
      <c r="F936" s="482">
        <v>18</v>
      </c>
      <c r="G936" s="486" t="s">
        <v>2296</v>
      </c>
      <c r="H936" s="593" t="s">
        <v>2298</v>
      </c>
      <c r="I936" s="631"/>
      <c r="J936" s="1242"/>
      <c r="K936" s="1331"/>
    </row>
    <row r="937" spans="1:11">
      <c r="A937" s="428" t="s">
        <v>8879</v>
      </c>
      <c r="B937" s="570" t="s">
        <v>31</v>
      </c>
      <c r="C937" s="631" t="s">
        <v>6268</v>
      </c>
      <c r="D937" s="413" t="s">
        <v>97</v>
      </c>
      <c r="E937" s="384">
        <v>1</v>
      </c>
      <c r="F937" s="482">
        <v>19</v>
      </c>
      <c r="G937" s="486" t="s">
        <v>2296</v>
      </c>
      <c r="H937" s="593" t="s">
        <v>2299</v>
      </c>
      <c r="I937" s="631"/>
      <c r="J937" s="1242"/>
      <c r="K937" s="1331"/>
    </row>
    <row r="938" spans="1:11">
      <c r="A938" s="430" t="s">
        <v>8879</v>
      </c>
      <c r="B938" s="571" t="s">
        <v>31</v>
      </c>
      <c r="C938" s="605" t="s">
        <v>6268</v>
      </c>
      <c r="D938" s="425" t="s">
        <v>97</v>
      </c>
      <c r="E938" s="493">
        <v>1</v>
      </c>
      <c r="F938" s="501">
        <v>22</v>
      </c>
      <c r="G938" s="502" t="s">
        <v>6233</v>
      </c>
      <c r="H938" s="594" t="s">
        <v>2657</v>
      </c>
      <c r="I938" s="605"/>
      <c r="J938" s="1251"/>
      <c r="K938" s="1332"/>
    </row>
    <row r="939" spans="1:11">
      <c r="A939" s="426" t="s">
        <v>8879</v>
      </c>
      <c r="B939" s="569" t="s">
        <v>45</v>
      </c>
      <c r="C939" s="630" t="s">
        <v>6268</v>
      </c>
      <c r="D939" s="414" t="s">
        <v>97</v>
      </c>
      <c r="E939" s="492">
        <v>2</v>
      </c>
      <c r="F939" s="481">
        <v>1</v>
      </c>
      <c r="G939" s="485" t="s">
        <v>6307</v>
      </c>
      <c r="H939" s="620" t="s">
        <v>2300</v>
      </c>
      <c r="I939" s="630"/>
      <c r="J939" s="1241" t="s">
        <v>6308</v>
      </c>
      <c r="K939" s="1330" t="s">
        <v>5</v>
      </c>
    </row>
    <row r="940" spans="1:11">
      <c r="A940" s="428" t="s">
        <v>8879</v>
      </c>
      <c r="B940" s="570" t="s">
        <v>45</v>
      </c>
      <c r="C940" s="631" t="s">
        <v>6268</v>
      </c>
      <c r="D940" s="413" t="s">
        <v>97</v>
      </c>
      <c r="E940" s="384">
        <v>2</v>
      </c>
      <c r="F940" s="482">
        <v>4</v>
      </c>
      <c r="G940" s="486" t="s">
        <v>6309</v>
      </c>
      <c r="H940" s="593" t="s">
        <v>2282</v>
      </c>
      <c r="I940" s="631"/>
      <c r="J940" s="1242"/>
      <c r="K940" s="1331"/>
    </row>
    <row r="941" spans="1:11">
      <c r="A941" s="428" t="s">
        <v>8879</v>
      </c>
      <c r="B941" s="570" t="s">
        <v>45</v>
      </c>
      <c r="C941" s="631" t="s">
        <v>6268</v>
      </c>
      <c r="D941" s="413" t="s">
        <v>97</v>
      </c>
      <c r="E941" s="384">
        <v>2</v>
      </c>
      <c r="F941" s="482">
        <v>8</v>
      </c>
      <c r="G941" s="486" t="s">
        <v>6310</v>
      </c>
      <c r="H941" s="593" t="s">
        <v>2297</v>
      </c>
      <c r="I941" s="631"/>
      <c r="J941" s="1242"/>
      <c r="K941" s="1331"/>
    </row>
    <row r="942" spans="1:11">
      <c r="A942" s="428" t="s">
        <v>8879</v>
      </c>
      <c r="B942" s="570" t="s">
        <v>45</v>
      </c>
      <c r="C942" s="631" t="s">
        <v>6268</v>
      </c>
      <c r="D942" s="413" t="s">
        <v>97</v>
      </c>
      <c r="E942" s="384">
        <v>2</v>
      </c>
      <c r="F942" s="482">
        <v>15</v>
      </c>
      <c r="G942" s="486" t="s">
        <v>6309</v>
      </c>
      <c r="H942" s="593" t="s">
        <v>2655</v>
      </c>
      <c r="I942" s="634" t="s">
        <v>6215</v>
      </c>
      <c r="J942" s="1242"/>
      <c r="K942" s="1331"/>
    </row>
    <row r="943" spans="1:11">
      <c r="A943" s="428" t="s">
        <v>8879</v>
      </c>
      <c r="B943" s="570" t="s">
        <v>45</v>
      </c>
      <c r="C943" s="631" t="s">
        <v>6268</v>
      </c>
      <c r="D943" s="413" t="s">
        <v>97</v>
      </c>
      <c r="E943" s="384">
        <v>2</v>
      </c>
      <c r="F943" s="482">
        <v>18</v>
      </c>
      <c r="G943" s="486" t="s">
        <v>6309</v>
      </c>
      <c r="H943" s="593" t="s">
        <v>2298</v>
      </c>
      <c r="I943" s="631"/>
      <c r="J943" s="1242"/>
      <c r="K943" s="1331"/>
    </row>
    <row r="944" spans="1:11">
      <c r="A944" s="428" t="s">
        <v>8879</v>
      </c>
      <c r="B944" s="570" t="s">
        <v>45</v>
      </c>
      <c r="C944" s="631" t="s">
        <v>6268</v>
      </c>
      <c r="D944" s="413" t="s">
        <v>97</v>
      </c>
      <c r="E944" s="384">
        <v>2</v>
      </c>
      <c r="F944" s="482">
        <v>19</v>
      </c>
      <c r="G944" s="486" t="s">
        <v>6311</v>
      </c>
      <c r="H944" s="593" t="s">
        <v>2299</v>
      </c>
      <c r="I944" s="631"/>
      <c r="J944" s="1242"/>
      <c r="K944" s="1331"/>
    </row>
    <row r="945" spans="1:11">
      <c r="A945" s="430" t="s">
        <v>8879</v>
      </c>
      <c r="B945" s="571" t="s">
        <v>45</v>
      </c>
      <c r="C945" s="605" t="s">
        <v>6268</v>
      </c>
      <c r="D945" s="425" t="s">
        <v>97</v>
      </c>
      <c r="E945" s="493">
        <v>2</v>
      </c>
      <c r="F945" s="501">
        <v>22</v>
      </c>
      <c r="G945" s="502" t="s">
        <v>6309</v>
      </c>
      <c r="H945" s="594" t="s">
        <v>2657</v>
      </c>
      <c r="I945" s="605"/>
      <c r="J945" s="1251"/>
      <c r="K945" s="1332"/>
    </row>
    <row r="946" spans="1:11">
      <c r="A946" s="426" t="s">
        <v>8879</v>
      </c>
      <c r="B946" s="569" t="s">
        <v>31</v>
      </c>
      <c r="C946" s="630" t="s">
        <v>6268</v>
      </c>
      <c r="D946" s="414" t="s">
        <v>134</v>
      </c>
      <c r="E946" s="492">
        <v>1</v>
      </c>
      <c r="F946" s="481">
        <v>1</v>
      </c>
      <c r="G946" s="485" t="s">
        <v>2729</v>
      </c>
      <c r="H946" s="620" t="s">
        <v>2730</v>
      </c>
      <c r="I946" s="606" t="s">
        <v>6215</v>
      </c>
      <c r="J946" s="1241" t="s">
        <v>6312</v>
      </c>
      <c r="K946" s="1330" t="s">
        <v>5</v>
      </c>
    </row>
    <row r="947" spans="1:11">
      <c r="A947" s="428" t="s">
        <v>8879</v>
      </c>
      <c r="B947" s="570" t="s">
        <v>31</v>
      </c>
      <c r="C947" s="631" t="s">
        <v>6268</v>
      </c>
      <c r="D947" s="413" t="s">
        <v>134</v>
      </c>
      <c r="E947" s="384">
        <v>1</v>
      </c>
      <c r="F947" s="482">
        <v>5</v>
      </c>
      <c r="G947" s="486" t="s">
        <v>2734</v>
      </c>
      <c r="H947" s="593" t="s">
        <v>2735</v>
      </c>
      <c r="I947" s="634" t="s">
        <v>6215</v>
      </c>
      <c r="J947" s="1242"/>
      <c r="K947" s="1331"/>
    </row>
    <row r="948" spans="1:11">
      <c r="A948" s="428" t="s">
        <v>8879</v>
      </c>
      <c r="B948" s="570" t="s">
        <v>31</v>
      </c>
      <c r="C948" s="631" t="s">
        <v>6268</v>
      </c>
      <c r="D948" s="413" t="s">
        <v>134</v>
      </c>
      <c r="E948" s="384">
        <v>1</v>
      </c>
      <c r="F948" s="482">
        <v>7</v>
      </c>
      <c r="G948" s="486" t="s">
        <v>2737</v>
      </c>
      <c r="H948" s="593" t="s">
        <v>2738</v>
      </c>
      <c r="I948" s="634" t="s">
        <v>6215</v>
      </c>
      <c r="J948" s="1242"/>
      <c r="K948" s="1331"/>
    </row>
    <row r="949" spans="1:11">
      <c r="A949" s="428" t="s">
        <v>8879</v>
      </c>
      <c r="B949" s="570" t="s">
        <v>31</v>
      </c>
      <c r="C949" s="631" t="s">
        <v>6268</v>
      </c>
      <c r="D949" s="413" t="s">
        <v>134</v>
      </c>
      <c r="E949" s="384">
        <v>1</v>
      </c>
      <c r="F949" s="482">
        <v>8</v>
      </c>
      <c r="G949" s="486" t="s">
        <v>2740</v>
      </c>
      <c r="H949" s="593" t="s">
        <v>2741</v>
      </c>
      <c r="I949" s="634" t="s">
        <v>6215</v>
      </c>
      <c r="J949" s="1242"/>
      <c r="K949" s="1331"/>
    </row>
    <row r="950" spans="1:11">
      <c r="A950" s="428" t="s">
        <v>8879</v>
      </c>
      <c r="B950" s="570" t="s">
        <v>31</v>
      </c>
      <c r="C950" s="631" t="s">
        <v>6268</v>
      </c>
      <c r="D950" s="413" t="s">
        <v>134</v>
      </c>
      <c r="E950" s="384">
        <v>1</v>
      </c>
      <c r="F950" s="482">
        <v>9</v>
      </c>
      <c r="G950" s="486" t="s">
        <v>2750</v>
      </c>
      <c r="H950" s="593" t="s">
        <v>6314</v>
      </c>
      <c r="I950" s="634" t="s">
        <v>6315</v>
      </c>
      <c r="J950" s="1242"/>
      <c r="K950" s="1331"/>
    </row>
    <row r="951" spans="1:11">
      <c r="A951" s="428" t="s">
        <v>8879</v>
      </c>
      <c r="B951" s="570" t="s">
        <v>31</v>
      </c>
      <c r="C951" s="631" t="s">
        <v>6268</v>
      </c>
      <c r="D951" s="413" t="s">
        <v>134</v>
      </c>
      <c r="E951" s="384">
        <v>1</v>
      </c>
      <c r="F951" s="482">
        <v>10</v>
      </c>
      <c r="G951" s="486" t="s">
        <v>2752</v>
      </c>
      <c r="H951" s="593" t="s">
        <v>6317</v>
      </c>
      <c r="I951" s="634" t="s">
        <v>6315</v>
      </c>
      <c r="J951" s="1242"/>
      <c r="K951" s="1331"/>
    </row>
    <row r="952" spans="1:11">
      <c r="A952" s="428" t="s">
        <v>8879</v>
      </c>
      <c r="B952" s="570" t="s">
        <v>31</v>
      </c>
      <c r="C952" s="631" t="s">
        <v>6268</v>
      </c>
      <c r="D952" s="413" t="s">
        <v>134</v>
      </c>
      <c r="E952" s="384">
        <v>1</v>
      </c>
      <c r="F952" s="482">
        <v>11</v>
      </c>
      <c r="G952" s="486" t="s">
        <v>2754</v>
      </c>
      <c r="H952" s="593" t="s">
        <v>6319</v>
      </c>
      <c r="I952" s="634" t="s">
        <v>6315</v>
      </c>
      <c r="J952" s="1242"/>
      <c r="K952" s="1331"/>
    </row>
    <row r="953" spans="1:11">
      <c r="A953" s="428" t="s">
        <v>8879</v>
      </c>
      <c r="B953" s="570" t="s">
        <v>31</v>
      </c>
      <c r="C953" s="631" t="s">
        <v>6268</v>
      </c>
      <c r="D953" s="413" t="s">
        <v>134</v>
      </c>
      <c r="E953" s="384">
        <v>1</v>
      </c>
      <c r="F953" s="482">
        <v>12</v>
      </c>
      <c r="G953" s="486" t="s">
        <v>2756</v>
      </c>
      <c r="H953" s="593" t="s">
        <v>6321</v>
      </c>
      <c r="I953" s="634" t="s">
        <v>6315</v>
      </c>
      <c r="J953" s="1242"/>
      <c r="K953" s="1331"/>
    </row>
    <row r="954" spans="1:11">
      <c r="A954" s="430" t="s">
        <v>8879</v>
      </c>
      <c r="B954" s="571" t="s">
        <v>31</v>
      </c>
      <c r="C954" s="605" t="s">
        <v>6268</v>
      </c>
      <c r="D954" s="425" t="s">
        <v>134</v>
      </c>
      <c r="E954" s="493">
        <v>1</v>
      </c>
      <c r="F954" s="501">
        <v>13</v>
      </c>
      <c r="G954" s="502" t="s">
        <v>2744</v>
      </c>
      <c r="H954" s="594" t="s">
        <v>2745</v>
      </c>
      <c r="I954" s="632" t="s">
        <v>6215</v>
      </c>
      <c r="J954" s="1251"/>
      <c r="K954" s="1332"/>
    </row>
    <row r="955" spans="1:11">
      <c r="A955" s="426" t="s">
        <v>8879</v>
      </c>
      <c r="B955" s="569" t="s">
        <v>31</v>
      </c>
      <c r="C955" s="630" t="s">
        <v>6268</v>
      </c>
      <c r="D955" s="414" t="s">
        <v>83</v>
      </c>
      <c r="E955" s="492">
        <v>1</v>
      </c>
      <c r="F955" s="481">
        <v>1</v>
      </c>
      <c r="G955" s="485" t="s">
        <v>2276</v>
      </c>
      <c r="H955" s="620" t="s">
        <v>2276</v>
      </c>
      <c r="I955" s="630" t="s">
        <v>2221</v>
      </c>
      <c r="J955" s="1255" t="s">
        <v>6322</v>
      </c>
      <c r="K955" s="1330" t="s">
        <v>5</v>
      </c>
    </row>
    <row r="956" spans="1:11">
      <c r="A956" s="428" t="s">
        <v>8879</v>
      </c>
      <c r="B956" s="570" t="s">
        <v>31</v>
      </c>
      <c r="C956" s="631" t="s">
        <v>6268</v>
      </c>
      <c r="D956" s="413" t="s">
        <v>83</v>
      </c>
      <c r="E956" s="384">
        <v>1</v>
      </c>
      <c r="F956" s="482">
        <v>2</v>
      </c>
      <c r="G956" s="486" t="s">
        <v>2289</v>
      </c>
      <c r="H956" s="593" t="s">
        <v>2289</v>
      </c>
      <c r="I956" s="631" t="s">
        <v>2221</v>
      </c>
      <c r="J956" s="1256"/>
      <c r="K956" s="1331"/>
    </row>
    <row r="957" spans="1:11">
      <c r="A957" s="428" t="s">
        <v>8879</v>
      </c>
      <c r="B957" s="570" t="s">
        <v>31</v>
      </c>
      <c r="C957" s="631" t="s">
        <v>6268</v>
      </c>
      <c r="D957" s="413" t="s">
        <v>83</v>
      </c>
      <c r="E957" s="384">
        <v>1</v>
      </c>
      <c r="F957" s="482">
        <v>3</v>
      </c>
      <c r="G957" s="486" t="s">
        <v>2278</v>
      </c>
      <c r="H957" s="593" t="s">
        <v>2278</v>
      </c>
      <c r="I957" s="631" t="s">
        <v>2221</v>
      </c>
      <c r="J957" s="1256"/>
      <c r="K957" s="1331"/>
    </row>
    <row r="958" spans="1:11">
      <c r="A958" s="428" t="s">
        <v>8879</v>
      </c>
      <c r="B958" s="570" t="s">
        <v>31</v>
      </c>
      <c r="C958" s="631" t="s">
        <v>6268</v>
      </c>
      <c r="D958" s="413" t="s">
        <v>83</v>
      </c>
      <c r="E958" s="384">
        <v>1</v>
      </c>
      <c r="F958" s="482">
        <v>4</v>
      </c>
      <c r="G958" s="486" t="s">
        <v>2282</v>
      </c>
      <c r="H958" s="593" t="s">
        <v>2282</v>
      </c>
      <c r="I958" s="631" t="s">
        <v>2221</v>
      </c>
      <c r="J958" s="1256"/>
      <c r="K958" s="1331"/>
    </row>
    <row r="959" spans="1:11">
      <c r="A959" s="430" t="s">
        <v>8879</v>
      </c>
      <c r="B959" s="571" t="s">
        <v>31</v>
      </c>
      <c r="C959" s="605" t="s">
        <v>6268</v>
      </c>
      <c r="D959" s="425" t="s">
        <v>83</v>
      </c>
      <c r="E959" s="493">
        <v>1</v>
      </c>
      <c r="F959" s="501">
        <v>5</v>
      </c>
      <c r="G959" s="502" t="s">
        <v>2267</v>
      </c>
      <c r="H959" s="594" t="s">
        <v>2279</v>
      </c>
      <c r="I959" s="605" t="s">
        <v>2221</v>
      </c>
      <c r="J959" s="1317"/>
      <c r="K959" s="1332"/>
    </row>
    <row r="960" spans="1:11">
      <c r="A960" s="426" t="s">
        <v>8879</v>
      </c>
      <c r="B960" s="601" t="s">
        <v>31</v>
      </c>
      <c r="C960" s="630" t="s">
        <v>6268</v>
      </c>
      <c r="D960" s="427" t="s">
        <v>84</v>
      </c>
      <c r="E960" s="492">
        <v>1</v>
      </c>
      <c r="F960" s="490">
        <v>20</v>
      </c>
      <c r="G960" s="487" t="s">
        <v>2263</v>
      </c>
      <c r="H960" s="623" t="s">
        <v>2264</v>
      </c>
      <c r="I960" s="606" t="s">
        <v>6215</v>
      </c>
      <c r="J960" s="1245" t="s">
        <v>6323</v>
      </c>
      <c r="K960" s="1337" t="s">
        <v>5</v>
      </c>
    </row>
    <row r="961" spans="1:11">
      <c r="A961" s="428" t="s">
        <v>8879</v>
      </c>
      <c r="B961" s="602" t="s">
        <v>31</v>
      </c>
      <c r="C961" s="631" t="s">
        <v>6268</v>
      </c>
      <c r="D961" s="424" t="s">
        <v>84</v>
      </c>
      <c r="E961" s="384">
        <v>1</v>
      </c>
      <c r="F961" s="491">
        <v>51</v>
      </c>
      <c r="G961" s="578" t="s">
        <v>2266</v>
      </c>
      <c r="H961" s="624" t="s">
        <v>2266</v>
      </c>
      <c r="I961" s="608" t="s">
        <v>6215</v>
      </c>
      <c r="J961" s="1246"/>
      <c r="K961" s="1338"/>
    </row>
    <row r="962" spans="1:11">
      <c r="A962" s="428" t="s">
        <v>8879</v>
      </c>
      <c r="B962" s="602" t="s">
        <v>31</v>
      </c>
      <c r="C962" s="631" t="s">
        <v>6268</v>
      </c>
      <c r="D962" s="424" t="s">
        <v>84</v>
      </c>
      <c r="E962" s="384">
        <v>1</v>
      </c>
      <c r="F962" s="491">
        <v>71</v>
      </c>
      <c r="G962" s="578" t="s">
        <v>2267</v>
      </c>
      <c r="H962" s="624" t="s">
        <v>2251</v>
      </c>
      <c r="I962" s="608" t="s">
        <v>6215</v>
      </c>
      <c r="J962" s="1246"/>
      <c r="K962" s="1338"/>
    </row>
    <row r="963" spans="1:11">
      <c r="A963" s="428" t="s">
        <v>8879</v>
      </c>
      <c r="B963" s="602" t="s">
        <v>31</v>
      </c>
      <c r="C963" s="631" t="s">
        <v>6268</v>
      </c>
      <c r="D963" s="424" t="s">
        <v>84</v>
      </c>
      <c r="E963" s="384">
        <v>1</v>
      </c>
      <c r="F963" s="491">
        <v>80</v>
      </c>
      <c r="G963" s="578" t="s">
        <v>2268</v>
      </c>
      <c r="H963" s="624" t="s">
        <v>2269</v>
      </c>
      <c r="I963" s="608" t="s">
        <v>6215</v>
      </c>
      <c r="J963" s="1246"/>
      <c r="K963" s="1338"/>
    </row>
    <row r="964" spans="1:11">
      <c r="A964" s="428" t="s">
        <v>8879</v>
      </c>
      <c r="B964" s="602" t="s">
        <v>31</v>
      </c>
      <c r="C964" s="631" t="s">
        <v>6268</v>
      </c>
      <c r="D964" s="424" t="s">
        <v>84</v>
      </c>
      <c r="E964" s="384">
        <v>1</v>
      </c>
      <c r="F964" s="491">
        <v>1000</v>
      </c>
      <c r="G964" s="578" t="s">
        <v>2267</v>
      </c>
      <c r="H964" s="624" t="s">
        <v>2270</v>
      </c>
      <c r="I964" s="608" t="s">
        <v>6215</v>
      </c>
      <c r="J964" s="1246"/>
      <c r="K964" s="1338"/>
    </row>
    <row r="965" spans="1:11">
      <c r="A965" s="428" t="s">
        <v>8879</v>
      </c>
      <c r="B965" s="602" t="s">
        <v>31</v>
      </c>
      <c r="C965" s="631" t="s">
        <v>6268</v>
      </c>
      <c r="D965" s="424" t="s">
        <v>84</v>
      </c>
      <c r="E965" s="384">
        <v>1</v>
      </c>
      <c r="F965" s="491">
        <v>1001</v>
      </c>
      <c r="G965" s="578" t="s">
        <v>2271</v>
      </c>
      <c r="H965" s="624" t="s">
        <v>2271</v>
      </c>
      <c r="I965" s="608" t="s">
        <v>6215</v>
      </c>
      <c r="J965" s="1246"/>
      <c r="K965" s="1338"/>
    </row>
    <row r="966" spans="1:11">
      <c r="A966" s="428" t="s">
        <v>8879</v>
      </c>
      <c r="B966" s="602" t="s">
        <v>31</v>
      </c>
      <c r="C966" s="631" t="s">
        <v>6268</v>
      </c>
      <c r="D966" s="424" t="s">
        <v>84</v>
      </c>
      <c r="E966" s="384">
        <v>1</v>
      </c>
      <c r="F966" s="491">
        <v>1002</v>
      </c>
      <c r="G966" s="578" t="s">
        <v>2272</v>
      </c>
      <c r="H966" s="624" t="s">
        <v>2272</v>
      </c>
      <c r="I966" s="608" t="s">
        <v>6215</v>
      </c>
      <c r="J966" s="1246"/>
      <c r="K966" s="1338"/>
    </row>
    <row r="967" spans="1:11">
      <c r="A967" s="428" t="s">
        <v>8879</v>
      </c>
      <c r="B967" s="602" t="s">
        <v>31</v>
      </c>
      <c r="C967" s="631" t="s">
        <v>6268</v>
      </c>
      <c r="D967" s="424" t="s">
        <v>84</v>
      </c>
      <c r="E967" s="384">
        <v>1</v>
      </c>
      <c r="F967" s="491">
        <v>1003</v>
      </c>
      <c r="G967" s="578" t="s">
        <v>2267</v>
      </c>
      <c r="H967" s="624" t="s">
        <v>2273</v>
      </c>
      <c r="I967" s="608" t="s">
        <v>6215</v>
      </c>
      <c r="J967" s="1246"/>
      <c r="K967" s="1338"/>
    </row>
    <row r="968" spans="1:11">
      <c r="A968" s="428" t="s">
        <v>8879</v>
      </c>
      <c r="B968" s="602" t="s">
        <v>31</v>
      </c>
      <c r="C968" s="631" t="s">
        <v>6268</v>
      </c>
      <c r="D968" s="424" t="s">
        <v>84</v>
      </c>
      <c r="E968" s="384">
        <v>1</v>
      </c>
      <c r="F968" s="491">
        <v>1004</v>
      </c>
      <c r="G968" s="578" t="s">
        <v>2274</v>
      </c>
      <c r="H968" s="624" t="s">
        <v>2275</v>
      </c>
      <c r="I968" s="608" t="s">
        <v>6215</v>
      </c>
      <c r="J968" s="1246"/>
      <c r="K968" s="1338"/>
    </row>
    <row r="969" spans="1:11">
      <c r="A969" s="428" t="s">
        <v>8879</v>
      </c>
      <c r="B969" s="602" t="s">
        <v>31</v>
      </c>
      <c r="C969" s="631" t="s">
        <v>6268</v>
      </c>
      <c r="D969" s="424" t="s">
        <v>84</v>
      </c>
      <c r="E969" s="384">
        <v>1</v>
      </c>
      <c r="F969" s="491">
        <v>1005</v>
      </c>
      <c r="G969" s="578" t="s">
        <v>2267</v>
      </c>
      <c r="H969" s="624" t="s">
        <v>45</v>
      </c>
      <c r="I969" s="604"/>
      <c r="J969" s="1246"/>
      <c r="K969" s="1338"/>
    </row>
    <row r="970" spans="1:11">
      <c r="A970" s="428" t="s">
        <v>8879</v>
      </c>
      <c r="B970" s="602" t="s">
        <v>31</v>
      </c>
      <c r="C970" s="631" t="s">
        <v>6268</v>
      </c>
      <c r="D970" s="424" t="s">
        <v>84</v>
      </c>
      <c r="E970" s="384">
        <v>1</v>
      </c>
      <c r="F970" s="491">
        <v>2001</v>
      </c>
      <c r="G970" s="578" t="s">
        <v>2267</v>
      </c>
      <c r="H970" s="624" t="s">
        <v>6324</v>
      </c>
      <c r="I970" s="604"/>
      <c r="J970" s="1246"/>
      <c r="K970" s="1338"/>
    </row>
    <row r="971" spans="1:11">
      <c r="A971" s="428" t="s">
        <v>8879</v>
      </c>
      <c r="B971" s="602" t="s">
        <v>31</v>
      </c>
      <c r="C971" s="631" t="s">
        <v>6268</v>
      </c>
      <c r="D971" s="424" t="s">
        <v>84</v>
      </c>
      <c r="E971" s="384">
        <v>1</v>
      </c>
      <c r="F971" s="491">
        <v>2002</v>
      </c>
      <c r="G971" s="578" t="s">
        <v>2267</v>
      </c>
      <c r="H971" s="624" t="s">
        <v>43</v>
      </c>
      <c r="I971" s="604"/>
      <c r="J971" s="1246"/>
      <c r="K971" s="1338"/>
    </row>
    <row r="972" spans="1:11">
      <c r="A972" s="428" t="s">
        <v>8879</v>
      </c>
      <c r="B972" s="602" t="s">
        <v>31</v>
      </c>
      <c r="C972" s="631" t="s">
        <v>6268</v>
      </c>
      <c r="D972" s="424" t="s">
        <v>84</v>
      </c>
      <c r="E972" s="384">
        <v>1</v>
      </c>
      <c r="F972" s="491">
        <v>2003</v>
      </c>
      <c r="G972" s="578" t="s">
        <v>2267</v>
      </c>
      <c r="H972" s="624" t="s">
        <v>6325</v>
      </c>
      <c r="I972" s="604"/>
      <c r="J972" s="1246"/>
      <c r="K972" s="1338"/>
    </row>
    <row r="973" spans="1:11">
      <c r="A973" s="428" t="s">
        <v>8879</v>
      </c>
      <c r="B973" s="602" t="s">
        <v>31</v>
      </c>
      <c r="C973" s="631" t="s">
        <v>6268</v>
      </c>
      <c r="D973" s="424" t="s">
        <v>84</v>
      </c>
      <c r="E973" s="384">
        <v>1</v>
      </c>
      <c r="F973" s="491">
        <v>2004</v>
      </c>
      <c r="G973" s="578" t="s">
        <v>2267</v>
      </c>
      <c r="H973" s="624" t="s">
        <v>6326</v>
      </c>
      <c r="I973" s="604"/>
      <c r="J973" s="1246"/>
      <c r="K973" s="1338"/>
    </row>
    <row r="974" spans="1:11">
      <c r="A974" s="428" t="s">
        <v>8879</v>
      </c>
      <c r="B974" s="602" t="s">
        <v>31</v>
      </c>
      <c r="C974" s="631" t="s">
        <v>6268</v>
      </c>
      <c r="D974" s="424" t="s">
        <v>84</v>
      </c>
      <c r="E974" s="384">
        <v>1</v>
      </c>
      <c r="F974" s="491">
        <v>2005</v>
      </c>
      <c r="G974" s="578" t="s">
        <v>2267</v>
      </c>
      <c r="H974" s="624" t="s">
        <v>6327</v>
      </c>
      <c r="I974" s="604"/>
      <c r="J974" s="1246"/>
      <c r="K974" s="1338"/>
    </row>
    <row r="975" spans="1:11">
      <c r="A975" s="428" t="s">
        <v>8879</v>
      </c>
      <c r="B975" s="602" t="s">
        <v>31</v>
      </c>
      <c r="C975" s="631" t="s">
        <v>6268</v>
      </c>
      <c r="D975" s="424" t="s">
        <v>84</v>
      </c>
      <c r="E975" s="384">
        <v>1</v>
      </c>
      <c r="F975" s="491">
        <v>2006</v>
      </c>
      <c r="G975" s="578" t="s">
        <v>2267</v>
      </c>
      <c r="H975" s="624" t="s">
        <v>47</v>
      </c>
      <c r="I975" s="604"/>
      <c r="J975" s="1246"/>
      <c r="K975" s="1338"/>
    </row>
    <row r="976" spans="1:11">
      <c r="A976" s="428" t="s">
        <v>8879</v>
      </c>
      <c r="B976" s="602" t="s">
        <v>31</v>
      </c>
      <c r="C976" s="631" t="s">
        <v>6268</v>
      </c>
      <c r="D976" s="424" t="s">
        <v>84</v>
      </c>
      <c r="E976" s="384">
        <v>1</v>
      </c>
      <c r="F976" s="491">
        <v>2007</v>
      </c>
      <c r="G976" s="578" t="s">
        <v>2267</v>
      </c>
      <c r="H976" s="624" t="s">
        <v>6328</v>
      </c>
      <c r="I976" s="604"/>
      <c r="J976" s="1246"/>
      <c r="K976" s="1338"/>
    </row>
    <row r="977" spans="1:11">
      <c r="A977" s="428" t="s">
        <v>8879</v>
      </c>
      <c r="B977" s="602" t="s">
        <v>31</v>
      </c>
      <c r="C977" s="631" t="s">
        <v>6268</v>
      </c>
      <c r="D977" s="424" t="s">
        <v>84</v>
      </c>
      <c r="E977" s="384">
        <v>1</v>
      </c>
      <c r="F977" s="491">
        <v>2008</v>
      </c>
      <c r="G977" s="578" t="s">
        <v>2267</v>
      </c>
      <c r="H977" s="624" t="s">
        <v>6329</v>
      </c>
      <c r="I977" s="604"/>
      <c r="J977" s="1246"/>
      <c r="K977" s="1338"/>
    </row>
    <row r="978" spans="1:11">
      <c r="A978" s="428" t="s">
        <v>8879</v>
      </c>
      <c r="B978" s="602" t="s">
        <v>31</v>
      </c>
      <c r="C978" s="631" t="s">
        <v>6268</v>
      </c>
      <c r="D978" s="424" t="s">
        <v>84</v>
      </c>
      <c r="E978" s="384">
        <v>1</v>
      </c>
      <c r="F978" s="491">
        <v>2009</v>
      </c>
      <c r="G978" s="578" t="s">
        <v>2267</v>
      </c>
      <c r="H978" s="624" t="s">
        <v>6330</v>
      </c>
      <c r="I978" s="604"/>
      <c r="J978" s="1246"/>
      <c r="K978" s="1338"/>
    </row>
    <row r="979" spans="1:11">
      <c r="A979" s="428" t="s">
        <v>8879</v>
      </c>
      <c r="B979" s="602" t="s">
        <v>31</v>
      </c>
      <c r="C979" s="631" t="s">
        <v>6268</v>
      </c>
      <c r="D979" s="424" t="s">
        <v>84</v>
      </c>
      <c r="E979" s="384">
        <v>1</v>
      </c>
      <c r="F979" s="491">
        <v>2011</v>
      </c>
      <c r="G979" s="578" t="s">
        <v>2267</v>
      </c>
      <c r="H979" s="624" t="s">
        <v>6331</v>
      </c>
      <c r="I979" s="604"/>
      <c r="J979" s="1246"/>
      <c r="K979" s="1338"/>
    </row>
    <row r="980" spans="1:11">
      <c r="A980" s="428" t="s">
        <v>8879</v>
      </c>
      <c r="B980" s="602" t="s">
        <v>31</v>
      </c>
      <c r="C980" s="631" t="s">
        <v>6268</v>
      </c>
      <c r="D980" s="424" t="s">
        <v>84</v>
      </c>
      <c r="E980" s="384">
        <v>1</v>
      </c>
      <c r="F980" s="491">
        <v>2012</v>
      </c>
      <c r="G980" s="578" t="s">
        <v>2267</v>
      </c>
      <c r="H980" s="624" t="s">
        <v>6332</v>
      </c>
      <c r="I980" s="604"/>
      <c r="J980" s="1246"/>
      <c r="K980" s="1338"/>
    </row>
    <row r="981" spans="1:11">
      <c r="A981" s="428" t="s">
        <v>8879</v>
      </c>
      <c r="B981" s="602" t="s">
        <v>31</v>
      </c>
      <c r="C981" s="631" t="s">
        <v>6268</v>
      </c>
      <c r="D981" s="424" t="s">
        <v>84</v>
      </c>
      <c r="E981" s="384">
        <v>1</v>
      </c>
      <c r="F981" s="491">
        <v>2013</v>
      </c>
      <c r="G981" s="578" t="s">
        <v>2267</v>
      </c>
      <c r="H981" s="624" t="s">
        <v>6333</v>
      </c>
      <c r="I981" s="604"/>
      <c r="J981" s="1246"/>
      <c r="K981" s="1338"/>
    </row>
    <row r="982" spans="1:11">
      <c r="A982" s="428" t="s">
        <v>8879</v>
      </c>
      <c r="B982" s="602" t="s">
        <v>31</v>
      </c>
      <c r="C982" s="631" t="s">
        <v>6268</v>
      </c>
      <c r="D982" s="424" t="s">
        <v>84</v>
      </c>
      <c r="E982" s="384">
        <v>1</v>
      </c>
      <c r="F982" s="491">
        <v>2014</v>
      </c>
      <c r="G982" s="578" t="s">
        <v>2267</v>
      </c>
      <c r="H982" s="624" t="s">
        <v>6334</v>
      </c>
      <c r="I982" s="604"/>
      <c r="J982" s="1246"/>
      <c r="K982" s="1338"/>
    </row>
    <row r="983" spans="1:11">
      <c r="A983" s="428" t="s">
        <v>8879</v>
      </c>
      <c r="B983" s="602" t="s">
        <v>31</v>
      </c>
      <c r="C983" s="631" t="s">
        <v>6268</v>
      </c>
      <c r="D983" s="424" t="s">
        <v>84</v>
      </c>
      <c r="E983" s="384">
        <v>1</v>
      </c>
      <c r="F983" s="491">
        <v>2015</v>
      </c>
      <c r="G983" s="578" t="s">
        <v>2267</v>
      </c>
      <c r="H983" s="624" t="s">
        <v>6335</v>
      </c>
      <c r="I983" s="604"/>
      <c r="J983" s="1246"/>
      <c r="K983" s="1338"/>
    </row>
    <row r="984" spans="1:11">
      <c r="A984" s="428" t="s">
        <v>8879</v>
      </c>
      <c r="B984" s="602" t="s">
        <v>31</v>
      </c>
      <c r="C984" s="631" t="s">
        <v>6268</v>
      </c>
      <c r="D984" s="424" t="s">
        <v>84</v>
      </c>
      <c r="E984" s="384">
        <v>1</v>
      </c>
      <c r="F984" s="491">
        <v>2016</v>
      </c>
      <c r="G984" s="578" t="s">
        <v>2267</v>
      </c>
      <c r="H984" s="624" t="s">
        <v>6336</v>
      </c>
      <c r="I984" s="604"/>
      <c r="J984" s="1246"/>
      <c r="K984" s="1338"/>
    </row>
    <row r="985" spans="1:11">
      <c r="A985" s="428" t="s">
        <v>8879</v>
      </c>
      <c r="B985" s="602" t="s">
        <v>31</v>
      </c>
      <c r="C985" s="631" t="s">
        <v>6268</v>
      </c>
      <c r="D985" s="424" t="s">
        <v>84</v>
      </c>
      <c r="E985" s="384">
        <v>1</v>
      </c>
      <c r="F985" s="491">
        <v>2017</v>
      </c>
      <c r="G985" s="578" t="s">
        <v>2267</v>
      </c>
      <c r="H985" s="624" t="s">
        <v>4006</v>
      </c>
      <c r="I985" s="604"/>
      <c r="J985" s="1246"/>
      <c r="K985" s="1338"/>
    </row>
    <row r="986" spans="1:11">
      <c r="A986" s="428" t="s">
        <v>8879</v>
      </c>
      <c r="B986" s="602" t="s">
        <v>31</v>
      </c>
      <c r="C986" s="631" t="s">
        <v>6268</v>
      </c>
      <c r="D986" s="424" t="s">
        <v>84</v>
      </c>
      <c r="E986" s="384">
        <v>1</v>
      </c>
      <c r="F986" s="491">
        <v>2018</v>
      </c>
      <c r="G986" s="578" t="s">
        <v>2267</v>
      </c>
      <c r="H986" s="624" t="s">
        <v>6337</v>
      </c>
      <c r="I986" s="604"/>
      <c r="J986" s="1246"/>
      <c r="K986" s="1338"/>
    </row>
    <row r="987" spans="1:11">
      <c r="A987" s="428" t="s">
        <v>8879</v>
      </c>
      <c r="B987" s="602" t="s">
        <v>31</v>
      </c>
      <c r="C987" s="631" t="s">
        <v>6268</v>
      </c>
      <c r="D987" s="424" t="s">
        <v>84</v>
      </c>
      <c r="E987" s="384">
        <v>1</v>
      </c>
      <c r="F987" s="491">
        <v>2019</v>
      </c>
      <c r="G987" s="578" t="s">
        <v>2267</v>
      </c>
      <c r="H987" s="624" t="s">
        <v>6338</v>
      </c>
      <c r="I987" s="604"/>
      <c r="J987" s="1246"/>
      <c r="K987" s="1338"/>
    </row>
    <row r="988" spans="1:11">
      <c r="A988" s="430" t="s">
        <v>8879</v>
      </c>
      <c r="B988" s="619" t="s">
        <v>31</v>
      </c>
      <c r="C988" s="605" t="s">
        <v>6268</v>
      </c>
      <c r="D988" s="431" t="s">
        <v>84</v>
      </c>
      <c r="E988" s="493">
        <v>1</v>
      </c>
      <c r="F988" s="525">
        <v>2020</v>
      </c>
      <c r="G988" s="579" t="s">
        <v>2267</v>
      </c>
      <c r="H988" s="625" t="s">
        <v>2267</v>
      </c>
      <c r="I988" s="635"/>
      <c r="J988" s="1336"/>
      <c r="K988" s="1339"/>
    </row>
    <row r="989" spans="1:11">
      <c r="A989" s="426" t="s">
        <v>8879</v>
      </c>
      <c r="B989" s="642" t="s">
        <v>31</v>
      </c>
      <c r="C989" s="630" t="s">
        <v>6268</v>
      </c>
      <c r="D989" s="527" t="s">
        <v>85</v>
      </c>
      <c r="E989" s="492">
        <v>1</v>
      </c>
      <c r="F989" s="481">
        <v>1</v>
      </c>
      <c r="G989" s="485" t="s">
        <v>2645</v>
      </c>
      <c r="H989" s="620" t="s">
        <v>2645</v>
      </c>
      <c r="I989" s="630" t="s">
        <v>2221</v>
      </c>
      <c r="J989" s="1241" t="s">
        <v>6339</v>
      </c>
      <c r="K989" s="1330" t="s">
        <v>5</v>
      </c>
    </row>
    <row r="990" spans="1:11">
      <c r="A990" s="428" t="s">
        <v>8879</v>
      </c>
      <c r="B990" s="643" t="s">
        <v>31</v>
      </c>
      <c r="C990" s="631" t="s">
        <v>6268</v>
      </c>
      <c r="D990" s="503" t="s">
        <v>85</v>
      </c>
      <c r="E990" s="384">
        <v>1</v>
      </c>
      <c r="F990" s="482">
        <v>2</v>
      </c>
      <c r="G990" s="486" t="s">
        <v>2648</v>
      </c>
      <c r="H990" s="593" t="s">
        <v>2648</v>
      </c>
      <c r="I990" s="631" t="s">
        <v>2221</v>
      </c>
      <c r="J990" s="1242"/>
      <c r="K990" s="1331"/>
    </row>
    <row r="991" spans="1:11">
      <c r="A991" s="430" t="s">
        <v>8879</v>
      </c>
      <c r="B991" s="644" t="s">
        <v>31</v>
      </c>
      <c r="C991" s="605" t="s">
        <v>6268</v>
      </c>
      <c r="D991" s="506" t="s">
        <v>85</v>
      </c>
      <c r="E991" s="493">
        <v>1</v>
      </c>
      <c r="F991" s="501">
        <v>3</v>
      </c>
      <c r="G991" s="502" t="s">
        <v>2652</v>
      </c>
      <c r="H991" s="594" t="s">
        <v>2652</v>
      </c>
      <c r="I991" s="605" t="s">
        <v>6340</v>
      </c>
      <c r="J991" s="1251"/>
      <c r="K991" s="1332"/>
    </row>
    <row r="992" spans="1:11">
      <c r="A992" s="426" t="s">
        <v>8879</v>
      </c>
      <c r="B992" s="569" t="s">
        <v>45</v>
      </c>
      <c r="C992" s="630" t="s">
        <v>6268</v>
      </c>
      <c r="D992" s="414" t="s">
        <v>85</v>
      </c>
      <c r="E992" s="492">
        <v>2</v>
      </c>
      <c r="F992" s="481">
        <v>1</v>
      </c>
      <c r="G992" s="485" t="s">
        <v>6341</v>
      </c>
      <c r="H992" s="620" t="s">
        <v>2645</v>
      </c>
      <c r="I992" s="630"/>
      <c r="J992" s="1241" t="s">
        <v>6342</v>
      </c>
      <c r="K992" s="1330" t="s">
        <v>5</v>
      </c>
    </row>
    <row r="993" spans="1:11">
      <c r="A993" s="428" t="s">
        <v>8879</v>
      </c>
      <c r="B993" s="570" t="s">
        <v>45</v>
      </c>
      <c r="C993" s="631" t="s">
        <v>6268</v>
      </c>
      <c r="D993" s="413" t="s">
        <v>85</v>
      </c>
      <c r="E993" s="384">
        <v>2</v>
      </c>
      <c r="F993" s="482">
        <v>2</v>
      </c>
      <c r="G993" s="486" t="s">
        <v>6343</v>
      </c>
      <c r="H993" s="593" t="s">
        <v>2648</v>
      </c>
      <c r="I993" s="631"/>
      <c r="J993" s="1242"/>
      <c r="K993" s="1331"/>
    </row>
    <row r="994" spans="1:11">
      <c r="A994" s="430" t="s">
        <v>8879</v>
      </c>
      <c r="B994" s="571" t="s">
        <v>45</v>
      </c>
      <c r="C994" s="605" t="s">
        <v>6268</v>
      </c>
      <c r="D994" s="425" t="s">
        <v>85</v>
      </c>
      <c r="E994" s="493">
        <v>2</v>
      </c>
      <c r="F994" s="501">
        <v>3</v>
      </c>
      <c r="G994" s="502" t="s">
        <v>422</v>
      </c>
      <c r="H994" s="594" t="s">
        <v>2652</v>
      </c>
      <c r="I994" s="605" t="s">
        <v>6344</v>
      </c>
      <c r="J994" s="1251"/>
      <c r="K994" s="1332"/>
    </row>
    <row r="995" spans="1:11">
      <c r="A995" s="426" t="s">
        <v>8879</v>
      </c>
      <c r="B995" s="601" t="s">
        <v>8882</v>
      </c>
      <c r="C995" s="630" t="s">
        <v>6301</v>
      </c>
      <c r="D995" s="427" t="s">
        <v>213</v>
      </c>
      <c r="E995" s="492">
        <v>1</v>
      </c>
      <c r="F995" s="581">
        <v>2</v>
      </c>
      <c r="G995" s="582" t="s">
        <v>2236</v>
      </c>
      <c r="H995" s="626" t="s">
        <v>2236</v>
      </c>
      <c r="I995" s="603" t="s">
        <v>6345</v>
      </c>
      <c r="J995" s="1241" t="s">
        <v>6346</v>
      </c>
      <c r="K995" s="1333" t="s">
        <v>5</v>
      </c>
    </row>
    <row r="996" spans="1:11">
      <c r="A996" s="428" t="s">
        <v>8879</v>
      </c>
      <c r="B996" s="602" t="s">
        <v>8882</v>
      </c>
      <c r="C996" s="631" t="s">
        <v>6301</v>
      </c>
      <c r="D996" s="424" t="s">
        <v>213</v>
      </c>
      <c r="E996" s="384">
        <v>1</v>
      </c>
      <c r="F996" s="583">
        <v>3</v>
      </c>
      <c r="G996" s="584" t="s">
        <v>2239</v>
      </c>
      <c r="H996" s="627" t="s">
        <v>2240</v>
      </c>
      <c r="I996" s="604" t="s">
        <v>6345</v>
      </c>
      <c r="J996" s="1242"/>
      <c r="K996" s="1334"/>
    </row>
    <row r="997" spans="1:11">
      <c r="A997" s="428" t="s">
        <v>8879</v>
      </c>
      <c r="B997" s="602" t="s">
        <v>8882</v>
      </c>
      <c r="C997" s="631" t="s">
        <v>6301</v>
      </c>
      <c r="D997" s="424" t="s">
        <v>213</v>
      </c>
      <c r="E997" s="384">
        <v>1</v>
      </c>
      <c r="F997" s="583">
        <v>4</v>
      </c>
      <c r="G997" s="584" t="s">
        <v>2241</v>
      </c>
      <c r="H997" s="627" t="s">
        <v>2241</v>
      </c>
      <c r="I997" s="604" t="s">
        <v>2237</v>
      </c>
      <c r="J997" s="1242"/>
      <c r="K997" s="1334"/>
    </row>
    <row r="998" spans="1:11">
      <c r="A998" s="428" t="s">
        <v>8879</v>
      </c>
      <c r="B998" s="602" t="s">
        <v>8882</v>
      </c>
      <c r="C998" s="631" t="s">
        <v>6301</v>
      </c>
      <c r="D998" s="424" t="s">
        <v>213</v>
      </c>
      <c r="E998" s="384">
        <v>1</v>
      </c>
      <c r="F998" s="583">
        <v>5</v>
      </c>
      <c r="G998" s="584" t="s">
        <v>2242</v>
      </c>
      <c r="H998" s="627" t="s">
        <v>2242</v>
      </c>
      <c r="I998" s="604" t="s">
        <v>2221</v>
      </c>
      <c r="J998" s="1242"/>
      <c r="K998" s="1334"/>
    </row>
    <row r="999" spans="1:11">
      <c r="A999" s="428" t="s">
        <v>8879</v>
      </c>
      <c r="B999" s="602" t="s">
        <v>8882</v>
      </c>
      <c r="C999" s="631" t="s">
        <v>6301</v>
      </c>
      <c r="D999" s="424" t="s">
        <v>213</v>
      </c>
      <c r="E999" s="384">
        <v>1</v>
      </c>
      <c r="F999" s="583">
        <v>7</v>
      </c>
      <c r="G999" s="584" t="s">
        <v>2243</v>
      </c>
      <c r="H999" s="627" t="s">
        <v>2243</v>
      </c>
      <c r="I999" s="604" t="s">
        <v>2221</v>
      </c>
      <c r="J999" s="1242"/>
      <c r="K999" s="1334"/>
    </row>
    <row r="1000" spans="1:11">
      <c r="A1000" s="428" t="s">
        <v>8879</v>
      </c>
      <c r="B1000" s="602" t="s">
        <v>8882</v>
      </c>
      <c r="C1000" s="631" t="s">
        <v>6301</v>
      </c>
      <c r="D1000" s="424" t="s">
        <v>213</v>
      </c>
      <c r="E1000" s="384">
        <v>1</v>
      </c>
      <c r="F1000" s="583">
        <v>8</v>
      </c>
      <c r="G1000" s="584" t="s">
        <v>2244</v>
      </c>
      <c r="H1000" s="627" t="s">
        <v>2244</v>
      </c>
      <c r="I1000" s="604" t="s">
        <v>2221</v>
      </c>
      <c r="J1000" s="1242"/>
      <c r="K1000" s="1334"/>
    </row>
    <row r="1001" spans="1:11">
      <c r="A1001" s="428" t="s">
        <v>8879</v>
      </c>
      <c r="B1001" s="602" t="s">
        <v>8882</v>
      </c>
      <c r="C1001" s="631" t="s">
        <v>6301</v>
      </c>
      <c r="D1001" s="424" t="s">
        <v>213</v>
      </c>
      <c r="E1001" s="384">
        <v>1</v>
      </c>
      <c r="F1001" s="583">
        <v>9</v>
      </c>
      <c r="G1001" s="584" t="s">
        <v>2245</v>
      </c>
      <c r="H1001" s="627" t="s">
        <v>2245</v>
      </c>
      <c r="I1001" s="604" t="s">
        <v>2221</v>
      </c>
      <c r="J1001" s="1242"/>
      <c r="K1001" s="1334"/>
    </row>
    <row r="1002" spans="1:11">
      <c r="A1002" s="428" t="s">
        <v>8879</v>
      </c>
      <c r="B1002" s="602" t="s">
        <v>8882</v>
      </c>
      <c r="C1002" s="631" t="s">
        <v>6301</v>
      </c>
      <c r="D1002" s="424" t="s">
        <v>213</v>
      </c>
      <c r="E1002" s="384">
        <v>1</v>
      </c>
      <c r="F1002" s="583">
        <v>10</v>
      </c>
      <c r="G1002" s="584" t="s">
        <v>2246</v>
      </c>
      <c r="H1002" s="627" t="s">
        <v>2246</v>
      </c>
      <c r="I1002" s="604" t="s">
        <v>2221</v>
      </c>
      <c r="J1002" s="1242"/>
      <c r="K1002" s="1334"/>
    </row>
    <row r="1003" spans="1:11">
      <c r="A1003" s="428" t="s">
        <v>8879</v>
      </c>
      <c r="B1003" s="602" t="s">
        <v>8882</v>
      </c>
      <c r="C1003" s="631" t="s">
        <v>6301</v>
      </c>
      <c r="D1003" s="424" t="s">
        <v>213</v>
      </c>
      <c r="E1003" s="384">
        <v>1</v>
      </c>
      <c r="F1003" s="583">
        <v>12</v>
      </c>
      <c r="G1003" s="584" t="s">
        <v>2247</v>
      </c>
      <c r="H1003" s="627" t="s">
        <v>2247</v>
      </c>
      <c r="I1003" s="604" t="s">
        <v>2221</v>
      </c>
      <c r="J1003" s="1242"/>
      <c r="K1003" s="1334"/>
    </row>
    <row r="1004" spans="1:11">
      <c r="A1004" s="428" t="s">
        <v>8879</v>
      </c>
      <c r="B1004" s="602" t="s">
        <v>8882</v>
      </c>
      <c r="C1004" s="631" t="s">
        <v>6301</v>
      </c>
      <c r="D1004" s="424" t="s">
        <v>213</v>
      </c>
      <c r="E1004" s="384">
        <v>1</v>
      </c>
      <c r="F1004" s="583">
        <v>13</v>
      </c>
      <c r="G1004" s="584" t="s">
        <v>2248</v>
      </c>
      <c r="H1004" s="627" t="s">
        <v>2248</v>
      </c>
      <c r="I1004" s="604" t="s">
        <v>2237</v>
      </c>
      <c r="J1004" s="1242"/>
      <c r="K1004" s="1334"/>
    </row>
    <row r="1005" spans="1:11">
      <c r="A1005" s="428" t="s">
        <v>8879</v>
      </c>
      <c r="B1005" s="602" t="s">
        <v>8882</v>
      </c>
      <c r="C1005" s="631" t="s">
        <v>6301</v>
      </c>
      <c r="D1005" s="424" t="s">
        <v>213</v>
      </c>
      <c r="E1005" s="384">
        <v>1</v>
      </c>
      <c r="F1005" s="583">
        <v>15</v>
      </c>
      <c r="G1005" s="584" t="s">
        <v>2249</v>
      </c>
      <c r="H1005" s="627" t="s">
        <v>2249</v>
      </c>
      <c r="I1005" s="604" t="s">
        <v>2221</v>
      </c>
      <c r="J1005" s="1242"/>
      <c r="K1005" s="1334"/>
    </row>
    <row r="1006" spans="1:11">
      <c r="A1006" s="428" t="s">
        <v>8879</v>
      </c>
      <c r="B1006" s="602" t="s">
        <v>8882</v>
      </c>
      <c r="C1006" s="631" t="s">
        <v>6301</v>
      </c>
      <c r="D1006" s="424" t="s">
        <v>213</v>
      </c>
      <c r="E1006" s="384">
        <v>1</v>
      </c>
      <c r="F1006" s="583">
        <v>16</v>
      </c>
      <c r="G1006" s="584" t="s">
        <v>2250</v>
      </c>
      <c r="H1006" s="627" t="s">
        <v>2250</v>
      </c>
      <c r="I1006" s="604" t="s">
        <v>2237</v>
      </c>
      <c r="J1006" s="1242"/>
      <c r="K1006" s="1334"/>
    </row>
    <row r="1007" spans="1:11">
      <c r="A1007" s="428" t="s">
        <v>8879</v>
      </c>
      <c r="B1007" s="602" t="s">
        <v>8882</v>
      </c>
      <c r="C1007" s="631" t="s">
        <v>6301</v>
      </c>
      <c r="D1007" s="424" t="s">
        <v>213</v>
      </c>
      <c r="E1007" s="384">
        <v>1</v>
      </c>
      <c r="F1007" s="583">
        <v>17</v>
      </c>
      <c r="G1007" s="584" t="s">
        <v>2251</v>
      </c>
      <c r="H1007" s="627" t="s">
        <v>2251</v>
      </c>
      <c r="I1007" s="604" t="s">
        <v>2237</v>
      </c>
      <c r="J1007" s="1242"/>
      <c r="K1007" s="1334"/>
    </row>
    <row r="1008" spans="1:11">
      <c r="A1008" s="428" t="s">
        <v>8879</v>
      </c>
      <c r="B1008" s="602" t="s">
        <v>8882</v>
      </c>
      <c r="C1008" s="631" t="s">
        <v>6301</v>
      </c>
      <c r="D1008" s="424" t="s">
        <v>213</v>
      </c>
      <c r="E1008" s="384">
        <v>1</v>
      </c>
      <c r="F1008" s="583">
        <v>18</v>
      </c>
      <c r="G1008" s="584" t="s">
        <v>2252</v>
      </c>
      <c r="H1008" s="627" t="s">
        <v>2253</v>
      </c>
      <c r="I1008" s="604" t="s">
        <v>2221</v>
      </c>
      <c r="J1008" s="1242"/>
      <c r="K1008" s="1334"/>
    </row>
    <row r="1009" spans="1:11">
      <c r="A1009" s="428" t="s">
        <v>8879</v>
      </c>
      <c r="B1009" s="602" t="s">
        <v>8882</v>
      </c>
      <c r="C1009" s="631" t="s">
        <v>6301</v>
      </c>
      <c r="D1009" s="424" t="s">
        <v>213</v>
      </c>
      <c r="E1009" s="384">
        <v>1</v>
      </c>
      <c r="F1009" s="583">
        <v>51</v>
      </c>
      <c r="G1009" s="584" t="s">
        <v>2259</v>
      </c>
      <c r="H1009" s="627" t="s">
        <v>6347</v>
      </c>
      <c r="I1009" s="604" t="s">
        <v>2237</v>
      </c>
      <c r="J1009" s="1242"/>
      <c r="K1009" s="1334"/>
    </row>
    <row r="1010" spans="1:11">
      <c r="A1010" s="428" t="s">
        <v>8879</v>
      </c>
      <c r="B1010" s="602" t="s">
        <v>8882</v>
      </c>
      <c r="C1010" s="631" t="s">
        <v>6301</v>
      </c>
      <c r="D1010" s="424" t="s">
        <v>213</v>
      </c>
      <c r="E1010" s="384">
        <v>1</v>
      </c>
      <c r="F1010" s="583">
        <v>52</v>
      </c>
      <c r="G1010" s="584" t="s">
        <v>2261</v>
      </c>
      <c r="H1010" s="627" t="s">
        <v>2261</v>
      </c>
      <c r="I1010" s="604" t="s">
        <v>2237</v>
      </c>
      <c r="J1010" s="1242"/>
      <c r="K1010" s="1334"/>
    </row>
    <row r="1011" spans="1:11">
      <c r="A1011" s="430" t="s">
        <v>8879</v>
      </c>
      <c r="B1011" s="619" t="s">
        <v>8882</v>
      </c>
      <c r="C1011" s="605" t="s">
        <v>6301</v>
      </c>
      <c r="D1011" s="431" t="s">
        <v>213</v>
      </c>
      <c r="E1011" s="493">
        <v>1</v>
      </c>
      <c r="F1011" s="585">
        <v>53</v>
      </c>
      <c r="G1011" s="580" t="s">
        <v>2260</v>
      </c>
      <c r="H1011" s="621" t="s">
        <v>2260</v>
      </c>
      <c r="I1011" s="635" t="s">
        <v>2237</v>
      </c>
      <c r="J1011" s="1251"/>
      <c r="K1011" s="1335"/>
    </row>
    <row r="1012" spans="1:11">
      <c r="A1012" s="426" t="s">
        <v>8879</v>
      </c>
      <c r="B1012" s="569" t="s">
        <v>8880</v>
      </c>
      <c r="C1012" s="630" t="s">
        <v>6301</v>
      </c>
      <c r="D1012" s="414" t="s">
        <v>214</v>
      </c>
      <c r="E1012" s="492">
        <v>1</v>
      </c>
      <c r="F1012" s="481">
        <v>1</v>
      </c>
      <c r="G1012" s="485" t="s">
        <v>2781</v>
      </c>
      <c r="H1012" s="620" t="s">
        <v>2781</v>
      </c>
      <c r="I1012" s="633" t="s">
        <v>6215</v>
      </c>
      <c r="J1012" s="1241" t="s">
        <v>6348</v>
      </c>
      <c r="K1012" s="1330" t="s">
        <v>5</v>
      </c>
    </row>
    <row r="1013" spans="1:11">
      <c r="A1013" s="428" t="s">
        <v>8879</v>
      </c>
      <c r="B1013" s="570" t="s">
        <v>8880</v>
      </c>
      <c r="C1013" s="631" t="s">
        <v>6301</v>
      </c>
      <c r="D1013" s="413" t="s">
        <v>214</v>
      </c>
      <c r="E1013" s="384">
        <v>1</v>
      </c>
      <c r="F1013" s="482">
        <v>2</v>
      </c>
      <c r="G1013" s="486" t="s">
        <v>2786</v>
      </c>
      <c r="H1013" s="593" t="s">
        <v>2786</v>
      </c>
      <c r="I1013" s="634" t="s">
        <v>6349</v>
      </c>
      <c r="J1013" s="1242"/>
      <c r="K1013" s="1331"/>
    </row>
    <row r="1014" spans="1:11">
      <c r="A1014" s="428" t="s">
        <v>8879</v>
      </c>
      <c r="B1014" s="570" t="s">
        <v>8880</v>
      </c>
      <c r="C1014" s="631" t="s">
        <v>6301</v>
      </c>
      <c r="D1014" s="413" t="s">
        <v>214</v>
      </c>
      <c r="E1014" s="384">
        <v>1</v>
      </c>
      <c r="F1014" s="482">
        <v>3</v>
      </c>
      <c r="G1014" s="486" t="s">
        <v>2783</v>
      </c>
      <c r="H1014" s="593" t="s">
        <v>2783</v>
      </c>
      <c r="I1014" s="634" t="s">
        <v>6215</v>
      </c>
      <c r="J1014" s="1242"/>
      <c r="K1014" s="1331"/>
    </row>
    <row r="1015" spans="1:11">
      <c r="A1015" s="428" t="s">
        <v>8879</v>
      </c>
      <c r="B1015" s="570" t="s">
        <v>8880</v>
      </c>
      <c r="C1015" s="631" t="s">
        <v>6301</v>
      </c>
      <c r="D1015" s="413" t="s">
        <v>214</v>
      </c>
      <c r="E1015" s="384">
        <v>1</v>
      </c>
      <c r="F1015" s="482">
        <v>4</v>
      </c>
      <c r="G1015" s="486" t="s">
        <v>2785</v>
      </c>
      <c r="H1015" s="593" t="s">
        <v>2785</v>
      </c>
      <c r="I1015" s="634" t="s">
        <v>6215</v>
      </c>
      <c r="J1015" s="1242"/>
      <c r="K1015" s="1331"/>
    </row>
    <row r="1016" spans="1:11">
      <c r="A1016" s="428" t="s">
        <v>8879</v>
      </c>
      <c r="B1016" s="570" t="s">
        <v>8880</v>
      </c>
      <c r="C1016" s="631" t="s">
        <v>6301</v>
      </c>
      <c r="D1016" s="413" t="s">
        <v>214</v>
      </c>
      <c r="E1016" s="384">
        <v>1</v>
      </c>
      <c r="F1016" s="482">
        <v>5</v>
      </c>
      <c r="G1016" s="486" t="s">
        <v>2787</v>
      </c>
      <c r="H1016" s="593" t="s">
        <v>6350</v>
      </c>
      <c r="I1016" s="634" t="s">
        <v>6349</v>
      </c>
      <c r="J1016" s="1242"/>
      <c r="K1016" s="1331"/>
    </row>
    <row r="1017" spans="1:11">
      <c r="A1017" s="430" t="s">
        <v>8879</v>
      </c>
      <c r="B1017" s="571" t="s">
        <v>8880</v>
      </c>
      <c r="C1017" s="605" t="s">
        <v>6301</v>
      </c>
      <c r="D1017" s="425" t="s">
        <v>214</v>
      </c>
      <c r="E1017" s="493">
        <v>1</v>
      </c>
      <c r="F1017" s="501">
        <v>11111111111</v>
      </c>
      <c r="G1017" s="502" t="s">
        <v>422</v>
      </c>
      <c r="H1017" s="594" t="s">
        <v>2714</v>
      </c>
      <c r="I1017" s="632" t="s">
        <v>6215</v>
      </c>
      <c r="J1017" s="1251"/>
      <c r="K1017" s="1332"/>
    </row>
    <row r="1018" spans="1:11">
      <c r="A1018" s="526" t="s">
        <v>8879</v>
      </c>
      <c r="B1018" s="569" t="s">
        <v>45</v>
      </c>
      <c r="C1018" s="630" t="s">
        <v>6268</v>
      </c>
      <c r="D1018" s="414" t="s">
        <v>135</v>
      </c>
      <c r="E1018" s="492">
        <v>1</v>
      </c>
      <c r="F1018" s="481">
        <v>1</v>
      </c>
      <c r="G1018" s="485" t="s">
        <v>6351</v>
      </c>
      <c r="H1018" s="620" t="s">
        <v>6228</v>
      </c>
      <c r="I1018" s="630"/>
      <c r="J1018" s="1241" t="s">
        <v>6352</v>
      </c>
      <c r="K1018" s="1327" t="s">
        <v>5</v>
      </c>
    </row>
    <row r="1019" spans="1:11">
      <c r="A1019" s="528" t="s">
        <v>8879</v>
      </c>
      <c r="B1019" s="570" t="s">
        <v>45</v>
      </c>
      <c r="C1019" s="631" t="s">
        <v>6268</v>
      </c>
      <c r="D1019" s="413" t="s">
        <v>135</v>
      </c>
      <c r="E1019" s="384">
        <v>1</v>
      </c>
      <c r="F1019" s="482">
        <v>2</v>
      </c>
      <c r="G1019" s="486" t="s">
        <v>6353</v>
      </c>
      <c r="H1019" s="593" t="s">
        <v>6231</v>
      </c>
      <c r="I1019" s="631"/>
      <c r="J1019" s="1242"/>
      <c r="K1019" s="1328"/>
    </row>
    <row r="1020" spans="1:11">
      <c r="A1020" s="586" t="s">
        <v>8879</v>
      </c>
      <c r="B1020" s="640" t="s">
        <v>45</v>
      </c>
      <c r="C1020" s="628" t="s">
        <v>6268</v>
      </c>
      <c r="D1020" s="415" t="s">
        <v>135</v>
      </c>
      <c r="E1020" s="494">
        <v>1</v>
      </c>
      <c r="F1020" s="507">
        <v>11111111111</v>
      </c>
      <c r="G1020" s="508" t="s">
        <v>422</v>
      </c>
      <c r="H1020" s="595" t="s">
        <v>422</v>
      </c>
      <c r="I1020" s="628"/>
      <c r="J1020" s="1251"/>
      <c r="K1020" s="1329"/>
    </row>
  </sheetData>
  <autoFilter ref="A2:K1020"/>
  <mergeCells count="66">
    <mergeCell ref="A1:B1"/>
    <mergeCell ref="C1:E1"/>
    <mergeCell ref="F1:H1"/>
    <mergeCell ref="I1:K1"/>
    <mergeCell ref="J3:J21"/>
    <mergeCell ref="J52:J876"/>
    <mergeCell ref="K3:K21"/>
    <mergeCell ref="K22:K40"/>
    <mergeCell ref="K41:K43"/>
    <mergeCell ref="K44:K47"/>
    <mergeCell ref="K48:K51"/>
    <mergeCell ref="K52:K876"/>
    <mergeCell ref="J22:J40"/>
    <mergeCell ref="J41:J43"/>
    <mergeCell ref="J44:J47"/>
    <mergeCell ref="J48:J51"/>
    <mergeCell ref="K877:K878"/>
    <mergeCell ref="J879:J882"/>
    <mergeCell ref="K879:K882"/>
    <mergeCell ref="J883:J887"/>
    <mergeCell ref="K883:K887"/>
    <mergeCell ref="J877:J878"/>
    <mergeCell ref="K888:K889"/>
    <mergeCell ref="J890:J894"/>
    <mergeCell ref="K890:K894"/>
    <mergeCell ref="J895:J901"/>
    <mergeCell ref="K895:K901"/>
    <mergeCell ref="J888:J889"/>
    <mergeCell ref="K902:K908"/>
    <mergeCell ref="J909:J910"/>
    <mergeCell ref="K909:K910"/>
    <mergeCell ref="J911:J914"/>
    <mergeCell ref="K911:K914"/>
    <mergeCell ref="J902:J908"/>
    <mergeCell ref="J915:J918"/>
    <mergeCell ref="K915:K918"/>
    <mergeCell ref="J919:J920"/>
    <mergeCell ref="K919:K920"/>
    <mergeCell ref="J921:J922"/>
    <mergeCell ref="K921:K922"/>
    <mergeCell ref="J923:J924"/>
    <mergeCell ref="K923:K924"/>
    <mergeCell ref="J925:J926"/>
    <mergeCell ref="K925:K926"/>
    <mergeCell ref="J927:J931"/>
    <mergeCell ref="K927:K931"/>
    <mergeCell ref="J932:J938"/>
    <mergeCell ref="K932:K938"/>
    <mergeCell ref="J939:J945"/>
    <mergeCell ref="K939:K945"/>
    <mergeCell ref="J946:J954"/>
    <mergeCell ref="K946:K954"/>
    <mergeCell ref="J955:J959"/>
    <mergeCell ref="K955:K959"/>
    <mergeCell ref="J960:J988"/>
    <mergeCell ref="K960:K988"/>
    <mergeCell ref="J989:J991"/>
    <mergeCell ref="K989:K991"/>
    <mergeCell ref="J1018:J1020"/>
    <mergeCell ref="K1018:K1020"/>
    <mergeCell ref="J992:J994"/>
    <mergeCell ref="K992:K994"/>
    <mergeCell ref="J995:J1011"/>
    <mergeCell ref="K995:K1011"/>
    <mergeCell ref="J1012:J1017"/>
    <mergeCell ref="K1012:K1017"/>
  </mergeCells>
  <pageMargins left="0.7" right="0.7" top="0.75" bottom="0.75" header="0.3" footer="0.3"/>
  <pageSetup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L32"/>
  <sheetViews>
    <sheetView workbookViewId="0"/>
  </sheetViews>
  <sheetFormatPr defaultRowHeight="14.5"/>
  <cols>
    <col min="6" max="6" width="7.453125" customWidth="1"/>
    <col min="7" max="8" width="26.7265625" customWidth="1"/>
    <col min="9" max="9" width="8.1796875" customWidth="1"/>
  </cols>
  <sheetData>
    <row r="4" spans="2:9">
      <c r="G4" s="314" t="s">
        <v>2210</v>
      </c>
      <c r="H4" s="314" t="s">
        <v>8884</v>
      </c>
      <c r="I4" s="315" t="s">
        <v>2211</v>
      </c>
    </row>
    <row r="5" spans="2:9">
      <c r="G5" s="400" t="s">
        <v>2221</v>
      </c>
      <c r="H5" s="400"/>
      <c r="I5" s="400" t="s">
        <v>2216</v>
      </c>
    </row>
    <row r="6" spans="2:9">
      <c r="G6" s="399" t="s">
        <v>2219</v>
      </c>
      <c r="H6" s="399" t="s">
        <v>8885</v>
      </c>
      <c r="I6" s="399" t="s">
        <v>2220</v>
      </c>
    </row>
    <row r="7" spans="2:9">
      <c r="G7" s="399" t="s">
        <v>2222</v>
      </c>
      <c r="H7" s="399" t="s">
        <v>8886</v>
      </c>
      <c r="I7" s="399" t="s">
        <v>2223</v>
      </c>
    </row>
    <row r="8" spans="2:9">
      <c r="G8" s="399" t="s">
        <v>2224</v>
      </c>
      <c r="H8" s="399" t="s">
        <v>8887</v>
      </c>
      <c r="I8" s="399" t="s">
        <v>2225</v>
      </c>
    </row>
    <row r="9" spans="2:9">
      <c r="G9" s="399" t="s">
        <v>2226</v>
      </c>
      <c r="H9" s="399" t="s">
        <v>8888</v>
      </c>
      <c r="I9" s="399" t="s">
        <v>2227</v>
      </c>
    </row>
    <row r="10" spans="2:9">
      <c r="G10" s="399" t="s">
        <v>2228</v>
      </c>
      <c r="H10" s="399" t="s">
        <v>8889</v>
      </c>
      <c r="I10" s="399" t="s">
        <v>2229</v>
      </c>
    </row>
    <row r="11" spans="2:9">
      <c r="G11" s="399" t="s">
        <v>2230</v>
      </c>
      <c r="H11" s="399" t="s">
        <v>8890</v>
      </c>
      <c r="I11" s="399" t="s">
        <v>2231</v>
      </c>
    </row>
    <row r="12" spans="2:9">
      <c r="G12" s="308" t="s">
        <v>2232</v>
      </c>
      <c r="H12" s="308"/>
      <c r="I12" s="402" t="s">
        <v>2233</v>
      </c>
    </row>
    <row r="16" spans="2:9">
      <c r="B16" t="s">
        <v>8891</v>
      </c>
      <c r="H16" t="s">
        <v>8892</v>
      </c>
    </row>
    <row r="18" spans="1:12">
      <c r="A18" t="s">
        <v>8893</v>
      </c>
      <c r="B18" s="400" t="s">
        <v>2221</v>
      </c>
      <c r="C18" s="400"/>
      <c r="G18" t="s">
        <v>1011</v>
      </c>
      <c r="H18" t="s">
        <v>8894</v>
      </c>
      <c r="I18">
        <v>9</v>
      </c>
      <c r="J18" t="s">
        <v>8893</v>
      </c>
      <c r="K18" s="400"/>
      <c r="L18" s="400" t="s">
        <v>2216</v>
      </c>
    </row>
    <row r="19" spans="1:12">
      <c r="A19" t="s">
        <v>8893</v>
      </c>
      <c r="B19" s="399" t="s">
        <v>2219</v>
      </c>
      <c r="C19" s="399" t="s">
        <v>8885</v>
      </c>
      <c r="G19" t="s">
        <v>1011</v>
      </c>
      <c r="H19" t="s">
        <v>8894</v>
      </c>
      <c r="I19">
        <v>9</v>
      </c>
      <c r="J19" t="s">
        <v>8893</v>
      </c>
      <c r="K19" s="399" t="s">
        <v>8885</v>
      </c>
      <c r="L19" s="399" t="s">
        <v>2220</v>
      </c>
    </row>
    <row r="20" spans="1:12">
      <c r="A20" t="s">
        <v>8893</v>
      </c>
      <c r="B20" s="399" t="s">
        <v>2222</v>
      </c>
      <c r="C20" s="399" t="s">
        <v>8886</v>
      </c>
      <c r="G20" t="s">
        <v>1011</v>
      </c>
      <c r="H20" t="s">
        <v>8894</v>
      </c>
      <c r="I20">
        <v>9</v>
      </c>
      <c r="J20" t="s">
        <v>8893</v>
      </c>
      <c r="K20" s="399" t="s">
        <v>8886</v>
      </c>
      <c r="L20" s="399" t="s">
        <v>2223</v>
      </c>
    </row>
    <row r="21" spans="1:12">
      <c r="A21" t="s">
        <v>8893</v>
      </c>
      <c r="B21" s="399" t="s">
        <v>2224</v>
      </c>
      <c r="C21" s="399" t="s">
        <v>8887</v>
      </c>
      <c r="G21" t="s">
        <v>1011</v>
      </c>
      <c r="H21" t="s">
        <v>8894</v>
      </c>
      <c r="I21">
        <v>9</v>
      </c>
      <c r="J21" t="s">
        <v>8893</v>
      </c>
      <c r="K21" s="399" t="s">
        <v>8887</v>
      </c>
      <c r="L21" s="399" t="s">
        <v>2225</v>
      </c>
    </row>
    <row r="22" spans="1:12">
      <c r="A22" t="s">
        <v>8893</v>
      </c>
      <c r="B22" s="399" t="s">
        <v>2226</v>
      </c>
      <c r="C22" s="399" t="s">
        <v>8888</v>
      </c>
      <c r="G22" t="s">
        <v>1011</v>
      </c>
      <c r="H22" t="s">
        <v>8894</v>
      </c>
      <c r="I22">
        <v>9</v>
      </c>
      <c r="J22" t="s">
        <v>8893</v>
      </c>
      <c r="K22" s="399" t="s">
        <v>8888</v>
      </c>
      <c r="L22" s="399" t="s">
        <v>2227</v>
      </c>
    </row>
    <row r="23" spans="1:12">
      <c r="A23" t="s">
        <v>8893</v>
      </c>
      <c r="B23" s="399" t="s">
        <v>2228</v>
      </c>
      <c r="C23" s="399" t="s">
        <v>8889</v>
      </c>
      <c r="G23" t="s">
        <v>1011</v>
      </c>
      <c r="H23" t="s">
        <v>8894</v>
      </c>
      <c r="I23">
        <v>9</v>
      </c>
      <c r="J23" t="s">
        <v>8893</v>
      </c>
      <c r="K23" s="399" t="s">
        <v>8889</v>
      </c>
      <c r="L23" s="399" t="s">
        <v>2229</v>
      </c>
    </row>
    <row r="24" spans="1:12">
      <c r="A24" t="s">
        <v>8893</v>
      </c>
      <c r="B24" s="399" t="s">
        <v>2230</v>
      </c>
      <c r="C24" s="399" t="s">
        <v>8890</v>
      </c>
      <c r="G24" t="s">
        <v>1011</v>
      </c>
      <c r="H24" t="s">
        <v>8894</v>
      </c>
      <c r="I24">
        <v>9</v>
      </c>
      <c r="J24" t="s">
        <v>8893</v>
      </c>
      <c r="K24" s="399" t="s">
        <v>8890</v>
      </c>
      <c r="L24" s="399" t="s">
        <v>2231</v>
      </c>
    </row>
    <row r="25" spans="1:12">
      <c r="A25" t="s">
        <v>8893</v>
      </c>
      <c r="B25" s="308" t="s">
        <v>2232</v>
      </c>
      <c r="C25" s="308"/>
      <c r="G25" t="s">
        <v>1011</v>
      </c>
      <c r="H25" t="s">
        <v>8894</v>
      </c>
      <c r="I25">
        <v>9</v>
      </c>
      <c r="J25" t="s">
        <v>8893</v>
      </c>
      <c r="K25" s="308"/>
      <c r="L25" s="402" t="s">
        <v>2233</v>
      </c>
    </row>
    <row r="31" spans="1:12">
      <c r="D31" t="s">
        <v>8895</v>
      </c>
    </row>
    <row r="32" spans="1:12">
      <c r="B32" t="s">
        <v>8896</v>
      </c>
      <c r="C32" t="s">
        <v>8893</v>
      </c>
      <c r="D32" t="s">
        <v>1011</v>
      </c>
      <c r="E32" t="s">
        <v>8894</v>
      </c>
      <c r="F32">
        <v>9</v>
      </c>
    </row>
  </sheetData>
  <pageMargins left="0.7" right="0.7" top="0.75" bottom="0.75" header="0.3" footer="0.3"/>
  <pageSetup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9"/>
  <sheetViews>
    <sheetView workbookViewId="0"/>
  </sheetViews>
  <sheetFormatPr defaultRowHeight="14.5"/>
  <cols>
    <col min="4" max="4" width="18.54296875" bestFit="1" customWidth="1"/>
    <col min="5" max="5" width="14.54296875" customWidth="1"/>
    <col min="6" max="6" width="33.81640625" bestFit="1" customWidth="1"/>
    <col min="7" max="7" width="19.81640625" customWidth="1"/>
    <col min="8" max="8" width="28.81640625" customWidth="1"/>
    <col min="9" max="9" width="58.26953125" customWidth="1"/>
  </cols>
  <sheetData>
    <row r="1" spans="1:15">
      <c r="A1" s="530" t="s">
        <v>8897</v>
      </c>
      <c r="B1" s="530"/>
      <c r="C1" s="530"/>
      <c r="D1" s="530"/>
      <c r="E1" s="530"/>
      <c r="F1" s="530"/>
      <c r="G1" s="530"/>
      <c r="H1" s="530"/>
      <c r="I1" s="530"/>
    </row>
    <row r="2" spans="1:15">
      <c r="A2" s="530" t="s">
        <v>8898</v>
      </c>
      <c r="B2" s="530"/>
      <c r="C2" s="530"/>
      <c r="D2" s="530"/>
      <c r="E2" s="530"/>
      <c r="F2" s="530"/>
      <c r="G2" s="530"/>
      <c r="H2" s="530"/>
      <c r="I2" s="530"/>
    </row>
    <row r="3" spans="1:15">
      <c r="A3" s="530" t="s">
        <v>8899</v>
      </c>
      <c r="B3" s="530"/>
      <c r="C3" s="530"/>
      <c r="D3" s="530"/>
      <c r="E3" s="530"/>
      <c r="F3" s="530"/>
      <c r="G3" s="530"/>
      <c r="H3" s="530"/>
      <c r="I3" s="530"/>
    </row>
    <row r="4" spans="1:15">
      <c r="A4" s="549" t="s">
        <v>8900</v>
      </c>
      <c r="B4" s="549"/>
      <c r="C4" s="549"/>
      <c r="D4" s="549"/>
      <c r="E4" s="549"/>
      <c r="F4" s="549"/>
      <c r="G4" s="549"/>
      <c r="H4" s="549"/>
      <c r="I4" s="549"/>
    </row>
    <row r="6" spans="1:15">
      <c r="D6" s="532" t="s">
        <v>8901</v>
      </c>
      <c r="E6" s="533" t="s">
        <v>8902</v>
      </c>
      <c r="F6" s="534" t="s">
        <v>8903</v>
      </c>
      <c r="G6" s="533" t="s">
        <v>8904</v>
      </c>
      <c r="H6" s="533" t="s">
        <v>8905</v>
      </c>
      <c r="I6" s="535" t="s">
        <v>6262</v>
      </c>
      <c r="O6" s="481"/>
    </row>
    <row r="7" spans="1:15">
      <c r="D7" s="536" t="s">
        <v>81</v>
      </c>
      <c r="E7" s="531">
        <v>1</v>
      </c>
      <c r="F7" s="537"/>
      <c r="G7" s="531"/>
      <c r="H7" s="531" t="s">
        <v>2224</v>
      </c>
      <c r="I7" s="538" t="s">
        <v>2225</v>
      </c>
    </row>
    <row r="8" spans="1:15">
      <c r="D8" s="539" t="s">
        <v>81</v>
      </c>
      <c r="E8" s="265">
        <v>1</v>
      </c>
      <c r="F8" s="540"/>
      <c r="G8" s="265"/>
      <c r="H8" s="265" t="s">
        <v>2228</v>
      </c>
      <c r="I8" s="541" t="s">
        <v>2229</v>
      </c>
    </row>
    <row r="9" spans="1:15">
      <c r="D9" s="539" t="s">
        <v>81</v>
      </c>
      <c r="E9" s="265">
        <v>1</v>
      </c>
      <c r="F9" s="540"/>
      <c r="G9" s="265"/>
      <c r="H9" s="265" t="s">
        <v>2219</v>
      </c>
      <c r="I9" s="541" t="s">
        <v>2220</v>
      </c>
    </row>
    <row r="10" spans="1:15">
      <c r="D10" s="539" t="s">
        <v>81</v>
      </c>
      <c r="E10" s="265">
        <v>1</v>
      </c>
      <c r="F10" s="540"/>
      <c r="G10" s="265"/>
      <c r="H10" s="265" t="s">
        <v>2226</v>
      </c>
      <c r="I10" s="541" t="s">
        <v>2227</v>
      </c>
    </row>
    <row r="11" spans="1:15">
      <c r="D11" s="539" t="s">
        <v>81</v>
      </c>
      <c r="E11" s="265">
        <v>1</v>
      </c>
      <c r="F11" s="540"/>
      <c r="G11" s="265"/>
      <c r="H11" s="265" t="s">
        <v>2230</v>
      </c>
      <c r="I11" s="541" t="s">
        <v>8906</v>
      </c>
    </row>
    <row r="12" spans="1:15">
      <c r="D12" s="539" t="s">
        <v>81</v>
      </c>
      <c r="E12" s="265">
        <v>2</v>
      </c>
      <c r="F12" s="540"/>
      <c r="G12" s="265" t="s">
        <v>6277</v>
      </c>
      <c r="H12" s="265" t="s">
        <v>2222</v>
      </c>
      <c r="I12" s="541" t="s">
        <v>8907</v>
      </c>
    </row>
    <row r="13" spans="1:15">
      <c r="D13" s="539" t="s">
        <v>81</v>
      </c>
      <c r="E13" s="265">
        <v>2</v>
      </c>
      <c r="F13" s="540"/>
      <c r="G13" s="265" t="s">
        <v>6280</v>
      </c>
      <c r="H13" s="265" t="s">
        <v>2222</v>
      </c>
      <c r="I13" s="541" t="s">
        <v>8908</v>
      </c>
      <c r="O13" s="483" t="s">
        <v>6287</v>
      </c>
    </row>
    <row r="14" spans="1:15">
      <c r="D14" s="539" t="s">
        <v>81</v>
      </c>
      <c r="E14" s="540" t="s">
        <v>8909</v>
      </c>
      <c r="F14" s="546" t="s">
        <v>8910</v>
      </c>
      <c r="G14" s="265"/>
      <c r="H14" s="265"/>
      <c r="I14" s="541" t="s">
        <v>8911</v>
      </c>
      <c r="O14" s="545"/>
    </row>
    <row r="15" spans="1:15">
      <c r="D15" s="542" t="s">
        <v>81</v>
      </c>
      <c r="E15" s="543">
        <v>1</v>
      </c>
      <c r="F15" s="547"/>
      <c r="G15" s="543"/>
      <c r="H15" s="543" t="s">
        <v>6287</v>
      </c>
      <c r="I15" s="548" t="s">
        <v>8912</v>
      </c>
    </row>
    <row r="16" spans="1:15">
      <c r="D16" s="544"/>
    </row>
    <row r="18" spans="6:8">
      <c r="H18" t="s">
        <v>8913</v>
      </c>
    </row>
    <row r="19" spans="6:8" ht="304.5">
      <c r="F19" s="6" t="s">
        <v>8914</v>
      </c>
      <c r="H19" t="s">
        <v>8915</v>
      </c>
    </row>
  </sheetData>
  <autoFilter ref="D6:I15">
    <sortState ref="D7:I15">
      <sortCondition ref="E6:E15"/>
    </sortState>
  </autoFilter>
  <pageMargins left="0.7" right="0.7" top="0.75" bottom="0.75" header="0.3" footer="0.3"/>
  <pageSetup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dimension ref="A1:E30"/>
  <sheetViews>
    <sheetView workbookViewId="0">
      <selection activeCell="C11" sqref="C11"/>
    </sheetView>
  </sheetViews>
  <sheetFormatPr defaultRowHeight="14.5"/>
  <cols>
    <col min="1" max="1" width="80.81640625" bestFit="1" customWidth="1"/>
    <col min="5" max="5" width="80.81640625" bestFit="1" customWidth="1"/>
  </cols>
  <sheetData>
    <row r="1" spans="1:5">
      <c r="A1" s="53" t="s">
        <v>8916</v>
      </c>
      <c r="E1" s="375" t="s">
        <v>8917</v>
      </c>
    </row>
    <row r="2" spans="1:5">
      <c r="A2" s="54" t="s">
        <v>5</v>
      </c>
      <c r="E2" s="376" t="s">
        <v>5</v>
      </c>
    </row>
    <row r="3" spans="1:5" ht="15" customHeight="1">
      <c r="A3" s="52" t="s">
        <v>6</v>
      </c>
      <c r="E3" s="373" t="s">
        <v>12</v>
      </c>
    </row>
    <row r="4" spans="1:5">
      <c r="A4" s="54" t="s">
        <v>7</v>
      </c>
      <c r="E4" s="372" t="s">
        <v>13</v>
      </c>
    </row>
    <row r="5" spans="1:5">
      <c r="A5" s="52" t="s">
        <v>8</v>
      </c>
      <c r="E5" s="374" t="s">
        <v>14</v>
      </c>
    </row>
    <row r="6" spans="1:5">
      <c r="A6" s="54" t="s">
        <v>1602</v>
      </c>
    </row>
    <row r="7" spans="1:5">
      <c r="A7" s="52" t="s">
        <v>629</v>
      </c>
    </row>
    <row r="8" spans="1:5">
      <c r="A8" s="55" t="s">
        <v>11</v>
      </c>
    </row>
    <row r="12" spans="1:5">
      <c r="A12" t="s">
        <v>0</v>
      </c>
    </row>
    <row r="28" ht="84.75" customHeight="1"/>
    <row r="29" ht="82.5" customHeight="1"/>
    <row r="30" ht="98.25" customHeight="1"/>
  </sheetData>
  <pageMargins left="0.7" right="0.7" top="0.75" bottom="0.75" header="0.3" footer="0.3"/>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Z27"/>
  <sheetViews>
    <sheetView zoomScale="70" zoomScaleNormal="70" workbookViewId="0">
      <selection activeCell="I4" sqref="I4"/>
    </sheetView>
  </sheetViews>
  <sheetFormatPr defaultRowHeight="14.5"/>
  <cols>
    <col min="1" max="1" width="0.54296875" customWidth="1"/>
    <col min="2" max="2" width="29" customWidth="1"/>
    <col min="3" max="3" width="32.81640625" customWidth="1"/>
    <col min="4" max="4" width="43.1796875" hidden="1" customWidth="1"/>
    <col min="5" max="5" width="5.453125" style="56" bestFit="1" customWidth="1"/>
    <col min="6" max="7" width="8.7265625" style="56" customWidth="1"/>
    <col min="8" max="8" width="9.26953125" style="56" customWidth="1"/>
    <col min="9" max="10" width="9" style="56" customWidth="1"/>
    <col min="11" max="12" width="12.81640625" style="56" customWidth="1"/>
    <col min="13" max="14" width="13.26953125" style="56" customWidth="1"/>
    <col min="15" max="16" width="13.81640625" style="56" customWidth="1"/>
    <col min="17" max="18" width="13.453125" style="56" customWidth="1"/>
    <col min="19" max="24" width="9.7265625" style="56" customWidth="1"/>
  </cols>
  <sheetData>
    <row r="1" spans="2:24" ht="1.5" customHeight="1" thickBot="1"/>
    <row r="2" spans="2:24" s="2" customFormat="1" ht="107.5" customHeight="1" thickBot="1">
      <c r="B2" s="2" t="s">
        <v>0</v>
      </c>
      <c r="E2" s="1357" t="s">
        <v>4</v>
      </c>
      <c r="F2" s="1358"/>
      <c r="G2" s="1359" t="s">
        <v>8918</v>
      </c>
      <c r="H2" s="1356"/>
      <c r="I2" s="1355" t="s">
        <v>287</v>
      </c>
      <c r="J2" s="1356"/>
      <c r="K2" s="1355" t="s">
        <v>8919</v>
      </c>
      <c r="L2" s="1356"/>
      <c r="M2" s="1355" t="s">
        <v>8920</v>
      </c>
      <c r="N2" s="1356"/>
      <c r="O2" s="1355" t="s">
        <v>8921</v>
      </c>
      <c r="P2" s="1356"/>
      <c r="Q2" s="1355" t="s">
        <v>299</v>
      </c>
      <c r="R2" s="1356"/>
      <c r="S2" s="1355" t="s">
        <v>620</v>
      </c>
      <c r="T2" s="1356"/>
      <c r="U2" s="1355" t="s">
        <v>465</v>
      </c>
      <c r="V2" s="1356"/>
      <c r="W2" s="1355" t="s">
        <v>406</v>
      </c>
      <c r="X2" s="1356"/>
    </row>
    <row r="3" spans="2:24" s="57" customFormat="1" ht="14.25" customHeight="1">
      <c r="B3" s="60" t="s">
        <v>15</v>
      </c>
      <c r="C3" s="61" t="s">
        <v>16</v>
      </c>
      <c r="D3" s="66" t="s">
        <v>17</v>
      </c>
      <c r="E3" s="69" t="s">
        <v>18</v>
      </c>
      <c r="F3" s="78" t="s">
        <v>8922</v>
      </c>
      <c r="G3" s="58" t="s">
        <v>18</v>
      </c>
      <c r="H3" s="70" t="s">
        <v>19</v>
      </c>
      <c r="I3" s="69" t="s">
        <v>18</v>
      </c>
      <c r="J3" s="70" t="s">
        <v>19</v>
      </c>
      <c r="K3" s="69" t="s">
        <v>18</v>
      </c>
      <c r="L3" s="70" t="s">
        <v>19</v>
      </c>
      <c r="M3" s="69" t="s">
        <v>18</v>
      </c>
      <c r="N3" s="70" t="s">
        <v>19</v>
      </c>
      <c r="O3" s="69" t="s">
        <v>18</v>
      </c>
      <c r="P3" s="70" t="s">
        <v>19</v>
      </c>
      <c r="Q3" s="69" t="s">
        <v>18</v>
      </c>
      <c r="R3" s="70" t="s">
        <v>19</v>
      </c>
      <c r="S3" s="69" t="s">
        <v>18</v>
      </c>
      <c r="T3" s="70" t="s">
        <v>19</v>
      </c>
      <c r="U3" s="69" t="s">
        <v>18</v>
      </c>
      <c r="V3" s="70" t="s">
        <v>19</v>
      </c>
      <c r="W3" s="69" t="s">
        <v>18</v>
      </c>
      <c r="X3" s="70" t="s">
        <v>19</v>
      </c>
    </row>
    <row r="4" spans="2:24">
      <c r="B4" s="769" t="s">
        <v>20</v>
      </c>
      <c r="C4" s="62" t="s">
        <v>21</v>
      </c>
      <c r="D4" s="67" t="s">
        <v>22</v>
      </c>
      <c r="E4" s="71">
        <f>COUNTA(LEGALP_INSTRUMENTS!A3:A27)</f>
        <v>7</v>
      </c>
      <c r="F4" s="79">
        <f>SUM(H4,J4,L4,N4,P4,R4,T4,V4,X4)</f>
        <v>0.2857142857142857</v>
      </c>
      <c r="G4" s="76">
        <f>COUNTIF(LEGALP_INSTRUMENTS!R:R,"Concluido")</f>
        <v>0</v>
      </c>
      <c r="H4" s="72">
        <f>G4/E4</f>
        <v>0</v>
      </c>
      <c r="I4" s="82">
        <f>COUNTIF(LEGALP_INSTRUMENTS!R:R,"Alterações ao Motor LT - Novos Campos: Definição Fechada / Dados existem no Datalake")</f>
        <v>1</v>
      </c>
      <c r="J4" s="72">
        <f>I4/E4</f>
        <v>0.14285714285714285</v>
      </c>
      <c r="K4" s="75">
        <f>COUNTIF(LEGALP_INSTRUMENTS!R:R,"Alterações ao Motor LT - Novos Campos: Definição Fechada / Dados não existem no Datalake -&gt; Ingesta")</f>
        <v>0</v>
      </c>
      <c r="L4" s="72">
        <f>K4/E4</f>
        <v>0</v>
      </c>
      <c r="M4" s="75">
        <f>COUNTIF(LEGALP_INSTRUMENTS!R:R,"Alterações ao Motor LT - Novos Campos: Definição Fechada / Dados não existem no Datalake -&gt; Ingesta + Dev Datalake (tabelas intermédias) ")</f>
        <v>0</v>
      </c>
      <c r="N4" s="72">
        <f>M4/E4</f>
        <v>0</v>
      </c>
      <c r="O4" s="75">
        <f>COUNTIF(LEGALP_INSTRUMENTS!R:R,"Alterações ao Motor LT - Novos Campos: Definição Fechada / Dados não existem no Datalake -&gt; Ingesta + Dev Datalake (tabelas intermédias) + Dev Aplicação Origem")</f>
        <v>0</v>
      </c>
      <c r="P4" s="72">
        <f>O4/E4</f>
        <v>0</v>
      </c>
      <c r="Q4" s="75">
        <f>COUNTIF(LEGALP_INSTRUMENTS!R:R,"Alterações ao Motor LT - Novos Campos: Definição Incompleta / Dados existem no Datalake")</f>
        <v>1</v>
      </c>
      <c r="R4" s="72">
        <f>Q4/E4</f>
        <v>0.14285714285714285</v>
      </c>
      <c r="S4" s="75">
        <f>COUNTIF(LEGALP_INSTRUMENTS!R:R,"Alterações ao Motor LT - Novos Campos: Definição Incompleta / Dados existem no Datalake -&gt; Dev Datalake (tabelas intermédias)")</f>
        <v>0</v>
      </c>
      <c r="T4" s="72">
        <f>S4/E4</f>
        <v>0</v>
      </c>
      <c r="U4" s="75">
        <f>COUNTIF(LEGALP_INSTRUMENTS!R:R,"Alterações ao Motor LT - Novos Campos: Definição Incompleta / Dados não existem no Datalake")</f>
        <v>0</v>
      </c>
      <c r="V4" s="72">
        <f t="shared" ref="V4:V22" si="0">U4/E4</f>
        <v>0</v>
      </c>
      <c r="W4" s="75">
        <f>COUNTIF(LEGALP_INSTRUMENTS!R:R,"Alterações ao Motor LT - Novos Campos: Definição por Iniciar")</f>
        <v>0</v>
      </c>
      <c r="X4" s="72">
        <f t="shared" ref="X4:X22" si="1">W4/E4</f>
        <v>0</v>
      </c>
    </row>
    <row r="5" spans="2:24">
      <c r="B5" s="770"/>
      <c r="C5" s="62" t="s">
        <v>23</v>
      </c>
      <c r="D5" s="67" t="s">
        <v>24</v>
      </c>
      <c r="E5" s="71">
        <f>COUNTA(LEGALP_COUNTERPARTIES!A3:A27)</f>
        <v>5</v>
      </c>
      <c r="F5" s="79">
        <f t="shared" ref="F5:F20" si="2">SUM(H5,J5,L5,N5,P5,R5,T5,V5,X5)</f>
        <v>0.4</v>
      </c>
      <c r="G5" s="76">
        <f>COUNTIF(LEGALP_COUNTERPARTIES!R:R,"Concluido")</f>
        <v>0</v>
      </c>
      <c r="H5" s="72">
        <f t="shared" ref="H5:H22" si="3">G5/E5</f>
        <v>0</v>
      </c>
      <c r="I5" s="75">
        <f>COUNTIF(LEGALP_COUNTERPARTIES!R:R,"Alterações ao Motor LT - Novos Campos: Definição Fechada / Dados existem no Datalake")</f>
        <v>1</v>
      </c>
      <c r="J5" s="72">
        <f t="shared" ref="J5:J22" si="4">I5/E5</f>
        <v>0.2</v>
      </c>
      <c r="K5" s="75">
        <f>COUNTIF(LEGALP_COUNTERPARTIES!R:R,"Alterações ao Motor LT - Novos Campos: Definição Fechada / Dados não existem no Datalake -&gt; Ingesta")</f>
        <v>0</v>
      </c>
      <c r="L5" s="72">
        <f t="shared" ref="L5:L22" si="5">K5/E5</f>
        <v>0</v>
      </c>
      <c r="M5" s="75">
        <f>COUNTIF(LEGALP_COUNTERPARTIES!R:R,"Alterações ao Motor LT - Novos Campos: Definição Fechada / Dados não existem no Datalake -&gt; Ingesta + Dev Datalake (tabelas intermédias) ")</f>
        <v>0</v>
      </c>
      <c r="N5" s="72">
        <f t="shared" ref="N5:N22" si="6">M5/E5</f>
        <v>0</v>
      </c>
      <c r="O5" s="75">
        <f>COUNTIF(LEGALP_COUNTERPARTIES!R:R,"Alterações ao Motor LT - Novos Campos: Definição Fechada / Dados não existem no Datalake -&gt; Ingesta + Dev Datalake (tabelas intermédias) + Dev Aplicação Origem")</f>
        <v>0</v>
      </c>
      <c r="P5" s="72">
        <f t="shared" ref="P5:P22" si="7">O5/E5</f>
        <v>0</v>
      </c>
      <c r="Q5" s="75">
        <f>COUNTIF(LEGALP_COUNTERPARTIES!R:R,"Alterações ao Motor LT - Novos Campos: Definição Incompleta / Dados existem no Datalake")</f>
        <v>0</v>
      </c>
      <c r="R5" s="72">
        <f t="shared" ref="R5:R22" si="8">Q5/E5</f>
        <v>0</v>
      </c>
      <c r="S5" s="75">
        <f>COUNTIF(LEGALP_COUNTERPARTIES!R:R,"Alterações ao Motor LT - Novos Campos: Definição Incompleta / Dados existem no Datalake -&gt; Dev Datalake (tabelas intermédias)")</f>
        <v>0</v>
      </c>
      <c r="T5" s="72">
        <f t="shared" ref="T5:T22" si="9">S5/E5</f>
        <v>0</v>
      </c>
      <c r="U5" s="75">
        <f>COUNTIF(LEGALP_COUNTERPARTIES!R:R,"Alterações ao Motor LT - Novos Campos: Definição Incompleta / Dados não existem no Datalake")</f>
        <v>0</v>
      </c>
      <c r="V5" s="72">
        <f t="shared" si="0"/>
        <v>0</v>
      </c>
      <c r="W5" s="75">
        <f>COUNTIF(LEGALP_COUNTERPARTIES!R:R,"Alterações ao Motor LT - Novos Campos: Definição por Iniciar")</f>
        <v>1</v>
      </c>
      <c r="X5" s="72">
        <f t="shared" si="1"/>
        <v>0.2</v>
      </c>
    </row>
    <row r="6" spans="2:24">
      <c r="B6" s="770"/>
      <c r="C6" s="62" t="s">
        <v>25</v>
      </c>
      <c r="D6" s="67" t="s">
        <v>26</v>
      </c>
      <c r="E6" s="71">
        <f>COUNTA(LEGALP_PROTECTIONS!A3:A18)</f>
        <v>8</v>
      </c>
      <c r="F6" s="79">
        <f t="shared" si="2"/>
        <v>0.625</v>
      </c>
      <c r="G6" s="76">
        <f>COUNTIF(LEGALP_PROTECTIONS!R:R,"Concluido")</f>
        <v>0</v>
      </c>
      <c r="H6" s="72">
        <f t="shared" si="3"/>
        <v>0</v>
      </c>
      <c r="I6" s="82">
        <f>COUNTIF(LEGALP_PROTECTIONS!R:R,"Alterações ao Motor LT - Novos Campos: Definição Fechada / Dados existem no Datalake")</f>
        <v>2</v>
      </c>
      <c r="J6" s="72">
        <f t="shared" si="4"/>
        <v>0.25</v>
      </c>
      <c r="K6" s="75">
        <f>COUNTIF(LEGALP_PROTECTIONS!R:R,"Alterações ao Motor LT - Novos Campos: Definição Fechada / Dados não existem no Datalake -&gt; Ingesta")</f>
        <v>0</v>
      </c>
      <c r="L6" s="72">
        <f t="shared" si="5"/>
        <v>0</v>
      </c>
      <c r="M6" s="75">
        <f>COUNTIF(LEGALP_PROTECTIONS!R:R,"Alterações ao Motor LT - Novos Campos: Definição Fechada / Dados não existem no Datalake -&gt; Ingesta + Dev Datalake (tabelas intermédias) ")</f>
        <v>0</v>
      </c>
      <c r="N6" s="72">
        <f t="shared" si="6"/>
        <v>0</v>
      </c>
      <c r="O6" s="75">
        <f>COUNTIF(LEGALP_PROTECTIONS!R:R,"Alterações ao Motor LT - Novos Campos: Definição Fechada / Dados não existem no Datalake -&gt; Ingesta + Dev Datalake (tabelas intermédias) + Dev Aplicação Origem")</f>
        <v>0</v>
      </c>
      <c r="P6" s="72">
        <f t="shared" si="7"/>
        <v>0</v>
      </c>
      <c r="Q6" s="75">
        <f>COUNTIF(LEGALP_PROTECTIONS!R:R,"Alterações ao Motor LT - Novos Campos: Definição Incompleta / Dados existem no Datalake")</f>
        <v>0</v>
      </c>
      <c r="R6" s="72">
        <f t="shared" si="8"/>
        <v>0</v>
      </c>
      <c r="S6" s="75">
        <f>COUNTIF(LEGALP_PROTECTIONS!R:R,"Alterações ao Motor LT - Novos Campos: Definição Incompleta / Dados existem no Datalake -&gt; Dev Datalake (tabelas intermédias)")</f>
        <v>0</v>
      </c>
      <c r="T6" s="72">
        <f t="shared" si="9"/>
        <v>0</v>
      </c>
      <c r="U6" s="75">
        <f>COUNTIF(LEGALP_PROTECTIONS!R:R,"Alterações ao Motor LT - Novos Campos: Definição Incompleta / Dados não existem no Datalake")</f>
        <v>2</v>
      </c>
      <c r="V6" s="72">
        <f t="shared" si="0"/>
        <v>0.25</v>
      </c>
      <c r="W6" s="75">
        <f>COUNTIF(LEGALP_PROTECTIONS!R:R,"Alterações ao Motor LT - Novos Campos: Definição por Iniciar")</f>
        <v>1</v>
      </c>
      <c r="X6" s="72">
        <f t="shared" si="1"/>
        <v>0.125</v>
      </c>
    </row>
    <row r="7" spans="2:24">
      <c r="B7" s="770"/>
      <c r="C7" s="62" t="s">
        <v>27</v>
      </c>
      <c r="D7" s="67" t="s">
        <v>28</v>
      </c>
      <c r="E7" s="71">
        <f>COUNTA(LEGALP_INSTRUMENT_COUNTERPARTY!A3:A7)</f>
        <v>2</v>
      </c>
      <c r="F7" s="79">
        <f t="shared" si="2"/>
        <v>0</v>
      </c>
      <c r="G7" s="76">
        <f>COUNTIF(LEGALP_INSTRUMENT_COUNTERPARTY!R:R,"Concluido")</f>
        <v>0</v>
      </c>
      <c r="H7" s="72">
        <f t="shared" si="3"/>
        <v>0</v>
      </c>
      <c r="I7" s="75">
        <f>COUNTIF(LEGALP_INSTRUMENT_COUNTERPARTY!R:R,"Alterações ao Motor LT - Novos Campos: Definição Fechada / Dados existem no Datalake")</f>
        <v>0</v>
      </c>
      <c r="J7" s="72">
        <f t="shared" si="4"/>
        <v>0</v>
      </c>
      <c r="K7" s="75">
        <f>COUNTIF(LEGALP_INSTRUMENT_COUNTERPARTY!R:R,"Alterações ao Motor LT - Novos Campos: Definição Fechada / Dados não existem no Datalake -&gt; Ingesta")</f>
        <v>0</v>
      </c>
      <c r="L7" s="72">
        <f t="shared" si="5"/>
        <v>0</v>
      </c>
      <c r="M7" s="75">
        <f>COUNTIF(LEGALP_INSTRUMENT_COUNTERPARTY!R:R,"Alterações ao Motor LT - Novos Campos: Definição Fechada / Dados não existem no Datalake -&gt; Ingesta + Dev Datalake (tabelas intermédias) ")</f>
        <v>0</v>
      </c>
      <c r="N7" s="72">
        <f t="shared" si="6"/>
        <v>0</v>
      </c>
      <c r="O7" s="75">
        <f>COUNTIF(LEGALP_INSTRUMENT_COUNTERPARTY!R:R,"Alterações ao Motor LT - Novos Campos: Definição Fechada / Dados não existem no Datalake -&gt; Ingesta + Dev Datalake (tabelas intermédias) + Dev Aplicação Origem")</f>
        <v>0</v>
      </c>
      <c r="P7" s="72">
        <f t="shared" si="7"/>
        <v>0</v>
      </c>
      <c r="Q7" s="75">
        <f>COUNTIF(LEGALP_INSTRUMENT_COUNTERPARTY!R:R,"Alterações ao Motor LT - Novos Campos: Definição Incompleta / Dados existem no Datalake")</f>
        <v>0</v>
      </c>
      <c r="R7" s="72">
        <f t="shared" si="8"/>
        <v>0</v>
      </c>
      <c r="S7" s="75">
        <f>COUNTIF(LEGALP_INSTRUMENT_COUNTERPARTY!R:R,"Alterações ao Motor LT - Novos Campos: Definição Incompleta / Dados existem no Datalake -&gt; Dev Datalake (tabelas intermédias)")</f>
        <v>0</v>
      </c>
      <c r="T7" s="72">
        <f t="shared" si="9"/>
        <v>0</v>
      </c>
      <c r="U7" s="75">
        <f>COUNTIF(LEGALP_INSTRUMENT_COUNTERPARTY!R:R,"Alterações ao Motor LT - Novos Campos: Definição Incompleta / Dados não existem no Datalake")</f>
        <v>0</v>
      </c>
      <c r="V7" s="72">
        <f t="shared" si="0"/>
        <v>0</v>
      </c>
      <c r="W7" s="75">
        <f>COUNTIF(LEGALP_INSTRUMENT_COUNTERPARTY!R:R,"Alterações ao Motor LT - Novos Campos: Definição por Iniciar")</f>
        <v>0</v>
      </c>
      <c r="X7" s="72">
        <f t="shared" si="1"/>
        <v>0</v>
      </c>
    </row>
    <row r="8" spans="2:24">
      <c r="B8" s="771"/>
      <c r="C8" s="62" t="s">
        <v>29</v>
      </c>
      <c r="D8" s="67" t="s">
        <v>30</v>
      </c>
      <c r="E8" s="71">
        <f>COUNTA(LEGALP_INSTRUMENT_PROTECTION!A3:A10)</f>
        <v>2</v>
      </c>
      <c r="F8" s="79">
        <f t="shared" si="2"/>
        <v>0</v>
      </c>
      <c r="G8" s="76">
        <f>COUNTIF(LEGALP_INSTRUMENT_PROTECTION!R:R,"Concluido")</f>
        <v>0</v>
      </c>
      <c r="H8" s="72">
        <f t="shared" si="3"/>
        <v>0</v>
      </c>
      <c r="I8" s="75">
        <f>COUNTIF(LEGALP_INSTRUMENT_PROTECTION!R:R,"Alterações ao Motor LT - Novos Campos: Definição Fechada / Dados existem no Datalake")</f>
        <v>0</v>
      </c>
      <c r="J8" s="72">
        <f t="shared" si="4"/>
        <v>0</v>
      </c>
      <c r="K8" s="75">
        <f>COUNTIF(LEGALP_INSTRUMENT_PROTECTION!R:R,"Alterações ao Motor LT - Novos Campos: Definição Fechada / Dados não existem no Datalake -&gt; Ingesta")</f>
        <v>0</v>
      </c>
      <c r="L8" s="72">
        <f t="shared" si="5"/>
        <v>0</v>
      </c>
      <c r="M8" s="75">
        <f>COUNTIF(LEGALP_INSTRUMENT_PROTECTION!R:R,"Alterações ao Motor LT - Novos Campos: Definição Fechada / Dados não existem no Datalake -&gt; Ingesta + Dev Datalake (tabelas intermédias) ")</f>
        <v>0</v>
      </c>
      <c r="N8" s="72">
        <f t="shared" si="6"/>
        <v>0</v>
      </c>
      <c r="O8" s="75">
        <f>COUNTIF(LEGALP_INSTRUMENT_PROTECTION!R:R,"Alterações ao Motor LT - Novos Campos: Definição Fechada / Dados não existem no Datalake -&gt; Ingesta + Dev Datalake (tabelas intermédias) + Dev Aplicação Origem")</f>
        <v>0</v>
      </c>
      <c r="P8" s="72">
        <f t="shared" si="7"/>
        <v>0</v>
      </c>
      <c r="Q8" s="75">
        <f>COUNTIF(LEGALP_INSTRUMENT_PROTECTION!R:R,"Alterações ao Motor LT - Novos Campos: Definição Incompleta / Dados existem no Datalake")</f>
        <v>0</v>
      </c>
      <c r="R8" s="72">
        <f t="shared" si="8"/>
        <v>0</v>
      </c>
      <c r="S8" s="75">
        <f>COUNTIF(LEGALP_INSTRUMENT_PROTECTION!R:R,"Alterações ao Motor LT - Novos Campos: Definição Incompleta / Dados existem no Datalake -&gt; Dev Datalake (tabelas intermédias)")</f>
        <v>0</v>
      </c>
      <c r="T8" s="72">
        <f t="shared" si="9"/>
        <v>0</v>
      </c>
      <c r="U8" s="75">
        <f>COUNTIF(LEGALP_INSTRUMENT_PROTECTION!R:R,"Alterações ao Motor LT - Novos Campos: Definição Incompleta / Dados não existem no Datalake")</f>
        <v>0</v>
      </c>
      <c r="V8" s="72">
        <f t="shared" si="0"/>
        <v>0</v>
      </c>
      <c r="W8" s="75">
        <f>COUNTIF(LEGALP_INSTRUMENT_PROTECTION!R:R,"Alterações ao Motor LT - Novos Campos: Definição por Iniciar")</f>
        <v>0</v>
      </c>
      <c r="X8" s="72">
        <f t="shared" si="1"/>
        <v>0</v>
      </c>
    </row>
    <row r="9" spans="2:24">
      <c r="B9" s="769" t="s">
        <v>31</v>
      </c>
      <c r="C9" s="62" t="s">
        <v>21</v>
      </c>
      <c r="D9" s="67" t="s">
        <v>32</v>
      </c>
      <c r="E9" s="71">
        <f>COUNTA(NATURALP_INSTRUMENTS!A3:A142)</f>
        <v>53</v>
      </c>
      <c r="F9" s="79">
        <f t="shared" si="2"/>
        <v>0.16981132075471697</v>
      </c>
      <c r="G9" s="76">
        <f>COUNTIF(NATURALP_INSTRUMENTS!S:S,"Concluido")</f>
        <v>0</v>
      </c>
      <c r="H9" s="72">
        <f t="shared" si="3"/>
        <v>0</v>
      </c>
      <c r="I9" s="75">
        <f>COUNTIF(NATURALP_INSTRUMENTS!S:S,"Alterações ao Motor LT - Novos Campos: Definição Fechada / Dados existem no Datalake")</f>
        <v>4</v>
      </c>
      <c r="J9" s="72">
        <f t="shared" si="4"/>
        <v>7.5471698113207544E-2</v>
      </c>
      <c r="K9" s="75">
        <f>COUNTIF(NATURALP_INSTRUMENTS!S:S,"Alterações ao Motor LT - Novos Campos: Definição Fechada / Dados não existem no Datalake -&gt; Ingesta")</f>
        <v>0</v>
      </c>
      <c r="L9" s="72">
        <f t="shared" si="5"/>
        <v>0</v>
      </c>
      <c r="M9" s="75">
        <f>COUNTIF(NATURALP_INSTRUMENTS!S:S,"Alterações ao Motor LT - Novos Campos: Definição Fechada / Dados não existem no Datalake -&gt; Ingesta + Dev Datalake (tabelas intermédias) ")</f>
        <v>0</v>
      </c>
      <c r="N9" s="72">
        <f t="shared" si="6"/>
        <v>0</v>
      </c>
      <c r="O9" s="75">
        <f>COUNTIF(NATURALP_INSTRUMENTS!S:S,"Alterações ao Motor LT - Novos Campos: Definição Fechada / Dados não existem no Datalake -&gt; Ingesta + Dev Datalake (tabelas intermédias) + Dev Aplicação Origem")</f>
        <v>0</v>
      </c>
      <c r="P9" s="72">
        <f t="shared" si="7"/>
        <v>0</v>
      </c>
      <c r="Q9" s="75">
        <f>COUNTIF(NATURALP_INSTRUMENTS!S:S,"Alterações ao Motor LT - Novos Campos: Definição Incompleta / Dados existem no Datalake")</f>
        <v>2</v>
      </c>
      <c r="R9" s="72">
        <f t="shared" si="8"/>
        <v>3.7735849056603772E-2</v>
      </c>
      <c r="S9" s="75">
        <f>COUNTIF(NATURALP_INSTRUMENTS!S:S,"Alterações ao Motor LT - Novos Campos: Definição Incompleta / Dados existem no Datalake -&gt; Dev Datalake (tabelas intermédias)")</f>
        <v>2</v>
      </c>
      <c r="T9" s="72">
        <f t="shared" si="9"/>
        <v>3.7735849056603772E-2</v>
      </c>
      <c r="U9" s="75">
        <f>COUNTIF(NATURALP_INSTRUMENTS!S:S,"Alterações ao Motor LT - Novos Campos: Definição Incompleta / Dados não existem no Datalake")</f>
        <v>1</v>
      </c>
      <c r="V9" s="72">
        <f t="shared" si="0"/>
        <v>1.8867924528301886E-2</v>
      </c>
      <c r="W9" s="75">
        <f>COUNTIF(NATURALP_INSTRUMENTS!S:S,"Alterações ao Motor LT - Novos Campos: Definição por Iniciar")</f>
        <v>0</v>
      </c>
      <c r="X9" s="72">
        <f t="shared" si="1"/>
        <v>0</v>
      </c>
    </row>
    <row r="10" spans="2:24">
      <c r="B10" s="770"/>
      <c r="C10" s="62" t="s">
        <v>23</v>
      </c>
      <c r="D10" s="67" t="s">
        <v>33</v>
      </c>
      <c r="E10" s="71">
        <f>COUNTA(NATURALP_COUNTERPARTIES!A3:A29)</f>
        <v>8</v>
      </c>
      <c r="F10" s="79">
        <f t="shared" si="2"/>
        <v>0.375</v>
      </c>
      <c r="G10" s="76">
        <f>COUNTIF(NATURALP_COUNTERPARTIES!R:R,"Concluido")</f>
        <v>0</v>
      </c>
      <c r="H10" s="72">
        <f t="shared" si="3"/>
        <v>0</v>
      </c>
      <c r="I10" s="75">
        <f>COUNTIF(NATURALP_COUNTERPARTIES!R:R,"Alterações ao Motor LT - Novos Campos: Definição Fechada / Dados existem no Datalake")</f>
        <v>2</v>
      </c>
      <c r="J10" s="72">
        <f t="shared" si="4"/>
        <v>0.25</v>
      </c>
      <c r="K10" s="75">
        <f>COUNTIF(NATURALP_COUNTERPARTIES!R:R,"Alterações ao Motor LT - Novos Campos: Definição Fechada / Dados não existem no Datalake -&gt; Ingesta")</f>
        <v>0</v>
      </c>
      <c r="L10" s="72">
        <f t="shared" si="5"/>
        <v>0</v>
      </c>
      <c r="M10" s="75">
        <f>COUNTIF(NATURALP_COUNTERPARTIES!R:R,"Alterações ao Motor LT - Novos Campos: Definição Fechada / Dados não existem no Datalake -&gt; Ingesta + Dev Datalake (tabelas intermédias) ")</f>
        <v>0</v>
      </c>
      <c r="N10" s="72">
        <f t="shared" si="6"/>
        <v>0</v>
      </c>
      <c r="O10" s="75">
        <f>COUNTIF(NATURALP_COUNTERPARTIES!R:R,"Alterações ao Motor LT - Novos Campos: Definição Fechada / Dados não existem no Datalake -&gt; Ingesta + Dev Datalake (tabelas intermédias) + Dev Aplicação Origem")</f>
        <v>0</v>
      </c>
      <c r="P10" s="72">
        <f t="shared" si="7"/>
        <v>0</v>
      </c>
      <c r="Q10" s="75">
        <f>COUNTIF(NATURALP_COUNTERPARTIES!R:R,"Alterações ao Motor LT - Novos Campos: Definição Incompleta / Dados existem no Datalake")</f>
        <v>0</v>
      </c>
      <c r="R10" s="72">
        <f t="shared" si="8"/>
        <v>0</v>
      </c>
      <c r="S10" s="75">
        <f>COUNTIF(NATURALP_COUNTERPARTIES!R:R,"Alterações ao Motor LT - Novos Campos: Definição Incompleta / Dados existem no Datalake -&gt; Dev Datalake (tabelas intermédias)")</f>
        <v>0</v>
      </c>
      <c r="T10" s="72">
        <f t="shared" si="9"/>
        <v>0</v>
      </c>
      <c r="U10" s="75">
        <f>COUNTIF(NATURALP_COUNTERPARTIES!R:R,"Alterações ao Motor LT - Novos Campos: Definição Incompleta / Dados não existem no Datalake")</f>
        <v>0</v>
      </c>
      <c r="V10" s="72">
        <f t="shared" si="0"/>
        <v>0</v>
      </c>
      <c r="W10" s="75">
        <f>COUNTIF(NATURALP_COUNTERPARTIES!R:R,"Alterações ao Motor LT - Novos Campos: Definição por Iniciar")</f>
        <v>1</v>
      </c>
      <c r="X10" s="72">
        <f t="shared" si="1"/>
        <v>0.125</v>
      </c>
    </row>
    <row r="11" spans="2:24">
      <c r="B11" s="770"/>
      <c r="C11" s="62" t="s">
        <v>25</v>
      </c>
      <c r="D11" s="67" t="s">
        <v>34</v>
      </c>
      <c r="E11" s="71">
        <f>COUNTA(NATURALP_PROTECTIONS!A3:A27)</f>
        <v>17</v>
      </c>
      <c r="F11" s="79">
        <f t="shared" si="2"/>
        <v>0.29411764705882354</v>
      </c>
      <c r="G11" s="76">
        <f>COUNTIF(NATURALP_PROTECTIONS!R:R,"Concluido")</f>
        <v>0</v>
      </c>
      <c r="H11" s="72">
        <f t="shared" si="3"/>
        <v>0</v>
      </c>
      <c r="I11" s="75">
        <f>COUNTIF(NATURALP_PROTECTIONS!R:R,"Alterações ao Motor LT - Novos Campos: Definição Fechada / Dados existem no Datalake")</f>
        <v>3</v>
      </c>
      <c r="J11" s="72">
        <f t="shared" si="4"/>
        <v>0.17647058823529413</v>
      </c>
      <c r="K11" s="75">
        <f>COUNTIF(NATURALP_PROTECTIONS!R:R,"Alterações ao Motor LT - Novos Campos: Definição Fechada / Dados não existem no Datalake -&gt; Ingesta")</f>
        <v>0</v>
      </c>
      <c r="L11" s="72">
        <f t="shared" si="5"/>
        <v>0</v>
      </c>
      <c r="M11" s="75">
        <f>COUNTIF(NATURALP_PROTECTIONS!R:R,"Alterações ao Motor LT - Novos Campos: Definição Fechada / Dados não existem no Datalake -&gt; Ingesta + Dev Datalake (tabelas intermédias) ")</f>
        <v>0</v>
      </c>
      <c r="N11" s="72">
        <f t="shared" si="6"/>
        <v>0</v>
      </c>
      <c r="O11" s="75">
        <f>COUNTIF(NATURALP_PROTECTIONS!R:R,"Alterações ao Motor LT - Novos Campos: Definição Fechada / Dados não existem no Datalake -&gt; Ingesta + Dev Datalake (tabelas intermédias) + Dev Aplicação Origem")</f>
        <v>0</v>
      </c>
      <c r="P11" s="72">
        <f t="shared" si="7"/>
        <v>0</v>
      </c>
      <c r="Q11" s="75">
        <f>COUNTIF(NATURALP_PROTECTIONS!R:R,"Alterações ao Motor LT - Novos Campos: Definição Incompleta / Dados existem no Datalake")</f>
        <v>0</v>
      </c>
      <c r="R11" s="72">
        <f t="shared" si="8"/>
        <v>0</v>
      </c>
      <c r="S11" s="75">
        <f>COUNTIF(NATURALP_PROTECTIONS!R:R,"Alterações ao Motor LT - Novos Campos: Definição Incompleta / Dados existem no Datalake -&gt; Dev Datalake (tabelas intermédias)")</f>
        <v>0</v>
      </c>
      <c r="T11" s="72">
        <f t="shared" si="9"/>
        <v>0</v>
      </c>
      <c r="U11" s="75">
        <f>COUNTIF(NATURALP_PROTECTIONS!R:R,"Alterações ao Motor LT - Novos Campos: Definição Incompleta / Dados não existem no Datalake")</f>
        <v>2</v>
      </c>
      <c r="V11" s="72">
        <f t="shared" si="0"/>
        <v>0.11764705882352941</v>
      </c>
      <c r="W11" s="75">
        <f>COUNTIF(NATURALP_PROTECTIONS!R:R,"Alterações ao Motor LT - Novos Campos: Definição por Iniciar")</f>
        <v>0</v>
      </c>
      <c r="X11" s="72">
        <f t="shared" si="1"/>
        <v>0</v>
      </c>
    </row>
    <row r="12" spans="2:24">
      <c r="B12" s="770"/>
      <c r="C12" s="62" t="s">
        <v>27</v>
      </c>
      <c r="D12" s="67" t="s">
        <v>35</v>
      </c>
      <c r="E12" s="71">
        <f>COUNTA(NATURALP_INSTRUMENT_COUNTERPART!A3:A9)</f>
        <v>4</v>
      </c>
      <c r="F12" s="79">
        <f t="shared" si="2"/>
        <v>0.25</v>
      </c>
      <c r="G12" s="76">
        <f>COUNTIF(NATURALP_INSTRUMENT_COUNTERPART!S:S,"Concluido")</f>
        <v>0</v>
      </c>
      <c r="H12" s="72">
        <f t="shared" si="3"/>
        <v>0</v>
      </c>
      <c r="I12" s="75">
        <f>COUNTIF(NATURALP_INSTRUMENT_COUNTERPART!S:S,"Alterações ao Motor LT - Novos Campos: Definição Fechada / Dados existem no Datalake")</f>
        <v>0</v>
      </c>
      <c r="J12" s="72">
        <f t="shared" si="4"/>
        <v>0</v>
      </c>
      <c r="K12" s="75">
        <f>COUNTIF(NATURALP_INSTRUMENT_COUNTERPART!S:S,"Alterações ao Motor LT - Novos Campos: Definição Fechada / Dados não existem no Datalake -&gt; Ingesta")</f>
        <v>0</v>
      </c>
      <c r="L12" s="72">
        <f t="shared" si="5"/>
        <v>0</v>
      </c>
      <c r="M12" s="75">
        <f>COUNTIF(NATURALP_INSTRUMENT_COUNTERPART!S:S,"Alterações ao Motor LT - Novos Campos: Definição Fechada / Dados não existem no Datalake -&gt; Ingesta + Dev Datalake (tabelas intermédias) ")</f>
        <v>0</v>
      </c>
      <c r="N12" s="72">
        <f t="shared" si="6"/>
        <v>0</v>
      </c>
      <c r="O12" s="75">
        <f>COUNTIF(NATURALP_INSTRUMENT_COUNTERPART!S:S,"Alterações ao Motor LT - Novos Campos: Definição Fechada / Dados não existem no Datalake -&gt; Ingesta + Dev Datalake (tabelas intermédias) + Dev Aplicação Origem")</f>
        <v>0</v>
      </c>
      <c r="P12" s="72">
        <f t="shared" si="7"/>
        <v>0</v>
      </c>
      <c r="Q12" s="75">
        <f>COUNTIF(NATURALP_INSTRUMENT_COUNTERPART!S:S,"Alterações ao Motor LT - Novos Campos: Definição Incompleta / Dados existem no Datalake")</f>
        <v>1</v>
      </c>
      <c r="R12" s="72">
        <f t="shared" si="8"/>
        <v>0.25</v>
      </c>
      <c r="S12" s="75">
        <f>COUNTIF(NATURALP_INSTRUMENT_COUNTERPART!S:S,"Alterações ao Motor LT - Novos Campos: Definição Incompleta / Dados existem no Datalake -&gt; Dev Datalake (tabelas intermédias)")</f>
        <v>0</v>
      </c>
      <c r="T12" s="72">
        <f t="shared" si="9"/>
        <v>0</v>
      </c>
      <c r="U12" s="75">
        <f>COUNTIF(NATURALP_INSTRUMENT_COUNTERPART!S:S,"Alterações ao Motor LT - Novos Campos: Definição Incompleta / Dados não existem no Datalake")</f>
        <v>0</v>
      </c>
      <c r="V12" s="72">
        <f t="shared" si="0"/>
        <v>0</v>
      </c>
      <c r="W12" s="75">
        <f>COUNTIF(NATURALP_INSTRUMENT_COUNTERPART!S:S,"Alterações ao Motor LT - Novos Campos: Definição por Iniciar")</f>
        <v>0</v>
      </c>
      <c r="X12" s="72">
        <f t="shared" si="1"/>
        <v>0</v>
      </c>
    </row>
    <row r="13" spans="2:24">
      <c r="B13" s="771"/>
      <c r="C13" s="62" t="s">
        <v>29</v>
      </c>
      <c r="D13" s="67" t="s">
        <v>36</v>
      </c>
      <c r="E13" s="71">
        <f>COUNTA(NATURALP_INSTRUMENT_PROTECTION!A3:A12)</f>
        <v>4</v>
      </c>
      <c r="F13" s="79">
        <f t="shared" si="2"/>
        <v>0</v>
      </c>
      <c r="G13" s="76">
        <f>COUNTIF(NATURALP_INSTRUMENT_PROTECTION!R:R,"Concluido")</f>
        <v>0</v>
      </c>
      <c r="H13" s="72">
        <f t="shared" si="3"/>
        <v>0</v>
      </c>
      <c r="I13" s="75">
        <f>COUNTIF(NATURALP_INSTRUMENT_PROTECTION!R:R,"Alterações ao Motor LT - Novos Campos: Definição Fechada / Dados existem no Datalake")</f>
        <v>0</v>
      </c>
      <c r="J13" s="72">
        <f t="shared" si="4"/>
        <v>0</v>
      </c>
      <c r="K13" s="75">
        <f>COUNTIF(NATURALP_INSTRUMENT_PROTECTION!R:R,"Alterações ao Motor LT - Novos Campos: Definição Fechada / Dados não existem no Datalake -&gt; Ingesta")</f>
        <v>0</v>
      </c>
      <c r="L13" s="72">
        <f t="shared" si="5"/>
        <v>0</v>
      </c>
      <c r="M13" s="75">
        <f>COUNTIF(NATURALP_INSTRUMENT_PROTECTION!R:R,"Alterações ao Motor LT - Novos Campos: Definição Fechada / Dados não existem no Datalake -&gt; Ingesta + Dev Datalake (tabelas intermédias) ")</f>
        <v>0</v>
      </c>
      <c r="N13" s="72">
        <f t="shared" si="6"/>
        <v>0</v>
      </c>
      <c r="O13" s="75">
        <f>COUNTIF(NATURALP_INSTRUMENT_PROTECTION!R:R,"Alterações ao Motor LT - Novos Campos: Definição Fechada / Dados não existem no Datalake -&gt; Ingesta + Dev Datalake (tabelas intermédias) + Dev Aplicação Origem")</f>
        <v>0</v>
      </c>
      <c r="P13" s="72">
        <f t="shared" si="7"/>
        <v>0</v>
      </c>
      <c r="Q13" s="75">
        <f>COUNTIF(NATURALP_INSTRUMENT_PROTECTION!R:R,"Alterações ao Motor LT - Novos Campos: Definição Incompleta / Dados existem no Datalake")</f>
        <v>0</v>
      </c>
      <c r="R13" s="72">
        <f t="shared" si="8"/>
        <v>0</v>
      </c>
      <c r="S13" s="75">
        <f>COUNTIF(NATURALP_INSTRUMENT_PROTECTION!R:R,"Alterações ao Motor LT - Novos Campos: Definição Incompleta / Dados existem no Datalake -&gt; Dev Datalake (tabelas intermédias)")</f>
        <v>0</v>
      </c>
      <c r="T13" s="72">
        <f t="shared" si="9"/>
        <v>0</v>
      </c>
      <c r="U13" s="75">
        <f>COUNTIF(NATURALP_INSTRUMENT_PROTECTION!R:R,"Alterações ao Motor LT - Novos Campos: Definição Incompleta / Dados não existem no Datalake")</f>
        <v>0</v>
      </c>
      <c r="V13" s="72">
        <f t="shared" si="0"/>
        <v>0</v>
      </c>
      <c r="W13" s="75">
        <f>COUNTIF(NATURALP_INSTRUMENT_PROTECTION!R:R,"Alterações ao Motor LT - Novos Campos: Definição por Iniciar")</f>
        <v>0</v>
      </c>
      <c r="X13" s="72">
        <f t="shared" si="1"/>
        <v>0</v>
      </c>
    </row>
    <row r="14" spans="2:24">
      <c r="B14" s="769" t="s">
        <v>37</v>
      </c>
      <c r="C14" s="62" t="s">
        <v>21</v>
      </c>
      <c r="D14" s="67" t="s">
        <v>38</v>
      </c>
      <c r="E14" s="71">
        <f>COUNTA(OFFBAL_INSTRUMENTS!A3:A67)</f>
        <v>27</v>
      </c>
      <c r="F14" s="79">
        <f t="shared" si="2"/>
        <v>0.22222222222222221</v>
      </c>
      <c r="G14" s="76">
        <f>COUNTIF(OFFBAL_INSTRUMENTS!R:R,"Concluido")</f>
        <v>0</v>
      </c>
      <c r="H14" s="72">
        <f t="shared" si="3"/>
        <v>0</v>
      </c>
      <c r="I14" s="75">
        <f>COUNTIF(OFFBAL_INSTRUMENTS!R:R,"Alterações ao Motor LT - Novos Campos: Definição Fechada / Dados existem no Datalake")</f>
        <v>2</v>
      </c>
      <c r="J14" s="72">
        <f t="shared" si="4"/>
        <v>7.407407407407407E-2</v>
      </c>
      <c r="K14" s="75">
        <f>COUNTIF(OFFBAL_INSTRUMENTS!R:R,"Alterações ao Motor LT - Novos Campos: Definição Fechada / Dados não existem no Datalake -&gt; Ingesta")</f>
        <v>0</v>
      </c>
      <c r="L14" s="72">
        <f t="shared" si="5"/>
        <v>0</v>
      </c>
      <c r="M14" s="75">
        <f>COUNTIF(OFFBAL_INSTRUMENTS!R:R,"Alterações ao Motor LT - Novos Campos: Definição Fechada / Dados não existem no Datalake -&gt; Ingesta + Dev Datalake (tabelas intermédias) ")</f>
        <v>0</v>
      </c>
      <c r="N14" s="72">
        <f t="shared" si="6"/>
        <v>0</v>
      </c>
      <c r="O14" s="75">
        <f>COUNTIF(OFFBAL_INSTRUMENTS!R:R,"Alterações ao Motor LT - Novos Campos: Definição Fechada / Dados não existem no Datalake -&gt; Ingesta + Dev Datalake (tabelas intermédias) + Dev Aplicação Origem")</f>
        <v>0</v>
      </c>
      <c r="P14" s="72">
        <f t="shared" si="7"/>
        <v>0</v>
      </c>
      <c r="Q14" s="75">
        <f>COUNTIF(OFFBAL_INSTRUMENTS!R:R,"Alterações ao Motor LT - Novos Campos: Definição Incompleta / Dados existem no Datalake")</f>
        <v>3</v>
      </c>
      <c r="R14" s="72">
        <f t="shared" si="8"/>
        <v>0.1111111111111111</v>
      </c>
      <c r="S14" s="75">
        <f>COUNTIF(OFFBAL_INSTRUMENTS!R:R,"Alterações ao Motor LT - Novos Campos: Definição Incompleta / Dados existem no Datalake -&gt; Dev Datalake (tabelas intermédias)")</f>
        <v>0</v>
      </c>
      <c r="T14" s="72">
        <f t="shared" si="9"/>
        <v>0</v>
      </c>
      <c r="U14" s="75">
        <f>COUNTIF(OFFBAL_INSTRUMENTS!R:R,"Alterações ao Motor LT - Novos Campos: Definição Incompleta / Dados não existem no Datalake")</f>
        <v>0</v>
      </c>
      <c r="V14" s="72">
        <f t="shared" si="0"/>
        <v>0</v>
      </c>
      <c r="W14" s="75">
        <f>COUNTIF(OFFBAL_INSTRUMENTS!R:R,"Alterações ao Motor LT - Novos Campos: Definição por Iniciar")</f>
        <v>1</v>
      </c>
      <c r="X14" s="72">
        <f t="shared" si="1"/>
        <v>3.7037037037037035E-2</v>
      </c>
    </row>
    <row r="15" spans="2:24">
      <c r="B15" s="770"/>
      <c r="C15" s="62" t="s">
        <v>23</v>
      </c>
      <c r="D15" s="67" t="s">
        <v>39</v>
      </c>
      <c r="E15" s="71">
        <f>COUNTA(OFFBAL_COUNTERPARTIES!A3:A59)</f>
        <v>30</v>
      </c>
      <c r="F15" s="79">
        <f t="shared" si="2"/>
        <v>0.46666666666666667</v>
      </c>
      <c r="G15" s="76">
        <f>COUNTIF(OFFBAL_COUNTERPARTIES!R:R,"Concluido")</f>
        <v>0</v>
      </c>
      <c r="H15" s="72">
        <f t="shared" si="3"/>
        <v>0</v>
      </c>
      <c r="I15" s="75">
        <f>COUNTIF(OFFBAL_COUNTERPARTIES!R:R,"Alterações ao Motor LT - Novos Campos: Definição Fechada / Dados existem no Datalake")</f>
        <v>6</v>
      </c>
      <c r="J15" s="72">
        <f t="shared" si="4"/>
        <v>0.2</v>
      </c>
      <c r="K15" s="75">
        <f>COUNTIF(OFFBAL_COUNTERPARTIES!R:R,"Alterações ao Motor LT - Novos Campos: Definição Fechada / Dados não existem no Datalake -&gt; Ingesta")</f>
        <v>0</v>
      </c>
      <c r="L15" s="72">
        <f t="shared" si="5"/>
        <v>0</v>
      </c>
      <c r="M15" s="75">
        <f>COUNTIF(OFFBAL_COUNTERPARTIES!R:R,"Alterações ao Motor LT - Novos Campos: Definição Fechada / Dados não existem no Datalake -&gt; Ingesta + Dev Datalake (tabelas intermédias) ")</f>
        <v>0</v>
      </c>
      <c r="N15" s="72">
        <f t="shared" si="6"/>
        <v>0</v>
      </c>
      <c r="O15" s="75">
        <f>COUNTIF(OFFBAL_COUNTERPARTIES!R:R,"Alterações ao Motor LT - Novos Campos: Definição Fechada / Dados não existem no Datalake -&gt; Ingesta + Dev Datalake (tabelas intermédias) + Dev Aplicação Origem")</f>
        <v>0</v>
      </c>
      <c r="P15" s="72">
        <f t="shared" si="7"/>
        <v>0</v>
      </c>
      <c r="Q15" s="75">
        <f>COUNTIF(OFFBAL_COUNTERPARTIES!R:R,"Alterações ao Motor LT - Novos Campos: Definição Incompleta / Dados existem no Datalake")</f>
        <v>3</v>
      </c>
      <c r="R15" s="72">
        <f t="shared" si="8"/>
        <v>0.1</v>
      </c>
      <c r="S15" s="75">
        <f>COUNTIF(OFFBAL_COUNTERPARTIES!R:R,"Alterações ao Motor LT - Novos Campos: Definição Incompleta / Dados existem no Datalake -&gt; Dev Datalake (tabelas intermédias)")</f>
        <v>0</v>
      </c>
      <c r="T15" s="72">
        <f t="shared" si="9"/>
        <v>0</v>
      </c>
      <c r="U15" s="75">
        <f>COUNTIF(OFFBAL_COUNTERPARTIES!R:R,"Alterações ao Motor LT - Novos Campos: Definição Incompleta / Dados não existem no Datalake")</f>
        <v>0</v>
      </c>
      <c r="V15" s="72">
        <f t="shared" si="0"/>
        <v>0</v>
      </c>
      <c r="W15" s="75">
        <f>COUNTIF(OFFBAL_COUNTERPARTIES!R:R,"Alterações ao Motor LT - Novos Campos: Definição por Iniciar")</f>
        <v>5</v>
      </c>
      <c r="X15" s="72">
        <f t="shared" si="1"/>
        <v>0.16666666666666666</v>
      </c>
    </row>
    <row r="16" spans="2:24">
      <c r="B16" s="770"/>
      <c r="C16" s="62" t="s">
        <v>25</v>
      </c>
      <c r="D16" s="67" t="s">
        <v>40</v>
      </c>
      <c r="E16" s="71">
        <f>COUNTA(OFFBAL_PROTECTIONS!A3:A27)</f>
        <v>17</v>
      </c>
      <c r="F16" s="79">
        <f t="shared" si="2"/>
        <v>0.29411764705882354</v>
      </c>
      <c r="G16" s="76">
        <f>COUNTIF(OFFBAL_PROTECTIONS!R:R,"Concluido")</f>
        <v>0</v>
      </c>
      <c r="H16" s="72">
        <f t="shared" si="3"/>
        <v>0</v>
      </c>
      <c r="I16" s="75">
        <f>COUNTIF(OFFBAL_PROTECTIONS!R:R,"Alterações ao Motor LT - Novos Campos: Definição Fechada / Dados existem no Datalake")</f>
        <v>3</v>
      </c>
      <c r="J16" s="72">
        <f t="shared" si="4"/>
        <v>0.17647058823529413</v>
      </c>
      <c r="K16" s="75">
        <f>COUNTIF(OFFBAL_PROTECTIONS!R:R,"Alterações ao Motor LT - Novos Campos: Definição Fechada / Dados não existem no Datalake -&gt; Ingesta")</f>
        <v>0</v>
      </c>
      <c r="L16" s="72">
        <f t="shared" si="5"/>
        <v>0</v>
      </c>
      <c r="M16" s="75">
        <f>COUNTIF(OFFBAL_PROTECTIONS!R:R,"Alterações ao Motor LT - Novos Campos: Definição Fechada / Dados não existem no Datalake -&gt; Ingesta + Dev Datalake (tabelas intermédias) ")</f>
        <v>0</v>
      </c>
      <c r="N16" s="72">
        <f t="shared" si="6"/>
        <v>0</v>
      </c>
      <c r="O16" s="75">
        <f>COUNTIF(OFFBAL_PROTECTIONS!R:R,"Alterações ao Motor LT - Novos Campos: Definição Fechada / Dados não existem no Datalake -&gt; Ingesta + Dev Datalake (tabelas intermédias) + Dev Aplicação Origem")</f>
        <v>0</v>
      </c>
      <c r="P16" s="72">
        <f t="shared" si="7"/>
        <v>0</v>
      </c>
      <c r="Q16" s="75">
        <f>COUNTIF(OFFBAL_PROTECTIONS!R:R,"Alterações ao Motor LT - Novos Campos: Definição Incompleta / Dados existem no Datalake")</f>
        <v>0</v>
      </c>
      <c r="R16" s="72">
        <f t="shared" si="8"/>
        <v>0</v>
      </c>
      <c r="S16" s="75">
        <f>COUNTIF(OFFBAL_PROTECTIONS!R:R,"Alterações ao Motor LT - Novos Campos: Definição Incompleta / Dados existem no Datalake -&gt; Dev Datalake (tabelas intermédias)")</f>
        <v>0</v>
      </c>
      <c r="T16" s="72">
        <f t="shared" si="9"/>
        <v>0</v>
      </c>
      <c r="U16" s="75">
        <f>COUNTIF(OFFBAL_PROTECTIONS!R:R,"Alterações ao Motor LT - Novos Campos: Definição Incompleta / Dados não existem no Datalake")</f>
        <v>2</v>
      </c>
      <c r="V16" s="72">
        <f t="shared" si="0"/>
        <v>0.11764705882352941</v>
      </c>
      <c r="W16" s="75">
        <f>COUNTIF(OFFBAL_PROTECTIONS!R:R,"Alterações ao Motor LT - Novos Campos: Definição por Iniciar")</f>
        <v>0</v>
      </c>
      <c r="X16" s="72">
        <f t="shared" si="1"/>
        <v>0</v>
      </c>
    </row>
    <row r="17" spans="2:26">
      <c r="B17" s="770"/>
      <c r="C17" s="62" t="s">
        <v>27</v>
      </c>
      <c r="D17" s="67" t="s">
        <v>41</v>
      </c>
      <c r="E17" s="71">
        <f>COUNTA(OFFBAL_INSTRUMENT_COUNTERPARTY!A3:A8)</f>
        <v>3</v>
      </c>
      <c r="F17" s="79">
        <f t="shared" si="2"/>
        <v>0</v>
      </c>
      <c r="G17" s="76">
        <f>COUNTIF(OFFBAL_INSTRUMENT_COUNTERPARTY!R:R,"Concluido")</f>
        <v>0</v>
      </c>
      <c r="H17" s="72">
        <f t="shared" si="3"/>
        <v>0</v>
      </c>
      <c r="I17" s="75">
        <f>COUNTIF(OFFBAL_INSTRUMENT_COUNTERPARTY!R:R,"Alterações ao Motor LT - Novos Campos: Definição Fechada / Dados existem no Datalake")</f>
        <v>0</v>
      </c>
      <c r="J17" s="72">
        <f t="shared" si="4"/>
        <v>0</v>
      </c>
      <c r="K17" s="75">
        <f>COUNTIF(OFFBAL_INSTRUMENT_COUNTERPARTY!R:R,"Alterações ao Motor LT - Novos Campos: Definição Fechada / Dados não existem no Datalake -&gt; Ingesta")</f>
        <v>0</v>
      </c>
      <c r="L17" s="72">
        <f t="shared" si="5"/>
        <v>0</v>
      </c>
      <c r="M17" s="75">
        <f>COUNTIF(OFFBAL_INSTRUMENT_COUNTERPARTY!R:R,"Alterações ao Motor LT - Novos Campos: Definição Fechada / Dados não existem no Datalake -&gt; Ingesta + Dev Datalake (tabelas intermédias) ")</f>
        <v>0</v>
      </c>
      <c r="N17" s="72">
        <f t="shared" si="6"/>
        <v>0</v>
      </c>
      <c r="O17" s="75">
        <f>COUNTIF(OFFBAL_INSTRUMENT_COUNTERPARTY!R:R,"Alterações ao Motor LT - Novos Campos: Definição Fechada / Dados não existem no Datalake -&gt; Ingesta + Dev Datalake (tabelas intermédias) + Dev Aplicação Origem")</f>
        <v>0</v>
      </c>
      <c r="P17" s="72">
        <f t="shared" si="7"/>
        <v>0</v>
      </c>
      <c r="Q17" s="75">
        <f>COUNTIF(OFFBAL_INSTRUMENT_COUNTERPARTY!R:R,"Alterações ao Motor LT - Novos Campos: Definição Incompleta / Dados existem no Datalake")</f>
        <v>0</v>
      </c>
      <c r="R17" s="72">
        <f t="shared" si="8"/>
        <v>0</v>
      </c>
      <c r="S17" s="75">
        <f>COUNTIF(OFFBAL_INSTRUMENT_COUNTERPARTY!R:R,"Alterações ao Motor LT - Novos Campos: Definição Incompleta / Dados existem no Datalake -&gt; Dev Datalake (tabelas intermédias)")</f>
        <v>0</v>
      </c>
      <c r="T17" s="72">
        <f t="shared" si="9"/>
        <v>0</v>
      </c>
      <c r="U17" s="75">
        <f>COUNTIF(OFFBAL_INSTRUMENT_COUNTERPARTY!R:R,"Alterações ao Motor LT - Novos Campos: Definição Incompleta / Dados não existem no Datalake")</f>
        <v>0</v>
      </c>
      <c r="V17" s="72">
        <f t="shared" si="0"/>
        <v>0</v>
      </c>
      <c r="W17" s="75">
        <f>COUNTIF(OFFBAL_INSTRUMENT_COUNTERPARTY!R:R,"Alterações ao Motor LT - Novos Campos: Definição por Iniciar")</f>
        <v>0</v>
      </c>
      <c r="X17" s="72">
        <f t="shared" si="1"/>
        <v>0</v>
      </c>
    </row>
    <row r="18" spans="2:26">
      <c r="B18" s="771"/>
      <c r="C18" s="62" t="s">
        <v>29</v>
      </c>
      <c r="D18" s="67" t="s">
        <v>42</v>
      </c>
      <c r="E18" s="71">
        <f>COUNTA(OFFBAL_INSTRUMENT_PROTECTION!A3:A12)</f>
        <v>4</v>
      </c>
      <c r="F18" s="79">
        <f t="shared" si="2"/>
        <v>0</v>
      </c>
      <c r="G18" s="76">
        <f>COUNTIF(OFFBAL_INSTRUMENT_PROTECTION!R:R,"Concluido")</f>
        <v>0</v>
      </c>
      <c r="H18" s="72">
        <f t="shared" si="3"/>
        <v>0</v>
      </c>
      <c r="I18" s="75">
        <f>COUNTIF(OFFBAL_INSTRUMENT_PROTECTION!R:R,"Alterações ao Motor LT - Novos Campos: Definição Fechada / Dados existem no Datalake")</f>
        <v>0</v>
      </c>
      <c r="J18" s="72">
        <f t="shared" si="4"/>
        <v>0</v>
      </c>
      <c r="K18" s="75">
        <f>COUNTIF(OFFBAL_INSTRUMENT_PROTECTION!R:R,"Alterações ao Motor LT - Novos Campos: Definição Fechada / Dados não existem no Datalake -&gt; Ingesta")</f>
        <v>0</v>
      </c>
      <c r="L18" s="72">
        <f t="shared" si="5"/>
        <v>0</v>
      </c>
      <c r="M18" s="75">
        <f>COUNTIF(OFFBAL_INSTRUMENT_PROTECTION!R:R,"Alterações ao Motor LT - Novos Campos: Definição Fechada / Dados não existem no Datalake -&gt; Ingesta + Dev Datalake (tabelas intermédias) ")</f>
        <v>0</v>
      </c>
      <c r="N18" s="72">
        <f t="shared" si="6"/>
        <v>0</v>
      </c>
      <c r="O18" s="75">
        <f>COUNTIF(OFFBAL_INSTRUMENT_PROTECTION!R:R,"Alterações ao Motor LT - Novos Campos: Definição Fechada / Dados não existem no Datalake -&gt; Ingesta + Dev Datalake (tabelas intermédias) + Dev Aplicação Origem")</f>
        <v>0</v>
      </c>
      <c r="P18" s="72">
        <f t="shared" si="7"/>
        <v>0</v>
      </c>
      <c r="Q18" s="75">
        <f>COUNTIF(OFFBAL_INSTRUMENT_PROTECTION!R:R,"Alterações ao Motor LT - Novos Campos: Definição Incompleta / Dados existem no Datalake")</f>
        <v>0</v>
      </c>
      <c r="R18" s="72">
        <f t="shared" si="8"/>
        <v>0</v>
      </c>
      <c r="S18" s="75">
        <f>COUNTIF(OFFBAL_INSTRUMENT_PROTECTION!R:R,"Alterações ao Motor LT - Novos Campos: Definição Incompleta / Dados existem no Datalake -&gt; Dev Datalake (tabelas intermédias)")</f>
        <v>0</v>
      </c>
      <c r="T18" s="72">
        <f t="shared" si="9"/>
        <v>0</v>
      </c>
      <c r="U18" s="75">
        <f>COUNTIF(OFFBAL_INSTRUMENT_PROTECTION!R:R,"Alterações ao Motor LT - Novos Campos: Definição Incompleta / Dados não existem no Datalake")</f>
        <v>0</v>
      </c>
      <c r="V18" s="72">
        <f t="shared" si="0"/>
        <v>0</v>
      </c>
      <c r="W18" s="75">
        <f>COUNTIF(OFFBAL_INSTRUMENT_PROTECTION!R:R,"Alterações ao Motor LT - Novos Campos: Definição por Iniciar")</f>
        <v>0</v>
      </c>
      <c r="X18" s="72">
        <f t="shared" si="1"/>
        <v>0</v>
      </c>
    </row>
    <row r="19" spans="2:26">
      <c r="B19" s="63" t="s">
        <v>43</v>
      </c>
      <c r="C19" s="62" t="s">
        <v>50</v>
      </c>
      <c r="D19" s="67" t="s">
        <v>44</v>
      </c>
      <c r="E19" s="71">
        <f>COUNTA(DERIVATIVES!A3:A69)</f>
        <v>29</v>
      </c>
      <c r="F19" s="79">
        <f t="shared" si="2"/>
        <v>0.75862068965517238</v>
      </c>
      <c r="G19" s="76">
        <f>COUNTIF(DERIVATIVES!R:R,"Concluido")</f>
        <v>0</v>
      </c>
      <c r="H19" s="72">
        <f t="shared" si="3"/>
        <v>0</v>
      </c>
      <c r="I19" s="75">
        <f>COUNTIF(DERIVATIVES!R:R,"Alterações ao Motor LT - Novos Campos: Definição Fechada / Dados existem no Datalake")</f>
        <v>4</v>
      </c>
      <c r="J19" s="72">
        <f t="shared" si="4"/>
        <v>0.13793103448275862</v>
      </c>
      <c r="K19" s="75">
        <f>COUNTIF(DERIVATIVES!R:R,"Alterações ao Motor LT - Novos Campos: Definição Fechada / Dados não existem no Datalake -&gt; Ingesta")</f>
        <v>0</v>
      </c>
      <c r="L19" s="72">
        <f t="shared" si="5"/>
        <v>0</v>
      </c>
      <c r="M19" s="75">
        <f>COUNTIF(DERIVATIVES!R:R,"Alterações ao Motor LT - Novos Campos: Definição Fechada / Dados não existem no Datalake -&gt; Ingesta + Dev Datalake (tabelas intermédias) ")</f>
        <v>0</v>
      </c>
      <c r="N19" s="72">
        <f t="shared" si="6"/>
        <v>0</v>
      </c>
      <c r="O19" s="75">
        <f>COUNTIF(DERIVATIVES!R:R,"Alterações ao Motor LT - Novos Campos: Definição Fechada / Dados não existem no Datalake -&gt; Ingesta + Dev Datalake (tabelas intermédias) + Dev Aplicação Origem")</f>
        <v>1</v>
      </c>
      <c r="P19" s="72">
        <f t="shared" si="7"/>
        <v>3.4482758620689655E-2</v>
      </c>
      <c r="Q19" s="75">
        <f>COUNTIF(DERIVATIVES!R:R,"Alterações ao Motor LT - Novos Campos: Definição Incompleta / Dados existem no Datalake")</f>
        <v>3</v>
      </c>
      <c r="R19" s="72">
        <f t="shared" si="8"/>
        <v>0.10344827586206896</v>
      </c>
      <c r="S19" s="75">
        <f>COUNTIF(DERIVATIVES!R:R,"Alterações ao Motor LT - Novos Campos: Definição Incompleta / Dados existem no Datalake -&gt; Dev Datalake (tabelas intermédias)")</f>
        <v>0</v>
      </c>
      <c r="T19" s="72">
        <f t="shared" si="9"/>
        <v>0</v>
      </c>
      <c r="U19" s="75">
        <f>COUNTIF(DERIVATIVES!R:R,"Alterações ao Motor LT - Novos Campos: Definição Incompleta / Dados não existem no Datalake")</f>
        <v>3</v>
      </c>
      <c r="V19" s="72">
        <f t="shared" si="0"/>
        <v>0.10344827586206896</v>
      </c>
      <c r="W19" s="75">
        <f>COUNTIF(DERIVATIVES!R:R,"Alterações ao Motor LT - Novos Campos: Definição por Iniciar")</f>
        <v>11</v>
      </c>
      <c r="X19" s="72">
        <f t="shared" si="1"/>
        <v>0.37931034482758619</v>
      </c>
    </row>
    <row r="20" spans="2:26">
      <c r="B20" s="63" t="s">
        <v>45</v>
      </c>
      <c r="C20" s="62" t="s">
        <v>50</v>
      </c>
      <c r="D20" s="67" t="s">
        <v>46</v>
      </c>
      <c r="E20" s="71">
        <f>COUNTA(DEBT_SECURITIES!A3:A77)</f>
        <v>40</v>
      </c>
      <c r="F20" s="79">
        <f t="shared" si="2"/>
        <v>2.5000000000000001E-2</v>
      </c>
      <c r="G20" s="76">
        <f>COUNTIF(DEBT_SECURITIES!R:R,"Concluido")</f>
        <v>0</v>
      </c>
      <c r="H20" s="72">
        <f t="shared" si="3"/>
        <v>0</v>
      </c>
      <c r="I20" s="75">
        <f>COUNTIF(DEBT_SECURITIES!R:R,"Alterações ao Motor LT - Novos Campos: Definição Fechada / Dados existem no Datalake")</f>
        <v>0</v>
      </c>
      <c r="J20" s="72">
        <f t="shared" si="4"/>
        <v>0</v>
      </c>
      <c r="K20" s="75">
        <f>COUNTIF(DEBT_SECURITIES!R:R,"Alterações ao Motor LT - Novos Campos: Definição Fechada / Dados não existem no Datalake -&gt; Ingesta")</f>
        <v>0</v>
      </c>
      <c r="L20" s="72">
        <f t="shared" si="5"/>
        <v>0</v>
      </c>
      <c r="M20" s="75">
        <f>COUNTIF(DEBT_SECURITIES!R:R,"Alterações ao Motor LT - Novos Campos: Definição Fechada / Dados não existem no Datalake -&gt; Ingesta + Dev Datalake (tabelas intermédias) ")</f>
        <v>0</v>
      </c>
      <c r="N20" s="72">
        <f t="shared" si="6"/>
        <v>0</v>
      </c>
      <c r="O20" s="75">
        <f>COUNTIF(DEBT_SECURITIES!R:R,"Alterações ao Motor LT - Novos Campos: Definição Fechada / Dados não existem no Datalake -&gt; Ingesta + Dev Datalake (tabelas intermédias) + Dev Aplicação Origem")</f>
        <v>0</v>
      </c>
      <c r="P20" s="72">
        <f t="shared" si="7"/>
        <v>0</v>
      </c>
      <c r="Q20" s="75">
        <f>COUNTIF(DEBT_SECURITIES!R:R,"Alterações ao Motor LT - Novos Campos: Definição Incompleta / Dados existem no Datalake")</f>
        <v>0</v>
      </c>
      <c r="R20" s="72">
        <f t="shared" si="8"/>
        <v>0</v>
      </c>
      <c r="S20" s="75">
        <f>COUNTIF(DEBT_SECURITIES!R:R,"Alterações ao Motor LT - Novos Campos: Definição Incompleta / Dados existem no Datalake -&gt; Dev Datalake (tabelas intermédias)")</f>
        <v>0</v>
      </c>
      <c r="T20" s="72">
        <f t="shared" si="9"/>
        <v>0</v>
      </c>
      <c r="U20" s="75">
        <f>COUNTIF(DEBT_SECURITIES!R:R,"Alterações ao Motor LT - Novos Campos: Definição Incompleta / Dados não existem no Datalake")</f>
        <v>0</v>
      </c>
      <c r="V20" s="72">
        <f t="shared" si="0"/>
        <v>0</v>
      </c>
      <c r="W20" s="75">
        <f>COUNTIF(DEBT_SECURITIES!R:R,"Alterações ao Motor LT - Novos Campos: Definição por Iniciar")</f>
        <v>1</v>
      </c>
      <c r="X20" s="72">
        <f t="shared" si="1"/>
        <v>2.5000000000000001E-2</v>
      </c>
    </row>
    <row r="21" spans="2:26">
      <c r="B21" s="63" t="s">
        <v>47</v>
      </c>
      <c r="C21" s="62" t="s">
        <v>50</v>
      </c>
      <c r="D21" s="67" t="s">
        <v>48</v>
      </c>
      <c r="E21" s="71">
        <f>COUNTA(EQUITY_INSTRUMENTS!A3:A35)</f>
        <v>18</v>
      </c>
      <c r="F21" s="79">
        <f>SUM(H21,J21,L21,N21,P21,R21,T21,V21,X21)</f>
        <v>5.5555555555555552E-2</v>
      </c>
      <c r="G21" s="76">
        <f>COUNTIF(EQUITY_INSTRUMENTS!R:R,"Concluido")</f>
        <v>0</v>
      </c>
      <c r="H21" s="72">
        <f t="shared" si="3"/>
        <v>0</v>
      </c>
      <c r="I21" s="75">
        <f>COUNTIF(EQUITY_INSTRUMENTS!R:R,"Alterações ao Motor LT - Novos Campos: Definição Fechada / Dados existem no Datalake")</f>
        <v>1</v>
      </c>
      <c r="J21" s="72">
        <f t="shared" si="4"/>
        <v>5.5555555555555552E-2</v>
      </c>
      <c r="K21" s="75">
        <f>COUNTIF(EQUITY_INSTRUMENTS!R:R,"Alterações ao Motor LT - Novos Campos: Definição Fechada / Dados não existem no Datalake -&gt; Ingesta")</f>
        <v>0</v>
      </c>
      <c r="L21" s="72">
        <f t="shared" si="5"/>
        <v>0</v>
      </c>
      <c r="M21" s="75">
        <f>COUNTIF(EQUITY_INSTRUMENTS!R:R,"Alterações ao Motor LT - Novos Campos: Definição Fechada / Dados não existem no Datalake -&gt; Ingesta + Dev Datalake (tabelas intermédias) ")</f>
        <v>0</v>
      </c>
      <c r="N21" s="72">
        <f t="shared" si="6"/>
        <v>0</v>
      </c>
      <c r="O21" s="75">
        <f>COUNTIF(EQUITY_INSTRUMENTS!R:R,"Alterações ao Motor LT - Novos Campos: Definição Fechada / Dados não existem no Datalake -&gt; Ingesta + Dev Datalake (tabelas intermédias) + Dev Aplicação Origem")</f>
        <v>0</v>
      </c>
      <c r="P21" s="72">
        <f t="shared" si="7"/>
        <v>0</v>
      </c>
      <c r="Q21" s="75">
        <f>COUNTIF(EQUITY_INSTRUMENTS!R:R,"Alterações ao Motor LT - Novos Campos: Definição Incompleta / Dados existem no Datalake")</f>
        <v>0</v>
      </c>
      <c r="R21" s="72">
        <f t="shared" si="8"/>
        <v>0</v>
      </c>
      <c r="S21" s="75">
        <f>COUNTIF(EQUITY_INSTRUMENTS!R:R,"Alterações ao Motor LT - Novos Campos: Definição Incompleta / Dados existem no Datalake -&gt; Dev Datalake (tabelas intermédias)")</f>
        <v>0</v>
      </c>
      <c r="T21" s="72">
        <f t="shared" si="9"/>
        <v>0</v>
      </c>
      <c r="U21" s="75">
        <f>COUNTIF(EQUITY_INSTRUMENTS!R:R,"Alterações ao Motor LT - Novos Campos: Definição Incompleta / Dados não existem no Datalake")</f>
        <v>0</v>
      </c>
      <c r="V21" s="72">
        <f t="shared" si="0"/>
        <v>0</v>
      </c>
      <c r="W21" s="75">
        <f>COUNTIF(EQUITY_INSTRUMENTS!R:R,"Alterações ao Motor LT - Novos Campos: Definição por Iniciar")</f>
        <v>0</v>
      </c>
      <c r="X21" s="72">
        <f t="shared" si="1"/>
        <v>0</v>
      </c>
    </row>
    <row r="22" spans="2:26" s="56" customFormat="1" ht="15" thickBot="1">
      <c r="B22" s="81" t="s">
        <v>0</v>
      </c>
      <c r="C22" s="59" t="s">
        <v>4</v>
      </c>
      <c r="D22" s="68"/>
      <c r="E22" s="73">
        <f>SUM(E4:E21)</f>
        <v>278</v>
      </c>
      <c r="F22" s="74">
        <f>SUM(H22,J22,L22,N22,P22,R22,T22,V22,X22)</f>
        <v>0.2733812949640288</v>
      </c>
      <c r="G22" s="77">
        <f>SUM(G4:G21)</f>
        <v>0</v>
      </c>
      <c r="H22" s="74">
        <f t="shared" si="3"/>
        <v>0</v>
      </c>
      <c r="I22" s="73">
        <f>SUM(I4:I21)</f>
        <v>29</v>
      </c>
      <c r="J22" s="74">
        <f t="shared" si="4"/>
        <v>0.10431654676258993</v>
      </c>
      <c r="K22" s="73">
        <f>SUM(K4:K21)</f>
        <v>0</v>
      </c>
      <c r="L22" s="74">
        <f t="shared" si="5"/>
        <v>0</v>
      </c>
      <c r="M22" s="73">
        <f>SUM(M4:M21)</f>
        <v>0</v>
      </c>
      <c r="N22" s="74">
        <f t="shared" si="6"/>
        <v>0</v>
      </c>
      <c r="O22" s="73">
        <f>SUM(O4:O21)</f>
        <v>1</v>
      </c>
      <c r="P22" s="74">
        <f t="shared" si="7"/>
        <v>3.5971223021582736E-3</v>
      </c>
      <c r="Q22" s="73">
        <f>SUM(Q4:Q21)</f>
        <v>13</v>
      </c>
      <c r="R22" s="74">
        <f t="shared" si="8"/>
        <v>4.6762589928057555E-2</v>
      </c>
      <c r="S22" s="73">
        <f>SUM(S4:S21)</f>
        <v>2</v>
      </c>
      <c r="T22" s="74">
        <f t="shared" si="9"/>
        <v>7.1942446043165471E-3</v>
      </c>
      <c r="U22" s="73">
        <f>SUM(U4:U21)</f>
        <v>10</v>
      </c>
      <c r="V22" s="74">
        <f t="shared" si="0"/>
        <v>3.5971223021582732E-2</v>
      </c>
      <c r="W22" s="73">
        <f>SUM(W4:W21)</f>
        <v>21</v>
      </c>
      <c r="X22" s="74">
        <f t="shared" si="1"/>
        <v>7.5539568345323743E-2</v>
      </c>
      <c r="Y22"/>
      <c r="Z22"/>
    </row>
    <row r="23" spans="2:26" s="56" customFormat="1">
      <c r="B23"/>
      <c r="C23" s="80" t="s">
        <v>0</v>
      </c>
      <c r="D23"/>
      <c r="Y23"/>
      <c r="Z23"/>
    </row>
    <row r="24" spans="2:26" s="56" customFormat="1">
      <c r="B24" s="7" t="s">
        <v>0</v>
      </c>
      <c r="C24" t="s">
        <v>55</v>
      </c>
      <c r="D24"/>
      <c r="Y24"/>
      <c r="Z24"/>
    </row>
    <row r="27" spans="2:26" s="56" customFormat="1">
      <c r="B27" t="s">
        <v>0</v>
      </c>
      <c r="C27"/>
      <c r="D27"/>
      <c r="Y27"/>
      <c r="Z27"/>
    </row>
  </sheetData>
  <mergeCells count="13">
    <mergeCell ref="B14:B18"/>
    <mergeCell ref="U2:V2"/>
    <mergeCell ref="E2:F2"/>
    <mergeCell ref="G2:H2"/>
    <mergeCell ref="I2:J2"/>
    <mergeCell ref="K2:L2"/>
    <mergeCell ref="M2:N2"/>
    <mergeCell ref="O2:P2"/>
    <mergeCell ref="W2:X2"/>
    <mergeCell ref="Q2:R2"/>
    <mergeCell ref="S2:T2"/>
    <mergeCell ref="B4:B8"/>
    <mergeCell ref="B9:B13"/>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C6D051AEB2C48B458F82B58F7F6D9A00" ma:contentTypeVersion="16" ma:contentTypeDescription="Criar um novo documento." ma:contentTypeScope="" ma:versionID="8e5555deef707f9dcafa67d0eced2da8">
  <xsd:schema xmlns:xsd="http://www.w3.org/2001/XMLSchema" xmlns:xs="http://www.w3.org/2001/XMLSchema" xmlns:p="http://schemas.microsoft.com/office/2006/metadata/properties" xmlns:ns1="http://schemas.microsoft.com/sharepoint/v3" xmlns:ns2="a9b50dc7-8f72-473c-8b7e-4a8c46ecad32" xmlns:ns3="7b1ec8e5-5652-48eb-8550-a56a35f5f817" targetNamespace="http://schemas.microsoft.com/office/2006/metadata/properties" ma:root="true" ma:fieldsID="7dcc00cd3ad63a2f2775dd2db1a961e3" ns1:_="" ns2:_="" ns3:_="">
    <xsd:import namespace="http://schemas.microsoft.com/sharepoint/v3"/>
    <xsd:import namespace="a9b50dc7-8f72-473c-8b7e-4a8c46ecad32"/>
    <xsd:import namespace="7b1ec8e5-5652-48eb-8550-a56a35f5f81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1:_ip_UnifiedCompliancePolicyProperties" minOccurs="0"/>
                <xsd:element ref="ns1:_ip_UnifiedCompliancePolicyUIAction" minOccurs="0"/>
                <xsd:element ref="ns2:MediaServiceObjectDetectorVersions" minOccurs="0"/>
                <xsd:element ref="ns2:MediaServiceSearchProperties" minOccurs="0"/>
                <xsd:element ref="ns2:MediaServiceDateTake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Propriedades da Política de Conformidade Unificada" ma:hidden="true" ma:internalName="_ip_UnifiedCompliancePolicyProperties">
      <xsd:simpleType>
        <xsd:restriction base="dms:Note"/>
      </xsd:simpleType>
    </xsd:element>
    <xsd:element name="_ip_UnifiedCompliancePolicyUIAction" ma:index="19"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9b50dc7-8f72-473c-8b7e-4a8c46ecad3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description="" ma:hidden="true" ma:indexed="true" ma:internalName="MediaServiceDateTake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b1ec8e5-5652-48eb-8550-a56a35f5f817" elementFormDefault="qualified">
    <xsd:import namespace="http://schemas.microsoft.com/office/2006/documentManagement/types"/>
    <xsd:import namespace="http://schemas.microsoft.com/office/infopath/2007/PartnerControls"/>
    <xsd:element name="SharedWithUsers" ma:index="10"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Partilhado Com" ma:internalName="SharedWithDetails" ma:readOnly="true">
      <xsd:simpleType>
        <xsd:restriction base="dms:Note">
          <xsd:maxLength value="255"/>
        </xsd:restriction>
      </xsd:simpleType>
    </xsd:element>
    <xsd:element name="TaxCatchAll" ma:index="14" nillable="true" ma:displayName="Taxonomy Catch All Column" ma:hidden="true" ma:list="{d1a5ce08-dc66-4f05-9d75-293f82016f98}" ma:internalName="TaxCatchAll" ma:showField="CatchAllData" ma:web="7b1ec8e5-5652-48eb-8550-a56a35f5f81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7b1ec8e5-5652-48eb-8550-a56a35f5f817" xsi:nil="true"/>
    <lcf76f155ced4ddcb4097134ff3c332f xmlns="a9b50dc7-8f72-473c-8b7e-4a8c46ecad3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F76438D-AFD2-4A94-BF16-9EC6A60210D7}">
  <ds:schemaRefs>
    <ds:schemaRef ds:uri="http://schemas.microsoft.com/sharepoint/v3/contenttype/forms"/>
  </ds:schemaRefs>
</ds:datastoreItem>
</file>

<file path=customXml/itemProps2.xml><?xml version="1.0" encoding="utf-8"?>
<ds:datastoreItem xmlns:ds="http://schemas.openxmlformats.org/officeDocument/2006/customXml" ds:itemID="{008C26EE-0B29-4910-B348-2D1EE1A942FE}"/>
</file>

<file path=customXml/itemProps3.xml><?xml version="1.0" encoding="utf-8"?>
<ds:datastoreItem xmlns:ds="http://schemas.openxmlformats.org/officeDocument/2006/customXml" ds:itemID="{D6E2900E-8ED9-4FB0-97C2-DEB654BE2610}">
  <ds:schemaRefs>
    <ds:schemaRef ds:uri="http://purl.org/dc/elements/1.1/"/>
    <ds:schemaRef ds:uri="http://purl.org/dc/dcmitype/"/>
    <ds:schemaRef ds:uri="http://schemas.microsoft.com/sharepoint/v3"/>
    <ds:schemaRef ds:uri="http://schemas.microsoft.com/office/2006/documentManagement/types"/>
    <ds:schemaRef ds:uri="http://schemas.microsoft.com/office/2006/metadata/properties"/>
    <ds:schemaRef ds:uri="http://www.w3.org/XML/1998/namespace"/>
    <ds:schemaRef ds:uri="http://purl.org/dc/terms/"/>
    <ds:schemaRef ds:uri="http://schemas.openxmlformats.org/package/2006/metadata/core-properties"/>
    <ds:schemaRef ds:uri="09d3dac3-f296-4107-b579-4b1e37be6169"/>
    <ds:schemaRef ds:uri="http://schemas.microsoft.com/office/infopath/2007/PartnerControls"/>
    <ds:schemaRef ds:uri="5ad20f8b-9281-4829-a9aa-2b5a878ba2c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40</vt:i4>
      </vt:variant>
    </vt:vector>
  </HeadingPairs>
  <TitlesOfParts>
    <vt:vector size="40" baseType="lpstr">
      <vt:lpstr>PDS</vt:lpstr>
      <vt:lpstr>PDS - Desenvolvimento</vt:lpstr>
      <vt:lpstr>Filtros dos Segmentos</vt:lpstr>
      <vt:lpstr>LEGAL PERSONS DATA SETS</vt:lpstr>
      <vt:lpstr>LEGALP_INSTRUMENTS</vt:lpstr>
      <vt:lpstr>LEGALP_COUNTERPARTIES</vt:lpstr>
      <vt:lpstr>LEGALP_PROTECTIONS</vt:lpstr>
      <vt:lpstr>LEGALP_INSTRUMENT_COUNTERPARTY</vt:lpstr>
      <vt:lpstr>LEGALP_INSTRUMENT_PROTECTION</vt:lpstr>
      <vt:lpstr>NATURAL PERSONS DATA SETS</vt:lpstr>
      <vt:lpstr>NATURALP_INSTRUMENTS</vt:lpstr>
      <vt:lpstr>NATURALP_COUNTERPARTIES</vt:lpstr>
      <vt:lpstr>NATURALP_PROTECTIONS</vt:lpstr>
      <vt:lpstr>NATURALP_INSTRUMENT_COUNTERPART</vt:lpstr>
      <vt:lpstr>NATURALP_INSTRUMENT_PROTECTION</vt:lpstr>
      <vt:lpstr>OFF-BALANCE DATA SETS</vt:lpstr>
      <vt:lpstr>OFFBAL_INSTRUMENTS</vt:lpstr>
      <vt:lpstr>OFFBAL_COUNTERPARTIES</vt:lpstr>
      <vt:lpstr>OFFBAL_PROTECTIONS</vt:lpstr>
      <vt:lpstr>OFFBAL_INSTRUMENT_COUNTERPARTY</vt:lpstr>
      <vt:lpstr>OFFBAL_INSTRUMENT_PROTECTION</vt:lpstr>
      <vt:lpstr>DERIVATIVES Data Set</vt:lpstr>
      <vt:lpstr>DERIVATIVES</vt:lpstr>
      <vt:lpstr>DEBT SECURITIES Data Set</vt:lpstr>
      <vt:lpstr>DEBT_SECURITIES</vt:lpstr>
      <vt:lpstr>EQUITY INSTRUMENTS Data Set</vt:lpstr>
      <vt:lpstr>EQUITY_INSTRUMENTS</vt:lpstr>
      <vt:lpstr>DTA DTC Data Set</vt:lpstr>
      <vt:lpstr>DTA_DTC</vt:lpstr>
      <vt:lpstr>INTANGIBLE ASSETS Data Set</vt:lpstr>
      <vt:lpstr>INTANGIBLE_ASSETS</vt:lpstr>
      <vt:lpstr>LT803</vt:lpstr>
      <vt:lpstr>LT829</vt:lpstr>
      <vt:lpstr>LT830</vt:lpstr>
      <vt:lpstr>LT831</vt:lpstr>
      <vt:lpstr>LT829 &amp; LT830</vt:lpstr>
      <vt:lpstr>Sheet1</vt:lpstr>
      <vt:lpstr>Sheet2</vt:lpstr>
      <vt:lpstr>AUX</vt:lpstr>
      <vt:lpstr>Apoio novos campos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Miguel Duarte Cardoso Rodrigues</dc:creator>
  <cp:keywords/>
  <dc:description/>
  <cp:lastModifiedBy>José Pedro Resendes Figueira Cruz</cp:lastModifiedBy>
  <cp:revision/>
  <dcterms:created xsi:type="dcterms:W3CDTF">2023-07-31T13:21:11Z</dcterms:created>
  <dcterms:modified xsi:type="dcterms:W3CDTF">2025-08-14T15:45:50Z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2023-07-31T14:52:33Z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19954b8a-189e-449e-b1b4-3421d6f3c9a7</vt:lpwstr>
  </property>
  <property fmtid="{D5CDD505-2E9C-101B-9397-08002B2CF9AE}" pid="8" name="MSIP_Label_0c2abd79-57a9-4473-8700-c843f76a1e37_ContentBits">
    <vt:lpwstr>0</vt:lpwstr>
  </property>
  <property fmtid="{D5CDD505-2E9C-101B-9397-08002B2CF9AE}" pid="9" name="ContentTypeId">
    <vt:lpwstr>0x010100C6D051AEB2C48B458F82B58F7F6D9A00</vt:lpwstr>
  </property>
  <property fmtid="{D5CDD505-2E9C-101B-9397-08002B2CF9AE}" pid="10" name="MediaServiceImageTags">
    <vt:lpwstr/>
  </property>
</Properties>
</file>