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1. PDS/"/>
    </mc:Choice>
  </mc:AlternateContent>
  <xr:revisionPtr revIDLastSave="116" documentId="11_193DEBDE83EF67F350C36A4075E474B5CA5BA523" xr6:coauthVersionLast="47" xr6:coauthVersionMax="47" xr10:uidLastSave="{6FC17DEB-8C2E-46EC-AD47-3A916DE51404}"/>
  <bookViews>
    <workbookView xWindow="-108" yWindow="-108" windowWidth="23256" windowHeight="12456" firstSheet="5" activeTab="5" xr2:uid="{00000000-000D-0000-FFFF-FFFF00000000}"/>
  </bookViews>
  <sheets>
    <sheet name="Status" sheetId="4" state="hidden" r:id="rId1"/>
    <sheet name="PDS (old)" sheetId="6" state="hidden" r:id="rId2"/>
    <sheet name="Aux." sheetId="10" state="hidden" r:id="rId3"/>
    <sheet name="PDS" sheetId="11" state="hidden" r:id="rId4"/>
    <sheet name="Detalhe" sheetId="1" state="hidden" r:id="rId5"/>
    <sheet name="Caderno Testes" sheetId="5" r:id="rId6"/>
    <sheet name="WJ" sheetId="20" r:id="rId7"/>
    <sheet name="Campos IMP vs CNT" sheetId="7" state="hidden" r:id="rId8"/>
    <sheet name="Planeamento" sheetId="15" state="hidden" r:id="rId9"/>
    <sheet name="Status PM" sheetId="18" state="hidden" r:id="rId10"/>
    <sheet name="Controlos Corporativos" sheetId="19" state="hidden" r:id="rId11"/>
  </sheets>
  <definedNames>
    <definedName name="_xlnm._FilterDatabase" localSheetId="5" hidden="1">'Caderno Testes'!$A$1:$I$237</definedName>
    <definedName name="_xlnm._FilterDatabase" localSheetId="7" hidden="1">'Campos IMP vs CNT'!$A$1:$J$69</definedName>
    <definedName name="_xlnm._FilterDatabase" localSheetId="4" hidden="1">Detalhe!$B$5:$X$384</definedName>
    <definedName name="_xlnm._FilterDatabase" localSheetId="3" hidden="1">Aux.!$B$2:$H$2</definedName>
    <definedName name="_xlnm._FilterDatabase" localSheetId="1" hidden="1">Aux.!$B$2:$H$2</definedName>
    <definedName name="_xlnm._FilterDatabase" localSheetId="8" hidden="1">Planeamento!$B$77:$H$103</definedName>
    <definedName name="_xlnm._FilterDatabase" localSheetId="9" hidden="1">'Status PM'!$B$14:$L$14</definedName>
    <definedName name="_xlnm._FilterDatabase" localSheetId="6" hidden="1">WJ!$B$14:$I$14</definedName>
    <definedName name="_Hlk71900621" localSheetId="7">'Campos IMP vs CNT'!$C$61</definedName>
    <definedName name="_Toc164082157" localSheetId="7">'Campos IMP vs CNT'!#REF!</definedName>
    <definedName name="_Toc164082158" localSheetId="7">'Campos IMP vs CNT'!$C$52</definedName>
    <definedName name="_Toc164082286" localSheetId="7">'Campos IMP vs CNT'!$C$62</definedName>
    <definedName name="_Toc164082298" localSheetId="7">'Campos IMP vs CNT'!$C$64</definedName>
    <definedName name="_Toc164082299" localSheetId="7">'Campos IMP vs CNT'!$C$65</definedName>
    <definedName name="_Toc164082302" localSheetId="7">'Campos IMP vs CNT'!$C$12</definedName>
    <definedName name="_Toc164082303" localSheetId="7">'Campos IMP vs CNT'!$C$13</definedName>
    <definedName name="_Toc164082304" localSheetId="7">'Campos IMP vs CNT'!$C$49</definedName>
    <definedName name="_Toc164082314" localSheetId="7">'Campos IMP vs CNT'!$C$5</definedName>
    <definedName name="_Toc164082315" localSheetId="7">'Campos IMP vs CNT'!$C$3</definedName>
    <definedName name="_Toc164082316" localSheetId="7">'Campos IMP vs CNT'!$C$4</definedName>
    <definedName name="_Toc164082319" localSheetId="7">'Campos IMP vs CNT'!$C$60</definedName>
    <definedName name="_Toc164082330" localSheetId="7">'Campos IMP vs CNT'!$C$48</definedName>
    <definedName name="_Toc164082331" localSheetId="7">'Campos IMP vs CNT'!$C$68</definedName>
    <definedName name="_Toc164082332" localSheetId="7">'Campos IMP vs CNT'!$C$22</definedName>
    <definedName name="_Toc164082333" localSheetId="7">'Campos IMP vs CNT'!$C$36</definedName>
    <definedName name="_Toc164082334" localSheetId="7">'Campos IMP vs CNT'!$C$37</definedName>
    <definedName name="_Toc164082339" localSheetId="7">'Campos IMP vs CNT'!$C$42</definedName>
    <definedName name="_Toc164082348" localSheetId="7">'Campos IMP vs CNT'!$C$51</definedName>
    <definedName name="_Toc164082349" localSheetId="7">'Campos IMP vs CNT'!$C$69</definedName>
    <definedName name="_Toc164082351" localSheetId="7">'Campos IMP vs CNT'!$C$57</definedName>
    <definedName name="_Toc164082352" localSheetId="7">'Campos IMP vs CNT'!$C$58</definedName>
    <definedName name="_Toc164082353" localSheetId="7">'Campos IMP vs CNT'!$C$59</definedName>
    <definedName name="_Toc164082359" localSheetId="7">'Campos IMP vs CNT'!$C$33</definedName>
    <definedName name="_Toc164082360" localSheetId="7">'Campos IMP vs CNT'!$C$34</definedName>
    <definedName name="_Toc164082361" localSheetId="7">'Campos IMP vs CNT'!$C$35</definedName>
    <definedName name="_Toc164082362" localSheetId="7">'Campos IMP vs CNT'!$C$38</definedName>
    <definedName name="_Toc164082363" localSheetId="7">'Campos IMP vs CNT'!$C$39</definedName>
    <definedName name="_Toc164082366" localSheetId="7">'Campos IMP vs CNT'!$C$43</definedName>
    <definedName name="_Toc164082367" localSheetId="7">'Campos IMP vs CNT'!$C$44</definedName>
    <definedName name="_Toc164082368" localSheetId="7">'Campos IMP vs CNT'!$C$7</definedName>
    <definedName name="_Toc164082369" localSheetId="7">'Campos IMP vs CNT'!$C$45</definedName>
    <definedName name="_Toc164082370" localSheetId="7">'Campos IMP vs CNT'!$C$8</definedName>
    <definedName name="_Toc164082371" localSheetId="7">'Campos IMP vs CNT'!$C$46</definedName>
    <definedName name="_Toc164082372" localSheetId="7">'Campos IMP vs CNT'!$C$9</definedName>
    <definedName name="_Toc164082373" localSheetId="7">'Campos IMP vs CNT'!$C$10</definedName>
    <definedName name="_Toc164082374" localSheetId="7">'Campos IMP vs CNT'!$C$11</definedName>
    <definedName name="_Toc164082375" localSheetId="7">'Campos IMP vs CNT'!$C$66</definedName>
    <definedName name="_Toc164082381" localSheetId="7">'Campos IMP vs CNT'!#REF!</definedName>
    <definedName name="_Toc164082382" localSheetId="7">'Campos IMP vs CNT'!$C$53</definedName>
    <definedName name="_Toc164082383" localSheetId="7">'Campos IMP vs CNT'!$C$54</definedName>
    <definedName name="_Toc164082394" localSheetId="7">'Campos IMP vs CNT'!#REF!</definedName>
    <definedName name="_Toc164082395" localSheetId="7">'Campos IMP vs CNT'!#REF!</definedName>
    <definedName name="_Toc164082396" localSheetId="7">'Campos IMP vs CNT'!#REF!</definedName>
    <definedName name="_Toc164082397" localSheetId="7">'Campos IMP vs CNT'!#REF!</definedName>
  </definedNames>
  <calcPr calcId="191029"/>
  <pivotCaches>
    <pivotCache cacheId="25" r:id="rId12"/>
    <pivotCache cacheId="2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0" l="1"/>
  <c r="D9" i="20"/>
  <c r="D8" i="20"/>
  <c r="D7" i="20"/>
  <c r="C3" i="20" l="1"/>
  <c r="C9" i="18" l="1"/>
  <c r="C8" i="18"/>
  <c r="C7" i="18"/>
  <c r="C3" i="18" l="1"/>
  <c r="C10" i="18" l="1"/>
  <c r="D10" i="18" l="1"/>
  <c r="D7" i="18"/>
  <c r="D9" i="18"/>
  <c r="D8" i="18"/>
  <c r="T29" i="1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C14" i="10" l="1"/>
  <c r="M30" i="1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D13" i="10"/>
  <c r="D10" i="10" l="1"/>
  <c r="D4" i="10"/>
  <c r="D8" i="10"/>
  <c r="D7" i="10"/>
  <c r="D6" i="10"/>
  <c r="D5" i="10"/>
  <c r="D11" i="10"/>
  <c r="D12" i="10"/>
  <c r="D3" i="10"/>
  <c r="D9" i="10"/>
  <c r="L351" i="1" l="1"/>
  <c r="L350" i="1"/>
  <c r="L349" i="1"/>
  <c r="L348" i="1"/>
  <c r="L347" i="1"/>
  <c r="L346" i="1"/>
  <c r="L345" i="1"/>
  <c r="L342" i="1"/>
  <c r="L341" i="1"/>
  <c r="L340" i="1"/>
  <c r="L339" i="1"/>
  <c r="L338" i="1"/>
  <c r="L337" i="1"/>
  <c r="L336" i="1"/>
  <c r="L30" i="1"/>
  <c r="L334" i="1"/>
  <c r="L333" i="1"/>
  <c r="L332" i="1"/>
  <c r="L331" i="1"/>
  <c r="L330" i="1"/>
  <c r="L329" i="1"/>
  <c r="L328" i="1"/>
  <c r="L327" i="1"/>
  <c r="L326" i="1"/>
  <c r="L325" i="1"/>
  <c r="L324" i="1"/>
  <c r="L323" i="1"/>
  <c r="L322" i="1"/>
  <c r="L321" i="1"/>
  <c r="L320" i="1"/>
  <c r="L319" i="1"/>
  <c r="L318" i="1"/>
  <c r="L317" i="1"/>
  <c r="L316" i="1"/>
  <c r="L315" i="1"/>
  <c r="L314" i="1"/>
  <c r="L313" i="1"/>
  <c r="L312" i="1"/>
  <c r="L310" i="1"/>
  <c r="L309" i="1"/>
  <c r="L308" i="1"/>
  <c r="L307" i="1"/>
  <c r="L306" i="1"/>
  <c r="L305" i="1"/>
  <c r="L304" i="1"/>
  <c r="L303" i="1"/>
  <c r="L302" i="1"/>
  <c r="L32" i="1"/>
  <c r="L300" i="1"/>
  <c r="L299" i="1"/>
  <c r="L67" i="1"/>
  <c r="L91" i="1"/>
  <c r="L93" i="1"/>
  <c r="L295" i="1"/>
  <c r="L294" i="1"/>
  <c r="L293" i="1"/>
  <c r="L292" i="1"/>
  <c r="L291" i="1"/>
  <c r="L290" i="1"/>
  <c r="L289" i="1"/>
  <c r="L288" i="1"/>
  <c r="L344" i="1"/>
  <c r="L285" i="1"/>
  <c r="L284" i="1"/>
  <c r="L283" i="1"/>
  <c r="L282" i="1"/>
  <c r="L281" i="1"/>
  <c r="L280" i="1"/>
  <c r="L279" i="1"/>
  <c r="L278" i="1"/>
  <c r="L277" i="1"/>
  <c r="L276" i="1"/>
  <c r="L275" i="1"/>
  <c r="L273" i="1"/>
  <c r="L272" i="1"/>
  <c r="L271" i="1"/>
  <c r="L270" i="1"/>
  <c r="L269" i="1"/>
  <c r="L268" i="1"/>
  <c r="L267" i="1"/>
  <c r="L265" i="1"/>
  <c r="L264" i="1"/>
  <c r="L263" i="1"/>
  <c r="L262" i="1"/>
  <c r="L261" i="1"/>
  <c r="L260" i="1"/>
  <c r="L259" i="1"/>
  <c r="L258" i="1"/>
  <c r="L257" i="1"/>
  <c r="L256" i="1"/>
  <c r="L255" i="1"/>
  <c r="L254" i="1"/>
  <c r="L253" i="1"/>
  <c r="L252" i="1"/>
  <c r="L251" i="1"/>
  <c r="L250" i="1"/>
  <c r="L248" i="1"/>
  <c r="L247"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25" i="1"/>
  <c r="L184" i="1"/>
  <c r="L183" i="1"/>
  <c r="L182" i="1"/>
  <c r="L181" i="1"/>
  <c r="L180" i="1"/>
  <c r="L179" i="1"/>
  <c r="L178" i="1"/>
  <c r="L177" i="1"/>
  <c r="L143" i="1"/>
  <c r="L175" i="1"/>
  <c r="L174" i="1"/>
  <c r="L173" i="1"/>
  <c r="L172" i="1"/>
  <c r="L171" i="1"/>
  <c r="L170" i="1"/>
  <c r="L169" i="1"/>
  <c r="L168" i="1"/>
  <c r="L167" i="1"/>
  <c r="L166" i="1"/>
  <c r="L165" i="1"/>
  <c r="L164" i="1"/>
  <c r="L163" i="1"/>
  <c r="L162" i="1"/>
  <c r="L161" i="1"/>
  <c r="L142" i="1"/>
  <c r="L159" i="1"/>
  <c r="L158" i="1"/>
  <c r="L157" i="1"/>
  <c r="L156" i="1"/>
  <c r="L155" i="1"/>
  <c r="L154" i="1"/>
  <c r="L153" i="1"/>
  <c r="L152" i="1"/>
  <c r="L151" i="1"/>
  <c r="L150" i="1"/>
  <c r="L149" i="1"/>
  <c r="L148" i="1"/>
  <c r="L147" i="1"/>
  <c r="L146" i="1"/>
  <c r="L145" i="1"/>
  <c r="L144" i="1"/>
  <c r="L160" i="1"/>
  <c r="L286" i="1"/>
  <c r="L141" i="1"/>
  <c r="L140" i="1"/>
  <c r="L139" i="1"/>
  <c r="L138" i="1"/>
  <c r="L137" i="1"/>
  <c r="L136" i="1"/>
  <c r="L135" i="1"/>
  <c r="L134" i="1"/>
  <c r="L133" i="1"/>
  <c r="L132" i="1"/>
  <c r="L131" i="1"/>
  <c r="L130" i="1"/>
  <c r="L129" i="1"/>
  <c r="L128" i="1"/>
  <c r="L127" i="1"/>
  <c r="L126" i="1"/>
  <c r="L176" i="1"/>
  <c r="L185" i="1"/>
  <c r="L123" i="1"/>
  <c r="L120" i="1"/>
  <c r="L119" i="1"/>
  <c r="L118" i="1"/>
  <c r="L117" i="1"/>
  <c r="L116" i="1"/>
  <c r="L115" i="1"/>
  <c r="L114" i="1"/>
  <c r="L113" i="1"/>
  <c r="L112" i="1"/>
  <c r="L12" i="1"/>
  <c r="L110" i="1"/>
  <c r="L109" i="1"/>
  <c r="L108" i="1"/>
  <c r="L106" i="1"/>
  <c r="L105" i="1"/>
  <c r="L104" i="1"/>
  <c r="L101" i="1"/>
  <c r="L100" i="1"/>
  <c r="L99" i="1"/>
  <c r="L98" i="1"/>
  <c r="L97" i="1"/>
  <c r="L96" i="1"/>
  <c r="L95" i="1"/>
  <c r="L94" i="1"/>
  <c r="L249" i="1"/>
  <c r="L92" i="1"/>
  <c r="L266" i="1"/>
  <c r="L90" i="1"/>
  <c r="L89" i="1"/>
  <c r="L87" i="1"/>
  <c r="L86" i="1"/>
  <c r="L85" i="1"/>
  <c r="L84" i="1"/>
  <c r="L83" i="1"/>
  <c r="L82" i="1"/>
  <c r="L296" i="1"/>
  <c r="L80" i="1"/>
  <c r="L79" i="1"/>
  <c r="L78" i="1"/>
  <c r="L76" i="1"/>
  <c r="L75" i="1"/>
  <c r="L74" i="1"/>
  <c r="L72" i="1"/>
  <c r="L70" i="1"/>
  <c r="L69" i="1"/>
  <c r="L68" i="1"/>
  <c r="L29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4" i="1"/>
  <c r="L33" i="1"/>
  <c r="L298" i="1"/>
  <c r="L31" i="1"/>
  <c r="L301" i="1"/>
  <c r="L29" i="1"/>
  <c r="L28" i="1"/>
  <c r="L27" i="1"/>
  <c r="L26" i="1"/>
  <c r="L25" i="1"/>
  <c r="L24" i="1"/>
  <c r="L23" i="1"/>
  <c r="L22" i="1"/>
  <c r="L21" i="1"/>
  <c r="L20" i="1"/>
  <c r="L19" i="1"/>
  <c r="L18" i="1"/>
  <c r="L17" i="1"/>
  <c r="L16" i="1"/>
  <c r="L15" i="1"/>
  <c r="L14" i="1"/>
  <c r="L13" i="1"/>
  <c r="L335" i="1"/>
  <c r="L11" i="1"/>
  <c r="L10" i="1"/>
  <c r="L9" i="1"/>
  <c r="L8" i="1"/>
  <c r="L7" i="1"/>
  <c r="L6" i="1"/>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<sst xmlns="http://schemas.openxmlformats.org/spreadsheetml/2006/main" count="10040" uniqueCount="1510">
  <si>
    <t>Status Atual</t>
  </si>
  <si>
    <t>(All)</t>
  </si>
  <si>
    <t>Row Labels</t>
  </si>
  <si>
    <t>Count of Categorização</t>
  </si>
  <si>
    <t xml:space="preserve">Âmbito (Projeto) </t>
  </si>
  <si>
    <t>PM</t>
  </si>
  <si>
    <t>Fora OSI</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</si>
  <si>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</si>
  <si>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</si>
  <si>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Count of Status Atual</t>
  </si>
  <si>
    <t/>
  </si>
  <si>
    <t>OSI VS FORA OSI</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</si>
  <si>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</si>
  <si>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</si>
  <si>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OSI</t>
  </si>
  <si>
    <t>Grand Total</t>
  </si>
  <si>
    <t>Total #</t>
  </si>
  <si>
    <t>Total %</t>
  </si>
  <si>
    <t>Quick-win âmbito do projeto em curso</t>
  </si>
  <si>
    <t>Novo campo</t>
  </si>
  <si>
    <t>1. Especificar</t>
  </si>
  <si>
    <t>Quick Win</t>
  </si>
  <si>
    <t>#</t>
  </si>
  <si>
    <t>%</t>
  </si>
  <si>
    <t>Necessidade de correção de erros</t>
  </si>
  <si>
    <t>2. Alterar especificação</t>
  </si>
  <si>
    <t>Campo Fechado</t>
  </si>
  <si>
    <t>Campo concluído, mas sem ou pouca informação na fonte</t>
  </si>
  <si>
    <t>3. Pendente de decisão</t>
  </si>
  <si>
    <t>Não</t>
  </si>
  <si>
    <t>Campo concluido</t>
  </si>
  <si>
    <t>4.1 Em implementação - Re-especificação</t>
  </si>
  <si>
    <t>Sim</t>
  </si>
  <si>
    <t>5.1 Em testes - Re-especificação</t>
  </si>
  <si>
    <t>Alteração de especificação por parte do BCE</t>
  </si>
  <si>
    <t>5.2 Em testes - Incidência</t>
  </si>
  <si>
    <t>7. Analisar controlos e completude</t>
  </si>
  <si>
    <t>8. Concluído - sem dados</t>
  </si>
  <si>
    <t>9. Concluído</t>
  </si>
  <si>
    <t>Pendente de decisão</t>
  </si>
  <si>
    <t>Especificação</t>
  </si>
  <si>
    <t>ORGNL_PRTCTN_VL</t>
  </si>
  <si>
    <t xml:space="preserve">Campos Contabilidade </t>
  </si>
  <si>
    <t>DT_ORGNL_PRTCTN_VL</t>
  </si>
  <si>
    <t>IMPRMNT_STTS</t>
  </si>
  <si>
    <t>PRFRMNG_STTS</t>
  </si>
  <si>
    <t>IMPRMNT_STTS_PRVS</t>
  </si>
  <si>
    <t>PRFRMNG_STTS_PRVS</t>
  </si>
  <si>
    <t>DPD_12M_PRFRMNG_STTS</t>
  </si>
  <si>
    <t>DPD_24M_PRFRMNG_STTS</t>
  </si>
  <si>
    <t>DPD_PRFRMNG_STTS</t>
  </si>
  <si>
    <t>DT_IMPRMNT_STTS</t>
  </si>
  <si>
    <t>DT_IMPRMNT_STTS_PRVS</t>
  </si>
  <si>
    <t>DT_PRFRMNG_STTS</t>
  </si>
  <si>
    <t>DT_PRFRMNG_STTS_PRVS</t>
  </si>
  <si>
    <t>4.2 Em implementação - Incidência</t>
  </si>
  <si>
    <t>6. Outros Desenvolvimentos</t>
  </si>
  <si>
    <t>Status Inicial (pós OSI)</t>
  </si>
  <si>
    <t>Variação</t>
  </si>
  <si>
    <t>Progressão</t>
  </si>
  <si>
    <t xml:space="preserve">3. Pendente de decisão - Identificados temas em OSI nos campos e é necessário identificar cauisticas (pode ficar como está ou ser alterado). Quem toma as decisões são as areas de negócio, porém o Luis poderá dar a decisão final </t>
  </si>
  <si>
    <t>Tema</t>
  </si>
  <si>
    <t>Questão</t>
  </si>
  <si>
    <t>Decisão</t>
  </si>
  <si>
    <t>O campo 'dtvalia_resp_bem' só possuI informação para datas de referências posteriores a 2024-07-31. Como devemos proceder caso seja necessário reportar dados anteriores a Jul.2024? </t>
  </si>
  <si>
    <t>Manter a especificação com mapeamento após jul.24</t>
  </si>
  <si>
    <t xml:space="preserve">O campo 'mavaliai_resp_bem' só possuI informação para datas de referências posteriores a 2024-07-31. Como devemos proceder caso seja necessário reportar dados anteriores a Jul.2024? </t>
  </si>
  <si>
    <t>DT_CNSTRCTN_STTS</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</si>
  <si>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</si>
  <si>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Criar tabela auxiliar e ir buscar a ref_date. Devemos utilizar uma ótica diária. Analisar controlos por amostragem.</t>
  </si>
  <si>
    <t>Caso o bem só tenha um estado desde sempre/ desde que foi recebido como garantia devemos reportar a DT_INCPTN? E caso tenha mais do que um instrumento associado, qual a dt_incptn que devemos utilizar? A mais antiga?</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</si>
  <si>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</si>
  <si>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</si>
  <si>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</si>
  <si>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</si>
  <si>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Campos Imparidade - Fonte da Verdade</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</si>
  <si>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</si>
  <si>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Fazer proposta. Segmentar por campos OK e NOK.</t>
  </si>
  <si>
    <t>PRTCTN_VL</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</si>
  <si>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</si>
  <si>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</si>
  <si>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</si>
  <si>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</si>
  <si>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</si>
  <si>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4.1 respecificado</t>
  </si>
  <si>
    <t>4.2 IT não implementou corretamente</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</si>
  <si>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</si>
  <si>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</si>
  <si>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</si>
  <si>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</si>
  <si>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Estado</t>
  </si>
  <si>
    <t>Status Inicial</t>
  </si>
  <si>
    <t>Status Atual (%)</t>
  </si>
  <si>
    <t>Legenda</t>
  </si>
  <si>
    <t xml:space="preserve">O campo será especificado pela primeira vez </t>
  </si>
  <si>
    <t>O campo já foi especificado, no entanto foi necessário alterar</t>
  </si>
  <si>
    <t xml:space="preserve">Houve algum tema identificado em OSI nos campos e é necessário identificar casuísticas (podendo ficar como está ou ser alterado). Quem toma as decisões são as áreas de negócio, porém o Luis poderá dar a decisão final </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</si>
  <si>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</si>
  <si>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</si>
  <si>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</si>
  <si>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</si>
  <si>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</si>
  <si>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</si>
  <si>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</si>
  <si>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</si>
  <si>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Quick-win de alta prioridade</t>
  </si>
  <si>
    <t>Quick-win de média prioridade</t>
  </si>
  <si>
    <t>TABLE_NAME</t>
  </si>
  <si>
    <t>COLUMN_NAME</t>
  </si>
  <si>
    <t>ÂMBITO</t>
  </si>
  <si>
    <t>Status</t>
  </si>
  <si>
    <t>Controlos e Completude</t>
  </si>
  <si>
    <t>Descrição</t>
  </si>
  <si>
    <t>Detalhe</t>
  </si>
  <si>
    <t>Quick-win</t>
  </si>
  <si>
    <t>Data alteração status</t>
  </si>
  <si>
    <t>Controlos e Completuade atual</t>
  </si>
  <si>
    <t>Comentários</t>
  </si>
  <si>
    <t>Data envio para IT</t>
  </si>
  <si>
    <t>Data Implementação</t>
  </si>
  <si>
    <t>Categorização</t>
  </si>
  <si>
    <t>Structural 
ECB Loan Tape</t>
  </si>
  <si>
    <t>Green 
Dashboard</t>
  </si>
  <si>
    <t>Pillar III ESG</t>
  </si>
  <si>
    <t>Green Finance</t>
  </si>
  <si>
    <t>ESG Risks</t>
  </si>
  <si>
    <t>Leveraged Finance</t>
  </si>
  <si>
    <t>STREAM</t>
  </si>
  <si>
    <t>INSTRUMENT</t>
  </si>
  <si>
    <t>ACCMLTD_CHNGS_FV_CR_INSTRMNT</t>
  </si>
  <si>
    <t>OK</t>
  </si>
  <si>
    <t>Concluido, controlos OK</t>
  </si>
  <si>
    <t>Y</t>
  </si>
  <si>
    <t>N</t>
  </si>
  <si>
    <t>ACCMLTD_IMPRMNT_INSTRMNT</t>
  </si>
  <si>
    <t>6.1. Fora âmbito | Campos concluídos - Sem necessidade de espec.</t>
  </si>
  <si>
    <t>ACCMLTD_IMPRMNT_INSTRMNT_PRVS</t>
  </si>
  <si>
    <t>Campo com incidência. Verificar fonte LT</t>
  </si>
  <si>
    <t>LF</t>
  </si>
  <si>
    <t>3. Campos em testes ou c/ incidências</t>
  </si>
  <si>
    <t>ACCMLTD_WRTFFS_INSTRMNT</t>
  </si>
  <si>
    <t>ACCNTNG_CLSSFCTN</t>
  </si>
  <si>
    <t>ENTITY</t>
  </si>
  <si>
    <t>ACCNTNG_FRMWRK_SL</t>
  </si>
  <si>
    <t>Em especificação (Financial Statments CIB)</t>
  </si>
  <si>
    <t>Campo implementação, mas com falta de informação para o segmento de clientes CIB</t>
  </si>
  <si>
    <t>PM &amp; LF</t>
  </si>
  <si>
    <t>6.4. Fora âmbito | Re-especificação de campos complexos - Dem. Fin. CIB</t>
  </si>
  <si>
    <t>TYP_MRTGG</t>
  </si>
  <si>
    <t>NOK</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</si>
  <si>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</si>
  <si>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</si>
  <si>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AMNT_D_AT_MTRTY</t>
  </si>
  <si>
    <t>2.2 Re-especificação de campos complexos - Resto</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</si>
  <si>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</si>
  <si>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</si>
  <si>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</si>
  <si>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</si>
  <si>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</si>
  <si>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</si>
  <si>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</si>
  <si>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PROTECTION</t>
  </si>
  <si>
    <t>APPRSL_CRRNCY</t>
  </si>
  <si>
    <t>Controlos NOK</t>
  </si>
  <si>
    <t>APPRSR</t>
  </si>
  <si>
    <t>ARRRS_INSTRMNT</t>
  </si>
  <si>
    <t>4. Campos com NOK controlos Corporativos</t>
  </si>
  <si>
    <t>ARRRS_INSTRMNT_12M</t>
  </si>
  <si>
    <t>ASST_SCRT_CLSS</t>
  </si>
  <si>
    <t>BRCHD_CVNNTS</t>
  </si>
  <si>
    <t>Campo especificado, mas sem dados. Campo marcado com MISS ou NA</t>
  </si>
  <si>
    <t>CAPEX</t>
  </si>
  <si>
    <t>CAPEX_PRVS</t>
  </si>
  <si>
    <t>CCF</t>
  </si>
  <si>
    <t>CHNNL_ORGNTN</t>
  </si>
  <si>
    <t>Aguarda implementação de IT</t>
  </si>
  <si>
    <t>CLLCTN_MD</t>
  </si>
  <si>
    <t>TTL_INTRST_PD</t>
  </si>
  <si>
    <t>Em especificação (Amortizações Capital/ Juros)</t>
  </si>
  <si>
    <t>CMMTMNT_INCPTN_INSTRMNT</t>
  </si>
  <si>
    <t>Analisar controlos e completude</t>
  </si>
  <si>
    <t>RL_ESTT_CLLTRL_LCTN</t>
  </si>
  <si>
    <t>Alterados 3 casos. Campo está a devolver PT para todas as proteções, no entanto estas não estão localizadas em PT e alterou-se a localização para os respetivos paises.</t>
  </si>
  <si>
    <t>CMPLNT_MRTR_C19_NM</t>
  </si>
  <si>
    <t>CNSMPTN_FNRP18</t>
  </si>
  <si>
    <t>DT_APPRSL_PRVS</t>
  </si>
  <si>
    <t>Campo com incidência e controlos NOK</t>
  </si>
  <si>
    <t>1) Campo com incidência, data igual à data da protection_vl 2) Alteração de formatos MISS</t>
  </si>
  <si>
    <t xml:space="preserve">Alteraração da definição do campo no Guia da Corporação. Campo passou a reportar a data da avaliação completa anterior à data da última avaliação  completa.
</t>
  </si>
  <si>
    <t>CNTRCT_ID</t>
  </si>
  <si>
    <t>CNTRCT_ID_BDR</t>
  </si>
  <si>
    <t>CNTRY</t>
  </si>
  <si>
    <t>COD_SOC</t>
  </si>
  <si>
    <t>INSTR_ENTITY</t>
  </si>
  <si>
    <t>INSTR_PROTECTION</t>
  </si>
  <si>
    <t>COD_SOC_INTRGRP</t>
  </si>
  <si>
    <t>CPN_CRRNCY</t>
  </si>
  <si>
    <t>CPN_RT_FXD</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</si>
  <si>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</si>
  <si>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</si>
  <si>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</si>
  <si>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</si>
  <si>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</si>
  <si>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</si>
  <si>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</si>
  <si>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</si>
  <si>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</si>
  <si>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</si>
  <si>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</si>
  <si>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</si>
  <si>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</si>
  <si>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6.3. Fora âmbito | Fonte Manual LF</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</si>
  <si>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</si>
  <si>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</si>
  <si>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</si>
  <si>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</si>
  <si>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</si>
  <si>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</si>
  <si>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</si>
  <si>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</si>
  <si>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</si>
  <si>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</si>
  <si>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 xml:space="preserve">5. Campos com outras possíveis alterações - Dependente de decisões OSI </t>
  </si>
  <si>
    <t>RFNNC_PRPS</t>
  </si>
  <si>
    <t>Alterar especificação. Campo depende do FRBRNC_STTS_INSTRMNT</t>
  </si>
  <si>
    <t>Sempre que o campo FRBRNC_STTS_INSTRMNT =3 o campo RFNNC_PRPS deve estar marcado como Y. Reespecificar, implementar e testar.</t>
  </si>
  <si>
    <t>DPD</t>
  </si>
  <si>
    <t>DPD_12M</t>
  </si>
  <si>
    <t>DPD_12M_FRBRNC_STTS</t>
  </si>
  <si>
    <t>Em testes. Campo depende do FRBRNC_STTS que está com incidência nos formatos. Não é necessário alterar a especificação do mesmo, apenas testar quando o campo FRBRNC_STTS estiver corrigido.</t>
  </si>
  <si>
    <t>Campo depende do histórico do PRFRMNG_STTS. Não é necessário alterar a especificação do mesmo, apenas testar se a metodologia do campo PRFRMNG_STTS for alterada.</t>
  </si>
  <si>
    <t>Alteração da fonte das tabela de Imparidade Reporting para as 8_7 e alteração da data a partir da qual a fonte passa a ser as tabelas de Contabilidade ( 2019 para Dez 2022)</t>
  </si>
  <si>
    <t>DPD_24M_FRBRNC_STTS</t>
  </si>
  <si>
    <t>Em testes. Campo depende do campo PRFRMNG_STTS. Não é necessário alterar a especificação do mesmo, apenas testar  se o campo PRFRMNG_STTS for alterado.</t>
  </si>
  <si>
    <t>DPD_FRBRNC_STTS</t>
  </si>
  <si>
    <t>DSTI</t>
  </si>
  <si>
    <t>Em especificação (Campos Novos)</t>
  </si>
  <si>
    <t>TYP_PRTCTN</t>
  </si>
  <si>
    <t>Alterar especificação (alteração da fonte para MUG)</t>
  </si>
  <si>
    <t>Campo depende do campo 'cgarant' do MUG</t>
  </si>
  <si>
    <t xml:space="preserve">Alteração de especificação com base no campo cgarant_bem e cgarant_rpt do MUG. Controlo NOK - A Corporação ajustou o controlo e estes casos passarão a estar OK
</t>
  </si>
  <si>
    <t>DT_BRTH</t>
  </si>
  <si>
    <t>DT_CMPLNT_MRTR_STTS_C19</t>
  </si>
  <si>
    <t>DT_CMPLNT_MRTR_STTS_PRVS_C19</t>
  </si>
  <si>
    <t>DT_PRTCTN_VL</t>
  </si>
  <si>
    <t xml:space="preserve">Campo com incidência e controlos NOK. </t>
  </si>
  <si>
    <t>Alteração formato de 0001-01-01 para 0000-00-00</t>
  </si>
  <si>
    <t>Incidência corrigida. Especificação alterada para campo da GT018, de modo a estar coerente com a especificação do campo PRTCTN_VL
Controlo NOK (ver caderno de testes a 03/12/2023)</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</si>
  <si>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</si>
  <si>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</si>
  <si>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</si>
  <si>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</si>
  <si>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</si>
  <si>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</si>
  <si>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</si>
  <si>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</si>
  <si>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CNSTRCTN_STTS</t>
  </si>
  <si>
    <t>Campo dependente do MUG</t>
  </si>
  <si>
    <t>DT_FNNCL_STTMTS</t>
  </si>
  <si>
    <t>DT_FNNCL_STTMTS_PRVS</t>
  </si>
  <si>
    <t>RCVD_INTRST_24M</t>
  </si>
  <si>
    <t>Em especificação (Amortizações Capital/ Juros). Campo com dados mas pouca qualidade</t>
  </si>
  <si>
    <t>DT_FRBRNC_STTS_C19</t>
  </si>
  <si>
    <t>RCVD_INTRST_12M</t>
  </si>
  <si>
    <t>DT_FRBRNC_STTS_PRVS_C19</t>
  </si>
  <si>
    <t>DT_FRST_USG</t>
  </si>
  <si>
    <t>Controlos NOK por parte de Riscos</t>
  </si>
  <si>
    <t>Rever fonte. Confirmar com LCM que a informação deverá estar de acordo com IFRS9/Imparidade, mantendo a metodologia da OSI (ir apenas à tabela FR004 na data de referência, as restantes datas ir à tabela de IFRS9)</t>
  </si>
  <si>
    <t>Alteração da fonte das tabela de Imparidade Reporting para as 8_7 e alteração da data a partir da qual a fonte passa a ser as tabelas de Contabilidade</t>
  </si>
  <si>
    <t>6.2.  Fora âmbito | Campos em testes ou c/ incidências (LT - PM)</t>
  </si>
  <si>
    <t>DT_INCPTN</t>
  </si>
  <si>
    <t>DT_INTRNL_RTNG</t>
  </si>
  <si>
    <t>Em testes, campo entregue por IT durante a OSI. Incidência nos formatos. Testar e validar controlos NOK</t>
  </si>
  <si>
    <t>Campo entregue durante a OSI</t>
  </si>
  <si>
    <t>Em testes, campo entregue por IT durante a OSI. Testar e validar controlos</t>
  </si>
  <si>
    <t>DT_INTTN_LGL_PRCDNGS_LE</t>
  </si>
  <si>
    <t>DVLPMNT_STTS</t>
  </si>
  <si>
    <t>Alterar especificação. Campo dependente do MUG</t>
  </si>
  <si>
    <t>Mapeamento de acordo com o CNSTRCTN_STTS</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</si>
  <si>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</si>
  <si>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</si>
  <si>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</si>
  <si>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</si>
  <si>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</si>
  <si>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</si>
  <si>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t>
  </si>
  <si>
    <t>DT_ORGNL_MTRTY</t>
  </si>
  <si>
    <t>NTNL_ID</t>
  </si>
  <si>
    <t>Campo com incidência (Formatos). Remover aspas</t>
  </si>
  <si>
    <t>DT_PRFRMNG_STTS_LE</t>
  </si>
  <si>
    <t>IFRS9_BHVRL_MTRTY</t>
  </si>
  <si>
    <t>Alterar especificação. Necessidade de alteração da fonte para fins de reconciliação</t>
  </si>
  <si>
    <t>Em curso. Aguardamos resposta da equipa de Imparidade. Sempre que o campo for nulo colocar 111111111 valor de NA</t>
  </si>
  <si>
    <t xml:space="preserve">Alteração de fonte e tabelas reporting para tabelas terminadas em 7_8
</t>
  </si>
  <si>
    <t>DT_PST_D</t>
  </si>
  <si>
    <t>DT_RFRNC</t>
  </si>
  <si>
    <t>DT_STRT_GP_PPAL</t>
  </si>
  <si>
    <t>DT_STRT_INTRST_ONLY</t>
  </si>
  <si>
    <t>DT_VLTN</t>
  </si>
  <si>
    <t>POCI</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</si>
  <si>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</si>
  <si>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EAD</t>
  </si>
  <si>
    <t>Em testes. Campo com incidências, mas corrigida na LT no âmbito da OSI.</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</si>
  <si>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805 para o nome perimentro corporativo
Verificamos que o aprovisionamento do campo está correto de acordo com as regras especificadas</t>
  </si>
  <si>
    <t>EBA_CMPLNT_MRTR_ST_C19</t>
  </si>
  <si>
    <t>OTSTNDNG_NMNL_AMNT_INSTRMNT_PRVS</t>
  </si>
  <si>
    <t>Campo com incidência</t>
  </si>
  <si>
    <t>Diferenças na fonte
Regra utilizada na OSI:
cast(NVL((LT02_PRVS.GRSS_CRRYNG_AMNT_INSTRMNT_PRVS - NVL(ACCRD_T1.ACCRD_INTRST_INSTRMNT_PRVS,0)) ,11111111111.00) as decimal(21,2)) as  OTSTNDNG_NMNL_AMNT_INSTRMNT_PRVS</t>
  </si>
  <si>
    <t>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
Alteração de especificação aquando da entrega dos campos da LT001 da equipa de IT</t>
  </si>
  <si>
    <t>INSTLMNT_PAY</t>
  </si>
  <si>
    <t>Campo especificado, mas com pouca qualidade de dados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</si>
  <si>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</si>
  <si>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</si>
  <si>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</si>
  <si>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</si>
  <si>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</si>
  <si>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</si>
  <si>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</si>
  <si>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</si>
  <si>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</si>
  <si>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</si>
  <si>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</si>
  <si>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</si>
  <si>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</si>
  <si>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</si>
  <si>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</si>
  <si>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FRBRNC_STTS_INSTRMNT</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</si>
  <si>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</si>
  <si>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EXTRNL_RTNG_PRVS</t>
  </si>
  <si>
    <t>Alterar especificação para casos em informação na fonte.</t>
  </si>
  <si>
    <t>Quando não existe informação na fonte em vez de MISS substituir por NA</t>
  </si>
  <si>
    <t>EXTRNL_RTNG_NM</t>
  </si>
  <si>
    <t>FLD_SYNDCTN</t>
  </si>
  <si>
    <t>Em implementação IT BST (Sindicados)</t>
  </si>
  <si>
    <t>Aguarda desenvolvimentos nas plataformas Loan IQ e Mercurio</t>
  </si>
  <si>
    <t>2.1. Re-especificação de campos complexos | Sindicados</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</si>
  <si>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</si>
  <si>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</si>
  <si>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</si>
  <si>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</si>
  <si>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</si>
  <si>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</si>
  <si>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</si>
  <si>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</si>
  <si>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</si>
  <si>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</si>
  <si>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</si>
  <si>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</si>
  <si>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</si>
  <si>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</si>
  <si>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</si>
  <si>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EXTRNL_RTNG</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</si>
  <si>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</si>
  <si>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</si>
  <si>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</si>
  <si>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</si>
  <si>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</si>
  <si>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</si>
  <si>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</si>
  <si>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</si>
  <si>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</si>
  <si>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</si>
  <si>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</si>
  <si>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</si>
  <si>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</si>
  <si>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</si>
  <si>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</si>
  <si>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</si>
  <si>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EBITDA_PRVS</t>
  </si>
  <si>
    <t>Alterar especificação (Luis Bastos enviou nova metodologia do campo)</t>
  </si>
  <si>
    <t>IFRS9_CCF</t>
  </si>
  <si>
    <t>Campo Imparidade</t>
  </si>
  <si>
    <t>IFRS9_EAD</t>
  </si>
  <si>
    <t>IFRS9_LGD</t>
  </si>
  <si>
    <t>IMPRMNT_ASSSSMNT_MTHD</t>
  </si>
  <si>
    <t>IMPRMNT_CLCLTN_MTHD</t>
  </si>
  <si>
    <t>Rever com a Corporação se a nova code list foi apenas para a OSI (relativamente ao tema dos POCI).</t>
  </si>
  <si>
    <t>INCM_SC</t>
  </si>
  <si>
    <t>Em especificação (Salários)</t>
  </si>
  <si>
    <t>EBITDA</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</si>
  <si>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</si>
  <si>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</si>
  <si>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</si>
  <si>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</si>
  <si>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</si>
  <si>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</si>
  <si>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</si>
  <si>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</si>
  <si>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</si>
  <si>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</si>
  <si>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</si>
  <si>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</si>
  <si>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</si>
  <si>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</si>
  <si>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</si>
  <si>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</si>
  <si>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</si>
  <si>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</si>
  <si>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</si>
  <si>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</si>
  <si>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</si>
  <si>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</si>
  <si>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</si>
  <si>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</si>
  <si>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</si>
  <si>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</si>
  <si>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</si>
  <si>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</si>
  <si>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</si>
  <si>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</si>
  <si>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</si>
  <si>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</si>
  <si>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</si>
  <si>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</si>
  <si>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</si>
  <si>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</si>
  <si>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</si>
  <si>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</si>
  <si>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</si>
  <si>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</si>
  <si>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</si>
  <si>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</si>
  <si>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</si>
  <si>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</si>
  <si>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</si>
  <si>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</si>
  <si>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</si>
  <si>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</si>
  <si>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</si>
  <si>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</si>
  <si>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</si>
  <si>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</si>
  <si>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</si>
  <si>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</si>
  <si>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</si>
  <si>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</si>
  <si>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</si>
  <si>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</si>
  <si>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</si>
  <si>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</si>
  <si>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</si>
  <si>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</si>
  <si>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</si>
  <si>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MISS deviam estar a ser reportados como NA ou zero</t>
  </si>
  <si>
    <t>Campo está a assumir apenas valores 0.00, MISS ou N/A. É necessário replicar o cálculo da LT001 para um ano atrás. LCM pediu para que o campo fonte fosse criado diretamente na LT001, eliminando a necessidade de replicar o calculo da LT001 para um ano antes da data de referência.</t>
  </si>
  <si>
    <t>OSI_ID</t>
  </si>
  <si>
    <t>OTSTNDNG_NMNL_AMNT_INSTRMNT</t>
  </si>
  <si>
    <t>DT_FRBRNC_STTS_PRVS</t>
  </si>
  <si>
    <t>Alterar especificação (alteração da fonte para a FR004)</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</si>
  <si>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</si>
  <si>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</si>
  <si>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</si>
  <si>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</si>
  <si>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</si>
  <si>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</si>
  <si>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</si>
  <si>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</si>
  <si>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Controlos NOK justificados no âmbito da OSI. 
1) Contratos fora do universo de IFRS9 2) Clientes que não são primeiros titulares de nenhum contrato
Alterar especificação  caso a LT passe a reportar os 1os titulares da Contabilidade.</t>
  </si>
  <si>
    <t>PD_IFRS9_12M_RD_T1</t>
  </si>
  <si>
    <t>PD_IFRS9_LFTM_INCPTN</t>
  </si>
  <si>
    <t>PD_IFRS9_RMNNG_LFTM_INCPTN</t>
  </si>
  <si>
    <t>PD_IFRS9_RMNNG_LFTM_RD</t>
  </si>
  <si>
    <t>PMNT_PBLC_GRNT_SCHM_C19</t>
  </si>
  <si>
    <t>DT_FRBRNC_STTS</t>
  </si>
  <si>
    <t>PRCH_UNDR_RSL_AGR</t>
  </si>
  <si>
    <t>PRDCT</t>
  </si>
  <si>
    <t>PRDNTL_PRTFL</t>
  </si>
  <si>
    <t>PRFRMNG_STTS_LE</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</si>
  <si>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</si>
  <si>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</si>
  <si>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</si>
  <si>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</si>
  <si>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</si>
  <si>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</si>
  <si>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</si>
  <si>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</si>
  <si>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</si>
  <si>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</si>
  <si>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</si>
  <si>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</si>
  <si>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</si>
  <si>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DT_EXTRNL_RTNG</t>
  </si>
  <si>
    <t>1) Campo com incidência, está a reportar apenas valores de MISS e N/A</t>
  </si>
  <si>
    <t>14 casos com valor original da proteção a zero</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</si>
  <si>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</si>
  <si>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</si>
  <si>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</si>
  <si>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</si>
  <si>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</si>
  <si>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</si>
  <si>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</si>
  <si>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</si>
  <si>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</si>
  <si>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</si>
  <si>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</si>
  <si>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Criação de uma tabela auxiliar de histórico dos estados de construção numa ótica diária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</si>
  <si>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</si>
  <si>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</si>
  <si>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CMMTMNT_INSTRMNT</t>
  </si>
  <si>
    <t>Alterar especificação (Área enviou nova metodologia do campo)</t>
  </si>
  <si>
    <t>Nova metodologia identificada pelo Rafael Pessoa durante OSI IFRS9, é necessário alterar a especificação para GRSS_CRRYNG_AMNT_INSTRMNT - OFF_BLNC_SHT_AMNT_INSTRMNT</t>
  </si>
  <si>
    <t>RFRNC_RT</t>
  </si>
  <si>
    <t>RL_ESTT_ADDRSS</t>
  </si>
  <si>
    <t>CMLTV_RCVRS_SNC_DFLT_INSTRMNT</t>
  </si>
  <si>
    <t>RL_ESTT_CLLTRL_LCTN_INT</t>
  </si>
  <si>
    <t>RL_ESTT_CTY</t>
  </si>
  <si>
    <t>RL_ESTT_PST_CD</t>
  </si>
  <si>
    <t>RRE_FNRP18</t>
  </si>
  <si>
    <t>RTNG_MTHD</t>
  </si>
  <si>
    <t>RTNG_SCL</t>
  </si>
  <si>
    <t>RTNTN_SHR</t>
  </si>
  <si>
    <t>RWA</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</si>
  <si>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CT805 para o nome perimentro corporativo
Verificamos que o aprovisionamento do campo está correto de acordo com as regras especificadas</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</si>
  <si>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</si>
  <si>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</si>
  <si>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</si>
  <si>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</si>
  <si>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</si>
  <si>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</si>
  <si>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</si>
  <si>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</si>
  <si>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</si>
  <si>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</si>
  <si>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</si>
  <si>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</si>
  <si>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</si>
  <si>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</si>
  <si>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</si>
  <si>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</si>
  <si>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</si>
  <si>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</si>
  <si>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</si>
  <si>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</si>
  <si>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</si>
  <si>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</si>
  <si>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</si>
  <si>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</si>
  <si>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</si>
  <si>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</si>
  <si>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</si>
  <si>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</si>
  <si>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ACCRD_INTRST_INSTRMNT</t>
  </si>
  <si>
    <t>TTL_LVRG_RT</t>
  </si>
  <si>
    <t>TTL_LVRG_RT_PRVS</t>
  </si>
  <si>
    <t>TYP_AMRTSTN</t>
  </si>
  <si>
    <t>TYP_CMPLNT_MRTR_C19</t>
  </si>
  <si>
    <t>TYP_CRE_OPRTN</t>
  </si>
  <si>
    <t>TYP_INSTRMNT</t>
  </si>
  <si>
    <t>TYP_INTRST_RT</t>
  </si>
  <si>
    <t>Incidências: Casos em que valor é 0</t>
  </si>
  <si>
    <t>44 garantias com valor zero.</t>
  </si>
  <si>
    <t>PRTCTN_VL_NPE</t>
  </si>
  <si>
    <t xml:space="preserve">Campo depende do histórico do PRFRMNG_STTS. Não é necessário alterar a especificação do mesmo, apenas testar se a metodologia do campo PRFRMNG_STTS for alterada. </t>
  </si>
  <si>
    <t>TYP_PRTCTN_INTRNL</t>
  </si>
  <si>
    <t>TYP_PRTCTN_VL</t>
  </si>
  <si>
    <t>TYPE_OF_PLCMNT</t>
  </si>
  <si>
    <t>VLTN_CRRNCY</t>
  </si>
  <si>
    <t>VLTN_TYP</t>
  </si>
  <si>
    <t>WTCH_LST</t>
  </si>
  <si>
    <t>YR_CNSTRCTN</t>
  </si>
  <si>
    <t>ADDRSS_CTY</t>
  </si>
  <si>
    <t>PM - Novos Campos</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</si>
  <si>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</si>
  <si>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</si>
  <si>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</si>
  <si>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</si>
  <si>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</si>
  <si>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</si>
  <si>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</si>
  <si>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</si>
  <si>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</si>
  <si>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</si>
  <si>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</si>
  <si>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</si>
  <si>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</si>
  <si>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</si>
  <si>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</si>
  <si>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</si>
  <si>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</si>
  <si>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1. Novos Campos</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</si>
  <si>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</si>
  <si>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</si>
  <si>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</si>
  <si>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</si>
  <si>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</si>
  <si>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</si>
  <si>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</si>
  <si>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</si>
  <si>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</si>
  <si>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</si>
  <si>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</si>
  <si>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</si>
  <si>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</si>
  <si>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</si>
  <si>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INSTR_ACTIVITY</t>
  </si>
  <si>
    <t>PRCNTG_ACTVTY</t>
  </si>
  <si>
    <t>Tabela</t>
  </si>
  <si>
    <t>Campo</t>
  </si>
  <si>
    <t>Tipo de teste</t>
  </si>
  <si>
    <t>Descritivo</t>
  </si>
  <si>
    <t>Data atualização</t>
  </si>
  <si>
    <t>Data de referência</t>
  </si>
  <si>
    <t>Duvidas/comentários</t>
  </si>
  <si>
    <t>Query</t>
  </si>
  <si>
    <t>INSTRMNT</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</si>
  <si>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</si>
  <si>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</si>
  <si>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</si>
  <si>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</si>
  <si>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</si>
  <si>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</si>
  <si>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</si>
  <si>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</si>
  <si>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</si>
  <si>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</si>
  <si>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</si>
  <si>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</si>
  <si>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</si>
  <si>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</si>
  <si>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</si>
  <si>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</si>
  <si>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</si>
  <si>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</si>
  <si>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</si>
  <si>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</si>
  <si>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</si>
  <si>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</si>
  <si>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</si>
  <si>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</si>
  <si>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</si>
  <si>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</si>
  <si>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</si>
  <si>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PRTCTN</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</si>
  <si>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</si>
  <si>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</si>
  <si>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</si>
  <si>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</si>
  <si>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</si>
  <si>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</si>
  <si>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</si>
  <si>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</si>
  <si>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</si>
  <si>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</si>
  <si>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</si>
  <si>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</si>
  <si>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</si>
  <si>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</si>
  <si>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</si>
  <si>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</si>
  <si>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</si>
  <si>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</si>
  <si>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</si>
  <si>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</si>
  <si>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</si>
  <si>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</si>
  <si>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</si>
  <si>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</si>
  <si>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</si>
  <si>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</si>
  <si>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</si>
  <si>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</si>
  <si>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</si>
  <si>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</si>
  <si>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</si>
  <si>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</si>
  <si>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</si>
  <si>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</si>
  <si>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</si>
  <si>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</si>
  <si>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</si>
  <si>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</si>
  <si>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</si>
  <si>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"Protection type" should match the information on the Codelist</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</si>
  <si>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</si>
  <si>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If "Type of protection received, irrespective of its eligibility for credit risk mitigation according to bank-internal classification" is informed other than default values, then "Protection type" has to be informed other than default values</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</si>
  <si>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</si>
  <si>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</si>
  <si>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</si>
  <si>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</si>
  <si>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If "Type of protection value" is set as '1 - Fair value' then "Protection type" has to be set as '3 - Other physical collaterals', '7 - Other protection', '13 - Gold' or '18 - Equity and investment funds shares'</t>
  </si>
  <si>
    <t>2291 Casos</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</si>
  <si>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</si>
  <si>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Identificar casuistica da incidência</t>
  </si>
  <si>
    <t>2262 garantias financeiras que não são derivados de crédito, 28 securities, 1 MISS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</si>
  <si>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</si>
  <si>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If "Type of protection value" is set as '2 - Long-term sustainable value' or '3 - Market value' then "Protection type" has to be set as '8 - Residential real estate collateral', '9 - Offices and commercial premises' or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</si>
  <si>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</si>
  <si>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</si>
  <si>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</si>
  <si>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</si>
  <si>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</si>
  <si>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</si>
  <si>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</si>
  <si>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</si>
  <si>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</si>
  <si>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</si>
  <si>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</si>
  <si>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</si>
  <si>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</si>
  <si>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</si>
  <si>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</si>
  <si>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</si>
  <si>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</si>
  <si>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</si>
  <si>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</si>
  <si>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</si>
  <si>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</si>
  <si>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</si>
  <si>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</si>
  <si>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</si>
  <si>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</si>
  <si>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</si>
  <si>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</si>
  <si>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</si>
  <si>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</si>
  <si>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</si>
  <si>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</si>
  <si>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If "Type of protection value" is set as '5 - Types of protection values other than notional amount, market value, fair value or long-term sustainable value' then "Protection type" cannot be 'Not applicable'</t>
  </si>
  <si>
    <t>Não existem casos em que TYP_PRTCTN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</si>
  <si>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</si>
  <si>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If "Type of protection value" equals 'Not applicable', then "Protection type" should equal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</si>
  <si>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</si>
  <si>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If "Previous appraisal date" is populated other than default values then "Protection type" has to be set as '8 - Residential real estate collateral', '9 - Offices and commercial premises' or '10 - Commercial real estate collateral'</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</si>
  <si>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</si>
  <si>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If "Currency of annual income and expenses" is populated other than default values then "Protection type" has to be set as '10 - Commercial real estate collateral' or '9 - Offices and commercial premises'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</si>
  <si>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</si>
  <si>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If "Provider of latest valuation (appraiser)" is populated other than default values then "Protection type" has to be set as '8 - Residential real estate collateral', '9 - Offices and commercial premises',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</si>
  <si>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</si>
  <si>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If "Date of last full appraisal" is populated other than default values then "Protection type" has to be set as '8 - Residential real estate collateral', '9 - Offices and commercial premises' or '10 - Commercial real estate collateral'</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</si>
  <si>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</si>
  <si>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</si>
  <si>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</si>
  <si>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</si>
  <si>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</si>
  <si>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</si>
  <si>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</si>
  <si>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</si>
  <si>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</si>
  <si>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</si>
  <si>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</si>
  <si>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</si>
  <si>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</si>
  <si>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"Date of protection value" must have a Date format (yyyy-mm-dd)</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</si>
  <si>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</si>
  <si>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"Date of protection value" must be later than 01 January 1970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</si>
  <si>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</si>
  <si>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In the case of protection items which are valued at their notional amount, the date of protection value is the reporting reference date.</t>
  </si>
  <si>
    <t>Com a alteração da fonte, os 2416 Casos NOK ficam OK</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</si>
  <si>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</si>
  <si>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"Date of protection value" cannot be later than "Reference date"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</si>
  <si>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</si>
  <si>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"Date of protection value" must be later or equal than "Date of last full appraisal"</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</si>
  <si>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</si>
  <si>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If "Previous appraisal date" is other than default values, then "Date of protection value" cannot be 'Not applicable'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</si>
  <si>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</si>
  <si>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</si>
  <si>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"Appraised market value" should have a Format numeric (2 decimal places)</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</si>
  <si>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</si>
  <si>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"Appraised market value" shall be larger or equal to 0; Negative values trigger attention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</si>
  <si>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</si>
  <si>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The amount of "Appraised market value" must be greater or equal than the amount of "Protection allocated value"</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</si>
  <si>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</si>
  <si>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If "Date of protection value" is other than 'Not applicable', then "Appraised market value" cannot be 'Not applicable' or zero</t>
  </si>
  <si>
    <t>44 garantias em DT_PRTCTN_VL não é N/A e PRTCTN_VL é zero.</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</si>
  <si>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</si>
  <si>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The amount of "Appraised market value" must be greater or equal than the sum of amount of "Protection allocated value" of all the instruments that share the same protection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</si>
  <si>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</si>
  <si>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</si>
  <si>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</si>
  <si>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Incidência</t>
  </si>
  <si>
    <t>181 casos com aspas</t>
  </si>
  <si>
    <t>SELECT count(*)
FROM cd_loan_tapes_bce.lt004_protection  
WHERE 1=1 
AND ambito = 'PM' 
AND segmento = 'ESTR' 
AND ref_date = '2024-05-31'
AND nome_perimetro = 'Individual Corporativo'
AND ntnl_id LIKE '%"%'
-- AND ntnl_id LIKE '%F%'</t>
  </si>
  <si>
    <t>"Behavioural maturity" should have a Format numeric (0 decimal places)</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</si>
  <si>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</si>
  <si>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"Behavioural maturity" shall be larger or equal to 0 and less than 960; Negative values trigger attention</t>
  </si>
  <si>
    <t>Dois casos em que a Maturidade é superior a 960 meses (1000 e 2162)</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</si>
  <si>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</si>
  <si>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"National reference of the property" should be a Char not null</t>
  </si>
  <si>
    <t>Controlo feito em Hive</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</si>
  <si>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</si>
  <si>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Duplicates by "National reference of the property" in PROTECTION table</t>
  </si>
  <si>
    <t>Controlo feito em Hive: 2087 casos duplicados</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</si>
  <si>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</si>
  <si>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"National reference of the property" should have Char format (variable length allowed between 1 and 255 characters)</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</si>
  <si>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</si>
  <si>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If "Protection type" is equal to '8 - Residential real estate collateral', '9 - Offices and commercial premises' or '10 - Commercial real estate collateral', then "National reference of the property" must be populated other than default values.</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</si>
  <si>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</si>
  <si>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If "Protection type" is not equal to '8 - Residential real estate collateral', '9 - Offices and commercial premises' or '10 - Commercial real estate collateral', then "National reference of the property" must be populated with default values.</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</si>
  <si>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</si>
  <si>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"Construction status" should match the information on the Codelist</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</si>
  <si>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</si>
  <si>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If "Protection type" is set as  '8 - Residential real estate collateral', '9 - Offices and commercial premises' or '10 - Commercial real estate collateral', then "Construction status" must be populated other than default values</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</si>
  <si>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</si>
  <si>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If "Development status" is '4 - Constructed and fully operational', then "Construction status" must equal '1 - Built'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</si>
  <si>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</si>
  <si>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If "Development status" is '2 - In construction and not operational' or '3 - In construction and partially operational', then "Construction status" must equal '2 - In construction'</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</si>
  <si>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</si>
  <si>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If "Development status" is '1 - Not in construction', then "Construction status" must equal '3 - Land bank without zoning permit' or '4 - Land bank building permit'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</si>
  <si>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</si>
  <si>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If "Development status" is 'Not applicable', then "Construction status" must be a default value</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</si>
  <si>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</si>
  <si>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If "Date of first usage of the building" is later than "Reference date", then "Construction status" should be set as '2 - In construction' or '4 - Land bank building permit'</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</si>
  <si>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</si>
  <si>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</si>
  <si>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If "Date of first usage of the building" is earlier than "Reference date", then "Construction status" should be set as '1 - Built'</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</si>
  <si>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</si>
  <si>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If "Flag first home" is set as 'Y - Yes' then "Construction status" cannot be 'Not Applicable'</t>
  </si>
  <si>
    <t>Campo FLG_FRST_HM ainda não implementado na LT</t>
  </si>
  <si>
    <t>"Development status" should match the information on the Codelist</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</si>
  <si>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</si>
  <si>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If "Protection type" equals '8 - Residential real estate collateral' or '9 - Offices and commercial premises' or '10 - Commercial real estate collateral' then, "Development status" cannot be 'Not applicable'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</si>
  <si>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</si>
  <si>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If "Protection type" is not  '8 - Residential real estate collateral' or '9 - Offices and commercial premises' or '10 - Commercial real estate collateral',  then "Development status" must be default value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</si>
  <si>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</si>
  <si>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"Date of original protection value" must have a Date format (yyyy-mm-dd)</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</si>
  <si>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</si>
  <si>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"Date of original protection value" must be later than 01 January 1970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</si>
  <si>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</si>
  <si>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"Date of original protection value" must be lower or equal to "Date of protection value"</t>
  </si>
  <si>
    <t>Controlo feito com simulação do DT_PRTCTN_VL</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</si>
  <si>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</si>
  <si>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"Date of original protection value" cannot be later than "Reference date"</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</si>
  <si>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</si>
  <si>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</si>
  <si>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</si>
  <si>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</si>
  <si>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</si>
  <si>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"Original protection value (at inception)" should have a Format numeric (2 decimal places)</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</si>
  <si>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</si>
  <si>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"Original protection value (at inception)" shall be larger or equal to 0; Negative values trigger attention</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</si>
  <si>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</si>
  <si>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If "Date of original protection value" is other than default values, then "Original protection value (at inception)" cannot be 'Not applicable' or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</si>
  <si>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</si>
  <si>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If "Date of original protection value" equals 'Not applicable', then "Original protection value (at inception)" must be a default value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</si>
  <si>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</si>
  <si>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</si>
  <si>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</si>
  <si>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Verificar se o campo está de acordo com a Especificação</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</si>
  <si>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</si>
  <si>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</si>
  <si>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</si>
  <si>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</si>
  <si>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Casos em que o typ_prtctn é 5 ou 12 que estão justificados troca de emails com a corporação</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</si>
  <si>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</si>
  <si>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</si>
  <si>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</si>
  <si>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</si>
  <si>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</si>
  <si>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</si>
  <si>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</si>
  <si>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Justificado: 2 Garantias que aparecem na LT004 mas não na GT018 - IT vai alterar o Universo da LT para a GT018 em vez das tabelas do modelo base</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</si>
  <si>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</si>
  <si>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Justificado: 1 Garantia que aparecem na LT004 mas não na GT018 - IT vai alterar o Universo da LT para a GT018 em vez das tabelas do modelo base</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</si>
  <si>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</si>
  <si>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If "Forced sale value" is populated other than default values, then "Protection type" has to be set as '8 - Residential real estate collateral', '9 - Offices and commercial premises', '3 - Other physical collaterals' or '10 - Commercial real estate collateral'</t>
  </si>
  <si>
    <t>Justificado: 3 Garantias que aparecem na LT004 mas não na GT018 - IT vai alterar o Universo da LT para a GT018 em vez das tabelas do modelo base</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</si>
  <si>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</si>
  <si>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</si>
  <si>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</si>
  <si>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0 casos com aspas</t>
  </si>
  <si>
    <t>SELECT count(*)
FROM bu_loantape_work.lt004_protection  
WHERE 1=1 
AND ambito = 'PM' 
AND segmento = 'ESTR' 
AND ref_date = '2024-09-30'
AND nome_perimetro = 'Individual Corporativo'
AND ntnl_id LIKE '%"%'
-- AND ntnl_id LIKE '%F%'</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</si>
  <si>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</si>
  <si>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795 casos duplicados que são justificados pela falta de informação dos campos que forma a concatenação</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</si>
  <si>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</si>
  <si>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</si>
  <si>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</si>
  <si>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Justificado 3 Garantias que aparecem na LT004 mas não na GT018 - IT vai alterar o Universo da LT para a GT018 em vez das tabelas do modelo base</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</si>
  <si>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</si>
  <si>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</si>
  <si>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</si>
  <si>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Justificado: 43 garantias com datas '0001-01-01' - Erro de Data Quality de Leasings que está a ser endereçado pelo Alexandre Esteves e estará resolvido em Janeiro de 2025</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</si>
  <si>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</si>
  <si>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Justificado: 3 Garantias que o DT_PRTCTN_VL é '0001-01-01'  - Erro de Data Quality de Leasings que está a ser endereçado pelo Alexandre Esteves e estará resolvido em Janeiro de 2025</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</si>
  <si>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</si>
  <si>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</si>
  <si>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</si>
  <si>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</si>
  <si>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</si>
  <si>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</si>
  <si>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</si>
  <si>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</si>
  <si>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</si>
  <si>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</si>
  <si>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</si>
  <si>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</si>
  <si>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</si>
  <si>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</si>
  <si>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</si>
  <si>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</si>
  <si>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</si>
  <si>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</si>
  <si>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</si>
  <si>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</si>
  <si>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</si>
  <si>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</si>
  <si>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</si>
  <si>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</si>
  <si>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</si>
  <si>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</si>
  <si>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"Prime location according to bank-internal definition  (Y/N)" should match the information on the Codelist</t>
  </si>
  <si>
    <t>SELECT prm_lctn,
    COUNT(*)
FROM bu_loantape_work.lt004_protection
WHERE ref_date='${date}'
    AND nome_perimetro='Individual Corporativo'
    AND segmento='ESTR'
    AND ambito='PM'
GROUP BY prm_lctn</t>
  </si>
  <si>
    <t>3 casos que não cruzam com GT018 - IT vai alterar o Universo da LT para a GT018 em vez das tabelas do modelo base</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</si>
  <si>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</si>
  <si>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</si>
  <si>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</si>
  <si>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"Date of last full appraisal" must have a Date format (yyyy-mm-dd)</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</si>
  <si>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</si>
  <si>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"Date of last full appraisal" must be later than 01 January 1970</t>
  </si>
  <si>
    <t>41 casos em que  a dt aparece 0001-01-01  - Erro de Data Quality de Leasings que está a ser endereçado pelo Alexandre Esteves e estará resolvido em Janeiro de 2025</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</si>
  <si>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</si>
  <si>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"Date of last full appraisal" must be greater or equal to the "Date of the appraisal previous to the most recent one available, i.e. previous to the last full appraisal (field DT_LST_FLL_APPRSL)."</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</si>
  <si>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</si>
  <si>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</si>
  <si>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</si>
  <si>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</si>
  <si>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</si>
  <si>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</si>
  <si>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</si>
  <si>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</si>
  <si>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</si>
  <si>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</si>
  <si>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</si>
  <si>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</si>
  <si>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15 casos com valor original da proteção a zero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</si>
  <si>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</si>
  <si>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</si>
  <si>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</si>
  <si>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</si>
  <si>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"Previous off-balance amount" should have a Format numeric (2 decimal places)</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</si>
  <si>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</si>
  <si>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"Previous off-balance amount" shall be larger or equal to 0; Negative values trigger attention</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</si>
  <si>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</si>
  <si>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If "Date of inception" is less than one year in the past (compared to "Reference date") and product type is other than uncommited overdraft, then "Previous off-balance amount" should be populated with default values.</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</si>
  <si>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</si>
  <si>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If "Date of inception" is more than one year in the past (compared to "Reference date") and "Off-balance sheet amount" is populated other than default values, then "Previous off-balance amount" should be populated with values other than default.</t>
  </si>
  <si>
    <t>Justificado. São ajustes que não vão ser executados nos controlos da corporação. O Campo OFF_BLNC_SHT_INSTRMNT_PRVS será sempre N/A para ajustes, segundo o Guia da Corporação - Capítulo 11</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</si>
  <si>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</si>
  <si>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</si>
  <si>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</si>
  <si>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</si>
  <si>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 xml:space="preserve">SELECT *
FROM
(
SELECT instrmnt_id, mn_entty_id, entty_id, zcliente,
CASE WHEN ENTTY_ID=ZCLIENTE THEN 'Y' ELSE 'N' END as mn_entty_id_simulado
FROM
(SELECT instrmnt_id, mn_entty_id, entty_id
FROM bu_loantape_work.lt005_instr_ent_srb
WHERE 1=1 
AND ambito = 'PM'
AND segmento = 'ESTR'
AND ref_date = '${date}'
AND nome_perimetro = 'Individual Corporativo'
AND instrmnt_id not like 'SNCN%'
AND instrmnt_id not like 'SS%') LT005
LEFT JOIN 
(SELECT cempresa, cbalcao, cnumecta, zdeposit, zcliente
FROM bu_loantape_work.lt001_univ_oper
WHERE 1=1 
AND ambito = 'PM'
AND segmento = 'ESTR'
AND ref_date = '${date}'
AND nome_perimetro = 'Individual Corporativo') LT001
ON LT005.INSTRMNT_ID=CONCAT(LT001.CEMPRESA,LT001.CBALCAO,LT001.CNUMECTA,LT001.ZDEPOSIT)
) A
WHERE mn_entty_id &lt;&gt; mn_entty_id_simulado
</t>
  </si>
  <si>
    <t>Incidência onde os registos estão como 0.00 e  99999999999</t>
  </si>
  <si>
    <t>SELECT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bu_loantape_work.lt002_instrument_srb
      WHERE segmento = 'ESTR'
        AND nome_perimetro ='Individual Corporativo'
        AND ref_date='${date}'
        AND AMBITO = 'PM'
        -- and instrmnt_id =   '82000020210000346001520240463187'
        ) LT002
   LEFT JOIN
     (SELECT CEMPRESA,
             CBALCAO,
             CNUMECTA,
             ZDEPOSIT,
             sum(valor_bruto_off_prvs) as valor_bruto_off_prvs
      FROM bu_loantape_work.lt001_univ_oper
      WHERE segmento = 'ESTR'
        AND nome_perimetro ='Individual Corporativo'
        AND ref_date='${date}'
        AND AMBITO = 'PM'
        -- and CONCAT(CEMPRESA, CBALCAO, CNUMECTA, ZDEPOSIT) = '82000020110004228001520240649446'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</si>
  <si>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ifrs9_bhvrl_mtrty, IFRS9_BHVRL_MTRTY_Simulado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bu_loantape_work.lt002_instrument_srb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</si>
  <si>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bu_loantape_work.lt004_protection_srb
        WHERE segmento = 'ESTR'
        AND nome_perimetro ='Individual Corporativo'
        AND ref_date='${date}'
        AND AMBITO = 'PM'
        ) lt004
ON D.prtctn_id = prtctn_id_lt004
Where 1=1 
AND ORGNL_PRTCTN_VL &lt;&gt; ORGNL_PRTCTN_VL_SIMULADO</t>
  </si>
  <si>
    <t>SELECT *
FROM
(
SELECT instrmnt_id, mn_entty_id, entty_id, zcliente,
CASE WHEN ENTTY_ID=ZCLIENTE THEN 'Y' ELSE 'N' END as mn_entty_id_simulado
FROM
(SELECT instrmnt_id, mn_entty_id, entty_id
FROM cd_loan_tapes_bce.lt005_instr_ent
WHERE 1=1 
AND ambito = 'PM'
AND segmento = 'ESTR'
AND ref_date = '${date}'
AND nome_perimetro = 'Individual Corporativo'
AND instrmnt_id not like 'SNCN%'
AND instrmnt_id not like 'SS%') LT005
LEFT JOIN 
(SELECT cempresa, cbalcao, cnumecta, zdeposit, zcliente
FROM cd_loan_tapes_bce.lt001_univ_oper
WHERE 1=1 
AND ambito = 'PM'
AND segmento = 'ESTR'
AND ref_date = '${date}'
AND nome_perimetro = 'Individual Corporativo') LT001
ON LT005.INSTRMNT_ID=CONCAT(LT001.CEMPRESA,LT001.CBALCAO,LT001.CNUMECTA,LT001.ZDEPOSIT)
) A
WHERE mn_entty_id &lt;&gt; mn_entty_id_simulado</t>
  </si>
  <si>
    <t>"Main Entity ID" should be a Char not null (default values not allowed)</t>
  </si>
  <si>
    <t>SELECT DISTINCT mn_entty_id
FROM cd_loan_tapes_bce.lt005_instr_ent
WHERE 1=1 
AND ambito = 'PM'
AND segmento = 'ESTR'
AND ref_date = '${date}'
AND nome_perimetro = 'Individual Corporativo'</t>
  </si>
  <si>
    <t>"Main Entity ID" should match the information on the Codelist</t>
  </si>
  <si>
    <t>SELECT *
FROM
    (
    Select instrmnt_id, 
    IFRS9.contract_id, 
    months_to_maturity,
    ifrs9_bhvrl_mtrty,
    Case when IFRS9.contract_id IS NULL Then 11111111111
    Else cast(months_to_maturity as INT)
    END as IFRS9_BHVRL_MTRTY_Simulado
    From
        (SELECT instrmnt_id, ifrs9_bhvrl_mtrty
        FROM cd_loan_tapes_bce.lt002_instrument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AND ifrs9_bhvrl_mtrty &lt;&gt; IFRS9_BHVRL_MTRTY_Simulado</t>
  </si>
  <si>
    <t xml:space="preserve">SELECT instrmnt_id, ifrs9_bhvrl_mtrty
        FROM cd_loan_tapes_bce.lt002_instrument
        WHERE segmento = 'ESTR'
        AND nome_perimetro ='Individual Corporativo'
        AND ref_date='${date}'
        AND AMBITO = 'PM'
        AND cast(IFRS9_BHVRL_MTRTY as VARCHAR) LIKE '%.'
   </t>
  </si>
  <si>
    <t xml:space="preserve">SELECT instrmnt_id, ifrs9_bhvrl_mtrty
        FROM cd_loan_tapes_bce.lt002_instrument
        WHERE segmento = 'ESTR'
        AND nome_perimetro ='Individual Corporativo'
        AND ref_date='${date}'
        AND AMBITO = 'PM'
        AND (IFRS9_BHVRL_MTRTY &gt; 960 OR IFRS9_BHVRL_MTRTY &lt; 0)
        AND IFRS9_BHVRL_MTRTY &lt;&gt; 11111111111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</si>
  <si>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cd_loan_tapes_bce.lt004_protection
        WHERE segmento = 'ESTR'
        AND nome_perimetro ='Individual Corporativo'
        AND ref_date='${date}'
        AND AMBITO = 'PM'
        ) lt004
ON D.prtctn_id = prtctn_id_lt004
Where 1=1 
AND ORGNL_PRTCTN_VL &lt;&gt; ORGNL_PRTCTN_VL_SIMULADO
;</t>
  </si>
  <si>
    <t>Campo aparece com 6 casas decimais em vez de duas</t>
  </si>
  <si>
    <t>Select prtctn_id as prtctn_id_lt004, DT_ORGNL_PRTCTN_VL,ORGNL_PRTCTN_VL
        From cd_loan_tapes_bce.lt004_protection
        WHERE segmento = 'ESTR'
        AND nome_perimetro ='Individual Corporativo'
        AND ref_date='${date}'
        AND AMBITO = 'PM'
        AND cast(ORGNL_PRTCTN_VL as VARCHAR) NOT LIKE '%.__'</t>
  </si>
  <si>
    <t>Select prtctn_id, DT_ORGNL_PRTCTN_VL,ORGNL_PRTCTN_VL
        From cd_loan_tapes_bce.lt004_protection
        WHERE segmento = 'ESTR'
        AND nome_perimetro ='Individual Corporativo'
        AND ref_date='${date}'
        AND AMBITO = 'PM'
        AND orgnl_prtctn_vl &lt; 0</t>
  </si>
  <si>
    <t>133 casos com valor original da proteção a zero</t>
  </si>
  <si>
    <t>Select prtctn_id, DT_ORGNL_PRTCTN_VL, ORGNL_PRTCTN_VL
        From cd_loan_tapes_bce.lt004_protection
        WHERE segmento = 'ESTR'
        AND nome_perimetro ='Individual Corporativo'
        AND ref_date='${date}'
        AND AMBITO = 'PM'
        AND DT_ORGNL_PRTCTN_VL &lt;&gt; '1111-11-11'
        AND ORGNL_PRTCTN_VL in (11111111111,0)</t>
  </si>
  <si>
    <t>Select prtctn_id, DT_ORGNL_PRTCTN_VL, ORGNL_PRTCTN_VL
        From cd_loan_tapes_bce.lt004_protection
        WHERE segmento = 'ESTR'
        AND nome_perimetro ='Individual Corporativo'
        AND ref_date='${date}'
        AND AMBITO = 'PM'
        AND DT_ORGNL_PRTCTN_VL = '1111-11-11'
        AND ORGNL_PRTCTN_VL &lt;&gt; 11111111111</t>
  </si>
  <si>
    <t>Select prtctn_id, DT_ORGNL_PRTCTN_VL, ORGNL_PRTCTN_VL
        From cd_loan_tapes_bce.lt004_protection
        WHERE segmento = 'ESTR'
        AND nome_perimetro ='Individual Corporativo'
        AND ref_date='${date}'
        AND AMBITO = 'PM'
        AND prtctn_id LIKE 'P%'
        AND ORGNL_PRTCTN_VL &lt;&gt; 11111111111</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</si>
  <si>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cd_loan_tapes_bce.lt002_instrument
      WHERE segmento = 'ESTR'
        AND nome_perimetro ='Individual Corporativo'
        AND ref_date='${date}'
        AND AMBITO = 'PM' ) LT002
   LEFT JOIN
     (SELECT CEMPRESA,
             CBALCAO,
             CNUMECTA,
             ZDEPOSIT,
             sum(valor_bruto_off_prvs) valor_bruto_off_prvs
      FROM cd_loan_tapes_bce.lt001_univ_oper
      WHERE segmento = 'ESTR'
        AND nome_perimetro ='Individual Corporativo'
        AND ref_date='${date}'
        AND AMBITO = 'PM' -- and CONCAT(CEMPRESA, CBALCAO, CNUMECTA, ZDEPOSIT) = '31000805765200020000000000000000'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</si>
  <si>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off_blnc_sht_amnt_instrmnt_prvs
      FROM cd_loan_tapes_bce.lt002_instrument
      WHERE segmento = 'ESTR'
        AND nome_perimetro ='Individual Corporativo'
        AND ref_date='${date}'
        AND AMBITO = 'PM'
        AND cast(off_blnc_sht_amnt_instrmnt_prvs as VARCHAR) NOT LIKE '%.__'</t>
  </si>
  <si>
    <t>SELECT instrmnt_id,
             off_blnc_sht_amnt_instrmnt_prvs
      FROM cd_loan_tapes_bce.lt002_instrument
      WHERE segmento = 'ESTR'
        AND nome_perimetro ='Individual Corporativo'
        AND ref_date='${date}'
        AND AMBITO = 'PM'
        AND off_blnc_sht_amnt_instrmnt_prvs &lt; 0</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</si>
  <si>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&lt; DT_INCPTN
        AND off_blnc_sht_amnt_instrmnt_prvs &lt;&gt; 11111111111
</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</si>
  <si>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&gt; DT_INCPTN
        AND off_blnc_sht_amnt_instrmnt &lt;&gt; 11111111111
        AND off_blnc_sht_amnt_instrmnt_prvs = 11111111111
</t>
  </si>
  <si>
    <t>Tabela Origem</t>
  </si>
  <si>
    <t>Campo Origem</t>
  </si>
  <si>
    <t>Imparidade</t>
  </si>
  <si>
    <t>Contabilidade</t>
  </si>
  <si>
    <t>Owner</t>
  </si>
  <si>
    <t>Validador</t>
  </si>
  <si>
    <t>Impairment status (stage 1, 2 e 3)</t>
  </si>
  <si>
    <t>FR004_CTO</t>
  </si>
  <si>
    <t>STAGE_ATUAL</t>
  </si>
  <si>
    <t>Contabilidade a partir de Dez.22</t>
  </si>
  <si>
    <t>Imparidade &amp; Contabilidade</t>
  </si>
  <si>
    <t>Performing status</t>
  </si>
  <si>
    <t>Previous performing status</t>
  </si>
  <si>
    <t>Purchased credit-impaired financial asset (POCI)</t>
  </si>
  <si>
    <t>BU_IFRS9.IFRS9_INPUT_MOTOR_8_7</t>
  </si>
  <si>
    <t xml:space="preserve">PURCHASED_CREDIT_IMPAIRED_FINANCIAL_ASSETS_FLAG </t>
  </si>
  <si>
    <t>Highest number of days past due in the 12 months prior to the most recent change of performing status</t>
  </si>
  <si>
    <t>FR004_CTO
MOYR1060
MOYR1061
CT622_MOYR_IFIC</t>
  </si>
  <si>
    <t>STAGE_ATUAL
DT_INCUMP
MOYR1N60_DINICONT
MOYR1N60_DINICONT</t>
  </si>
  <si>
    <t>Highest number of days past due in the 24 months before most recent change of performing status</t>
  </si>
  <si>
    <t>Days past due at the time of the most recent change of the performing status</t>
  </si>
  <si>
    <t>Date of impairment status</t>
  </si>
  <si>
    <t>Date of previous impairment status</t>
  </si>
  <si>
    <t>Date of performing status</t>
  </si>
  <si>
    <t>Date of previous performing status</t>
  </si>
  <si>
    <t>BU_IFRS9.IFRS9_OUT_EXPECTED_LOSS_REPORTING</t>
  </si>
  <si>
    <t>IER_FINAL</t>
  </si>
  <si>
    <t>BU_IFRS9.IFRS9_OUT_EXPECTED_LOSS_REPORTING
BU_IFRS.9.IFRS9_INPUT_MOTOR_8_7</t>
  </si>
  <si>
    <t>IER_FINAL
INTERST_EFFECTIVE_RATE_ORIG
INITIAL_RECOGNITION_DATE</t>
  </si>
  <si>
    <t>K2</t>
  </si>
  <si>
    <t>BU_IFRS9.IFRS9_OUT_STAGING_REPORTING</t>
  </si>
  <si>
    <t>EAD_FINAL</t>
  </si>
  <si>
    <t>LGD_IFRS9</t>
  </si>
  <si>
    <t>LT803_CODIGOS_LT</t>
  </si>
  <si>
    <t>VALOR_LT</t>
  </si>
  <si>
    <t>FR004_CTO
CT003_UNIV_CLI
IMCATF002_PROCESSO_AI_HIST
TABELA_PARAMETRIZACAO_IMPRMNT_CLCLTN_MTHD</t>
  </si>
  <si>
    <t>VALOR_LT
TIPO_ANALISE_ATUAL
CCLI_GRUPO
CTIPO_RECUPERACAO</t>
  </si>
  <si>
    <t>IFRS9_OUT_EXPECTED_LOSS_REPORTING
IMCATF046_FLAG_FECHO</t>
  </si>
  <si>
    <t>ID_PORTFOLIO_IFRS9</t>
  </si>
  <si>
    <t>Low credit risk exemption for SICR assessment</t>
  </si>
  <si>
    <t>FIXO</t>
  </si>
  <si>
    <t>'N'</t>
  </si>
  <si>
    <t>TBD - Necessita de desenvolvimentos</t>
  </si>
  <si>
    <t>PD_1Y_IFRS9</t>
  </si>
  <si>
    <t>BU_IFRS9.IFRS9_OUT_EXPECTED_LOSS_REPORTING
LT002_INSTRUMENT</t>
  </si>
  <si>
    <t>PD12M_IFRS9
IMPRMNT_STTS_INSTRMNT</t>
  </si>
  <si>
    <t>BU_IFRS9.IFRS9_OUT_EXPECTED_LOSS_REPORTING
FR004_CTO</t>
  </si>
  <si>
    <t>PD12M_IFRS9 (DATA DE REFERENCIA DE ANO ANTERIOR)
STAGE_ANTERIOR (DATA DE REFERENCIA DE ANO ANTERIOR)</t>
  </si>
  <si>
    <t>BU_IFRS9.IFRS9_OUT_EXPECTED_LOSS_REPORTING
IMCATF046_FLAG_FECHO
IFRS9_INPUT_MOTOR_8_7</t>
  </si>
  <si>
    <t>PD_LT_IFRS9
CMES
INITIAL_RECOGNITION_DATE</t>
  </si>
  <si>
    <t>PD_LTR_ORIGINAL</t>
  </si>
  <si>
    <t>PD_LT_IFRS9
IMPRMNT_STTS_INSTRMNT</t>
  </si>
  <si>
    <t>'2'</t>
  </si>
  <si>
    <t>ENTTY</t>
  </si>
  <si>
    <t>LT002_INSTRUMENT</t>
  </si>
  <si>
    <t>PD_IFRS9_12M_RD
IFRS9_EAD</t>
  </si>
  <si>
    <t>LT002_INSTRUMENT
BU_IFRS9.IFRS9_OUT_STAGING_REPORTING</t>
  </si>
  <si>
    <t>PD_IFRS9_12M_RD_T1
EAD_FINAL</t>
  </si>
  <si>
    <t>GT003_TRZ_GT_FIN
LT002_INSTRUMENT
LT814_HRCT_MV</t>
  </si>
  <si>
    <t>CTRATCTA
IMPRMNT_ASSSSMNT_MTHD
HRCT_MV</t>
  </si>
  <si>
    <t>Accumulated changes in fair value due to credit risk</t>
  </si>
  <si>
    <t>'0'</t>
  </si>
  <si>
    <t>Contabilidade a partir de [data a definir]</t>
  </si>
  <si>
    <t>Sum of LLPs and other allowances</t>
  </si>
  <si>
    <t>FR001_UNIV_SALDO</t>
  </si>
  <si>
    <t>MSALDO_FINAL (saldo obtido por parametrizações sobre as contas contabilisticas)</t>
  </si>
  <si>
    <t>Previous sum of LLPs and other allowances</t>
  </si>
  <si>
    <t>Accumulated write-offs</t>
  </si>
  <si>
    <t>Accounting portfolio</t>
  </si>
  <si>
    <t>Accrued interest balance as recognized on the balance sheet</t>
  </si>
  <si>
    <t>Total exposure in arrears</t>
  </si>
  <si>
    <t>MOYR1060
MOYR1061
CT622_MOYR_IFIC</t>
  </si>
  <si>
    <t>MOYR1N60_MSLDIRR
MOYR1N60_MSLDIRR 
VENCIDO_CTRVLR</t>
  </si>
  <si>
    <t>Highest total exposure in arrears in the last 12 months before the reference date</t>
  </si>
  <si>
    <t xml:space="preserve">Currency denomination </t>
  </si>
  <si>
    <t>CMOEDA1</t>
  </si>
  <si>
    <t>Carrying amount</t>
  </si>
  <si>
    <t>Highest number of days past due in the last 12 months</t>
  </si>
  <si>
    <t>CT622_MOYR_IFIC
MOYR1061
MOYR1060</t>
  </si>
  <si>
    <t>DT_INCUMP
MOYR1N60_DINICONT
MOYR1N60_DINICONT</t>
  </si>
  <si>
    <t>Highest number of days past due in the 12 months prior to the most recent change of the forbearance status</t>
  </si>
  <si>
    <t>DT_INCUMP
MOYR1N60_DINICONT
MOYR1N60_DINICONT
(com base na data de reestruturação)</t>
  </si>
  <si>
    <t>Highest number of days past due in the 24 months prior to the most recent change of the forbearance status</t>
  </si>
  <si>
    <t>Days past due at the date of the most recent change of the forbearance status</t>
  </si>
  <si>
    <t>Date past due</t>
  </si>
  <si>
    <t>MOYR1N60_DINICONT
DT_INCUMP</t>
  </si>
  <si>
    <t>Start date of principal grace period</t>
  </si>
  <si>
    <t>EPT02_ADMCTA
DADOS_GERAIS_EMP</t>
  </si>
  <si>
    <t>DINICARE
EPRY8510_DFORMALI</t>
  </si>
  <si>
    <t>Start date of the interest-only period</t>
  </si>
  <si>
    <t>Gross carrying amount</t>
  </si>
  <si>
    <t>LT001_UNIV_OPER</t>
  </si>
  <si>
    <t>VALOR_BRUTO_ON</t>
  </si>
  <si>
    <t>Internal code for segment/portfolio</t>
  </si>
  <si>
    <t>CONTRAPARTE</t>
  </si>
  <si>
    <t>Loan to value (LTV) at reference date</t>
  </si>
  <si>
    <t>FR011_CAPS_LTV</t>
  </si>
  <si>
    <t>VALOR_LTV</t>
  </si>
  <si>
    <t>Loan to value (LTV) at inception</t>
  </si>
  <si>
    <t>VALOR_LTV_ORIG</t>
  </si>
  <si>
    <t>Loan to value (LTV) at the date when the instrument was classified as non-performing</t>
  </si>
  <si>
    <t>FR011_CAPS_LTV
BCE_LT_SPRT_PRFM</t>
  </si>
  <si>
    <t>VALOR_LTV
REF_DATE</t>
  </si>
  <si>
    <t>Off-balance sheet amount</t>
  </si>
  <si>
    <t>Outstanding gross nominal amount</t>
  </si>
  <si>
    <t>Previous outstanding gross nominal amount</t>
  </si>
  <si>
    <t>Provisions associated with off-balance sheet exposures</t>
  </si>
  <si>
    <t>Type of EBA-compliant moratoria</t>
  </si>
  <si>
    <t>CT902_EBA_REPORT_CONTAB</t>
  </si>
  <si>
    <t>CREGIME</t>
  </si>
  <si>
    <t>Internal name of EBA compliant moratoria as registered by the bank</t>
  </si>
  <si>
    <t xml:space="preserve"> 'Compliant Moratoriums'</t>
  </si>
  <si>
    <t>Date of EBA compliant moratoria status</t>
  </si>
  <si>
    <t>DTESTADO 
DINIPED</t>
  </si>
  <si>
    <t>Initial date of first EBA compliant moratoria status</t>
  </si>
  <si>
    <t>End date of principal grace period for COVID19 related measures</t>
  </si>
  <si>
    <t>DFIMCAR</t>
  </si>
  <si>
    <t>End date of the interest-only period for COVID19 related measures</t>
  </si>
  <si>
    <t>EBA compliant moratoria status</t>
  </si>
  <si>
    <t>CT902_EBA_REPORT_CONTAB
LT806_MRT_ST_C19</t>
  </si>
  <si>
    <t>CESTADO
F_EXPIRED
CREGIME
EBA_CMPLNT_MRTR_ST_C19</t>
  </si>
  <si>
    <t>Grace period on capital and interest</t>
  </si>
  <si>
    <t>CTIPCAR</t>
  </si>
  <si>
    <t>Maturity of latest EBA compliant moratoria</t>
  </si>
  <si>
    <t>BLOCO 2</t>
  </si>
  <si>
    <t>Data Inicio</t>
  </si>
  <si>
    <t>Data Fim</t>
  </si>
  <si>
    <t xml:space="preserve">BLOCO </t>
  </si>
  <si>
    <t>Versão</t>
  </si>
  <si>
    <t>Trabalho</t>
  </si>
  <si>
    <t>Pilar 3</t>
  </si>
  <si>
    <t>VDS</t>
  </si>
  <si>
    <t>GD</t>
  </si>
  <si>
    <t>BLOCO 1</t>
  </si>
  <si>
    <t>Produção</t>
  </si>
  <si>
    <t>CD_LOAN_TAPE_BCE.LT002_INSTRUMENT</t>
  </si>
  <si>
    <t>CD</t>
  </si>
  <si>
    <t>Bloco</t>
  </si>
  <si>
    <t>Tipo de Alteração</t>
  </si>
  <si>
    <t>Teste de Consistência</t>
  </si>
  <si>
    <t xml:space="preserve">Controlos Corporativos </t>
  </si>
  <si>
    <t>Estado do campo / Next Steps</t>
  </si>
  <si>
    <t>imprmnt_stts</t>
  </si>
  <si>
    <t>Nova Especificação</t>
  </si>
  <si>
    <t>Analisar controlos</t>
  </si>
  <si>
    <t>dt_imprmnt_stts</t>
  </si>
  <si>
    <t>dt_imprmnt_stts_prvs</t>
  </si>
  <si>
    <t>imprmnt_stts_prvs</t>
  </si>
  <si>
    <t>Fechado</t>
  </si>
  <si>
    <t>ifrs9_bhvrl_mtrty</t>
  </si>
  <si>
    <t>orgnl_prtctn_vl</t>
  </si>
  <si>
    <t>dpd_12m_prfrmng_stts</t>
  </si>
  <si>
    <t>dpd_24m_prfrmng_stts</t>
  </si>
  <si>
    <t>Corrigido na BU</t>
  </si>
  <si>
    <t>dpd_prfrmng_stts</t>
  </si>
  <si>
    <t>prfrmng_stts</t>
  </si>
  <si>
    <t>dt_prfrmng_stts</t>
  </si>
  <si>
    <t>dt_prfrmng_stts_prvs</t>
  </si>
  <si>
    <t>prfrmng_stts_prvs</t>
  </si>
  <si>
    <t>off_blnc_sht_amnt_instrmnt_prvs</t>
  </si>
  <si>
    <t>WIP</t>
  </si>
  <si>
    <t>Consistência corrigida na BU falta analisar controlos</t>
  </si>
  <si>
    <t>FLD_SYNDCTN, RTNTN_SHR, STTS_UNDRWRTTN_TRNSCTN, SYNDCT_RL, SYNDCTD_AGNT, SYNDCTD_CNTRCT_ID, SYNDCTD_LNDRS, SYNDCTD_SHR, SYNDCTN_TYP e TRNCH</t>
  </si>
  <si>
    <t>COUNTERPARTY_COUNTRY, ADDRESS_STREET, ADDRESS_CITY_TOWN_VILLAGE e ADDRESS_COUNTY_ADM_DIV</t>
  </si>
  <si>
    <t>typ_ep_scr, sstnbl_ctgry, rsk_mtgtd_ccp, nace_esg, mthd_usd_instrmnt_scp_3, mthd_usd_instrmnt_scp_2, mthd_usd_instrmnt_scp_1, PRMRY_ENRGY_DMND_NN_RNWBL, DT_RGSTRTN, RL_ESTT_CRTFCTN, FLG_FRST_HM, DT_MTRTY_INSRNC, AMNT_CVRD_INSRNC, TYP_HZRDS_INSRD, INSRNC_ID, VHCL_EMSSNS_SCR, flg_chrnc_physcl_rsk, VHCL_EMSSNS_LBL, flg_act_physcl_rsk, TYP_EMSSNS_LBL, esg_sbsctr, prtctn_allctd_vl, enblng_trnvr_ce, enblng_capex_ce, enblng_trnvr_w, enblng_capex_w, pure_trnvr_ce, pure_capex_ce, pure_trnvr_w, pure_capex_w, pure_trnvr_b, pure_capex_b, pure_trnvr_p, pure_capex_p, txnmy_elgbl_trnvr_ce, txnmy_elgbl_capex_ce, txnmy_elgbl_trnvr_b, txnmy_elgbl_capex_b, txnmy_elgbl_trnvr_p, txnmy_elgbl_capex_p, txnmy_elgbl_trnvr_w, txnmy_elgbl_capex_w, entty_nm, FLG_MNMM_SFGRDS, INTRNL_SGMNT_CATGSUB, INTRNL_SGMNT_CAT_MSTA, EIR_INCPTN, EIR, LTV_INCPTN, LTV, RWA, EAD, DT_ORGNL_MTRTY, INTRNL_SGMNT, FRBRNC_STTS_INSTRMNT, DNSH_DTL, FLG_DNSH_CMPLNC, ep_scr, INSTRMNT_ID, DT_RFRNC, COD_SOC</t>
  </si>
  <si>
    <t>dt_prfrmng_stts_prvs, dt_prfrmng_stts, dpd_12m_prfrmng_stts, dt_imprmnt_stts_prvs, dt_imprmnt_stts, off_blnc_sht_amnt_instrmnt_prvs, prfrmng_stts_prvs, dpd_prfrmng_stts, dpd_24m_prfrmng_stts, prfrmng_stts, orgnl_prtctn_vl, imprmnt_stts, ifrs9_bhvrl_mtrty, mn_entty_id, imprmnt_stts_prvs</t>
  </si>
  <si>
    <t xml:space="preserve">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ISSR_ID.issr_id &lt;&gt; LT002.issr_id
;
</t>
  </si>
  <si>
    <t>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length(LT002.ISSR_ID) &gt;=255</t>
  </si>
  <si>
    <t>ID of the issuer should have Char format (variable length allowed between 1 and 255 characters)</t>
  </si>
  <si>
    <t xml:space="preserve">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LT002.instrmnt_id, LT002.issr_id, ISSR_ID.ISSR_ID as ISSR_ID_SIM,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
Where LT002.issr_id_typ &lt;&gt; ISSR_ID.ISSR_ID_TYP
</t>
  </si>
  <si>
    <t>"Type of ID of the issuer" should match the information on the Codelist</t>
  </si>
  <si>
    <t>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DISTINCT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</si>
  <si>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&lt;&gt; accmltd_chngs_fv_cr_instrmnt_sim
 </t>
  </si>
  <si>
    <t>"Accumulated changes in fair value due to credit risk" should have a Format numeric (2 decimal places)</t>
  </si>
  <si>
    <t>"Accumulated changes in fair value due to credit risk" shall be larger or equal to 0; Negative values trigger attention</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</si>
  <si>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</si>
  <si>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If "Subportfolio ID" is classified as 'VRPL - Fair value through profit and loss' and 'P - Performing', then "Accumulated changes in fair value due to credit risk" should be 'Not Applicable' or zero</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</si>
  <si>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</si>
  <si>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</si>
  <si>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cast(accmltd_chngs_fv_cr_instrmnt as VARCHAR) NOT LIKE '%.__'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</si>
  <si>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 0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</si>
  <si>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accntng_clssfctn IN ('6','14','8')
AND accmltd_chngs_fv_cr_instrmnt &lt;&gt; 11111111111
 </t>
  </si>
  <si>
    <t>Campo não existe</t>
  </si>
  <si>
    <t xml:space="preserve">SELECT instrmnt_id, accmltd_chngs_fv_cr_instrmnt, accmltd_chngs_fv_cr_instrmnt_sim ,prfrmng_stts, accntng_clssfctn
FROM
(SELECT
instrmnt_id, accmltd_chngs_fv_cr_instrmnt, prfrmng_stts, accntng_clssfctn, frbrnc_stts_instrmnt,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prfrmng_stts IN ('11')
AND frbrnc_stts_instrmnt IN ('3','4','5')
AND accmltd_chngs_fv_cr_instrmnt &lt;&gt; 11111111111
 </t>
  </si>
  <si>
    <t>Re-especificar o campo utilizando o código da OSI (código é uma proxy com base no tipo de amortização e na frequência de pagamentos)</t>
  </si>
  <si>
    <t xml:space="preserve">- Alteração do Universo da LT004 para a GT018 (15/01/2025)
- Alteração de especificação de campos dependentes da tabela CT063 para a tabela Business (02/04/2025)
- Retirar traçabilidade dos ajustes com as demais tabelas (04/04/2025)
- Alteração de especificação dos campo do Universo PRVS (04/04/2025)
</t>
  </si>
  <si>
    <t>Observações</t>
  </si>
  <si>
    <t xml:space="preserve">Campos Fechados </t>
  </si>
  <si>
    <t>Data</t>
  </si>
  <si>
    <t>Campos em Aberto</t>
  </si>
  <si>
    <t>Versão de Trabalho</t>
  </si>
  <si>
    <t>Versão de Produção entregue a 28/03/2025</t>
  </si>
  <si>
    <t>Análise de Controlos</t>
  </si>
  <si>
    <t>Total de Campos da Wallet</t>
  </si>
  <si>
    <t>Estado Campos em Produção</t>
  </si>
  <si>
    <t>Alteração do Universo da LT004 para a GT018 (15/01/2025)</t>
  </si>
  <si>
    <t>Alteração de especificação de campos dependentes da tabela CT063 para a tabela Business (02/04/2025)</t>
  </si>
  <si>
    <t>Alterações de Especificação enviadas a IT</t>
  </si>
  <si>
    <t>Alteração de especificação dos campo do Universo PRVS (04/04/2025) + (09/04/2025)</t>
  </si>
  <si>
    <t>Teste em BU</t>
  </si>
  <si>
    <t>Retirar traçabilidade dos ajustes com as tabelas PROTECTION E ENTTY (04/04/2025)</t>
  </si>
  <si>
    <t>REF_DATE</t>
  </si>
  <si>
    <t>1 Controlo NOK - Proteções a zero</t>
  </si>
  <si>
    <t>1 Controlo NOK Justificado - Data Inferior a 1970</t>
  </si>
  <si>
    <t>Dependente da Alteração dos Campos do Universo PRVS</t>
  </si>
  <si>
    <t>BLOCO 3</t>
  </si>
  <si>
    <t>Em análise pela Luísa + Corporação</t>
  </si>
  <si>
    <t>Add condição: Se o "DT_PRFRMNG_STTS" for inferior à "DT_INCPTN", assumir o valor da "DT_INCPTN"</t>
  </si>
  <si>
    <t>Next Steps</t>
  </si>
  <si>
    <t>Estado do campo</t>
  </si>
  <si>
    <t>Campos DFLT_STTS_INSTRMNT (Âmbito LF) ainda não foi entregue</t>
  </si>
  <si>
    <t>Validar com Luis</t>
  </si>
  <si>
    <t>3 Controlos NOK - Inconsistências entre conceitos de DFLT, STAGE e WATCH LIST corrigidos em Fevereiro de 2025</t>
  </si>
  <si>
    <t xml:space="preserve">1 Controlo NOK - Inconsistências entre conceitos DFLT e STAGE 
1 Controlo ligado a um campo com Incidências (PRTCTN_CLLD)
1 Controlo enviado pela Luísa à corporação </t>
  </si>
  <si>
    <t>LT_VALIDATION_LABEL</t>
  </si>
  <si>
    <t>LT_VALIDATION_DESCRIPTION</t>
  </si>
  <si>
    <t>LT_VALIDAT_TABLE</t>
  </si>
  <si>
    <t>LT_VALIDAT_FIELD</t>
  </si>
  <si>
    <t>LT_VALIDATION_TYPE</t>
  </si>
  <si>
    <t>LT_PROC_STEP_ID</t>
  </si>
  <si>
    <t>LT_PROC_VAL_NEW_STATUS</t>
  </si>
  <si>
    <t>LT_VAL_EXECUTED</t>
  </si>
  <si>
    <t>LT_VAL_INCIDENTS</t>
  </si>
  <si>
    <t>VL_PERCENT</t>
  </si>
  <si>
    <t>LT_F_IN_097_01</t>
  </si>
  <si>
    <t>"Highest number of days past due in the 12 months prior to the most recent change of performing status" should have a Format numeric (0 decimal places)</t>
  </si>
  <si>
    <t>FORMAT_NUM</t>
  </si>
  <si>
    <t>LT_F_IN</t>
  </si>
  <si>
    <t>LT_O_IN_097_01</t>
  </si>
  <si>
    <t>"Highest number of days past due in the 12 months prior to the most recent change of performing status" shall be larger or equal to 0; Negative values trigger attention</t>
  </si>
  <si>
    <t>RELACION_NUM_DF</t>
  </si>
  <si>
    <t>LT_O_IN</t>
  </si>
  <si>
    <t>LT_R_IN_097_01</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</si>
  <si>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</si>
  <si>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INTRA_REL_P_IN</t>
  </si>
  <si>
    <t>REL_CAMPOS</t>
  </si>
  <si>
    <t>LT_R_IN</t>
  </si>
  <si>
    <t>LT_R_IN_097_03</t>
  </si>
  <si>
    <t>If "Highest number of days past due in the 12 months prior to the most recent change of performing status" is populated (other than default values) then it should be lower than or equal to "Highest number of days past due in the 24 months before most recent change of performing status"</t>
  </si>
  <si>
    <t>LT_R_IN_097_04</t>
  </si>
  <si>
    <t xml:space="preserve">If "Highest number of days past due in the 12 months prior to the most recent change of performing status" is populated (other than default values) then it should be higher than or equal to "Days past due at the time of the most recent change of the performing status" </t>
  </si>
  <si>
    <t>LT_R_IN_097_02</t>
  </si>
  <si>
    <t>If "Date of performing status" equals to "Date of Inception" or "Date of performing status" occured before a period of 24 month preceding the reference date, then "Highest number of days past due in the 12 months prior to the most recent change of performing status" should be default values</t>
  </si>
  <si>
    <t>KO</t>
  </si>
  <si>
    <t>LT_F_IN_099_01</t>
  </si>
  <si>
    <t>"Highest number of days past due in the 24 months before most recent change of performing status" should have a Format numeric (0 decimal places)</t>
  </si>
  <si>
    <t>LT_O_IN_099_01</t>
  </si>
  <si>
    <t>"Highest number of days past due in the 24 months before most recent change of performing status" shall be larger or equal to 0; Negative values trigger attention</t>
  </si>
  <si>
    <t>LT_R_IN_099_01</t>
  </si>
  <si>
    <t>If "Highest number of days past due in the 12 months prior to the most recent change of performing status" is populated (other than default values) then "Highest number of days past due in the 24 months before most recent change of performing status" cannot be 'Not applicable'</t>
  </si>
  <si>
    <t>LT_R_IN_099_02</t>
  </si>
  <si>
    <t>If "Highest number of days past due in the 12 months prior to the most recent change of performing status" is populated with 'Not applicable', then "Highest number of days past due in the 24 months before most recent change of performing status" must be populated with default values</t>
  </si>
  <si>
    <t>LT_F_IN_101_01</t>
  </si>
  <si>
    <t>"Days past due at the time of the most recent change of the performing status" should have a Format numeric (0 decimal places)</t>
  </si>
  <si>
    <t>LT_O_IN_101_01</t>
  </si>
  <si>
    <t>"Days past due at the time of the most recent change of the performing status" shall be larger or equal to 0; Negative values trigger attention</t>
  </si>
  <si>
    <t>LT_F_IN_102_01</t>
  </si>
  <si>
    <t>"Date of impairment status" must have a Date format (yyyy-mm-dd)</t>
  </si>
  <si>
    <t>FORMAT_DATE</t>
  </si>
  <si>
    <t>LT_O_IN_102_01</t>
  </si>
  <si>
    <t>"Date of impairment status" must be later than 01 January 1970</t>
  </si>
  <si>
    <t>RELACION_FECHA</t>
  </si>
  <si>
    <t>LT_R_IN_102_01</t>
  </si>
  <si>
    <t>If product type is other than uncommited overdraft then "Date of impairment status" must be greater or equal than "Date of Inception"</t>
  </si>
  <si>
    <t>LT_R_IN_102_02</t>
  </si>
  <si>
    <t>"Date of impairment status" must be earlier or equal than "Reference date"</t>
  </si>
  <si>
    <t>LT_F_IN_103_01</t>
  </si>
  <si>
    <t>"Date of previous impairment status" must have a Date format (yyyy-mm-dd)</t>
  </si>
  <si>
    <t>LT_O_IN_103_01</t>
  </si>
  <si>
    <t>"Date of previous impairment status" must be later than 01 January 1970</t>
  </si>
  <si>
    <t>LT_R_IN_103_01</t>
  </si>
  <si>
    <t>"Date of previous impairment status" should be less than "Date of impairment status" unless they are both equal to "Date of inception"</t>
  </si>
  <si>
    <t>LT_R_IN_103_02</t>
  </si>
  <si>
    <t>If product type is other than uncommited overdraft then "Date of previous impairment status" must be greater or equal than "Date of Inception"</t>
  </si>
  <si>
    <t>LT_R_IN_103_03</t>
  </si>
  <si>
    <t>If "Previous impairment status" is populated as 'Not applicable', then "Date of previous impairment status" must equal default value</t>
  </si>
  <si>
    <t>LT_C_IN_027_01</t>
  </si>
  <si>
    <t>"Date of performing status" should be a Date not null (default values for not applicable fields not allowed)</t>
  </si>
  <si>
    <t>INTRA_N1_IN</t>
  </si>
  <si>
    <t>NOT_NULL_DATE_NA</t>
  </si>
  <si>
    <t>LT_C_IN</t>
  </si>
  <si>
    <t>LT_F_IN_027_01</t>
  </si>
  <si>
    <t>"Date of performing status" must have a Date format (yyyy-mm-dd)</t>
  </si>
  <si>
    <t>LT_O_IN_027_01</t>
  </si>
  <si>
    <t>"Date of performing status" must be later than 01 January 1970</t>
  </si>
  <si>
    <t>LT_R_IN_027_02</t>
  </si>
  <si>
    <t>"Date of performing status" must be earlier or equal than "Reference date"</t>
  </si>
  <si>
    <t>LT_R_IN_027_03</t>
  </si>
  <si>
    <t>If "Performing status" is populated (other than default values) then "Date of performing status" must also be populated (other than default values)</t>
  </si>
  <si>
    <t>LT_R_IN_027_01</t>
  </si>
  <si>
    <t>If "Date of performing status" (Main Entity level) does not equal "Date of performing status" (instrument level) and "Performing status (Main Entity level)" does not equal "Performing status (instrument level)" then "Date of performing status" must be greater or equal than "Date of Inception"</t>
  </si>
  <si>
    <t>INTER_REL_P_X2</t>
  </si>
  <si>
    <t>LT_F_IN_028_01</t>
  </si>
  <si>
    <t>"Date of previous performing status" must have a Date format (yyyy-mm-dd)</t>
  </si>
  <si>
    <t>LT_R_IN_028_02</t>
  </si>
  <si>
    <t>If "Date of performing status" (Main Entity level) does not equal "Date of performing status" (instrument level) and "Performing status (Main Entity level)" does not equal "Performing status (instrument level)" then "Date of previous performing status" must be greater or equal than "Date of Inception"</t>
  </si>
  <si>
    <t>LT_R_IN_028_03</t>
  </si>
  <si>
    <t>If "Previous performing status" is populated (other than default values) then "Date of previous performing status" must also be populated (other than default values)</t>
  </si>
  <si>
    <t>LT_R_IN_028_04</t>
  </si>
  <si>
    <t>If "Subportfolio ID" is classified as 'HFT - Held for trading' then "Date of previous performing status" must be 'Not Applicable'</t>
  </si>
  <si>
    <t>LT_O_IN_028_01</t>
  </si>
  <si>
    <t>"Date of previous performing status" must be later than 01 January 1970</t>
  </si>
  <si>
    <t>LT_R_IN_028_01</t>
  </si>
  <si>
    <t xml:space="preserve">If "Date of previous performing status" is populated other than default values, then it should be lower or equal than "Date of performing status" </t>
  </si>
  <si>
    <t>LT_F_IN_073_01</t>
  </si>
  <si>
    <t>LT_O_IN_073_01</t>
  </si>
  <si>
    <t>LT_F_IN_034_01</t>
  </si>
  <si>
    <t>LISTA</t>
  </si>
  <si>
    <t>LT_K_IN_034_01</t>
  </si>
  <si>
    <t>LT_K_IN</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</si>
  <si>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</si>
  <si>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</si>
  <si>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LT_R_IN_034_01</t>
  </si>
  <si>
    <t>LT_R_IN_034_03</t>
  </si>
  <si>
    <t>if "Default status of the instrument" is set as '14 - Not in default' and "Subportfolio ID" is not classified as 'VRPL - FV with changes in PL' then "Impairment status" cannot be 25 - Stage 3 (IFRS)'</t>
  </si>
  <si>
    <t>LT_R_IN_034_09</t>
  </si>
  <si>
    <t>If "Debtor on watch-list (Y/N)" (Main Entity level) is set as 'Y' and "Subportfolio ID" is not classified as 'VRPL - FV with changes in PL' then "Impairment status" has to be set as '24 - Stage 2 (IFRS)' or '25 - Stage 3 (IFRS)'</t>
  </si>
  <si>
    <t>LT_R_IN_034_05</t>
  </si>
  <si>
    <t>LT_R_IN_034_11</t>
  </si>
  <si>
    <t>If "Accounting portfolio" 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</si>
  <si>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</si>
  <si>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</si>
  <si>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</si>
  <si>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</si>
  <si>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</si>
  <si>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</si>
  <si>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</si>
  <si>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LT_F_IN_035_01</t>
  </si>
  <si>
    <t>"Previous impairment status" should match the information on the Codelist</t>
  </si>
  <si>
    <t>LT_K_IN_035_03</t>
  </si>
  <si>
    <t>"Previous impairment status" can only be '23 - Stage 1 (IFRS)' or '24 - Stage 2 (IFRS)' or '25 - Stage 3 (IFRS)' or default values(Since Santander Group is IFRS compliance and do not apply General Accounting Accepted Principles (GAAP) on a consolidated basis)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</si>
  <si>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</si>
  <si>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</si>
  <si>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LT_R_IN_035_02</t>
  </si>
  <si>
    <t>If "Accounting portfolio" equals '6 - IFRS: Financial assets at amortised cost', '8 - IFRS: Financial assets at fair value through other comprehensive income' or '14 - IFRS: Cash balances at central banks and other demand deposits', then "Previous impairment status" cannot be 'Not applicable'</t>
  </si>
  <si>
    <t>LT_F_PR_022_01</t>
  </si>
  <si>
    <t>LT_F_PR</t>
  </si>
  <si>
    <t>LT_O_PR_022_01</t>
  </si>
  <si>
    <t>RELACION_NUM_MISS</t>
  </si>
  <si>
    <t>LT_O_PR</t>
  </si>
  <si>
    <t>LT_R_PR_022_01</t>
  </si>
  <si>
    <t>INTRA_REL_P_PR</t>
  </si>
  <si>
    <t>LT_R_PR</t>
  </si>
  <si>
    <t>LT_R_PR_022_02</t>
  </si>
  <si>
    <t>LT_R_PR_022_03</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</si>
  <si>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</si>
  <si>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LT_C_IN_044_01</t>
  </si>
  <si>
    <t>"Performing status" should be a Numeric not null (default values for not applicable fields not allowed)</t>
  </si>
  <si>
    <t>NOT_NULL_NUM_NA</t>
  </si>
  <si>
    <t>LT_F_IN_044_01</t>
  </si>
  <si>
    <t>"Performing status" should match the information on the Codelist</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</si>
  <si>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</si>
  <si>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</si>
  <si>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LT_R_IN_044_07</t>
  </si>
  <si>
    <t>If "Protection called" is set as 'Y' then "Performing status" (instrument level) has to be set as '1 - Non-performing'</t>
  </si>
  <si>
    <t>INTER_REL_P_X3</t>
  </si>
  <si>
    <t>LT_R_IN_044_12</t>
  </si>
  <si>
    <t>If "Performing status" (Main Entity level) is set as '1 - Non Performing' then "Performing status" at instrument level should be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</si>
  <si>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</si>
  <si>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</si>
  <si>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</si>
  <si>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</si>
  <si>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</si>
  <si>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</si>
  <si>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</si>
  <si>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</si>
  <si>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</si>
  <si>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</si>
  <si>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</si>
  <si>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</si>
  <si>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LT_F_IN_045_01</t>
  </si>
  <si>
    <t>"Previous performing status" should match the information on the Codelist</t>
  </si>
  <si>
    <t>LT_R_IN_045_01</t>
  </si>
  <si>
    <t>If "Date of previous performing status" is populated other than default values and other than "Date of inception", then "Previous performing status" cannot be 'Not applicable'</t>
  </si>
  <si>
    <t>LT_R_IN_045_02</t>
  </si>
  <si>
    <t>if "Date of previous performing status" is populated with 'Not Applicable' values then "Previous performing status" must be defaulted</t>
  </si>
  <si>
    <t>LT_R_IN_045_03</t>
  </si>
  <si>
    <t>If "Subportfolio ID" is classified as 'HFT - Held for trading' then "Previous performing status" must be 'Not Applicable'</t>
  </si>
  <si>
    <t>Validação</t>
  </si>
  <si>
    <t>Em Correção</t>
  </si>
  <si>
    <t>Em valida</t>
  </si>
  <si>
    <t>Especificação enviada a IT (26-05-2025)</t>
  </si>
  <si>
    <t>Em análise</t>
  </si>
  <si>
    <t>SELECT instrmnt_id, dt_prfrmng_stts, dt_prfrmng_stts_prvs, dt_incptn, prfrmng_stts_prvs
FROM cd_loan_tapes_bce.lt002_instrument
Where ref_date = '2025-03-31'
AND nome_perimetro = 'Individual Corporativo'
AND ambito = 'PM'
AND segmento = 'ESTR'
AND dt_prfrmng_stts_prvs &lt;&gt; '1111-11-11'
AND dt_prfrmng_stts_prvs &lt;&gt; dt_incptn
AND prfrmng_stts_prvs = '11111111111'</t>
  </si>
  <si>
    <t>Em implementação - Não Entregue</t>
  </si>
  <si>
    <t>Especificação enviada a IT (27-05-2025)</t>
  </si>
  <si>
    <t>Campo com alteração de especificação devido a atualização do Guia Corporativo (Relacionado com o PRFRMNG_STTS_PRVS)</t>
  </si>
  <si>
    <t>Marcar Reunião com David Texugo para encontrar uma solução</t>
  </si>
  <si>
    <t>Especificação Enviada</t>
  </si>
  <si>
    <t>Entregues por IT em BU</t>
  </si>
  <si>
    <t>Análise com Área</t>
  </si>
  <si>
    <t>Campo Alterado no âmbito de LF (Se o contrato não alterar o stage deve ser reportado o stage à dt_incptn) - Ainda em fase de testes
Rever tema com David Texugo (Registos a NULL nas tabelas IFRS9 8_7)</t>
  </si>
  <si>
    <t>Revisto com Luis</t>
  </si>
  <si>
    <t>SIM</t>
  </si>
  <si>
    <t>Alteração do mapeamento dos campos ACCMLTD_IMPRMNT_INSTRMNT_PRVS e OTSTNDNG_NMNL_AMNT_INSTRMNT_PRVS, por forma a utilizarem os novos campos na lt001 enviada a 09/04/2025</t>
  </si>
  <si>
    <t>Alteração de especificação dos campos e DT_IMPRMNT_STTS e DT_IMPRMNT_STTS_PRVS - Especificação enviada a 26/02/2025</t>
  </si>
  <si>
    <t>Alteração de especificação dos campos DPD_12M_PRFRMNG_STTS, DPD_24M_PRFRMNG_STTS e DPD_PRFRMNG_STTS enviada a 27/02/2025</t>
  </si>
  <si>
    <t>Adicionar 2 campos no universo da lt001 (ACCRD_INTRST_INSTRMNT (Âmbito LF) e ACCRD_INTRST_INSTRMNT_PRVS) enviada a 09/04/2025</t>
  </si>
  <si>
    <t>prtctn_vl</t>
  </si>
  <si>
    <t>prtctn_clld</t>
  </si>
  <si>
    <t>typ_prtctn_Vl</t>
  </si>
  <si>
    <t>typ_prtctn_intrnl</t>
  </si>
  <si>
    <t>Alterar especificação</t>
  </si>
  <si>
    <t>cmmtmnt_instrmnt</t>
  </si>
  <si>
    <t>Validar controlo</t>
  </si>
  <si>
    <t xml:space="preserve">pymnt_frqncy </t>
  </si>
  <si>
    <t>dt_frst_usg</t>
  </si>
  <si>
    <t>dt_mtrty_prtctn</t>
  </si>
  <si>
    <t>Quando Typ_instrmnt not ('9' e '10' ) deve ser N/A e na CD está a reportar NULL</t>
  </si>
  <si>
    <t xml:space="preserve"> </t>
  </si>
  <si>
    <t>Criar tabela no GitHub para garantias Móveis, analisar incidências</t>
  </si>
  <si>
    <t>Falar com IT, validar relação controlo NOK com campo orgnl_prtctn_vl</t>
  </si>
  <si>
    <t>Estados</t>
  </si>
  <si>
    <t>Análise de controlos</t>
  </si>
  <si>
    <t>Análise de especificação do campo</t>
  </si>
  <si>
    <t xml:space="preserve">-  </t>
  </si>
  <si>
    <t>"Previous sum of LLPs and other allowances" should have a Format numeric (2 decimal places)</t>
  </si>
  <si>
    <t>"Previous sum of LLPs and other allowances" shall be larger or equal to 0; Negative values trigger attention</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</si>
  <si>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</si>
  <si>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If "Date of inception" is less than one year in the past (compared to "Reference date") and product type is other than uncommited overdraft, then "Previous sum of LLPs and other allowances" must equal default values</t>
  </si>
  <si>
    <t>SELECT *
FROM
  (SELECT LT002.instrmnt_id,
          ACCMLTD_IMPRMNT_INSTRMNT_PRVS,
          DT_INCPTN &lt;= SUBSTR(cast(add_months(LT002.ref_date, -12) AS string), 1, 10) AS val,
          SUM(-1*provisao_on_prvs)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SUM(-1*provisao_on_prvs)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</si>
  <si>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SELECT instrmnt_id,
       ACCMLTD_IMPRMNT_INSTRMNT_PRVS,
       dt_incptn,
       ref_date
FROM bu_loantape_work.lt002_instrument
WHERE segmento = 'ESTR'
    AND nome_perimetro ='Individual IDComb'
    AND ref_date='${date}'
    AND AMBITO = 'PM' 
    AND cod_visao = 1
    AND cast(ACCMLTD_IMPRMNT_INSTRMNT_PRVS as VARCHAR) NOT LIKE '%.__'</t>
  </si>
  <si>
    <t xml:space="preserve">SELECT instrmnt_id,
       ACCMLTD_IMPRMNT_INSTRMNT_PRVS,
       dt_incptn,
       ref_date
FROM bu_loantape_work.lt002_instrument
WHERE segmento = 'ESTR'
    AND nome_perimetro ='Individual IDComb'
    AND ref_date='${date}'
    AND AMBITO = 'PM' 
    AND cod_visao = 1
    AND ACCMLTD_IMPRMNT_INSTRMNT_PRVS &lt; 0
</t>
  </si>
  <si>
    <t>SELECT instrmnt_id,
       ACCMLTD_IMPRMNT_INSTRMNT_PRVS,
       dt_incptn,
       ref_date,
       ACCMLTD_CHNGS_FV_CR_INSTRMNT
FROM bu_loantape_work.lt002_instrument
WHERE segmento = 'ESTR'
    AND nome_perimetro ='Individual IDComb'
    AND ref_date='${date}'
    AND AMBITO = 'PM' 
    AND cod_visao = 1
    AND ACCMLTD_CHNGS_FV_CR_INSTRMNT IN (2,4,41)
    AND ACCMLTD_IMPRMNT_INSTRMNT_PRVS &lt;&gt; 11111111111.00</t>
  </si>
  <si>
    <t>SELECT instrmnt_id,
       ACCMLTD_IMPRMNT_INSTRMNT_PRVS,
       dt_incptn,
       ref_date,
       ACCMLTD_CHNGS_FV_CR_INSTRMNT
FROM bu_loantape_work.lt002_instrument
WHERE segmento = 'ESTR'
    AND nome_perimetro ='Individual IDComb'
    AND ref_date='${date}'
    AND AMBITO = 'PM' 
    AND cod_visao = 1
    AND dt_incptn &gt; SUBSTR(cast(add_months(ref_date, -12) AS string), 1, 10) 
    AND prdct like '%Descoberto%'
    AND ACCMLTD_IMPRMNT_INSTRMNT_PRVS &lt;&gt; 11111111111</t>
  </si>
  <si>
    <t>"Outstanding gross nominal amount" should have a Format numeric (2 decimal places)</t>
  </si>
  <si>
    <t>"Outstanding gross nominal amount" shall be larger or equal to 0; Negative values trigger attention</t>
  </si>
  <si>
    <t>If "Subportfolio ID" is classified as 'CA - Amortized Cost' or 'VRPN - FVOCI' then "Outstanding gross nominal amount" must equal "Carrying amount" minus "Accrued interest balance as recognised on the balance sheet" plus "Sum of LLPs and other allowances"</t>
  </si>
  <si>
    <t>"Outstanding gross nominal amount" must equal "Gross carrying amount" minus "Accrued interest balance as recognised on the balance sheet"</t>
  </si>
  <si>
    <t>If "Off-balance sheet amount" is populated as 'Not applicable' or zero amount, then "Outstanding gross nominal amount" cannot be 'Not applicable' nor zero amount</t>
  </si>
  <si>
    <t>If Subportfolio ID is classified as 'VRPL - FV with changes in PL' then "Outstanding gross nominal amount" must equal "Carrying amount" minus "Accrued interest balance as recognised on the balance sheet" plus "Accumulated changes in fair value due to credit risk"</t>
  </si>
  <si>
    <t>If "Transferred amount" is populated with other than default values or 0 then "Outstanding gross nominal amount" should be greater than "Transferred amount"</t>
  </si>
  <si>
    <t>If "Date of inception" is less than one year in the past (compared to "Reference date") and product type is other than uncommited overdraft, then "Previous outstanding gross nominal amount" should be populated with default values.</t>
  </si>
  <si>
    <t>If "Date of inception" is more than one year in the past (compared to "Reference date"), then "Previous outstanding gross nominal amount" should be populated with values other than default.</t>
  </si>
  <si>
    <t>"Previous outstanding gross nominal amount" shall be larger or equal to 0; Negative values trigger attention</t>
  </si>
  <si>
    <t xml:space="preserve"> 
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
 </t>
  </si>
  <si>
    <t>instlmnt_pay</t>
  </si>
  <si>
    <t>CURE FLAG</t>
  </si>
  <si>
    <t>"Previous outstanding gross nominal amount" should have a Format numeric (2 decimal places)</t>
  </si>
  <si>
    <t>SELECT instrmnt_id, 
    otstndng_nmnl_amnt_instrmnt
from bu_loantape_work.lt002_instrument
where segmento = 'ESTR'
        AND nome_perimetro ='${nome_perimetro}'
        AND ref_date='${date}'
        AND AMBITO = 'PM'
        AND entidade ='00100'
        AND cod_visao = 1
        AND otstndng_nmnl_amnt_instrmnt &lt; 0</t>
  </si>
  <si>
    <t xml:space="preserve">SELECT *
FROM
  (SELECT LT002.instrmnt_id,
          OTSTNDNG_NMNL_AMNT_INSTRMNT,
          DT_INCPTN &lt;= SUBSTR(cast(add_months(LT002.ref_date, -12) AS string), 1, 10) AS val,
          NVL(SUM(-1*valor_bruto_on),0) - NVL(SUM(-1*juros_corridos),0) AS cal,
          ROUND(CASE
                        WHEN LT002.instrmnt_id LIKE 'SNC%' THEN 11111111111
                        WHEN LT002.instrmnt_id LIKE 'SS%' THEN 11111111111  
                        WHEN DT_INCPTN &lt;= SUBSTR(cast(add_months(LT002.ref_date, -12) AS string), 1, 10) THEN NVL(SUM(-1*VALOR_BRUTO_ON),0) - NVL(SUM(-1*JUROS_CORRIDOS),0)
                    END,2) AS OTSTNDNG_NMNL_AMNT_INSTRMNT_simulacao,
          dt_incptn,
          LT002.ref_date
   FROM
     (SELECT instrmnt_id,
             OTSTNDNG_NMNL_AMNT_INSTRMNT,
             dt_incptn,
             ref_date
      FROM bu_loantape_work.lt002_instrument
     WHERE segmento = 'ESTR'
        AND nome_perimetro ='${nome_perimetro}'
        AND ref_date='${date}'
        AND AMBITO = 'PM'
        AND entidade ='00100'
        AND cod_visao = 1) LT002
INNER JOIN 
    (SELECT *
    FROM cd_loan_tapes_bce.kt_chaves_lt
    WHERE ref_date = '${date}') KT
ON LT002.INSTRMNT_ID = KT.INSTRMNT_ID
LEFT JOIN
     (SELECT CEMPRESA,
             CBALCAO,
             CNUMECTA,
             ZDEPOSIT, 
             valor_bruto_on, 
             juros_corridos
      FROM bu_loantape_work.lt001_univ_oper
      WHERE segmento = 'ESTR'
        AND nome_perimetro ='${nome_perimetro}'
        AND ref_date='${date}'
        AND AMBITO = 'PM'
        AND entidade ='00100'
        AND cod_visao = 1)LT001 
ON CONCAT(KT.CEMPRESA, KT.CBALCAO, KT.CNUMECTA, KT.ZDEPOSIT) = CONCAT(LT001.CEMPRESA, LT001.CBALCAO, LT001.CNUMECTA, LT001.ZDEPOSIT)
GROUP BY dt_incptn,
        LT002.ref_date,
        DT_INCPTN &lt;= SUBSTR(cast(add_months(ref_date, -12) AS string), 1, 10),
        LT002.instrmnt_id,
        OTSTNDNG_NMNL_AMNT_INSTRMNT) X
WHERE round(OTSTNDNG_NMNL_AMNT_INSTRMNT,2) &lt;&gt; round(OTSTNDNG_NMNL_AMNT_INSTRMNT_simulacao,2);
</t>
  </si>
  <si>
    <t xml:space="preserve">SELECT instrmnt_id,
             OTSTNDNG_NMNL_AMNT_INSTRMNT_PRVS,
             dt_incptn,
             ref_date
      FROM bu_loantape_work.lt002_instrument
        WHERE segmento = 'ESTR'
        AND nome_perimetro ='${nome_perimetro}'
        AND ref_date='${date}'
        AND AMBITO = 'PM'
        AND entidade ='00100'
        AND cod_visao = 1
        AND cast(OTSTNDNG_NMNL_AMNT_INSTRMNT_PRVS as VARCHAR) NOT LIKE '%.__'
</t>
  </si>
  <si>
    <t xml:space="preserve">SELECT instrmnt_id,
             OTSTNDNG_NMNL_AMNT_INSTRMNT_PRVS,
             dt_incptn,
             ref_date
      FROM bu_loantape_work.lt002_instrument
        WHERE segmento = 'ESTR'
        AND nome_perimetro ='${nome_perimetro}'
        AND ref_date='${date}'
        AND AMBITO = 'PM'
        AND entidade ='00100'
        AND cod_visao = 1
        AND OTSTNDNG_NMNL_AMNT_INSTRMNT_PRVS &lt; 0
</t>
  </si>
  <si>
    <t xml:space="preserve">SELECT instrmnt_id,
             OTSTNDNG_NMNL_AMNT_INSTRMNT,
             dt_incptn,
             ref_date
FROM bu_loantape_work.lt002_instrument
WHERE segmento = 'ESTR'
        AND nome_perimetro ='${nome_perimetro}'
        AND ref_date='${date}'
        AND AMBITO = 'PM'
        AND entidade ='00100'
        AND cod_visao = 1
  AND (subportfolio_id = 'VRPL' OR subportfolio_id = 'CA')
  AND OTSTNDNG_NMNL_AMNT_INSTRMNT &lt;&gt; (CRRYNG_AMNT_INSTRMNT - ACCRD_INTRST_INSTRMNT + ACCMLTD_IMPRMNT_INSTRMNT)
</t>
  </si>
  <si>
    <t xml:space="preserve">SELECT instrmnt_id,
             OTSTNDNG_NMNL_AMNT_INSTRMNT,
             ACCRD_INTRST_INSTRMNT,
             GRSS_CRRYNG_AMNT_INSTRMNT,
             dt_incptn,
             ref_date
FROM bu_loantape_work.lt002_instrument
WHERE segmento = 'ESTR'
        AND nome_perimetro ='${nome_perimetro}'
        AND ref_date='${date}'
        AND AMBITO = 'PM'
        AND entidade ='00100'
        AND cod_visao = 1
        AND instrmnt_id NOT LIKE 'SNCN%'
        AND instrmnt_id NOT LIKE 'SS%'
        AND OTSTNDNG_NMNL_AMNT_INSTRMNT &lt;&gt; GRSS_CRRYNG_AMNT_INSTRMNT - ACCRD_INTRST_INSTRMNT
</t>
  </si>
  <si>
    <t xml:space="preserve">SELECT instrmnt_id,
             OTSTNDNG_NMNL_AMNT_INSTRMNT,
             OFF_BLNC_SHT_AMNT_INSTRMNT,
             dt_incptn,
             ref_date
FROM bu_loantape_work.lt002_instrument
WHERE segmento = 'ESTR'
        AND nome_perimetro ='${nome_perimetro}'
        AND ref_date='${date}'
        AND AMBITO = 'PM'
        AND entidade ='00100'
        AND cod_visao = 1
  AND (OFF_BLNC_SHT_AMNT_INSTRMNT = 11111111111 or OFF_BLNC_SHT_AMNT_INSTRMNT = 0)
  AND (OTSTNDNG_NMNL_AMNT_INSTRMNT = 11111111111 OR OTSTNDNG_NMNL_AMNT_INSTRMNT = 0)
  AND instrmnt_id NOT LIKE 'SNCN%'
  AND instrmnt_id NOT LIKE 'SS%'
 </t>
  </si>
  <si>
    <t xml:space="preserve">SELECT instrmnt_id,
       OTSTNDNG_NMNL_AMNT_INSTRMNT,
       CRRYNG_AMNT_INSTRMNT,
       ACCRD_INTRST_INSTRMNT,
       ACCMLTD_CHNGS_FV_CR_INSTRMNT,
       subportfolio_id
FROM bu_loantape_work.lt002_instrument
WHERE segmento = 'ESTR'
        AND nome_perimetro ='${nome_perimetro}'
        AND ref_date='${date}'
        AND AMBITO = 'PM'
        AND entidade ='00100'
        AND cod_visao = 1
        AND instrmnt_id NOT LIKE 'SNCN%'
        AND instrmnt_id NOT LIKE 'SS%'
  AND subportfolio_id Like '%VRPL%'
  AND OTSTNDNG_NMNL_AMNT_INSTRMNT &lt;&gt; CRRYNG_AMNT_INSTRMNT - ACCRD_INTRST_INSTRMNT + ACCMLTD_CHNGS_FV_CR_INSTRMNT
</t>
  </si>
  <si>
    <t xml:space="preserve">Última data de atualização </t>
  </si>
  <si>
    <t>Campo ainda em especificação</t>
  </si>
  <si>
    <t xml:space="preserve">SELECT instrmnt_id,
       otstndng_nmnl_amnt_instrmnt_prvs
FROM bu_loantape_work.lt002_instrument
WHERE segmento = 'ESTR'
        AND nome_perimetro ='${nome_perimetro}'
        AND ref_date='${date}'
        AND AMBITO = 'PM'
        AND entidade ='00100'
        AND cod_visao = 1
  AND otstndng_nmnl_amnt_instrmnt_prvs &lt; 0
</t>
  </si>
  <si>
    <t>SELECT instrmnt_id,
       otstndng_nmnl_amnt_instrmnt_prvs, 
       dt_incptn
FROM bu_loantape_work.lt002_instrument
WHERE segmento = 'ESTR'
        AND nome_perimetro ='${nome_perimetro}'
        AND ref_date='${date}'
        AND AMBITO = 'PM'
        AND entidade ='00100'
        AND cod_visao = 1
  AND DT_INCPTN &gt; SUBSTR(cast(add_months(ref_date, -12) AS string), 1, 10)
  AND otstndng_nmnl_amnt_instrmnt_prvs &lt;&gt; 99999999999 
  AND otstndng_nmnl_amnt_instrmnt_prvs &lt;&gt; 11111111111.00</t>
  </si>
  <si>
    <t xml:space="preserve">SELECT instrmnt_id,
       otstndng_nmnl_amnt_instrmnt_prvs, 
       dt_incptn
FROM bu_loantape_work.lt002_instrument
WHERE segmento = 'ESTR'
        AND nome_perimetro ='${nome_perimetro}'
        AND ref_date='${date}'
        AND AMBITO = 'PM'
        AND entidade ='00100'
        AND cod_visao = 1
  AND DT_INCPTN &lt;= SUBSTR(cast(add_months(ref_date, -12) AS string), 1, 10)
  AND OTSTNDNG_NMNL_AMNT_INSTRMNT_prvs = 11111111111
  AND instrmnt_id NOT LIKE '%SNCN%'
  AND instrmnt_id NOT LIKE '%SS%'
</t>
  </si>
  <si>
    <t>Validação Controlos Enviados pela Corporação</t>
  </si>
  <si>
    <t>Valores inferiores a 0 justificados (Gonçalo)</t>
  </si>
  <si>
    <t xml:space="preserve">select instrmnt_id, 
    otstndng_nmnl_amnt_instrmnt, 
    valor_bruto_on,
    juros_corridos,
    provisao_off, 
    dt_incptn
from 
    (SELECT instrmnt_id, 
        otstndng_nmnl_amnt_instrmnt, 
        dt_incptn
    from bu_loantape_work.lt002_instrument
    where segmento = 'ESTR'
            AND nome_perimetro ='${nome_perimetro}'
            AND ref_date='${date}'
            AND AMBITO = 'PM'
            AND entidade ='00100'
            AND cod_visao = 1
            AND off_blnc_sht_amnt_instrmnt in (11111111111, 0) 
            AND otstndng_nmnl_amnt_instrmnt in (11111111111, 0) 
            AND instrmnt_id NOT LIKE 'SNCN%'
            AND instrmnt_id NOT LIKE 'SS%') lt002
-- otstndng_nmnl_amnt_instrmnt = NVL ( SUM(-1*VALOR_BRUTO_ON) ; 0) - NVL ( SUM(-1*JUROS_CORRIDOS);0)
-- off_blnc_sht_amnt_instrmnt = NVL ( SUM(valor_bruto_off) ; 0 )
left join 
    (select concat(cempresa, cbalcao, cnumecta, zdeposit) as intrmnt_lt001,
            valor_bruto_on,
            juros_corridos,
            provisao_off
    from bu_loantape_work.lt001_univ_oper
    where segmento = 'ESTR'
            AND nome_perimetro ='${nome_perimetro}'
            AND ref_date='${date}'
            AND AMBITO = 'PM'
            AND entidade ='00100'
            AND cod_visao = 1) lt001
on intrmnt_lt001 = lt002.instrmnt_id
</t>
  </si>
  <si>
    <t>Os próprios valores na lt001 são 0 (valor_bruto_on = jurros corridos = 0 e valor_bruto_off = 0)</t>
  </si>
  <si>
    <t>Valor simulado está correto (Soma MAVALIAA), valor reportado na CD não soma todos os valores, 2 Controlo NOK. (Simulação simples)</t>
  </si>
  <si>
    <t>Criar tabela no GitHub para garantias Móveis, analisar incidências entre IT e simulação</t>
  </si>
  <si>
    <t>Consultar tat236 para garantias imóveis para adicionar informação (simulação simples)</t>
  </si>
  <si>
    <t>Nova simulação de acordo com e-mail enviado pela Dora com análise da Joana Braga elimina N/A e MISS mas origina valores negativos (NOK no controlo) (simulação simples)</t>
  </si>
  <si>
    <t xml:space="preserve">Campo simulado com código do GitHub. Valores a NULL porque 1) não há correspondência de instrmnt_id entre alm029 e lt002, 2) campos a null na alm029 </t>
  </si>
  <si>
    <t>Aguardar resposta sobre filtro implementado '9999-12-31' (simulação com código do GitHub)</t>
  </si>
  <si>
    <t xml:space="preserve">Campo simulado com código do Git Hub. Controlos realizados para a simulação. </t>
  </si>
  <si>
    <t>Primeira query é para ver as diferenças, segunda é para veres os valores nas fontes</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</si>
  <si>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`timestamp` DESC, decisioncallid DESC ) AS ORDEM,
                        *
                    FROM
                        (SELECT DISTINCT 
                                        lpad(cast(irs.nidinterveniente as string), 10, '0') as nidinterveniente,
                                        irs.decisioncallid,
                                        irs.ddatairs,--irs.instance,
                                        irs.mrendimentobrutoanual,
                                        irs.mrendimentoliquidoanual, --san.dmcalltype,
                                        nvl(san.dtimecall, '0001-01-01') as dtimecall,
                                        irs.`timestamp`
                        FROM cd_omdm.rendimentoirs irs 
                    INNER JOIN cd_omdm.saninputdata san 
                    ON irs.decisioncallid = san.decisioncallid
                    WHERE san.dmcalltype IN ('3','03','14','22')
                        AND irs.instance = 1
                        AND substr(irs.`timestamp`,1,10) &lt;= '${date}') base 
                    ) INFO_IRS_1
                    WHERE ORDEM = 1 
                ) INFO_IRS
on info_irs.nidinterveniente = lt003.entty_id) BASE2
where round(lti, 2) &lt;&gt; round(lti_sim, 2) ---  round para tirar diferenças entre casas decimais 
</t>
  </si>
  <si>
    <t xml:space="preserve"> select *
from
(select entty_id, intrnl_sgmnt
from bu_loantape_work.lt003_entity
WHERE segmento = 'ESTR'
        AND nome_perimetro ='${nome_perimetro}'
        AND ref_date='${date}'
        AND AMBITO = 'PM'
        AND entidade ='00100'
        AND cod_visao = 1
        AND entty_id = 'contrato a analisar')  lt003
    left join 
    (select instrmnt_id, entty_id, mn_entty_id
    from bu_loantape_work.lt005_instr_ent
    WHERE segmento = 'ESTR'
        AND nome_perimetro ='${nome_perimetro}'
        AND ref_date='${date}'
        AND AMBITO = 'PM'
        AND entidade ='00100'
        AND cod_visao = 1) lt005
on lt003.entty_id = lt005.entty_id
 left join 
    (select instrmnt_id, typ_instrmnt, grss_crryng_amnt_instrmnt
    from bu_loantape_work.lt002_instrument
    WHERE segmento = 'ESTR'
        AND nome_perimetro ='${nome_perimetro}'
        AND ref_date='${date}'
        AND AMBITO = 'PM'
        AND entidade ='00100'
        AND cod_visao = 1
        ) lt002
ON lt002.instrmnt_id = lt005.INSTRMNT_ID
        left join 
                (SELECT mrendimentobrutoanual, nidinterveniente
                FROM 
                    (SELECT rank () OVER (PARTITION BY nidinterveniente
                        ORDER BY ddatairs DESC, dtimecall DESC, `timestamp` DESC, decisioncallid DESC ) AS ORDEM,
                        *
                    FROM
                        (SELECT DISTINCT 
                                        lpad(cast(irs.nidinterveniente as string), 10, '0') as nidinterveniente,
                                        irs.decisioncallid,
                                        irs.ddatairs,--irs.instance,
                                        irs.mrendimentobrutoanual,
                                        irs.mrendimentoliquidoanual, --san.dmcalltype,
                                        nvl(san.dtimecall, '0001-01-01') as dtimecall,
                                        irs.`timestamp`
                        FROM cd_omdm.rendimentoirs irs 
                    INNER JOIN cd_omdm.saninputdata san 
                    ON irs.decisioncallid = san.decisioncallid
                    WHERE san.dmcalltype IN ('3','03','14','22')
                        AND irs.instance = 1
                        AND substr(irs.`timestamp`,1,10) &lt;= '${date}') base 
                    ) INFO_IRS_1
                    WHERE ORDEM = 1 
                ) INFO_IRS
on info_irs.nidinterveniente = lt003.entty_id
</t>
  </si>
  <si>
    <t xml:space="preserve">ENTITY </t>
  </si>
  <si>
    <t xml:space="preserve">select *
from
(SELECT lt003.entty_id, 
       lt003.cr_flg,
       NN_PS_PRFRMNG_18M, 
       ALT_PS, 
       prfrmng_stts_le, 
       mn_entty_id,
       CASE WHEN prfrmng_stts_le = '1' OR prfrmng_stts_le = '11111111111' OR mn_entty_id &lt;&gt; 'Y' THEN 'N/A'
       WHEN prfrmng_stts_le = '11' AND (NN_PS_PRFRMNG_18M ='Y' OR ALT_PS = 'Y') THEN 'Y' 
       ELSE 'N' 
       END AS CR_FLG_SIM
FROM
        (SELECT entty_id, 
               prfrmng_stts_le, 
               cr_flg
        From bu_loantape_work.lt003_entity
        WHERE segmento = 'ESTR'
              AND nome_perimetro ='${nome_perimetro}'
              AND ref_date='${date}'
              AND AMBITO = 'PM'
              AND entidade ='00100'
              AND cod_visao = 1) lt003
left join  ---- com a lt005 para identificar contratos onde o cliente é o 1º Titular:
        (SELECT entty_id,
               instrmnt_id, 
               mn_entty_id
        FROM bu_loantape_work.lt005_instr_ent
        WHERE segmento = 'ESTR'
              AND nome_perimetro ='${nome_perimetro}'
              AND ref_date='${date}'
              AND AMBITO = 'PM'
              AND entidade ='00100'
              AND cod_visao = 1
              AND mn_entty_id = 'Y') lt005
ON lt003.entty_id = lt005.entty_id
left join --- obter campo 'NN_PS_PRFRMNG_18M' com lt002 filtrada 
        (SELECT instrmnt_id, 
            CASE WHEN MIN(dt_prfrmng_stts_prvs) &lt;= (add_months('${date}', -18)) THEN 'Y'
            ELSE 'N' 
            END AS NN_PS_PRFRMNG_18M
        FROM bu_loantape_work.lt002_instrument
        WHERE segmento = 'ESTR'
              AND nome_perimetro ='${nome_perimetro}'
              AND ref_date='${date}'
              AND AMBITO = 'PM'
              AND entidade ='00100'
              AND cod_visao = 1
              AND prfrmng_stts_prvs = '1'
        GROUP BY instrmnt_id) lt002
on lt002.instrmnt_id = lt005.instrmnt_id
left join --- obter campo alt_ps
         (SELECT chave_fr, 
               CASE WHEN COUNT(DISTINCT prfrmng_atual) &gt; 1 THEN 'Y'
               ELSE 'N' 
               END AS ALT_PS
        FROM bu_captools_work.LF_bce_lt_tmp_prfrmng_final
        WHERE ref_date='${date}'
        GROUP BY chave_fr) auxiliar_prfrmng
ON auxiliar_prfrmng.chave_fr = lt005.instrmnt_id
    -- where lt003.entty_id = '0000237379'
    -- where lt003.entty_id = '7401862530'
    -- Where lt003.entty_id = '7401612668'
GROUP BY lt003.entty_id, 
       lt003.cr_flg,
       NN_PS_PRFRMNG_18M, 
       ALT_PS, 
       prfrmng_stts_le, 
       mn_entty_id) base
where cr_flg &lt;&gt; CR_FLG_SIM
</t>
  </si>
  <si>
    <t>O problema está na construção do código da simulação</t>
  </si>
  <si>
    <t>Análise 18/08/2025</t>
  </si>
  <si>
    <t xml:space="preserve">PRFRMNG_STTS_LE </t>
  </si>
  <si>
    <t xml:space="preserve">select base.entty_id, 
       prfrmng_stts_le, 
       prfrmng_stts_le_sim
from 
    (select lt003.entty_id,
           prfrmng_stts_le,
           case when flg_mn_entty_id = 'N/A' THEN '11111111111'
           WHEN count(DISTINCT prfrmng_stts) = 1 THEN MIN(prfrmng_stts)
           WHEN count(DISTINCT prfrmng_stts) &gt; 1 THEN MIN(prfrmng_stts)
        ELSE '11'
        END AS PRFRMNG_STTS_LE_sim
    from
        (select entty_id,
            prfrmng_stts_le
        from bu_loantape_work.lt003_entity
        WHERE segmento = 'ESTR'
            AND nome_perimetro ='${nome_perimetro}'
            AND ref_date='${date}'
            AND AMBITO = 'PM'
            AND entidade ='00100'
            AND cod_visao = 1
        group by entty_id,
                 prfrmng_stts_le) lt003
    left join 
        (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prfrmng_stts
    from 
        (select entty_id, 
                instrmnt_id, mn_entty_id
        from bu_loantape_work.lt005_instr_ent
        WHERE segmento = 'ESTR'
            AND nome_perimetro ='${nome_perimetro}'
            AND ref_date='${date}'
            AND AMBITO = 'PM'
            AND entidade ='00100'
            AND cod_visao = 1
            AND mn_entty_id = 'Y'
        ) lt005
    inner join
        (select instrmnt_id, 
                prfrmng_stts
        from bu_loantape_work.lt002_instrument
        WHERE segmento = 'ESTR'
            AND nome_perimetro ='${nome_perimetro}'
            AND ref_date='${date}'
            AND AMBITO = 'PM'
            AND entidade ='00100'
            AND cod_visao = 1) lt002
    on lt002.instrmnt_id = lt005.instrmnt_id ) x
    on lt003.entty_id = x.entty_id
    group by lt003.entty_id,
            flg_mn_entty_id, 
            prfrmng_stts_le) base
having prfrmng_stts_le &lt;&gt; prfrmng_stts_le_sim
</t>
  </si>
  <si>
    <t xml:space="preserve">select distinct prfrmng_stts_le
from bu_loantape_work.lt003_entity
WHERE segmento = 'ESTR'
    AND nome_perimetro ='${nome_perimetro}'
    AND ref_date='${date}'
    AND AMBITO = 'PM'
    AND entidade ='00100'
    AND cod_visao = 1
       </t>
  </si>
  <si>
    <t>SELECT *
from 
(SELECT lt003.entty_id, 
        cr_flg, 
       CASE WHEN prfrmng_stts_le &lt;&gt; '11' OR flg_mn_entty_id = 'N/A' THEN 'N/A'
       WHEN NN_PS_PRFRMNG_18M ='Y' OR ALT_PS = 'Y'  THEN 'Y' ELSE 'N' END AS cr_flg_sim
FROM 
    (SELECT entty_id, 
               prfrmng_stts_le, 
               cr_flg
        From bu_loantape_work.lt003_entity
        WHERE segmento = 'ESTR'
              AND nome_perimetro ='${nome_perimetro}'
              AND ref_date='${date}'
              AND AMBITO = 'PM'
              AND entidade ='00100'
              AND cod_visao = 1
              and entty_id = '7401457419') lt003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LEFT JOIN 
    (select entty_id, 
            lt002.instrmnt_id, 
            NN_PS_PRFRMNG_18M
    from
        (select entty_id,
                instrmnt_id
        from bu_loantape_work.lt005_instr_ent
        WHERE segmento = 'ESTR'
            AND nome_perimetro ='${nome_perimetro}'
            AND ref_date='${date}'
            AND AMBITO = 'PM'
            AND entidade ='00100'
            AND cod_visao = 1
            AND mn_entty_id = 'Y') lt005_filtrada
    inner join  
        (SELECT instrmnt_id, 
            CASE WHEN MIN(DT_PRFRMNG_STTS_PRVS) &lt;= ( ADD_MONTHS('${date}',-18)) THEN 'Y'
            ELSE  'N' END AS NN_PS_PRFRMNG_18M 
        FROM bu_loantape_work.lt002_instrument
        WHERE segmento = 'ESTR'
              AND nome_perimetro ='${nome_perimetro}'
              AND ref_date='${date}'
              AND AMBITO = 'PM'
              AND entidade ='00100'
              AND cod_visao = 1
              AND prfrmng_stts_prvs = '1'
        GROUP BY instrmnt_id) lt002
    on lt005_filtrada.instrmnt_id = lt002.instrmnt_id) X
on lt003.entty_id = X.entty_id
LEFT JOIN 
    (select chave_fr, 
            CASE WHEN COUNT(DISTINCT prfrmng_atual) &gt;  1  THEN 'Y'
            ELSE  'N' END AS ALT_PS 
    from bu_captools_work.LF_bce_lt_tmp_prfrmng_final
    where REF_DATE &gt;= ( ADD_MONTHS('${date}',-18))
    GROUP BY chave_fr) auxiliar
on x.instrmnt_id = auxiliar.chave_fr
GROUP BY lt003.entty_id, 
        cr_flg, 
        cr_flg_sim) base 
where cr_flg &lt;&gt; cr_flg_sim</t>
  </si>
  <si>
    <t>For Retail portfolios, if "Performing status" (Main Entity level) equals '1 - Non-Performing', then "Cure flag for entity which was classified as non-performing in the last 1.5 years and is classified as performing at the reference date" should be defaulted</t>
  </si>
  <si>
    <t>For Retail portfolios, if "Performing status" (Main Entity level) equals '11 - Performing', then "Cure flag for entity which was classified as non-performing in the last 1.5 years and is classified as performing at the reference date" cannot be 'Not applicable'</t>
  </si>
  <si>
    <t>For Retail portfolios, if "Performing status" (Main Entity level) equals '11 - Performing' and "Date of performing status" is older than 1.5 years (compared to"Reference date") then "Cure flag for entity which was classified as non-performing in the last 1.5 years and is classified as performing at the reference date" cannot be 'Y - Yes'</t>
  </si>
  <si>
    <t>SELECT *
from
    (SELECT entty_id, 
            cr_flg,prfrmng_stts_le
    FROM bu_loantape_work.lt003_entity
    WHERE segmento = 'ESTR'
        AND cod_visao = 1
        AND nome_perimetro ='${nome_perimetro}'
        AND ref_date='${date}'
        AND AMBITO = 'PM'
        AND entidade ='00100') lt003
LEFT JOIN
    (SELECT instrmnt_id, 
            entty_id
    FROM bu_loantape_work.lt005_instr_ent
    WHERE segmento = 'ESTR'
        AND cod_visao = 1
        AND nome_perimetro ='${nome_perimetro}'
        AND ref_date='${date}'
        AND AMBITO = 'PM'
        AND entidade ='00100') lt005
on lt003.entty_id = lt005.entty_id
left join 
    (SELECT instrmnt_id, 
            prfrmng_stts
    FROM bu_loantape_work.lt002_instrument
    WHERE segmento = 'ESTR'
        AND cod_visao = 1
        AND nome_perimetro ='${nome_perimetro}'
        AND ref_date='${date}'
        AND AMBITO = 'PM'
        AND entidade ='00100') lt002
on lt002.instrmnt_id = lt005.instrmnt_id
where cr_flg &lt;&gt; 'N/A'
AND prfrmng_stts_le = '1'</t>
  </si>
  <si>
    <t>SELECT *
from
    (SELECT entty_id, 
            cr_flg,prfrmng_stts_le
    FROM bu_loantape_work.lt003_entity
    WHERE segmento = 'ESTR'
        AND cod_visao = 1
        AND nome_perimetro ='${nome_perimetro}'
        AND ref_date='${date}'
        AND AMBITO = 'PM'
        AND entidade ='00100') lt003
LEFT JOIN
    (SELECT instrmnt_id, 
            entty_id, mn_entty_id
    FROM bu_loantape_work.lt005_instr_ent
    WHERE segmento = 'ESTR'
        AND cod_visao = 1
        AND nome_perimetro ='${nome_perimetro}'
        AND ref_date='${date}'
        AND AMBITO = 'PM'
        AND entidade ='00100') lt005
on lt003.entty_id = lt005.entty_id
left join 
    (SELECT instrmnt_id, 
            prfrmng_stts
    FROM bu_loantape_work.lt002_instrument
    WHERE segmento = 'ESTR'
        AND cod_visao = 1
        AND nome_perimetro ='${nome_perimetro}'
        AND ref_date='${date}'
        AND AMBITO = 'PM'
        AND entidade ='00100') lt002
on lt002.instrmnt_id = lt005.instrmnt_id
where cr_flg = 'N/A'
AND prfrmng_stts_le &lt;&gt; '1'
and mn_entty_id &lt;&gt; 'N'</t>
  </si>
  <si>
    <t>Acontece para entidades que não são primeiro titular do contrato (MN_ENTTY_ID = 'N')</t>
  </si>
  <si>
    <t>SELECT *
from
    (SELECT entty_id, 
            cr_flg,
            prfrmng_stts_le, 
            dt_prfrmng_stts_le
    FROM bu_loantape_work.lt003_entity
    WHERE segmento = 'ESTR'
        AND cod_visao = 1
        AND nome_perimetro ='${nome_perimetro}'
        AND ref_date='${date}'
        AND AMBITO = 'PM'
        AND entidade ='00100') lt003
LEFT JOIN
    (SELECT instrmnt_id, 
            entty_id, mn_entty_id
    FROM bu_loantape_work.lt005_instr_ent
    WHERE segmento = 'ESTR'
        AND cod_visao = 1
        AND nome_perimetro ='${nome_perimetro}'
        AND ref_date='${date}'
        AND AMBITO = 'PM'
        AND entidade ='00100') lt005
on lt003.entty_id = lt005.entty_id
left join 
    (SELECT instrmnt_id, 
            prfrmng_stts, 
            dt_prfrmng_stts 
    FROM bu_loantape_work.lt002_instrument
    WHERE segmento = 'ESTR'
        AND cod_visao = 1
        AND nome_perimetro ='${nome_perimetro}'
        AND ref_date='${date}'
        AND AMBITO = 'PM'
        AND entidade ='00100') lt002
on lt002.instrmnt_id = lt005.instrmnt_id
where prfrmng_stts_le = '11'
and dt_prfrmng_stts_le &lt;= (ADD_MONTHS('${date}',-18))
AND cr_flg = 'Y'</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</si>
  <si>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BASE2
where round(lti, 2) &lt;&gt; round(lti_sim, 2) ---  round para tirar diferenças entre casas decimais 
</t>
  </si>
  <si>
    <t>"Loan to income (LTI)" should have a Format numeric (6 decimal places)</t>
  </si>
  <si>
    <t>"Loan to income (LTI)" shall be larger than 0; Negative values trigger attention</t>
  </si>
  <si>
    <t>If either, "Monthly income - other" or "Monthly income - salary" (Main Entity level) is populated with values other than default or zero and "Type of instrument" is equal to '1004 - Loans other than overdrafts, convenience credit, extended credit, credit card credit, revolving credit other than credit card credit, reverse repurchase agreements, trade receivables and financial leases', then "Loan to income (LTI)" cannot be 'Not applicable'</t>
  </si>
  <si>
    <t xml:space="preserve">select *
from bu_loantape_work.lt003_entity
WHERE segmento = 'ESTR'
    AND nome_perimetro ='${nome_perimetro}'
    AND ref_date='${date}'
    AND AMBITO = 'PM'
    AND entidade ='00100'
    AND cod_visao = 1
    AND lti &lt; 0 </t>
  </si>
  <si>
    <t>select *
from
    (select entty_id,
            intrnl_sgmnt, 
            lti
    from bu_loantape_work.lt003_entity
    WHERE segmento = 'ESTR'
    AND nome_perimetro ='${nome_perimetro}'
    AND ref_date='${date}'
    AND AMBITO = 'PM'
    AND entidade ='00100'
    AND cod_visao = 1) lt003
left join 
    (select entty_id, 
            instrmnt_id, 
            mn_entty_id
    from bu_loantape_work.lt005_instr_ent
    WHERE segmento = 'ESTR'
            AND nome_perimetro ='${nome_perimetro}'
            AND ref_date='${date}'
            AND AMBITO = 'PM'
            AND entidade ='00100'
            AND cod_visao = 1
            AND mn_entty_id = 'Y'
      ) lt005
on lt003.entty_id = lt005.entty_id
left join 
        (SELECT instrmnt_id, 
                typ_instrmnt
        FROM bu_loantape_work.lt002_instrument
        WHERE segmento = 'ESTR'
            AND nome_perimetro ='${nome_perimetro}'
            AND ref_date='${date}'
            AND AMBITO = 'PM'
            AND entidade ='00100'
            AND cod_visao = 1) lt002
on lt005.instrmnt_id = lt002.instrmnt_id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where typ_instrmnt = '1004'
AND mrendimentobrutoanual &lt;&gt; 11111111111
AND mrendimentobrutoanual &lt;&gt; 0
and lti = 11111111111</t>
  </si>
  <si>
    <t>select entty_id,
            intrnl_sgmnt, 
            lti
from bu_loantape_work.lt003_entity
WHERE segmento = 'ESTR'
    AND nome_perimetro ='${nome_perimetro}'
    AND ref_date='${date}'
    AND AMBITO = 'PM'
    AND entidade ='00100'
    AND cod_visao = 1
    AND cast(lti as VARCHAR) NOT LIKE '%.______'</t>
  </si>
  <si>
    <t>"Average monthly turnover to bank account(s)" shall be larger or equal to 0; Negative values trigger attention</t>
  </si>
  <si>
    <t xml:space="preserve">select *
from
(select lt003.entty_id, 
        tipo_contrato,
      mnthl_trnvr,
      flg_mn_entty_id,
        nvl(case when flg_mn_entty_id &lt;&gt; 'Y' or tipo_contrato is null or spt04.zcliente is null or intrnl_sgmnt &lt;&gt; 'particulares' then 11111111111
        when flg_mn_entty_id = 'Y' AND tipo_contrato is not null  then msala 
        end, 99999999999) as mnthl_trnvr_sim
        FROM 
            (select distinct entty_id, 
                    mnthl_trnvr, 
                    intrnl_sgmnt
            from bu_loantape_work.lt003_entity
            WHERE segmento = 'ESTR'
                    AND nome_perimetro ='${nome_perimetro}'
                    AND ref_date='${date}'
                    AND AMBITO = 'PM'
                    AND entidade ='00100'
                    AND cod_visao = 1) lt003
        left join 
            (select zcliente, sum(msala)/12 as msala 
             FROM
          (select distinct zcliente, msala, mestrata 
           from
           (
            SELECT zcliente, mestrata, first_value(msala) over (partition by zcliente, mestrata ORDER BY data_date_part desc) as msala
               FROM cd_clientes.spt04_inflowcre
            WHERE data_date_part &lt;= '${date}'
            and data_date_part &gt; strleft(CAST(ADD_MONTHS('${date}',-12) AS string),10)
            ) FV 
          )FVD
         GROUP BY zcliente
         ) spt04
        on lpad(cast(SPT04.zcliente as string),10,'0') = lt003.entty_id
        left join
            (select distinct zcliente, 
                    tipo_contrato
            FROM cd_clientes.cl001_interv_cto
            WHERE ref_date = '${date}'
            And tipo_contrato =  'D.O. / CONTAS CORRENTES'
            )ct001
        ON ct001.zcliente = lt003.entty_id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 x
where round(mnthl_trnvr_sim,2) &lt;&gt; round(mnthl_trnvr,2)
</t>
  </si>
  <si>
    <t>select *
from bu_loantape_work.lt003_entity
WHERE segmento = 'ESTR'
    AND  nome_perimetro ='${nome_perimetro}'
    AND ref_date='${date}'
    AND AMBITO = 'PM'
    AND entidade ='00100'
    AND cod_visao = 1
    AND mnthl_trnvr &lt; 0</t>
  </si>
  <si>
    <t>Campos em especificação</t>
  </si>
  <si>
    <t xml:space="preserve">Campos em análise </t>
  </si>
  <si>
    <t>Análise 18/09/2025</t>
  </si>
  <si>
    <t>If "Date of previous forbearance status" is populated (other than default values) then it should be lower or equal than "Date of forbearance status"</t>
  </si>
  <si>
    <t xml:space="preserve">Select dt_frbrnc_stts_prvs
FROM bu_loantape_work.lt002_instrument
WHERE segmento = 'ESTR'
        AND nome_perimetro ='${nome_perimetro}'
        AND ref_date='${date}'
        AND AMBITO = 'PM'
        AND entidade ='00100'
        AND cod_visao = 1
AND dt_frbrnc_stts_prvs &lt; dt_incptn
-- "Date of previous forbearance status" must be greater or equal than "Date of Inception"
</t>
  </si>
  <si>
    <t>"Date of previous forbearance status" must be greater or equal than "Date of Inception"</t>
  </si>
  <si>
    <t xml:space="preserve">procurar explicação </t>
  </si>
  <si>
    <t>"Birth date counterparty" cannot be later than "Reference date"</t>
  </si>
  <si>
    <t xml:space="preserve">Select dt_brth, 
            entty_id
    FROM bu_loantape_work.lt003_entity
    WHERE segmento = 'ESTR'
        AND nome_perimetro ='${nome_perimetro}'
        AND ref_date='${date}'
        AND AMBITO = 'PM'
        AND entidade ='00100'
        AND cod_visao = 1
        AND dt_brth &gt; REF_daTE </t>
  </si>
  <si>
    <t>If "Date of forbearance status" equals to "Date of Inception" or "Date of forbearance status" occured before a period of 24 month preceding the reference date, then "Highest number of days past due in the 24 months prior to the most recent change of the forbearance status" should be default values</t>
  </si>
  <si>
    <t>If "Highest number of days past due in the 12 months prior to the most recent change of the forbearance status" is populated with 'Not applicable' then "Highest number of days past due in the 24 months prior to the most recent change of the forbearance status" must be populated with default values</t>
  </si>
  <si>
    <t xml:space="preserve">Select DPD_24M_FRBRNC_STTS, 
       dt_incptn, 
       dpd_prfrmng_stts
FROM bu_loantape_work.lt002_instrument
WHERE segmento = 'ESTR'
        AND nome_perimetro ='${nome_perimetro}'
        AND ref_date='${date}'
        AND AMBITO = 'PM'
        AND entidade ='00100'
        AND cod_visao = 1
        AND (cast(dpd_frbrnc_stts as varchar) = dt_incptn or cast(dpd_frbrnc_stts as varchar) &lt; ADD_MONTHS('${date}',-24))
        AND DPD_24M_FRBRNC_STTS &lt;&gt; 1111-11-11
</t>
  </si>
  <si>
    <t>If "Date of forbearance status" equals to "Date of Inception" or "Date of forbearance status" occured before a period of 24 month preceding the reference date, then "Days past due at the date of the most recent change of the forbearance status" should be default values</t>
  </si>
  <si>
    <t>If "Date of forbearance status" equals to "Date of Inception" or "Date of forbearance status" occured before a period of 24 month preceding the reference date, then "Highest number of days past due in the 12 months prior to the most recent change of the forbearance status" should be default values</t>
  </si>
  <si>
    <t>"Date of forbearance status" must be later than 01 January 1970</t>
  </si>
  <si>
    <t>"Date of forbearance status" must be greater or equal than "Date of Inception"</t>
  </si>
  <si>
    <t>If "Number of historical forbearance" is greater than or equal to 2 then "Date of previous forbearance status" must be lower than "Date of forbearance status"</t>
  </si>
  <si>
    <t>Select dt_frbrnc_stts
FROM bu_loantape_work.lt002_instrument
WHERE segmento = 'ESTR'
        AND nome_perimetro ='${nome_perimetro}'
        AND ref_date='${date}'
        AND AMBITO = 'PM'
        AND entidade ='00100'
        AND cod_visao = 1
        AND dt_frbrnc_stts  &lt; '1970-01-01'
        AND dt_frbrnc_stts &lt;&gt; '1111-11-11'</t>
  </si>
  <si>
    <t>Select dt_frbrnc_stts
FROM bu_loantape_work.lt002_instrument
WHERE segmento = 'ESTR'
        AND nome_perimetro ='${nome_perimetro}'
        AND ref_date='${date}'
        AND AMBITO = 'PM'
        AND entidade ='00100'
        AND cod_visao = 1
        AND dt_frbrnc_stts &lt; dt_incptn</t>
  </si>
  <si>
    <t>Select dt_frbrnc_stts
FROM bu_loantape_work.lt002_instrument
WHERE segmento = 'ESTR'
        AND nome_perimetro ='${nome_perimetro}'
        AND ref_date='${date}'
        AND AMBITO = 'PM'
        AND entidade ='00100'
        AND cod_visao = 1
        AND nmbr_frbrnc_msrs &gt;= 2 
        AND dt_frbrnc_stts_prvs &gt; dt_frbrnc_stts</t>
  </si>
  <si>
    <t>If "Days past due at reference date" is populated (&gt;0) then "Highest number of days past due in the last 12 months" must also be populated and should be higher or equal than "Days past due at reference date"</t>
  </si>
  <si>
    <t>select dpd_12m
from bu_loantape_work.lt002_instrument
where segmento = 'ESTR'
        AND nome_perimetro ='${nome_perimetro}'
        AND ref_date='${date}'
        AND AMBITO = 'PM'
        AND entidade ='00100'
        AND cod_visao = 1
        AND dpd &gt; 0
AND dpd_12m &lt; dpd</t>
  </si>
  <si>
    <t>Select dt_frbrnc_stts_prvs
FROM bu_loantape_work.lt002_instrument
WHERE segmento = 'ESTR'
        AND nome_perimetro ='${nome_perimetro}'
        AND ref_date='${date}'
        AND AMBITO = 'PM'
        AND entidade ='00100'
        AND cod_visao = 1
        AND dt_frbrnc_stts_prvs &lt;&gt; '1111-11-11'
        AND dt_frbrnc_stts_prvs &lt;&gt; '9999-99-99'
        AND dt_frbrnc_stts_prvs &gt; dt_frbrnc_stts</t>
  </si>
  <si>
    <t>Select DPD_24M_FRBRNC_STTS, 
       dt_incptn, 
       dpd_prfrmng_stts
FROM bu_loantape_work.lt002_instrument
WHERE segmento = 'ESTR'
        AND nome_perimetro ='${nome_perimetro}'
        AND ref_date='${date}'
        AND AMBITO = 'PM'
        AND entidade ='00100'
        AND cod_visao = 1
        AND dpd_12m_frbrnc_stts = 1111-11-11
        AND DPD_24M_FRBRNC_STTS &lt;&gt; 1111-11-11
        AND DPD_24M_FRBRNC_STTS &lt;&gt; 9999-99-99</t>
  </si>
  <si>
    <t>Select DPD_FRBRNC_STTS
FROM bu_loantape_work.lt002_instrument
WHERE segmento = 'ESTR'
        AND nome_perimetro ='${nome_perimetro}'
        AND ref_date='${date}'
        AND AMBITO = 'PM'
        AND entidade ='00100'
        AND cod_visao = 1
        AND (dt_frbrnc_stts = dt_incptn or dt_frbrnc_stts &lt; ADD_MONTHS('${date}',-24))
        AND DPD_FRBRNC_STTS &lt;&gt; 11111111111
        AND dpd_frbrnc_stts &lt;&gt; 99999999999</t>
  </si>
  <si>
    <t>Select dpd_12m_frbrnc_stts
FROM bu_loantape_work.lt002_instrument
WHERE segmento = 'ESTR'
        AND nome_perimetro ='${nome_perimetro}'
        AND ref_date='${date}'
        AND AMBITO = 'PM'
        AND entidade ='00100'
        AND cod_visao = 1
        AND (dt_frbrnc_stts = dt_incptn or dt_frbrnc_stts &lt; ADD_MONTHS('${date}',-24))
        AND dpd_12m_frbrnc_stts &lt;&gt; 11111111111
        AND dpd_12m_frbrnc_stts &lt;&gt; 99999999999</t>
  </si>
  <si>
    <t xml:space="preserve">If "Forbearance status" equals to '8 - Not forborne or renegotiated', "Request for current concession of forbearance measures as defined in EBA/ITS/2013/03 resulting in distressed restructuring of the credit obligation" equals 'Y' and "Entity_ID" is linked to only one "INSTRUMENT_ID", then "Date of forbearance status" must be greater than "Date of inception" </t>
  </si>
  <si>
    <t>"Date of previous forbearance status" must have a Date format (yyyy-mm-dd)</t>
  </si>
  <si>
    <t>"Birth date counterparty" must be later than 01 January 1900</t>
  </si>
  <si>
    <t>"Debt repayment capacity of senior secured debt as per ECB Guidance on leveraged transactions" shall be larger than 0; Negative values trigger attention</t>
  </si>
  <si>
    <t>fazer querys a amarelo</t>
  </si>
  <si>
    <t>analisar campos vermelhos</t>
  </si>
  <si>
    <t>Select dt_brth
FROM bu_loantape_work.lt003_entity
WHERE segmento = 'ESTR'
        AND nome_perimetro ='${nome_perimetro}'
        AND ref_date='${date}'
        AND AMBITO = 'PM'
        AND entidade ='00100'
        AND cod_visao = 1
        AND dt_brth &lt; '1900-01-01'
        AND dt_brth &lt;&gt; '1111-11-11'
        AND dt_brth &lt;&gt; '0000-00-00'</t>
  </si>
  <si>
    <t>dt_frbrnc_stts_prvs</t>
  </si>
  <si>
    <t>instrmnt_id</t>
  </si>
  <si>
    <t>8900000000041640200Y420000472437</t>
  </si>
  <si>
    <t>31000341842410020000000000000000</t>
  </si>
  <si>
    <t>31000800365724096000000000000000</t>
  </si>
  <si>
    <t>31000801136405096000000000000000</t>
  </si>
  <si>
    <t>31000343333269020000000000000000</t>
  </si>
  <si>
    <t>31000601241035096000000000000000</t>
  </si>
  <si>
    <t>dt_frbrnc_stts</t>
  </si>
  <si>
    <t>4 contratos com data frbrnc_stts &lt; dt_incptn</t>
  </si>
  <si>
    <t>select dt_frbrnc_stts
from bu_loantape_work.lt002_instrument
WHERE segmento = 'ESTR'
        AND nome_perimetro ='${nome_perimetro}'
        AND ref_date='${date}'
        AND AMBITO = 'PM'
        AND entidade ='00100'
        AND cod_visao = 1
        AND  substring(dt_frbrnc_stts,5,1) &lt;&gt; '-' or substring(dt_frbrnc_stts,8,1) &lt;&gt; '-'
AND length(dt_frbrnc_stts) &lt;&gt; 10
        AND dt_frbrnc_stts &lt;&gt; 'REP_NA'</t>
  </si>
  <si>
    <t>SELECT *
FROM 
(Select dt_frbrnc_stts, instrmnt_id
FROM bu_loantape_work.lt002_instrument
WHERE segmento = 'ESTR'
        AND nome_perimetro ='${nome_perimetro}'
        AND ref_date='${date}'
        AND AMBITO = 'PM'
        AND entidade ='00100'
        AND cod_visao = 1
        AND frbrnc_stts_instrmnt = '8' 
        AND dt_frbrnc_stts &lt; dt_incptn) lt002
inner join 
(Select instrmnt_id, 
        entty_id
FROM bu_loantape_work.lt005_instr_ent
WHERE segmento = 'ESTR'
        AND nome_perimetro ='${nome_perimetro}'
        AND ref_date='${date}'
        AND AMBITO = 'PM'
        AND entidade ='00100'
        AND cod_visao = 1
        AND entty_id in (SELECT ENTTY_ID
            FROM bu_loantape_work.lt005_instr_ent
            WHERE segmento = 'ESTR'
            AND nome_perimetro ='${nome_perimetro}'
            AND ref_date='${date}'
            AND AMBITO = 'PM'
            AND entidade ='00100'
            AND cod_visao = 1
            group by entty_id
            HAVING  count(instrmnt_id) = 1 ) 
) lt005
on lt005.instrmnt_id = lt002.instrmnt_id
inner join 
(Select entty_id
FROM bu_loantape_work.lt003_entity
WHERE segmento = 'ESTR'
        AND nome_perimetro ='${nome_perimetro}'
        AND ref_date='${date}'
        AND AMBITO = 'PM'
        AND entidade ='00100'
        AND cod_visao = 1
        AND FLG_RQST_DSTRSSD_RSTRCTRNG = 'Y') lt003
on lt003.entty_id = lt005.</t>
  </si>
  <si>
    <t>Existem datas a reportar 'REP_NA'</t>
  </si>
  <si>
    <t>pode acontecer porque em determinadas situações a dt_incptn altera</t>
  </si>
  <si>
    <t xml:space="preserve"> 6 contratos com data frbrnc_stts_prvs &lt; dt_incptn</t>
  </si>
  <si>
    <t>estão a reportar o valor da fonte 'cd_captools.ct003_univ_cli'
Como analisar: 
1º Analisar lt003 
Select *
FROM bu_loantape_work.lt003_entity
WHERE segmento = 'ESTR'
        AND nome_perimetro ='${nome_perimetro}'
        AND ref_date='${date}'
        AND AMBITO = 'PM'
        AND entidade ='00100'
        AND cod_visao = 1
        -- AND dt_brth = '1800-01-01'
        AND dt_brth &lt; '1900-01-01'
        AND dt_brth &lt;&gt; '1111-11-11'
        AND dt_brth &lt;&gt; '0000-00-00'
2º Analisar contrato especifico na fonte 
SELECT *
FROM cd_captools.ct003_univ_cli
Where ref_date='${date}'
and zcliente = 	'8008880294'</t>
  </si>
  <si>
    <t xml:space="preserve">Jusitficado. Na 'cd_captools.fr004_cto' o campo 'data_inicio' está a null por isso reportam 'data_abertura'
exemplo: 
SELECT *  
FROM  cd_captools.fr004_cto
WHERE ref_date='${date}'
and concat(cempresa, cbalcao, cnumecta, zdeposit) = '31000000000000000599904815620600'
-- and concat(cempresa, cbalcao, cnumecta, zdeposit) = '31000000000000000599904815671680'
-- and concat(cempresa, cbalcao, cnumecta, zdeposit) = '31641600005800001PTCON1OE0008000'
</t>
  </si>
  <si>
    <t xml:space="preserve">Existem datas a reportar 'REP_INCPTN' (erro código it) e datas dt_frbrnc_stts_prvs dt_frbrnc_stts e ista segunda casuística acontece porque 'data_inicio' na fr004 etá a null e de acordo com a especificação reportam o valor do campo 'data_abertura' 
exemplo: 
Select instrmnt_id, 
    dt_frbrnc_stts_prvs, 
    dt_frbrnc_stts
FROM bu_loantape_work.lt002_instrument
WHERE segmento = 'ESTR'
        AND nome_perimetro ='${nome_perimetro}'
        AND ref_date='${date}'
        AND AMBITO = 'PM'
        AND entidade ='00100'
        AND cod_visao = 1
        AND dt_frbrnc_stts_prvs &lt;&gt; '1111-11-11'
        AND dt_frbrnc_stts_prvs &lt;&gt; '9999-99-99'
        AND dt_frbrnc_stts_prvs &gt; dt_frbrnc_stts
        AND dt_frbrnc_stts_prvs &lt;&gt; 'REP_INCPTN'
        -- AND instrmnt_id = '31000311528766096000000000000000' 
        ;
SELECT *  
FROM  cd_captools.fr004_cto
WHERE ref_date='${date}'
and concat(cempresa, cbalcao, cnumecta, zdeposit) = '31000311528766096000000000000000' --data_inicio está a null por isso estão a reportar data_abertura para frbrnc_stts
 </t>
  </si>
  <si>
    <t xml:space="preserve">
select DBT_RPYMNT_CPCTY_SNR_DBT
from bu_loantape_work.lt003_entity
WHERE segmento = 'ESTR'
        AND nome_perimetro ='${nome_perimetro}'
        AND ref_date='${date}'
        AND AMBITO = 'PM'
        AND entidade ='00100'
        AND cod_visao = 1
        AND DBT_RPYMNT_CPCTY_SNR_DBT &lt; 0</t>
  </si>
  <si>
    <t xml:space="preserve">Contratos que deviam reportar default e reportam 0 ou valores específicos
Select instrmnt_id, 
        DPD_FRBRNC_STTS, 
        frbrnc_stts_instrmnt,
        dt_frbrnc_stts,
        dt_incptn
FROM bu_loantape_work.lt002_instrument
WHERE segmento = 'ESTR'
        AND nome_perimetro ='${nome_perimetro}'
        AND ref_date='${date}'
        AND AMBITO = 'PM'
        AND entidade ='00100'
        AND cod_visao = 1
        AND (dt_frbrnc_stts = dt_incptn or dt_frbrnc_stts &lt; ADD_MONTHS('${date}',-24))
        AND DPD_FRBRNC_STTS &lt;&gt; 11111111111
        AND dpd_frbrnc_stts &lt;&gt; 99999999999
        -- AND frbrnc_stts_instrmnt &lt;&gt; '8'
-- Reporta 0 quando devia reportar NA: 
-- Exemplo
-- 1) instrmnt_id = '31000317787606096000000000000000' tem dt_frbrnc_stts &lt; ADD_MONTHS('${date}',-24) por isso devia ser NA
-- 2) instrmnt_id = '31000317820407096000000000000000' tem frbrnc_stts_instrmnt = '8'e dt_frbrnc_stts = dt_incptn </t>
  </si>
  <si>
    <t xml:space="preserve">Especificação indica condições tem condição
frbrnc_stts_instrmnt &lt;&gt; '8' and dt_frbrnc_stts = dt_incptn
deveria ser frbrnc_stts_instrmnt &lt;&gt; '8' or dt_frbrnc_stts = dt_incptn 
Select instrmnt_id, 
        DPD_12M_FRBRNC_STTS, 
        frbrnc_stts_instrmnt,
        dt_frbrnc_stts,
        dt_incptn
FROM bu_loantape_work.lt002_instrument
WHERE segmento = 'ESTR'
        AND nome_perimetro ='${nome_perimetro}'
        AND ref_date='${date}'
        AND AMBITO = 'PM'
        AND entidade ='00100'
        AND cod_visao = 1
        AND (dt_frbrnc_stts = dt_incptn or dt_frbrnc_stts &lt; ADD_MONTHS('${date}',-24))
        AND DPD_12M_FRBRNC_STTS &lt;&gt; 11111111111
        AND DPD_12M_FRBRNC_STTS &lt;&gt; 99999999999
        AND frbrnc_stts_instrmnt &lt;&gt; '8'
-- Reporta 0 quando devia reportar NA: 
-- Exemplo
-- 1) instrmnt_id = '31000318298207096000000000000000' tem dt_frbrnc_stts = dt_incptn por isso devia ser NA
-- 2) instrmnt_id = '31000000000000000262304840000520' tem frbrnc_stts_instrmnt = '8'e dt_frbrnc_stts = dt_incptn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</si>
</sst>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sz val="10"/>
      <color theme="1"/>
      <name val="Santander Text"/>
      <family val="2"/>
    </font>
    <font>
      <sz val="10"/>
      <name val="Santander Text"/>
      <family val="2"/>
    </font>
    <font>
      <sz val="10"/>
      <color rgb="FF000000"/>
      <name val="Santander Text"/>
      <family val="2"/>
    </font>
    <font>
      <b/>
      <sz val="10"/>
      <color theme="0"/>
      <name val="Santander Text"/>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
      <sz val="12"/>
      <color theme="1"/>
      <name val="Aptos Narrow"/>
      <family val="2"/>
      <scheme val="minor"/>
    </font>
    <font>
      <sz val="11"/>
      <color theme="1"/>
      <name val="Santander Text"/>
      <family val="2"/>
    </font>
    <font>
      <b/>
      <sz val="12"/>
      <color theme="1"/>
      <name val="Aptos Narrow"/>
      <family val="2"/>
      <scheme val="minor"/>
    </font>
    <font>
      <b/>
      <sz val="12"/>
      <color theme="0"/>
      <name val="Aptos Narrow"/>
      <family val="2"/>
      <scheme val="minor"/>
    </font>
    <font>
      <b/>
      <u/>
      <sz val="12"/>
      <color theme="1"/>
      <name val="Aptos Narrow"/>
      <family val="2"/>
      <scheme val="minor"/>
    </font>
    <font>
      <b/>
      <sz val="36"/>
      <color theme="0"/>
      <name val="Aptos Narrow"/>
      <family val="2"/>
      <scheme val="minor"/>
    </font>
    <font>
      <sz val="12"/>
      <color rgb="FF000000"/>
      <name val="Aptos Narrow"/>
      <family val="2"/>
      <scheme val="minor"/>
    </font>
    <font>
      <b/>
      <sz val="14"/>
      <color theme="0"/>
      <name val="Aptos Narrow"/>
      <family val="2"/>
      <scheme val="minor"/>
    </font>
    <font>
      <sz val="14"/>
      <color theme="1"/>
      <name val="Aptos Narrow"/>
      <family val="2"/>
      <scheme val="minor"/>
    </font>
    <font>
      <b/>
      <sz val="14"/>
      <color theme="1"/>
      <name val="Aptos Narrow"/>
      <family val="2"/>
      <scheme val="minor"/>
    </font>
    <font>
      <sz val="14"/>
      <color rgb="FF000000"/>
      <name val="Aptos Narrow"/>
      <family val="2"/>
      <scheme val="minor"/>
    </font>
    <font>
      <sz val="14"/>
      <name val="Aptos Narrow"/>
      <family val="2"/>
      <scheme val="minor"/>
    </font>
    <font>
      <sz val="11"/>
      <name val="Aptos Narrow"/>
      <family val="2"/>
      <scheme val="minor"/>
    </font>
    <font>
      <b/>
      <sz val="11"/>
      <color theme="0"/>
      <name val="Aptos Narrow"/>
      <scheme val="minor"/>
    </font>
    <font>
      <sz val="11"/>
      <color rgb="FFFF0000"/>
      <name val="Aptos Narrow"/>
      <family val="2"/>
      <scheme val="minor"/>
    </font>
    <font>
      <b/>
      <sz val="11"/>
      <color theme="1"/>
      <name val="Aptos Narrow"/>
      <scheme val="minor"/>
    </font>
    <font>
      <b/>
      <sz val="11"/>
      <name val="Aptos Narrow"/>
      <scheme val="minor"/>
    </font>
    <font>
      <sz val="11"/>
      <name val="Aptos Narrow"/>
      <scheme val="minor"/>
    </font>
  </fonts>
  <fills count="20">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bgColor indexed="64"/>
      </patternFill>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s>
  <borders count="28">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FF0000"/>
      </bottom>
      <diagonal/>
    </border>
    <border>
      <left/>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16" fillId="0" borderId="0"/>
  </cellStyleXfs>
  <cellXfs count="238">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7" fillId="0" borderId="0" xfId="0" applyFont="1"/>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readingOrder="1"/>
    </xf>
    <xf numFmtId="0" fontId="10" fillId="3" borderId="1" xfId="0" applyFont="1" applyFill="1" applyBorder="1"/>
    <xf numFmtId="0" fontId="0" fillId="0" borderId="0" xfId="0" applyAlignment="1">
      <alignment wrapText="1"/>
    </xf>
    <xf numFmtId="0" fontId="10" fillId="3" borderId="1" xfId="0" applyFont="1" applyFill="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0" fillId="0" borderId="1" xfId="0" quotePrefix="1" applyBorder="1"/>
    <xf numFmtId="0" fontId="8" fillId="9" borderId="1" xfId="0" quotePrefix="1" applyFont="1" applyFill="1" applyBorder="1" applyAlignment="1">
      <alignment horizontal="left" vertical="center" wrapText="1"/>
    </xf>
    <xf numFmtId="0" fontId="0" fillId="11" borderId="0" xfId="0" applyFill="1"/>
    <xf numFmtId="0" fontId="0" fillId="11" borderId="2" xfId="0" applyFill="1" applyBorder="1" applyAlignment="1">
      <alignment horizontal="center"/>
    </xf>
    <xf numFmtId="0" fontId="0" fillId="11" borderId="2" xfId="1" applyNumberFormat="1" applyFont="1" applyFill="1" applyBorder="1" applyAlignment="1">
      <alignment horizontal="center"/>
    </xf>
    <xf numFmtId="0" fontId="0" fillId="10" borderId="2" xfId="0" applyFill="1" applyBorder="1" applyAlignment="1">
      <alignment horizontal="center"/>
    </xf>
    <xf numFmtId="0" fontId="0" fillId="12" borderId="2" xfId="0" applyFill="1" applyBorder="1" applyAlignment="1">
      <alignment horizontal="center"/>
    </xf>
    <xf numFmtId="0" fontId="11" fillId="11" borderId="2" xfId="0" applyFont="1" applyFill="1" applyBorder="1"/>
    <xf numFmtId="0" fontId="1" fillId="11" borderId="0" xfId="0" applyFont="1" applyFill="1"/>
    <xf numFmtId="0" fontId="0" fillId="11" borderId="0" xfId="0" applyFill="1" applyAlignment="1">
      <alignment horizontal="left" indent="2"/>
    </xf>
    <xf numFmtId="0" fontId="0" fillId="0" borderId="0" xfId="0" applyAlignment="1">
      <alignment horizontal="center"/>
    </xf>
    <xf numFmtId="0" fontId="11" fillId="11" borderId="2" xfId="0" applyFont="1" applyFill="1" applyBorder="1" applyAlignment="1">
      <alignment vertical="center" wrapText="1"/>
    </xf>
    <xf numFmtId="0" fontId="11" fillId="11" borderId="0" xfId="0" applyFont="1" applyFill="1" applyAlignment="1">
      <alignment vertical="center" wrapText="1"/>
    </xf>
    <xf numFmtId="0" fontId="0" fillId="11" borderId="0" xfId="0" applyFill="1" applyAlignment="1">
      <alignment horizontal="center"/>
    </xf>
    <xf numFmtId="0" fontId="0" fillId="11" borderId="0" xfId="1" applyNumberFormat="1" applyFont="1" applyFill="1" applyBorder="1" applyAlignment="1">
      <alignment horizontal="center"/>
    </xf>
    <xf numFmtId="0" fontId="12" fillId="3" borderId="0" xfId="0" applyFont="1" applyFill="1" applyAlignment="1">
      <alignment vertical="center"/>
    </xf>
    <xf numFmtId="0" fontId="13" fillId="0" borderId="0" xfId="0" applyFont="1"/>
    <xf numFmtId="0" fontId="14" fillId="0" borderId="0" xfId="0" applyFont="1" applyAlignment="1">
      <alignment horizontal="center" vertical="center"/>
    </xf>
    <xf numFmtId="0" fontId="15" fillId="11" borderId="0" xfId="0" applyFont="1" applyFill="1"/>
    <xf numFmtId="0" fontId="11" fillId="11" borderId="3" xfId="0" applyFont="1" applyFill="1" applyBorder="1" applyAlignment="1">
      <alignment vertical="center" wrapText="1"/>
    </xf>
    <xf numFmtId="0" fontId="0" fillId="11" borderId="12" xfId="0" applyFill="1" applyBorder="1"/>
    <xf numFmtId="0" fontId="0" fillId="11" borderId="3" xfId="0" applyFill="1" applyBorder="1" applyAlignment="1">
      <alignment horizontal="left"/>
    </xf>
    <xf numFmtId="0" fontId="0" fillId="11" borderId="13" xfId="0" applyFill="1" applyBorder="1"/>
    <xf numFmtId="0" fontId="0" fillId="11" borderId="14" xfId="0" applyFill="1" applyBorder="1" applyAlignment="1">
      <alignment horizontal="left"/>
    </xf>
    <xf numFmtId="0" fontId="0" fillId="11" borderId="15" xfId="0" applyFill="1" applyBorder="1"/>
    <xf numFmtId="0" fontId="0" fillId="11" borderId="16" xfId="0" applyFill="1" applyBorder="1" applyAlignment="1">
      <alignment horizontal="left"/>
    </xf>
    <xf numFmtId="0" fontId="0" fillId="11" borderId="17" xfId="0" applyFill="1" applyBorder="1"/>
    <xf numFmtId="0" fontId="0" fillId="11" borderId="18" xfId="0" applyFill="1" applyBorder="1"/>
    <xf numFmtId="0" fontId="0" fillId="11" borderId="19" xfId="0" applyFill="1" applyBorder="1"/>
    <xf numFmtId="0" fontId="11" fillId="11" borderId="14" xfId="0" applyFont="1" applyFill="1" applyBorder="1" applyAlignment="1">
      <alignment vertical="center" wrapText="1"/>
    </xf>
    <xf numFmtId="0" fontId="0" fillId="11" borderId="3" xfId="0" applyFill="1" applyBorder="1"/>
    <xf numFmtId="0" fontId="0" fillId="0" borderId="20" xfId="0" pivotButton="1" applyBorder="1"/>
    <xf numFmtId="0" fontId="0" fillId="0" borderId="21" xfId="0" applyBorder="1"/>
    <xf numFmtId="0" fontId="0" fillId="0" borderId="4" xfId="0" applyBorder="1"/>
    <xf numFmtId="0" fontId="0" fillId="0" borderId="5"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pivotButton="1" applyBorder="1"/>
    <xf numFmtId="0" fontId="0" fillId="0" borderId="7" xfId="0" applyBorder="1" applyAlignment="1">
      <alignment horizontal="left"/>
    </xf>
    <xf numFmtId="0" fontId="0" fillId="0" borderId="9" xfId="0" applyBorder="1" applyAlignment="1">
      <alignment horizontal="left"/>
    </xf>
    <xf numFmtId="0" fontId="1" fillId="0" borderId="20" xfId="0" pivotButton="1" applyFont="1" applyBorder="1"/>
    <xf numFmtId="0" fontId="0" fillId="0" borderId="4" xfId="0" pivotButton="1" applyBorder="1"/>
    <xf numFmtId="0" fontId="1" fillId="0" borderId="21" xfId="0" applyFont="1" applyBorder="1"/>
    <xf numFmtId="9" fontId="0" fillId="0" borderId="0" xfId="0" applyNumberFormat="1" applyAlignment="1">
      <alignment horizontal="center"/>
    </xf>
    <xf numFmtId="9" fontId="0" fillId="0" borderId="8"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0" fillId="0" borderId="8" xfId="0" applyBorder="1" applyAlignment="1">
      <alignment horizontal="center"/>
    </xf>
    <xf numFmtId="0" fontId="0" fillId="0" borderId="10" xfId="0" applyBorder="1"/>
    <xf numFmtId="0" fontId="0" fillId="0" borderId="11" xfId="0" applyBorder="1"/>
    <xf numFmtId="0" fontId="0" fillId="15" borderId="0" xfId="0" applyFill="1"/>
    <xf numFmtId="0" fontId="16" fillId="0" borderId="0" xfId="0" applyFont="1"/>
    <xf numFmtId="0" fontId="18" fillId="0" borderId="0" xfId="0" applyFont="1"/>
    <xf numFmtId="0" fontId="16" fillId="11" borderId="5" xfId="0" applyFont="1" applyFill="1" applyBorder="1"/>
    <xf numFmtId="0" fontId="16" fillId="11" borderId="6" xfId="0" applyFont="1" applyFill="1" applyBorder="1"/>
    <xf numFmtId="0" fontId="16" fillId="11" borderId="7" xfId="0" applyFont="1" applyFill="1" applyBorder="1"/>
    <xf numFmtId="0" fontId="16" fillId="11" borderId="0" xfId="0" applyFont="1" applyFill="1"/>
    <xf numFmtId="0" fontId="16" fillId="11" borderId="8" xfId="0" applyFont="1" applyFill="1" applyBorder="1"/>
    <xf numFmtId="0" fontId="16" fillId="11" borderId="9" xfId="0" applyFont="1" applyFill="1" applyBorder="1"/>
    <xf numFmtId="0" fontId="16" fillId="11" borderId="10" xfId="0" applyFont="1" applyFill="1" applyBorder="1"/>
    <xf numFmtId="0" fontId="16" fillId="11" borderId="11" xfId="0" applyFont="1" applyFill="1" applyBorder="1"/>
    <xf numFmtId="0" fontId="18" fillId="0" borderId="20" xfId="0" applyFont="1" applyBorder="1"/>
    <xf numFmtId="0" fontId="16" fillId="0" borderId="21" xfId="0" applyFont="1" applyBorder="1"/>
    <xf numFmtId="0" fontId="16" fillId="0" borderId="0" xfId="0" applyFont="1" applyAlignment="1">
      <alignment horizontal="left"/>
    </xf>
    <xf numFmtId="0" fontId="18" fillId="0" borderId="22" xfId="0" applyFont="1" applyBorder="1" applyAlignment="1">
      <alignment horizontal="left"/>
    </xf>
    <xf numFmtId="0" fontId="18" fillId="0" borderId="22" xfId="0" applyFont="1" applyBorder="1" applyAlignment="1">
      <alignment horizontal="center"/>
    </xf>
    <xf numFmtId="0" fontId="16" fillId="0" borderId="22" xfId="0" applyFont="1" applyBorder="1" applyAlignment="1">
      <alignment horizontal="center" vertical="center"/>
    </xf>
    <xf numFmtId="14" fontId="16" fillId="0" borderId="22" xfId="0" applyNumberFormat="1" applyFont="1" applyBorder="1" applyAlignment="1">
      <alignment horizontal="center" vertical="center"/>
    </xf>
    <xf numFmtId="0" fontId="18" fillId="0" borderId="0" xfId="0" applyFont="1" applyAlignment="1">
      <alignment horizontal="center"/>
    </xf>
    <xf numFmtId="0" fontId="18" fillId="0" borderId="0" xfId="0" applyFont="1" applyAlignment="1">
      <alignment horizontal="left"/>
    </xf>
    <xf numFmtId="9" fontId="16" fillId="0" borderId="0" xfId="1" applyFont="1"/>
    <xf numFmtId="0" fontId="16" fillId="0" borderId="0" xfId="0" applyFont="1" applyAlignment="1">
      <alignment horizontal="center" vertical="center"/>
    </xf>
    <xf numFmtId="0" fontId="20" fillId="11" borderId="4" xfId="0" applyFont="1" applyFill="1" applyBorder="1"/>
    <xf numFmtId="0" fontId="18" fillId="11" borderId="7" xfId="0" applyFont="1" applyFill="1" applyBorder="1"/>
    <xf numFmtId="0" fontId="20" fillId="11" borderId="7" xfId="0" applyFont="1" applyFill="1" applyBorder="1"/>
    <xf numFmtId="0" fontId="17" fillId="11" borderId="26" xfId="0" applyFont="1" applyFill="1" applyBorder="1" applyAlignment="1">
      <alignment horizontal="left"/>
    </xf>
    <xf numFmtId="0" fontId="17" fillId="11" borderId="26" xfId="0" applyFont="1" applyFill="1" applyBorder="1" applyAlignment="1">
      <alignment horizontal="left" wrapText="1"/>
    </xf>
    <xf numFmtId="0" fontId="19" fillId="2" borderId="22" xfId="0" applyFont="1" applyFill="1" applyBorder="1" applyAlignment="1">
      <alignment horizontal="center" vertical="center"/>
    </xf>
    <xf numFmtId="0" fontId="22" fillId="0" borderId="22" xfId="0" applyFont="1" applyBorder="1" applyAlignment="1">
      <alignment vertical="center"/>
    </xf>
    <xf numFmtId="14" fontId="18" fillId="0" borderId="22" xfId="0" applyNumberFormat="1" applyFont="1" applyBorder="1" applyAlignment="1">
      <alignment horizontal="center"/>
    </xf>
    <xf numFmtId="0" fontId="8" fillId="0" borderId="0" xfId="0" quotePrefix="1" applyFont="1" applyAlignment="1">
      <alignment horizontal="left" vertical="center" wrapText="1"/>
    </xf>
    <xf numFmtId="0" fontId="7" fillId="9" borderId="1" xfId="0" applyFont="1" applyFill="1" applyBorder="1" applyAlignment="1">
      <alignment vertical="center"/>
    </xf>
    <xf numFmtId="0" fontId="19" fillId="2" borderId="22" xfId="0" applyFont="1" applyFill="1" applyBorder="1" applyAlignment="1">
      <alignment vertical="center"/>
    </xf>
    <xf numFmtId="0" fontId="19" fillId="2" borderId="24" xfId="0" applyFont="1" applyFill="1" applyBorder="1" applyAlignment="1">
      <alignment vertical="center"/>
    </xf>
    <xf numFmtId="0" fontId="16" fillId="0" borderId="20" xfId="0" applyFont="1" applyBorder="1" applyAlignment="1">
      <alignment horizontal="center" vertical="center"/>
    </xf>
    <xf numFmtId="0" fontId="16" fillId="0" borderId="21" xfId="0" applyFont="1" applyBorder="1" applyAlignment="1">
      <alignment vertical="center"/>
    </xf>
    <xf numFmtId="0" fontId="16" fillId="0" borderId="22" xfId="0" applyFont="1" applyBorder="1" applyAlignment="1">
      <alignment vertical="center"/>
    </xf>
    <xf numFmtId="0" fontId="16" fillId="0" borderId="22" xfId="0" applyFont="1" applyBorder="1" applyAlignment="1">
      <alignment vertical="center" wrapText="1"/>
    </xf>
    <xf numFmtId="0" fontId="16" fillId="12" borderId="22" xfId="0" applyFont="1" applyFill="1" applyBorder="1" applyAlignment="1">
      <alignment vertical="center"/>
    </xf>
    <xf numFmtId="0" fontId="15" fillId="11" borderId="4" xfId="0" applyFont="1" applyFill="1" applyBorder="1"/>
    <xf numFmtId="0" fontId="0" fillId="11" borderId="5" xfId="0" applyFill="1" applyBorder="1"/>
    <xf numFmtId="0" fontId="0" fillId="11" borderId="6" xfId="0" applyFill="1" applyBorder="1"/>
    <xf numFmtId="0" fontId="15" fillId="11" borderId="7" xfId="0" applyFont="1" applyFill="1" applyBorder="1"/>
    <xf numFmtId="0" fontId="0" fillId="11" borderId="8" xfId="0" applyFill="1" applyBorder="1"/>
    <xf numFmtId="0" fontId="1" fillId="11" borderId="7" xfId="0" applyFont="1" applyFill="1" applyBorder="1"/>
    <xf numFmtId="0" fontId="0" fillId="11" borderId="7" xfId="0" applyFill="1" applyBorder="1"/>
    <xf numFmtId="0" fontId="0" fillId="11" borderId="9" xfId="0" applyFill="1" applyBorder="1"/>
    <xf numFmtId="0" fontId="0" fillId="11" borderId="10" xfId="0" applyFill="1" applyBorder="1"/>
    <xf numFmtId="0" fontId="0" fillId="11" borderId="11" xfId="0" applyFill="1" applyBorder="1"/>
    <xf numFmtId="0" fontId="0" fillId="11" borderId="0" xfId="0" applyFill="1" applyAlignment="1">
      <alignment vertical="top" wrapText="1"/>
    </xf>
    <xf numFmtId="0" fontId="0" fillId="11" borderId="8" xfId="0" applyFill="1" applyBorder="1" applyAlignment="1">
      <alignment vertical="top" wrapText="1"/>
    </xf>
    <xf numFmtId="0" fontId="0" fillId="11" borderId="7" xfId="0" applyFill="1" applyBorder="1" applyAlignment="1">
      <alignment vertical="top"/>
    </xf>
    <xf numFmtId="0" fontId="0" fillId="0" borderId="0" xfId="0" quotePrefix="1"/>
    <xf numFmtId="0" fontId="23" fillId="2" borderId="22" xfId="0" applyFont="1" applyFill="1" applyBorder="1" applyAlignment="1">
      <alignment vertical="center"/>
    </xf>
    <xf numFmtId="0" fontId="24" fillId="0" borderId="22" xfId="1" applyNumberFormat="1" applyFont="1" applyBorder="1" applyAlignment="1">
      <alignment horizontal="center" vertical="center"/>
    </xf>
    <xf numFmtId="14" fontId="24" fillId="0" borderId="22" xfId="1" applyNumberFormat="1" applyFont="1" applyBorder="1" applyAlignment="1">
      <alignment horizontal="center" vertical="center"/>
    </xf>
    <xf numFmtId="0" fontId="23" fillId="2" borderId="22" xfId="0" applyFont="1" applyFill="1" applyBorder="1" applyAlignment="1">
      <alignment horizontal="center" vertical="center"/>
    </xf>
    <xf numFmtId="0" fontId="23" fillId="2" borderId="22" xfId="0" applyFont="1" applyFill="1" applyBorder="1" applyAlignment="1">
      <alignment horizontal="left" vertical="center"/>
    </xf>
    <xf numFmtId="0" fontId="24" fillId="11" borderId="26" xfId="0" applyFont="1" applyFill="1" applyBorder="1" applyAlignment="1">
      <alignment horizontal="left" vertical="center"/>
    </xf>
    <xf numFmtId="0" fontId="24" fillId="0" borderId="0" xfId="0" applyFont="1" applyAlignment="1">
      <alignment vertical="center"/>
    </xf>
    <xf numFmtId="9" fontId="24" fillId="0" borderId="0" xfId="1" applyFont="1" applyAlignment="1">
      <alignment vertical="center"/>
    </xf>
    <xf numFmtId="0" fontId="24" fillId="0" borderId="0" xfId="0" applyFont="1" applyAlignment="1">
      <alignment horizontal="left" vertical="center"/>
    </xf>
    <xf numFmtId="0" fontId="23" fillId="2" borderId="24" xfId="0" applyFont="1" applyFill="1" applyBorder="1" applyAlignment="1">
      <alignment vertical="center"/>
    </xf>
    <xf numFmtId="0" fontId="26" fillId="0" borderId="22"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24" fillId="12" borderId="20" xfId="0" applyFont="1" applyFill="1" applyBorder="1" applyAlignment="1">
      <alignment vertical="center"/>
    </xf>
    <xf numFmtId="0" fontId="24" fillId="0" borderId="20" xfId="0" applyFont="1" applyBorder="1" applyAlignment="1">
      <alignment vertical="center"/>
    </xf>
    <xf numFmtId="0" fontId="24" fillId="0" borderId="0" xfId="0" applyFont="1" applyAlignment="1">
      <alignment horizontal="center" vertical="center"/>
    </xf>
    <xf numFmtId="9" fontId="24" fillId="0" borderId="22" xfId="1" applyFont="1" applyBorder="1" applyAlignment="1">
      <alignment horizontal="center" vertical="center"/>
    </xf>
    <xf numFmtId="9" fontId="23" fillId="2" borderId="22" xfId="1" applyFont="1" applyFill="1" applyBorder="1" applyAlignment="1">
      <alignment horizontal="center" vertical="center"/>
    </xf>
    <xf numFmtId="0" fontId="27" fillId="0" borderId="22" xfId="0" applyFont="1" applyBorder="1" applyAlignment="1">
      <alignment horizontal="left" vertical="center"/>
    </xf>
    <xf numFmtId="0" fontId="23" fillId="2" borderId="22" xfId="1" applyNumberFormat="1" applyFont="1" applyFill="1" applyBorder="1" applyAlignment="1">
      <alignment horizontal="center" vertical="center"/>
    </xf>
    <xf numFmtId="0" fontId="23" fillId="2" borderId="20" xfId="0" applyFont="1" applyFill="1" applyBorder="1" applyAlignment="1">
      <alignment vertical="center"/>
    </xf>
    <xf numFmtId="0" fontId="24" fillId="0" borderId="22" xfId="0" applyFont="1" applyBorder="1" applyAlignment="1">
      <alignment vertical="center" wrapText="1"/>
    </xf>
    <xf numFmtId="0" fontId="24" fillId="0" borderId="22" xfId="0" applyFont="1" applyBorder="1" applyAlignment="1">
      <alignment horizontal="center" vertical="center"/>
    </xf>
    <xf numFmtId="0" fontId="26" fillId="0" borderId="0" xfId="0" applyFont="1" applyAlignment="1">
      <alignment vertical="center"/>
    </xf>
    <xf numFmtId="3" fontId="0" fillId="0" borderId="0" xfId="0" applyNumberFormat="1"/>
    <xf numFmtId="0" fontId="0" fillId="0" borderId="22" xfId="0" applyBorder="1"/>
    <xf numFmtId="3" fontId="0" fillId="0" borderId="22" xfId="0" applyNumberFormat="1" applyBorder="1"/>
    <xf numFmtId="0" fontId="1" fillId="0" borderId="22" xfId="0" applyFont="1" applyBorder="1"/>
    <xf numFmtId="0" fontId="4" fillId="2" borderId="22" xfId="0" applyFont="1" applyFill="1" applyBorder="1"/>
    <xf numFmtId="3" fontId="4" fillId="2" borderId="22" xfId="0" applyNumberFormat="1" applyFont="1" applyFill="1" applyBorder="1"/>
    <xf numFmtId="0" fontId="4" fillId="4" borderId="22" xfId="0" applyFont="1" applyFill="1" applyBorder="1" applyAlignment="1">
      <alignment vertical="center"/>
    </xf>
    <xf numFmtId="0" fontId="24" fillId="0" borderId="22" xfId="0" quotePrefix="1" applyFont="1" applyBorder="1" applyAlignment="1">
      <alignment vertical="center" wrapText="1"/>
    </xf>
    <xf numFmtId="0" fontId="24" fillId="0" borderId="22" xfId="0" quotePrefix="1" applyFont="1" applyBorder="1" applyAlignment="1">
      <alignment horizontal="center" vertical="center"/>
    </xf>
    <xf numFmtId="14" fontId="0" fillId="0" borderId="24" xfId="0" applyNumberFormat="1" applyBorder="1"/>
    <xf numFmtId="0" fontId="0" fillId="0" borderId="4" xfId="0" applyBorder="1" applyAlignment="1">
      <alignment wrapText="1"/>
    </xf>
    <xf numFmtId="14" fontId="0" fillId="0" borderId="5" xfId="0" applyNumberFormat="1" applyBorder="1"/>
    <xf numFmtId="0" fontId="0" fillId="0" borderId="7" xfId="0" applyBorder="1" applyAlignment="1">
      <alignment wrapText="1"/>
    </xf>
    <xf numFmtId="0" fontId="0" fillId="0" borderId="9" xfId="0" applyBorder="1" applyAlignment="1">
      <alignment wrapText="1"/>
    </xf>
    <xf numFmtId="14" fontId="0" fillId="0" borderId="10" xfId="0" applyNumberFormat="1" applyBorder="1"/>
    <xf numFmtId="0" fontId="28" fillId="0" borderId="0" xfId="0" applyFont="1"/>
    <xf numFmtId="0" fontId="24" fillId="0" borderId="22" xfId="0" applyFont="1" applyBorder="1" applyAlignment="1">
      <alignment horizontal="left" vertical="center" wrapText="1"/>
    </xf>
    <xf numFmtId="0" fontId="0" fillId="18" borderId="22" xfId="0" applyFill="1" applyBorder="1"/>
    <xf numFmtId="0" fontId="28" fillId="18" borderId="22" xfId="0" applyFont="1" applyFill="1" applyBorder="1"/>
    <xf numFmtId="14" fontId="0" fillId="0" borderId="22" xfId="0" applyNumberFormat="1" applyBorder="1"/>
    <xf numFmtId="14" fontId="28" fillId="0" borderId="0" xfId="0" applyNumberFormat="1" applyFont="1"/>
    <xf numFmtId="0" fontId="0" fillId="0" borderId="24" xfId="0" applyBorder="1"/>
    <xf numFmtId="0" fontId="0" fillId="0" borderId="22" xfId="0" applyBorder="1" applyAlignment="1">
      <alignment wrapText="1"/>
    </xf>
    <xf numFmtId="14" fontId="29" fillId="2" borderId="22" xfId="0" applyNumberFormat="1" applyFont="1" applyFill="1" applyBorder="1"/>
    <xf numFmtId="0" fontId="0" fillId="0" borderId="20" xfId="0" applyBorder="1"/>
    <xf numFmtId="0" fontId="29" fillId="2" borderId="0" xfId="0" applyFont="1" applyFill="1"/>
    <xf numFmtId="0" fontId="28" fillId="0" borderId="22" xfId="0" applyFont="1" applyBorder="1"/>
    <xf numFmtId="0" fontId="30" fillId="0" borderId="0" xfId="0" applyFont="1"/>
    <xf numFmtId="14" fontId="0" fillId="0" borderId="25" xfId="0" applyNumberFormat="1" applyBorder="1"/>
    <xf numFmtId="0" fontId="0" fillId="0" borderId="9" xfId="0" applyBorder="1"/>
    <xf numFmtId="14" fontId="0" fillId="0" borderId="21" xfId="0" applyNumberFormat="1" applyBorder="1"/>
    <xf numFmtId="14" fontId="0" fillId="0" borderId="11" xfId="0" applyNumberFormat="1" applyBorder="1"/>
    <xf numFmtId="11" fontId="0" fillId="0" borderId="22" xfId="0" quotePrefix="1" applyNumberFormat="1" applyBorder="1"/>
    <xf numFmtId="0" fontId="0" fillId="0" borderId="22" xfId="0" quotePrefix="1" applyBorder="1"/>
    <xf numFmtId="0" fontId="31" fillId="0" borderId="22" xfId="0" quotePrefix="1" applyFont="1" applyBorder="1"/>
    <xf numFmtId="14" fontId="31" fillId="0" borderId="22" xfId="0" applyNumberFormat="1" applyFont="1" applyBorder="1"/>
    <xf numFmtId="0" fontId="31" fillId="0" borderId="22" xfId="0" applyFont="1" applyBorder="1"/>
    <xf numFmtId="11" fontId="31" fillId="0" borderId="22" xfId="0" quotePrefix="1" applyNumberFormat="1" applyFont="1" applyBorder="1"/>
    <xf numFmtId="0" fontId="0" fillId="0" borderId="23" xfId="0" applyBorder="1"/>
    <xf numFmtId="0" fontId="32" fillId="19" borderId="0" xfId="0" applyFont="1" applyFill="1"/>
    <xf numFmtId="0" fontId="33" fillId="0" borderId="0" xfId="0" applyFont="1"/>
    <xf numFmtId="0" fontId="33" fillId="0" borderId="22" xfId="0" applyFont="1" applyBorder="1" applyAlignment="1">
      <alignment wrapText="1"/>
    </xf>
    <xf numFmtId="0" fontId="33" fillId="19" borderId="0" xfId="0" applyFont="1" applyFill="1"/>
    <xf numFmtId="0" fontId="0" fillId="0" borderId="0" xfId="0" applyAlignment="1">
      <alignment horizontal="left"/>
    </xf>
    <xf numFmtId="0" fontId="0" fillId="0" borderId="0" xfId="0" applyAlignment="1">
      <alignment horizontal="center"/>
    </xf>
    <xf numFmtId="0" fontId="29" fillId="2" borderId="22" xfId="0" applyFont="1" applyFill="1" applyBorder="1" applyAlignment="1">
      <alignment horizontal="center"/>
    </xf>
    <xf numFmtId="9" fontId="23" fillId="17" borderId="20" xfId="1" applyFont="1" applyFill="1" applyBorder="1" applyAlignment="1">
      <alignment horizontal="center" vertical="center"/>
    </xf>
    <xf numFmtId="9" fontId="23" fillId="17" borderId="27" xfId="1" applyFont="1" applyFill="1" applyBorder="1" applyAlignment="1">
      <alignment horizontal="center" vertical="center"/>
    </xf>
    <xf numFmtId="9" fontId="23" fillId="17" borderId="21" xfId="1" applyFont="1" applyFill="1" applyBorder="1" applyAlignment="1">
      <alignment horizontal="center" vertical="center"/>
    </xf>
    <xf numFmtId="0" fontId="25" fillId="16" borderId="20" xfId="0" applyFont="1" applyFill="1" applyBorder="1" applyAlignment="1">
      <alignment horizontal="center" vertical="center"/>
    </xf>
    <xf numFmtId="0" fontId="25" fillId="16" borderId="21" xfId="0" applyFont="1" applyFill="1" applyBorder="1" applyAlignment="1">
      <alignment horizontal="center" vertical="center"/>
    </xf>
    <xf numFmtId="0" fontId="18" fillId="16" borderId="22" xfId="0" applyFont="1" applyFill="1" applyBorder="1" applyAlignment="1">
      <alignment horizontal="center"/>
    </xf>
    <xf numFmtId="0" fontId="0" fillId="11" borderId="7" xfId="0" quotePrefix="1" applyFill="1" applyBorder="1" applyAlignment="1">
      <alignment horizontal="left" vertical="top" wrapText="1"/>
    </xf>
    <xf numFmtId="0" fontId="0" fillId="11" borderId="0" xfId="0" quotePrefix="1" applyFill="1" applyAlignment="1">
      <alignment horizontal="left" vertical="top" wrapText="1"/>
    </xf>
    <xf numFmtId="0" fontId="0" fillId="11" borderId="8" xfId="0" quotePrefix="1" applyFill="1" applyBorder="1" applyAlignment="1">
      <alignment horizontal="left" vertical="top" wrapText="1"/>
    </xf>
    <xf numFmtId="0" fontId="0" fillId="11" borderId="7" xfId="0" applyFill="1" applyBorder="1" applyAlignment="1">
      <alignment horizontal="left" vertical="top" wrapText="1"/>
    </xf>
    <xf numFmtId="0" fontId="0" fillId="11" borderId="0" xfId="0" applyFill="1" applyAlignment="1">
      <alignment horizontal="left" vertical="top" wrapText="1"/>
    </xf>
    <xf numFmtId="0" fontId="0" fillId="11" borderId="8" xfId="0" applyFill="1" applyBorder="1" applyAlignment="1">
      <alignment horizontal="left" vertical="top" wrapText="1"/>
    </xf>
    <xf numFmtId="0" fontId="21" fillId="14" borderId="22" xfId="0" applyFont="1" applyFill="1" applyBorder="1" applyAlignment="1">
      <alignment horizontal="center" vertical="center" textRotation="90"/>
    </xf>
    <xf numFmtId="0" fontId="21" fillId="13" borderId="24" xfId="0" applyFont="1" applyFill="1" applyBorder="1" applyAlignment="1">
      <alignment horizontal="center" vertical="center" textRotation="90"/>
    </xf>
    <xf numFmtId="0" fontId="21" fillId="13" borderId="23" xfId="0" applyFont="1" applyFill="1" applyBorder="1" applyAlignment="1">
      <alignment horizontal="center" vertical="center" textRotation="90"/>
    </xf>
    <xf numFmtId="0" fontId="21" fillId="13" borderId="25" xfId="0" applyFont="1" applyFill="1" applyBorder="1" applyAlignment="1">
      <alignment horizontal="center" vertical="center" textRotation="90"/>
    </xf>
    <xf numFmtId="0" fontId="16" fillId="11" borderId="7" xfId="0" quotePrefix="1" applyFont="1" applyFill="1" applyBorder="1" applyAlignment="1">
      <alignment horizontal="left" vertical="top" wrapText="1"/>
    </xf>
    <xf numFmtId="0" fontId="16" fillId="11" borderId="0" xfId="0" quotePrefix="1" applyFont="1" applyFill="1" applyAlignment="1">
      <alignment horizontal="left" vertical="top" wrapText="1"/>
    </xf>
    <xf numFmtId="0" fontId="16" fillId="11" borderId="8" xfId="0" quotePrefix="1" applyFont="1" applyFill="1" applyBorder="1" applyAlignment="1">
      <alignment horizontal="left" vertical="top" wrapText="1"/>
    </xf>
    <xf numFmtId="0" fontId="24" fillId="0" borderId="22" xfId="0" applyFont="1" applyBorder="1" applyAlignment="1">
      <alignment horizontal="left" vertical="center" wrapText="1"/>
    </xf>
    <xf numFmtId="0" fontId="23" fillId="2" borderId="22" xfId="0" applyFont="1" applyFill="1" applyBorder="1" applyAlignment="1">
      <alignment horizontal="left"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cellXfs>
  <cellStyles count="3">
    <cellStyle name="Normal" xfId="0" builtinId="0"/>
    <cellStyle name="Normal 2" xfId="2" xr:uid="{00000000-0005-0000-0000-000001000000}"/>
    <cellStyle name="Percent" xfId="1" builtinId="5"/>
  </cellStyles>
  <dxfs count="99">
    <dxf>
      <font>
        <color rgb="FF006100"/>
      </font>
      <fill>
        <patternFill>
          <bgColor rgb="FFC6EFCE"/>
        </patternFill>
      </fill>
    </dxf>
    <dxf>
      <font>
        <color rgb="FF9C0006"/>
      </font>
      <fill>
        <patternFill>
          <bgColor rgb="FFFFC7CE"/>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8989"/>
        </patternFill>
      </fill>
    </dxf>
    <dxf>
      <fill>
        <patternFill>
          <bgColor rgb="FFFF8989"/>
        </patternFill>
      </fill>
    </dxf>
    <dxf>
      <fill>
        <patternFill patternType="solid">
          <bgColor rgb="FFFF7C80"/>
        </patternFill>
      </fill>
    </dxf>
    <dxf>
      <fill>
        <patternFill>
          <bgColor theme="9" tint="0.59996337778862885"/>
        </patternFill>
      </fill>
    </dxf>
    <dxf>
      <fill>
        <patternFill patternType="solid">
          <bgColor rgb="FFFF7C80"/>
        </patternFill>
      </fill>
    </dxf>
    <dxf>
      <fill>
        <patternFill>
          <bgColor theme="9" tint="0.59996337778862885"/>
        </patternFill>
      </fill>
    </dxf>
    <dxf>
      <fill>
        <patternFill patternType="solid">
          <bgColor rgb="FFFF7C80"/>
        </patternFill>
      </fill>
    </dxf>
    <dxf>
      <fill>
        <patternFill>
          <bgColor theme="9" tint="0.59996337778862885"/>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bgColor rgb="FFFF7C80"/>
        </patternFill>
      </fill>
    </dxf>
    <dxf>
      <fill>
        <patternFill>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bgColor theme="9" tint="0.59996337778862885"/>
        </patternFill>
      </fill>
    </dxf>
    <dxf>
      <fill>
        <patternFill>
          <bgColor rgb="FFFF7C80"/>
        </patternFill>
      </fill>
    </dxf>
    <dxf>
      <fill>
        <patternFill>
          <bgColor rgb="FFFF7C80"/>
        </patternFill>
      </fill>
    </dxf>
    <dxf>
      <fill>
        <patternFill>
          <bgColor rgb="FFFF8989"/>
        </patternFill>
      </fill>
    </dxf>
    <dxf>
      <fill>
        <patternFill patternType="solid">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8989"/>
        </patternFill>
      </fill>
    </dxf>
    <dxf>
      <fill>
        <patternFill>
          <bgColor rgb="FFFF7C80"/>
        </patternFill>
      </fill>
    </dxf>
    <dxf>
      <fill>
        <patternFill patternType="solid">
          <bgColor rgb="FFFF7C80"/>
        </patternFill>
      </fill>
    </dxf>
    <dxf>
      <fill>
        <patternFill>
          <bgColor rgb="FFFF8989"/>
        </patternFill>
      </fill>
    </dxf>
    <dxf>
      <fill>
        <patternFill>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8989"/>
        </patternFill>
      </fill>
    </dxf>
    <dxf>
      <fill>
        <patternFill>
          <bgColor rgb="FFFF7C80"/>
        </patternFill>
      </fill>
    </dxf>
    <dxf>
      <fill>
        <patternFill>
          <bgColor rgb="FFFF8989"/>
        </patternFill>
      </fill>
    </dxf>
    <dxf>
      <fill>
        <patternFill>
          <bgColor rgb="FFFF7C80"/>
        </patternFill>
      </fill>
    </dxf>
    <dxf>
      <fill>
        <patternFill>
          <bgColor rgb="FFFF7C80"/>
        </patternFill>
      </fill>
    </dxf>
    <dxf>
      <fill>
        <patternFill>
          <bgColor theme="9" tint="0.59996337778862885"/>
        </patternFill>
      </fill>
    </dxf>
    <dxf>
      <fill>
        <patternFill>
          <bgColor rgb="FFFF7C80"/>
        </patternFill>
      </fill>
    </dxf>
    <dxf>
      <fill>
        <patternFill patternType="solid">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patternType="solid">
          <bgColor rgb="FFFF7C80"/>
        </patternFill>
      </fill>
    </dxf>
    <dxf>
      <fill>
        <patternFill>
          <bgColor rgb="FFFF8989"/>
        </patternFill>
      </fill>
    </dxf>
    <dxf>
      <fill>
        <patternFill patternType="solid">
          <bgColor rgb="FFFF7C80"/>
        </patternFill>
      </fill>
    </dxf>
    <dxf>
      <fill>
        <patternFill>
          <bgColor rgb="FFFF8989"/>
        </patternFill>
      </fill>
    </dxf>
    <dxf>
      <fill>
        <patternFill>
          <bgColor rgb="FFFF7C80"/>
        </patternFill>
      </fill>
    </dxf>
    <dxf>
      <fill>
        <patternFill patternType="solid">
          <bgColor rgb="FFFF7C80"/>
        </patternFill>
      </fill>
    </dxf>
    <dxf>
      <fill>
        <patternFill patternType="solid">
          <bgColor rgb="FFFF7C80"/>
        </patternFill>
      </fill>
    </dxf>
    <dxf>
      <fill>
        <patternFill>
          <bgColor rgb="FFFF7C80"/>
        </patternFill>
      </fill>
    </dxf>
    <dxf>
      <fill>
        <patternFill patternType="solid">
          <bgColor rgb="FFFF7C80"/>
        </patternFill>
      </fill>
    </dxf>
    <dxf>
      <fill>
        <patternFill>
          <bgColor rgb="FFFF7C80"/>
        </patternFill>
      </fill>
    </dxf>
    <dxf>
      <fill>
        <patternFill>
          <bgColor theme="9" tint="0.59996337778862885"/>
        </patternFill>
      </fill>
    </dxf>
    <dxf>
      <fill>
        <patternFill>
          <bgColor rgb="FFFF8989"/>
        </patternFill>
      </fill>
    </dxf>
    <dxf>
      <fill>
        <patternFill>
          <bgColor rgb="FFFF7C80"/>
        </patternFill>
      </fill>
    </dxf>
    <dxf>
      <fill>
        <patternFill>
          <bgColor rgb="FFFF7C80"/>
        </patternFill>
      </fill>
    </dxf>
    <dxf>
      <fill>
        <patternFill patternType="solid">
          <bgColor rgb="FFFF7C80"/>
        </patternFill>
      </fill>
    </dxf>
    <dxf>
      <fill>
        <patternFill>
          <bgColor theme="9" tint="0.59996337778862885"/>
        </patternFill>
      </fill>
    </dxf>
    <dxf>
      <fill>
        <patternFill>
          <bgColor rgb="FFFF7C80"/>
        </patternFill>
      </fill>
    </dxf>
    <dxf>
      <fill>
        <patternFill>
          <bgColor theme="9" tint="0.59996337778862885"/>
        </patternFill>
      </fill>
    </dxf>
    <dxf>
      <fill>
        <patternFill patternType="solid">
          <bgColor rgb="FFFF7C80"/>
        </patternFill>
      </fill>
    </dxf>
    <dxf>
      <font>
        <b/>
      </font>
    </dxf>
    <dxf>
      <border>
        <left style="thin">
          <color indexed="64"/>
        </left>
        <right style="thin">
          <color indexed="64"/>
        </right>
        <top style="thin">
          <color indexed="64"/>
        </top>
        <bottom style="thin">
          <color indexed="64"/>
        </bottom>
      </border>
    </dxf>
    <dxf>
      <font>
        <b/>
      </font>
    </dxf>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s>
  <tableStyles count="0" defaultTableStyle="TableStyleMedium2" defaultPivotStyle="PivotStyleLight16"/>
  <colors>
    <mruColors>
      <color rgb="FFFF7C80"/>
      <color rgb="FFFF8989"/>
      <color rgb="FF1DC8D1"/>
      <color rgb="FF159197"/>
      <color rgb="FF105E6E"/>
      <color rgb="FF11787D"/>
      <color rgb="FFFF7575"/>
      <color rgb="FFFF6699"/>
      <color rgb="FFFF891D"/>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10</c:v>
                </c:pt>
                <c:pt idx="1">
                  <c:v>17</c:v>
                </c:pt>
                <c:pt idx="2">
                  <c:v>2</c:v>
                </c:pt>
                <c:pt idx="3">
                  <c:v>1</c:v>
                </c:pt>
                <c:pt idx="4">
                  <c:v>0</c:v>
                </c:pt>
                <c:pt idx="5">
                  <c:v>22</c:v>
                </c:pt>
                <c:pt idx="6">
                  <c:v>3</c:v>
                </c:pt>
                <c:pt idx="7">
                  <c:v>0</c:v>
                </c:pt>
                <c:pt idx="8">
                  <c:v>42</c:v>
                </c:pt>
                <c:pt idx="9">
                  <c:v>7</c:v>
                </c:pt>
                <c:pt idx="10">
                  <c:v>157</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10</c:v>
                </c:pt>
                <c:pt idx="1">
                  <c:v>17</c:v>
                </c:pt>
                <c:pt idx="2">
                  <c:v>2</c:v>
                </c:pt>
                <c:pt idx="3">
                  <c:v>1</c:v>
                </c:pt>
                <c:pt idx="4">
                  <c:v>0</c:v>
                </c:pt>
                <c:pt idx="5">
                  <c:v>22</c:v>
                </c:pt>
                <c:pt idx="6">
                  <c:v>3</c:v>
                </c:pt>
                <c:pt idx="7">
                  <c:v>0</c:v>
                </c:pt>
                <c:pt idx="8">
                  <c:v>42</c:v>
                </c:pt>
                <c:pt idx="9">
                  <c:v>7</c:v>
                </c:pt>
                <c:pt idx="10">
                  <c:v>157</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7</xdr:col>
      <xdr:colOff>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191979</xdr:colOff>
      <xdr:row>0</xdr:row>
      <xdr:rowOff>60794</xdr:rowOff>
    </xdr:from>
    <xdr:to>
      <xdr:col>1</xdr:col>
      <xdr:colOff>2343617</xdr:colOff>
      <xdr:row>0</xdr:row>
      <xdr:rowOff>516483</xdr:rowOff>
    </xdr:to>
    <xdr:pic>
      <xdr:nvPicPr>
        <xdr:cNvPr id="2" name="Gráfico 10">
          <a:extLst>
            <a:ext uri="{FF2B5EF4-FFF2-40B4-BE49-F238E27FC236}">
              <a16:creationId xmlns:a16="http://schemas.microsoft.com/office/drawing/2014/main" id="{A88478B2-1E77-4C9C-8004-23EF593865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60794"/>
          <a:ext cx="2399288" cy="4556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44824</xdr:colOff>
      <xdr:row>2</xdr:row>
      <xdr:rowOff>21695</xdr:rowOff>
    </xdr:from>
    <xdr:to>
      <xdr:col>29</xdr:col>
      <xdr:colOff>262328</xdr:colOff>
      <xdr:row>4</xdr:row>
      <xdr:rowOff>168806</xdr:rowOff>
    </xdr:to>
    <xdr:sp macro="" textlink="">
      <xdr:nvSpPr>
        <xdr:cNvPr id="2" name="Right Arrow 1">
          <a:extLst>
            <a:ext uri="{FF2B5EF4-FFF2-40B4-BE49-F238E27FC236}">
              <a16:creationId xmlns:a16="http://schemas.microsoft.com/office/drawing/2014/main" id="{41002B47-F2B4-424E-A2FA-0995D7E87FF4}"/>
            </a:ext>
          </a:extLst>
        </xdr:cNvPr>
        <xdr:cNvSpPr/>
      </xdr:nvSpPr>
      <xdr:spPr>
        <a:xfrm>
          <a:off x="2168431" y="221564"/>
          <a:ext cx="17606094" cy="546849"/>
        </a:xfrm>
        <a:prstGeom prst="rightArrow">
          <a:avLst>
            <a:gd name="adj1" fmla="val 70290"/>
            <a:gd name="adj2" fmla="val 50000"/>
          </a:avLst>
        </a:prstGeom>
        <a:solidFill>
          <a:srgbClr val="FF0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2000" b="1">
              <a:latin typeface="Arial" panose="020B0604020202020204" pitchFamily="34" charset="0"/>
              <a:cs typeface="Arial" panose="020B0604020202020204" pitchFamily="34" charset="0"/>
            </a:rPr>
            <a:t>Tempo</a:t>
          </a:r>
          <a:endParaRPr lang="pt-PT" sz="1800" b="1">
            <a:latin typeface="Arial" panose="020B0604020202020204" pitchFamily="34" charset="0"/>
            <a:cs typeface="Arial" panose="020B0604020202020204" pitchFamily="34" charset="0"/>
          </a:endParaRPr>
        </a:p>
      </xdr:txBody>
    </xdr:sp>
    <xdr:clientData/>
  </xdr:twoCellAnchor>
  <xdr:twoCellAnchor editAs="absolute">
    <xdr:from>
      <xdr:col>0</xdr:col>
      <xdr:colOff>207219</xdr:colOff>
      <xdr:row>0</xdr:row>
      <xdr:rowOff>74951</xdr:rowOff>
    </xdr:from>
    <xdr:to>
      <xdr:col>2</xdr:col>
      <xdr:colOff>1065873</xdr:colOff>
      <xdr:row>0</xdr:row>
      <xdr:rowOff>536990</xdr:rowOff>
    </xdr:to>
    <xdr:pic>
      <xdr:nvPicPr>
        <xdr:cNvPr id="10" name="Gráfico 10">
          <a:extLst>
            <a:ext uri="{FF2B5EF4-FFF2-40B4-BE49-F238E27FC236}">
              <a16:creationId xmlns:a16="http://schemas.microsoft.com/office/drawing/2014/main" id="{4B8BE632-0A0F-4A55-A2E2-826CDECBD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219" y="74951"/>
          <a:ext cx="2391076" cy="462039"/>
        </a:xfrm>
        <a:prstGeom prst="rect">
          <a:avLst/>
        </a:prstGeom>
      </xdr:spPr>
    </xdr:pic>
    <xdr:clientData/>
  </xdr:twoCellAnchor>
  <xdr:twoCellAnchor>
    <xdr:from>
      <xdr:col>8</xdr:col>
      <xdr:colOff>63500</xdr:colOff>
      <xdr:row>30</xdr:row>
      <xdr:rowOff>63500</xdr:rowOff>
    </xdr:from>
    <xdr:to>
      <xdr:col>8</xdr:col>
      <xdr:colOff>850900</xdr:colOff>
      <xdr:row>35</xdr:row>
      <xdr:rowOff>139700</xdr:rowOff>
    </xdr:to>
    <xdr:cxnSp macro="">
      <xdr:nvCxnSpPr>
        <xdr:cNvPr id="13" name="Straight Arrow Connector 12">
          <a:extLst>
            <a:ext uri="{FF2B5EF4-FFF2-40B4-BE49-F238E27FC236}">
              <a16:creationId xmlns:a16="http://schemas.microsoft.com/office/drawing/2014/main" id="{24D6E046-175A-DDA4-FC3C-7219451E2DB4}"/>
            </a:ext>
          </a:extLst>
        </xdr:cNvPr>
        <xdr:cNvCxnSpPr/>
      </xdr:nvCxnSpPr>
      <xdr:spPr>
        <a:xfrm>
          <a:off x="6565900" y="6007100"/>
          <a:ext cx="787400" cy="1092200"/>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191979</xdr:colOff>
      <xdr:row>0</xdr:row>
      <xdr:rowOff>56984</xdr:rowOff>
    </xdr:from>
    <xdr:to>
      <xdr:col>1</xdr:col>
      <xdr:colOff>2339807</xdr:colOff>
      <xdr:row>0</xdr:row>
      <xdr:rowOff>512673</xdr:rowOff>
    </xdr:to>
    <xdr:pic>
      <xdr:nvPicPr>
        <xdr:cNvPr id="4" name="Gráfico 10">
          <a:extLst>
            <a:ext uri="{FF2B5EF4-FFF2-40B4-BE49-F238E27FC236}">
              <a16:creationId xmlns:a16="http://schemas.microsoft.com/office/drawing/2014/main" id="{D24F1CB4-CB7A-401D-9863-07977D44EA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2539"/>
          <a:ext cx="2380591" cy="4620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00000000-000A-0000-FFFF-FFFF00000000}">
  <cacheSource type="worksheet">
    <worksheetSource ref="B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1000000}">
  <cacheSource type="worksheet">
    <worksheetSource ref="B5:P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75">
      <pivotArea field="21" type="button" dataOnly="0" labelOnly="1" outline="0" axis="axisPage" fieldPosition="0"/>
    </format>
    <format dxfId="74">
      <pivotArea type="all" dataOnly="0" outline="0" fieldPosition="0"/>
    </format>
    <format dxfId="73">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88">
      <pivotArea dataOnly="0" labelOnly="1" fieldPosition="0">
        <references count="2">
          <reference field="2" count="1" selected="0">
            <x v="1"/>
          </reference>
          <reference field="14" count="1">
            <x v="10"/>
          </reference>
        </references>
      </pivotArea>
    </format>
    <format dxfId="87">
      <pivotArea dataOnly="0" labelOnly="1" fieldPosition="0">
        <references count="2">
          <reference field="2" count="1" selected="0">
            <x v="0"/>
          </reference>
          <reference field="14" count="1">
            <x v="10"/>
          </reference>
        </references>
      </pivotArea>
    </format>
    <format dxfId="86">
      <pivotArea dataOnly="0" labelOnly="1" fieldPosition="0">
        <references count="1">
          <reference field="2" count="1">
            <x v="1"/>
          </reference>
        </references>
      </pivotArea>
    </format>
    <format dxfId="85">
      <pivotArea dataOnly="0" labelOnly="1" fieldPosition="0">
        <references count="2">
          <reference field="2" count="1" selected="0">
            <x v="0"/>
          </reference>
          <reference field="14" count="5">
            <x v="6"/>
            <x v="13"/>
            <x v="15"/>
            <x v="16"/>
            <x v="18"/>
          </reference>
        </references>
      </pivotArea>
    </format>
    <format dxfId="84">
      <pivotArea dataOnly="0" labelOnly="1" fieldPosition="0">
        <references count="2">
          <reference field="2" count="1" selected="0">
            <x v="1"/>
          </reference>
          <reference field="14" count="7">
            <x v="0"/>
            <x v="5"/>
            <x v="6"/>
            <x v="13"/>
            <x v="15"/>
            <x v="16"/>
            <x v="17"/>
          </reference>
        </references>
      </pivotArea>
    </format>
    <format dxfId="83">
      <pivotArea collapsedLevelsAreSubtotals="1" fieldPosition="0">
        <references count="2">
          <reference field="2" count="1" selected="0">
            <x v="0"/>
          </reference>
          <reference field="14" count="1">
            <x v="16"/>
          </reference>
        </references>
      </pivotArea>
    </format>
    <format dxfId="82">
      <pivotArea dataOnly="0" labelOnly="1" fieldPosition="0">
        <references count="2">
          <reference field="2" count="1" selected="0">
            <x v="0"/>
          </reference>
          <reference field="14" count="1">
            <x v="16"/>
          </reference>
        </references>
      </pivotArea>
    </format>
    <format dxfId="81">
      <pivotArea collapsedLevelsAreSubtotals="1" fieldPosition="0">
        <references count="2">
          <reference field="2" count="1" selected="0">
            <x v="1"/>
          </reference>
          <reference field="14" count="1">
            <x v="5"/>
          </reference>
        </references>
      </pivotArea>
    </format>
    <format dxfId="80">
      <pivotArea dataOnly="0" labelOnly="1" fieldPosition="0">
        <references count="2">
          <reference field="2" count="1" selected="0">
            <x v="1"/>
          </reference>
          <reference field="14" count="1">
            <x v="5"/>
          </reference>
        </references>
      </pivotArea>
    </format>
    <format dxfId="79">
      <pivotArea collapsedLevelsAreSubtotals="1" fieldPosition="0">
        <references count="2">
          <reference field="2" count="1" selected="0">
            <x v="1"/>
          </reference>
          <reference field="14" count="2">
            <x v="16"/>
            <x v="17"/>
          </reference>
        </references>
      </pivotArea>
    </format>
    <format dxfId="78">
      <pivotArea dataOnly="0" labelOnly="1" fieldPosition="0">
        <references count="2">
          <reference field="2" count="1" selected="0">
            <x v="1"/>
          </reference>
          <reference field="14" count="2">
            <x v="16"/>
            <x v="17"/>
          </reference>
        </references>
      </pivotArea>
    </format>
    <format dxfId="77">
      <pivotArea collapsedLevelsAreSubtotals="1" fieldPosition="0">
        <references count="2">
          <reference field="2" count="1" selected="0">
            <x v="1"/>
          </reference>
          <reference field="14" count="1">
            <x v="5"/>
          </reference>
        </references>
      </pivotArea>
    </format>
    <format dxfId="76">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98">
      <pivotArea outline="0" collapsedLevelsAreSubtotals="1" fieldPosition="0">
        <references count="2">
          <reference field="4294967294" count="1" selected="0">
            <x v="1"/>
          </reference>
          <reference field="2" count="1" selected="0">
            <x v="1"/>
          </reference>
        </references>
      </pivotArea>
    </format>
    <format dxfId="97">
      <pivotArea outline="0" collapsedLevelsAreSubtotals="1" fieldPosition="0">
        <references count="2">
          <reference field="4294967294" count="1" selected="0">
            <x v="1"/>
          </reference>
          <reference field="2" count="1" selected="0">
            <x v="0"/>
          </reference>
        </references>
      </pivotArea>
    </format>
    <format dxfId="96">
      <pivotArea field="2" grandCol="1" outline="0" collapsedLevelsAreSubtotals="1" axis="axisCol" fieldPosition="0">
        <references count="1">
          <reference field="4294967294" count="1" selected="0">
            <x v="1"/>
          </reference>
        </references>
      </pivotArea>
    </format>
    <format dxfId="95">
      <pivotArea type="all" dataOnly="0" outline="0" fieldPosition="0"/>
    </format>
    <format dxfId="94">
      <pivotArea outline="0" collapsedLevelsAreSubtotals="1" fieldPosition="0"/>
    </format>
    <format dxfId="93">
      <pivotArea dataOnly="0" labelOnly="1" outline="0" fieldPosition="0">
        <references count="2">
          <reference field="4294967294" count="2">
            <x v="0"/>
            <x v="1"/>
          </reference>
          <reference field="2" count="1" selected="0">
            <x v="0"/>
          </reference>
        </references>
      </pivotArea>
    </format>
    <format dxfId="92">
      <pivotArea dataOnly="0" labelOnly="1" outline="0" fieldPosition="0">
        <references count="2">
          <reference field="4294967294" count="2">
            <x v="0"/>
            <x v="1"/>
          </reference>
          <reference field="2" count="1" selected="0">
            <x v="1"/>
          </reference>
        </references>
      </pivotArea>
    </format>
    <format dxfId="91">
      <pivotArea dataOnly="0" labelOnly="1" fieldPosition="0">
        <references count="1">
          <reference field="2" count="0"/>
        </references>
      </pivotArea>
    </format>
    <format dxfId="90">
      <pivotArea field="2" dataOnly="0" labelOnly="1" grandCol="1" outline="0" axis="axisCol" fieldPosition="0">
        <references count="1">
          <reference field="4294967294" count="1" selected="0">
            <x v="0"/>
          </reference>
        </references>
      </pivotArea>
    </format>
    <format dxfId="89">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A6" zoomScaleNormal="100" workbookViewId="0">
      <selection activeCell="A18" sqref="A18"/>
    </sheetView>
  </sheetViews>
  <sheetFormatPr defaultRowHeight="14.4" x14ac:dyDescent="0.3"/>
  <cols>
    <col min="1" max="1" width="3.33203125" customWidth="1"/>
    <col min="2" max="2" width="5.109375" customWidth="1"/>
    <col min="3" max="3" width="35.44140625" bestFit="1" customWidth="1"/>
    <col min="4" max="4" width="8" bestFit="1" customWidth="1"/>
    <col min="5" max="5" width="4" bestFit="1" customWidth="1"/>
    <col min="6" max="6" width="10.5546875" bestFit="1" customWidth="1"/>
    <col min="7" max="7" width="10.6640625" customWidth="1"/>
    <col min="8" max="8" width="8.5546875" bestFit="1" customWidth="1"/>
    <col min="9" max="9" width="15.5546875" bestFit="1" customWidth="1"/>
    <col min="10" max="10" width="17.6640625" bestFit="1" customWidth="1"/>
    <col min="11" max="11" width="8.44140625" customWidth="1"/>
    <col min="12" max="12" width="10.33203125" customWidth="1"/>
    <col min="13" max="13" width="4.5546875" bestFit="1" customWidth="1"/>
    <col min="14" max="14" width="11.33203125" customWidth="1"/>
    <col min="15" max="15" width="7.33203125" bestFit="1" customWidth="1"/>
    <col min="16" max="16" width="6.6640625" bestFit="1" customWidth="1"/>
    <col min="17" max="17" width="8.5546875" bestFit="1" customWidth="1"/>
    <col min="18" max="18" width="0" style="12" hidden="1" customWidth="1"/>
    <col min="21" max="21" width="55.6640625" bestFit="1" customWidth="1"/>
    <col min="22" max="22" width="21.6640625" bestFit="1" customWidth="1"/>
    <col min="23" max="24" width="4.33203125" bestFit="1" customWidth="1"/>
    <col min="25" max="25" width="10.5546875" bestFit="1" customWidth="1"/>
  </cols>
  <sheetData>
    <row r="1" spans="1:35" ht="15" customHeight="1" x14ac:dyDescent="0.3">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x14ac:dyDescent="0.3">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x14ac:dyDescent="0.3">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x14ac:dyDescent="0.3">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x14ac:dyDescent="0.3">
      <c r="U7" s="22" t="s">
        <v>0</v>
      </c>
      <c r="V7" t="s">
        <v>1</v>
      </c>
    </row>
    <row r="9" spans="1:35" x14ac:dyDescent="0.3">
      <c r="U9" s="22" t="s">
        <v>2</v>
      </c>
      <c r="V9" t="s">
        <v>3</v>
      </c>
    </row>
    <row r="10" spans="1:35" x14ac:dyDescent="0.3">
      <c r="C10" s="75" t="s">
        <v>4</v>
      </c>
      <c r="D10" s="77" t="s">
        <v>5</v>
      </c>
      <c r="I10" s="64" t="s">
        <v>4</v>
      </c>
      <c r="J10" s="65" t="s">
        <v>5</v>
      </c>
      <c r="U10" s="7" t="s">
        <v>6</v>
      </c>
      <c r="V10">
        <v>119</v>
      </c>
    </row>
    <row r="11" spans="1:35" x14ac:dyDescent="0.3">
      <c r="R11" s="12" t="s">
        <v>7</v>
      </c>
      <c r="U11" s="12" t="s">
        <v>8</v>
      </c>
      <c r="V11">
        <v>16</v>
      </c>
    </row>
    <row r="12" spans="1:35" x14ac:dyDescent="0.3">
      <c r="C12" s="76" t="s">
        <v>9</v>
      </c>
      <c r="D12" s="67" t="s">
        <v>10</v>
      </c>
      <c r="E12" s="68"/>
      <c r="F12" s="69"/>
      <c r="I12" s="66"/>
      <c r="J12" s="67" t="s">
        <v>11</v>
      </c>
      <c r="K12" s="68"/>
      <c r="L12" s="68"/>
      <c r="M12" s="68"/>
      <c r="N12" s="68"/>
      <c r="O12" s="69"/>
      <c r="R12" s="12" t="s">
        <v>12</v>
      </c>
      <c r="U12" s="12" t="s">
        <v>13</v>
      </c>
      <c r="V12">
        <v>14</v>
      </c>
    </row>
    <row r="13" spans="1:35" x14ac:dyDescent="0.3">
      <c r="C13" s="72" t="s">
        <v>0</v>
      </c>
      <c r="D13" t="s">
        <v>6</v>
      </c>
      <c r="E13" t="s">
        <v>14</v>
      </c>
      <c r="F13" s="71" t="s">
        <v>15</v>
      </c>
      <c r="I13" s="70"/>
      <c r="J13" s="43" t="s">
        <v>6</v>
      </c>
      <c r="K13" s="43"/>
      <c r="L13" s="43" t="s">
        <v>14</v>
      </c>
      <c r="M13" s="43"/>
      <c r="N13" s="43" t="s">
        <v>16</v>
      </c>
      <c r="O13" s="83" t="s">
        <v>17</v>
      </c>
      <c r="R13" s="12" t="s">
        <v>18</v>
      </c>
      <c r="U13" s="12" t="s">
        <v>19</v>
      </c>
      <c r="V13">
        <v>9</v>
      </c>
    </row>
    <row r="14" spans="1:35" x14ac:dyDescent="0.3">
      <c r="C14" s="73" t="s">
        <v>20</v>
      </c>
      <c r="D14">
        <v>9</v>
      </c>
      <c r="E14">
        <v>1</v>
      </c>
      <c r="F14" s="71">
        <v>10</v>
      </c>
      <c r="I14" s="72" t="s">
        <v>21</v>
      </c>
      <c r="J14" s="43" t="s">
        <v>22</v>
      </c>
      <c r="K14" s="43" t="s">
        <v>23</v>
      </c>
      <c r="L14" s="43" t="s">
        <v>22</v>
      </c>
      <c r="M14" s="43" t="s">
        <v>23</v>
      </c>
      <c r="N14" s="43"/>
      <c r="O14" s="83"/>
      <c r="U14" s="23" t="s">
        <v>24</v>
      </c>
      <c r="V14" s="11">
        <v>5</v>
      </c>
    </row>
    <row r="15" spans="1:35" x14ac:dyDescent="0.3">
      <c r="C15" s="73" t="s">
        <v>25</v>
      </c>
      <c r="D15">
        <v>3</v>
      </c>
      <c r="E15">
        <v>14</v>
      </c>
      <c r="F15" s="71">
        <v>17</v>
      </c>
      <c r="I15" s="73" t="s">
        <v>26</v>
      </c>
      <c r="J15" s="43">
        <v>69</v>
      </c>
      <c r="K15" s="78">
        <v>0.26436781609195403</v>
      </c>
      <c r="L15" s="43">
        <v>96</v>
      </c>
      <c r="M15" s="78">
        <v>0.36781609195402298</v>
      </c>
      <c r="N15" s="43">
        <v>165</v>
      </c>
      <c r="O15" s="79">
        <v>0.63218390804597702</v>
      </c>
      <c r="U15" s="12" t="s">
        <v>27</v>
      </c>
      <c r="V15">
        <v>10</v>
      </c>
    </row>
    <row r="16" spans="1:35" x14ac:dyDescent="0.3">
      <c r="C16" s="73" t="s">
        <v>28</v>
      </c>
      <c r="E16">
        <v>2</v>
      </c>
      <c r="F16" s="71">
        <v>2</v>
      </c>
      <c r="I16" s="73" t="s">
        <v>29</v>
      </c>
      <c r="J16" s="43">
        <v>30</v>
      </c>
      <c r="K16" s="78">
        <v>0.11494252873563218</v>
      </c>
      <c r="L16" s="43">
        <v>40</v>
      </c>
      <c r="M16" s="78">
        <v>0.1532567049808429</v>
      </c>
      <c r="N16" s="43">
        <v>70</v>
      </c>
      <c r="O16" s="79">
        <v>0.26819923371647508</v>
      </c>
      <c r="U16" s="12" t="s">
        <v>30</v>
      </c>
      <c r="V16">
        <v>65</v>
      </c>
    </row>
    <row r="17" spans="3:22" x14ac:dyDescent="0.3">
      <c r="C17" s="73" t="s">
        <v>31</v>
      </c>
      <c r="D17">
        <v>1</v>
      </c>
      <c r="F17" s="71">
        <v>1</v>
      </c>
      <c r="I17" s="73" t="s">
        <v>32</v>
      </c>
      <c r="J17" s="43">
        <v>3</v>
      </c>
      <c r="K17" s="78">
        <v>1.1494252873563218E-2</v>
      </c>
      <c r="L17" s="43">
        <v>23</v>
      </c>
      <c r="M17" s="78">
        <v>8.8122605363984668E-2</v>
      </c>
      <c r="N17" s="43">
        <v>26</v>
      </c>
      <c r="O17" s="79">
        <v>9.9616858237547887E-2</v>
      </c>
      <c r="U17" s="7" t="s">
        <v>14</v>
      </c>
      <c r="V17">
        <v>227</v>
      </c>
    </row>
    <row r="18" spans="3:22" x14ac:dyDescent="0.3">
      <c r="C18" s="73" t="s">
        <v>33</v>
      </c>
      <c r="D18">
        <v>4</v>
      </c>
      <c r="E18">
        <v>18</v>
      </c>
      <c r="F18" s="71">
        <v>22</v>
      </c>
      <c r="I18" s="74" t="s">
        <v>15</v>
      </c>
      <c r="J18" s="80">
        <v>102</v>
      </c>
      <c r="K18" s="81">
        <v>0.39080459770114945</v>
      </c>
      <c r="L18" s="80">
        <v>159</v>
      </c>
      <c r="M18" s="81">
        <v>0.60919540229885061</v>
      </c>
      <c r="N18" s="80">
        <v>261</v>
      </c>
      <c r="O18" s="82">
        <v>1</v>
      </c>
      <c r="U18" s="23" t="s">
        <v>34</v>
      </c>
      <c r="V18" s="11">
        <v>8</v>
      </c>
    </row>
    <row r="19" spans="3:22" x14ac:dyDescent="0.3">
      <c r="C19" s="73" t="s">
        <v>35</v>
      </c>
      <c r="E19">
        <v>3</v>
      </c>
      <c r="F19" s="71">
        <v>3</v>
      </c>
      <c r="U19" s="12" t="s">
        <v>8</v>
      </c>
      <c r="V19">
        <v>41</v>
      </c>
    </row>
    <row r="20" spans="3:22" x14ac:dyDescent="0.3">
      <c r="C20" s="73" t="s">
        <v>36</v>
      </c>
      <c r="D20">
        <v>16</v>
      </c>
      <c r="E20">
        <v>26</v>
      </c>
      <c r="F20" s="71">
        <v>42</v>
      </c>
      <c r="U20" s="12" t="s">
        <v>13</v>
      </c>
      <c r="V20">
        <v>37</v>
      </c>
    </row>
    <row r="21" spans="3:22" x14ac:dyDescent="0.3">
      <c r="C21" s="73" t="s">
        <v>37</v>
      </c>
      <c r="D21">
        <v>6</v>
      </c>
      <c r="E21">
        <v>1</v>
      </c>
      <c r="F21" s="71">
        <v>7</v>
      </c>
      <c r="U21" s="12" t="s">
        <v>19</v>
      </c>
      <c r="V21">
        <v>6</v>
      </c>
    </row>
    <row r="22" spans="3:22" x14ac:dyDescent="0.3">
      <c r="C22" s="73" t="s">
        <v>38</v>
      </c>
      <c r="D22">
        <v>63</v>
      </c>
      <c r="E22">
        <v>94</v>
      </c>
      <c r="F22" s="71">
        <v>157</v>
      </c>
      <c r="U22" s="23" t="s">
        <v>24</v>
      </c>
      <c r="V22" s="11">
        <v>21</v>
      </c>
    </row>
    <row r="23" spans="3:22" x14ac:dyDescent="0.3">
      <c r="C23" s="74" t="s">
        <v>15</v>
      </c>
      <c r="D23" s="84">
        <v>102</v>
      </c>
      <c r="E23" s="84">
        <v>159</v>
      </c>
      <c r="F23" s="85">
        <v>261</v>
      </c>
      <c r="U23" s="23" t="s">
        <v>39</v>
      </c>
      <c r="V23" s="11">
        <v>24</v>
      </c>
    </row>
    <row r="24" spans="3:22" x14ac:dyDescent="0.3">
      <c r="U24" s="12" t="s">
        <v>27</v>
      </c>
      <c r="V24">
        <v>2</v>
      </c>
    </row>
    <row r="25" spans="3:22" x14ac:dyDescent="0.3">
      <c r="U25" s="12" t="s">
        <v>30</v>
      </c>
      <c r="V25">
        <v>88</v>
      </c>
    </row>
    <row r="26" spans="3:22" x14ac:dyDescent="0.3">
      <c r="U26" s="7" t="s">
        <v>15</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20.10937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COUNTIF(Detalhe!$K:$K,J27)</f>
        <v>50</v>
      </c>
      <c r="K28" s="36">
        <f>COUNTIF(Detalhe!$K:$K,K27)</f>
        <v>41</v>
      </c>
      <c r="L28" s="36">
        <f>COUNTIF(Detalhe!$K:$K,L27)</f>
        <v>8</v>
      </c>
      <c r="M28" s="36">
        <f>COUNTIF(Detalhe!$K:$K,M27)</f>
        <v>1</v>
      </c>
      <c r="N28" s="36">
        <f>COUNTIF(Detalhe!$K:$K,N27)</f>
        <v>0</v>
      </c>
      <c r="O28" s="36">
        <f>COUNTIF(Detalhe!$K:$K,O27)</f>
        <v>32</v>
      </c>
      <c r="P28" s="36">
        <f>COUNTIF(Detalhe!$K:$K,P27)</f>
        <v>9</v>
      </c>
      <c r="Q28" s="36">
        <f>COUNTIF(Detalhe!$K:$K,Q27)</f>
        <v>10</v>
      </c>
      <c r="R28" s="36">
        <f>COUNTIF(Detalhe!$K:$K,R27)</f>
        <v>57</v>
      </c>
      <c r="S28" s="36">
        <f>COUNTIF(Detalhe!$K:$K,S27)</f>
        <v>10</v>
      </c>
      <c r="T28" s="36">
        <f>COUNTIF(Detalhe!$K:$K,T27)</f>
        <v>161</v>
      </c>
      <c r="U28" s="46"/>
    </row>
    <row r="29" spans="2:21" x14ac:dyDescent="0.3">
      <c r="B29" s="35"/>
      <c r="C29" s="35"/>
      <c r="D29" s="35"/>
      <c r="E29" s="35"/>
      <c r="F29" s="35"/>
      <c r="H29" s="35"/>
      <c r="I29" s="40" t="s">
        <v>57</v>
      </c>
      <c r="J29" s="37">
        <f>COUNTIF(Detalhe!$E:$E,J27)</f>
        <v>50</v>
      </c>
      <c r="K29" s="37">
        <f>COUNTIF(Detalhe!$E:$E,K27)</f>
        <v>42</v>
      </c>
      <c r="L29" s="37">
        <f>COUNTIF(Detalhe!$E:$E,L27)</f>
        <v>17</v>
      </c>
      <c r="M29" s="37">
        <f>COUNTIF(Detalhe!$E:$E,M27)</f>
        <v>4</v>
      </c>
      <c r="N29" s="37">
        <f>COUNTIF(Detalhe!$E:$E,N27)</f>
        <v>0</v>
      </c>
      <c r="O29" s="37">
        <f>COUNTIF(Detalhe!$E:$E,O27)</f>
        <v>21</v>
      </c>
      <c r="P29" s="37">
        <f>COUNTIF(Detalhe!$E:$E,P27)</f>
        <v>17</v>
      </c>
      <c r="Q29" s="37">
        <f>COUNTIF(Detalhe!$E:$E,Q27)</f>
        <v>10</v>
      </c>
      <c r="R29" s="37">
        <f>COUNTIF(Detalhe!$E:$E,R27)</f>
        <v>57</v>
      </c>
      <c r="S29" s="37">
        <f>COUNTIF(Detalhe!$E:$E,S27)</f>
        <v>10</v>
      </c>
      <c r="T29" s="37">
        <f>COUNTIF(Detalhe!$E:$E,T27)</f>
        <v>151</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0</v>
      </c>
      <c r="K31" s="36">
        <f t="shared" si="0"/>
        <v>-1</v>
      </c>
      <c r="L31" s="36">
        <f t="shared" si="0"/>
        <v>-9</v>
      </c>
      <c r="M31" s="36">
        <f t="shared" si="0"/>
        <v>-3</v>
      </c>
      <c r="N31" s="36">
        <f>N28-N29</f>
        <v>0</v>
      </c>
      <c r="O31" s="36">
        <f t="shared" si="0"/>
        <v>11</v>
      </c>
      <c r="P31" s="36">
        <f t="shared" si="0"/>
        <v>-8</v>
      </c>
      <c r="Q31" s="36">
        <f t="shared" ref="Q31" si="1">Q28-Q29</f>
        <v>0</v>
      </c>
      <c r="R31" s="36">
        <f t="shared" si="0"/>
        <v>0</v>
      </c>
      <c r="S31" s="36">
        <f t="shared" si="0"/>
        <v>0</v>
      </c>
      <c r="T31" s="36">
        <f t="shared" si="0"/>
        <v>10</v>
      </c>
      <c r="U31" s="47"/>
    </row>
    <row r="32" spans="2:21" x14ac:dyDescent="0.3">
      <c r="B32" s="35"/>
      <c r="C32" s="35"/>
      <c r="D32" s="35"/>
      <c r="E32" s="35"/>
      <c r="F32" s="35"/>
      <c r="H32" s="35"/>
      <c r="I32" s="35"/>
      <c r="J32" s="35"/>
      <c r="K32" s="35"/>
      <c r="L32" s="35"/>
      <c r="M32" s="35"/>
      <c r="N32" s="35"/>
      <c r="O32" s="35"/>
      <c r="P32" s="35"/>
      <c r="Q32" s="35"/>
      <c r="R32" s="35"/>
      <c r="S32" s="35"/>
      <c r="T32" s="35"/>
      <c r="U32" s="35"/>
    </row>
    <row r="33" spans="1:13" x14ac:dyDescent="0.3"/>
    <row r="34" spans="1:13" x14ac:dyDescent="0.3">
      <c r="J34" t="s">
        <v>60</v>
      </c>
    </row>
    <row r="35" spans="1:13" hidden="1" x14ac:dyDescent="0.3">
      <c r="C35" s="15">
        <v>45555</v>
      </c>
    </row>
    <row r="36" spans="1:13" s="1" customFormat="1" ht="14.4" hidden="1" customHeight="1" x14ac:dyDescent="0.3">
      <c r="A36"/>
      <c r="B36" s="20" t="s">
        <v>61</v>
      </c>
      <c r="C36" s="20"/>
      <c r="D36" s="20" t="s">
        <v>62</v>
      </c>
      <c r="E36" s="48"/>
      <c r="F36" s="48"/>
      <c r="G36" s="48"/>
      <c r="H36" s="48"/>
      <c r="I36" s="20" t="s">
        <v>63</v>
      </c>
      <c r="J36" s="48"/>
      <c r="K36" s="48"/>
      <c r="L36" s="48"/>
      <c r="M36" s="48"/>
    </row>
    <row r="37" spans="1:13" ht="14.4" hidden="1" customHeight="1" x14ac:dyDescent="0.3">
      <c r="B37" s="206" t="s">
        <v>43</v>
      </c>
      <c r="C37" s="206"/>
      <c r="D37" s="49" t="s">
        <v>64</v>
      </c>
      <c r="E37" s="49"/>
      <c r="F37" s="49"/>
      <c r="G37" s="49"/>
      <c r="H37" s="49"/>
      <c r="I37" s="207" t="s">
        <v>65</v>
      </c>
      <c r="J37" s="207"/>
      <c r="K37" s="207"/>
      <c r="L37" s="207"/>
      <c r="M37" s="207"/>
    </row>
    <row r="38" spans="1:13" ht="14.4" hidden="1" customHeight="1" x14ac:dyDescent="0.3">
      <c r="B38" s="206" t="s">
        <v>41</v>
      </c>
      <c r="C38" s="206"/>
      <c r="D38" t="s">
        <v>66</v>
      </c>
      <c r="I38" s="207" t="s">
        <v>65</v>
      </c>
      <c r="J38" s="207"/>
      <c r="K38" s="207"/>
      <c r="L38" s="207"/>
      <c r="M38" s="207"/>
    </row>
    <row r="39" spans="1:13" ht="14.4" hidden="1" customHeight="1" x14ac:dyDescent="0.3">
      <c r="B39" s="206" t="s">
        <v>67</v>
      </c>
      <c r="C39" s="206"/>
      <c r="D39" t="s">
        <v>68</v>
      </c>
      <c r="E39" s="29"/>
      <c r="F39" s="29"/>
      <c r="G39" s="29"/>
      <c r="H39" s="29"/>
      <c r="I39" t="s">
        <v>69</v>
      </c>
    </row>
    <row r="40" spans="1:13" ht="14.4" hidden="1" customHeight="1" x14ac:dyDescent="0.3">
      <c r="B40" s="206" t="s">
        <v>67</v>
      </c>
      <c r="C40" s="206"/>
      <c r="D40" t="s">
        <v>70</v>
      </c>
      <c r="I40" t="s">
        <v>71</v>
      </c>
    </row>
    <row r="41" spans="1:13" ht="14.4" hidden="1" customHeight="1" x14ac:dyDescent="0.3">
      <c r="B41" s="206" t="s">
        <v>72</v>
      </c>
      <c r="C41" s="206"/>
      <c r="D41" t="s">
        <v>73</v>
      </c>
      <c r="I41" s="29" t="s">
        <v>74</v>
      </c>
    </row>
    <row r="42" spans="1:13" ht="14.4" hidden="1" customHeight="1" x14ac:dyDescent="0.3">
      <c r="B42" s="206" t="s">
        <v>75</v>
      </c>
      <c r="C42" s="206"/>
      <c r="D42" t="s">
        <v>76</v>
      </c>
      <c r="I42" t="s">
        <v>77</v>
      </c>
    </row>
    <row r="43" spans="1:13" ht="14.4" hidden="1" customHeight="1" x14ac:dyDescent="0.3">
      <c r="B43" s="206" t="s">
        <v>78</v>
      </c>
      <c r="C43" s="206"/>
      <c r="D43" t="s">
        <v>79</v>
      </c>
    </row>
    <row r="44" spans="1:13" ht="14.4" hidden="1" customHeight="1" x14ac:dyDescent="0.3">
      <c r="B44" s="206" t="s">
        <v>78</v>
      </c>
      <c r="C44" s="206"/>
      <c r="D44" t="s">
        <v>80</v>
      </c>
    </row>
    <row r="45" spans="1:13" ht="14.4" hidden="1" customHeight="1" x14ac:dyDescent="0.3">
      <c r="B45" s="206" t="s">
        <v>78</v>
      </c>
      <c r="C45" s="206"/>
      <c r="D45" t="s">
        <v>81</v>
      </c>
    </row>
    <row r="46" spans="1:13" ht="14.4" hidden="1" customHeight="1" x14ac:dyDescent="0.3">
      <c r="B46" s="206" t="s">
        <v>78</v>
      </c>
      <c r="C46" s="206"/>
      <c r="D46" t="s">
        <v>82</v>
      </c>
    </row>
    <row r="47" spans="1:13" ht="14.4" hidden="1" customHeight="1" x14ac:dyDescent="0.3">
      <c r="B47" s="206" t="s">
        <v>78</v>
      </c>
      <c r="C47" s="206"/>
      <c r="D47" t="s">
        <v>83</v>
      </c>
    </row>
    <row r="48" spans="1:13" ht="14.4" hidden="1" customHeight="1" x14ac:dyDescent="0.3">
      <c r="B48" s="206"/>
      <c r="C48" s="206"/>
    </row>
    <row r="49" spans="2:10" ht="14.4" customHeight="1" x14ac:dyDescent="0.3">
      <c r="B49" s="206"/>
      <c r="C49" s="206"/>
      <c r="J49" t="s">
        <v>84</v>
      </c>
    </row>
    <row r="50" spans="2:10" ht="14.4" customHeight="1" x14ac:dyDescent="0.3">
      <c r="B50" s="206"/>
      <c r="C50" s="206"/>
      <c r="J50" t="s">
        <v>85</v>
      </c>
    </row>
    <row r="51" spans="2:10" ht="14.4" customHeight="1" x14ac:dyDescent="0.3">
      <c r="B51" s="206"/>
      <c r="C51" s="206"/>
      <c r="J51" t="s">
        <v>86</v>
      </c>
    </row>
    <row r="52" spans="2:10" ht="14.4" customHeight="1" x14ac:dyDescent="0.3">
      <c r="B52" s="206"/>
      <c r="C52" s="206"/>
      <c r="J52" t="s">
        <v>87</v>
      </c>
    </row>
    <row r="53" spans="2:10" ht="14.4" customHeight="1" x14ac:dyDescent="0.3">
      <c r="B53" s="206"/>
      <c r="C53" s="206"/>
      <c r="J53" t="s">
        <v>88</v>
      </c>
    </row>
    <row r="54" spans="2:10" ht="14.4" customHeight="1" x14ac:dyDescent="0.3">
      <c r="J54" t="s">
        <v>89</v>
      </c>
    </row>
  </sheetData>
  <mergeCells count="19">
    <mergeCell ref="B51:C51"/>
    <mergeCell ref="B52:C52"/>
    <mergeCell ref="B53:C53"/>
    <mergeCell ref="B44:C44"/>
    <mergeCell ref="B45:C45"/>
    <mergeCell ref="B46:C46"/>
    <mergeCell ref="B47:C47"/>
    <mergeCell ref="B48:C48"/>
    <mergeCell ref="B49:C49"/>
    <mergeCell ref="B43:C43"/>
    <mergeCell ref="B39:C39"/>
    <mergeCell ref="B40:C40"/>
    <mergeCell ref="B41:C41"/>
    <mergeCell ref="B50:C50"/>
    <mergeCell ref="B37:C37"/>
    <mergeCell ref="B38:C38"/>
    <mergeCell ref="I37:M37"/>
    <mergeCell ref="I38:M38"/>
    <mergeCell ref="B42:C4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14"/>
  <sheetViews>
    <sheetView workbookViewId="0">
      <selection activeCell="C2" sqref="C2"/>
    </sheetView>
  </sheetViews>
  <sheetFormatPr defaultRowHeight="14.4" x14ac:dyDescent="0.3"/>
  <cols>
    <col min="2" max="2" width="29" bestFit="1" customWidth="1"/>
    <col min="3" max="3" width="11.109375" bestFit="1" customWidth="1"/>
    <col min="5" max="5" width="10.44140625" bestFit="1" customWidth="1"/>
    <col min="6" max="6" width="13.6640625" customWidth="1"/>
    <col min="7" max="7" width="10.109375" bestFit="1" customWidth="1"/>
    <col min="8" max="8" width="13.33203125" bestFit="1" customWidth="1"/>
  </cols>
  <sheetData>
    <row r="2" spans="2:7" x14ac:dyDescent="0.3">
      <c r="B2" t="s">
        <v>90</v>
      </c>
      <c r="C2" t="s">
        <v>91</v>
      </c>
      <c r="E2" t="s">
        <v>0</v>
      </c>
      <c r="F2" t="s">
        <v>92</v>
      </c>
      <c r="G2" t="s">
        <v>59</v>
      </c>
    </row>
    <row r="3" spans="2:7" x14ac:dyDescent="0.3">
      <c r="B3" t="s">
        <v>20</v>
      </c>
      <c r="C3">
        <f>COUNTIFS(Detalhe!E:E,B3,Detalhe!W:W,"PM")</f>
        <v>10</v>
      </c>
      <c r="D3" s="6">
        <f t="shared" ref="D3:D13" si="0">C3/$C$14</f>
        <v>3.8314176245210725E-2</v>
      </c>
      <c r="E3">
        <f>COUNTIFS(Detalhe!K:K,B3,Detalhe!W:W,"PM")</f>
        <v>10</v>
      </c>
      <c r="F3" s="6">
        <f t="shared" ref="F3:F13" si="1">E3/$E$14</f>
        <v>3.8314176245210725E-2</v>
      </c>
      <c r="G3">
        <f t="shared" ref="G3:G13" si="2">E3-C3</f>
        <v>0</v>
      </c>
    </row>
    <row r="4" spans="2:7" x14ac:dyDescent="0.3">
      <c r="B4" t="s">
        <v>25</v>
      </c>
      <c r="C4">
        <f>COUNTIFS(Detalhe!E:E,B4,Detalhe!W:W,"PM")</f>
        <v>18</v>
      </c>
      <c r="D4" s="6">
        <f t="shared" si="0"/>
        <v>6.8965517241379309E-2</v>
      </c>
      <c r="E4">
        <f>COUNTIFS(Detalhe!K:K,B4,Detalhe!W:W,"PM")</f>
        <v>17</v>
      </c>
      <c r="F4" s="6">
        <f t="shared" si="1"/>
        <v>6.5134099616858232E-2</v>
      </c>
      <c r="G4">
        <f t="shared" si="2"/>
        <v>-1</v>
      </c>
    </row>
    <row r="5" spans="2:7" x14ac:dyDescent="0.3">
      <c r="B5" t="s">
        <v>28</v>
      </c>
      <c r="C5">
        <f>COUNTIFS(Detalhe!E:E,B5,Detalhe!W:W,"PM")</f>
        <v>11</v>
      </c>
      <c r="D5" s="6">
        <f t="shared" si="0"/>
        <v>4.2145593869731802E-2</v>
      </c>
      <c r="E5">
        <f>COUNTIFS(Detalhe!K:K,B5,Detalhe!W:W,"PM")</f>
        <v>2</v>
      </c>
      <c r="F5" s="6">
        <f t="shared" si="1"/>
        <v>7.6628352490421452E-3</v>
      </c>
      <c r="G5">
        <f t="shared" si="2"/>
        <v>-9</v>
      </c>
    </row>
    <row r="6" spans="2:7" x14ac:dyDescent="0.3">
      <c r="B6" t="s">
        <v>31</v>
      </c>
      <c r="C6">
        <f>COUNTIFS(Detalhe!E:E,B6,Detalhe!W:W,"PM")</f>
        <v>4</v>
      </c>
      <c r="D6" s="6">
        <f t="shared" si="0"/>
        <v>1.532567049808429E-2</v>
      </c>
      <c r="E6">
        <f>COUNTIFS(Detalhe!K:K,B6,Detalhe!W:W,"PM")</f>
        <v>1</v>
      </c>
      <c r="F6" s="6">
        <f t="shared" si="1"/>
        <v>3.8314176245210726E-3</v>
      </c>
      <c r="G6">
        <f t="shared" si="2"/>
        <v>-3</v>
      </c>
    </row>
    <row r="7" spans="2:7" x14ac:dyDescent="0.3">
      <c r="B7" t="s">
        <v>55</v>
      </c>
      <c r="C7">
        <f>COUNTIFS(Detalhe!E:E,B7,Detalhe!W:W,"PM")</f>
        <v>0</v>
      </c>
      <c r="D7" s="6">
        <f t="shared" si="0"/>
        <v>0</v>
      </c>
      <c r="E7">
        <f>COUNTIFS(Detalhe!K:K,B7,Detalhe!W:W,"PM")</f>
        <v>0</v>
      </c>
      <c r="F7" s="6">
        <f t="shared" si="1"/>
        <v>0</v>
      </c>
      <c r="G7">
        <f t="shared" si="2"/>
        <v>0</v>
      </c>
    </row>
    <row r="8" spans="2:7" x14ac:dyDescent="0.3">
      <c r="B8" t="s">
        <v>33</v>
      </c>
      <c r="C8">
        <f>COUNTIFS(Detalhe!E:E,B8,Detalhe!W:W,"PM")</f>
        <v>11</v>
      </c>
      <c r="D8" s="6">
        <f t="shared" si="0"/>
        <v>4.2145593869731802E-2</v>
      </c>
      <c r="E8">
        <f>COUNTIFS(Detalhe!K:K,B8,Detalhe!W:W,"PM")</f>
        <v>22</v>
      </c>
      <c r="F8" s="6">
        <f t="shared" si="1"/>
        <v>8.4291187739463605E-2</v>
      </c>
      <c r="G8">
        <f t="shared" si="2"/>
        <v>11</v>
      </c>
    </row>
    <row r="9" spans="2:7" x14ac:dyDescent="0.3">
      <c r="B9" t="s">
        <v>35</v>
      </c>
      <c r="C9">
        <f>COUNTIFS(Detalhe!E:E,B9,Detalhe!W:W,"PM")</f>
        <v>11</v>
      </c>
      <c r="D9" s="6">
        <f t="shared" si="0"/>
        <v>4.2145593869731802E-2</v>
      </c>
      <c r="E9">
        <f>COUNTIFS(Detalhe!K:K,B9,Detalhe!W:W,"PM")</f>
        <v>3</v>
      </c>
      <c r="F9" s="6">
        <f t="shared" si="1"/>
        <v>1.1494252873563218E-2</v>
      </c>
      <c r="G9">
        <f t="shared" si="2"/>
        <v>-8</v>
      </c>
    </row>
    <row r="10" spans="2:7" x14ac:dyDescent="0.3">
      <c r="B10" t="s">
        <v>56</v>
      </c>
      <c r="C10">
        <f>COUNTIFS(Detalhe!E:E,B10,Detalhe!W:W,"PM")</f>
        <v>0</v>
      </c>
      <c r="D10" s="6">
        <f t="shared" ref="D10" si="3">C10/$C$14</f>
        <v>0</v>
      </c>
      <c r="E10">
        <f>COUNTIFS(Detalhe!K:K,B10,Detalhe!W:W,"PM")</f>
        <v>0</v>
      </c>
      <c r="F10" s="6">
        <f t="shared" ref="F10" si="4">E10/$E$14</f>
        <v>0</v>
      </c>
      <c r="G10">
        <f t="shared" ref="G10" si="5">E10-C10</f>
        <v>0</v>
      </c>
    </row>
    <row r="11" spans="2:7" x14ac:dyDescent="0.3">
      <c r="B11" t="s">
        <v>36</v>
      </c>
      <c r="C11">
        <f>COUNTIFS(Detalhe!E:E,B11,Detalhe!W:W,"PM")</f>
        <v>42</v>
      </c>
      <c r="D11" s="6">
        <f t="shared" si="0"/>
        <v>0.16091954022988506</v>
      </c>
      <c r="E11">
        <f>COUNTIFS(Detalhe!K:K,B11,Detalhe!W:W,"PM")</f>
        <v>42</v>
      </c>
      <c r="F11" s="6">
        <f t="shared" si="1"/>
        <v>0.16091954022988506</v>
      </c>
      <c r="G11">
        <f t="shared" si="2"/>
        <v>0</v>
      </c>
    </row>
    <row r="12" spans="2:7" x14ac:dyDescent="0.3">
      <c r="B12" t="s">
        <v>37</v>
      </c>
      <c r="C12">
        <f>COUNTIFS(Detalhe!E:E,B12,Detalhe!W:W,"PM")</f>
        <v>7</v>
      </c>
      <c r="D12" s="6">
        <f t="shared" si="0"/>
        <v>2.681992337164751E-2</v>
      </c>
      <c r="E12">
        <f>COUNTIFS(Detalhe!K:K,B12,Detalhe!W:W,"PM")</f>
        <v>7</v>
      </c>
      <c r="F12" s="6">
        <f t="shared" si="1"/>
        <v>2.681992337164751E-2</v>
      </c>
      <c r="G12">
        <f t="shared" si="2"/>
        <v>0</v>
      </c>
    </row>
    <row r="13" spans="2:7" x14ac:dyDescent="0.3">
      <c r="B13" t="s">
        <v>38</v>
      </c>
      <c r="C13">
        <f>COUNTIFS(Detalhe!E:E,B13,Detalhe!W:W,"PM")</f>
        <v>147</v>
      </c>
      <c r="D13" s="6">
        <f t="shared" si="0"/>
        <v>0.56321839080459768</v>
      </c>
      <c r="E13">
        <f>COUNTIFS(Detalhe!K:K,B13,Detalhe!W:W,"PM")</f>
        <v>157</v>
      </c>
      <c r="F13" s="6">
        <f t="shared" si="1"/>
        <v>0.6015325670498084</v>
      </c>
      <c r="G13">
        <f t="shared" si="2"/>
        <v>10</v>
      </c>
    </row>
    <row r="14" spans="2:7" x14ac:dyDescent="0.3">
      <c r="C14">
        <f>SUM(C3:C13)</f>
        <v>261</v>
      </c>
      <c r="E14">
        <f>SUM(E3:E13)</f>
        <v>261</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8"/>
  <sheetViews>
    <sheetView showGridLines="0" topLeftCell="D1" zoomScale="71" zoomScaleNormal="104" workbookViewId="0">
      <selection activeCell="J393" sqref="J393"/>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36.664062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COUNTIFS(Detalhe!$K:$K,J27,Detalhe!$W:$W,"PM")</f>
        <v>10</v>
      </c>
      <c r="K28" s="36">
        <f>COUNTIFS(Detalhe!$K:$K,K27,Detalhe!$W:$W,"PM")</f>
        <v>17</v>
      </c>
      <c r="L28" s="36">
        <f>COUNTIFS(Detalhe!$K:$K,L27,Detalhe!$W:$W,"PM")</f>
        <v>2</v>
      </c>
      <c r="M28" s="36">
        <f>COUNTIFS(Detalhe!$K:$K,M27,Detalhe!$W:$W,"PM")</f>
        <v>1</v>
      </c>
      <c r="N28" s="36">
        <f>COUNTIFS(Detalhe!$K:$K,N27,Detalhe!$W:$W,"PM")</f>
        <v>0</v>
      </c>
      <c r="O28" s="36">
        <f>COUNTIFS(Detalhe!$K:$K,O27,Detalhe!$W:$W,"PM")</f>
        <v>22</v>
      </c>
      <c r="P28" s="36">
        <f>COUNTIFS(Detalhe!$K:$K,P27,Detalhe!$W:$W,"PM")</f>
        <v>3</v>
      </c>
      <c r="Q28" s="36">
        <f>COUNTIFS(Detalhe!$K:$K,Q27,Detalhe!$W:$W,"PM")</f>
        <v>0</v>
      </c>
      <c r="R28" s="36">
        <f>COUNTIFS(Detalhe!$K:$K,R27,Detalhe!$W:$W,"PM")</f>
        <v>42</v>
      </c>
      <c r="S28" s="36">
        <f>COUNTIFS(Detalhe!$K:$K,S27,Detalhe!$W:$W,"PM")</f>
        <v>7</v>
      </c>
      <c r="T28" s="36">
        <f>COUNTIFS(Detalhe!$K:$K,T27,Detalhe!$W:$W,"PM")</f>
        <v>157</v>
      </c>
      <c r="U28" s="46"/>
    </row>
    <row r="29" spans="2:21" x14ac:dyDescent="0.3">
      <c r="B29" s="35"/>
      <c r="C29" s="35"/>
      <c r="D29" s="35"/>
      <c r="E29" s="35"/>
      <c r="F29" s="35"/>
      <c r="H29" s="35"/>
      <c r="I29" s="40" t="s">
        <v>57</v>
      </c>
      <c r="J29" s="37">
        <f>COUNTIFS(Detalhe!$E:$E,J27,Detalhe!$W:$W,"PM")</f>
        <v>10</v>
      </c>
      <c r="K29" s="37">
        <f>COUNTIFS(Detalhe!$E:$E,K27,Detalhe!$W:$W,"PM")</f>
        <v>18</v>
      </c>
      <c r="L29" s="37">
        <f>COUNTIFS(Detalhe!$E:$E,L27,Detalhe!$W:$W,"PM")</f>
        <v>11</v>
      </c>
      <c r="M29" s="37">
        <f>COUNTIFS(Detalhe!$E:$E,M27,Detalhe!$W:$W,"PM")</f>
        <v>4</v>
      </c>
      <c r="N29" s="37">
        <f>COUNTIFS(Detalhe!$E:$E,N27,Detalhe!$W:$W,"PM")</f>
        <v>0</v>
      </c>
      <c r="O29" s="37">
        <f>COUNTIFS(Detalhe!$E:$E,O27,Detalhe!$W:$W,"PM")</f>
        <v>11</v>
      </c>
      <c r="P29" s="37">
        <f>COUNTIFS(Detalhe!$E:$E,P27,Detalhe!$W:$W,"PM")</f>
        <v>11</v>
      </c>
      <c r="Q29" s="37">
        <f>COUNTIFS(Detalhe!$E:$E,Q27,Detalhe!$W:$W,"PM")</f>
        <v>0</v>
      </c>
      <c r="R29" s="37">
        <f>COUNTIFS(Detalhe!$E:$E,R27,Detalhe!$W:$W,"PM")</f>
        <v>42</v>
      </c>
      <c r="S29" s="37">
        <f>COUNTIFS(Detalhe!$E:$E,S27,Detalhe!$W:$W,"PM")</f>
        <v>7</v>
      </c>
      <c r="T29" s="37">
        <f>COUNTIFS(Detalhe!$E:$E,T27,Detalhe!$W:$W,"PM")</f>
        <v>147</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0</v>
      </c>
      <c r="K31" s="36">
        <f t="shared" si="0"/>
        <v>-1</v>
      </c>
      <c r="L31" s="36">
        <f t="shared" si="0"/>
        <v>-9</v>
      </c>
      <c r="M31" s="36">
        <f t="shared" si="0"/>
        <v>-3</v>
      </c>
      <c r="N31" s="36">
        <f>N28-N29</f>
        <v>0</v>
      </c>
      <c r="O31" s="36">
        <f t="shared" si="0"/>
        <v>11</v>
      </c>
      <c r="P31" s="36">
        <f t="shared" si="0"/>
        <v>-8</v>
      </c>
      <c r="Q31" s="36">
        <f t="shared" si="0"/>
        <v>0</v>
      </c>
      <c r="R31" s="36">
        <f t="shared" si="0"/>
        <v>0</v>
      </c>
      <c r="S31" s="36">
        <f t="shared" si="0"/>
        <v>0</v>
      </c>
      <c r="T31" s="36">
        <f t="shared" si="0"/>
        <v>10</v>
      </c>
      <c r="U31" s="47"/>
    </row>
    <row r="32" spans="2:21" x14ac:dyDescent="0.3">
      <c r="B32" s="35"/>
      <c r="C32" s="35"/>
      <c r="D32" s="35"/>
      <c r="E32" s="35"/>
      <c r="F32" s="35"/>
      <c r="H32" s="35"/>
      <c r="I32" s="35"/>
      <c r="J32" s="35"/>
      <c r="K32" s="35"/>
      <c r="L32" s="35"/>
      <c r="M32" s="35"/>
      <c r="N32" s="35"/>
      <c r="O32" s="35"/>
      <c r="P32" s="35"/>
      <c r="Q32" s="35"/>
      <c r="R32" s="35"/>
      <c r="S32" s="35"/>
      <c r="T32" s="35"/>
      <c r="U32" s="35"/>
    </row>
    <row r="33" spans="2:21" x14ac:dyDescent="0.3"/>
    <row r="34" spans="2:21" x14ac:dyDescent="0.3">
      <c r="H34" s="35"/>
      <c r="I34" s="35"/>
      <c r="J34" s="35"/>
      <c r="K34" s="35"/>
      <c r="L34" s="35"/>
      <c r="M34" s="35"/>
      <c r="N34" s="35"/>
      <c r="O34" s="35"/>
      <c r="P34" s="35"/>
      <c r="Q34" s="35"/>
      <c r="R34" s="35"/>
      <c r="S34" s="35"/>
      <c r="T34" s="35"/>
      <c r="U34" s="35"/>
    </row>
    <row r="35" spans="2:21" ht="14.4" customHeight="1" x14ac:dyDescent="0.3">
      <c r="H35" s="35"/>
      <c r="I35" s="51" t="s">
        <v>93</v>
      </c>
      <c r="J35" s="35"/>
      <c r="K35" s="35"/>
      <c r="L35" s="35"/>
      <c r="M35" s="35"/>
      <c r="N35" s="35"/>
      <c r="O35" s="35"/>
      <c r="P35" s="35"/>
      <c r="Q35" s="35"/>
      <c r="R35" s="35"/>
      <c r="S35" s="35"/>
      <c r="T35" s="35"/>
      <c r="U35" s="35"/>
    </row>
    <row r="36" spans="2:21" ht="14.4" customHeight="1" x14ac:dyDescent="0.3">
      <c r="B36" s="206"/>
      <c r="C36" s="206"/>
      <c r="H36" s="35"/>
      <c r="I36" s="35"/>
      <c r="J36" s="35"/>
      <c r="K36" s="35"/>
      <c r="L36" s="35"/>
      <c r="M36" s="35"/>
      <c r="N36" s="35"/>
      <c r="O36" s="35"/>
      <c r="P36" s="35"/>
      <c r="Q36" s="35"/>
      <c r="R36" s="35"/>
      <c r="S36" s="35"/>
      <c r="T36" s="35"/>
      <c r="U36" s="35"/>
    </row>
    <row r="37" spans="2:21" ht="14.4" customHeight="1" x14ac:dyDescent="0.3">
      <c r="B37" s="206"/>
      <c r="C37" s="206"/>
      <c r="H37" s="35"/>
      <c r="I37" s="52" t="s">
        <v>20</v>
      </c>
      <c r="J37" s="58" t="s">
        <v>94</v>
      </c>
      <c r="K37" s="59"/>
      <c r="L37" s="59"/>
      <c r="M37" s="59"/>
      <c r="N37" s="59"/>
      <c r="O37" s="59"/>
      <c r="P37" s="59"/>
      <c r="Q37" s="59"/>
      <c r="R37" s="59"/>
      <c r="S37" s="59"/>
      <c r="T37" s="55"/>
      <c r="U37" s="35"/>
    </row>
    <row r="38" spans="2:21" ht="14.4" customHeight="1" x14ac:dyDescent="0.3">
      <c r="B38" s="206"/>
      <c r="C38" s="206"/>
      <c r="H38" s="35"/>
      <c r="I38" s="52" t="s">
        <v>25</v>
      </c>
      <c r="J38" s="54" t="s">
        <v>95</v>
      </c>
      <c r="K38" s="60"/>
      <c r="L38" s="60"/>
      <c r="M38" s="60"/>
      <c r="N38" s="60"/>
      <c r="O38" s="60"/>
      <c r="P38" s="60"/>
      <c r="Q38" s="60"/>
      <c r="R38" s="60"/>
      <c r="S38" s="60"/>
      <c r="T38" s="61"/>
      <c r="U38" s="35"/>
    </row>
    <row r="39" spans="2:21" ht="14.4" customHeight="1" x14ac:dyDescent="0.3">
      <c r="B39" s="206"/>
      <c r="C39" s="206"/>
      <c r="H39" s="35"/>
      <c r="I39" s="52" t="s">
        <v>28</v>
      </c>
      <c r="J39" s="54" t="s">
        <v>96</v>
      </c>
      <c r="K39" s="60"/>
      <c r="L39" s="60"/>
      <c r="M39" s="60"/>
      <c r="N39" s="60"/>
      <c r="O39" s="60"/>
      <c r="P39" s="60"/>
      <c r="Q39" s="60"/>
      <c r="R39" s="60"/>
      <c r="S39" s="60"/>
      <c r="T39" s="61"/>
      <c r="U39" s="35"/>
    </row>
    <row r="40" spans="2:21" ht="14.4" customHeight="1" x14ac:dyDescent="0.3">
      <c r="B40" s="206"/>
      <c r="C40" s="206"/>
      <c r="H40" s="35"/>
      <c r="I40" s="52" t="s">
        <v>31</v>
      </c>
      <c r="J40" s="54" t="s">
        <v>97</v>
      </c>
      <c r="K40" s="60"/>
      <c r="L40" s="60"/>
      <c r="M40" s="60"/>
      <c r="N40" s="60"/>
      <c r="O40" s="60"/>
      <c r="P40" s="60"/>
      <c r="Q40" s="60"/>
      <c r="R40" s="60"/>
      <c r="S40" s="60"/>
      <c r="T40" s="61"/>
      <c r="U40" s="35"/>
    </row>
    <row r="41" spans="2:21" ht="14.4" customHeight="1" x14ac:dyDescent="0.3">
      <c r="H41" s="35"/>
      <c r="I41" s="52" t="s">
        <v>55</v>
      </c>
      <c r="J41" s="54" t="s">
        <v>98</v>
      </c>
      <c r="K41" s="60"/>
      <c r="L41" s="60"/>
      <c r="M41" s="60"/>
      <c r="N41" s="60"/>
      <c r="O41" s="60"/>
      <c r="P41" s="60"/>
      <c r="Q41" s="60"/>
      <c r="R41" s="60"/>
      <c r="S41" s="60"/>
      <c r="T41" s="61"/>
      <c r="U41" s="35"/>
    </row>
    <row r="42" spans="2:21" ht="14.4" customHeight="1" x14ac:dyDescent="0.3">
      <c r="H42" s="35"/>
      <c r="I42" s="52" t="s">
        <v>33</v>
      </c>
      <c r="J42" s="63" t="s">
        <v>99</v>
      </c>
      <c r="K42" s="60"/>
      <c r="L42" s="60"/>
      <c r="M42" s="60"/>
      <c r="N42" s="60"/>
      <c r="O42" s="60"/>
      <c r="P42" s="60"/>
      <c r="Q42" s="60"/>
      <c r="R42" s="60"/>
      <c r="S42" s="60"/>
      <c r="T42" s="61"/>
      <c r="U42" s="35"/>
    </row>
    <row r="43" spans="2:21" ht="14.4" customHeight="1" x14ac:dyDescent="0.3">
      <c r="H43" s="35"/>
      <c r="I43" s="52" t="s">
        <v>35</v>
      </c>
      <c r="J43" s="63" t="s">
        <v>100</v>
      </c>
      <c r="K43" s="60"/>
      <c r="L43" s="60"/>
      <c r="M43" s="60"/>
      <c r="N43" s="60"/>
      <c r="O43" s="60"/>
      <c r="P43" s="60"/>
      <c r="Q43" s="60"/>
      <c r="R43" s="60"/>
      <c r="S43" s="60"/>
      <c r="T43" s="61"/>
      <c r="U43" s="35"/>
    </row>
    <row r="44" spans="2:21" ht="14.4" customHeight="1" x14ac:dyDescent="0.3">
      <c r="H44" s="35"/>
      <c r="I44" s="62" t="s">
        <v>56</v>
      </c>
      <c r="J44" s="54" t="s">
        <v>101</v>
      </c>
      <c r="K44" s="60"/>
      <c r="L44" s="60"/>
      <c r="M44" s="60"/>
      <c r="N44" s="60"/>
      <c r="O44" s="60"/>
      <c r="P44" s="60"/>
      <c r="Q44" s="60"/>
      <c r="R44" s="60"/>
      <c r="S44" s="60"/>
      <c r="T44" s="61"/>
      <c r="U44" s="35"/>
    </row>
    <row r="45" spans="2:21" ht="14.4" customHeight="1" x14ac:dyDescent="0.3">
      <c r="H45" s="35"/>
      <c r="I45" s="52" t="s">
        <v>36</v>
      </c>
      <c r="J45" s="54" t="s">
        <v>102</v>
      </c>
      <c r="K45" s="60"/>
      <c r="L45" s="60"/>
      <c r="M45" s="60"/>
      <c r="N45" s="60"/>
      <c r="O45" s="60"/>
      <c r="P45" s="60"/>
      <c r="Q45" s="60"/>
      <c r="R45" s="60"/>
      <c r="S45" s="60"/>
      <c r="T45" s="61"/>
      <c r="U45" s="35"/>
    </row>
    <row r="46" spans="2:21" ht="14.4" customHeight="1" x14ac:dyDescent="0.3">
      <c r="H46" s="35"/>
      <c r="I46" s="52" t="s">
        <v>37</v>
      </c>
      <c r="J46" s="54" t="s">
        <v>103</v>
      </c>
      <c r="K46" s="60"/>
      <c r="L46" s="60"/>
      <c r="M46" s="60"/>
      <c r="N46" s="60"/>
      <c r="O46" s="60"/>
      <c r="P46" s="60"/>
      <c r="Q46" s="60"/>
      <c r="R46" s="60"/>
      <c r="S46" s="60"/>
      <c r="T46" s="61"/>
      <c r="U46" s="35"/>
    </row>
    <row r="47" spans="2:21" ht="14.4" customHeight="1" x14ac:dyDescent="0.3">
      <c r="H47" s="35"/>
      <c r="I47" s="52" t="s">
        <v>38</v>
      </c>
      <c r="J47" s="56" t="s">
        <v>104</v>
      </c>
      <c r="K47" s="53"/>
      <c r="L47" s="53"/>
      <c r="M47" s="53"/>
      <c r="N47" s="53"/>
      <c r="O47" s="53"/>
      <c r="P47" s="53"/>
      <c r="Q47" s="53"/>
      <c r="R47" s="53"/>
      <c r="S47" s="53"/>
      <c r="T47" s="57"/>
      <c r="U47" s="35"/>
    </row>
    <row r="48" spans="2:21" ht="14.4" customHeight="1" x14ac:dyDescent="0.3">
      <c r="H48" s="35"/>
      <c r="I48" s="35"/>
      <c r="J48" s="35"/>
      <c r="K48" s="35"/>
      <c r="L48" s="35"/>
      <c r="M48" s="35"/>
      <c r="N48" s="35"/>
      <c r="O48" s="35"/>
      <c r="P48" s="35"/>
      <c r="Q48" s="35"/>
      <c r="R48" s="35"/>
      <c r="S48" s="35"/>
      <c r="T48" s="35"/>
      <c r="U48" s="35"/>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2:X384"/>
  <sheetViews>
    <sheetView showGridLines="0" zoomScale="90" zoomScaleNormal="90" workbookViewId="0">
      <pane xSplit="3" ySplit="5" topLeftCell="I31" activePane="bottomRight" state="frozen"/>
      <selection activeCell="J393" sqref="J393"/>
      <selection pane="topRight" activeCell="J393" sqref="J393"/>
      <selection pane="bottomLeft" activeCell="J393" sqref="J393"/>
      <selection pane="bottomRight" activeCell="J393" sqref="J393"/>
    </sheetView>
  </sheetViews>
  <sheetFormatPr defaultRowHeight="14.4" outlineLevelCol="1" x14ac:dyDescent="0.3"/>
  <cols>
    <col min="1" max="1" width="2.6640625" customWidth="1"/>
    <col min="2" max="2" width="17.44140625" bestFit="1" customWidth="1"/>
    <col min="3" max="3" width="36.33203125" customWidth="1"/>
    <col min="4" max="4" width="10.6640625" customWidth="1"/>
    <col min="5" max="5" width="30.6640625" bestFit="1" customWidth="1"/>
    <col min="6" max="6" width="27.5546875" bestFit="1" customWidth="1"/>
    <col min="7" max="8" width="50.6640625" customWidth="1" outlineLevel="1"/>
    <col min="9" max="9" width="15" bestFit="1" customWidth="1"/>
    <col min="10" max="10" width="24.6640625" bestFit="1" customWidth="1"/>
    <col min="11" max="11" width="30.6640625" bestFit="1" customWidth="1"/>
    <col min="12" max="12" width="22.5546875" customWidth="1"/>
    <col min="13" max="13" width="12.33203125" bestFit="1" customWidth="1"/>
    <col min="14" max="14" width="12.33203125" customWidth="1"/>
    <col min="15" max="15" width="15.109375" customWidth="1"/>
    <col min="16" max="16" width="13.44140625" hidden="1" customWidth="1"/>
    <col min="17" max="17" width="22.6640625" bestFit="1" customWidth="1"/>
    <col min="18" max="18" width="16.33203125" bestFit="1" customWidth="1"/>
    <col min="19" max="19" width="11.33203125" bestFit="1" customWidth="1"/>
    <col min="20" max="20" width="12.88671875" bestFit="1" customWidth="1"/>
    <col min="21" max="21" width="9.33203125" bestFit="1" customWidth="1"/>
    <col min="22" max="22" width="16.6640625" bestFit="1" customWidth="1"/>
    <col min="23" max="23" width="13.88671875" bestFit="1" customWidth="1"/>
  </cols>
  <sheetData>
    <row r="2" spans="1:24" x14ac:dyDescent="0.3">
      <c r="C2" s="10" t="s">
        <v>105</v>
      </c>
    </row>
    <row r="3" spans="1:24" x14ac:dyDescent="0.3">
      <c r="C3" s="11" t="s">
        <v>106</v>
      </c>
    </row>
    <row r="5" spans="1:24" s="2" customFormat="1" ht="28.8" x14ac:dyDescent="0.3">
      <c r="B5" s="20" t="s">
        <v>107</v>
      </c>
      <c r="C5" s="20" t="s">
        <v>108</v>
      </c>
      <c r="D5" s="20" t="s">
        <v>109</v>
      </c>
      <c r="E5" s="8" t="s">
        <v>110</v>
      </c>
      <c r="F5" s="8" t="s">
        <v>111</v>
      </c>
      <c r="G5" s="8" t="s">
        <v>112</v>
      </c>
      <c r="H5" s="8" t="s">
        <v>113</v>
      </c>
      <c r="I5" s="16" t="s">
        <v>114</v>
      </c>
      <c r="J5" s="16" t="s">
        <v>115</v>
      </c>
      <c r="K5" s="16" t="s">
        <v>0</v>
      </c>
      <c r="L5" s="19" t="s">
        <v>116</v>
      </c>
      <c r="M5" s="16" t="s">
        <v>117</v>
      </c>
      <c r="N5" s="19" t="s">
        <v>118</v>
      </c>
      <c r="O5" s="19" t="s">
        <v>119</v>
      </c>
      <c r="P5" s="21" t="s">
        <v>120</v>
      </c>
      <c r="Q5" s="20" t="s">
        <v>121</v>
      </c>
      <c r="R5" s="20" t="s">
        <v>122</v>
      </c>
      <c r="S5" s="20" t="s">
        <v>123</v>
      </c>
      <c r="T5" s="20" t="s">
        <v>124</v>
      </c>
      <c r="U5" s="20" t="s">
        <v>125</v>
      </c>
      <c r="V5" s="20" t="s">
        <v>126</v>
      </c>
      <c r="W5" s="20" t="s">
        <v>4</v>
      </c>
      <c r="X5" s="20" t="s">
        <v>127</v>
      </c>
    </row>
    <row r="6" spans="1:24" hidden="1" x14ac:dyDescent="0.3">
      <c r="A6" s="50" t="str">
        <f>B6&amp;"_"&amp;C6</f>
        <v>INSTRUMENT_ACCMLTD_CHNGS_FV_CR_INSTRMNT</v>
      </c>
      <c r="B6" t="s">
        <v>128</v>
      </c>
      <c r="C6" t="s">
        <v>129</v>
      </c>
      <c r="D6" t="s">
        <v>14</v>
      </c>
      <c r="E6" t="s">
        <v>38</v>
      </c>
      <c r="F6" t="s">
        <v>130</v>
      </c>
      <c r="G6" t="s">
        <v>131</v>
      </c>
      <c r="I6" t="s">
        <v>26</v>
      </c>
      <c r="J6" s="15">
        <v>45450</v>
      </c>
      <c r="K6" t="s">
        <v>38</v>
      </c>
      <c r="L6" t="str">
        <f t="shared" ref="L6:L11" si="0">F6</f>
        <v>OK</v>
      </c>
      <c r="P6" t="s">
        <v>30</v>
      </c>
      <c r="Q6" t="s">
        <v>132</v>
      </c>
      <c r="R6" t="s">
        <v>132</v>
      </c>
      <c r="S6" t="s">
        <v>132</v>
      </c>
      <c r="T6" t="s">
        <v>133</v>
      </c>
      <c r="U6" t="s">
        <v>133</v>
      </c>
      <c r="V6" t="s">
        <v>133</v>
      </c>
      <c r="W6" t="s">
        <v>5</v>
      </c>
      <c r="X6">
        <v>0</v>
      </c>
    </row>
    <row r="7" spans="1:24" hidden="1" x14ac:dyDescent="0.3">
      <c r="A7" s="50" t="str">
        <f t="shared" ref="A7:A69" si="1">B7&amp;"_"&amp;C7</f>
        <v>INSTRUMENT_ACCMLTD_IMPRMNT_INSTRMNT</v>
      </c>
      <c r="B7" t="s">
        <v>128</v>
      </c>
      <c r="C7" t="s">
        <v>134</v>
      </c>
      <c r="D7" t="s">
        <v>14</v>
      </c>
      <c r="E7" t="s">
        <v>38</v>
      </c>
      <c r="F7" t="s">
        <v>130</v>
      </c>
      <c r="G7" t="s">
        <v>131</v>
      </c>
      <c r="I7" t="s">
        <v>26</v>
      </c>
      <c r="J7" s="15">
        <v>45450</v>
      </c>
      <c r="K7" t="s">
        <v>38</v>
      </c>
      <c r="L7" t="str">
        <f t="shared" si="0"/>
        <v>OK</v>
      </c>
      <c r="P7" t="s">
        <v>30</v>
      </c>
      <c r="Q7" t="s">
        <v>132</v>
      </c>
      <c r="R7" t="s">
        <v>132</v>
      </c>
      <c r="S7" t="s">
        <v>132</v>
      </c>
      <c r="T7" t="s">
        <v>133</v>
      </c>
      <c r="U7" t="s">
        <v>133</v>
      </c>
      <c r="V7" t="s">
        <v>132</v>
      </c>
      <c r="W7" t="s">
        <v>5</v>
      </c>
      <c r="X7" t="s">
        <v>135</v>
      </c>
    </row>
    <row r="8" spans="1:24" hidden="1" x14ac:dyDescent="0.3">
      <c r="A8" s="50" t="str">
        <f t="shared" si="1"/>
        <v>INSTRUMENT_ACCMLTD_IMPRMNT_INSTRMNT_PRVS</v>
      </c>
      <c r="B8" t="s">
        <v>128</v>
      </c>
      <c r="C8" s="10" t="s">
        <v>136</v>
      </c>
      <c r="D8" t="s">
        <v>14</v>
      </c>
      <c r="E8" t="s">
        <v>35</v>
      </c>
      <c r="F8" t="s">
        <v>130</v>
      </c>
      <c r="G8" s="86" t="s">
        <v>137</v>
      </c>
      <c r="I8" t="s">
        <v>32</v>
      </c>
      <c r="J8" s="15">
        <v>45450</v>
      </c>
      <c r="K8" t="s">
        <v>35</v>
      </c>
      <c r="L8" t="str">
        <f t="shared" si="0"/>
        <v>OK</v>
      </c>
      <c r="P8" t="s">
        <v>24</v>
      </c>
      <c r="Q8" t="s">
        <v>132</v>
      </c>
      <c r="R8" t="s">
        <v>133</v>
      </c>
      <c r="S8" t="s">
        <v>133</v>
      </c>
      <c r="T8" t="s">
        <v>133</v>
      </c>
      <c r="U8" t="s">
        <v>133</v>
      </c>
      <c r="V8" t="s">
        <v>132</v>
      </c>
      <c r="W8" t="s">
        <v>138</v>
      </c>
      <c r="X8" t="s">
        <v>139</v>
      </c>
    </row>
    <row r="9" spans="1:24" hidden="1" x14ac:dyDescent="0.3">
      <c r="A9" s="50" t="str">
        <f t="shared" si="1"/>
        <v>INSTRUMENT_ACCMLTD_WRTFFS_INSTRMNT</v>
      </c>
      <c r="B9" t="s">
        <v>128</v>
      </c>
      <c r="C9" t="s">
        <v>140</v>
      </c>
      <c r="D9" t="s">
        <v>14</v>
      </c>
      <c r="E9" t="s">
        <v>38</v>
      </c>
      <c r="F9" t="s">
        <v>130</v>
      </c>
      <c r="G9" t="s">
        <v>131</v>
      </c>
      <c r="I9" t="s">
        <v>26</v>
      </c>
      <c r="J9" s="15">
        <v>45450</v>
      </c>
      <c r="K9" t="s">
        <v>38</v>
      </c>
      <c r="L9" t="str">
        <f t="shared" si="0"/>
        <v>OK</v>
      </c>
      <c r="P9" t="s">
        <v>30</v>
      </c>
      <c r="Q9" t="s">
        <v>132</v>
      </c>
      <c r="R9" t="s">
        <v>133</v>
      </c>
      <c r="S9" t="s">
        <v>133</v>
      </c>
      <c r="T9" t="s">
        <v>133</v>
      </c>
      <c r="U9" t="s">
        <v>133</v>
      </c>
      <c r="V9" t="s">
        <v>132</v>
      </c>
      <c r="W9" t="s">
        <v>5</v>
      </c>
      <c r="X9" t="s">
        <v>135</v>
      </c>
    </row>
    <row r="10" spans="1:24" hidden="1" x14ac:dyDescent="0.3">
      <c r="A10" s="50" t="str">
        <f t="shared" si="1"/>
        <v>INSTRUMENT_ACCNTNG_CLSSFCTN</v>
      </c>
      <c r="B10" t="s">
        <v>128</v>
      </c>
      <c r="C10" t="s">
        <v>141</v>
      </c>
      <c r="D10" t="s">
        <v>14</v>
      </c>
      <c r="E10" t="s">
        <v>38</v>
      </c>
      <c r="F10" t="s">
        <v>130</v>
      </c>
      <c r="G10" t="s">
        <v>131</v>
      </c>
      <c r="I10" t="s">
        <v>26</v>
      </c>
      <c r="J10" s="15">
        <v>45450</v>
      </c>
      <c r="K10" t="s">
        <v>38</v>
      </c>
      <c r="L10" t="str">
        <f t="shared" si="0"/>
        <v>OK</v>
      </c>
      <c r="P10" t="s">
        <v>30</v>
      </c>
      <c r="Q10" t="s">
        <v>132</v>
      </c>
      <c r="R10" t="s">
        <v>132</v>
      </c>
      <c r="S10" t="s">
        <v>132</v>
      </c>
      <c r="T10" t="s">
        <v>133</v>
      </c>
      <c r="U10" t="s">
        <v>133</v>
      </c>
      <c r="V10" t="s">
        <v>132</v>
      </c>
      <c r="W10" t="s">
        <v>5</v>
      </c>
      <c r="X10" t="s">
        <v>135</v>
      </c>
    </row>
    <row r="11" spans="1:24" hidden="1" x14ac:dyDescent="0.3">
      <c r="A11" s="50" t="str">
        <f t="shared" si="1"/>
        <v>ENTITY_ACCNTNG_FRMWRK_SL</v>
      </c>
      <c r="B11" t="s">
        <v>142</v>
      </c>
      <c r="C11" t="s">
        <v>143</v>
      </c>
      <c r="D11" t="s">
        <v>14</v>
      </c>
      <c r="E11" t="s">
        <v>25</v>
      </c>
      <c r="F11" t="s">
        <v>130</v>
      </c>
      <c r="G11" t="s">
        <v>144</v>
      </c>
      <c r="H11" t="s">
        <v>145</v>
      </c>
      <c r="I11" t="s">
        <v>29</v>
      </c>
      <c r="J11" s="15">
        <v>45450</v>
      </c>
      <c r="K11" t="s">
        <v>25</v>
      </c>
      <c r="L11" t="str">
        <f t="shared" si="0"/>
        <v>OK</v>
      </c>
      <c r="P11" t="s">
        <v>13</v>
      </c>
      <c r="Q11" t="s">
        <v>132</v>
      </c>
      <c r="R11" t="s">
        <v>133</v>
      </c>
      <c r="S11" t="s">
        <v>133</v>
      </c>
      <c r="T11" t="s">
        <v>133</v>
      </c>
      <c r="U11" t="s">
        <v>133</v>
      </c>
      <c r="V11" t="s">
        <v>132</v>
      </c>
      <c r="W11" t="s">
        <v>146</v>
      </c>
      <c r="X11" t="s">
        <v>147</v>
      </c>
    </row>
    <row r="12" spans="1:24" hidden="1" x14ac:dyDescent="0.3">
      <c r="A12" s="50" t="str">
        <f t="shared" si="1"/>
        <v>INSTRUMENT_TYP_MRTGG</v>
      </c>
      <c r="B12" t="s">
        <v>128</v>
      </c>
      <c r="C12" s="10" t="s">
        <v>148</v>
      </c>
      <c r="D12" t="s">
        <v>14</v>
      </c>
      <c r="E12" t="s">
        <v>28</v>
      </c>
      <c r="F12" t="s">
        <v>149</v>
      </c>
      <c r="G12" t="s">
        <v>150</v>
      </c>
      <c r="I12" t="s">
        <v>32</v>
      </c>
      <c r="J12" s="15">
        <v>45568</v>
      </c>
      <c r="K12" t="s">
        <v>25</v>
      </c>
      <c r="L12" t="str">
        <f t="shared" ref="L12:L34" si="2">F12</f>
        <v>NOK</v>
      </c>
      <c r="M12" t="s">
        <v>151</v>
      </c>
      <c r="P12" t="s">
        <v>34</v>
      </c>
      <c r="Q12" t="s">
        <v>132</v>
      </c>
      <c r="R12" t="s">
        <v>133</v>
      </c>
      <c r="S12" t="s">
        <v>133</v>
      </c>
      <c r="T12" t="s">
        <v>133</v>
      </c>
      <c r="U12" t="s">
        <v>133</v>
      </c>
      <c r="V12" t="s">
        <v>133</v>
      </c>
      <c r="W12" t="s">
        <v>5</v>
      </c>
      <c r="X12">
        <v>0</v>
      </c>
    </row>
    <row r="13" spans="1:24" hidden="1" x14ac:dyDescent="0.3">
      <c r="A13" s="50" t="str">
        <f t="shared" si="1"/>
        <v>INSTRUMENT_AMNT_D_AT_MTRTY</v>
      </c>
      <c r="B13" t="s">
        <v>128</v>
      </c>
      <c r="C13" t="s">
        <v>152</v>
      </c>
      <c r="D13" t="s">
        <v>14</v>
      </c>
      <c r="E13" t="s">
        <v>20</v>
      </c>
      <c r="F13" t="s">
        <v>149</v>
      </c>
      <c r="G13" t="s">
        <v>1149</v>
      </c>
      <c r="I13" t="s">
        <v>29</v>
      </c>
      <c r="J13" s="15">
        <v>45450</v>
      </c>
      <c r="K13" t="s">
        <v>20</v>
      </c>
      <c r="L13" t="str">
        <f t="shared" si="2"/>
        <v>NOK</v>
      </c>
      <c r="M13" t="s">
        <v>1149</v>
      </c>
      <c r="P13" t="s">
        <v>19</v>
      </c>
      <c r="Q13" t="s">
        <v>132</v>
      </c>
      <c r="R13" t="s">
        <v>133</v>
      </c>
      <c r="S13" t="s">
        <v>133</v>
      </c>
      <c r="T13" t="s">
        <v>133</v>
      </c>
      <c r="U13" t="s">
        <v>133</v>
      </c>
      <c r="V13" t="s">
        <v>132</v>
      </c>
      <c r="W13" t="s">
        <v>138</v>
      </c>
      <c r="X13" t="s">
        <v>153</v>
      </c>
    </row>
    <row r="14" spans="1:24" hidden="1" x14ac:dyDescent="0.3">
      <c r="A14" s="50" t="str">
        <f t="shared" si="1"/>
        <v>ENTITY_ANNL_TRNVR_LE</v>
      </c>
      <c r="B14" t="s">
        <v>142</v>
      </c>
      <c r="C14" t="s">
        <v>154</v>
      </c>
      <c r="D14" t="s">
        <v>14</v>
      </c>
      <c r="E14" t="s">
        <v>25</v>
      </c>
      <c r="F14" t="s">
        <v>130</v>
      </c>
      <c r="G14" t="s">
        <v>144</v>
      </c>
      <c r="H14" t="s">
        <v>145</v>
      </c>
      <c r="I14" t="s">
        <v>29</v>
      </c>
      <c r="J14" s="15">
        <v>45450</v>
      </c>
      <c r="K14" t="s">
        <v>25</v>
      </c>
      <c r="L14" t="str">
        <f t="shared" si="2"/>
        <v>OK</v>
      </c>
      <c r="P14" t="s">
        <v>13</v>
      </c>
      <c r="Q14" t="s">
        <v>132</v>
      </c>
      <c r="R14" t="s">
        <v>133</v>
      </c>
      <c r="S14" t="s">
        <v>132</v>
      </c>
      <c r="T14" t="s">
        <v>133</v>
      </c>
      <c r="U14" t="s">
        <v>133</v>
      </c>
      <c r="V14" t="s">
        <v>132</v>
      </c>
      <c r="W14" t="s">
        <v>146</v>
      </c>
      <c r="X14" t="s">
        <v>147</v>
      </c>
    </row>
    <row r="15" spans="1:24" hidden="1" x14ac:dyDescent="0.3">
      <c r="A15" s="50" t="str">
        <f t="shared" si="1"/>
        <v>ENTITY_ANNL_TRNVR_LE_BDR</v>
      </c>
      <c r="B15" t="s">
        <v>142</v>
      </c>
      <c r="C15" t="s">
        <v>155</v>
      </c>
      <c r="D15" t="s">
        <v>6</v>
      </c>
      <c r="E15" t="s">
        <v>38</v>
      </c>
      <c r="F15" t="s">
        <v>130</v>
      </c>
      <c r="G15" t="s">
        <v>131</v>
      </c>
      <c r="I15" t="s">
        <v>26</v>
      </c>
      <c r="J15" s="15">
        <v>45450</v>
      </c>
      <c r="K15" t="s">
        <v>38</v>
      </c>
      <c r="L15" t="str">
        <f t="shared" si="2"/>
        <v>OK</v>
      </c>
      <c r="P15" t="s">
        <v>30</v>
      </c>
      <c r="Q15" t="s">
        <v>132</v>
      </c>
      <c r="R15" t="s">
        <v>133</v>
      </c>
      <c r="S15" t="s">
        <v>133</v>
      </c>
      <c r="T15" t="s">
        <v>133</v>
      </c>
      <c r="U15" t="s">
        <v>133</v>
      </c>
      <c r="V15" t="s">
        <v>133</v>
      </c>
      <c r="W15" t="s">
        <v>5</v>
      </c>
      <c r="X15">
        <v>0</v>
      </c>
    </row>
    <row r="16" spans="1:24" hidden="1" x14ac:dyDescent="0.3">
      <c r="A16" s="50" t="str">
        <f t="shared" si="1"/>
        <v>ENTITY_ANNL_TRNVR_PRVS</v>
      </c>
      <c r="B16" t="s">
        <v>142</v>
      </c>
      <c r="C16" t="s">
        <v>156</v>
      </c>
      <c r="D16" t="s">
        <v>14</v>
      </c>
      <c r="E16" t="s">
        <v>25</v>
      </c>
      <c r="F16" t="s">
        <v>130</v>
      </c>
      <c r="G16" t="s">
        <v>144</v>
      </c>
      <c r="H16" t="s">
        <v>145</v>
      </c>
      <c r="I16" t="s">
        <v>29</v>
      </c>
      <c r="J16" s="15">
        <v>45450</v>
      </c>
      <c r="K16" t="s">
        <v>25</v>
      </c>
      <c r="L16" t="str">
        <f t="shared" si="2"/>
        <v>OK</v>
      </c>
      <c r="P16" t="s">
        <v>13</v>
      </c>
      <c r="Q16" t="s">
        <v>132</v>
      </c>
      <c r="R16" t="s">
        <v>133</v>
      </c>
      <c r="S16" t="s">
        <v>133</v>
      </c>
      <c r="T16" t="s">
        <v>133</v>
      </c>
      <c r="U16" t="s">
        <v>133</v>
      </c>
      <c r="V16" t="s">
        <v>132</v>
      </c>
      <c r="W16" t="s">
        <v>146</v>
      </c>
      <c r="X16" t="s">
        <v>147</v>
      </c>
    </row>
    <row r="17" spans="1:24" hidden="1" x14ac:dyDescent="0.3">
      <c r="A17" s="50" t="str">
        <f t="shared" si="1"/>
        <v>ENTITY_ANNL_TRNVR_PRVS_BDR</v>
      </c>
      <c r="B17" t="s">
        <v>142</v>
      </c>
      <c r="C17" t="s">
        <v>157</v>
      </c>
      <c r="D17" t="s">
        <v>6</v>
      </c>
      <c r="E17" t="s">
        <v>38</v>
      </c>
      <c r="F17" t="s">
        <v>130</v>
      </c>
      <c r="G17" t="s">
        <v>131</v>
      </c>
      <c r="I17" t="s">
        <v>26</v>
      </c>
      <c r="J17" s="15">
        <v>45450</v>
      </c>
      <c r="K17" t="s">
        <v>38</v>
      </c>
      <c r="L17" t="str">
        <f t="shared" si="2"/>
        <v>OK</v>
      </c>
      <c r="P17" t="s">
        <v>30</v>
      </c>
      <c r="Q17" t="s">
        <v>132</v>
      </c>
      <c r="R17" t="s">
        <v>133</v>
      </c>
      <c r="S17" t="s">
        <v>133</v>
      </c>
      <c r="T17" t="s">
        <v>133</v>
      </c>
      <c r="U17" t="s">
        <v>133</v>
      </c>
      <c r="V17" t="s">
        <v>133</v>
      </c>
      <c r="W17" t="s">
        <v>5</v>
      </c>
      <c r="X17">
        <v>0</v>
      </c>
    </row>
    <row r="18" spans="1:24" hidden="1" x14ac:dyDescent="0.3">
      <c r="A18" s="50" t="str">
        <f t="shared" si="1"/>
        <v>INSTRUMENT_ANNLSD_AGRD_RT</v>
      </c>
      <c r="B18" t="s">
        <v>128</v>
      </c>
      <c r="C18" s="11" t="s">
        <v>158</v>
      </c>
      <c r="D18" t="s">
        <v>14</v>
      </c>
      <c r="E18" t="s">
        <v>28</v>
      </c>
      <c r="F18" t="s">
        <v>130</v>
      </c>
      <c r="G18" t="s">
        <v>159</v>
      </c>
      <c r="H18" t="s">
        <v>160</v>
      </c>
      <c r="I18" t="s">
        <v>32</v>
      </c>
      <c r="J18" s="15">
        <v>45450</v>
      </c>
      <c r="K18" t="s">
        <v>28</v>
      </c>
      <c r="L18" t="str">
        <f t="shared" si="2"/>
        <v>OK</v>
      </c>
      <c r="P18" t="s">
        <v>39</v>
      </c>
      <c r="Q18" t="s">
        <v>132</v>
      </c>
      <c r="R18" t="s">
        <v>133</v>
      </c>
      <c r="S18" t="s">
        <v>132</v>
      </c>
      <c r="T18" t="s">
        <v>133</v>
      </c>
      <c r="U18" t="s">
        <v>133</v>
      </c>
      <c r="V18" t="s">
        <v>133</v>
      </c>
      <c r="W18" t="s">
        <v>5</v>
      </c>
      <c r="X18">
        <v>0</v>
      </c>
    </row>
    <row r="19" spans="1:24" hidden="1" x14ac:dyDescent="0.3">
      <c r="A19" s="50" t="str">
        <f t="shared" si="1"/>
        <v>PROTECTION_APPRSL_CRRNCY</v>
      </c>
      <c r="B19" t="s">
        <v>161</v>
      </c>
      <c r="C19" t="s">
        <v>162</v>
      </c>
      <c r="D19" t="s">
        <v>14</v>
      </c>
      <c r="E19" t="s">
        <v>36</v>
      </c>
      <c r="F19" t="s">
        <v>149</v>
      </c>
      <c r="G19" t="s">
        <v>163</v>
      </c>
      <c r="I19" t="s">
        <v>29</v>
      </c>
      <c r="J19" s="15">
        <v>45450</v>
      </c>
      <c r="K19" t="s">
        <v>36</v>
      </c>
      <c r="L19" t="str">
        <f t="shared" si="2"/>
        <v>NOK</v>
      </c>
      <c r="P19" t="s">
        <v>8</v>
      </c>
      <c r="Q19" t="s">
        <v>132</v>
      </c>
      <c r="R19" t="s">
        <v>133</v>
      </c>
      <c r="S19" t="s">
        <v>133</v>
      </c>
      <c r="T19" t="s">
        <v>133</v>
      </c>
      <c r="U19" t="s">
        <v>133</v>
      </c>
      <c r="V19" t="s">
        <v>133</v>
      </c>
      <c r="W19" t="s">
        <v>5</v>
      </c>
      <c r="X19">
        <v>0</v>
      </c>
    </row>
    <row r="20" spans="1:24" hidden="1" x14ac:dyDescent="0.3">
      <c r="A20" s="50" t="str">
        <f t="shared" si="1"/>
        <v>PROTECTION_APPRSR</v>
      </c>
      <c r="B20" t="s">
        <v>161</v>
      </c>
      <c r="C20" t="s">
        <v>164</v>
      </c>
      <c r="D20" t="s">
        <v>14</v>
      </c>
      <c r="E20" t="s">
        <v>36</v>
      </c>
      <c r="F20" t="s">
        <v>149</v>
      </c>
      <c r="G20" t="s">
        <v>163</v>
      </c>
      <c r="I20" t="s">
        <v>29</v>
      </c>
      <c r="J20" s="15">
        <v>45450</v>
      </c>
      <c r="K20" t="s">
        <v>36</v>
      </c>
      <c r="L20" t="str">
        <f t="shared" si="2"/>
        <v>NOK</v>
      </c>
      <c r="P20" t="s">
        <v>8</v>
      </c>
      <c r="Q20" t="s">
        <v>132</v>
      </c>
      <c r="R20" t="s">
        <v>133</v>
      </c>
      <c r="S20" t="s">
        <v>133</v>
      </c>
      <c r="T20" t="s">
        <v>133</v>
      </c>
      <c r="U20" t="s">
        <v>133</v>
      </c>
      <c r="V20" t="s">
        <v>133</v>
      </c>
      <c r="W20" t="s">
        <v>5</v>
      </c>
      <c r="X20">
        <v>0</v>
      </c>
    </row>
    <row r="21" spans="1:24" hidden="1" x14ac:dyDescent="0.3">
      <c r="A21" s="50" t="str">
        <f t="shared" si="1"/>
        <v>INSTRUMENT_ARRRS_INSTRMNT</v>
      </c>
      <c r="B21" t="s">
        <v>128</v>
      </c>
      <c r="C21" t="s">
        <v>165</v>
      </c>
      <c r="D21" t="s">
        <v>14</v>
      </c>
      <c r="E21" t="s">
        <v>36</v>
      </c>
      <c r="F21" t="s">
        <v>149</v>
      </c>
      <c r="G21" t="s">
        <v>163</v>
      </c>
      <c r="I21" t="s">
        <v>29</v>
      </c>
      <c r="J21" s="15">
        <v>45450</v>
      </c>
      <c r="K21" t="s">
        <v>36</v>
      </c>
      <c r="L21" t="str">
        <f t="shared" si="2"/>
        <v>NOK</v>
      </c>
      <c r="P21" t="s">
        <v>8</v>
      </c>
      <c r="Q21" t="s">
        <v>132</v>
      </c>
      <c r="R21" t="s">
        <v>133</v>
      </c>
      <c r="S21" t="s">
        <v>133</v>
      </c>
      <c r="T21" t="s">
        <v>133</v>
      </c>
      <c r="U21" t="s">
        <v>133</v>
      </c>
      <c r="V21" t="s">
        <v>132</v>
      </c>
      <c r="W21" t="s">
        <v>138</v>
      </c>
      <c r="X21" t="s">
        <v>166</v>
      </c>
    </row>
    <row r="22" spans="1:24" hidden="1" x14ac:dyDescent="0.3">
      <c r="A22" s="50" t="str">
        <f t="shared" si="1"/>
        <v>INSTRUMENT_ARRRS_INSTRMNT_12M</v>
      </c>
      <c r="B22" t="s">
        <v>128</v>
      </c>
      <c r="C22" t="s">
        <v>167</v>
      </c>
      <c r="D22" t="s">
        <v>14</v>
      </c>
      <c r="E22" t="s">
        <v>36</v>
      </c>
      <c r="F22" t="s">
        <v>149</v>
      </c>
      <c r="G22" t="s">
        <v>163</v>
      </c>
      <c r="I22" t="s">
        <v>29</v>
      </c>
      <c r="J22" s="15">
        <v>45450</v>
      </c>
      <c r="K22" t="s">
        <v>36</v>
      </c>
      <c r="L22" t="str">
        <f t="shared" si="2"/>
        <v>NOK</v>
      </c>
      <c r="P22" t="s">
        <v>8</v>
      </c>
      <c r="Q22" t="s">
        <v>132</v>
      </c>
      <c r="R22" t="s">
        <v>133</v>
      </c>
      <c r="S22" t="s">
        <v>133</v>
      </c>
      <c r="T22" t="s">
        <v>133</v>
      </c>
      <c r="U22" t="s">
        <v>133</v>
      </c>
      <c r="V22" t="s">
        <v>133</v>
      </c>
      <c r="W22" t="s">
        <v>5</v>
      </c>
      <c r="X22">
        <v>0</v>
      </c>
    </row>
    <row r="23" spans="1:24" hidden="1" x14ac:dyDescent="0.3">
      <c r="A23" s="50" t="str">
        <f t="shared" si="1"/>
        <v>INSTRUMENT_ASST_SCRT_CLSS</v>
      </c>
      <c r="B23" t="s">
        <v>128</v>
      </c>
      <c r="C23" t="s">
        <v>168</v>
      </c>
      <c r="D23" t="s">
        <v>6</v>
      </c>
      <c r="E23" t="s">
        <v>38</v>
      </c>
      <c r="F23" t="s">
        <v>130</v>
      </c>
      <c r="G23" t="s">
        <v>131</v>
      </c>
      <c r="I23" t="s">
        <v>26</v>
      </c>
      <c r="J23" s="15">
        <v>45450</v>
      </c>
      <c r="K23" t="s">
        <v>38</v>
      </c>
      <c r="L23" t="str">
        <f t="shared" si="2"/>
        <v>OK</v>
      </c>
      <c r="P23" t="s">
        <v>30</v>
      </c>
      <c r="Q23" t="s">
        <v>132</v>
      </c>
      <c r="R23" t="s">
        <v>133</v>
      </c>
      <c r="S23" t="s">
        <v>133</v>
      </c>
      <c r="T23" t="s">
        <v>133</v>
      </c>
      <c r="U23" t="s">
        <v>133</v>
      </c>
      <c r="V23" t="s">
        <v>133</v>
      </c>
      <c r="W23" t="s">
        <v>5</v>
      </c>
      <c r="X23">
        <v>0</v>
      </c>
    </row>
    <row r="24" spans="1:24" hidden="1" x14ac:dyDescent="0.3">
      <c r="A24" s="50" t="str">
        <f t="shared" si="1"/>
        <v>INSTRUMENT_BRCHD_CVNNTS</v>
      </c>
      <c r="B24" t="s">
        <v>128</v>
      </c>
      <c r="C24" t="s">
        <v>169</v>
      </c>
      <c r="D24" t="s">
        <v>14</v>
      </c>
      <c r="E24" t="s">
        <v>37</v>
      </c>
      <c r="F24" t="s">
        <v>130</v>
      </c>
      <c r="G24" t="s">
        <v>170</v>
      </c>
      <c r="I24" t="s">
        <v>26</v>
      </c>
      <c r="J24" s="15">
        <v>45450</v>
      </c>
      <c r="K24" t="s">
        <v>37</v>
      </c>
      <c r="L24" t="str">
        <f t="shared" si="2"/>
        <v>OK</v>
      </c>
      <c r="P24" t="s">
        <v>27</v>
      </c>
      <c r="Q24" t="s">
        <v>132</v>
      </c>
      <c r="R24" t="s">
        <v>133</v>
      </c>
      <c r="S24" t="s">
        <v>133</v>
      </c>
      <c r="T24" t="s">
        <v>133</v>
      </c>
      <c r="U24" t="s">
        <v>133</v>
      </c>
      <c r="V24" t="s">
        <v>132</v>
      </c>
      <c r="W24" t="s">
        <v>5</v>
      </c>
      <c r="X24" t="s">
        <v>135</v>
      </c>
    </row>
    <row r="25" spans="1:24" hidden="1" x14ac:dyDescent="0.3">
      <c r="A25" s="50" t="str">
        <f t="shared" si="1"/>
        <v>ENTITY_CAPEX</v>
      </c>
      <c r="B25" t="s">
        <v>142</v>
      </c>
      <c r="C25" t="s">
        <v>171</v>
      </c>
      <c r="D25" t="s">
        <v>14</v>
      </c>
      <c r="E25" t="s">
        <v>25</v>
      </c>
      <c r="F25" t="s">
        <v>130</v>
      </c>
      <c r="G25" t="s">
        <v>144</v>
      </c>
      <c r="H25" t="s">
        <v>145</v>
      </c>
      <c r="I25" t="s">
        <v>29</v>
      </c>
      <c r="J25" s="15">
        <v>45450</v>
      </c>
      <c r="K25" t="s">
        <v>25</v>
      </c>
      <c r="L25" t="str">
        <f t="shared" si="2"/>
        <v>OK</v>
      </c>
      <c r="P25" t="s">
        <v>13</v>
      </c>
      <c r="Q25" t="s">
        <v>132</v>
      </c>
      <c r="R25" t="s">
        <v>133</v>
      </c>
      <c r="S25" t="s">
        <v>133</v>
      </c>
      <c r="T25" t="s">
        <v>133</v>
      </c>
      <c r="U25" t="s">
        <v>133</v>
      </c>
      <c r="V25" t="s">
        <v>133</v>
      </c>
      <c r="W25" t="s">
        <v>5</v>
      </c>
      <c r="X25">
        <v>0</v>
      </c>
    </row>
    <row r="26" spans="1:24" hidden="1" x14ac:dyDescent="0.3">
      <c r="A26" s="50" t="str">
        <f t="shared" si="1"/>
        <v>ENTITY_CAPEX_PRVS</v>
      </c>
      <c r="B26" t="s">
        <v>142</v>
      </c>
      <c r="C26" t="s">
        <v>172</v>
      </c>
      <c r="D26" t="s">
        <v>14</v>
      </c>
      <c r="E26" t="s">
        <v>25</v>
      </c>
      <c r="F26" t="s">
        <v>130</v>
      </c>
      <c r="G26" t="s">
        <v>144</v>
      </c>
      <c r="H26" t="s">
        <v>145</v>
      </c>
      <c r="I26" t="s">
        <v>29</v>
      </c>
      <c r="J26" s="15">
        <v>45450</v>
      </c>
      <c r="K26" t="s">
        <v>25</v>
      </c>
      <c r="L26" t="str">
        <f t="shared" si="2"/>
        <v>OK</v>
      </c>
      <c r="P26" t="s">
        <v>13</v>
      </c>
      <c r="Q26" t="s">
        <v>132</v>
      </c>
      <c r="R26" t="s">
        <v>133</v>
      </c>
      <c r="S26" t="s">
        <v>133</v>
      </c>
      <c r="T26" t="s">
        <v>133</v>
      </c>
      <c r="U26" t="s">
        <v>133</v>
      </c>
      <c r="V26" t="s">
        <v>133</v>
      </c>
      <c r="W26" t="s">
        <v>5</v>
      </c>
      <c r="X26">
        <v>0</v>
      </c>
    </row>
    <row r="27" spans="1:24" hidden="1" x14ac:dyDescent="0.3">
      <c r="A27" s="50" t="str">
        <f t="shared" si="1"/>
        <v>INSTRUMENT_CCF</v>
      </c>
      <c r="B27" t="s">
        <v>128</v>
      </c>
      <c r="C27" t="s">
        <v>173</v>
      </c>
      <c r="D27" t="s">
        <v>14</v>
      </c>
      <c r="E27" t="s">
        <v>38</v>
      </c>
      <c r="F27" t="s">
        <v>130</v>
      </c>
      <c r="G27" t="s">
        <v>131</v>
      </c>
      <c r="I27" t="s">
        <v>26</v>
      </c>
      <c r="J27" s="15">
        <v>45450</v>
      </c>
      <c r="K27" t="s">
        <v>38</v>
      </c>
      <c r="L27" t="str">
        <f t="shared" si="2"/>
        <v>OK</v>
      </c>
      <c r="P27" t="s">
        <v>30</v>
      </c>
      <c r="Q27" t="s">
        <v>132</v>
      </c>
      <c r="R27" t="s">
        <v>132</v>
      </c>
      <c r="S27" t="s">
        <v>133</v>
      </c>
      <c r="T27" t="s">
        <v>133</v>
      </c>
      <c r="U27" t="s">
        <v>133</v>
      </c>
      <c r="V27" t="s">
        <v>132</v>
      </c>
      <c r="W27" t="s">
        <v>5</v>
      </c>
      <c r="X27" t="s">
        <v>135</v>
      </c>
    </row>
    <row r="28" spans="1:24" hidden="1" x14ac:dyDescent="0.3">
      <c r="A28" s="50" t="str">
        <f t="shared" si="1"/>
        <v>INSTRUMENT_CHNNL_ORGNTN</v>
      </c>
      <c r="B28" t="s">
        <v>128</v>
      </c>
      <c r="C28" t="s">
        <v>174</v>
      </c>
      <c r="D28" t="s">
        <v>6</v>
      </c>
      <c r="E28" t="s">
        <v>31</v>
      </c>
      <c r="F28" t="s">
        <v>149</v>
      </c>
      <c r="G28" t="s">
        <v>175</v>
      </c>
      <c r="I28" t="s">
        <v>29</v>
      </c>
      <c r="J28" s="15">
        <v>45450</v>
      </c>
      <c r="K28" t="s">
        <v>31</v>
      </c>
      <c r="L28" t="str">
        <f t="shared" si="2"/>
        <v>NOK</v>
      </c>
      <c r="N28" s="15">
        <v>45296</v>
      </c>
      <c r="P28" t="s">
        <v>13</v>
      </c>
      <c r="Q28" t="s">
        <v>132</v>
      </c>
      <c r="R28" t="s">
        <v>133</v>
      </c>
      <c r="S28" t="s">
        <v>133</v>
      </c>
      <c r="T28" t="s">
        <v>133</v>
      </c>
      <c r="U28" t="s">
        <v>133</v>
      </c>
      <c r="V28" t="s">
        <v>133</v>
      </c>
      <c r="W28" t="s">
        <v>5</v>
      </c>
      <c r="X28">
        <v>0</v>
      </c>
    </row>
    <row r="29" spans="1:24" hidden="1" x14ac:dyDescent="0.3">
      <c r="A29" s="50" t="str">
        <f t="shared" si="1"/>
        <v>ENTITY_CLLCTN_MD</v>
      </c>
      <c r="B29" t="s">
        <v>142</v>
      </c>
      <c r="C29" t="s">
        <v>176</v>
      </c>
      <c r="D29" t="s">
        <v>6</v>
      </c>
      <c r="E29" t="s">
        <v>38</v>
      </c>
      <c r="F29" t="s">
        <v>130</v>
      </c>
      <c r="G29" t="s">
        <v>131</v>
      </c>
      <c r="I29" t="s">
        <v>26</v>
      </c>
      <c r="J29" s="15">
        <v>45450</v>
      </c>
      <c r="K29" t="s">
        <v>38</v>
      </c>
      <c r="L29" t="str">
        <f t="shared" si="2"/>
        <v>OK</v>
      </c>
      <c r="P29" t="s">
        <v>30</v>
      </c>
      <c r="Q29" t="s">
        <v>132</v>
      </c>
      <c r="R29" t="s">
        <v>133</v>
      </c>
      <c r="S29" t="s">
        <v>133</v>
      </c>
      <c r="T29" t="s">
        <v>133</v>
      </c>
      <c r="U29" t="s">
        <v>133</v>
      </c>
      <c r="V29" t="s">
        <v>133</v>
      </c>
      <c r="W29" t="s">
        <v>5</v>
      </c>
      <c r="X29">
        <v>0</v>
      </c>
    </row>
    <row r="30" spans="1:24" hidden="1" x14ac:dyDescent="0.3">
      <c r="A30" s="50" t="str">
        <f t="shared" si="1"/>
        <v>ENTITY_TTL_INTRST_PD</v>
      </c>
      <c r="B30" t="s">
        <v>142</v>
      </c>
      <c r="C30" t="s">
        <v>177</v>
      </c>
      <c r="D30" t="s">
        <v>6</v>
      </c>
      <c r="E30" t="s">
        <v>25</v>
      </c>
      <c r="F30" t="s">
        <v>149</v>
      </c>
      <c r="G30" t="s">
        <v>178</v>
      </c>
      <c r="I30" t="s">
        <v>29</v>
      </c>
      <c r="J30" s="15">
        <v>45450</v>
      </c>
      <c r="K30" t="s">
        <v>25</v>
      </c>
      <c r="L30" t="str">
        <f t="shared" si="2"/>
        <v>NOK</v>
      </c>
      <c r="P30" t="s">
        <v>13</v>
      </c>
      <c r="Q30" t="s">
        <v>132</v>
      </c>
      <c r="R30" t="s">
        <v>133</v>
      </c>
      <c r="S30" t="s">
        <v>133</v>
      </c>
      <c r="T30" t="s">
        <v>133</v>
      </c>
      <c r="U30" t="s">
        <v>133</v>
      </c>
      <c r="V30" t="s">
        <v>132</v>
      </c>
      <c r="W30" t="s">
        <v>138</v>
      </c>
      <c r="X30" t="s">
        <v>153</v>
      </c>
    </row>
    <row r="31" spans="1:24" x14ac:dyDescent="0.3">
      <c r="A31" s="50" t="str">
        <f t="shared" si="1"/>
        <v>INSTRUMENT_CMMTMNT_INCPTN_INSTRMNT</v>
      </c>
      <c r="B31" t="s">
        <v>128</v>
      </c>
      <c r="C31" t="s">
        <v>179</v>
      </c>
      <c r="D31" t="s">
        <v>14</v>
      </c>
      <c r="E31" t="s">
        <v>36</v>
      </c>
      <c r="F31" t="s">
        <v>149</v>
      </c>
      <c r="G31" t="s">
        <v>180</v>
      </c>
      <c r="I31" t="s">
        <v>29</v>
      </c>
      <c r="J31" s="15">
        <v>45450</v>
      </c>
      <c r="K31" t="s">
        <v>36</v>
      </c>
      <c r="L31" t="str">
        <f t="shared" si="2"/>
        <v>NOK</v>
      </c>
      <c r="P31" t="s">
        <v>8</v>
      </c>
      <c r="Q31" t="s">
        <v>132</v>
      </c>
      <c r="R31" t="s">
        <v>133</v>
      </c>
      <c r="S31" t="s">
        <v>133</v>
      </c>
      <c r="T31" t="s">
        <v>133</v>
      </c>
      <c r="U31" t="s">
        <v>133</v>
      </c>
      <c r="V31" t="s">
        <v>133</v>
      </c>
      <c r="W31" t="s">
        <v>5</v>
      </c>
      <c r="X31">
        <v>0</v>
      </c>
    </row>
    <row r="32" spans="1:24" hidden="1" x14ac:dyDescent="0.3">
      <c r="A32" s="50" t="str">
        <f t="shared" si="1"/>
        <v>PROTECTION_RL_ESTT_CLLTRL_LCTN</v>
      </c>
      <c r="B32" t="s">
        <v>161</v>
      </c>
      <c r="C32" t="s">
        <v>181</v>
      </c>
      <c r="D32" t="s">
        <v>14</v>
      </c>
      <c r="E32" t="s">
        <v>25</v>
      </c>
      <c r="F32" t="s">
        <v>149</v>
      </c>
      <c r="G32" t="s">
        <v>182</v>
      </c>
      <c r="I32" t="s">
        <v>29</v>
      </c>
      <c r="J32" s="15">
        <v>45450</v>
      </c>
      <c r="K32" t="s">
        <v>25</v>
      </c>
      <c r="L32" t="str">
        <f t="shared" si="2"/>
        <v>NOK</v>
      </c>
      <c r="P32" t="s">
        <v>13</v>
      </c>
      <c r="Q32" t="s">
        <v>132</v>
      </c>
      <c r="R32" t="s">
        <v>133</v>
      </c>
      <c r="S32" t="s">
        <v>132</v>
      </c>
      <c r="T32" t="s">
        <v>133</v>
      </c>
      <c r="U32" t="s">
        <v>132</v>
      </c>
      <c r="V32" t="s">
        <v>133</v>
      </c>
      <c r="W32" t="s">
        <v>5</v>
      </c>
      <c r="X32">
        <v>0</v>
      </c>
    </row>
    <row r="33" spans="1:24" s="9" customFormat="1" hidden="1" x14ac:dyDescent="0.3">
      <c r="A33" s="50" t="str">
        <f t="shared" si="1"/>
        <v>INSTRUMENT_CMPLNT_MRTR_C19_NM</v>
      </c>
      <c r="B33" t="s">
        <v>128</v>
      </c>
      <c r="C33" t="s">
        <v>183</v>
      </c>
      <c r="D33" t="s">
        <v>6</v>
      </c>
      <c r="E33" t="s">
        <v>38</v>
      </c>
      <c r="F33" t="s">
        <v>130</v>
      </c>
      <c r="G33" t="s">
        <v>131</v>
      </c>
      <c r="H33"/>
      <c r="I33" t="s">
        <v>26</v>
      </c>
      <c r="J33" s="15">
        <v>45450</v>
      </c>
      <c r="K33" t="s">
        <v>38</v>
      </c>
      <c r="L33" t="str">
        <f t="shared" si="2"/>
        <v>OK</v>
      </c>
      <c r="P33" t="s">
        <v>30</v>
      </c>
      <c r="Q33" t="s">
        <v>132</v>
      </c>
      <c r="R33" t="s">
        <v>133</v>
      </c>
      <c r="S33" t="s">
        <v>133</v>
      </c>
      <c r="T33" t="s">
        <v>133</v>
      </c>
      <c r="U33" t="s">
        <v>133</v>
      </c>
      <c r="V33" t="s">
        <v>133</v>
      </c>
      <c r="W33" t="s">
        <v>5</v>
      </c>
      <c r="X33">
        <v>0</v>
      </c>
    </row>
    <row r="34" spans="1:24" hidden="1" x14ac:dyDescent="0.3">
      <c r="A34" s="50" t="str">
        <f t="shared" si="1"/>
        <v>INSTRUMENT_CNSMPTN_FNRP18</v>
      </c>
      <c r="B34" t="s">
        <v>128</v>
      </c>
      <c r="C34" t="s">
        <v>184</v>
      </c>
      <c r="D34" t="s">
        <v>6</v>
      </c>
      <c r="E34" t="s">
        <v>38</v>
      </c>
      <c r="F34" t="s">
        <v>130</v>
      </c>
      <c r="G34" t="s">
        <v>131</v>
      </c>
      <c r="I34" t="s">
        <v>26</v>
      </c>
      <c r="J34" s="15">
        <v>45450</v>
      </c>
      <c r="K34" t="s">
        <v>38</v>
      </c>
      <c r="L34" t="str">
        <f t="shared" si="2"/>
        <v>OK</v>
      </c>
      <c r="P34" t="s">
        <v>30</v>
      </c>
      <c r="Q34" t="s">
        <v>132</v>
      </c>
      <c r="R34" t="s">
        <v>133</v>
      </c>
      <c r="S34" t="s">
        <v>133</v>
      </c>
      <c r="T34" t="s">
        <v>133</v>
      </c>
      <c r="U34" t="s">
        <v>133</v>
      </c>
      <c r="V34" t="s">
        <v>133</v>
      </c>
      <c r="W34" t="s">
        <v>5</v>
      </c>
      <c r="X34">
        <v>0</v>
      </c>
    </row>
    <row r="35" spans="1:24" hidden="1" x14ac:dyDescent="0.3">
      <c r="A35" s="50" t="str">
        <f t="shared" si="1"/>
        <v>PROTECTION_DT_APPRSL_PRVS</v>
      </c>
      <c r="B35" t="s">
        <v>161</v>
      </c>
      <c r="C35" s="10" t="s">
        <v>185</v>
      </c>
      <c r="D35" t="s">
        <v>14</v>
      </c>
      <c r="E35" t="s">
        <v>35</v>
      </c>
      <c r="F35" t="s">
        <v>149</v>
      </c>
      <c r="G35" t="s">
        <v>186</v>
      </c>
      <c r="H35" t="s">
        <v>187</v>
      </c>
      <c r="I35" t="s">
        <v>26</v>
      </c>
      <c r="J35" s="15">
        <v>45670</v>
      </c>
      <c r="K35" t="s">
        <v>38</v>
      </c>
      <c r="L35" t="s">
        <v>130</v>
      </c>
      <c r="M35" t="s">
        <v>188</v>
      </c>
      <c r="N35" s="15">
        <v>45485</v>
      </c>
      <c r="O35" s="15">
        <v>45646</v>
      </c>
      <c r="P35" t="s">
        <v>34</v>
      </c>
      <c r="Q35" t="s">
        <v>132</v>
      </c>
      <c r="R35" t="s">
        <v>133</v>
      </c>
      <c r="S35" t="s">
        <v>133</v>
      </c>
      <c r="T35" t="s">
        <v>133</v>
      </c>
      <c r="U35" t="s">
        <v>133</v>
      </c>
      <c r="V35" t="s">
        <v>133</v>
      </c>
      <c r="W35" t="s">
        <v>5</v>
      </c>
      <c r="X35">
        <v>0</v>
      </c>
    </row>
    <row r="36" spans="1:24" hidden="1" x14ac:dyDescent="0.3">
      <c r="A36" s="50" t="str">
        <f t="shared" si="1"/>
        <v>INSTRUMENT_CNTRCT_ID</v>
      </c>
      <c r="B36" t="s">
        <v>128</v>
      </c>
      <c r="C36" t="s">
        <v>189</v>
      </c>
      <c r="D36" t="s">
        <v>14</v>
      </c>
      <c r="E36" t="s">
        <v>38</v>
      </c>
      <c r="F36" t="s">
        <v>130</v>
      </c>
      <c r="G36" t="s">
        <v>131</v>
      </c>
      <c r="I36" t="s">
        <v>26</v>
      </c>
      <c r="J36" s="15">
        <v>45450</v>
      </c>
      <c r="K36" t="s">
        <v>38</v>
      </c>
      <c r="L36" t="str">
        <f t="shared" ref="L36:L70" si="3">F36</f>
        <v>OK</v>
      </c>
      <c r="P36" t="s">
        <v>30</v>
      </c>
      <c r="Q36" t="s">
        <v>132</v>
      </c>
      <c r="R36" t="s">
        <v>133</v>
      </c>
      <c r="S36" t="s">
        <v>133</v>
      </c>
      <c r="T36" t="s">
        <v>133</v>
      </c>
      <c r="U36" t="s">
        <v>133</v>
      </c>
      <c r="V36" t="s">
        <v>133</v>
      </c>
      <c r="W36" t="s">
        <v>5</v>
      </c>
      <c r="X36">
        <v>0</v>
      </c>
    </row>
    <row r="37" spans="1:24" hidden="1" x14ac:dyDescent="0.3">
      <c r="A37" s="50" t="str">
        <f t="shared" si="1"/>
        <v>INSTRUMENT_CNTRCT_ID_BDR</v>
      </c>
      <c r="B37" t="s">
        <v>128</v>
      </c>
      <c r="C37" t="s">
        <v>190</v>
      </c>
      <c r="D37" t="s">
        <v>6</v>
      </c>
      <c r="E37" t="s">
        <v>38</v>
      </c>
      <c r="F37" t="s">
        <v>130</v>
      </c>
      <c r="G37" t="s">
        <v>131</v>
      </c>
      <c r="I37" t="s">
        <v>26</v>
      </c>
      <c r="J37" s="15">
        <v>45450</v>
      </c>
      <c r="K37" t="s">
        <v>38</v>
      </c>
      <c r="L37" t="str">
        <f t="shared" si="3"/>
        <v>OK</v>
      </c>
      <c r="P37" t="s">
        <v>30</v>
      </c>
      <c r="Q37" t="s">
        <v>132</v>
      </c>
      <c r="R37" t="s">
        <v>133</v>
      </c>
      <c r="S37" t="s">
        <v>133</v>
      </c>
      <c r="T37" t="s">
        <v>133</v>
      </c>
      <c r="U37" t="s">
        <v>133</v>
      </c>
      <c r="V37" t="s">
        <v>133</v>
      </c>
      <c r="W37" t="s">
        <v>5</v>
      </c>
      <c r="X37">
        <v>0</v>
      </c>
    </row>
    <row r="38" spans="1:24" hidden="1" x14ac:dyDescent="0.3">
      <c r="A38" s="50" t="str">
        <f t="shared" si="1"/>
        <v>ENTITY_CNTRY</v>
      </c>
      <c r="B38" t="s">
        <v>142</v>
      </c>
      <c r="C38" t="s">
        <v>191</v>
      </c>
      <c r="D38" t="s">
        <v>14</v>
      </c>
      <c r="E38" t="s">
        <v>38</v>
      </c>
      <c r="F38" t="s">
        <v>130</v>
      </c>
      <c r="G38" t="s">
        <v>131</v>
      </c>
      <c r="I38" t="s">
        <v>26</v>
      </c>
      <c r="J38" s="15">
        <v>45450</v>
      </c>
      <c r="K38" t="s">
        <v>38</v>
      </c>
      <c r="L38" t="str">
        <f t="shared" si="3"/>
        <v>OK</v>
      </c>
      <c r="P38" t="s">
        <v>30</v>
      </c>
      <c r="Q38" t="s">
        <v>132</v>
      </c>
      <c r="R38" t="s">
        <v>133</v>
      </c>
      <c r="S38" t="s">
        <v>132</v>
      </c>
      <c r="T38" t="s">
        <v>133</v>
      </c>
      <c r="U38" t="s">
        <v>132</v>
      </c>
      <c r="V38" t="s">
        <v>132</v>
      </c>
      <c r="W38" t="s">
        <v>5</v>
      </c>
      <c r="X38" t="s">
        <v>135</v>
      </c>
    </row>
    <row r="39" spans="1:24" hidden="1" x14ac:dyDescent="0.3">
      <c r="A39" s="50" t="str">
        <f t="shared" si="1"/>
        <v>ENTITY_COD_SOC</v>
      </c>
      <c r="B39" t="s">
        <v>142</v>
      </c>
      <c r="C39" t="s">
        <v>192</v>
      </c>
      <c r="D39" t="s">
        <v>14</v>
      </c>
      <c r="E39" t="s">
        <v>38</v>
      </c>
      <c r="F39" t="s">
        <v>130</v>
      </c>
      <c r="G39" t="s">
        <v>131</v>
      </c>
      <c r="I39" t="s">
        <v>26</v>
      </c>
      <c r="J39" s="15">
        <v>45450</v>
      </c>
      <c r="K39" t="s">
        <v>38</v>
      </c>
      <c r="L39" t="str">
        <f t="shared" si="3"/>
        <v>OK</v>
      </c>
      <c r="P39" t="s">
        <v>30</v>
      </c>
      <c r="Q39" t="s">
        <v>132</v>
      </c>
      <c r="R39" t="s">
        <v>133</v>
      </c>
      <c r="S39" t="s">
        <v>132</v>
      </c>
      <c r="T39" t="s">
        <v>133</v>
      </c>
      <c r="U39" t="s">
        <v>132</v>
      </c>
      <c r="V39" t="s">
        <v>132</v>
      </c>
      <c r="W39" t="s">
        <v>5</v>
      </c>
      <c r="X39" t="s">
        <v>135</v>
      </c>
    </row>
    <row r="40" spans="1:24" hidden="1" x14ac:dyDescent="0.3">
      <c r="A40" s="50" t="str">
        <f t="shared" si="1"/>
        <v>INSTR_ENTITY_COD_SOC</v>
      </c>
      <c r="B40" t="s">
        <v>193</v>
      </c>
      <c r="C40" t="s">
        <v>192</v>
      </c>
      <c r="D40" t="s">
        <v>14</v>
      </c>
      <c r="E40" t="s">
        <v>38</v>
      </c>
      <c r="F40" t="s">
        <v>130</v>
      </c>
      <c r="G40" t="s">
        <v>131</v>
      </c>
      <c r="I40" t="s">
        <v>26</v>
      </c>
      <c r="J40" s="15">
        <v>45450</v>
      </c>
      <c r="K40" t="s">
        <v>38</v>
      </c>
      <c r="L40" t="str">
        <f t="shared" si="3"/>
        <v>OK</v>
      </c>
      <c r="P40" t="s">
        <v>30</v>
      </c>
      <c r="Q40" t="s">
        <v>132</v>
      </c>
      <c r="R40" t="s">
        <v>133</v>
      </c>
      <c r="S40" t="s">
        <v>132</v>
      </c>
      <c r="T40" t="s">
        <v>133</v>
      </c>
      <c r="U40" t="s">
        <v>133</v>
      </c>
      <c r="V40" t="s">
        <v>132</v>
      </c>
      <c r="W40" t="s">
        <v>5</v>
      </c>
      <c r="X40" t="s">
        <v>135</v>
      </c>
    </row>
    <row r="41" spans="1:24" hidden="1" x14ac:dyDescent="0.3">
      <c r="A41" s="50" t="str">
        <f t="shared" si="1"/>
        <v>INSTR_PROTECTION_COD_SOC</v>
      </c>
      <c r="B41" t="s">
        <v>194</v>
      </c>
      <c r="C41" t="s">
        <v>192</v>
      </c>
      <c r="D41" t="s">
        <v>14</v>
      </c>
      <c r="E41" t="s">
        <v>38</v>
      </c>
      <c r="F41" t="s">
        <v>130</v>
      </c>
      <c r="G41" t="s">
        <v>131</v>
      </c>
      <c r="I41" t="s">
        <v>26</v>
      </c>
      <c r="J41" s="15">
        <v>45450</v>
      </c>
      <c r="K41" t="s">
        <v>38</v>
      </c>
      <c r="L41" t="str">
        <f t="shared" si="3"/>
        <v>OK</v>
      </c>
      <c r="P41" t="s">
        <v>30</v>
      </c>
      <c r="Q41" t="s">
        <v>132</v>
      </c>
      <c r="R41" t="s">
        <v>132</v>
      </c>
      <c r="S41" t="s">
        <v>132</v>
      </c>
      <c r="T41" t="s">
        <v>133</v>
      </c>
      <c r="U41" t="s">
        <v>133</v>
      </c>
      <c r="V41" t="s">
        <v>133</v>
      </c>
      <c r="W41" t="s">
        <v>5</v>
      </c>
      <c r="X41">
        <v>0</v>
      </c>
    </row>
    <row r="42" spans="1:24" hidden="1" x14ac:dyDescent="0.3">
      <c r="A42" s="50" t="str">
        <f t="shared" si="1"/>
        <v>INSTRUMENT_COD_SOC</v>
      </c>
      <c r="B42" t="s">
        <v>128</v>
      </c>
      <c r="C42" t="s">
        <v>192</v>
      </c>
      <c r="D42" t="s">
        <v>14</v>
      </c>
      <c r="E42" t="s">
        <v>38</v>
      </c>
      <c r="F42" t="s">
        <v>130</v>
      </c>
      <c r="G42" t="s">
        <v>131</v>
      </c>
      <c r="I42" t="s">
        <v>26</v>
      </c>
      <c r="J42" s="15">
        <v>45450</v>
      </c>
      <c r="K42" t="s">
        <v>38</v>
      </c>
      <c r="L42" t="str">
        <f t="shared" si="3"/>
        <v>OK</v>
      </c>
      <c r="P42" t="s">
        <v>30</v>
      </c>
      <c r="Q42" t="s">
        <v>132</v>
      </c>
      <c r="R42" t="s">
        <v>132</v>
      </c>
      <c r="S42" t="s">
        <v>132</v>
      </c>
      <c r="T42" t="s">
        <v>133</v>
      </c>
      <c r="U42" t="s">
        <v>132</v>
      </c>
      <c r="V42" t="s">
        <v>132</v>
      </c>
      <c r="W42" t="s">
        <v>5</v>
      </c>
      <c r="X42" t="s">
        <v>135</v>
      </c>
    </row>
    <row r="43" spans="1:24" hidden="1" x14ac:dyDescent="0.3">
      <c r="A43" s="50" t="str">
        <f t="shared" si="1"/>
        <v>PROTECTION_COD_SOC</v>
      </c>
      <c r="B43" t="s">
        <v>161</v>
      </c>
      <c r="C43" t="s">
        <v>192</v>
      </c>
      <c r="D43" t="s">
        <v>14</v>
      </c>
      <c r="E43" t="s">
        <v>38</v>
      </c>
      <c r="F43" t="s">
        <v>130</v>
      </c>
      <c r="G43" t="s">
        <v>131</v>
      </c>
      <c r="I43" t="s">
        <v>26</v>
      </c>
      <c r="J43" s="15">
        <v>45450</v>
      </c>
      <c r="K43" t="s">
        <v>38</v>
      </c>
      <c r="L43" t="str">
        <f t="shared" si="3"/>
        <v>OK</v>
      </c>
      <c r="P43" t="s">
        <v>30</v>
      </c>
      <c r="Q43" t="s">
        <v>132</v>
      </c>
      <c r="R43" t="s">
        <v>132</v>
      </c>
      <c r="S43" t="s">
        <v>132</v>
      </c>
      <c r="T43" t="s">
        <v>133</v>
      </c>
      <c r="U43" t="s">
        <v>132</v>
      </c>
      <c r="V43" t="s">
        <v>133</v>
      </c>
      <c r="W43" t="s">
        <v>5</v>
      </c>
      <c r="X43">
        <v>0</v>
      </c>
    </row>
    <row r="44" spans="1:24" hidden="1" x14ac:dyDescent="0.3">
      <c r="A44" s="50" t="str">
        <f t="shared" si="1"/>
        <v>INSTRUMENT_COD_SOC_INTRGRP</v>
      </c>
      <c r="B44" t="s">
        <v>128</v>
      </c>
      <c r="C44" t="s">
        <v>195</v>
      </c>
      <c r="D44" t="s">
        <v>14</v>
      </c>
      <c r="E44" t="s">
        <v>31</v>
      </c>
      <c r="F44" t="s">
        <v>149</v>
      </c>
      <c r="G44" t="s">
        <v>175</v>
      </c>
      <c r="I44" t="s">
        <v>29</v>
      </c>
      <c r="J44" s="15">
        <v>45460</v>
      </c>
      <c r="K44" t="s">
        <v>33</v>
      </c>
      <c r="L44" t="str">
        <f t="shared" si="3"/>
        <v>NOK</v>
      </c>
      <c r="N44" s="15">
        <v>45303</v>
      </c>
      <c r="O44" s="15">
        <v>45379</v>
      </c>
      <c r="P44" t="s">
        <v>19</v>
      </c>
      <c r="Q44" t="s">
        <v>132</v>
      </c>
      <c r="R44" t="s">
        <v>132</v>
      </c>
      <c r="S44" t="s">
        <v>133</v>
      </c>
      <c r="T44" t="s">
        <v>133</v>
      </c>
      <c r="U44" t="s">
        <v>133</v>
      </c>
      <c r="V44" t="s">
        <v>133</v>
      </c>
      <c r="W44" t="s">
        <v>5</v>
      </c>
      <c r="X44">
        <v>0</v>
      </c>
    </row>
    <row r="45" spans="1:24" hidden="1" x14ac:dyDescent="0.3">
      <c r="A45" s="50" t="str">
        <f t="shared" si="1"/>
        <v>INSTRUMENT_CPN_CRRNCY</v>
      </c>
      <c r="B45" t="s">
        <v>128</v>
      </c>
      <c r="C45" t="s">
        <v>196</v>
      </c>
      <c r="D45" t="s">
        <v>6</v>
      </c>
      <c r="E45" t="s">
        <v>38</v>
      </c>
      <c r="F45" t="s">
        <v>130</v>
      </c>
      <c r="G45" t="s">
        <v>131</v>
      </c>
      <c r="I45" t="s">
        <v>26</v>
      </c>
      <c r="J45" s="15">
        <v>45450</v>
      </c>
      <c r="K45" t="s">
        <v>38</v>
      </c>
      <c r="L45" t="str">
        <f t="shared" si="3"/>
        <v>OK</v>
      </c>
      <c r="P45" t="s">
        <v>30</v>
      </c>
      <c r="Q45" t="s">
        <v>132</v>
      </c>
      <c r="R45" t="s">
        <v>133</v>
      </c>
      <c r="S45" t="s">
        <v>133</v>
      </c>
      <c r="T45" t="s">
        <v>133</v>
      </c>
      <c r="U45" t="s">
        <v>133</v>
      </c>
      <c r="V45" t="s">
        <v>133</v>
      </c>
      <c r="W45" t="s">
        <v>5</v>
      </c>
      <c r="X45">
        <v>0</v>
      </c>
    </row>
    <row r="46" spans="1:24" hidden="1" x14ac:dyDescent="0.3">
      <c r="A46" s="50" t="str">
        <f t="shared" si="1"/>
        <v>INSTRUMENT_CPN_RT_FXD</v>
      </c>
      <c r="B46" t="s">
        <v>128</v>
      </c>
      <c r="C46" t="s">
        <v>197</v>
      </c>
      <c r="D46" t="s">
        <v>6</v>
      </c>
      <c r="E46" t="s">
        <v>38</v>
      </c>
      <c r="F46" t="s">
        <v>130</v>
      </c>
      <c r="G46" t="s">
        <v>131</v>
      </c>
      <c r="I46" t="s">
        <v>26</v>
      </c>
      <c r="J46" s="15">
        <v>45450</v>
      </c>
      <c r="K46" t="s">
        <v>38</v>
      </c>
      <c r="L46" t="str">
        <f t="shared" si="3"/>
        <v>OK</v>
      </c>
      <c r="P46" t="s">
        <v>30</v>
      </c>
      <c r="Q46" t="s">
        <v>132</v>
      </c>
      <c r="R46" t="s">
        <v>133</v>
      </c>
      <c r="S46" t="s">
        <v>133</v>
      </c>
      <c r="T46" t="s">
        <v>133</v>
      </c>
      <c r="U46" t="s">
        <v>133</v>
      </c>
      <c r="V46" t="s">
        <v>133</v>
      </c>
      <c r="W46" t="s">
        <v>5</v>
      </c>
      <c r="X46">
        <v>0</v>
      </c>
    </row>
    <row r="47" spans="1:24" hidden="1" x14ac:dyDescent="0.3">
      <c r="A47" s="50" t="str">
        <f t="shared" si="1"/>
        <v>ENTITY_CR_FLG</v>
      </c>
      <c r="B47" t="s">
        <v>142</v>
      </c>
      <c r="C47" t="s">
        <v>198</v>
      </c>
      <c r="D47" t="s">
        <v>6</v>
      </c>
      <c r="E47" t="s">
        <v>36</v>
      </c>
      <c r="F47" t="s">
        <v>149</v>
      </c>
      <c r="G47" t="s">
        <v>163</v>
      </c>
      <c r="I47" t="s">
        <v>29</v>
      </c>
      <c r="J47" s="15">
        <v>45450</v>
      </c>
      <c r="K47" t="s">
        <v>36</v>
      </c>
      <c r="L47" t="str">
        <f t="shared" si="3"/>
        <v>NOK</v>
      </c>
      <c r="P47" t="s">
        <v>8</v>
      </c>
      <c r="Q47" t="s">
        <v>132</v>
      </c>
      <c r="R47" t="s">
        <v>133</v>
      </c>
      <c r="S47" t="s">
        <v>133</v>
      </c>
      <c r="T47" t="s">
        <v>133</v>
      </c>
      <c r="U47" t="s">
        <v>133</v>
      </c>
      <c r="V47" t="s">
        <v>133</v>
      </c>
      <c r="W47" t="s">
        <v>5</v>
      </c>
      <c r="X47">
        <v>0</v>
      </c>
    </row>
    <row r="48" spans="1:24" hidden="1" x14ac:dyDescent="0.3">
      <c r="A48" s="50" t="str">
        <f t="shared" si="1"/>
        <v>INSTRUMENT_CRE_FNRP18</v>
      </c>
      <c r="B48" t="s">
        <v>128</v>
      </c>
      <c r="C48" t="s">
        <v>199</v>
      </c>
      <c r="D48" t="s">
        <v>14</v>
      </c>
      <c r="E48" t="s">
        <v>38</v>
      </c>
      <c r="F48" t="s">
        <v>130</v>
      </c>
      <c r="G48" t="s">
        <v>131</v>
      </c>
      <c r="I48" t="s">
        <v>26</v>
      </c>
      <c r="J48" s="15">
        <v>45450</v>
      </c>
      <c r="K48" t="s">
        <v>38</v>
      </c>
      <c r="L48" t="str">
        <f t="shared" si="3"/>
        <v>OK</v>
      </c>
      <c r="P48" t="s">
        <v>30</v>
      </c>
      <c r="Q48" t="s">
        <v>132</v>
      </c>
      <c r="R48" t="s">
        <v>133</v>
      </c>
      <c r="S48" t="s">
        <v>133</v>
      </c>
      <c r="T48" t="s">
        <v>133</v>
      </c>
      <c r="U48" t="s">
        <v>133</v>
      </c>
      <c r="V48" t="s">
        <v>133</v>
      </c>
      <c r="W48" t="s">
        <v>5</v>
      </c>
      <c r="X48">
        <v>0</v>
      </c>
    </row>
    <row r="49" spans="1:24" hidden="1" x14ac:dyDescent="0.3">
      <c r="A49" s="50" t="str">
        <f t="shared" si="1"/>
        <v>PROTECTION_CRE_INCM_CRRNCY</v>
      </c>
      <c r="B49" t="s">
        <v>161</v>
      </c>
      <c r="C49" t="s">
        <v>200</v>
      </c>
      <c r="D49" t="s">
        <v>6</v>
      </c>
      <c r="E49" t="s">
        <v>37</v>
      </c>
      <c r="F49" t="s">
        <v>149</v>
      </c>
      <c r="G49" t="s">
        <v>201</v>
      </c>
      <c r="I49" t="s">
        <v>26</v>
      </c>
      <c r="J49" s="15">
        <v>45450</v>
      </c>
      <c r="K49" t="s">
        <v>37</v>
      </c>
      <c r="L49" t="str">
        <f t="shared" si="3"/>
        <v>NOK</v>
      </c>
      <c r="P49" t="s">
        <v>27</v>
      </c>
      <c r="Q49" t="s">
        <v>132</v>
      </c>
      <c r="R49" t="s">
        <v>133</v>
      </c>
      <c r="S49" t="s">
        <v>133</v>
      </c>
      <c r="T49" t="s">
        <v>133</v>
      </c>
      <c r="U49" t="s">
        <v>133</v>
      </c>
      <c r="V49" t="s">
        <v>133</v>
      </c>
      <c r="W49" t="s">
        <v>5</v>
      </c>
      <c r="X49">
        <v>0</v>
      </c>
    </row>
    <row r="50" spans="1:24" hidden="1" x14ac:dyDescent="0.3">
      <c r="A50" s="50" t="str">
        <f t="shared" si="1"/>
        <v>PROTECTION_CRE_YRLY_EXPNSS</v>
      </c>
      <c r="B50" t="s">
        <v>161</v>
      </c>
      <c r="C50" t="s">
        <v>202</v>
      </c>
      <c r="D50" t="s">
        <v>6</v>
      </c>
      <c r="E50" t="s">
        <v>37</v>
      </c>
      <c r="F50" t="s">
        <v>130</v>
      </c>
      <c r="G50" t="s">
        <v>201</v>
      </c>
      <c r="I50" t="s">
        <v>26</v>
      </c>
      <c r="J50" s="15">
        <v>45450</v>
      </c>
      <c r="K50" t="s">
        <v>37</v>
      </c>
      <c r="L50" t="str">
        <f t="shared" si="3"/>
        <v>OK</v>
      </c>
      <c r="P50" t="s">
        <v>27</v>
      </c>
      <c r="Q50" t="s">
        <v>132</v>
      </c>
      <c r="R50" t="s">
        <v>133</v>
      </c>
      <c r="S50" t="s">
        <v>133</v>
      </c>
      <c r="T50" t="s">
        <v>133</v>
      </c>
      <c r="U50" t="s">
        <v>133</v>
      </c>
      <c r="V50" t="s">
        <v>133</v>
      </c>
      <c r="W50" t="s">
        <v>5</v>
      </c>
      <c r="X50">
        <v>0</v>
      </c>
    </row>
    <row r="51" spans="1:24" hidden="1" x14ac:dyDescent="0.3">
      <c r="A51" s="50" t="str">
        <f t="shared" si="1"/>
        <v>PROTECTION_CRE_YRLY_INCM</v>
      </c>
      <c r="B51" t="s">
        <v>161</v>
      </c>
      <c r="C51" t="s">
        <v>203</v>
      </c>
      <c r="D51" t="s">
        <v>6</v>
      </c>
      <c r="E51" t="s">
        <v>37</v>
      </c>
      <c r="F51" t="s">
        <v>130</v>
      </c>
      <c r="G51" t="s">
        <v>201</v>
      </c>
      <c r="I51" t="s">
        <v>26</v>
      </c>
      <c r="J51" s="15">
        <v>45450</v>
      </c>
      <c r="K51" t="s">
        <v>37</v>
      </c>
      <c r="L51" t="str">
        <f t="shared" si="3"/>
        <v>OK</v>
      </c>
      <c r="P51" t="s">
        <v>27</v>
      </c>
      <c r="Q51" t="s">
        <v>132</v>
      </c>
      <c r="R51" t="s">
        <v>133</v>
      </c>
      <c r="S51" t="s">
        <v>133</v>
      </c>
      <c r="T51" t="s">
        <v>133</v>
      </c>
      <c r="U51" t="s">
        <v>133</v>
      </c>
      <c r="V51" t="s">
        <v>133</v>
      </c>
      <c r="W51" t="s">
        <v>5</v>
      </c>
      <c r="X51">
        <v>0</v>
      </c>
    </row>
    <row r="52" spans="1:24" hidden="1" x14ac:dyDescent="0.3">
      <c r="A52" s="50" t="str">
        <f t="shared" si="1"/>
        <v>INSTRUMENT_CRRLTN_CFFCNT</v>
      </c>
      <c r="B52" t="s">
        <v>128</v>
      </c>
      <c r="C52" t="s">
        <v>204</v>
      </c>
      <c r="D52" t="s">
        <v>6</v>
      </c>
      <c r="E52" t="s">
        <v>36</v>
      </c>
      <c r="F52" t="s">
        <v>149</v>
      </c>
      <c r="G52" t="s">
        <v>163</v>
      </c>
      <c r="I52" t="s">
        <v>29</v>
      </c>
      <c r="J52" s="15">
        <v>45450</v>
      </c>
      <c r="K52" t="s">
        <v>36</v>
      </c>
      <c r="L52" t="str">
        <f t="shared" si="3"/>
        <v>NOK</v>
      </c>
      <c r="P52" t="s">
        <v>8</v>
      </c>
      <c r="Q52" t="s">
        <v>132</v>
      </c>
      <c r="R52" t="s">
        <v>133</v>
      </c>
      <c r="S52" t="s">
        <v>133</v>
      </c>
      <c r="T52" t="s">
        <v>133</v>
      </c>
      <c r="U52" t="s">
        <v>133</v>
      </c>
      <c r="V52" t="s">
        <v>133</v>
      </c>
      <c r="W52" t="s">
        <v>5</v>
      </c>
      <c r="X52">
        <v>0</v>
      </c>
    </row>
    <row r="53" spans="1:24" hidden="1" x14ac:dyDescent="0.3">
      <c r="A53" s="50" t="str">
        <f t="shared" si="1"/>
        <v>INSTRUMENT_CRRNCY_DNMNTN</v>
      </c>
      <c r="B53" t="s">
        <v>128</v>
      </c>
      <c r="C53" t="s">
        <v>205</v>
      </c>
      <c r="D53" t="s">
        <v>14</v>
      </c>
      <c r="E53" t="s">
        <v>38</v>
      </c>
      <c r="F53" t="s">
        <v>130</v>
      </c>
      <c r="G53" t="s">
        <v>131</v>
      </c>
      <c r="I53" t="s">
        <v>26</v>
      </c>
      <c r="J53" s="15">
        <v>45450</v>
      </c>
      <c r="K53" t="s">
        <v>38</v>
      </c>
      <c r="L53" t="str">
        <f t="shared" si="3"/>
        <v>OK</v>
      </c>
      <c r="P53" t="s">
        <v>30</v>
      </c>
      <c r="Q53" t="s">
        <v>132</v>
      </c>
      <c r="R53" t="s">
        <v>133</v>
      </c>
      <c r="S53" t="s">
        <v>133</v>
      </c>
      <c r="T53" t="s">
        <v>133</v>
      </c>
      <c r="U53" t="s">
        <v>133</v>
      </c>
      <c r="V53" t="s">
        <v>132</v>
      </c>
      <c r="W53" t="s">
        <v>5</v>
      </c>
      <c r="X53" t="s">
        <v>135</v>
      </c>
    </row>
    <row r="54" spans="1:24" hidden="1" x14ac:dyDescent="0.3">
      <c r="A54" s="50" t="str">
        <f t="shared" si="1"/>
        <v>INSTRUMENT_CRRYNG_AMNT_INSTRMNT</v>
      </c>
      <c r="B54" t="s">
        <v>128</v>
      </c>
      <c r="C54" t="s">
        <v>206</v>
      </c>
      <c r="D54" t="s">
        <v>14</v>
      </c>
      <c r="E54" t="s">
        <v>38</v>
      </c>
      <c r="F54" t="s">
        <v>130</v>
      </c>
      <c r="G54" t="s">
        <v>131</v>
      </c>
      <c r="I54" t="s">
        <v>26</v>
      </c>
      <c r="J54" s="15">
        <v>45450</v>
      </c>
      <c r="K54" t="s">
        <v>38</v>
      </c>
      <c r="L54" t="str">
        <f t="shared" si="3"/>
        <v>OK</v>
      </c>
      <c r="P54" t="s">
        <v>30</v>
      </c>
      <c r="Q54" t="s">
        <v>132</v>
      </c>
      <c r="R54" t="s">
        <v>133</v>
      </c>
      <c r="S54" t="s">
        <v>133</v>
      </c>
      <c r="T54" t="s">
        <v>133</v>
      </c>
      <c r="U54" t="s">
        <v>133</v>
      </c>
      <c r="V54" t="s">
        <v>132</v>
      </c>
      <c r="W54" t="s">
        <v>5</v>
      </c>
      <c r="X54" t="s">
        <v>135</v>
      </c>
    </row>
    <row r="55" spans="1:24" hidden="1" x14ac:dyDescent="0.3">
      <c r="A55" s="50" t="str">
        <f t="shared" si="1"/>
        <v>ENTITY_CSH</v>
      </c>
      <c r="B55" t="s">
        <v>142</v>
      </c>
      <c r="C55" t="s">
        <v>207</v>
      </c>
      <c r="D55" t="s">
        <v>14</v>
      </c>
      <c r="E55" t="s">
        <v>25</v>
      </c>
      <c r="F55" t="s">
        <v>130</v>
      </c>
      <c r="G55" t="s">
        <v>144</v>
      </c>
      <c r="H55" t="s">
        <v>145</v>
      </c>
      <c r="I55" t="s">
        <v>29</v>
      </c>
      <c r="J55" s="15">
        <v>45450</v>
      </c>
      <c r="K55" t="s">
        <v>25</v>
      </c>
      <c r="L55" t="str">
        <f t="shared" si="3"/>
        <v>OK</v>
      </c>
      <c r="P55" t="s">
        <v>13</v>
      </c>
      <c r="Q55" t="s">
        <v>132</v>
      </c>
      <c r="R55" t="s">
        <v>133</v>
      </c>
      <c r="S55" t="s">
        <v>133</v>
      </c>
      <c r="T55" t="s">
        <v>133</v>
      </c>
      <c r="U55" t="s">
        <v>133</v>
      </c>
      <c r="V55" t="s">
        <v>133</v>
      </c>
      <c r="W55" t="s">
        <v>5</v>
      </c>
      <c r="X55">
        <v>0</v>
      </c>
    </row>
    <row r="56" spans="1:24" hidden="1" x14ac:dyDescent="0.3">
      <c r="A56" s="50" t="str">
        <f t="shared" si="1"/>
        <v>ENTITY_CSH_PRVS</v>
      </c>
      <c r="B56" t="s">
        <v>142</v>
      </c>
      <c r="C56" t="s">
        <v>208</v>
      </c>
      <c r="D56" t="s">
        <v>14</v>
      </c>
      <c r="E56" t="s">
        <v>25</v>
      </c>
      <c r="F56" t="s">
        <v>130</v>
      </c>
      <c r="G56" t="s">
        <v>144</v>
      </c>
      <c r="H56" t="s">
        <v>145</v>
      </c>
      <c r="I56" t="s">
        <v>29</v>
      </c>
      <c r="J56" s="15">
        <v>45450</v>
      </c>
      <c r="K56" t="s">
        <v>25</v>
      </c>
      <c r="L56" t="str">
        <f t="shared" si="3"/>
        <v>OK</v>
      </c>
      <c r="P56" t="s">
        <v>13</v>
      </c>
      <c r="Q56" t="s">
        <v>132</v>
      </c>
      <c r="R56" t="s">
        <v>133</v>
      </c>
      <c r="S56" t="s">
        <v>133</v>
      </c>
      <c r="T56" t="s">
        <v>133</v>
      </c>
      <c r="U56" t="s">
        <v>133</v>
      </c>
      <c r="V56" t="s">
        <v>133</v>
      </c>
      <c r="W56" t="s">
        <v>5</v>
      </c>
      <c r="X56">
        <v>0</v>
      </c>
    </row>
    <row r="57" spans="1:24" hidden="1" x14ac:dyDescent="0.3">
      <c r="A57" s="50" t="str">
        <f t="shared" si="1"/>
        <v>INSTRUMENT_CSH_SWP_TRP</v>
      </c>
      <c r="B57" t="s">
        <v>128</v>
      </c>
      <c r="C57" t="s">
        <v>209</v>
      </c>
      <c r="D57" t="s">
        <v>14</v>
      </c>
      <c r="E57" t="s">
        <v>38</v>
      </c>
      <c r="F57" t="s">
        <v>130</v>
      </c>
      <c r="G57" t="s">
        <v>131</v>
      </c>
      <c r="I57" t="s">
        <v>26</v>
      </c>
      <c r="J57" s="15">
        <v>45450</v>
      </c>
      <c r="K57" t="s">
        <v>38</v>
      </c>
      <c r="L57" t="str">
        <f t="shared" si="3"/>
        <v>OK</v>
      </c>
      <c r="P57" t="s">
        <v>30</v>
      </c>
      <c r="Q57" t="s">
        <v>132</v>
      </c>
      <c r="R57" t="s">
        <v>133</v>
      </c>
      <c r="S57" t="s">
        <v>133</v>
      </c>
      <c r="T57" t="s">
        <v>133</v>
      </c>
      <c r="U57" t="s">
        <v>133</v>
      </c>
      <c r="V57" t="s">
        <v>132</v>
      </c>
      <c r="W57" t="s">
        <v>5</v>
      </c>
      <c r="X57" t="s">
        <v>135</v>
      </c>
    </row>
    <row r="58" spans="1:24" hidden="1" x14ac:dyDescent="0.3">
      <c r="A58" s="50" t="str">
        <f t="shared" si="1"/>
        <v>INSTRUMENT_CVNNT_STTS</v>
      </c>
      <c r="B58" t="s">
        <v>128</v>
      </c>
      <c r="C58" t="s">
        <v>210</v>
      </c>
      <c r="D58" t="s">
        <v>6</v>
      </c>
      <c r="E58" t="s">
        <v>37</v>
      </c>
      <c r="F58" t="s">
        <v>130</v>
      </c>
      <c r="G58" t="s">
        <v>170</v>
      </c>
      <c r="I58" t="s">
        <v>26</v>
      </c>
      <c r="J58" s="15">
        <v>45450</v>
      </c>
      <c r="K58" t="s">
        <v>37</v>
      </c>
      <c r="L58" t="str">
        <f t="shared" si="3"/>
        <v>OK</v>
      </c>
      <c r="P58" t="s">
        <v>27</v>
      </c>
      <c r="Q58" t="s">
        <v>132</v>
      </c>
      <c r="R58" t="s">
        <v>133</v>
      </c>
      <c r="S58" t="s">
        <v>133</v>
      </c>
      <c r="T58" t="s">
        <v>133</v>
      </c>
      <c r="U58" t="s">
        <v>133</v>
      </c>
      <c r="V58" t="s">
        <v>132</v>
      </c>
      <c r="W58" t="s">
        <v>146</v>
      </c>
      <c r="X58" t="s">
        <v>211</v>
      </c>
    </row>
    <row r="59" spans="1:24" hidden="1" x14ac:dyDescent="0.3">
      <c r="A59" s="50" t="str">
        <f t="shared" si="1"/>
        <v>INSTRUMENT_CVNNT_TYP</v>
      </c>
      <c r="B59" t="s">
        <v>128</v>
      </c>
      <c r="C59" t="s">
        <v>212</v>
      </c>
      <c r="D59" t="s">
        <v>6</v>
      </c>
      <c r="E59" t="s">
        <v>38</v>
      </c>
      <c r="F59" t="s">
        <v>130</v>
      </c>
      <c r="G59" t="s">
        <v>131</v>
      </c>
      <c r="I59" t="s">
        <v>26</v>
      </c>
      <c r="J59" s="15">
        <v>45450</v>
      </c>
      <c r="K59" t="s">
        <v>38</v>
      </c>
      <c r="L59" t="str">
        <f t="shared" si="3"/>
        <v>OK</v>
      </c>
      <c r="P59" t="s">
        <v>30</v>
      </c>
      <c r="Q59" t="s">
        <v>132</v>
      </c>
      <c r="R59" t="s">
        <v>133</v>
      </c>
      <c r="S59" t="s">
        <v>133</v>
      </c>
      <c r="T59" t="s">
        <v>133</v>
      </c>
      <c r="U59" t="s">
        <v>133</v>
      </c>
      <c r="V59" t="s">
        <v>132</v>
      </c>
      <c r="W59" t="s">
        <v>146</v>
      </c>
      <c r="X59" t="s">
        <v>211</v>
      </c>
    </row>
    <row r="60" spans="1:24" hidden="1" x14ac:dyDescent="0.3">
      <c r="A60" s="50" t="str">
        <f t="shared" si="1"/>
        <v>ENTITY_DBT_RPYMNT_CPCTY_SNR_DBT</v>
      </c>
      <c r="B60" t="s">
        <v>142</v>
      </c>
      <c r="C60" t="s">
        <v>213</v>
      </c>
      <c r="D60" t="s">
        <v>6</v>
      </c>
      <c r="E60" t="s">
        <v>37</v>
      </c>
      <c r="F60" t="s">
        <v>130</v>
      </c>
      <c r="G60" t="s">
        <v>170</v>
      </c>
      <c r="I60" t="s">
        <v>26</v>
      </c>
      <c r="J60" s="15">
        <v>45450</v>
      </c>
      <c r="K60" t="s">
        <v>37</v>
      </c>
      <c r="L60" t="str">
        <f t="shared" si="3"/>
        <v>OK</v>
      </c>
      <c r="P60" t="s">
        <v>27</v>
      </c>
      <c r="Q60" t="s">
        <v>132</v>
      </c>
      <c r="R60" t="s">
        <v>133</v>
      </c>
      <c r="S60" t="s">
        <v>133</v>
      </c>
      <c r="T60" t="s">
        <v>133</v>
      </c>
      <c r="U60" t="s">
        <v>133</v>
      </c>
      <c r="V60" t="s">
        <v>132</v>
      </c>
      <c r="W60" t="s">
        <v>146</v>
      </c>
      <c r="X60" t="s">
        <v>211</v>
      </c>
    </row>
    <row r="61" spans="1:24" hidden="1" x14ac:dyDescent="0.3">
      <c r="A61" s="50" t="str">
        <f t="shared" si="1"/>
        <v>ENTITY_DBT_RPYMNT_CPCTY_TTL</v>
      </c>
      <c r="B61" t="s">
        <v>142</v>
      </c>
      <c r="C61" t="s">
        <v>214</v>
      </c>
      <c r="D61" t="s">
        <v>6</v>
      </c>
      <c r="E61" t="s">
        <v>38</v>
      </c>
      <c r="F61" t="s">
        <v>130</v>
      </c>
      <c r="G61" t="s">
        <v>131</v>
      </c>
      <c r="I61" t="s">
        <v>26</v>
      </c>
      <c r="J61" s="15">
        <v>45450</v>
      </c>
      <c r="K61" t="s">
        <v>38</v>
      </c>
      <c r="L61" t="str">
        <f t="shared" si="3"/>
        <v>OK</v>
      </c>
      <c r="P61" t="s">
        <v>30</v>
      </c>
      <c r="Q61" t="s">
        <v>132</v>
      </c>
      <c r="R61" t="s">
        <v>133</v>
      </c>
      <c r="S61" t="s">
        <v>133</v>
      </c>
      <c r="T61" t="s">
        <v>133</v>
      </c>
      <c r="U61" t="s">
        <v>133</v>
      </c>
      <c r="V61" t="s">
        <v>132</v>
      </c>
      <c r="W61" t="s">
        <v>5</v>
      </c>
      <c r="X61" t="s">
        <v>135</v>
      </c>
    </row>
    <row r="62" spans="1:24" hidden="1" x14ac:dyDescent="0.3">
      <c r="A62" s="50" t="str">
        <f t="shared" si="1"/>
        <v>ENTITY_DBT_SRVC_RT</v>
      </c>
      <c r="B62" t="s">
        <v>142</v>
      </c>
      <c r="C62" t="s">
        <v>215</v>
      </c>
      <c r="D62" t="s">
        <v>14</v>
      </c>
      <c r="E62" t="s">
        <v>25</v>
      </c>
      <c r="F62" t="s">
        <v>130</v>
      </c>
      <c r="G62" t="s">
        <v>144</v>
      </c>
      <c r="H62" t="s">
        <v>145</v>
      </c>
      <c r="I62" t="s">
        <v>29</v>
      </c>
      <c r="J62" s="15">
        <v>45450</v>
      </c>
      <c r="K62" t="s">
        <v>25</v>
      </c>
      <c r="L62" t="str">
        <f t="shared" si="3"/>
        <v>OK</v>
      </c>
      <c r="P62" t="s">
        <v>13</v>
      </c>
      <c r="Q62" t="s">
        <v>132</v>
      </c>
      <c r="R62" t="s">
        <v>133</v>
      </c>
      <c r="S62" t="s">
        <v>133</v>
      </c>
      <c r="T62" t="s">
        <v>133</v>
      </c>
      <c r="U62" t="s">
        <v>133</v>
      </c>
      <c r="V62" t="s">
        <v>133</v>
      </c>
      <c r="W62" t="s">
        <v>5</v>
      </c>
      <c r="X62">
        <v>0</v>
      </c>
    </row>
    <row r="63" spans="1:24" hidden="1" x14ac:dyDescent="0.3">
      <c r="A63" s="50" t="str">
        <f t="shared" si="1"/>
        <v>ENTITY_DBT_SRVC_RT_12M</v>
      </c>
      <c r="B63" t="s">
        <v>142</v>
      </c>
      <c r="C63" t="s">
        <v>216</v>
      </c>
      <c r="D63" t="s">
        <v>14</v>
      </c>
      <c r="E63" t="s">
        <v>25</v>
      </c>
      <c r="F63" t="s">
        <v>130</v>
      </c>
      <c r="G63" t="s">
        <v>144</v>
      </c>
      <c r="H63" t="s">
        <v>145</v>
      </c>
      <c r="I63" t="s">
        <v>29</v>
      </c>
      <c r="J63" s="15">
        <v>45450</v>
      </c>
      <c r="K63" t="s">
        <v>25</v>
      </c>
      <c r="L63" t="str">
        <f t="shared" si="3"/>
        <v>OK</v>
      </c>
      <c r="P63" t="s">
        <v>13</v>
      </c>
      <c r="Q63" t="s">
        <v>132</v>
      </c>
      <c r="R63" t="s">
        <v>133</v>
      </c>
      <c r="S63" t="s">
        <v>133</v>
      </c>
      <c r="T63" t="s">
        <v>133</v>
      </c>
      <c r="U63" t="s">
        <v>133</v>
      </c>
      <c r="V63" t="s">
        <v>133</v>
      </c>
      <c r="W63" t="s">
        <v>5</v>
      </c>
      <c r="X63">
        <v>0</v>
      </c>
    </row>
    <row r="64" spans="1:24" hidden="1" x14ac:dyDescent="0.3">
      <c r="A64" s="50" t="str">
        <f t="shared" si="1"/>
        <v>INSTRUMENT_DBT_YLD</v>
      </c>
      <c r="B64" t="s">
        <v>128</v>
      </c>
      <c r="C64" t="s">
        <v>217</v>
      </c>
      <c r="D64" t="s">
        <v>6</v>
      </c>
      <c r="E64" t="s">
        <v>37</v>
      </c>
      <c r="F64" t="s">
        <v>130</v>
      </c>
      <c r="G64" t="s">
        <v>131</v>
      </c>
      <c r="I64" t="s">
        <v>26</v>
      </c>
      <c r="J64" s="15">
        <v>45450</v>
      </c>
      <c r="K64" t="s">
        <v>37</v>
      </c>
      <c r="L64" t="str">
        <f t="shared" si="3"/>
        <v>OK</v>
      </c>
      <c r="P64" t="s">
        <v>27</v>
      </c>
      <c r="Q64" t="s">
        <v>132</v>
      </c>
      <c r="R64" t="s">
        <v>133</v>
      </c>
      <c r="S64" t="s">
        <v>133</v>
      </c>
      <c r="T64" t="s">
        <v>133</v>
      </c>
      <c r="U64" t="s">
        <v>133</v>
      </c>
      <c r="V64" t="s">
        <v>133</v>
      </c>
      <c r="W64" t="s">
        <v>5</v>
      </c>
      <c r="X64">
        <v>0</v>
      </c>
    </row>
    <row r="65" spans="1:24" hidden="1" x14ac:dyDescent="0.3">
      <c r="A65" s="50" t="str">
        <f t="shared" si="1"/>
        <v>ENTITY_DCSD</v>
      </c>
      <c r="B65" t="s">
        <v>142</v>
      </c>
      <c r="C65" t="s">
        <v>218</v>
      </c>
      <c r="D65" t="s">
        <v>6</v>
      </c>
      <c r="E65" t="s">
        <v>38</v>
      </c>
      <c r="F65" t="s">
        <v>130</v>
      </c>
      <c r="G65" t="s">
        <v>131</v>
      </c>
      <c r="I65" t="s">
        <v>26</v>
      </c>
      <c r="J65" s="15">
        <v>45450</v>
      </c>
      <c r="K65" t="s">
        <v>38</v>
      </c>
      <c r="L65" t="str">
        <f t="shared" si="3"/>
        <v>OK</v>
      </c>
      <c r="P65" t="s">
        <v>30</v>
      </c>
      <c r="Q65" t="s">
        <v>132</v>
      </c>
      <c r="R65" t="s">
        <v>133</v>
      </c>
      <c r="S65" t="s">
        <v>133</v>
      </c>
      <c r="T65" t="s">
        <v>133</v>
      </c>
      <c r="U65" t="s">
        <v>133</v>
      </c>
      <c r="V65" t="s">
        <v>133</v>
      </c>
      <c r="W65" t="s">
        <v>5</v>
      </c>
      <c r="X65">
        <v>0</v>
      </c>
    </row>
    <row r="66" spans="1:24" hidden="1" x14ac:dyDescent="0.3">
      <c r="A66" s="50" t="str">
        <f t="shared" si="1"/>
        <v>ENTITY_DFLT_STTS</v>
      </c>
      <c r="B66" t="s">
        <v>142</v>
      </c>
      <c r="C66" s="10" t="s">
        <v>219</v>
      </c>
      <c r="D66" t="s">
        <v>14</v>
      </c>
      <c r="E66" t="s">
        <v>28</v>
      </c>
      <c r="F66" t="s">
        <v>149</v>
      </c>
      <c r="G66" t="s">
        <v>220</v>
      </c>
      <c r="H66" t="s">
        <v>221</v>
      </c>
      <c r="I66" t="s">
        <v>32</v>
      </c>
      <c r="J66" s="15">
        <v>45450</v>
      </c>
      <c r="K66" t="s">
        <v>28</v>
      </c>
      <c r="L66" t="str">
        <f t="shared" si="3"/>
        <v>NOK</v>
      </c>
      <c r="P66" t="s">
        <v>39</v>
      </c>
      <c r="Q66" t="s">
        <v>132</v>
      </c>
      <c r="R66" t="s">
        <v>133</v>
      </c>
      <c r="S66" t="s">
        <v>133</v>
      </c>
      <c r="T66" t="s">
        <v>133</v>
      </c>
      <c r="U66" t="s">
        <v>133</v>
      </c>
      <c r="V66" t="s">
        <v>132</v>
      </c>
      <c r="W66" t="s">
        <v>138</v>
      </c>
      <c r="X66" t="s">
        <v>222</v>
      </c>
    </row>
    <row r="67" spans="1:24" hidden="1" x14ac:dyDescent="0.3">
      <c r="A67" s="50" t="str">
        <f t="shared" si="1"/>
        <v>INSTRUMENT_RFNNC_PRPS</v>
      </c>
      <c r="B67" t="s">
        <v>128</v>
      </c>
      <c r="C67" t="s">
        <v>223</v>
      </c>
      <c r="D67" t="s">
        <v>14</v>
      </c>
      <c r="E67" t="s">
        <v>25</v>
      </c>
      <c r="F67" t="s">
        <v>130</v>
      </c>
      <c r="G67" t="s">
        <v>224</v>
      </c>
      <c r="H67" t="s">
        <v>225</v>
      </c>
      <c r="I67" t="s">
        <v>29</v>
      </c>
      <c r="J67" s="15">
        <v>45450</v>
      </c>
      <c r="K67" t="s">
        <v>25</v>
      </c>
      <c r="L67" t="str">
        <f t="shared" si="3"/>
        <v>OK</v>
      </c>
      <c r="P67" t="s">
        <v>13</v>
      </c>
      <c r="Q67" t="s">
        <v>132</v>
      </c>
      <c r="R67" t="s">
        <v>133</v>
      </c>
      <c r="S67" t="s">
        <v>133</v>
      </c>
      <c r="T67" t="s">
        <v>133</v>
      </c>
      <c r="U67" t="s">
        <v>133</v>
      </c>
      <c r="V67" t="s">
        <v>133</v>
      </c>
      <c r="W67" t="s">
        <v>5</v>
      </c>
      <c r="X67">
        <v>0</v>
      </c>
    </row>
    <row r="68" spans="1:24" hidden="1" x14ac:dyDescent="0.3">
      <c r="A68" s="50" t="str">
        <f t="shared" si="1"/>
        <v>INSTRUMENT_DPD</v>
      </c>
      <c r="B68" t="s">
        <v>128</v>
      </c>
      <c r="C68" t="s">
        <v>226</v>
      </c>
      <c r="D68" t="s">
        <v>14</v>
      </c>
      <c r="E68" t="s">
        <v>36</v>
      </c>
      <c r="F68" t="s">
        <v>149</v>
      </c>
      <c r="G68" t="s">
        <v>163</v>
      </c>
      <c r="I68" t="s">
        <v>29</v>
      </c>
      <c r="J68" s="15">
        <v>45450</v>
      </c>
      <c r="K68" t="s">
        <v>36</v>
      </c>
      <c r="L68" t="str">
        <f t="shared" si="3"/>
        <v>NOK</v>
      </c>
      <c r="P68" t="s">
        <v>8</v>
      </c>
      <c r="Q68" t="s">
        <v>132</v>
      </c>
      <c r="R68" t="s">
        <v>133</v>
      </c>
      <c r="S68" t="s">
        <v>133</v>
      </c>
      <c r="T68" t="s">
        <v>133</v>
      </c>
      <c r="U68" t="s">
        <v>133</v>
      </c>
      <c r="V68" t="s">
        <v>132</v>
      </c>
      <c r="W68" t="s">
        <v>138</v>
      </c>
      <c r="X68" t="s">
        <v>166</v>
      </c>
    </row>
    <row r="69" spans="1:24" hidden="1" x14ac:dyDescent="0.3">
      <c r="A69" s="50" t="str">
        <f t="shared" si="1"/>
        <v>INSTRUMENT_DPD_12M</v>
      </c>
      <c r="B69" t="s">
        <v>128</v>
      </c>
      <c r="C69" t="s">
        <v>227</v>
      </c>
      <c r="D69" t="s">
        <v>14</v>
      </c>
      <c r="E69" t="s">
        <v>36</v>
      </c>
      <c r="F69" t="s">
        <v>149</v>
      </c>
      <c r="G69" t="s">
        <v>163</v>
      </c>
      <c r="I69" t="s">
        <v>29</v>
      </c>
      <c r="J69" s="15">
        <v>45450</v>
      </c>
      <c r="K69" t="s">
        <v>36</v>
      </c>
      <c r="L69" t="str">
        <f t="shared" si="3"/>
        <v>NOK</v>
      </c>
      <c r="P69" t="s">
        <v>8</v>
      </c>
      <c r="Q69" t="s">
        <v>132</v>
      </c>
      <c r="R69" t="s">
        <v>133</v>
      </c>
      <c r="S69" t="s">
        <v>133</v>
      </c>
      <c r="T69" t="s">
        <v>133</v>
      </c>
      <c r="U69" t="s">
        <v>133</v>
      </c>
      <c r="V69" t="s">
        <v>133</v>
      </c>
      <c r="W69" t="s">
        <v>5</v>
      </c>
      <c r="X69">
        <v>0</v>
      </c>
    </row>
    <row r="70" spans="1:24" hidden="1" x14ac:dyDescent="0.3">
      <c r="A70" s="50" t="str">
        <f t="shared" ref="A70:A133" si="4">B70&amp;"_"&amp;C70</f>
        <v>INSTRUMENT_DPD_12M_FRBRNC_STTS</v>
      </c>
      <c r="B70" t="s">
        <v>128</v>
      </c>
      <c r="C70" t="s">
        <v>228</v>
      </c>
      <c r="D70" t="s">
        <v>14</v>
      </c>
      <c r="E70" t="s">
        <v>33</v>
      </c>
      <c r="F70" t="s">
        <v>149</v>
      </c>
      <c r="G70" t="s">
        <v>229</v>
      </c>
      <c r="I70" t="s">
        <v>29</v>
      </c>
      <c r="J70" s="15">
        <v>45450</v>
      </c>
      <c r="K70" t="s">
        <v>33</v>
      </c>
      <c r="L70" t="str">
        <f t="shared" si="3"/>
        <v>NOK</v>
      </c>
      <c r="N70" s="15">
        <v>44679</v>
      </c>
      <c r="O70" s="15">
        <v>44700</v>
      </c>
      <c r="P70" t="s">
        <v>13</v>
      </c>
      <c r="Q70" t="s">
        <v>132</v>
      </c>
      <c r="R70" t="s">
        <v>133</v>
      </c>
      <c r="S70" t="s">
        <v>133</v>
      </c>
      <c r="T70" t="s">
        <v>133</v>
      </c>
      <c r="U70" t="s">
        <v>133</v>
      </c>
      <c r="V70" t="s">
        <v>133</v>
      </c>
      <c r="W70" t="s">
        <v>5</v>
      </c>
      <c r="X70">
        <v>0</v>
      </c>
    </row>
    <row r="71" spans="1:24" hidden="1" x14ac:dyDescent="0.3">
      <c r="A71" s="50" t="str">
        <f t="shared" si="4"/>
        <v>INSTRUMENT_DPD_12M_PRFRMNG_STTS</v>
      </c>
      <c r="B71" t="s">
        <v>128</v>
      </c>
      <c r="C71" s="11" t="s">
        <v>48</v>
      </c>
      <c r="D71" t="s">
        <v>14</v>
      </c>
      <c r="E71" t="s">
        <v>33</v>
      </c>
      <c r="F71" t="s">
        <v>149</v>
      </c>
      <c r="G71" t="s">
        <v>230</v>
      </c>
      <c r="I71" t="s">
        <v>32</v>
      </c>
      <c r="J71" s="15">
        <v>45670</v>
      </c>
      <c r="K71" t="s">
        <v>33</v>
      </c>
      <c r="L71" t="s">
        <v>130</v>
      </c>
      <c r="M71" t="s">
        <v>231</v>
      </c>
      <c r="N71" s="15">
        <v>45562</v>
      </c>
      <c r="O71" s="15"/>
      <c r="P71" t="s">
        <v>39</v>
      </c>
      <c r="Q71" t="s">
        <v>132</v>
      </c>
      <c r="R71" t="s">
        <v>133</v>
      </c>
      <c r="S71" t="s">
        <v>133</v>
      </c>
      <c r="T71" t="s">
        <v>133</v>
      </c>
      <c r="U71" t="s">
        <v>133</v>
      </c>
      <c r="V71" t="s">
        <v>133</v>
      </c>
      <c r="W71" t="s">
        <v>5</v>
      </c>
      <c r="X71">
        <v>0</v>
      </c>
    </row>
    <row r="72" spans="1:24" hidden="1" x14ac:dyDescent="0.3">
      <c r="A72" s="50" t="str">
        <f t="shared" si="4"/>
        <v>INSTRUMENT_DPD_24M_FRBRNC_STTS</v>
      </c>
      <c r="B72" t="s">
        <v>128</v>
      </c>
      <c r="C72" t="s">
        <v>232</v>
      </c>
      <c r="D72" t="s">
        <v>14</v>
      </c>
      <c r="E72" t="s">
        <v>36</v>
      </c>
      <c r="F72" t="s">
        <v>149</v>
      </c>
      <c r="G72" t="s">
        <v>163</v>
      </c>
      <c r="I72" t="s">
        <v>29</v>
      </c>
      <c r="J72" s="15">
        <v>45450</v>
      </c>
      <c r="K72" t="s">
        <v>36</v>
      </c>
      <c r="L72" t="str">
        <f>F72</f>
        <v>NOK</v>
      </c>
      <c r="N72" s="15"/>
      <c r="O72" s="15"/>
      <c r="P72" t="s">
        <v>8</v>
      </c>
      <c r="Q72" t="s">
        <v>132</v>
      </c>
      <c r="R72" t="s">
        <v>133</v>
      </c>
      <c r="S72" t="s">
        <v>133</v>
      </c>
      <c r="T72" t="s">
        <v>133</v>
      </c>
      <c r="U72" t="s">
        <v>133</v>
      </c>
      <c r="V72" t="s">
        <v>133</v>
      </c>
      <c r="W72" t="s">
        <v>5</v>
      </c>
      <c r="X72">
        <v>0</v>
      </c>
    </row>
    <row r="73" spans="1:24" hidden="1" x14ac:dyDescent="0.3">
      <c r="A73" s="50" t="str">
        <f t="shared" si="4"/>
        <v>INSTRUMENT_DPD_24M_PRFRMNG_STTS</v>
      </c>
      <c r="B73" t="s">
        <v>128</v>
      </c>
      <c r="C73" s="11" t="s">
        <v>49</v>
      </c>
      <c r="D73" t="s">
        <v>14</v>
      </c>
      <c r="E73" t="s">
        <v>33</v>
      </c>
      <c r="F73" t="s">
        <v>149</v>
      </c>
      <c r="G73" t="s">
        <v>233</v>
      </c>
      <c r="I73" t="s">
        <v>32</v>
      </c>
      <c r="J73" s="15">
        <v>45670</v>
      </c>
      <c r="K73" t="s">
        <v>33</v>
      </c>
      <c r="L73" t="s">
        <v>130</v>
      </c>
      <c r="M73" t="s">
        <v>231</v>
      </c>
      <c r="N73" s="15">
        <v>45562</v>
      </c>
      <c r="O73" s="15"/>
      <c r="P73" t="s">
        <v>39</v>
      </c>
      <c r="Q73" t="s">
        <v>132</v>
      </c>
      <c r="R73" t="s">
        <v>133</v>
      </c>
      <c r="S73" t="s">
        <v>133</v>
      </c>
      <c r="T73" t="s">
        <v>133</v>
      </c>
      <c r="U73" t="s">
        <v>133</v>
      </c>
      <c r="V73" t="s">
        <v>133</v>
      </c>
      <c r="W73" t="s">
        <v>5</v>
      </c>
      <c r="X73">
        <v>0</v>
      </c>
    </row>
    <row r="74" spans="1:24" hidden="1" x14ac:dyDescent="0.3">
      <c r="A74" s="50" t="str">
        <f t="shared" si="4"/>
        <v>INSTRUMENT_DPD_FRBRNC_STTS</v>
      </c>
      <c r="B74" t="s">
        <v>128</v>
      </c>
      <c r="C74" t="s">
        <v>234</v>
      </c>
      <c r="D74" t="s">
        <v>14</v>
      </c>
      <c r="E74" t="s">
        <v>36</v>
      </c>
      <c r="F74" t="s">
        <v>149</v>
      </c>
      <c r="G74" t="s">
        <v>163</v>
      </c>
      <c r="I74" t="s">
        <v>29</v>
      </c>
      <c r="J74" s="15">
        <v>45450</v>
      </c>
      <c r="K74" t="s">
        <v>36</v>
      </c>
      <c r="L74" t="str">
        <f>F74</f>
        <v>NOK</v>
      </c>
      <c r="N74" s="15"/>
      <c r="O74" s="15"/>
      <c r="P74" t="s">
        <v>8</v>
      </c>
      <c r="Q74" t="s">
        <v>132</v>
      </c>
      <c r="R74" t="s">
        <v>133</v>
      </c>
      <c r="S74" t="s">
        <v>133</v>
      </c>
      <c r="T74" t="s">
        <v>133</v>
      </c>
      <c r="U74" t="s">
        <v>133</v>
      </c>
      <c r="V74" t="s">
        <v>133</v>
      </c>
      <c r="W74" t="s">
        <v>5</v>
      </c>
      <c r="X74">
        <v>0</v>
      </c>
    </row>
    <row r="75" spans="1:24" hidden="1" x14ac:dyDescent="0.3">
      <c r="A75" s="50" t="str">
        <f t="shared" si="4"/>
        <v>INSTRUMENT_DPD_PRFRMNG_STTS</v>
      </c>
      <c r="B75" t="s">
        <v>128</v>
      </c>
      <c r="C75" s="11" t="s">
        <v>50</v>
      </c>
      <c r="D75" t="s">
        <v>14</v>
      </c>
      <c r="E75" t="s">
        <v>33</v>
      </c>
      <c r="F75" t="s">
        <v>130</v>
      </c>
      <c r="G75" t="s">
        <v>233</v>
      </c>
      <c r="I75" t="s">
        <v>32</v>
      </c>
      <c r="J75" s="15">
        <v>45670</v>
      </c>
      <c r="K75" t="s">
        <v>33</v>
      </c>
      <c r="L75" t="str">
        <f>F75</f>
        <v>OK</v>
      </c>
      <c r="M75" t="s">
        <v>231</v>
      </c>
      <c r="N75" s="15">
        <v>45562</v>
      </c>
      <c r="O75" s="15"/>
      <c r="P75" t="s">
        <v>39</v>
      </c>
      <c r="Q75" t="s">
        <v>132</v>
      </c>
      <c r="R75" t="s">
        <v>133</v>
      </c>
      <c r="S75" t="s">
        <v>133</v>
      </c>
      <c r="T75" t="s">
        <v>133</v>
      </c>
      <c r="U75" t="s">
        <v>133</v>
      </c>
      <c r="V75" t="s">
        <v>133</v>
      </c>
      <c r="W75" t="s">
        <v>5</v>
      </c>
      <c r="X75">
        <v>0</v>
      </c>
    </row>
    <row r="76" spans="1:24" hidden="1" x14ac:dyDescent="0.3">
      <c r="A76" s="50" t="str">
        <f t="shared" si="4"/>
        <v>INSTRUMENT_DSTI</v>
      </c>
      <c r="B76" t="s">
        <v>128</v>
      </c>
      <c r="C76" t="s">
        <v>235</v>
      </c>
      <c r="D76" t="s">
        <v>6</v>
      </c>
      <c r="E76" t="s">
        <v>20</v>
      </c>
      <c r="F76" t="s">
        <v>130</v>
      </c>
      <c r="G76" t="s">
        <v>236</v>
      </c>
      <c r="I76" t="s">
        <v>29</v>
      </c>
      <c r="J76" s="15">
        <v>45450</v>
      </c>
      <c r="K76" t="s">
        <v>20</v>
      </c>
      <c r="L76" t="str">
        <f>F76</f>
        <v>OK</v>
      </c>
      <c r="P76" t="s">
        <v>19</v>
      </c>
      <c r="Q76" t="s">
        <v>132</v>
      </c>
      <c r="R76" t="s">
        <v>133</v>
      </c>
      <c r="S76" t="s">
        <v>133</v>
      </c>
      <c r="T76" t="s">
        <v>133</v>
      </c>
      <c r="U76" t="s">
        <v>133</v>
      </c>
      <c r="V76" t="s">
        <v>133</v>
      </c>
      <c r="W76" t="s">
        <v>5</v>
      </c>
      <c r="X76">
        <v>0</v>
      </c>
    </row>
    <row r="77" spans="1:24" hidden="1" x14ac:dyDescent="0.3">
      <c r="A77" s="50" t="str">
        <f t="shared" si="4"/>
        <v>PROTECTION_TYP_PRTCTN</v>
      </c>
      <c r="B77" t="s">
        <v>161</v>
      </c>
      <c r="C77" s="10" t="s">
        <v>237</v>
      </c>
      <c r="D77" t="s">
        <v>14</v>
      </c>
      <c r="E77" t="s">
        <v>25</v>
      </c>
      <c r="F77" t="s">
        <v>149</v>
      </c>
      <c r="G77" t="s">
        <v>238</v>
      </c>
      <c r="H77" t="s">
        <v>239</v>
      </c>
      <c r="I77" t="s">
        <v>26</v>
      </c>
      <c r="J77" s="15">
        <v>45670</v>
      </c>
      <c r="K77" t="s">
        <v>38</v>
      </c>
      <c r="L77" t="s">
        <v>130</v>
      </c>
      <c r="M77" t="s">
        <v>240</v>
      </c>
      <c r="N77" s="15">
        <v>45492</v>
      </c>
      <c r="O77" s="15">
        <v>45646</v>
      </c>
      <c r="P77" t="s">
        <v>24</v>
      </c>
      <c r="Q77" t="s">
        <v>132</v>
      </c>
      <c r="R77" t="s">
        <v>132</v>
      </c>
      <c r="S77" t="s">
        <v>132</v>
      </c>
      <c r="T77" t="s">
        <v>133</v>
      </c>
      <c r="U77" t="s">
        <v>132</v>
      </c>
      <c r="V77" t="s">
        <v>133</v>
      </c>
      <c r="W77" t="s">
        <v>5</v>
      </c>
      <c r="X77">
        <v>0</v>
      </c>
    </row>
    <row r="78" spans="1:24" hidden="1" x14ac:dyDescent="0.3">
      <c r="A78" s="50" t="str">
        <f t="shared" si="4"/>
        <v>ENTITY_DT_BRTH</v>
      </c>
      <c r="B78" t="s">
        <v>142</v>
      </c>
      <c r="C78" t="s">
        <v>241</v>
      </c>
      <c r="D78" t="s">
        <v>6</v>
      </c>
      <c r="E78" t="s">
        <v>36</v>
      </c>
      <c r="F78" t="s">
        <v>149</v>
      </c>
      <c r="G78" t="s">
        <v>163</v>
      </c>
      <c r="I78" t="s">
        <v>29</v>
      </c>
      <c r="J78" s="15">
        <v>45450</v>
      </c>
      <c r="K78" t="s">
        <v>36</v>
      </c>
      <c r="L78" t="str">
        <f>F78</f>
        <v>NOK</v>
      </c>
      <c r="P78" t="s">
        <v>8</v>
      </c>
      <c r="Q78" t="s">
        <v>132</v>
      </c>
      <c r="R78" t="s">
        <v>133</v>
      </c>
      <c r="S78" t="s">
        <v>133</v>
      </c>
      <c r="T78" t="s">
        <v>133</v>
      </c>
      <c r="U78" t="s">
        <v>133</v>
      </c>
      <c r="V78" t="s">
        <v>133</v>
      </c>
      <c r="W78" t="s">
        <v>5</v>
      </c>
      <c r="X78">
        <v>0</v>
      </c>
    </row>
    <row r="79" spans="1:24" hidden="1" x14ac:dyDescent="0.3">
      <c r="A79" s="50" t="str">
        <f t="shared" si="4"/>
        <v>INSTRUMENT_DT_CMPLNT_MRTR_STTS_C19</v>
      </c>
      <c r="B79" t="s">
        <v>128</v>
      </c>
      <c r="C79" t="s">
        <v>242</v>
      </c>
      <c r="D79" t="s">
        <v>6</v>
      </c>
      <c r="E79" t="s">
        <v>38</v>
      </c>
      <c r="F79" t="s">
        <v>130</v>
      </c>
      <c r="G79" t="s">
        <v>131</v>
      </c>
      <c r="I79" t="s">
        <v>26</v>
      </c>
      <c r="J79" s="15">
        <v>45450</v>
      </c>
      <c r="K79" t="s">
        <v>38</v>
      </c>
      <c r="L79" t="str">
        <f>F79</f>
        <v>OK</v>
      </c>
      <c r="P79" t="s">
        <v>30</v>
      </c>
      <c r="Q79" t="s">
        <v>132</v>
      </c>
      <c r="R79" t="s">
        <v>133</v>
      </c>
      <c r="S79" t="s">
        <v>133</v>
      </c>
      <c r="T79" t="s">
        <v>133</v>
      </c>
      <c r="U79" t="s">
        <v>133</v>
      </c>
      <c r="V79" t="s">
        <v>133</v>
      </c>
      <c r="W79" t="s">
        <v>5</v>
      </c>
      <c r="X79">
        <v>0</v>
      </c>
    </row>
    <row r="80" spans="1:24" hidden="1" x14ac:dyDescent="0.3">
      <c r="A80" s="50" t="str">
        <f t="shared" si="4"/>
        <v>INSTRUMENT_DT_CMPLNT_MRTR_STTS_PRVS_C19</v>
      </c>
      <c r="B80" t="s">
        <v>128</v>
      </c>
      <c r="C80" t="s">
        <v>243</v>
      </c>
      <c r="D80" t="s">
        <v>6</v>
      </c>
      <c r="E80" t="s">
        <v>38</v>
      </c>
      <c r="F80" t="s">
        <v>130</v>
      </c>
      <c r="G80" t="s">
        <v>131</v>
      </c>
      <c r="I80" t="s">
        <v>26</v>
      </c>
      <c r="J80" s="15">
        <v>45450</v>
      </c>
      <c r="K80" t="s">
        <v>38</v>
      </c>
      <c r="L80" t="str">
        <f>F80</f>
        <v>OK</v>
      </c>
      <c r="P80" t="s">
        <v>30</v>
      </c>
      <c r="Q80" t="s">
        <v>132</v>
      </c>
      <c r="R80" t="s">
        <v>133</v>
      </c>
      <c r="S80" t="s">
        <v>133</v>
      </c>
      <c r="T80" t="s">
        <v>133</v>
      </c>
      <c r="U80" t="s">
        <v>133</v>
      </c>
      <c r="V80" t="s">
        <v>133</v>
      </c>
      <c r="W80" t="s">
        <v>5</v>
      </c>
      <c r="X80">
        <v>0</v>
      </c>
    </row>
    <row r="81" spans="1:24" hidden="1" x14ac:dyDescent="0.3">
      <c r="A81" s="50" t="str">
        <f t="shared" si="4"/>
        <v>PROTECTION_DT_PRTCTN_VL</v>
      </c>
      <c r="B81" t="s">
        <v>161</v>
      </c>
      <c r="C81" s="10" t="s">
        <v>244</v>
      </c>
      <c r="D81" t="s">
        <v>14</v>
      </c>
      <c r="E81" t="s">
        <v>35</v>
      </c>
      <c r="F81" t="s">
        <v>149</v>
      </c>
      <c r="G81" t="s">
        <v>245</v>
      </c>
      <c r="H81" t="s">
        <v>246</v>
      </c>
      <c r="I81" t="s">
        <v>26</v>
      </c>
      <c r="J81" s="15">
        <v>45670</v>
      </c>
      <c r="K81" t="s">
        <v>38</v>
      </c>
      <c r="L81" t="s">
        <v>130</v>
      </c>
      <c r="M81" t="s">
        <v>247</v>
      </c>
      <c r="N81" s="15">
        <v>45492</v>
      </c>
      <c r="O81" s="15">
        <v>45646</v>
      </c>
      <c r="P81" t="s">
        <v>24</v>
      </c>
      <c r="Q81" t="s">
        <v>132</v>
      </c>
      <c r="R81" t="s">
        <v>133</v>
      </c>
      <c r="S81" t="s">
        <v>133</v>
      </c>
      <c r="T81" t="s">
        <v>133</v>
      </c>
      <c r="U81" t="s">
        <v>133</v>
      </c>
      <c r="V81" t="s">
        <v>133</v>
      </c>
      <c r="W81" t="s">
        <v>5</v>
      </c>
      <c r="X81">
        <v>0</v>
      </c>
    </row>
    <row r="82" spans="1:24" hidden="1" x14ac:dyDescent="0.3">
      <c r="A82" s="50" t="str">
        <f t="shared" si="4"/>
        <v>ENTITY_DT_DFLT_STTS</v>
      </c>
      <c r="B82" t="s">
        <v>142</v>
      </c>
      <c r="C82" s="10" t="s">
        <v>248</v>
      </c>
      <c r="D82" t="s">
        <v>14</v>
      </c>
      <c r="E82" t="s">
        <v>28</v>
      </c>
      <c r="F82" t="s">
        <v>149</v>
      </c>
      <c r="G82" t="s">
        <v>220</v>
      </c>
      <c r="H82" t="s">
        <v>249</v>
      </c>
      <c r="I82" t="s">
        <v>32</v>
      </c>
      <c r="J82" s="15">
        <v>45450</v>
      </c>
      <c r="K82" t="s">
        <v>28</v>
      </c>
      <c r="L82" t="str">
        <f t="shared" ref="L82:L87" si="5">F82</f>
        <v>NOK</v>
      </c>
      <c r="P82" t="s">
        <v>39</v>
      </c>
      <c r="Q82" t="s">
        <v>132</v>
      </c>
      <c r="R82" t="s">
        <v>133</v>
      </c>
      <c r="S82" t="s">
        <v>133</v>
      </c>
      <c r="T82" t="s">
        <v>133</v>
      </c>
      <c r="U82" t="s">
        <v>133</v>
      </c>
      <c r="V82" t="s">
        <v>132</v>
      </c>
      <c r="W82" t="s">
        <v>138</v>
      </c>
      <c r="X82" t="s">
        <v>222</v>
      </c>
    </row>
    <row r="83" spans="1:24" hidden="1" x14ac:dyDescent="0.3">
      <c r="A83" s="50" t="str">
        <f t="shared" si="4"/>
        <v>INSTRUMENT_DT_DFLT_STTS_INSTRMNT</v>
      </c>
      <c r="B83" t="s">
        <v>128</v>
      </c>
      <c r="C83" t="s">
        <v>250</v>
      </c>
      <c r="D83" t="s">
        <v>14</v>
      </c>
      <c r="E83" t="s">
        <v>35</v>
      </c>
      <c r="F83" t="s">
        <v>149</v>
      </c>
      <c r="G83" t="s">
        <v>251</v>
      </c>
      <c r="H83" t="s">
        <v>249</v>
      </c>
      <c r="I83" t="s">
        <v>29</v>
      </c>
      <c r="J83" s="15">
        <v>45450</v>
      </c>
      <c r="K83" t="s">
        <v>35</v>
      </c>
      <c r="L83" t="str">
        <f t="shared" si="5"/>
        <v>NOK</v>
      </c>
      <c r="O83" s="15"/>
      <c r="P83" t="s">
        <v>13</v>
      </c>
      <c r="Q83" t="s">
        <v>132</v>
      </c>
      <c r="R83" t="s">
        <v>133</v>
      </c>
      <c r="S83" t="s">
        <v>133</v>
      </c>
      <c r="T83" t="s">
        <v>133</v>
      </c>
      <c r="U83" t="s">
        <v>133</v>
      </c>
      <c r="V83" t="s">
        <v>132</v>
      </c>
      <c r="W83" t="s">
        <v>138</v>
      </c>
      <c r="X83" t="s">
        <v>139</v>
      </c>
    </row>
    <row r="84" spans="1:24" hidden="1" x14ac:dyDescent="0.3">
      <c r="A84" s="50" t="str">
        <f t="shared" si="4"/>
        <v>INSTRUMENT_DT_END_GP_PPAL</v>
      </c>
      <c r="B84" t="s">
        <v>128</v>
      </c>
      <c r="C84" t="s">
        <v>252</v>
      </c>
      <c r="D84" t="s">
        <v>14</v>
      </c>
      <c r="E84" t="s">
        <v>36</v>
      </c>
      <c r="F84" t="s">
        <v>149</v>
      </c>
      <c r="G84" t="s">
        <v>163</v>
      </c>
      <c r="I84" t="s">
        <v>29</v>
      </c>
      <c r="J84" s="15">
        <v>45450</v>
      </c>
      <c r="K84" t="s">
        <v>36</v>
      </c>
      <c r="L84" t="str">
        <f t="shared" si="5"/>
        <v>NOK</v>
      </c>
      <c r="P84" t="s">
        <v>8</v>
      </c>
      <c r="Q84" t="s">
        <v>132</v>
      </c>
      <c r="R84" t="s">
        <v>133</v>
      </c>
      <c r="S84" t="s">
        <v>133</v>
      </c>
      <c r="T84" t="s">
        <v>133</v>
      </c>
      <c r="U84" t="s">
        <v>133</v>
      </c>
      <c r="V84" t="s">
        <v>133</v>
      </c>
      <c r="W84" t="s">
        <v>5</v>
      </c>
      <c r="X84">
        <v>0</v>
      </c>
    </row>
    <row r="85" spans="1:24" hidden="1" x14ac:dyDescent="0.3">
      <c r="A85" s="50" t="str">
        <f t="shared" si="4"/>
        <v>INSTRUMENT_DT_END_GP_PPAL_C19</v>
      </c>
      <c r="B85" t="s">
        <v>128</v>
      </c>
      <c r="C85" t="s">
        <v>253</v>
      </c>
      <c r="D85" t="s">
        <v>6</v>
      </c>
      <c r="E85" t="s">
        <v>38</v>
      </c>
      <c r="F85" t="s">
        <v>130</v>
      </c>
      <c r="G85" t="s">
        <v>131</v>
      </c>
      <c r="I85" t="s">
        <v>26</v>
      </c>
      <c r="J85" s="15">
        <v>45450</v>
      </c>
      <c r="K85" t="s">
        <v>38</v>
      </c>
      <c r="L85" t="str">
        <f t="shared" si="5"/>
        <v>OK</v>
      </c>
      <c r="P85" t="s">
        <v>30</v>
      </c>
      <c r="Q85" t="s">
        <v>132</v>
      </c>
      <c r="R85" t="s">
        <v>133</v>
      </c>
      <c r="S85" t="s">
        <v>133</v>
      </c>
      <c r="T85" t="s">
        <v>133</v>
      </c>
      <c r="U85" t="s">
        <v>133</v>
      </c>
      <c r="V85" t="s">
        <v>133</v>
      </c>
      <c r="W85" t="s">
        <v>5</v>
      </c>
      <c r="X85">
        <v>0</v>
      </c>
    </row>
    <row r="86" spans="1:24" hidden="1" x14ac:dyDescent="0.3">
      <c r="A86" s="50" t="str">
        <f t="shared" si="4"/>
        <v>INSTRUMENT_DT_END_INTRST_ONLY</v>
      </c>
      <c r="B86" t="s">
        <v>128</v>
      </c>
      <c r="C86" t="s">
        <v>254</v>
      </c>
      <c r="D86" t="s">
        <v>14</v>
      </c>
      <c r="E86" t="s">
        <v>36</v>
      </c>
      <c r="F86" t="s">
        <v>149</v>
      </c>
      <c r="G86" t="s">
        <v>163</v>
      </c>
      <c r="I86" t="s">
        <v>29</v>
      </c>
      <c r="J86" s="15">
        <v>45450</v>
      </c>
      <c r="K86" t="s">
        <v>36</v>
      </c>
      <c r="L86" t="str">
        <f t="shared" si="5"/>
        <v>NOK</v>
      </c>
      <c r="P86" t="s">
        <v>8</v>
      </c>
      <c r="Q86" t="s">
        <v>132</v>
      </c>
      <c r="R86" t="s">
        <v>133</v>
      </c>
      <c r="S86" t="s">
        <v>133</v>
      </c>
      <c r="T86" t="s">
        <v>133</v>
      </c>
      <c r="U86" t="s">
        <v>133</v>
      </c>
      <c r="V86" t="s">
        <v>133</v>
      </c>
      <c r="W86" t="s">
        <v>5</v>
      </c>
      <c r="X86">
        <v>0</v>
      </c>
    </row>
    <row r="87" spans="1:24" hidden="1" x14ac:dyDescent="0.3">
      <c r="A87" s="50" t="str">
        <f t="shared" si="4"/>
        <v>INSTRUMENT_DT_END_INTRST_ONLY_C19</v>
      </c>
      <c r="B87" t="s">
        <v>128</v>
      </c>
      <c r="C87" t="s">
        <v>255</v>
      </c>
      <c r="D87" t="s">
        <v>6</v>
      </c>
      <c r="E87" t="s">
        <v>38</v>
      </c>
      <c r="F87" t="s">
        <v>130</v>
      </c>
      <c r="G87" t="s">
        <v>131</v>
      </c>
      <c r="I87" t="s">
        <v>26</v>
      </c>
      <c r="J87" s="15">
        <v>45450</v>
      </c>
      <c r="K87" t="s">
        <v>38</v>
      </c>
      <c r="L87" t="str">
        <f t="shared" si="5"/>
        <v>OK</v>
      </c>
      <c r="P87" t="s">
        <v>30</v>
      </c>
      <c r="Q87" t="s">
        <v>132</v>
      </c>
      <c r="R87" t="s">
        <v>133</v>
      </c>
      <c r="S87" t="s">
        <v>133</v>
      </c>
      <c r="T87" t="s">
        <v>133</v>
      </c>
      <c r="U87" t="s">
        <v>133</v>
      </c>
      <c r="V87" t="s">
        <v>133</v>
      </c>
      <c r="W87" t="s">
        <v>5</v>
      </c>
      <c r="X87">
        <v>0</v>
      </c>
    </row>
    <row r="88" spans="1:24" hidden="1" x14ac:dyDescent="0.3">
      <c r="A88" s="50" t="str">
        <f t="shared" si="4"/>
        <v>PROTECTION_CNSTRCTN_STTS</v>
      </c>
      <c r="B88" t="s">
        <v>161</v>
      </c>
      <c r="C88" s="11" t="s">
        <v>256</v>
      </c>
      <c r="D88" t="s">
        <v>6</v>
      </c>
      <c r="E88" t="s">
        <v>25</v>
      </c>
      <c r="F88" t="s">
        <v>149</v>
      </c>
      <c r="G88" t="s">
        <v>257</v>
      </c>
      <c r="H88" t="s">
        <v>239</v>
      </c>
      <c r="I88" t="s">
        <v>26</v>
      </c>
      <c r="J88" s="15">
        <v>45670</v>
      </c>
      <c r="K88" t="s">
        <v>38</v>
      </c>
      <c r="L88" t="s">
        <v>130</v>
      </c>
      <c r="N88" s="15">
        <v>45513</v>
      </c>
      <c r="O88" s="15">
        <v>45646</v>
      </c>
      <c r="P88" t="s">
        <v>24</v>
      </c>
      <c r="Q88" t="s">
        <v>132</v>
      </c>
      <c r="R88" t="s">
        <v>133</v>
      </c>
      <c r="S88" t="s">
        <v>133</v>
      </c>
      <c r="T88" t="s">
        <v>133</v>
      </c>
      <c r="U88" t="s">
        <v>133</v>
      </c>
      <c r="V88" t="s">
        <v>133</v>
      </c>
      <c r="W88" t="s">
        <v>5</v>
      </c>
      <c r="X88">
        <v>0</v>
      </c>
    </row>
    <row r="89" spans="1:24" hidden="1" x14ac:dyDescent="0.3">
      <c r="A89" s="50" t="str">
        <f t="shared" si="4"/>
        <v>ENTITY_DT_FNNCL_STTMTS</v>
      </c>
      <c r="B89" t="s">
        <v>142</v>
      </c>
      <c r="C89" t="s">
        <v>258</v>
      </c>
      <c r="D89" t="s">
        <v>14</v>
      </c>
      <c r="E89" t="s">
        <v>25</v>
      </c>
      <c r="F89" t="s">
        <v>149</v>
      </c>
      <c r="G89" t="s">
        <v>144</v>
      </c>
      <c r="H89" t="s">
        <v>145</v>
      </c>
      <c r="I89" t="s">
        <v>29</v>
      </c>
      <c r="J89" s="15">
        <v>45450</v>
      </c>
      <c r="K89" t="s">
        <v>25</v>
      </c>
      <c r="L89" t="str">
        <f t="shared" ref="L89:L101" si="6">F89</f>
        <v>NOK</v>
      </c>
      <c r="P89" t="s">
        <v>13</v>
      </c>
      <c r="Q89" t="s">
        <v>132</v>
      </c>
      <c r="R89" t="s">
        <v>133</v>
      </c>
      <c r="S89" t="s">
        <v>133</v>
      </c>
      <c r="T89" t="s">
        <v>133</v>
      </c>
      <c r="U89" t="s">
        <v>133</v>
      </c>
      <c r="V89" t="s">
        <v>132</v>
      </c>
      <c r="W89" t="s">
        <v>146</v>
      </c>
      <c r="X89" t="s">
        <v>147</v>
      </c>
    </row>
    <row r="90" spans="1:24" hidden="1" x14ac:dyDescent="0.3">
      <c r="A90" s="50" t="str">
        <f t="shared" si="4"/>
        <v>ENTITY_DT_FNNCL_STTMTS_PRVS</v>
      </c>
      <c r="B90" t="s">
        <v>142</v>
      </c>
      <c r="C90" t="s">
        <v>259</v>
      </c>
      <c r="D90" t="s">
        <v>14</v>
      </c>
      <c r="E90" t="s">
        <v>25</v>
      </c>
      <c r="F90" t="s">
        <v>149</v>
      </c>
      <c r="G90" t="s">
        <v>144</v>
      </c>
      <c r="H90" t="s">
        <v>145</v>
      </c>
      <c r="I90" t="s">
        <v>29</v>
      </c>
      <c r="J90" s="15">
        <v>45450</v>
      </c>
      <c r="K90" t="s">
        <v>25</v>
      </c>
      <c r="L90" t="str">
        <f t="shared" si="6"/>
        <v>NOK</v>
      </c>
      <c r="P90" t="s">
        <v>13</v>
      </c>
      <c r="Q90" t="s">
        <v>132</v>
      </c>
      <c r="R90" t="s">
        <v>133</v>
      </c>
      <c r="S90" t="s">
        <v>133</v>
      </c>
      <c r="T90" t="s">
        <v>133</v>
      </c>
      <c r="U90" t="s">
        <v>133</v>
      </c>
      <c r="V90" t="s">
        <v>132</v>
      </c>
      <c r="W90" t="s">
        <v>146</v>
      </c>
      <c r="X90" t="s">
        <v>147</v>
      </c>
    </row>
    <row r="91" spans="1:24" hidden="1" x14ac:dyDescent="0.3">
      <c r="A91" s="50" t="str">
        <f t="shared" si="4"/>
        <v>INSTRUMENT_RCVD_INTRST_24M</v>
      </c>
      <c r="B91" t="s">
        <v>128</v>
      </c>
      <c r="C91" t="s">
        <v>260</v>
      </c>
      <c r="D91" t="s">
        <v>14</v>
      </c>
      <c r="E91" t="s">
        <v>25</v>
      </c>
      <c r="F91" t="s">
        <v>130</v>
      </c>
      <c r="G91" t="s">
        <v>261</v>
      </c>
      <c r="I91" t="s">
        <v>29</v>
      </c>
      <c r="J91" s="15">
        <v>45450</v>
      </c>
      <c r="K91" t="s">
        <v>25</v>
      </c>
      <c r="L91" t="str">
        <f t="shared" si="6"/>
        <v>OK</v>
      </c>
      <c r="P91" t="s">
        <v>13</v>
      </c>
      <c r="Q91" t="s">
        <v>132</v>
      </c>
      <c r="R91" t="s">
        <v>133</v>
      </c>
      <c r="S91" t="s">
        <v>133</v>
      </c>
      <c r="T91" t="s">
        <v>133</v>
      </c>
      <c r="U91" t="s">
        <v>133</v>
      </c>
      <c r="V91" t="s">
        <v>132</v>
      </c>
      <c r="W91" t="s">
        <v>138</v>
      </c>
      <c r="X91" t="s">
        <v>153</v>
      </c>
    </row>
    <row r="92" spans="1:24" hidden="1" x14ac:dyDescent="0.3">
      <c r="A92" s="50" t="str">
        <f t="shared" si="4"/>
        <v>INSTRUMENT_DT_FRBRNC_STTS_C19</v>
      </c>
      <c r="B92" t="s">
        <v>128</v>
      </c>
      <c r="C92" t="s">
        <v>262</v>
      </c>
      <c r="D92" t="s">
        <v>6</v>
      </c>
      <c r="E92" t="s">
        <v>38</v>
      </c>
      <c r="F92" t="s">
        <v>130</v>
      </c>
      <c r="G92" t="s">
        <v>131</v>
      </c>
      <c r="I92" t="s">
        <v>26</v>
      </c>
      <c r="J92" s="15">
        <v>45450</v>
      </c>
      <c r="K92" t="s">
        <v>38</v>
      </c>
      <c r="L92" t="str">
        <f t="shared" si="6"/>
        <v>OK</v>
      </c>
      <c r="P92" t="s">
        <v>30</v>
      </c>
      <c r="Q92" t="s">
        <v>132</v>
      </c>
      <c r="R92" t="s">
        <v>133</v>
      </c>
      <c r="S92" t="s">
        <v>133</v>
      </c>
      <c r="T92" t="s">
        <v>133</v>
      </c>
      <c r="U92" t="s">
        <v>133</v>
      </c>
      <c r="V92" t="s">
        <v>133</v>
      </c>
      <c r="W92" t="s">
        <v>5</v>
      </c>
      <c r="X92">
        <v>0</v>
      </c>
    </row>
    <row r="93" spans="1:24" hidden="1" x14ac:dyDescent="0.3">
      <c r="A93" s="50" t="str">
        <f t="shared" si="4"/>
        <v>INSTRUMENT_RCVD_INTRST_12M</v>
      </c>
      <c r="B93" t="s">
        <v>128</v>
      </c>
      <c r="C93" t="s">
        <v>263</v>
      </c>
      <c r="D93" t="s">
        <v>14</v>
      </c>
      <c r="E93" t="s">
        <v>25</v>
      </c>
      <c r="F93" t="s">
        <v>149</v>
      </c>
      <c r="G93" t="s">
        <v>178</v>
      </c>
      <c r="I93" t="s">
        <v>29</v>
      </c>
      <c r="J93" s="15">
        <v>45450</v>
      </c>
      <c r="K93" t="s">
        <v>25</v>
      </c>
      <c r="L93" t="str">
        <f t="shared" si="6"/>
        <v>NOK</v>
      </c>
      <c r="P93" t="s">
        <v>13</v>
      </c>
      <c r="Q93" t="s">
        <v>132</v>
      </c>
      <c r="R93" t="s">
        <v>133</v>
      </c>
      <c r="S93" t="s">
        <v>133</v>
      </c>
      <c r="T93" t="s">
        <v>133</v>
      </c>
      <c r="U93" t="s">
        <v>133</v>
      </c>
      <c r="V93" t="s">
        <v>132</v>
      </c>
      <c r="W93" t="s">
        <v>138</v>
      </c>
      <c r="X93" t="s">
        <v>153</v>
      </c>
    </row>
    <row r="94" spans="1:24" hidden="1" x14ac:dyDescent="0.3">
      <c r="A94" s="50" t="str">
        <f t="shared" si="4"/>
        <v>INSTRUMENT_DT_FRBRNC_STTS_PRVS_C19</v>
      </c>
      <c r="B94" t="s">
        <v>128</v>
      </c>
      <c r="C94" t="s">
        <v>264</v>
      </c>
      <c r="D94" t="s">
        <v>6</v>
      </c>
      <c r="E94" t="s">
        <v>38</v>
      </c>
      <c r="F94" t="s">
        <v>130</v>
      </c>
      <c r="G94" t="s">
        <v>131</v>
      </c>
      <c r="I94" t="s">
        <v>26</v>
      </c>
      <c r="J94" s="15">
        <v>45450</v>
      </c>
      <c r="K94" t="s">
        <v>38</v>
      </c>
      <c r="L94" t="str">
        <f t="shared" si="6"/>
        <v>OK</v>
      </c>
      <c r="P94" t="s">
        <v>30</v>
      </c>
      <c r="Q94" t="s">
        <v>132</v>
      </c>
      <c r="R94" t="s">
        <v>133</v>
      </c>
      <c r="S94" t="s">
        <v>133</v>
      </c>
      <c r="T94" t="s">
        <v>133</v>
      </c>
      <c r="U94" t="s">
        <v>133</v>
      </c>
      <c r="V94" t="s">
        <v>133</v>
      </c>
      <c r="W94" t="s">
        <v>5</v>
      </c>
      <c r="X94">
        <v>0</v>
      </c>
    </row>
    <row r="95" spans="1:24" hidden="1" x14ac:dyDescent="0.3">
      <c r="A95" s="50" t="str">
        <f t="shared" si="4"/>
        <v>PROTECTION_DT_FRST_USG</v>
      </c>
      <c r="B95" t="s">
        <v>161</v>
      </c>
      <c r="C95" t="s">
        <v>265</v>
      </c>
      <c r="D95" t="s">
        <v>6</v>
      </c>
      <c r="E95" t="s">
        <v>36</v>
      </c>
      <c r="F95" t="s">
        <v>149</v>
      </c>
      <c r="G95" t="s">
        <v>266</v>
      </c>
      <c r="I95" t="s">
        <v>29</v>
      </c>
      <c r="J95" s="15">
        <v>45450</v>
      </c>
      <c r="K95" t="s">
        <v>36</v>
      </c>
      <c r="L95" t="str">
        <f t="shared" si="6"/>
        <v>NOK</v>
      </c>
      <c r="P95" t="s">
        <v>8</v>
      </c>
      <c r="Q95" t="s">
        <v>132</v>
      </c>
      <c r="R95" t="s">
        <v>133</v>
      </c>
      <c r="S95" t="s">
        <v>133</v>
      </c>
      <c r="T95" t="s">
        <v>133</v>
      </c>
      <c r="U95" t="s">
        <v>133</v>
      </c>
      <c r="V95" t="s">
        <v>133</v>
      </c>
      <c r="W95" t="s">
        <v>5</v>
      </c>
      <c r="X95">
        <v>0</v>
      </c>
    </row>
    <row r="96" spans="1:24" hidden="1" x14ac:dyDescent="0.3">
      <c r="A96" s="50" t="str">
        <f t="shared" si="4"/>
        <v>INSTRUMENT_DT_IMPRMNT_STTS</v>
      </c>
      <c r="B96" t="s">
        <v>128</v>
      </c>
      <c r="C96" s="11" t="s">
        <v>51</v>
      </c>
      <c r="D96" t="s">
        <v>14</v>
      </c>
      <c r="E96" t="s">
        <v>28</v>
      </c>
      <c r="F96" t="s">
        <v>149</v>
      </c>
      <c r="G96" t="s">
        <v>159</v>
      </c>
      <c r="H96" t="s">
        <v>267</v>
      </c>
      <c r="I96" t="s">
        <v>32</v>
      </c>
      <c r="J96" s="15">
        <v>45670</v>
      </c>
      <c r="K96" t="s">
        <v>33</v>
      </c>
      <c r="L96" t="str">
        <f t="shared" si="6"/>
        <v>NOK</v>
      </c>
      <c r="M96" t="s">
        <v>268</v>
      </c>
      <c r="N96" s="15">
        <v>45562</v>
      </c>
      <c r="P96" t="s">
        <v>39</v>
      </c>
      <c r="Q96" t="s">
        <v>132</v>
      </c>
      <c r="R96" t="s">
        <v>133</v>
      </c>
      <c r="S96" t="s">
        <v>133</v>
      </c>
      <c r="T96" t="s">
        <v>133</v>
      </c>
      <c r="U96" t="s">
        <v>133</v>
      </c>
      <c r="V96" t="s">
        <v>132</v>
      </c>
      <c r="W96" t="s">
        <v>5</v>
      </c>
      <c r="X96" t="s">
        <v>269</v>
      </c>
    </row>
    <row r="97" spans="1:24" hidden="1" x14ac:dyDescent="0.3">
      <c r="A97" s="50" t="str">
        <f t="shared" si="4"/>
        <v>INSTRUMENT_DT_IMPRMNT_STTS_PRVS</v>
      </c>
      <c r="B97" t="s">
        <v>128</v>
      </c>
      <c r="C97" s="11" t="s">
        <v>52</v>
      </c>
      <c r="D97" t="s">
        <v>14</v>
      </c>
      <c r="E97" t="s">
        <v>28</v>
      </c>
      <c r="F97" t="s">
        <v>149</v>
      </c>
      <c r="G97" t="s">
        <v>159</v>
      </c>
      <c r="H97" t="s">
        <v>267</v>
      </c>
      <c r="I97" t="s">
        <v>32</v>
      </c>
      <c r="J97" s="15">
        <v>45670</v>
      </c>
      <c r="K97" t="s">
        <v>33</v>
      </c>
      <c r="L97" t="str">
        <f t="shared" si="6"/>
        <v>NOK</v>
      </c>
      <c r="M97" t="s">
        <v>268</v>
      </c>
      <c r="N97" s="15">
        <v>45562</v>
      </c>
      <c r="P97" t="s">
        <v>39</v>
      </c>
      <c r="Q97" t="s">
        <v>132</v>
      </c>
      <c r="R97" t="s">
        <v>133</v>
      </c>
      <c r="S97" t="s">
        <v>133</v>
      </c>
      <c r="T97" t="s">
        <v>133</v>
      </c>
      <c r="U97" t="s">
        <v>133</v>
      </c>
      <c r="V97" t="s">
        <v>133</v>
      </c>
      <c r="W97" t="s">
        <v>5</v>
      </c>
      <c r="X97">
        <v>0</v>
      </c>
    </row>
    <row r="98" spans="1:24" hidden="1" x14ac:dyDescent="0.3">
      <c r="A98" s="50" t="str">
        <f t="shared" si="4"/>
        <v>INSTRUMENT_DT_INCPTN</v>
      </c>
      <c r="B98" t="s">
        <v>128</v>
      </c>
      <c r="C98" t="s">
        <v>270</v>
      </c>
      <c r="D98" t="s">
        <v>14</v>
      </c>
      <c r="E98" t="s">
        <v>36</v>
      </c>
      <c r="F98" t="s">
        <v>149</v>
      </c>
      <c r="G98" t="s">
        <v>163</v>
      </c>
      <c r="I98" t="s">
        <v>29</v>
      </c>
      <c r="J98" s="15">
        <v>45450</v>
      </c>
      <c r="K98" t="s">
        <v>36</v>
      </c>
      <c r="L98" t="str">
        <f t="shared" si="6"/>
        <v>NOK</v>
      </c>
      <c r="P98" t="s">
        <v>8</v>
      </c>
      <c r="Q98" t="s">
        <v>132</v>
      </c>
      <c r="R98" t="s">
        <v>133</v>
      </c>
      <c r="S98" t="s">
        <v>132</v>
      </c>
      <c r="T98" t="s">
        <v>133</v>
      </c>
      <c r="U98" t="s">
        <v>133</v>
      </c>
      <c r="V98" t="s">
        <v>132</v>
      </c>
      <c r="W98" t="s">
        <v>138</v>
      </c>
      <c r="X98" t="s">
        <v>166</v>
      </c>
    </row>
    <row r="99" spans="1:24" hidden="1" x14ac:dyDescent="0.3">
      <c r="A99" s="50" t="str">
        <f t="shared" si="4"/>
        <v>ENTITY_DT_INTRNL_RTNG</v>
      </c>
      <c r="B99" t="s">
        <v>142</v>
      </c>
      <c r="C99" s="10" t="s">
        <v>271</v>
      </c>
      <c r="D99" t="s">
        <v>14</v>
      </c>
      <c r="E99" t="s">
        <v>33</v>
      </c>
      <c r="F99" t="s">
        <v>149</v>
      </c>
      <c r="G99" t="s">
        <v>272</v>
      </c>
      <c r="I99" t="s">
        <v>32</v>
      </c>
      <c r="J99" s="15">
        <v>45450</v>
      </c>
      <c r="K99" t="s">
        <v>33</v>
      </c>
      <c r="L99" t="str">
        <f t="shared" si="6"/>
        <v>NOK</v>
      </c>
      <c r="M99" t="s">
        <v>273</v>
      </c>
      <c r="N99" s="15">
        <v>45338</v>
      </c>
      <c r="O99" s="15">
        <v>45436</v>
      </c>
      <c r="P99" t="s">
        <v>24</v>
      </c>
      <c r="Q99" t="s">
        <v>132</v>
      </c>
      <c r="R99" t="s">
        <v>133</v>
      </c>
      <c r="S99" t="s">
        <v>133</v>
      </c>
      <c r="T99" t="s">
        <v>133</v>
      </c>
      <c r="U99" t="s">
        <v>133</v>
      </c>
      <c r="V99" t="s">
        <v>132</v>
      </c>
      <c r="W99" t="s">
        <v>138</v>
      </c>
      <c r="X99" t="s">
        <v>139</v>
      </c>
    </row>
    <row r="100" spans="1:24" hidden="1" x14ac:dyDescent="0.3">
      <c r="A100" s="50" t="str">
        <f t="shared" si="4"/>
        <v>INSTRUMENT_DT_INTRNL_RTNG</v>
      </c>
      <c r="B100" t="s">
        <v>128</v>
      </c>
      <c r="C100" s="10" t="s">
        <v>271</v>
      </c>
      <c r="D100" t="s">
        <v>14</v>
      </c>
      <c r="E100" t="s">
        <v>33</v>
      </c>
      <c r="F100" t="s">
        <v>149</v>
      </c>
      <c r="G100" t="s">
        <v>274</v>
      </c>
      <c r="I100" t="s">
        <v>32</v>
      </c>
      <c r="J100" s="15">
        <v>45450</v>
      </c>
      <c r="K100" t="s">
        <v>33</v>
      </c>
      <c r="L100" t="str">
        <f t="shared" si="6"/>
        <v>NOK</v>
      </c>
      <c r="M100" t="s">
        <v>273</v>
      </c>
      <c r="N100" s="15">
        <v>45338</v>
      </c>
      <c r="O100" s="15">
        <v>45436</v>
      </c>
      <c r="P100" t="s">
        <v>24</v>
      </c>
      <c r="Q100" t="s">
        <v>132</v>
      </c>
      <c r="R100" t="s">
        <v>133</v>
      </c>
      <c r="S100" t="s">
        <v>133</v>
      </c>
      <c r="T100" t="s">
        <v>133</v>
      </c>
      <c r="U100" t="s">
        <v>133</v>
      </c>
      <c r="V100" t="s">
        <v>132</v>
      </c>
      <c r="W100" t="s">
        <v>138</v>
      </c>
      <c r="X100" t="s">
        <v>139</v>
      </c>
    </row>
    <row r="101" spans="1:24" hidden="1" x14ac:dyDescent="0.3">
      <c r="A101" s="50" t="str">
        <f t="shared" si="4"/>
        <v>ENTITY_DT_INTTN_LGL_PRCDNGS_LE</v>
      </c>
      <c r="B101" t="s">
        <v>142</v>
      </c>
      <c r="C101" t="s">
        <v>275</v>
      </c>
      <c r="D101" t="s">
        <v>14</v>
      </c>
      <c r="E101" t="s">
        <v>38</v>
      </c>
      <c r="F101" t="s">
        <v>130</v>
      </c>
      <c r="G101" t="s">
        <v>131</v>
      </c>
      <c r="I101" t="s">
        <v>26</v>
      </c>
      <c r="J101" s="15">
        <v>45450</v>
      </c>
      <c r="K101" t="s">
        <v>38</v>
      </c>
      <c r="L101" t="str">
        <f t="shared" si="6"/>
        <v>OK</v>
      </c>
      <c r="P101" t="s">
        <v>30</v>
      </c>
      <c r="Q101" t="s">
        <v>132</v>
      </c>
      <c r="R101" t="s">
        <v>133</v>
      </c>
      <c r="S101" t="s">
        <v>133</v>
      </c>
      <c r="T101" t="s">
        <v>133</v>
      </c>
      <c r="U101" t="s">
        <v>133</v>
      </c>
      <c r="V101" t="s">
        <v>132</v>
      </c>
      <c r="W101" t="s">
        <v>5</v>
      </c>
      <c r="X101" t="s">
        <v>135</v>
      </c>
    </row>
    <row r="102" spans="1:24" hidden="1" x14ac:dyDescent="0.3">
      <c r="A102" s="50" t="str">
        <f t="shared" si="4"/>
        <v>PROTECTION_DVLPMNT_STTS</v>
      </c>
      <c r="B102" t="s">
        <v>161</v>
      </c>
      <c r="C102" s="10" t="s">
        <v>276</v>
      </c>
      <c r="D102" t="s">
        <v>14</v>
      </c>
      <c r="E102" t="s">
        <v>25</v>
      </c>
      <c r="F102" t="s">
        <v>149</v>
      </c>
      <c r="G102" t="s">
        <v>277</v>
      </c>
      <c r="H102" t="s">
        <v>239</v>
      </c>
      <c r="I102" t="s">
        <v>26</v>
      </c>
      <c r="J102" s="15">
        <v>45670</v>
      </c>
      <c r="K102" t="s">
        <v>38</v>
      </c>
      <c r="L102" t="s">
        <v>130</v>
      </c>
      <c r="M102" t="s">
        <v>278</v>
      </c>
      <c r="N102" s="15">
        <v>45513</v>
      </c>
      <c r="O102" s="15">
        <v>45646</v>
      </c>
      <c r="P102" t="s">
        <v>24</v>
      </c>
      <c r="Q102" t="s">
        <v>132</v>
      </c>
      <c r="R102" t="s">
        <v>133</v>
      </c>
      <c r="S102" t="s">
        <v>133</v>
      </c>
      <c r="T102" t="s">
        <v>133</v>
      </c>
      <c r="U102" t="s">
        <v>133</v>
      </c>
      <c r="V102" t="s">
        <v>133</v>
      </c>
      <c r="W102" t="s">
        <v>5</v>
      </c>
      <c r="X102">
        <v>0</v>
      </c>
    </row>
    <row r="103" spans="1:24" hidden="1" x14ac:dyDescent="0.3">
      <c r="A103" s="50" t="str">
        <f t="shared" si="4"/>
        <v>PROTECTION_DT_LST_FLL_APPRSL</v>
      </c>
      <c r="B103" t="s">
        <v>161</v>
      </c>
      <c r="C103" s="10" t="s">
        <v>279</v>
      </c>
      <c r="D103" t="s">
        <v>14</v>
      </c>
      <c r="E103" t="s">
        <v>35</v>
      </c>
      <c r="F103" t="s">
        <v>149</v>
      </c>
      <c r="G103" t="s">
        <v>186</v>
      </c>
      <c r="H103" t="s">
        <v>187</v>
      </c>
      <c r="I103" t="s">
        <v>26</v>
      </c>
      <c r="J103" s="15">
        <v>45670</v>
      </c>
      <c r="K103" t="s">
        <v>38</v>
      </c>
      <c r="L103" t="s">
        <v>130</v>
      </c>
      <c r="M103" t="s">
        <v>280</v>
      </c>
      <c r="N103" s="15">
        <v>45471</v>
      </c>
      <c r="O103" s="15">
        <v>45646</v>
      </c>
      <c r="P103" t="s">
        <v>24</v>
      </c>
      <c r="Q103" t="s">
        <v>132</v>
      </c>
      <c r="R103" t="s">
        <v>133</v>
      </c>
      <c r="S103" t="s">
        <v>133</v>
      </c>
      <c r="T103" t="s">
        <v>133</v>
      </c>
      <c r="U103" t="s">
        <v>133</v>
      </c>
      <c r="V103" t="s">
        <v>133</v>
      </c>
      <c r="W103" t="s">
        <v>5</v>
      </c>
      <c r="X103">
        <v>0</v>
      </c>
    </row>
    <row r="104" spans="1:24" hidden="1" x14ac:dyDescent="0.3">
      <c r="A104" s="50" t="str">
        <f t="shared" si="4"/>
        <v>PROTECTION_DT_MTRTY_PRTCTN</v>
      </c>
      <c r="B104" t="s">
        <v>161</v>
      </c>
      <c r="C104" t="s">
        <v>281</v>
      </c>
      <c r="D104" t="s">
        <v>14</v>
      </c>
      <c r="E104" t="s">
        <v>36</v>
      </c>
      <c r="F104" t="s">
        <v>149</v>
      </c>
      <c r="G104" t="s">
        <v>266</v>
      </c>
      <c r="I104" t="s">
        <v>29</v>
      </c>
      <c r="J104" s="15">
        <v>45450</v>
      </c>
      <c r="K104" t="s">
        <v>36</v>
      </c>
      <c r="L104" t="str">
        <f>F104</f>
        <v>NOK</v>
      </c>
      <c r="P104" t="s">
        <v>8</v>
      </c>
      <c r="Q104" t="s">
        <v>132</v>
      </c>
      <c r="R104" t="s">
        <v>133</v>
      </c>
      <c r="S104" t="s">
        <v>133</v>
      </c>
      <c r="T104" t="s">
        <v>133</v>
      </c>
      <c r="U104" t="s">
        <v>133</v>
      </c>
      <c r="V104" t="s">
        <v>133</v>
      </c>
      <c r="W104" t="s">
        <v>5</v>
      </c>
      <c r="X104">
        <v>0</v>
      </c>
    </row>
    <row r="105" spans="1:24" hidden="1" x14ac:dyDescent="0.3">
      <c r="A105" s="50" t="str">
        <f t="shared" si="4"/>
        <v>INSTRUMENT_SICR_ASSSSMNT_MTHD</v>
      </c>
      <c r="B105" t="s">
        <v>128</v>
      </c>
      <c r="C105" s="10" t="s">
        <v>282</v>
      </c>
      <c r="D105" t="s">
        <v>14</v>
      </c>
      <c r="E105" t="s">
        <v>28</v>
      </c>
      <c r="F105" t="s">
        <v>130</v>
      </c>
      <c r="G105" t="s">
        <v>283</v>
      </c>
      <c r="I105" t="s">
        <v>26</v>
      </c>
      <c r="J105" s="15">
        <v>45471</v>
      </c>
      <c r="K105" t="s">
        <v>38</v>
      </c>
      <c r="L105" t="str">
        <f>F105</f>
        <v>OK</v>
      </c>
      <c r="M105" t="s">
        <v>284</v>
      </c>
      <c r="O105" s="43" t="s">
        <v>285</v>
      </c>
      <c r="P105" t="s">
        <v>30</v>
      </c>
      <c r="Q105" t="s">
        <v>132</v>
      </c>
      <c r="R105" t="s">
        <v>133</v>
      </c>
      <c r="S105" t="s">
        <v>133</v>
      </c>
      <c r="T105" t="s">
        <v>133</v>
      </c>
      <c r="U105" t="s">
        <v>133</v>
      </c>
      <c r="V105" t="s">
        <v>132</v>
      </c>
      <c r="W105" t="s">
        <v>5</v>
      </c>
      <c r="X105" t="s">
        <v>135</v>
      </c>
    </row>
    <row r="106" spans="1:24" hidden="1" x14ac:dyDescent="0.3">
      <c r="A106" s="50" t="str">
        <f t="shared" si="4"/>
        <v>INSTRUMENT_DT_ORGNL_MTRTY</v>
      </c>
      <c r="B106" t="s">
        <v>128</v>
      </c>
      <c r="C106" t="s">
        <v>286</v>
      </c>
      <c r="D106" t="s">
        <v>14</v>
      </c>
      <c r="E106" t="s">
        <v>36</v>
      </c>
      <c r="F106" t="s">
        <v>149</v>
      </c>
      <c r="G106" t="s">
        <v>163</v>
      </c>
      <c r="I106" t="s">
        <v>29</v>
      </c>
      <c r="J106" s="15">
        <v>45450</v>
      </c>
      <c r="K106" t="s">
        <v>36</v>
      </c>
      <c r="L106" t="str">
        <f>F106</f>
        <v>NOK</v>
      </c>
      <c r="P106" t="s">
        <v>8</v>
      </c>
      <c r="Q106" t="s">
        <v>132</v>
      </c>
      <c r="R106" t="s">
        <v>133</v>
      </c>
      <c r="S106" t="s">
        <v>133</v>
      </c>
      <c r="T106" t="s">
        <v>133</v>
      </c>
      <c r="U106" t="s">
        <v>133</v>
      </c>
      <c r="V106" t="s">
        <v>132</v>
      </c>
      <c r="W106" t="s">
        <v>138</v>
      </c>
      <c r="X106" t="s">
        <v>166</v>
      </c>
    </row>
    <row r="107" spans="1:24" hidden="1" x14ac:dyDescent="0.3">
      <c r="A107" s="50" t="str">
        <f t="shared" si="4"/>
        <v>PROTECTION_NTNL_ID</v>
      </c>
      <c r="B107" t="s">
        <v>161</v>
      </c>
      <c r="C107" s="10" t="s">
        <v>287</v>
      </c>
      <c r="D107" t="s">
        <v>14</v>
      </c>
      <c r="E107" t="s">
        <v>35</v>
      </c>
      <c r="F107" t="s">
        <v>149</v>
      </c>
      <c r="G107" t="s">
        <v>288</v>
      </c>
      <c r="I107" t="s">
        <v>26</v>
      </c>
      <c r="J107" s="15">
        <v>45670</v>
      </c>
      <c r="K107" t="s">
        <v>38</v>
      </c>
      <c r="L107" t="s">
        <v>130</v>
      </c>
      <c r="N107" s="15">
        <v>45513</v>
      </c>
      <c r="O107" s="15">
        <v>45646</v>
      </c>
      <c r="P107" t="s">
        <v>24</v>
      </c>
      <c r="Q107" t="s">
        <v>132</v>
      </c>
      <c r="R107" t="s">
        <v>133</v>
      </c>
      <c r="S107" t="s">
        <v>133</v>
      </c>
      <c r="T107" t="s">
        <v>133</v>
      </c>
      <c r="U107" t="s">
        <v>133</v>
      </c>
      <c r="V107" t="s">
        <v>133</v>
      </c>
      <c r="W107" t="s">
        <v>5</v>
      </c>
      <c r="X107">
        <v>0</v>
      </c>
    </row>
    <row r="108" spans="1:24" hidden="1" x14ac:dyDescent="0.3">
      <c r="A108" s="50" t="str">
        <f t="shared" si="4"/>
        <v>INSTRUMENT_DT_PRFRMNG_STTS</v>
      </c>
      <c r="B108" t="s">
        <v>128</v>
      </c>
      <c r="C108" s="11" t="s">
        <v>53</v>
      </c>
      <c r="D108" t="s">
        <v>14</v>
      </c>
      <c r="E108" t="s">
        <v>28</v>
      </c>
      <c r="F108" t="s">
        <v>130</v>
      </c>
      <c r="G108" t="s">
        <v>159</v>
      </c>
      <c r="H108" t="s">
        <v>267</v>
      </c>
      <c r="I108" t="s">
        <v>32</v>
      </c>
      <c r="J108" s="15">
        <v>45670</v>
      </c>
      <c r="K108" t="s">
        <v>33</v>
      </c>
      <c r="L108" t="str">
        <f>F108</f>
        <v>OK</v>
      </c>
      <c r="M108" t="s">
        <v>268</v>
      </c>
      <c r="N108" s="15">
        <v>45562</v>
      </c>
      <c r="P108" t="s">
        <v>39</v>
      </c>
      <c r="Q108" t="s">
        <v>132</v>
      </c>
      <c r="R108" t="s">
        <v>133</v>
      </c>
      <c r="S108" t="s">
        <v>133</v>
      </c>
      <c r="T108" t="s">
        <v>133</v>
      </c>
      <c r="U108" t="s">
        <v>133</v>
      </c>
      <c r="V108" t="s">
        <v>132</v>
      </c>
      <c r="W108" t="s">
        <v>5</v>
      </c>
      <c r="X108" t="s">
        <v>269</v>
      </c>
    </row>
    <row r="109" spans="1:24" hidden="1" x14ac:dyDescent="0.3">
      <c r="A109" s="50" t="str">
        <f t="shared" si="4"/>
        <v>ENTITY_DT_PRFRMNG_STTS_LE</v>
      </c>
      <c r="B109" t="s">
        <v>142</v>
      </c>
      <c r="C109" s="11" t="s">
        <v>289</v>
      </c>
      <c r="D109" t="s">
        <v>14</v>
      </c>
      <c r="E109" t="s">
        <v>28</v>
      </c>
      <c r="F109" t="s">
        <v>149</v>
      </c>
      <c r="G109" t="s">
        <v>220</v>
      </c>
      <c r="H109" t="s">
        <v>249</v>
      </c>
      <c r="I109" t="s">
        <v>32</v>
      </c>
      <c r="J109" s="15">
        <v>45450</v>
      </c>
      <c r="K109" t="s">
        <v>28</v>
      </c>
      <c r="L109" t="str">
        <f>F109</f>
        <v>NOK</v>
      </c>
      <c r="P109" t="s">
        <v>39</v>
      </c>
      <c r="Q109" t="s">
        <v>132</v>
      </c>
      <c r="R109" t="s">
        <v>133</v>
      </c>
      <c r="S109" t="s">
        <v>133</v>
      </c>
      <c r="T109" t="s">
        <v>133</v>
      </c>
      <c r="U109" t="s">
        <v>133</v>
      </c>
      <c r="V109" t="s">
        <v>132</v>
      </c>
      <c r="W109" t="s">
        <v>138</v>
      </c>
      <c r="X109" t="s">
        <v>222</v>
      </c>
    </row>
    <row r="110" spans="1:24" hidden="1" x14ac:dyDescent="0.3">
      <c r="A110" s="50" t="str">
        <f t="shared" si="4"/>
        <v>INSTRUMENT_DT_PRFRMNG_STTS_PRVS</v>
      </c>
      <c r="B110" t="s">
        <v>128</v>
      </c>
      <c r="C110" s="11" t="s">
        <v>54</v>
      </c>
      <c r="D110" t="s">
        <v>14</v>
      </c>
      <c r="E110" t="s">
        <v>28</v>
      </c>
      <c r="F110" t="s">
        <v>130</v>
      </c>
      <c r="G110" t="s">
        <v>159</v>
      </c>
      <c r="H110" t="s">
        <v>267</v>
      </c>
      <c r="I110" t="s">
        <v>32</v>
      </c>
      <c r="J110" s="15">
        <v>45670</v>
      </c>
      <c r="K110" t="s">
        <v>33</v>
      </c>
      <c r="L110" t="str">
        <f>F110</f>
        <v>OK</v>
      </c>
      <c r="M110" t="s">
        <v>268</v>
      </c>
      <c r="N110" s="15">
        <v>45562</v>
      </c>
      <c r="P110" t="s">
        <v>39</v>
      </c>
      <c r="Q110" t="s">
        <v>132</v>
      </c>
      <c r="R110" t="s">
        <v>133</v>
      </c>
      <c r="S110" t="s">
        <v>133</v>
      </c>
      <c r="T110" t="s">
        <v>133</v>
      </c>
      <c r="U110" t="s">
        <v>133</v>
      </c>
      <c r="V110" t="s">
        <v>132</v>
      </c>
      <c r="W110" t="s">
        <v>5</v>
      </c>
      <c r="X110" t="s">
        <v>269</v>
      </c>
    </row>
    <row r="111" spans="1:24" hidden="1" x14ac:dyDescent="0.3">
      <c r="A111" s="50" t="str">
        <f t="shared" si="4"/>
        <v>INSTRUMENT_IFRS9_BHVRL_MTRTY</v>
      </c>
      <c r="B111" t="s">
        <v>128</v>
      </c>
      <c r="C111" s="10" t="s">
        <v>290</v>
      </c>
      <c r="D111" t="s">
        <v>14</v>
      </c>
      <c r="E111" t="s">
        <v>25</v>
      </c>
      <c r="F111" t="s">
        <v>130</v>
      </c>
      <c r="G111" t="s">
        <v>291</v>
      </c>
      <c r="H111" t="s">
        <v>292</v>
      </c>
      <c r="I111" t="s">
        <v>32</v>
      </c>
      <c r="J111" s="15">
        <v>45670</v>
      </c>
      <c r="K111" t="s">
        <v>33</v>
      </c>
      <c r="L111" t="s">
        <v>130</v>
      </c>
      <c r="M111" t="s">
        <v>293</v>
      </c>
      <c r="N111" s="15">
        <v>45534</v>
      </c>
      <c r="O111" s="15"/>
      <c r="P111" t="s">
        <v>24</v>
      </c>
      <c r="Q111" t="s">
        <v>132</v>
      </c>
      <c r="R111" t="s">
        <v>133</v>
      </c>
      <c r="S111" t="s">
        <v>132</v>
      </c>
      <c r="T111" t="s">
        <v>133</v>
      </c>
      <c r="U111" t="s">
        <v>133</v>
      </c>
      <c r="V111" t="s">
        <v>132</v>
      </c>
      <c r="W111" t="s">
        <v>5</v>
      </c>
      <c r="X111" t="s">
        <v>269</v>
      </c>
    </row>
    <row r="112" spans="1:24" hidden="1" x14ac:dyDescent="0.3">
      <c r="A112" s="50" t="str">
        <f t="shared" si="4"/>
        <v>INSTRUMENT_DT_PST_D</v>
      </c>
      <c r="B112" t="s">
        <v>128</v>
      </c>
      <c r="C112" t="s">
        <v>294</v>
      </c>
      <c r="D112" t="s">
        <v>14</v>
      </c>
      <c r="E112" t="s">
        <v>36</v>
      </c>
      <c r="F112" t="s">
        <v>149</v>
      </c>
      <c r="G112" t="s">
        <v>163</v>
      </c>
      <c r="I112" t="s">
        <v>29</v>
      </c>
      <c r="J112" s="15">
        <v>45450</v>
      </c>
      <c r="K112" t="s">
        <v>36</v>
      </c>
      <c r="L112" t="str">
        <f t="shared" ref="L112:L120" si="7">F112</f>
        <v>NOK</v>
      </c>
      <c r="P112" t="s">
        <v>8</v>
      </c>
      <c r="Q112" t="s">
        <v>132</v>
      </c>
      <c r="R112" t="s">
        <v>133</v>
      </c>
      <c r="S112" t="s">
        <v>133</v>
      </c>
      <c r="T112" t="s">
        <v>133</v>
      </c>
      <c r="U112" t="s">
        <v>133</v>
      </c>
      <c r="V112" t="s">
        <v>132</v>
      </c>
      <c r="W112" t="s">
        <v>138</v>
      </c>
      <c r="X112" t="s">
        <v>166</v>
      </c>
    </row>
    <row r="113" spans="1:24" hidden="1" x14ac:dyDescent="0.3">
      <c r="A113" s="50" t="str">
        <f t="shared" si="4"/>
        <v>ENTITY_DT_RFRNC</v>
      </c>
      <c r="B113" t="s">
        <v>142</v>
      </c>
      <c r="C113" t="s">
        <v>295</v>
      </c>
      <c r="D113" t="s">
        <v>14</v>
      </c>
      <c r="E113" t="s">
        <v>38</v>
      </c>
      <c r="F113" t="s">
        <v>130</v>
      </c>
      <c r="G113" t="s">
        <v>131</v>
      </c>
      <c r="I113" t="s">
        <v>26</v>
      </c>
      <c r="J113" s="15">
        <v>45450</v>
      </c>
      <c r="K113" t="s">
        <v>38</v>
      </c>
      <c r="L113" t="str">
        <f t="shared" si="7"/>
        <v>OK</v>
      </c>
      <c r="P113" t="s">
        <v>30</v>
      </c>
      <c r="Q113" t="s">
        <v>132</v>
      </c>
      <c r="R113" t="s">
        <v>133</v>
      </c>
      <c r="S113" t="s">
        <v>132</v>
      </c>
      <c r="T113" t="s">
        <v>133</v>
      </c>
      <c r="U113" t="s">
        <v>133</v>
      </c>
      <c r="V113" t="s">
        <v>132</v>
      </c>
      <c r="W113" t="s">
        <v>5</v>
      </c>
      <c r="X113" t="s">
        <v>135</v>
      </c>
    </row>
    <row r="114" spans="1:24" hidden="1" x14ac:dyDescent="0.3">
      <c r="A114" s="50" t="str">
        <f t="shared" si="4"/>
        <v>INSTR_ENTITY_DT_RFRNC</v>
      </c>
      <c r="B114" t="s">
        <v>193</v>
      </c>
      <c r="C114" t="s">
        <v>295</v>
      </c>
      <c r="D114" t="s">
        <v>14</v>
      </c>
      <c r="E114" t="s">
        <v>38</v>
      </c>
      <c r="F114" t="s">
        <v>130</v>
      </c>
      <c r="G114" t="s">
        <v>131</v>
      </c>
      <c r="I114" t="s">
        <v>26</v>
      </c>
      <c r="J114" s="15">
        <v>45450</v>
      </c>
      <c r="K114" t="s">
        <v>38</v>
      </c>
      <c r="L114" t="str">
        <f t="shared" si="7"/>
        <v>OK</v>
      </c>
      <c r="P114" t="s">
        <v>30</v>
      </c>
      <c r="Q114" t="s">
        <v>132</v>
      </c>
      <c r="R114" t="s">
        <v>133</v>
      </c>
      <c r="S114" t="s">
        <v>132</v>
      </c>
      <c r="T114" t="s">
        <v>133</v>
      </c>
      <c r="U114" t="s">
        <v>133</v>
      </c>
      <c r="V114" t="s">
        <v>132</v>
      </c>
      <c r="W114" t="s">
        <v>5</v>
      </c>
      <c r="X114" t="s">
        <v>135</v>
      </c>
    </row>
    <row r="115" spans="1:24" hidden="1" x14ac:dyDescent="0.3">
      <c r="A115" s="50" t="str">
        <f t="shared" si="4"/>
        <v>INSTR_PROTECTION_DT_RFRNC</v>
      </c>
      <c r="B115" t="s">
        <v>194</v>
      </c>
      <c r="C115" t="s">
        <v>295</v>
      </c>
      <c r="D115" t="s">
        <v>14</v>
      </c>
      <c r="E115" t="s">
        <v>38</v>
      </c>
      <c r="F115" t="s">
        <v>130</v>
      </c>
      <c r="G115" t="s">
        <v>131</v>
      </c>
      <c r="I115" t="s">
        <v>26</v>
      </c>
      <c r="J115" s="15">
        <v>45450</v>
      </c>
      <c r="K115" t="s">
        <v>38</v>
      </c>
      <c r="L115" t="str">
        <f t="shared" si="7"/>
        <v>OK</v>
      </c>
      <c r="P115" t="s">
        <v>30</v>
      </c>
      <c r="Q115" t="s">
        <v>132</v>
      </c>
      <c r="R115" t="s">
        <v>132</v>
      </c>
      <c r="S115" t="s">
        <v>132</v>
      </c>
      <c r="T115" t="s">
        <v>133</v>
      </c>
      <c r="U115" t="s">
        <v>133</v>
      </c>
      <c r="V115" t="s">
        <v>133</v>
      </c>
      <c r="W115" t="s">
        <v>5</v>
      </c>
      <c r="X115">
        <v>0</v>
      </c>
    </row>
    <row r="116" spans="1:24" hidden="1" x14ac:dyDescent="0.3">
      <c r="A116" s="50" t="str">
        <f t="shared" si="4"/>
        <v>INSTRUMENT_DT_RFRNC</v>
      </c>
      <c r="B116" t="s">
        <v>128</v>
      </c>
      <c r="C116" t="s">
        <v>295</v>
      </c>
      <c r="D116" t="s">
        <v>14</v>
      </c>
      <c r="E116" t="s">
        <v>38</v>
      </c>
      <c r="F116" t="s">
        <v>130</v>
      </c>
      <c r="G116" t="s">
        <v>131</v>
      </c>
      <c r="I116" t="s">
        <v>26</v>
      </c>
      <c r="J116" s="15">
        <v>45450</v>
      </c>
      <c r="K116" t="s">
        <v>38</v>
      </c>
      <c r="L116" t="str">
        <f t="shared" si="7"/>
        <v>OK</v>
      </c>
      <c r="P116" t="s">
        <v>30</v>
      </c>
      <c r="Q116" t="s">
        <v>132</v>
      </c>
      <c r="R116" t="s">
        <v>132</v>
      </c>
      <c r="S116" t="s">
        <v>132</v>
      </c>
      <c r="T116" t="s">
        <v>133</v>
      </c>
      <c r="U116" t="s">
        <v>132</v>
      </c>
      <c r="V116" t="s">
        <v>132</v>
      </c>
      <c r="W116" t="s">
        <v>5</v>
      </c>
      <c r="X116" t="s">
        <v>135</v>
      </c>
    </row>
    <row r="117" spans="1:24" hidden="1" x14ac:dyDescent="0.3">
      <c r="A117" s="50" t="str">
        <f t="shared" si="4"/>
        <v>PROTECTION_DT_RFRNC</v>
      </c>
      <c r="B117" t="s">
        <v>161</v>
      </c>
      <c r="C117" t="s">
        <v>295</v>
      </c>
      <c r="D117" t="s">
        <v>14</v>
      </c>
      <c r="E117" t="s">
        <v>38</v>
      </c>
      <c r="F117" t="s">
        <v>130</v>
      </c>
      <c r="G117" t="s">
        <v>131</v>
      </c>
      <c r="I117" t="s">
        <v>26</v>
      </c>
      <c r="J117" s="15">
        <v>45450</v>
      </c>
      <c r="K117" t="s">
        <v>38</v>
      </c>
      <c r="L117" t="str">
        <f t="shared" si="7"/>
        <v>OK</v>
      </c>
      <c r="P117" t="s">
        <v>30</v>
      </c>
      <c r="Q117" t="s">
        <v>132</v>
      </c>
      <c r="R117" t="s">
        <v>132</v>
      </c>
      <c r="S117" t="s">
        <v>132</v>
      </c>
      <c r="T117" t="s">
        <v>133</v>
      </c>
      <c r="U117" t="s">
        <v>132</v>
      </c>
      <c r="V117" t="s">
        <v>133</v>
      </c>
      <c r="W117" t="s">
        <v>5</v>
      </c>
      <c r="X117">
        <v>0</v>
      </c>
    </row>
    <row r="118" spans="1:24" hidden="1" x14ac:dyDescent="0.3">
      <c r="A118" s="50" t="str">
        <f t="shared" si="4"/>
        <v>INSTRUMENT_DT_STRT_GP_PPAL</v>
      </c>
      <c r="B118" t="s">
        <v>128</v>
      </c>
      <c r="C118" t="s">
        <v>296</v>
      </c>
      <c r="D118" t="s">
        <v>14</v>
      </c>
      <c r="E118" t="s">
        <v>36</v>
      </c>
      <c r="F118" t="s">
        <v>149</v>
      </c>
      <c r="G118" t="s">
        <v>163</v>
      </c>
      <c r="I118" t="s">
        <v>29</v>
      </c>
      <c r="J118" s="15">
        <v>45450</v>
      </c>
      <c r="K118" t="s">
        <v>36</v>
      </c>
      <c r="L118" t="str">
        <f t="shared" si="7"/>
        <v>NOK</v>
      </c>
      <c r="P118" t="s">
        <v>8</v>
      </c>
      <c r="Q118" t="s">
        <v>132</v>
      </c>
      <c r="R118" t="s">
        <v>133</v>
      </c>
      <c r="S118" t="s">
        <v>133</v>
      </c>
      <c r="T118" t="s">
        <v>133</v>
      </c>
      <c r="U118" t="s">
        <v>133</v>
      </c>
      <c r="V118" t="s">
        <v>133</v>
      </c>
      <c r="W118" t="s">
        <v>5</v>
      </c>
      <c r="X118">
        <v>0</v>
      </c>
    </row>
    <row r="119" spans="1:24" hidden="1" x14ac:dyDescent="0.3">
      <c r="A119" s="50" t="str">
        <f t="shared" si="4"/>
        <v>INSTRUMENT_DT_STRT_INTRST_ONLY</v>
      </c>
      <c r="B119" t="s">
        <v>128</v>
      </c>
      <c r="C119" t="s">
        <v>297</v>
      </c>
      <c r="D119" t="s">
        <v>14</v>
      </c>
      <c r="E119" t="s">
        <v>36</v>
      </c>
      <c r="F119" t="s">
        <v>149</v>
      </c>
      <c r="G119" t="s">
        <v>163</v>
      </c>
      <c r="I119" t="s">
        <v>29</v>
      </c>
      <c r="J119" s="15">
        <v>45450</v>
      </c>
      <c r="K119" t="s">
        <v>36</v>
      </c>
      <c r="L119" t="str">
        <f t="shared" si="7"/>
        <v>NOK</v>
      </c>
      <c r="P119" t="s">
        <v>8</v>
      </c>
      <c r="Q119" t="s">
        <v>132</v>
      </c>
      <c r="R119" t="s">
        <v>133</v>
      </c>
      <c r="S119" t="s">
        <v>133</v>
      </c>
      <c r="T119" t="s">
        <v>133</v>
      </c>
      <c r="U119" t="s">
        <v>133</v>
      </c>
      <c r="V119" t="s">
        <v>133</v>
      </c>
      <c r="W119" t="s">
        <v>5</v>
      </c>
      <c r="X119">
        <v>0</v>
      </c>
    </row>
    <row r="120" spans="1:24" hidden="1" x14ac:dyDescent="0.3">
      <c r="A120" s="50" t="str">
        <f t="shared" si="4"/>
        <v>INSTRUMENT_DT_VLTN</v>
      </c>
      <c r="B120" t="s">
        <v>128</v>
      </c>
      <c r="C120" t="s">
        <v>298</v>
      </c>
      <c r="D120" t="s">
        <v>6</v>
      </c>
      <c r="E120" t="s">
        <v>38</v>
      </c>
      <c r="F120" t="s">
        <v>130</v>
      </c>
      <c r="G120" t="s">
        <v>131</v>
      </c>
      <c r="I120" t="s">
        <v>26</v>
      </c>
      <c r="J120" s="15">
        <v>45450</v>
      </c>
      <c r="K120" t="s">
        <v>38</v>
      </c>
      <c r="L120" t="str">
        <f t="shared" si="7"/>
        <v>OK</v>
      </c>
      <c r="P120" t="s">
        <v>30</v>
      </c>
      <c r="Q120" t="s">
        <v>132</v>
      </c>
      <c r="R120" t="s">
        <v>133</v>
      </c>
      <c r="S120" t="s">
        <v>133</v>
      </c>
      <c r="T120" t="s">
        <v>133</v>
      </c>
      <c r="U120" t="s">
        <v>133</v>
      </c>
      <c r="V120" t="s">
        <v>133</v>
      </c>
      <c r="W120" t="s">
        <v>5</v>
      </c>
      <c r="X120">
        <v>0</v>
      </c>
    </row>
    <row r="121" spans="1:24" hidden="1" x14ac:dyDescent="0.3">
      <c r="A121" s="50" t="str">
        <f t="shared" si="4"/>
        <v>INSTRUMENT_POCI</v>
      </c>
      <c r="B121" t="s">
        <v>128</v>
      </c>
      <c r="C121" s="10" t="s">
        <v>299</v>
      </c>
      <c r="D121" t="s">
        <v>14</v>
      </c>
      <c r="E121" t="s">
        <v>38</v>
      </c>
      <c r="F121" t="s">
        <v>130</v>
      </c>
      <c r="G121" t="s">
        <v>131</v>
      </c>
      <c r="I121" t="s">
        <v>26</v>
      </c>
      <c r="J121" s="15">
        <v>45520</v>
      </c>
      <c r="K121" t="s">
        <v>25</v>
      </c>
      <c r="M121" t="s">
        <v>300</v>
      </c>
      <c r="N121" s="15"/>
      <c r="O121" s="15"/>
      <c r="P121" t="s">
        <v>30</v>
      </c>
      <c r="Q121" t="s">
        <v>132</v>
      </c>
      <c r="R121" t="s">
        <v>133</v>
      </c>
      <c r="S121" t="s">
        <v>133</v>
      </c>
      <c r="T121" t="s">
        <v>133</v>
      </c>
      <c r="U121" t="s">
        <v>133</v>
      </c>
      <c r="V121" t="s">
        <v>133</v>
      </c>
      <c r="W121" t="s">
        <v>5</v>
      </c>
      <c r="X121">
        <v>0</v>
      </c>
    </row>
    <row r="122" spans="1:24" hidden="1" x14ac:dyDescent="0.3">
      <c r="A122" s="50" t="str">
        <f t="shared" si="4"/>
        <v>INSTRUMENT_EAD</v>
      </c>
      <c r="B122" t="s">
        <v>128</v>
      </c>
      <c r="C122" s="10" t="s">
        <v>301</v>
      </c>
      <c r="D122" t="s">
        <v>14</v>
      </c>
      <c r="E122" t="s">
        <v>33</v>
      </c>
      <c r="F122" t="s">
        <v>130</v>
      </c>
      <c r="G122" t="s">
        <v>302</v>
      </c>
      <c r="I122" t="s">
        <v>32</v>
      </c>
      <c r="J122" s="15">
        <v>45463</v>
      </c>
      <c r="K122" t="s">
        <v>33</v>
      </c>
      <c r="L122" t="s">
        <v>149</v>
      </c>
      <c r="M122" t="s">
        <v>303</v>
      </c>
      <c r="N122" s="15">
        <v>45338</v>
      </c>
      <c r="O122" s="15">
        <v>45436</v>
      </c>
      <c r="P122" t="s">
        <v>24</v>
      </c>
      <c r="Q122" t="s">
        <v>132</v>
      </c>
      <c r="R122" t="s">
        <v>132</v>
      </c>
      <c r="S122" t="s">
        <v>133</v>
      </c>
      <c r="T122" t="s">
        <v>133</v>
      </c>
      <c r="U122" t="s">
        <v>132</v>
      </c>
      <c r="V122" t="s">
        <v>132</v>
      </c>
      <c r="W122" t="s">
        <v>138</v>
      </c>
      <c r="X122" t="s">
        <v>139</v>
      </c>
    </row>
    <row r="123" spans="1:24" hidden="1" x14ac:dyDescent="0.3">
      <c r="A123" s="50" t="str">
        <f t="shared" si="4"/>
        <v>INSTRUMENT_EBA_CMPLNT_MRTR_ST_C19</v>
      </c>
      <c r="B123" t="s">
        <v>128</v>
      </c>
      <c r="C123" t="s">
        <v>304</v>
      </c>
      <c r="D123" t="s">
        <v>6</v>
      </c>
      <c r="E123" t="s">
        <v>38</v>
      </c>
      <c r="F123" t="s">
        <v>130</v>
      </c>
      <c r="G123" t="s">
        <v>131</v>
      </c>
      <c r="I123" t="s">
        <v>26</v>
      </c>
      <c r="J123" s="15">
        <v>45450</v>
      </c>
      <c r="K123" t="s">
        <v>38</v>
      </c>
      <c r="L123" t="str">
        <f>F123</f>
        <v>OK</v>
      </c>
      <c r="P123" t="s">
        <v>30</v>
      </c>
      <c r="Q123" t="s">
        <v>132</v>
      </c>
      <c r="R123" t="s">
        <v>133</v>
      </c>
      <c r="S123" t="s">
        <v>133</v>
      </c>
      <c r="T123" t="s">
        <v>133</v>
      </c>
      <c r="U123" t="s">
        <v>133</v>
      </c>
      <c r="V123" t="s">
        <v>133</v>
      </c>
      <c r="W123" t="s">
        <v>5</v>
      </c>
      <c r="X123">
        <v>0</v>
      </c>
    </row>
    <row r="124" spans="1:24" hidden="1" x14ac:dyDescent="0.3">
      <c r="A124" s="50" t="str">
        <f t="shared" si="4"/>
        <v>INSTRUMENT_OTSTNDNG_NMNL_AMNT_INSTRMNT_PRVS</v>
      </c>
      <c r="B124" t="s">
        <v>128</v>
      </c>
      <c r="C124" s="11" t="s">
        <v>305</v>
      </c>
      <c r="D124" t="s">
        <v>14</v>
      </c>
      <c r="E124" t="s">
        <v>35</v>
      </c>
      <c r="F124" t="s">
        <v>130</v>
      </c>
      <c r="G124" t="s">
        <v>306</v>
      </c>
      <c r="H124" t="s">
        <v>307</v>
      </c>
      <c r="I124" t="s">
        <v>32</v>
      </c>
      <c r="J124" s="15">
        <v>45471</v>
      </c>
      <c r="K124" t="s">
        <v>25</v>
      </c>
      <c r="L124" t="s">
        <v>149</v>
      </c>
      <c r="M124" t="s">
        <v>308</v>
      </c>
      <c r="N124" s="15"/>
      <c r="O124" s="15"/>
      <c r="P124" t="s">
        <v>39</v>
      </c>
      <c r="Q124" t="s">
        <v>132</v>
      </c>
      <c r="R124" t="s">
        <v>133</v>
      </c>
      <c r="S124" t="s">
        <v>133</v>
      </c>
      <c r="T124" t="s">
        <v>133</v>
      </c>
      <c r="U124" t="s">
        <v>133</v>
      </c>
      <c r="V124" t="s">
        <v>133</v>
      </c>
      <c r="W124" t="s">
        <v>5</v>
      </c>
      <c r="X124">
        <v>0</v>
      </c>
    </row>
    <row r="125" spans="1:24" hidden="1" x14ac:dyDescent="0.3">
      <c r="A125" s="50" t="str">
        <f t="shared" si="4"/>
        <v>INSTRUMENT_INSTLMNT_PAY</v>
      </c>
      <c r="B125" t="s">
        <v>128</v>
      </c>
      <c r="C125" t="s">
        <v>309</v>
      </c>
      <c r="D125" t="s">
        <v>6</v>
      </c>
      <c r="E125" t="s">
        <v>25</v>
      </c>
      <c r="F125" t="s">
        <v>130</v>
      </c>
      <c r="G125" t="s">
        <v>310</v>
      </c>
      <c r="I125" t="s">
        <v>29</v>
      </c>
      <c r="J125" s="15">
        <v>45450</v>
      </c>
      <c r="K125" t="s">
        <v>25</v>
      </c>
      <c r="L125" t="str">
        <f t="shared" ref="L125:L156" si="8">F125</f>
        <v>OK</v>
      </c>
      <c r="P125" t="s">
        <v>27</v>
      </c>
      <c r="Q125" t="s">
        <v>132</v>
      </c>
      <c r="R125" t="s">
        <v>133</v>
      </c>
      <c r="S125" t="s">
        <v>133</v>
      </c>
      <c r="T125" t="s">
        <v>133</v>
      </c>
      <c r="U125" t="s">
        <v>133</v>
      </c>
      <c r="V125" t="s">
        <v>133</v>
      </c>
      <c r="W125" t="s">
        <v>5</v>
      </c>
      <c r="X125">
        <v>0</v>
      </c>
    </row>
    <row r="126" spans="1:24" hidden="1" x14ac:dyDescent="0.3">
      <c r="A126" s="50" t="str">
        <f t="shared" si="4"/>
        <v>ENTITY_EC_GRP_ID</v>
      </c>
      <c r="B126" t="s">
        <v>142</v>
      </c>
      <c r="C126" t="s">
        <v>311</v>
      </c>
      <c r="D126" t="s">
        <v>6</v>
      </c>
      <c r="E126" t="s">
        <v>20</v>
      </c>
      <c r="F126" t="s">
        <v>130</v>
      </c>
      <c r="G126" t="s">
        <v>236</v>
      </c>
      <c r="I126" t="s">
        <v>29</v>
      </c>
      <c r="J126" s="15">
        <v>45450</v>
      </c>
      <c r="K126" t="s">
        <v>20</v>
      </c>
      <c r="L126" t="str">
        <f t="shared" si="8"/>
        <v>OK</v>
      </c>
      <c r="P126" t="s">
        <v>19</v>
      </c>
      <c r="Q126" t="s">
        <v>132</v>
      </c>
      <c r="R126" t="s">
        <v>133</v>
      </c>
      <c r="S126" t="s">
        <v>133</v>
      </c>
      <c r="T126" t="s">
        <v>133</v>
      </c>
      <c r="U126" t="s">
        <v>133</v>
      </c>
      <c r="V126" t="s">
        <v>132</v>
      </c>
      <c r="W126" t="s">
        <v>138</v>
      </c>
      <c r="X126" t="s">
        <v>153</v>
      </c>
    </row>
    <row r="127" spans="1:24" hidden="1" x14ac:dyDescent="0.3">
      <c r="A127" s="50" t="str">
        <f t="shared" si="4"/>
        <v>ENTITY_EC_GRP_NM</v>
      </c>
      <c r="B127" t="s">
        <v>142</v>
      </c>
      <c r="C127" t="s">
        <v>312</v>
      </c>
      <c r="D127" t="s">
        <v>6</v>
      </c>
      <c r="E127" t="s">
        <v>20</v>
      </c>
      <c r="F127" t="s">
        <v>130</v>
      </c>
      <c r="G127" t="s">
        <v>236</v>
      </c>
      <c r="I127" t="s">
        <v>29</v>
      </c>
      <c r="J127" s="15">
        <v>45450</v>
      </c>
      <c r="K127" t="s">
        <v>20</v>
      </c>
      <c r="L127" t="str">
        <f t="shared" si="8"/>
        <v>OK</v>
      </c>
      <c r="P127" t="s">
        <v>19</v>
      </c>
      <c r="Q127" t="s">
        <v>132</v>
      </c>
      <c r="R127" t="s">
        <v>133</v>
      </c>
      <c r="S127" t="s">
        <v>132</v>
      </c>
      <c r="T127" t="s">
        <v>133</v>
      </c>
      <c r="U127" t="s">
        <v>133</v>
      </c>
      <c r="V127" t="s">
        <v>132</v>
      </c>
      <c r="W127" t="s">
        <v>138</v>
      </c>
      <c r="X127" t="s">
        <v>153</v>
      </c>
    </row>
    <row r="128" spans="1:24" hidden="1" x14ac:dyDescent="0.3">
      <c r="A128" s="50" t="str">
        <f t="shared" si="4"/>
        <v>ENTITY_ECNMC_ACTVTY</v>
      </c>
      <c r="B128" t="s">
        <v>142</v>
      </c>
      <c r="C128" t="s">
        <v>313</v>
      </c>
      <c r="D128" t="s">
        <v>14</v>
      </c>
      <c r="E128" t="s">
        <v>38</v>
      </c>
      <c r="F128" t="s">
        <v>130</v>
      </c>
      <c r="G128" t="s">
        <v>131</v>
      </c>
      <c r="I128" t="s">
        <v>26</v>
      </c>
      <c r="J128" s="15">
        <v>45450</v>
      </c>
      <c r="K128" t="s">
        <v>38</v>
      </c>
      <c r="L128" t="str">
        <f t="shared" si="8"/>
        <v>OK</v>
      </c>
      <c r="P128" t="s">
        <v>30</v>
      </c>
      <c r="Q128" t="s">
        <v>132</v>
      </c>
      <c r="R128" t="s">
        <v>133</v>
      </c>
      <c r="S128" t="s">
        <v>132</v>
      </c>
      <c r="T128" t="s">
        <v>133</v>
      </c>
      <c r="U128" t="s">
        <v>132</v>
      </c>
      <c r="V128" t="s">
        <v>132</v>
      </c>
      <c r="W128" t="s">
        <v>5</v>
      </c>
      <c r="X128" t="s">
        <v>135</v>
      </c>
    </row>
    <row r="129" spans="1:24" hidden="1" x14ac:dyDescent="0.3">
      <c r="A129" s="50" t="str">
        <f t="shared" si="4"/>
        <v>INSTRUMENT_EIR</v>
      </c>
      <c r="B129" t="s">
        <v>128</v>
      </c>
      <c r="C129" t="s">
        <v>314</v>
      </c>
      <c r="D129" t="s">
        <v>14</v>
      </c>
      <c r="E129" t="s">
        <v>36</v>
      </c>
      <c r="F129" t="s">
        <v>149</v>
      </c>
      <c r="G129" t="s">
        <v>163</v>
      </c>
      <c r="I129" t="s">
        <v>29</v>
      </c>
      <c r="J129" s="15">
        <v>45450</v>
      </c>
      <c r="K129" t="s">
        <v>36</v>
      </c>
      <c r="L129" t="str">
        <f t="shared" si="8"/>
        <v>NOK</v>
      </c>
      <c r="P129" t="s">
        <v>8</v>
      </c>
      <c r="Q129" t="s">
        <v>132</v>
      </c>
      <c r="R129" t="s">
        <v>133</v>
      </c>
      <c r="S129" t="s">
        <v>133</v>
      </c>
      <c r="T129" t="s">
        <v>133</v>
      </c>
      <c r="U129" t="s">
        <v>133</v>
      </c>
      <c r="V129" t="s">
        <v>132</v>
      </c>
      <c r="W129" t="s">
        <v>138</v>
      </c>
      <c r="X129" t="s">
        <v>166</v>
      </c>
    </row>
    <row r="130" spans="1:24" hidden="1" x14ac:dyDescent="0.3">
      <c r="A130" s="50" t="str">
        <f t="shared" si="4"/>
        <v>INSTRUMENT_EIR_INCPTN</v>
      </c>
      <c r="B130" t="s">
        <v>128</v>
      </c>
      <c r="C130" t="s">
        <v>315</v>
      </c>
      <c r="D130" t="s">
        <v>14</v>
      </c>
      <c r="E130" t="s">
        <v>36</v>
      </c>
      <c r="F130" t="s">
        <v>149</v>
      </c>
      <c r="G130" t="s">
        <v>163</v>
      </c>
      <c r="I130" t="s">
        <v>29</v>
      </c>
      <c r="J130" s="15">
        <v>45450</v>
      </c>
      <c r="K130" t="s">
        <v>36</v>
      </c>
      <c r="L130" t="str">
        <f t="shared" si="8"/>
        <v>NOK</v>
      </c>
      <c r="P130" t="s">
        <v>8</v>
      </c>
      <c r="Q130" t="s">
        <v>132</v>
      </c>
      <c r="R130" t="s">
        <v>133</v>
      </c>
      <c r="S130" t="s">
        <v>132</v>
      </c>
      <c r="T130" t="s">
        <v>133</v>
      </c>
      <c r="U130" t="s">
        <v>133</v>
      </c>
      <c r="V130" t="s">
        <v>133</v>
      </c>
      <c r="W130" t="s">
        <v>5</v>
      </c>
      <c r="X130">
        <v>0</v>
      </c>
    </row>
    <row r="131" spans="1:24" hidden="1" x14ac:dyDescent="0.3">
      <c r="A131" s="50" t="str">
        <f t="shared" si="4"/>
        <v>INSTRUMENT_ELGBLTY_ECB</v>
      </c>
      <c r="B131" t="s">
        <v>128</v>
      </c>
      <c r="C131" t="s">
        <v>316</v>
      </c>
      <c r="D131" t="s">
        <v>6</v>
      </c>
      <c r="E131" t="s">
        <v>38</v>
      </c>
      <c r="F131" t="s">
        <v>130</v>
      </c>
      <c r="G131" t="s">
        <v>131</v>
      </c>
      <c r="I131" t="s">
        <v>26</v>
      </c>
      <c r="J131" s="15">
        <v>45450</v>
      </c>
      <c r="K131" t="s">
        <v>38</v>
      </c>
      <c r="L131" t="str">
        <f t="shared" si="8"/>
        <v>OK</v>
      </c>
      <c r="P131" t="s">
        <v>30</v>
      </c>
      <c r="Q131" t="s">
        <v>132</v>
      </c>
      <c r="R131" t="s">
        <v>133</v>
      </c>
      <c r="S131" t="s">
        <v>133</v>
      </c>
      <c r="T131" t="s">
        <v>133</v>
      </c>
      <c r="U131" t="s">
        <v>133</v>
      </c>
      <c r="V131" t="s">
        <v>133</v>
      </c>
      <c r="W131" t="s">
        <v>5</v>
      </c>
      <c r="X131">
        <v>0</v>
      </c>
    </row>
    <row r="132" spans="1:24" hidden="1" x14ac:dyDescent="0.3">
      <c r="A132" s="50" t="str">
        <f t="shared" si="4"/>
        <v>ENTITY_EMPLYMNT_STTS</v>
      </c>
      <c r="B132" t="s">
        <v>142</v>
      </c>
      <c r="C132" t="s">
        <v>317</v>
      </c>
      <c r="D132" t="s">
        <v>6</v>
      </c>
      <c r="E132" t="s">
        <v>38</v>
      </c>
      <c r="F132" t="s">
        <v>130</v>
      </c>
      <c r="G132" t="s">
        <v>131</v>
      </c>
      <c r="I132" t="s">
        <v>26</v>
      </c>
      <c r="J132" s="15">
        <v>45450</v>
      </c>
      <c r="K132" t="s">
        <v>38</v>
      </c>
      <c r="L132" t="str">
        <f t="shared" si="8"/>
        <v>OK</v>
      </c>
      <c r="P132" t="s">
        <v>30</v>
      </c>
      <c r="Q132" t="s">
        <v>132</v>
      </c>
      <c r="R132" t="s">
        <v>133</v>
      </c>
      <c r="S132" t="s">
        <v>133</v>
      </c>
      <c r="T132" t="s">
        <v>133</v>
      </c>
      <c r="U132" t="s">
        <v>133</v>
      </c>
      <c r="V132" t="s">
        <v>133</v>
      </c>
      <c r="W132" t="s">
        <v>5</v>
      </c>
      <c r="X132">
        <v>0</v>
      </c>
    </row>
    <row r="133" spans="1:24" hidden="1" x14ac:dyDescent="0.3">
      <c r="A133" s="50" t="str">
        <f t="shared" si="4"/>
        <v>ENTITY_EMPLYMNT_STTS_INTRNL</v>
      </c>
      <c r="B133" t="s">
        <v>142</v>
      </c>
      <c r="C133" t="s">
        <v>318</v>
      </c>
      <c r="D133" t="s">
        <v>6</v>
      </c>
      <c r="E133" t="s">
        <v>38</v>
      </c>
      <c r="F133" t="s">
        <v>130</v>
      </c>
      <c r="G133" t="s">
        <v>131</v>
      </c>
      <c r="I133" t="s">
        <v>26</v>
      </c>
      <c r="J133" s="15">
        <v>45450</v>
      </c>
      <c r="K133" t="s">
        <v>38</v>
      </c>
      <c r="L133" t="str">
        <f t="shared" si="8"/>
        <v>OK</v>
      </c>
      <c r="P133" t="s">
        <v>30</v>
      </c>
      <c r="Q133" t="s">
        <v>132</v>
      </c>
      <c r="R133" t="s">
        <v>133</v>
      </c>
      <c r="S133" t="s">
        <v>133</v>
      </c>
      <c r="T133" t="s">
        <v>133</v>
      </c>
      <c r="U133" t="s">
        <v>133</v>
      </c>
      <c r="V133" t="s">
        <v>133</v>
      </c>
      <c r="W133" t="s">
        <v>5</v>
      </c>
      <c r="X133">
        <v>0</v>
      </c>
    </row>
    <row r="134" spans="1:24" hidden="1" x14ac:dyDescent="0.3">
      <c r="A134" s="50" t="str">
        <f t="shared" ref="A134:A197" si="9">B134&amp;"_"&amp;C134</f>
        <v>ENTITY_ENTRPRS_SZ_LE</v>
      </c>
      <c r="B134" t="s">
        <v>142</v>
      </c>
      <c r="C134" t="s">
        <v>319</v>
      </c>
      <c r="D134" t="s">
        <v>14</v>
      </c>
      <c r="E134" t="s">
        <v>36</v>
      </c>
      <c r="F134" t="s">
        <v>149</v>
      </c>
      <c r="G134" t="s">
        <v>163</v>
      </c>
      <c r="I134" t="s">
        <v>29</v>
      </c>
      <c r="J134" s="15">
        <v>45450</v>
      </c>
      <c r="K134" t="s">
        <v>36</v>
      </c>
      <c r="L134" t="str">
        <f t="shared" si="8"/>
        <v>NOK</v>
      </c>
      <c r="P134" t="s">
        <v>8</v>
      </c>
      <c r="Q134" t="s">
        <v>132</v>
      </c>
      <c r="R134" t="s">
        <v>133</v>
      </c>
      <c r="S134" t="s">
        <v>133</v>
      </c>
      <c r="T134" t="s">
        <v>133</v>
      </c>
      <c r="U134" t="s">
        <v>133</v>
      </c>
      <c r="V134" t="s">
        <v>133</v>
      </c>
      <c r="W134" t="s">
        <v>5</v>
      </c>
      <c r="X134">
        <v>0</v>
      </c>
    </row>
    <row r="135" spans="1:24" hidden="1" x14ac:dyDescent="0.3">
      <c r="A135" s="50" t="str">
        <f t="shared" si="9"/>
        <v>ENTITY_ENTTY_ID</v>
      </c>
      <c r="B135" t="s">
        <v>142</v>
      </c>
      <c r="C135" t="s">
        <v>320</v>
      </c>
      <c r="D135" t="s">
        <v>14</v>
      </c>
      <c r="E135" t="s">
        <v>36</v>
      </c>
      <c r="F135" t="s">
        <v>149</v>
      </c>
      <c r="G135" t="s">
        <v>163</v>
      </c>
      <c r="I135" t="s">
        <v>29</v>
      </c>
      <c r="J135" s="15">
        <v>45450</v>
      </c>
      <c r="K135" t="s">
        <v>36</v>
      </c>
      <c r="L135" t="str">
        <f t="shared" si="8"/>
        <v>NOK</v>
      </c>
      <c r="P135" t="s">
        <v>8</v>
      </c>
      <c r="Q135" t="s">
        <v>132</v>
      </c>
      <c r="R135" t="s">
        <v>133</v>
      </c>
      <c r="S135" t="s">
        <v>132</v>
      </c>
      <c r="T135" t="s">
        <v>133</v>
      </c>
      <c r="U135" t="s">
        <v>132</v>
      </c>
      <c r="V135" t="s">
        <v>132</v>
      </c>
      <c r="W135" t="s">
        <v>138</v>
      </c>
      <c r="X135" t="s">
        <v>166</v>
      </c>
    </row>
    <row r="136" spans="1:24" hidden="1" x14ac:dyDescent="0.3">
      <c r="A136" s="50" t="str">
        <f t="shared" si="9"/>
        <v>INSTR_ENTITY_ENTTY_ID</v>
      </c>
      <c r="B136" t="s">
        <v>193</v>
      </c>
      <c r="C136" t="s">
        <v>320</v>
      </c>
      <c r="D136" t="s">
        <v>14</v>
      </c>
      <c r="E136" t="s">
        <v>36</v>
      </c>
      <c r="F136" t="s">
        <v>149</v>
      </c>
      <c r="G136" t="s">
        <v>163</v>
      </c>
      <c r="I136" t="s">
        <v>29</v>
      </c>
      <c r="J136" s="15">
        <v>45450</v>
      </c>
      <c r="K136" t="s">
        <v>36</v>
      </c>
      <c r="L136" t="str">
        <f t="shared" si="8"/>
        <v>NOK</v>
      </c>
      <c r="P136" t="s">
        <v>8</v>
      </c>
      <c r="Q136" t="s">
        <v>132</v>
      </c>
      <c r="R136" t="s">
        <v>133</v>
      </c>
      <c r="S136" t="s">
        <v>132</v>
      </c>
      <c r="T136" t="s">
        <v>133</v>
      </c>
      <c r="U136" t="s">
        <v>133</v>
      </c>
      <c r="V136" t="s">
        <v>132</v>
      </c>
      <c r="W136" t="s">
        <v>138</v>
      </c>
      <c r="X136" t="s">
        <v>166</v>
      </c>
    </row>
    <row r="137" spans="1:24" hidden="1" x14ac:dyDescent="0.3">
      <c r="A137" s="50" t="str">
        <f t="shared" si="9"/>
        <v>ENTITY_ENTTY_NM</v>
      </c>
      <c r="B137" t="s">
        <v>142</v>
      </c>
      <c r="C137" t="s">
        <v>321</v>
      </c>
      <c r="D137" t="s">
        <v>14</v>
      </c>
      <c r="E137" t="s">
        <v>38</v>
      </c>
      <c r="F137" t="s">
        <v>130</v>
      </c>
      <c r="G137" t="s">
        <v>131</v>
      </c>
      <c r="I137" t="s">
        <v>26</v>
      </c>
      <c r="J137" s="15">
        <v>45450</v>
      </c>
      <c r="K137" t="s">
        <v>38</v>
      </c>
      <c r="L137" t="str">
        <f t="shared" si="8"/>
        <v>OK</v>
      </c>
      <c r="P137" t="s">
        <v>30</v>
      </c>
      <c r="Q137" t="s">
        <v>132</v>
      </c>
      <c r="R137" t="s">
        <v>133</v>
      </c>
      <c r="S137" t="s">
        <v>132</v>
      </c>
      <c r="T137" t="s">
        <v>133</v>
      </c>
      <c r="U137" t="s">
        <v>133</v>
      </c>
      <c r="V137" t="s">
        <v>132</v>
      </c>
      <c r="W137" t="s">
        <v>5</v>
      </c>
      <c r="X137" t="s">
        <v>135</v>
      </c>
    </row>
    <row r="138" spans="1:24" hidden="1" x14ac:dyDescent="0.3">
      <c r="A138" s="50" t="str">
        <f t="shared" si="9"/>
        <v>ENTITY_EQTY</v>
      </c>
      <c r="B138" t="s">
        <v>142</v>
      </c>
      <c r="C138" t="s">
        <v>322</v>
      </c>
      <c r="D138" t="s">
        <v>14</v>
      </c>
      <c r="E138" t="s">
        <v>25</v>
      </c>
      <c r="F138" t="s">
        <v>130</v>
      </c>
      <c r="G138" t="s">
        <v>144</v>
      </c>
      <c r="H138" t="s">
        <v>145</v>
      </c>
      <c r="I138" t="s">
        <v>29</v>
      </c>
      <c r="J138" s="15">
        <v>45450</v>
      </c>
      <c r="K138" t="s">
        <v>25</v>
      </c>
      <c r="L138" t="str">
        <f t="shared" si="8"/>
        <v>OK</v>
      </c>
      <c r="P138" t="s">
        <v>13</v>
      </c>
      <c r="Q138" t="s">
        <v>132</v>
      </c>
      <c r="R138" t="s">
        <v>133</v>
      </c>
      <c r="S138" t="s">
        <v>132</v>
      </c>
      <c r="T138" t="s">
        <v>133</v>
      </c>
      <c r="U138" t="s">
        <v>133</v>
      </c>
      <c r="V138" t="s">
        <v>132</v>
      </c>
      <c r="W138" t="s">
        <v>146</v>
      </c>
      <c r="X138" t="s">
        <v>147</v>
      </c>
    </row>
    <row r="139" spans="1:24" hidden="1" x14ac:dyDescent="0.3">
      <c r="A139" s="50" t="str">
        <f t="shared" si="9"/>
        <v>ENTITY_EQTY_PRVS</v>
      </c>
      <c r="B139" t="s">
        <v>142</v>
      </c>
      <c r="C139" t="s">
        <v>323</v>
      </c>
      <c r="D139" t="s">
        <v>14</v>
      </c>
      <c r="E139" t="s">
        <v>25</v>
      </c>
      <c r="F139" t="s">
        <v>130</v>
      </c>
      <c r="G139" t="s">
        <v>144</v>
      </c>
      <c r="H139" t="s">
        <v>145</v>
      </c>
      <c r="I139" t="s">
        <v>29</v>
      </c>
      <c r="J139" s="15">
        <v>45450</v>
      </c>
      <c r="K139" t="s">
        <v>25</v>
      </c>
      <c r="L139" t="str">
        <f t="shared" si="8"/>
        <v>OK</v>
      </c>
      <c r="P139" t="s">
        <v>13</v>
      </c>
      <c r="Q139" t="s">
        <v>132</v>
      </c>
      <c r="R139" t="s">
        <v>133</v>
      </c>
      <c r="S139" t="s">
        <v>133</v>
      </c>
      <c r="T139" t="s">
        <v>133</v>
      </c>
      <c r="U139" t="s">
        <v>133</v>
      </c>
      <c r="V139" t="s">
        <v>132</v>
      </c>
      <c r="W139" t="s">
        <v>146</v>
      </c>
      <c r="X139" t="s">
        <v>147</v>
      </c>
    </row>
    <row r="140" spans="1:24" hidden="1" x14ac:dyDescent="0.3">
      <c r="A140" s="50" t="str">
        <f t="shared" si="9"/>
        <v>INSTRUMENT_EXPCTD_LSS_CRR</v>
      </c>
      <c r="B140" t="s">
        <v>128</v>
      </c>
      <c r="C140" t="s">
        <v>324</v>
      </c>
      <c r="D140" t="s">
        <v>6</v>
      </c>
      <c r="E140" t="s">
        <v>31</v>
      </c>
      <c r="F140" t="s">
        <v>130</v>
      </c>
      <c r="G140" t="s">
        <v>175</v>
      </c>
      <c r="I140" t="s">
        <v>29</v>
      </c>
      <c r="J140" s="15">
        <v>45460</v>
      </c>
      <c r="K140" t="s">
        <v>33</v>
      </c>
      <c r="L140" t="str">
        <f t="shared" si="8"/>
        <v>OK</v>
      </c>
      <c r="N140" s="15">
        <v>45324</v>
      </c>
      <c r="O140" s="15">
        <v>45379</v>
      </c>
      <c r="P140" t="s">
        <v>19</v>
      </c>
      <c r="Q140" t="s">
        <v>132</v>
      </c>
      <c r="R140" t="s">
        <v>133</v>
      </c>
      <c r="S140" t="s">
        <v>133</v>
      </c>
      <c r="T140" t="s">
        <v>133</v>
      </c>
      <c r="U140" t="s">
        <v>133</v>
      </c>
      <c r="V140" t="s">
        <v>133</v>
      </c>
      <c r="W140" t="s">
        <v>5</v>
      </c>
      <c r="X140">
        <v>0</v>
      </c>
    </row>
    <row r="141" spans="1:24" hidden="1" x14ac:dyDescent="0.3">
      <c r="A141" s="50" t="str">
        <f t="shared" si="9"/>
        <v>INSTRUMENT_EXPSR_IN_SCP</v>
      </c>
      <c r="B141" t="s">
        <v>128</v>
      </c>
      <c r="C141" t="s">
        <v>325</v>
      </c>
      <c r="D141" t="s">
        <v>14</v>
      </c>
      <c r="E141" t="s">
        <v>38</v>
      </c>
      <c r="F141" t="s">
        <v>130</v>
      </c>
      <c r="G141" t="s">
        <v>131</v>
      </c>
      <c r="I141" t="s">
        <v>26</v>
      </c>
      <c r="J141" s="15">
        <v>45450</v>
      </c>
      <c r="K141" t="s">
        <v>38</v>
      </c>
      <c r="L141" t="str">
        <f t="shared" si="8"/>
        <v>OK</v>
      </c>
      <c r="P141" t="s">
        <v>30</v>
      </c>
      <c r="Q141" t="s">
        <v>132</v>
      </c>
      <c r="R141" t="s">
        <v>133</v>
      </c>
      <c r="S141" t="s">
        <v>133</v>
      </c>
      <c r="T141" t="s">
        <v>133</v>
      </c>
      <c r="U141" t="s">
        <v>133</v>
      </c>
      <c r="V141" t="s">
        <v>132</v>
      </c>
      <c r="W141" t="s">
        <v>5</v>
      </c>
      <c r="X141" t="s">
        <v>135</v>
      </c>
    </row>
    <row r="142" spans="1:24" hidden="1" x14ac:dyDescent="0.3">
      <c r="A142" s="50" t="str">
        <f t="shared" si="9"/>
        <v>INSTRUMENT_FRBRNC_STTS_INSTRMNT</v>
      </c>
      <c r="B142" t="s">
        <v>128</v>
      </c>
      <c r="C142" t="s">
        <v>326</v>
      </c>
      <c r="D142" t="s">
        <v>14</v>
      </c>
      <c r="E142" t="s">
        <v>25</v>
      </c>
      <c r="F142" t="s">
        <v>130</v>
      </c>
      <c r="G142" t="s">
        <v>448</v>
      </c>
      <c r="H142" t="s">
        <v>327</v>
      </c>
      <c r="I142" t="s">
        <v>29</v>
      </c>
      <c r="J142" s="15">
        <v>45450</v>
      </c>
      <c r="K142" t="s">
        <v>25</v>
      </c>
      <c r="L142" t="str">
        <f t="shared" si="8"/>
        <v>OK</v>
      </c>
      <c r="P142" t="s">
        <v>13</v>
      </c>
      <c r="Q142" t="s">
        <v>132</v>
      </c>
      <c r="R142" t="s">
        <v>133</v>
      </c>
      <c r="S142" t="s">
        <v>132</v>
      </c>
      <c r="T142" t="s">
        <v>133</v>
      </c>
      <c r="U142" t="s">
        <v>133</v>
      </c>
      <c r="V142" t="s">
        <v>132</v>
      </c>
      <c r="W142" t="s">
        <v>138</v>
      </c>
      <c r="X142" t="s">
        <v>153</v>
      </c>
    </row>
    <row r="143" spans="1:24" hidden="1" x14ac:dyDescent="0.3">
      <c r="A143" s="50" t="str">
        <f t="shared" si="9"/>
        <v>ENTITY_EXTRNL_RTNG_PRVS</v>
      </c>
      <c r="B143" t="s">
        <v>142</v>
      </c>
      <c r="C143" s="10" t="s">
        <v>328</v>
      </c>
      <c r="D143" t="s">
        <v>14</v>
      </c>
      <c r="E143" t="s">
        <v>25</v>
      </c>
      <c r="F143" t="s">
        <v>130</v>
      </c>
      <c r="G143" t="s">
        <v>329</v>
      </c>
      <c r="H143" t="s">
        <v>330</v>
      </c>
      <c r="I143" t="s">
        <v>32</v>
      </c>
      <c r="J143" s="15">
        <v>45450</v>
      </c>
      <c r="K143" t="s">
        <v>25</v>
      </c>
      <c r="L143" t="str">
        <f t="shared" si="8"/>
        <v>OK</v>
      </c>
      <c r="P143" t="s">
        <v>34</v>
      </c>
      <c r="Q143" t="s">
        <v>132</v>
      </c>
      <c r="R143" t="s">
        <v>133</v>
      </c>
      <c r="S143" t="s">
        <v>133</v>
      </c>
      <c r="T143" t="s">
        <v>133</v>
      </c>
      <c r="U143" t="s">
        <v>133</v>
      </c>
      <c r="V143" t="s">
        <v>132</v>
      </c>
      <c r="W143" t="s">
        <v>138</v>
      </c>
      <c r="X143" t="s">
        <v>153</v>
      </c>
    </row>
    <row r="144" spans="1:24" hidden="1" x14ac:dyDescent="0.3">
      <c r="A144" s="50" t="str">
        <f t="shared" si="9"/>
        <v>ENTITY_EXTRNL_RTNG_NM</v>
      </c>
      <c r="B144" t="s">
        <v>142</v>
      </c>
      <c r="C144" s="10" t="s">
        <v>331</v>
      </c>
      <c r="D144" t="s">
        <v>14</v>
      </c>
      <c r="E144" t="s">
        <v>25</v>
      </c>
      <c r="F144" t="s">
        <v>149</v>
      </c>
      <c r="G144" t="s">
        <v>329</v>
      </c>
      <c r="H144" t="s">
        <v>330</v>
      </c>
      <c r="I144" t="s">
        <v>32</v>
      </c>
      <c r="J144" s="15">
        <v>45450</v>
      </c>
      <c r="K144" t="s">
        <v>25</v>
      </c>
      <c r="L144" t="str">
        <f t="shared" si="8"/>
        <v>NOK</v>
      </c>
      <c r="P144" t="s">
        <v>34</v>
      </c>
      <c r="Q144" t="s">
        <v>132</v>
      </c>
      <c r="R144" t="s">
        <v>133</v>
      </c>
      <c r="S144" t="s">
        <v>133</v>
      </c>
      <c r="T144" t="s">
        <v>133</v>
      </c>
      <c r="U144" t="s">
        <v>133</v>
      </c>
      <c r="V144" t="s">
        <v>132</v>
      </c>
      <c r="W144" t="s">
        <v>138</v>
      </c>
      <c r="X144" t="s">
        <v>153</v>
      </c>
    </row>
    <row r="145" spans="1:24" hidden="1" x14ac:dyDescent="0.3">
      <c r="A145" s="50" t="str">
        <f t="shared" si="9"/>
        <v>INSTRUMENT_FLD_SYNDCTN</v>
      </c>
      <c r="B145" t="s">
        <v>128</v>
      </c>
      <c r="C145" t="s">
        <v>332</v>
      </c>
      <c r="D145" t="s">
        <v>6</v>
      </c>
      <c r="E145" t="s">
        <v>56</v>
      </c>
      <c r="F145" t="s">
        <v>130</v>
      </c>
      <c r="G145" t="s">
        <v>333</v>
      </c>
      <c r="H145" t="s">
        <v>334</v>
      </c>
      <c r="I145" t="s">
        <v>29</v>
      </c>
      <c r="J145" s="15">
        <v>45450</v>
      </c>
      <c r="K145" t="s">
        <v>56</v>
      </c>
      <c r="L145" t="str">
        <f t="shared" si="8"/>
        <v>OK</v>
      </c>
      <c r="P145" t="s">
        <v>13</v>
      </c>
      <c r="Q145" t="s">
        <v>132</v>
      </c>
      <c r="R145" t="s">
        <v>133</v>
      </c>
      <c r="S145" t="s">
        <v>133</v>
      </c>
      <c r="T145" t="s">
        <v>133</v>
      </c>
      <c r="U145" t="s">
        <v>133</v>
      </c>
      <c r="V145" t="s">
        <v>132</v>
      </c>
      <c r="W145" t="s">
        <v>138</v>
      </c>
      <c r="X145" t="s">
        <v>335</v>
      </c>
    </row>
    <row r="146" spans="1:24" hidden="1" x14ac:dyDescent="0.3">
      <c r="A146" s="50" t="str">
        <f t="shared" si="9"/>
        <v>ENTITY_FLG_BNKRPTCY_IN_GRP</v>
      </c>
      <c r="B146" t="s">
        <v>142</v>
      </c>
      <c r="C146" t="s">
        <v>336</v>
      </c>
      <c r="D146" t="s">
        <v>14</v>
      </c>
      <c r="E146" t="s">
        <v>38</v>
      </c>
      <c r="F146" t="s">
        <v>130</v>
      </c>
      <c r="G146" t="s">
        <v>131</v>
      </c>
      <c r="I146" t="s">
        <v>26</v>
      </c>
      <c r="J146" s="15">
        <v>45450</v>
      </c>
      <c r="K146" t="s">
        <v>38</v>
      </c>
      <c r="L146" t="str">
        <f t="shared" si="8"/>
        <v>OK</v>
      </c>
      <c r="P146" t="s">
        <v>30</v>
      </c>
      <c r="Q146" t="s">
        <v>132</v>
      </c>
      <c r="R146" t="s">
        <v>133</v>
      </c>
      <c r="S146" t="s">
        <v>133</v>
      </c>
      <c r="T146" t="s">
        <v>133</v>
      </c>
      <c r="U146" t="s">
        <v>133</v>
      </c>
      <c r="V146" t="s">
        <v>133</v>
      </c>
      <c r="W146" t="s">
        <v>5</v>
      </c>
      <c r="X146">
        <v>0</v>
      </c>
    </row>
    <row r="147" spans="1:24" hidden="1" x14ac:dyDescent="0.3">
      <c r="A147" s="50" t="str">
        <f t="shared" si="9"/>
        <v>ENTITY_FLG_HGH_CDS</v>
      </c>
      <c r="B147" t="s">
        <v>142</v>
      </c>
      <c r="C147" t="s">
        <v>337</v>
      </c>
      <c r="D147" t="s">
        <v>14</v>
      </c>
      <c r="E147" t="s">
        <v>38</v>
      </c>
      <c r="F147" t="s">
        <v>130</v>
      </c>
      <c r="G147" t="s">
        <v>131</v>
      </c>
      <c r="I147" t="s">
        <v>26</v>
      </c>
      <c r="J147" s="15">
        <v>45450</v>
      </c>
      <c r="K147" t="s">
        <v>38</v>
      </c>
      <c r="L147" t="str">
        <f t="shared" si="8"/>
        <v>OK</v>
      </c>
      <c r="P147" t="s">
        <v>30</v>
      </c>
      <c r="Q147" t="s">
        <v>132</v>
      </c>
      <c r="R147" t="s">
        <v>133</v>
      </c>
      <c r="S147" t="s">
        <v>133</v>
      </c>
      <c r="T147" t="s">
        <v>133</v>
      </c>
      <c r="U147" t="s">
        <v>133</v>
      </c>
      <c r="V147" t="s">
        <v>133</v>
      </c>
      <c r="W147" t="s">
        <v>5</v>
      </c>
      <c r="X147">
        <v>0</v>
      </c>
    </row>
    <row r="148" spans="1:24" hidden="1" x14ac:dyDescent="0.3">
      <c r="A148" s="50" t="str">
        <f t="shared" si="9"/>
        <v>ENTITY_FLG_ISDA_CRDT_EVNT</v>
      </c>
      <c r="B148" t="s">
        <v>142</v>
      </c>
      <c r="C148" t="s">
        <v>338</v>
      </c>
      <c r="D148" t="s">
        <v>14</v>
      </c>
      <c r="E148" t="s">
        <v>38</v>
      </c>
      <c r="F148" t="s">
        <v>130</v>
      </c>
      <c r="G148" t="s">
        <v>131</v>
      </c>
      <c r="I148" t="s">
        <v>26</v>
      </c>
      <c r="J148" s="15">
        <v>45450</v>
      </c>
      <c r="K148" t="s">
        <v>38</v>
      </c>
      <c r="L148" t="str">
        <f t="shared" si="8"/>
        <v>OK</v>
      </c>
      <c r="P148" t="s">
        <v>30</v>
      </c>
      <c r="Q148" t="s">
        <v>132</v>
      </c>
      <c r="R148" t="s">
        <v>133</v>
      </c>
      <c r="S148" t="s">
        <v>133</v>
      </c>
      <c r="T148" t="s">
        <v>133</v>
      </c>
      <c r="U148" t="s">
        <v>133</v>
      </c>
      <c r="V148" t="s">
        <v>133</v>
      </c>
      <c r="W148" t="s">
        <v>5</v>
      </c>
      <c r="X148">
        <v>0</v>
      </c>
    </row>
    <row r="149" spans="1:24" hidden="1" x14ac:dyDescent="0.3">
      <c r="A149" s="50" t="str">
        <f t="shared" si="9"/>
        <v>INSTRUMENT_FLG_LBO</v>
      </c>
      <c r="B149" t="s">
        <v>128</v>
      </c>
      <c r="C149" t="s">
        <v>339</v>
      </c>
      <c r="D149" t="s">
        <v>6</v>
      </c>
      <c r="E149" t="s">
        <v>38</v>
      </c>
      <c r="F149" t="s">
        <v>130</v>
      </c>
      <c r="G149" t="s">
        <v>131</v>
      </c>
      <c r="I149" t="s">
        <v>26</v>
      </c>
      <c r="J149" s="15">
        <v>45450</v>
      </c>
      <c r="K149" t="s">
        <v>38</v>
      </c>
      <c r="L149" t="str">
        <f t="shared" si="8"/>
        <v>OK</v>
      </c>
      <c r="P149" t="s">
        <v>30</v>
      </c>
      <c r="Q149" t="s">
        <v>132</v>
      </c>
      <c r="R149" t="s">
        <v>133</v>
      </c>
      <c r="S149" t="s">
        <v>133</v>
      </c>
      <c r="T149" t="s">
        <v>133</v>
      </c>
      <c r="U149" t="s">
        <v>133</v>
      </c>
      <c r="V149" t="s">
        <v>132</v>
      </c>
      <c r="W149" t="s">
        <v>146</v>
      </c>
      <c r="X149" t="s">
        <v>211</v>
      </c>
    </row>
    <row r="150" spans="1:24" hidden="1" x14ac:dyDescent="0.3">
      <c r="A150" s="50" t="str">
        <f t="shared" si="9"/>
        <v>ENTITY_FLG_NN_ACCRL</v>
      </c>
      <c r="B150" t="s">
        <v>142</v>
      </c>
      <c r="C150" t="s">
        <v>340</v>
      </c>
      <c r="D150" t="s">
        <v>14</v>
      </c>
      <c r="E150" t="s">
        <v>38</v>
      </c>
      <c r="F150" t="s">
        <v>130</v>
      </c>
      <c r="G150" t="s">
        <v>131</v>
      </c>
      <c r="I150" t="s">
        <v>26</v>
      </c>
      <c r="J150" s="15">
        <v>45450</v>
      </c>
      <c r="K150" t="s">
        <v>38</v>
      </c>
      <c r="L150" t="str">
        <f t="shared" si="8"/>
        <v>OK</v>
      </c>
      <c r="P150" t="s">
        <v>30</v>
      </c>
      <c r="Q150" t="s">
        <v>132</v>
      </c>
      <c r="R150" t="s">
        <v>133</v>
      </c>
      <c r="S150" t="s">
        <v>133</v>
      </c>
      <c r="T150" t="s">
        <v>133</v>
      </c>
      <c r="U150" t="s">
        <v>133</v>
      </c>
      <c r="V150" t="s">
        <v>133</v>
      </c>
      <c r="W150" t="s">
        <v>5</v>
      </c>
      <c r="X150">
        <v>0</v>
      </c>
    </row>
    <row r="151" spans="1:24" hidden="1" x14ac:dyDescent="0.3">
      <c r="A151" s="50" t="str">
        <f t="shared" si="9"/>
        <v>ENTITY_FLG_RQST_BNKRPTCY</v>
      </c>
      <c r="B151" t="s">
        <v>142</v>
      </c>
      <c r="C151" t="s">
        <v>341</v>
      </c>
      <c r="D151" t="s">
        <v>14</v>
      </c>
      <c r="E151" t="s">
        <v>38</v>
      </c>
      <c r="F151" t="s">
        <v>130</v>
      </c>
      <c r="G151" t="s">
        <v>131</v>
      </c>
      <c r="I151" t="s">
        <v>26</v>
      </c>
      <c r="J151" s="15">
        <v>45450</v>
      </c>
      <c r="K151" t="s">
        <v>38</v>
      </c>
      <c r="L151" t="str">
        <f t="shared" si="8"/>
        <v>OK</v>
      </c>
      <c r="P151" t="s">
        <v>30</v>
      </c>
      <c r="Q151" t="s">
        <v>132</v>
      </c>
      <c r="R151" t="s">
        <v>133</v>
      </c>
      <c r="S151" t="s">
        <v>133</v>
      </c>
      <c r="T151" t="s">
        <v>133</v>
      </c>
      <c r="U151" t="s">
        <v>133</v>
      </c>
      <c r="V151" t="s">
        <v>133</v>
      </c>
      <c r="W151" t="s">
        <v>5</v>
      </c>
      <c r="X151">
        <v>0</v>
      </c>
    </row>
    <row r="152" spans="1:24" hidden="1" x14ac:dyDescent="0.3">
      <c r="A152" s="50" t="str">
        <f t="shared" si="9"/>
        <v>ENTITY_FLG_RQST_DSTRSSD_RSTRCTRNG</v>
      </c>
      <c r="B152" t="s">
        <v>142</v>
      </c>
      <c r="C152" t="s">
        <v>342</v>
      </c>
      <c r="D152" t="s">
        <v>14</v>
      </c>
      <c r="E152" t="s">
        <v>20</v>
      </c>
      <c r="F152" t="s">
        <v>149</v>
      </c>
      <c r="G152" t="s">
        <v>343</v>
      </c>
      <c r="I152" t="s">
        <v>29</v>
      </c>
      <c r="J152" s="15">
        <v>45450</v>
      </c>
      <c r="K152" t="s">
        <v>20</v>
      </c>
      <c r="L152" t="str">
        <f t="shared" si="8"/>
        <v>NOK</v>
      </c>
      <c r="P152" t="s">
        <v>13</v>
      </c>
      <c r="Q152" t="s">
        <v>132</v>
      </c>
      <c r="R152" t="s">
        <v>133</v>
      </c>
      <c r="S152" t="s">
        <v>133</v>
      </c>
      <c r="T152" t="s">
        <v>133</v>
      </c>
      <c r="U152" t="s">
        <v>133</v>
      </c>
      <c r="V152" t="s">
        <v>133</v>
      </c>
      <c r="W152" t="s">
        <v>5</v>
      </c>
      <c r="X152">
        <v>0</v>
      </c>
    </row>
    <row r="153" spans="1:24" hidden="1" x14ac:dyDescent="0.3">
      <c r="A153" s="50" t="str">
        <f t="shared" si="9"/>
        <v>ENTITY_FLG_RQST_EMRGNCY_FNDNG</v>
      </c>
      <c r="B153" t="s">
        <v>142</v>
      </c>
      <c r="C153" t="s">
        <v>344</v>
      </c>
      <c r="D153" t="s">
        <v>14</v>
      </c>
      <c r="E153" t="s">
        <v>38</v>
      </c>
      <c r="F153" t="s">
        <v>130</v>
      </c>
      <c r="G153" t="s">
        <v>131</v>
      </c>
      <c r="I153" t="s">
        <v>26</v>
      </c>
      <c r="J153" s="15">
        <v>45450</v>
      </c>
      <c r="K153" t="s">
        <v>38</v>
      </c>
      <c r="L153" t="str">
        <f t="shared" si="8"/>
        <v>OK</v>
      </c>
      <c r="P153" t="s">
        <v>30</v>
      </c>
      <c r="Q153" t="s">
        <v>132</v>
      </c>
      <c r="R153" t="s">
        <v>133</v>
      </c>
      <c r="S153" t="s">
        <v>133</v>
      </c>
      <c r="T153" t="s">
        <v>133</v>
      </c>
      <c r="U153" t="s">
        <v>133</v>
      </c>
      <c r="V153" t="s">
        <v>132</v>
      </c>
      <c r="W153" t="s">
        <v>5</v>
      </c>
      <c r="X153" t="s">
        <v>135</v>
      </c>
    </row>
    <row r="154" spans="1:24" hidden="1" x14ac:dyDescent="0.3">
      <c r="A154" s="50" t="str">
        <f t="shared" si="9"/>
        <v>ENTITY_FLG_SLL_WTH_LSS</v>
      </c>
      <c r="B154" t="s">
        <v>142</v>
      </c>
      <c r="C154" t="s">
        <v>345</v>
      </c>
      <c r="D154" t="s">
        <v>14</v>
      </c>
      <c r="E154" t="s">
        <v>38</v>
      </c>
      <c r="F154" t="s">
        <v>130</v>
      </c>
      <c r="G154" t="s">
        <v>131</v>
      </c>
      <c r="I154" t="s">
        <v>26</v>
      </c>
      <c r="J154" s="15">
        <v>45450</v>
      </c>
      <c r="K154" t="s">
        <v>38</v>
      </c>
      <c r="L154" t="str">
        <f t="shared" si="8"/>
        <v>OK</v>
      </c>
      <c r="P154" t="s">
        <v>30</v>
      </c>
      <c r="Q154" t="s">
        <v>132</v>
      </c>
      <c r="R154" t="s">
        <v>133</v>
      </c>
      <c r="S154" t="s">
        <v>133</v>
      </c>
      <c r="T154" t="s">
        <v>133</v>
      </c>
      <c r="U154" t="s">
        <v>133</v>
      </c>
      <c r="V154" t="s">
        <v>133</v>
      </c>
      <c r="W154" t="s">
        <v>5</v>
      </c>
      <c r="X154">
        <v>0</v>
      </c>
    </row>
    <row r="155" spans="1:24" hidden="1" x14ac:dyDescent="0.3">
      <c r="A155" s="50" t="str">
        <f t="shared" si="9"/>
        <v>ENTITY_FR_CSH_FLW</v>
      </c>
      <c r="B155" t="s">
        <v>142</v>
      </c>
      <c r="C155" t="s">
        <v>346</v>
      </c>
      <c r="D155" t="s">
        <v>14</v>
      </c>
      <c r="E155" t="s">
        <v>20</v>
      </c>
      <c r="F155" t="s">
        <v>130</v>
      </c>
      <c r="G155" t="s">
        <v>236</v>
      </c>
      <c r="I155" t="s">
        <v>29</v>
      </c>
      <c r="J155" s="15">
        <v>45450</v>
      </c>
      <c r="K155" t="s">
        <v>20</v>
      </c>
      <c r="L155" t="str">
        <f t="shared" si="8"/>
        <v>OK</v>
      </c>
      <c r="P155" t="s">
        <v>19</v>
      </c>
      <c r="Q155" t="s">
        <v>132</v>
      </c>
      <c r="R155" t="s">
        <v>133</v>
      </c>
      <c r="S155" t="s">
        <v>133</v>
      </c>
      <c r="T155" t="s">
        <v>133</v>
      </c>
      <c r="U155" t="s">
        <v>133</v>
      </c>
      <c r="V155" t="s">
        <v>132</v>
      </c>
      <c r="W155" t="s">
        <v>138</v>
      </c>
      <c r="X155" t="s">
        <v>153</v>
      </c>
    </row>
    <row r="156" spans="1:24" hidden="1" x14ac:dyDescent="0.3">
      <c r="A156" s="50" t="str">
        <f t="shared" si="9"/>
        <v>ENTITY_FR_CSH_FLW_T1</v>
      </c>
      <c r="B156" t="s">
        <v>142</v>
      </c>
      <c r="C156" t="s">
        <v>347</v>
      </c>
      <c r="D156" t="s">
        <v>14</v>
      </c>
      <c r="E156" t="s">
        <v>20</v>
      </c>
      <c r="F156" t="s">
        <v>130</v>
      </c>
      <c r="G156" t="s">
        <v>236</v>
      </c>
      <c r="I156" t="s">
        <v>29</v>
      </c>
      <c r="J156" s="15">
        <v>45450</v>
      </c>
      <c r="K156" t="s">
        <v>20</v>
      </c>
      <c r="L156" t="str">
        <f t="shared" si="8"/>
        <v>OK</v>
      </c>
      <c r="P156" t="s">
        <v>19</v>
      </c>
      <c r="Q156" t="s">
        <v>132</v>
      </c>
      <c r="R156" t="s">
        <v>133</v>
      </c>
      <c r="S156" t="s">
        <v>133</v>
      </c>
      <c r="T156" t="s">
        <v>133</v>
      </c>
      <c r="U156" t="s">
        <v>133</v>
      </c>
      <c r="V156" t="s">
        <v>132</v>
      </c>
      <c r="W156" t="s">
        <v>138</v>
      </c>
      <c r="X156" t="s">
        <v>153</v>
      </c>
    </row>
    <row r="157" spans="1:24" hidden="1" x14ac:dyDescent="0.3">
      <c r="A157" s="50" t="str">
        <f t="shared" si="9"/>
        <v>ENTITY_FR_CSH_FLW_T2</v>
      </c>
      <c r="B157" t="s">
        <v>142</v>
      </c>
      <c r="C157" t="s">
        <v>348</v>
      </c>
      <c r="D157" t="s">
        <v>14</v>
      </c>
      <c r="E157" t="s">
        <v>20</v>
      </c>
      <c r="F157" t="s">
        <v>130</v>
      </c>
      <c r="G157" t="s">
        <v>236</v>
      </c>
      <c r="I157" t="s">
        <v>29</v>
      </c>
      <c r="J157" s="15">
        <v>45450</v>
      </c>
      <c r="K157" t="s">
        <v>20</v>
      </c>
      <c r="L157" t="str">
        <f t="shared" ref="L157:L188" si="10">F157</f>
        <v>OK</v>
      </c>
      <c r="P157" t="s">
        <v>19</v>
      </c>
      <c r="Q157" t="s">
        <v>132</v>
      </c>
      <c r="R157" t="s">
        <v>133</v>
      </c>
      <c r="S157" t="s">
        <v>133</v>
      </c>
      <c r="T157" t="s">
        <v>133</v>
      </c>
      <c r="U157" t="s">
        <v>133</v>
      </c>
      <c r="V157" t="s">
        <v>132</v>
      </c>
      <c r="W157" t="s">
        <v>138</v>
      </c>
      <c r="X157" t="s">
        <v>153</v>
      </c>
    </row>
    <row r="158" spans="1:24" hidden="1" x14ac:dyDescent="0.3">
      <c r="A158" s="50" t="str">
        <f t="shared" si="9"/>
        <v>ENTITY_FR_CSH_FLW_T3</v>
      </c>
      <c r="B158" t="s">
        <v>142</v>
      </c>
      <c r="C158" t="s">
        <v>349</v>
      </c>
      <c r="D158" t="s">
        <v>14</v>
      </c>
      <c r="E158" t="s">
        <v>20</v>
      </c>
      <c r="F158" t="s">
        <v>130</v>
      </c>
      <c r="G158" t="s">
        <v>236</v>
      </c>
      <c r="I158" t="s">
        <v>29</v>
      </c>
      <c r="J158" s="15">
        <v>45450</v>
      </c>
      <c r="K158" t="s">
        <v>20</v>
      </c>
      <c r="L158" t="str">
        <f t="shared" si="10"/>
        <v>OK</v>
      </c>
      <c r="P158" t="s">
        <v>19</v>
      </c>
      <c r="Q158" t="s">
        <v>132</v>
      </c>
      <c r="R158" t="s">
        <v>133</v>
      </c>
      <c r="S158" t="s">
        <v>133</v>
      </c>
      <c r="T158" t="s">
        <v>133</v>
      </c>
      <c r="U158" t="s">
        <v>133</v>
      </c>
      <c r="V158" t="s">
        <v>132</v>
      </c>
      <c r="W158" t="s">
        <v>138</v>
      </c>
      <c r="X158" t="s">
        <v>153</v>
      </c>
    </row>
    <row r="159" spans="1:24" hidden="1" x14ac:dyDescent="0.3">
      <c r="A159" s="50" t="str">
        <f t="shared" si="9"/>
        <v>INSTRUMENT_FRBRNC_STTS_C19</v>
      </c>
      <c r="B159" t="s">
        <v>128</v>
      </c>
      <c r="C159" t="s">
        <v>350</v>
      </c>
      <c r="D159" t="s">
        <v>6</v>
      </c>
      <c r="E159" t="s">
        <v>38</v>
      </c>
      <c r="F159" t="s">
        <v>130</v>
      </c>
      <c r="G159" t="s">
        <v>131</v>
      </c>
      <c r="I159" t="s">
        <v>26</v>
      </c>
      <c r="J159" s="15">
        <v>45450</v>
      </c>
      <c r="K159" t="s">
        <v>38</v>
      </c>
      <c r="L159" t="str">
        <f t="shared" si="10"/>
        <v>OK</v>
      </c>
      <c r="P159" t="s">
        <v>30</v>
      </c>
      <c r="Q159" t="s">
        <v>132</v>
      </c>
      <c r="R159" t="s">
        <v>133</v>
      </c>
      <c r="S159" t="s">
        <v>133</v>
      </c>
      <c r="T159" t="s">
        <v>133</v>
      </c>
      <c r="U159" t="s">
        <v>133</v>
      </c>
      <c r="V159" t="s">
        <v>133</v>
      </c>
      <c r="W159" t="s">
        <v>5</v>
      </c>
      <c r="X159">
        <v>0</v>
      </c>
    </row>
    <row r="160" spans="1:24" hidden="1" x14ac:dyDescent="0.3">
      <c r="A160" s="50" t="str">
        <f t="shared" si="9"/>
        <v>ENTITY_EXTRNL_RTNG</v>
      </c>
      <c r="B160" t="s">
        <v>142</v>
      </c>
      <c r="C160" s="10" t="s">
        <v>351</v>
      </c>
      <c r="D160" t="s">
        <v>14</v>
      </c>
      <c r="E160" t="s">
        <v>25</v>
      </c>
      <c r="F160" t="s">
        <v>130</v>
      </c>
      <c r="G160" t="s">
        <v>329</v>
      </c>
      <c r="H160" t="s">
        <v>330</v>
      </c>
      <c r="I160" t="s">
        <v>32</v>
      </c>
      <c r="J160" s="15">
        <v>45450</v>
      </c>
      <c r="K160" t="s">
        <v>25</v>
      </c>
      <c r="L160" t="str">
        <f t="shared" si="10"/>
        <v>OK</v>
      </c>
      <c r="P160" t="s">
        <v>34</v>
      </c>
      <c r="Q160" t="s">
        <v>132</v>
      </c>
      <c r="R160" t="s">
        <v>133</v>
      </c>
      <c r="S160" t="s">
        <v>133</v>
      </c>
      <c r="T160" t="s">
        <v>133</v>
      </c>
      <c r="U160" t="s">
        <v>133</v>
      </c>
      <c r="V160" t="s">
        <v>132</v>
      </c>
      <c r="W160" t="s">
        <v>138</v>
      </c>
      <c r="X160" t="s">
        <v>153</v>
      </c>
    </row>
    <row r="161" spans="1:24" hidden="1" x14ac:dyDescent="0.3">
      <c r="A161" s="50" t="str">
        <f t="shared" si="9"/>
        <v>ENTITY_GCC_PRNT_ID</v>
      </c>
      <c r="B161" t="s">
        <v>142</v>
      </c>
      <c r="C161" t="s">
        <v>352</v>
      </c>
      <c r="D161" t="s">
        <v>14</v>
      </c>
      <c r="E161" t="s">
        <v>38</v>
      </c>
      <c r="F161" t="s">
        <v>130</v>
      </c>
      <c r="G161" t="s">
        <v>131</v>
      </c>
      <c r="I161" t="s">
        <v>26</v>
      </c>
      <c r="J161" s="15">
        <v>45450</v>
      </c>
      <c r="K161" t="s">
        <v>38</v>
      </c>
      <c r="L161" t="str">
        <f t="shared" si="10"/>
        <v>OK</v>
      </c>
      <c r="P161" t="s">
        <v>30</v>
      </c>
      <c r="Q161" t="s">
        <v>132</v>
      </c>
      <c r="R161" t="s">
        <v>133</v>
      </c>
      <c r="S161" t="s">
        <v>133</v>
      </c>
      <c r="T161" t="s">
        <v>133</v>
      </c>
      <c r="U161" t="s">
        <v>133</v>
      </c>
      <c r="V161" t="s">
        <v>132</v>
      </c>
      <c r="W161" t="s">
        <v>5</v>
      </c>
      <c r="X161" t="s">
        <v>135</v>
      </c>
    </row>
    <row r="162" spans="1:24" hidden="1" x14ac:dyDescent="0.3">
      <c r="A162" s="50" t="str">
        <f t="shared" si="9"/>
        <v>ENTITY_GCC_PRNT_NM</v>
      </c>
      <c r="B162" t="s">
        <v>142</v>
      </c>
      <c r="C162" t="s">
        <v>353</v>
      </c>
      <c r="D162" t="s">
        <v>14</v>
      </c>
      <c r="E162" t="s">
        <v>38</v>
      </c>
      <c r="F162" t="s">
        <v>130</v>
      </c>
      <c r="G162" t="s">
        <v>131</v>
      </c>
      <c r="I162" t="s">
        <v>26</v>
      </c>
      <c r="J162" s="15">
        <v>45450</v>
      </c>
      <c r="K162" t="s">
        <v>38</v>
      </c>
      <c r="L162" t="str">
        <f t="shared" si="10"/>
        <v>OK</v>
      </c>
      <c r="P162" t="s">
        <v>30</v>
      </c>
      <c r="Q162" t="s">
        <v>132</v>
      </c>
      <c r="R162" t="s">
        <v>133</v>
      </c>
      <c r="S162" t="s">
        <v>133</v>
      </c>
      <c r="T162" t="s">
        <v>133</v>
      </c>
      <c r="U162" t="s">
        <v>133</v>
      </c>
      <c r="V162" t="s">
        <v>132</v>
      </c>
      <c r="W162" t="s">
        <v>5</v>
      </c>
      <c r="X162" t="s">
        <v>135</v>
      </c>
    </row>
    <row r="163" spans="1:24" hidden="1" x14ac:dyDescent="0.3">
      <c r="A163" s="50" t="str">
        <f t="shared" si="9"/>
        <v>ENTITY_GDWILL</v>
      </c>
      <c r="B163" t="s">
        <v>142</v>
      </c>
      <c r="C163" t="s">
        <v>354</v>
      </c>
      <c r="D163" t="s">
        <v>14</v>
      </c>
      <c r="E163" t="s">
        <v>38</v>
      </c>
      <c r="F163" t="s">
        <v>130</v>
      </c>
      <c r="G163" t="s">
        <v>131</v>
      </c>
      <c r="I163" t="s">
        <v>26</v>
      </c>
      <c r="J163" s="15">
        <v>45450</v>
      </c>
      <c r="K163" t="s">
        <v>38</v>
      </c>
      <c r="L163" t="str">
        <f t="shared" si="10"/>
        <v>OK</v>
      </c>
      <c r="P163" t="s">
        <v>30</v>
      </c>
      <c r="Q163" t="s">
        <v>132</v>
      </c>
      <c r="R163" t="s">
        <v>133</v>
      </c>
      <c r="S163" t="s">
        <v>133</v>
      </c>
      <c r="T163" t="s">
        <v>133</v>
      </c>
      <c r="U163" t="s">
        <v>133</v>
      </c>
      <c r="V163" t="s">
        <v>133</v>
      </c>
      <c r="W163" t="s">
        <v>5</v>
      </c>
      <c r="X163">
        <v>0</v>
      </c>
    </row>
    <row r="164" spans="1:24" hidden="1" x14ac:dyDescent="0.3">
      <c r="A164" s="50" t="str">
        <f t="shared" si="9"/>
        <v>ENTITY_GDWILL_PRVS</v>
      </c>
      <c r="B164" t="s">
        <v>142</v>
      </c>
      <c r="C164" t="s">
        <v>355</v>
      </c>
      <c r="D164" t="s">
        <v>14</v>
      </c>
      <c r="E164" t="s">
        <v>38</v>
      </c>
      <c r="F164" t="s">
        <v>130</v>
      </c>
      <c r="G164" t="s">
        <v>131</v>
      </c>
      <c r="I164" t="s">
        <v>26</v>
      </c>
      <c r="J164" s="15">
        <v>45450</v>
      </c>
      <c r="K164" t="s">
        <v>38</v>
      </c>
      <c r="L164" t="str">
        <f t="shared" si="10"/>
        <v>OK</v>
      </c>
      <c r="P164" t="s">
        <v>30</v>
      </c>
      <c r="Q164" t="s">
        <v>132</v>
      </c>
      <c r="R164" t="s">
        <v>133</v>
      </c>
      <c r="S164" t="s">
        <v>133</v>
      </c>
      <c r="T164" t="s">
        <v>133</v>
      </c>
      <c r="U164" t="s">
        <v>133</v>
      </c>
      <c r="V164" t="s">
        <v>133</v>
      </c>
      <c r="W164" t="s">
        <v>5</v>
      </c>
      <c r="X164">
        <v>0</v>
      </c>
    </row>
    <row r="165" spans="1:24" hidden="1" x14ac:dyDescent="0.3">
      <c r="A165" s="50" t="str">
        <f t="shared" si="9"/>
        <v>INSTRUMENT_GRC_PRD_CPTL_INTRST_C19</v>
      </c>
      <c r="B165" t="s">
        <v>128</v>
      </c>
      <c r="C165" t="s">
        <v>356</v>
      </c>
      <c r="D165" t="s">
        <v>6</v>
      </c>
      <c r="E165" t="s">
        <v>38</v>
      </c>
      <c r="F165" t="s">
        <v>130</v>
      </c>
      <c r="G165" t="s">
        <v>131</v>
      </c>
      <c r="I165" t="s">
        <v>26</v>
      </c>
      <c r="J165" s="15">
        <v>45450</v>
      </c>
      <c r="K165" t="s">
        <v>38</v>
      </c>
      <c r="L165" t="str">
        <f t="shared" si="10"/>
        <v>OK</v>
      </c>
      <c r="P165" t="s">
        <v>30</v>
      </c>
      <c r="Q165" t="s">
        <v>132</v>
      </c>
      <c r="R165" t="s">
        <v>133</v>
      </c>
      <c r="S165" t="s">
        <v>133</v>
      </c>
      <c r="T165" t="s">
        <v>133</v>
      </c>
      <c r="U165" t="s">
        <v>133</v>
      </c>
      <c r="V165" t="s">
        <v>133</v>
      </c>
      <c r="W165" t="s">
        <v>5</v>
      </c>
      <c r="X165">
        <v>0</v>
      </c>
    </row>
    <row r="166" spans="1:24" hidden="1" x14ac:dyDescent="0.3">
      <c r="A166" s="50" t="str">
        <f t="shared" si="9"/>
        <v>INSTRUMENT_GRNTR_ID</v>
      </c>
      <c r="B166" t="s">
        <v>128</v>
      </c>
      <c r="C166" t="s">
        <v>357</v>
      </c>
      <c r="D166" t="s">
        <v>6</v>
      </c>
      <c r="E166" t="s">
        <v>38</v>
      </c>
      <c r="F166" t="s">
        <v>130</v>
      </c>
      <c r="G166" t="s">
        <v>131</v>
      </c>
      <c r="I166" t="s">
        <v>26</v>
      </c>
      <c r="J166" s="15">
        <v>45450</v>
      </c>
      <c r="K166" t="s">
        <v>38</v>
      </c>
      <c r="L166" t="str">
        <f t="shared" si="10"/>
        <v>OK</v>
      </c>
      <c r="P166" t="s">
        <v>30</v>
      </c>
      <c r="Q166" t="s">
        <v>132</v>
      </c>
      <c r="R166" t="s">
        <v>133</v>
      </c>
      <c r="S166" t="s">
        <v>133</v>
      </c>
      <c r="T166" t="s">
        <v>133</v>
      </c>
      <c r="U166" t="s">
        <v>133</v>
      </c>
      <c r="V166" t="s">
        <v>133</v>
      </c>
      <c r="W166" t="s">
        <v>5</v>
      </c>
      <c r="X166">
        <v>0</v>
      </c>
    </row>
    <row r="167" spans="1:24" hidden="1" x14ac:dyDescent="0.3">
      <c r="A167" s="50" t="str">
        <f t="shared" si="9"/>
        <v>INSTRUMENT_GRNTR_ID_TYP</v>
      </c>
      <c r="B167" t="s">
        <v>128</v>
      </c>
      <c r="C167" t="s">
        <v>358</v>
      </c>
      <c r="D167" t="s">
        <v>6</v>
      </c>
      <c r="E167" t="s">
        <v>38</v>
      </c>
      <c r="F167" t="s">
        <v>130</v>
      </c>
      <c r="G167" t="s">
        <v>131</v>
      </c>
      <c r="I167" t="s">
        <v>26</v>
      </c>
      <c r="J167" s="15">
        <v>45450</v>
      </c>
      <c r="K167" t="s">
        <v>38</v>
      </c>
      <c r="L167" t="str">
        <f t="shared" si="10"/>
        <v>OK</v>
      </c>
      <c r="P167" t="s">
        <v>30</v>
      </c>
      <c r="Q167" t="s">
        <v>132</v>
      </c>
      <c r="R167" t="s">
        <v>133</v>
      </c>
      <c r="S167" t="s">
        <v>133</v>
      </c>
      <c r="T167" t="s">
        <v>133</v>
      </c>
      <c r="U167" t="s">
        <v>133</v>
      </c>
      <c r="V167" t="s">
        <v>133</v>
      </c>
      <c r="W167" t="s">
        <v>5</v>
      </c>
      <c r="X167">
        <v>0</v>
      </c>
    </row>
    <row r="168" spans="1:24" hidden="1" x14ac:dyDescent="0.3">
      <c r="A168" s="50" t="str">
        <f t="shared" si="9"/>
        <v>ENTITY_GRP_EBITDA</v>
      </c>
      <c r="B168" t="s">
        <v>142</v>
      </c>
      <c r="C168" t="s">
        <v>359</v>
      </c>
      <c r="D168" t="s">
        <v>14</v>
      </c>
      <c r="E168" t="s">
        <v>38</v>
      </c>
      <c r="F168" t="s">
        <v>130</v>
      </c>
      <c r="G168" t="s">
        <v>131</v>
      </c>
      <c r="I168" t="s">
        <v>26</v>
      </c>
      <c r="J168" s="15">
        <v>45450</v>
      </c>
      <c r="K168" t="s">
        <v>38</v>
      </c>
      <c r="L168" t="str">
        <f t="shared" si="10"/>
        <v>OK</v>
      </c>
      <c r="P168" t="s">
        <v>30</v>
      </c>
      <c r="Q168" t="s">
        <v>132</v>
      </c>
      <c r="R168" t="s">
        <v>133</v>
      </c>
      <c r="S168" t="s">
        <v>133</v>
      </c>
      <c r="T168" t="s">
        <v>133</v>
      </c>
      <c r="U168" t="s">
        <v>133</v>
      </c>
      <c r="V168" t="s">
        <v>132</v>
      </c>
      <c r="W168" t="s">
        <v>5</v>
      </c>
      <c r="X168" t="s">
        <v>135</v>
      </c>
    </row>
    <row r="169" spans="1:24" hidden="1" x14ac:dyDescent="0.3">
      <c r="A169" s="50" t="str">
        <f t="shared" si="9"/>
        <v>ENTITY_GRP_EQTY</v>
      </c>
      <c r="B169" t="s">
        <v>142</v>
      </c>
      <c r="C169" t="s">
        <v>360</v>
      </c>
      <c r="D169" t="s">
        <v>14</v>
      </c>
      <c r="E169" t="s">
        <v>38</v>
      </c>
      <c r="F169" t="s">
        <v>130</v>
      </c>
      <c r="G169" t="s">
        <v>131</v>
      </c>
      <c r="I169" t="s">
        <v>26</v>
      </c>
      <c r="J169" s="15">
        <v>45450</v>
      </c>
      <c r="K169" t="s">
        <v>38</v>
      </c>
      <c r="L169" t="str">
        <f t="shared" si="10"/>
        <v>OK</v>
      </c>
      <c r="P169" t="s">
        <v>30</v>
      </c>
      <c r="Q169" t="s">
        <v>132</v>
      </c>
      <c r="R169" t="s">
        <v>133</v>
      </c>
      <c r="S169" t="s">
        <v>132</v>
      </c>
      <c r="T169" t="s">
        <v>133</v>
      </c>
      <c r="U169" t="s">
        <v>133</v>
      </c>
      <c r="V169" t="s">
        <v>132</v>
      </c>
      <c r="W169" t="s">
        <v>5</v>
      </c>
      <c r="X169" t="s">
        <v>135</v>
      </c>
    </row>
    <row r="170" spans="1:24" hidden="1" x14ac:dyDescent="0.3">
      <c r="A170" s="50" t="str">
        <f t="shared" si="9"/>
        <v>ENTITY_GRP_NT_DBT</v>
      </c>
      <c r="B170" t="s">
        <v>142</v>
      </c>
      <c r="C170" t="s">
        <v>361</v>
      </c>
      <c r="D170" t="s">
        <v>14</v>
      </c>
      <c r="E170" t="s">
        <v>38</v>
      </c>
      <c r="F170" t="s">
        <v>130</v>
      </c>
      <c r="G170" t="s">
        <v>131</v>
      </c>
      <c r="I170" t="s">
        <v>26</v>
      </c>
      <c r="J170" s="15">
        <v>45450</v>
      </c>
      <c r="K170" t="s">
        <v>38</v>
      </c>
      <c r="L170" t="str">
        <f t="shared" si="10"/>
        <v>OK</v>
      </c>
      <c r="P170" t="s">
        <v>30</v>
      </c>
      <c r="Q170" t="s">
        <v>132</v>
      </c>
      <c r="R170" t="s">
        <v>133</v>
      </c>
      <c r="S170" t="s">
        <v>133</v>
      </c>
      <c r="T170" t="s">
        <v>133</v>
      </c>
      <c r="U170" t="s">
        <v>133</v>
      </c>
      <c r="V170" t="s">
        <v>132</v>
      </c>
      <c r="W170" t="s">
        <v>5</v>
      </c>
      <c r="X170" t="s">
        <v>135</v>
      </c>
    </row>
    <row r="171" spans="1:24" hidden="1" x14ac:dyDescent="0.3">
      <c r="A171" s="50" t="str">
        <f t="shared" si="9"/>
        <v>ENTITY_GRP_TTL_DBT</v>
      </c>
      <c r="B171" t="s">
        <v>142</v>
      </c>
      <c r="C171" t="s">
        <v>362</v>
      </c>
      <c r="D171" t="s">
        <v>6</v>
      </c>
      <c r="E171" t="s">
        <v>25</v>
      </c>
      <c r="F171" t="s">
        <v>130</v>
      </c>
      <c r="G171" t="s">
        <v>144</v>
      </c>
      <c r="H171" t="s">
        <v>145</v>
      </c>
      <c r="I171" t="s">
        <v>29</v>
      </c>
      <c r="J171" s="15">
        <v>45450</v>
      </c>
      <c r="K171" t="s">
        <v>25</v>
      </c>
      <c r="L171" t="str">
        <f t="shared" si="10"/>
        <v>OK</v>
      </c>
      <c r="P171" t="s">
        <v>13</v>
      </c>
      <c r="Q171" t="s">
        <v>132</v>
      </c>
      <c r="R171" t="s">
        <v>133</v>
      </c>
      <c r="S171" t="s">
        <v>132</v>
      </c>
      <c r="T171" t="s">
        <v>133</v>
      </c>
      <c r="U171" t="s">
        <v>133</v>
      </c>
      <c r="V171" t="s">
        <v>133</v>
      </c>
      <c r="W171" t="s">
        <v>5</v>
      </c>
      <c r="X171">
        <v>0</v>
      </c>
    </row>
    <row r="172" spans="1:24" hidden="1" x14ac:dyDescent="0.3">
      <c r="A172" s="50" t="str">
        <f t="shared" si="9"/>
        <v>INSTRUMENT_GRSS_CRRYNG_AMNT_INSTRMNT</v>
      </c>
      <c r="B172" t="s">
        <v>128</v>
      </c>
      <c r="C172" t="s">
        <v>363</v>
      </c>
      <c r="D172" t="s">
        <v>14</v>
      </c>
      <c r="E172" t="s">
        <v>38</v>
      </c>
      <c r="F172" t="s">
        <v>130</v>
      </c>
      <c r="G172" t="s">
        <v>131</v>
      </c>
      <c r="I172" t="s">
        <v>26</v>
      </c>
      <c r="J172" s="15">
        <v>45450</v>
      </c>
      <c r="K172" t="s">
        <v>38</v>
      </c>
      <c r="L172" t="str">
        <f t="shared" si="10"/>
        <v>OK</v>
      </c>
      <c r="P172" t="s">
        <v>30</v>
      </c>
      <c r="Q172" t="s">
        <v>132</v>
      </c>
      <c r="R172" t="s">
        <v>132</v>
      </c>
      <c r="S172" t="s">
        <v>132</v>
      </c>
      <c r="T172" t="s">
        <v>133</v>
      </c>
      <c r="U172" t="s">
        <v>132</v>
      </c>
      <c r="V172" t="s">
        <v>132</v>
      </c>
      <c r="W172" t="s">
        <v>5</v>
      </c>
      <c r="X172" t="s">
        <v>135</v>
      </c>
    </row>
    <row r="173" spans="1:24" hidden="1" x14ac:dyDescent="0.3">
      <c r="A173" s="50" t="str">
        <f t="shared" si="9"/>
        <v>INSTRUMENT_HEDGE_ID</v>
      </c>
      <c r="B173" t="s">
        <v>128</v>
      </c>
      <c r="C173" t="s">
        <v>364</v>
      </c>
      <c r="D173" t="s">
        <v>6</v>
      </c>
      <c r="E173" t="s">
        <v>38</v>
      </c>
      <c r="F173" t="s">
        <v>130</v>
      </c>
      <c r="G173" t="s">
        <v>131</v>
      </c>
      <c r="I173" t="s">
        <v>26</v>
      </c>
      <c r="J173" s="15">
        <v>45450</v>
      </c>
      <c r="K173" t="s">
        <v>38</v>
      </c>
      <c r="L173" t="str">
        <f t="shared" si="10"/>
        <v>OK</v>
      </c>
      <c r="P173" t="s">
        <v>30</v>
      </c>
      <c r="Q173" t="s">
        <v>132</v>
      </c>
      <c r="R173" t="s">
        <v>133</v>
      </c>
      <c r="S173" t="s">
        <v>133</v>
      </c>
      <c r="T173" t="s">
        <v>133</v>
      </c>
      <c r="U173" t="s">
        <v>133</v>
      </c>
      <c r="V173" t="s">
        <v>133</v>
      </c>
      <c r="W173" t="s">
        <v>5</v>
      </c>
      <c r="X173">
        <v>0</v>
      </c>
    </row>
    <row r="174" spans="1:24" hidden="1" x14ac:dyDescent="0.3">
      <c r="A174" s="50" t="str">
        <f t="shared" si="9"/>
        <v>PROTECTION_HRCT_MV</v>
      </c>
      <c r="B174" t="s">
        <v>161</v>
      </c>
      <c r="C174" t="s">
        <v>365</v>
      </c>
      <c r="D174" t="s">
        <v>14</v>
      </c>
      <c r="E174" t="s">
        <v>38</v>
      </c>
      <c r="F174" t="s">
        <v>130</v>
      </c>
      <c r="G174" t="s">
        <v>131</v>
      </c>
      <c r="I174" t="s">
        <v>26</v>
      </c>
      <c r="J174" s="15">
        <v>45450</v>
      </c>
      <c r="K174" t="s">
        <v>38</v>
      </c>
      <c r="L174" t="str">
        <f t="shared" si="10"/>
        <v>OK</v>
      </c>
      <c r="P174" t="s">
        <v>30</v>
      </c>
      <c r="Q174" t="s">
        <v>132</v>
      </c>
      <c r="R174" t="s">
        <v>133</v>
      </c>
      <c r="S174" t="s">
        <v>133</v>
      </c>
      <c r="T174" t="s">
        <v>133</v>
      </c>
      <c r="U174" t="s">
        <v>133</v>
      </c>
      <c r="V174" t="s">
        <v>133</v>
      </c>
      <c r="W174" t="s">
        <v>5</v>
      </c>
      <c r="X174">
        <v>0</v>
      </c>
    </row>
    <row r="175" spans="1:24" hidden="1" x14ac:dyDescent="0.3">
      <c r="A175" s="50" t="str">
        <f t="shared" si="9"/>
        <v>INSTRUMENT_IDCMB</v>
      </c>
      <c r="B175" t="s">
        <v>128</v>
      </c>
      <c r="C175" s="11" t="s">
        <v>366</v>
      </c>
      <c r="D175" t="s">
        <v>6</v>
      </c>
      <c r="E175" t="s">
        <v>33</v>
      </c>
      <c r="F175" t="s">
        <v>149</v>
      </c>
      <c r="G175" s="86" t="s">
        <v>367</v>
      </c>
      <c r="I175" t="s">
        <v>32</v>
      </c>
      <c r="J175" s="15">
        <v>45450</v>
      </c>
      <c r="K175" t="s">
        <v>33</v>
      </c>
      <c r="L175" t="str">
        <f t="shared" si="10"/>
        <v>NOK</v>
      </c>
      <c r="N175" s="15">
        <v>45328</v>
      </c>
      <c r="O175" s="15">
        <v>45330</v>
      </c>
      <c r="P175" t="s">
        <v>19</v>
      </c>
      <c r="Q175" t="s">
        <v>132</v>
      </c>
      <c r="R175" t="s">
        <v>132</v>
      </c>
      <c r="S175" t="s">
        <v>132</v>
      </c>
      <c r="T175" t="s">
        <v>133</v>
      </c>
      <c r="U175" t="s">
        <v>132</v>
      </c>
      <c r="V175" t="s">
        <v>132</v>
      </c>
      <c r="W175" t="s">
        <v>138</v>
      </c>
      <c r="X175" t="s">
        <v>139</v>
      </c>
    </row>
    <row r="176" spans="1:24" hidden="1" x14ac:dyDescent="0.3">
      <c r="A176" s="50" t="str">
        <f t="shared" si="9"/>
        <v>ENTITY_EBITDA_PRVS</v>
      </c>
      <c r="B176" t="s">
        <v>142</v>
      </c>
      <c r="C176" t="s">
        <v>368</v>
      </c>
      <c r="D176" t="s">
        <v>14</v>
      </c>
      <c r="E176" t="s">
        <v>25</v>
      </c>
      <c r="F176" t="s">
        <v>130</v>
      </c>
      <c r="G176" t="s">
        <v>369</v>
      </c>
      <c r="I176" t="s">
        <v>29</v>
      </c>
      <c r="J176" s="15">
        <v>45450</v>
      </c>
      <c r="K176" t="s">
        <v>25</v>
      </c>
      <c r="L176" t="str">
        <f t="shared" si="10"/>
        <v>OK</v>
      </c>
      <c r="P176" t="s">
        <v>13</v>
      </c>
      <c r="Q176" t="s">
        <v>132</v>
      </c>
      <c r="R176" t="s">
        <v>133</v>
      </c>
      <c r="S176" t="s">
        <v>133</v>
      </c>
      <c r="T176" t="s">
        <v>133</v>
      </c>
      <c r="U176" t="s">
        <v>133</v>
      </c>
      <c r="V176" t="s">
        <v>132</v>
      </c>
      <c r="W176" t="s">
        <v>146</v>
      </c>
      <c r="X176" t="s">
        <v>147</v>
      </c>
    </row>
    <row r="177" spans="1:24" hidden="1" x14ac:dyDescent="0.3">
      <c r="A177" s="50" t="str">
        <f t="shared" si="9"/>
        <v>INSTRUMENT_IFRS9_CCF</v>
      </c>
      <c r="B177" t="s">
        <v>128</v>
      </c>
      <c r="C177" t="s">
        <v>370</v>
      </c>
      <c r="D177" t="s">
        <v>14</v>
      </c>
      <c r="E177" t="s">
        <v>38</v>
      </c>
      <c r="F177" t="s">
        <v>130</v>
      </c>
      <c r="G177" t="s">
        <v>131</v>
      </c>
      <c r="I177" t="s">
        <v>26</v>
      </c>
      <c r="J177" s="15">
        <v>45450</v>
      </c>
      <c r="K177" t="s">
        <v>38</v>
      </c>
      <c r="L177" t="str">
        <f t="shared" si="10"/>
        <v>OK</v>
      </c>
      <c r="M177" t="s">
        <v>371</v>
      </c>
      <c r="P177" t="s">
        <v>30</v>
      </c>
      <c r="Q177" t="s">
        <v>132</v>
      </c>
      <c r="R177" t="s">
        <v>133</v>
      </c>
      <c r="S177" t="s">
        <v>133</v>
      </c>
      <c r="T177" t="s">
        <v>133</v>
      </c>
      <c r="U177" t="s">
        <v>133</v>
      </c>
      <c r="V177" t="s">
        <v>133</v>
      </c>
      <c r="W177" t="s">
        <v>5</v>
      </c>
      <c r="X177">
        <v>0</v>
      </c>
    </row>
    <row r="178" spans="1:24" hidden="1" x14ac:dyDescent="0.3">
      <c r="A178" s="50" t="str">
        <f t="shared" si="9"/>
        <v>INSTRUMENT_IFRS9_EAD</v>
      </c>
      <c r="B178" t="s">
        <v>128</v>
      </c>
      <c r="C178" t="s">
        <v>372</v>
      </c>
      <c r="D178" t="s">
        <v>14</v>
      </c>
      <c r="E178" t="s">
        <v>36</v>
      </c>
      <c r="F178" t="s">
        <v>149</v>
      </c>
      <c r="G178" t="s">
        <v>163</v>
      </c>
      <c r="I178" t="s">
        <v>29</v>
      </c>
      <c r="J178" s="15">
        <v>45450</v>
      </c>
      <c r="K178" t="s">
        <v>36</v>
      </c>
      <c r="L178" t="str">
        <f t="shared" si="10"/>
        <v>NOK</v>
      </c>
      <c r="M178" t="s">
        <v>371</v>
      </c>
      <c r="P178" t="s">
        <v>8</v>
      </c>
      <c r="Q178" t="s">
        <v>132</v>
      </c>
      <c r="R178" t="s">
        <v>133</v>
      </c>
      <c r="S178" t="s">
        <v>133</v>
      </c>
      <c r="T178" t="s">
        <v>133</v>
      </c>
      <c r="U178" t="s">
        <v>133</v>
      </c>
      <c r="V178" t="s">
        <v>133</v>
      </c>
      <c r="W178" t="s">
        <v>5</v>
      </c>
      <c r="X178">
        <v>0</v>
      </c>
    </row>
    <row r="179" spans="1:24" hidden="1" x14ac:dyDescent="0.3">
      <c r="A179" s="50" t="str">
        <f t="shared" si="9"/>
        <v>INSTRUMENT_IFRS9_LGD</v>
      </c>
      <c r="B179" t="s">
        <v>128</v>
      </c>
      <c r="C179" t="s">
        <v>373</v>
      </c>
      <c r="D179" t="s">
        <v>14</v>
      </c>
      <c r="E179" t="s">
        <v>38</v>
      </c>
      <c r="F179" t="s">
        <v>130</v>
      </c>
      <c r="G179" t="s">
        <v>131</v>
      </c>
      <c r="I179" t="s">
        <v>26</v>
      </c>
      <c r="J179" s="15">
        <v>45450</v>
      </c>
      <c r="K179" t="s">
        <v>38</v>
      </c>
      <c r="L179" t="str">
        <f t="shared" si="10"/>
        <v>OK</v>
      </c>
      <c r="M179" t="s">
        <v>371</v>
      </c>
      <c r="P179" t="s">
        <v>30</v>
      </c>
      <c r="Q179" t="s">
        <v>132</v>
      </c>
      <c r="R179" t="s">
        <v>133</v>
      </c>
      <c r="S179" t="s">
        <v>133</v>
      </c>
      <c r="T179" t="s">
        <v>133</v>
      </c>
      <c r="U179" t="s">
        <v>133</v>
      </c>
      <c r="V179" t="s">
        <v>133</v>
      </c>
      <c r="W179" t="s">
        <v>5</v>
      </c>
      <c r="X179">
        <v>0</v>
      </c>
    </row>
    <row r="180" spans="1:24" hidden="1" x14ac:dyDescent="0.3">
      <c r="A180" s="50" t="str">
        <f t="shared" si="9"/>
        <v>INSTRUMENT_IMPRMNT_ASSSSMNT_MTHD</v>
      </c>
      <c r="B180" t="s">
        <v>128</v>
      </c>
      <c r="C180" t="s">
        <v>374</v>
      </c>
      <c r="D180" t="s">
        <v>14</v>
      </c>
      <c r="E180" t="s">
        <v>38</v>
      </c>
      <c r="F180" t="s">
        <v>130</v>
      </c>
      <c r="G180" t="s">
        <v>131</v>
      </c>
      <c r="I180" t="s">
        <v>26</v>
      </c>
      <c r="J180" s="15">
        <v>45450</v>
      </c>
      <c r="K180" t="s">
        <v>38</v>
      </c>
      <c r="L180" t="str">
        <f t="shared" si="10"/>
        <v>OK</v>
      </c>
      <c r="P180" t="s">
        <v>30</v>
      </c>
      <c r="Q180" t="s">
        <v>132</v>
      </c>
      <c r="R180" t="s">
        <v>133</v>
      </c>
      <c r="S180" t="s">
        <v>133</v>
      </c>
      <c r="T180" t="s">
        <v>133</v>
      </c>
      <c r="U180" t="s">
        <v>133</v>
      </c>
      <c r="V180" t="s">
        <v>132</v>
      </c>
      <c r="W180" t="s">
        <v>5</v>
      </c>
      <c r="X180" t="s">
        <v>135</v>
      </c>
    </row>
    <row r="181" spans="1:24" hidden="1" x14ac:dyDescent="0.3">
      <c r="A181" s="50" t="str">
        <f t="shared" si="9"/>
        <v>INSTRUMENT_IMPRMNT_CLCLTN_MTHD</v>
      </c>
      <c r="B181" t="s">
        <v>128</v>
      </c>
      <c r="C181" t="s">
        <v>375</v>
      </c>
      <c r="D181" t="s">
        <v>14</v>
      </c>
      <c r="E181" t="s">
        <v>36</v>
      </c>
      <c r="F181" t="s">
        <v>149</v>
      </c>
      <c r="G181" t="s">
        <v>163</v>
      </c>
      <c r="I181" t="s">
        <v>29</v>
      </c>
      <c r="J181" s="15">
        <v>45450</v>
      </c>
      <c r="K181" t="s">
        <v>36</v>
      </c>
      <c r="L181" t="str">
        <f t="shared" si="10"/>
        <v>NOK</v>
      </c>
      <c r="P181" t="s">
        <v>8</v>
      </c>
      <c r="Q181" t="s">
        <v>132</v>
      </c>
      <c r="R181" t="s">
        <v>133</v>
      </c>
      <c r="S181" t="s">
        <v>133</v>
      </c>
      <c r="T181" t="s">
        <v>133</v>
      </c>
      <c r="U181" t="s">
        <v>133</v>
      </c>
      <c r="V181" t="s">
        <v>133</v>
      </c>
      <c r="W181" t="s">
        <v>5</v>
      </c>
      <c r="X181">
        <v>0</v>
      </c>
    </row>
    <row r="182" spans="1:24" hidden="1" x14ac:dyDescent="0.3">
      <c r="A182" s="50" t="str">
        <f t="shared" si="9"/>
        <v>INSTRUMENT_IMPRMNT_STTS</v>
      </c>
      <c r="B182" t="s">
        <v>128</v>
      </c>
      <c r="C182" s="11" t="s">
        <v>44</v>
      </c>
      <c r="D182" t="s">
        <v>14</v>
      </c>
      <c r="E182" t="s">
        <v>28</v>
      </c>
      <c r="F182" t="s">
        <v>149</v>
      </c>
      <c r="G182" t="s">
        <v>376</v>
      </c>
      <c r="I182" t="s">
        <v>32</v>
      </c>
      <c r="J182" s="15">
        <v>45670</v>
      </c>
      <c r="K182" t="s">
        <v>33</v>
      </c>
      <c r="L182" t="str">
        <f t="shared" si="10"/>
        <v>NOK</v>
      </c>
      <c r="M182" t="s">
        <v>268</v>
      </c>
      <c r="N182" s="15">
        <v>45562</v>
      </c>
      <c r="P182" t="s">
        <v>39</v>
      </c>
      <c r="Q182" t="s">
        <v>132</v>
      </c>
      <c r="R182" t="s">
        <v>132</v>
      </c>
      <c r="S182" t="s">
        <v>132</v>
      </c>
      <c r="T182" t="s">
        <v>133</v>
      </c>
      <c r="U182" t="s">
        <v>133</v>
      </c>
      <c r="V182" t="s">
        <v>132</v>
      </c>
      <c r="W182" t="s">
        <v>5</v>
      </c>
      <c r="X182" t="s">
        <v>269</v>
      </c>
    </row>
    <row r="183" spans="1:24" hidden="1" x14ac:dyDescent="0.3">
      <c r="A183" s="50" t="str">
        <f t="shared" si="9"/>
        <v>INSTRUMENT_IMPRMNT_STTS_PRVS</v>
      </c>
      <c r="B183" t="s">
        <v>128</v>
      </c>
      <c r="C183" s="11" t="s">
        <v>46</v>
      </c>
      <c r="D183" t="s">
        <v>14</v>
      </c>
      <c r="E183" t="s">
        <v>28</v>
      </c>
      <c r="F183" t="s">
        <v>130</v>
      </c>
      <c r="G183" t="s">
        <v>159</v>
      </c>
      <c r="H183" t="s">
        <v>267</v>
      </c>
      <c r="I183" t="s">
        <v>32</v>
      </c>
      <c r="J183" s="15">
        <v>45670</v>
      </c>
      <c r="K183" t="s">
        <v>33</v>
      </c>
      <c r="L183" t="str">
        <f t="shared" si="10"/>
        <v>OK</v>
      </c>
      <c r="M183" t="s">
        <v>268</v>
      </c>
      <c r="N183" s="15">
        <v>45562</v>
      </c>
      <c r="P183" t="s">
        <v>39</v>
      </c>
      <c r="Q183" t="s">
        <v>132</v>
      </c>
      <c r="R183" t="s">
        <v>133</v>
      </c>
      <c r="S183" t="s">
        <v>133</v>
      </c>
      <c r="T183" t="s">
        <v>133</v>
      </c>
      <c r="U183" t="s">
        <v>133</v>
      </c>
      <c r="V183" t="s">
        <v>132</v>
      </c>
      <c r="W183" t="s">
        <v>5</v>
      </c>
      <c r="X183" t="s">
        <v>269</v>
      </c>
    </row>
    <row r="184" spans="1:24" hidden="1" x14ac:dyDescent="0.3">
      <c r="A184" s="50" t="str">
        <f t="shared" si="9"/>
        <v>ENTITY_INCM_SC</v>
      </c>
      <c r="B184" t="s">
        <v>142</v>
      </c>
      <c r="C184" t="s">
        <v>377</v>
      </c>
      <c r="D184" t="s">
        <v>6</v>
      </c>
      <c r="E184" t="s">
        <v>20</v>
      </c>
      <c r="F184" t="s">
        <v>130</v>
      </c>
      <c r="G184" t="s">
        <v>378</v>
      </c>
      <c r="I184" t="s">
        <v>29</v>
      </c>
      <c r="J184" s="15">
        <v>45450</v>
      </c>
      <c r="K184" t="s">
        <v>20</v>
      </c>
      <c r="L184" t="str">
        <f t="shared" si="10"/>
        <v>OK</v>
      </c>
      <c r="P184" t="s">
        <v>13</v>
      </c>
      <c r="Q184" t="s">
        <v>132</v>
      </c>
      <c r="R184" t="s">
        <v>133</v>
      </c>
      <c r="S184" t="s">
        <v>133</v>
      </c>
      <c r="T184" t="s">
        <v>133</v>
      </c>
      <c r="U184" t="s">
        <v>133</v>
      </c>
      <c r="V184" t="s">
        <v>133</v>
      </c>
      <c r="W184" t="s">
        <v>5</v>
      </c>
      <c r="X184">
        <v>0</v>
      </c>
    </row>
    <row r="185" spans="1:24" hidden="1" x14ac:dyDescent="0.3">
      <c r="A185" s="50" t="str">
        <f t="shared" si="9"/>
        <v>ENTITY_EBITDA</v>
      </c>
      <c r="B185" t="s">
        <v>142</v>
      </c>
      <c r="C185" t="s">
        <v>379</v>
      </c>
      <c r="D185" t="s">
        <v>14</v>
      </c>
      <c r="E185" t="s">
        <v>25</v>
      </c>
      <c r="F185" t="s">
        <v>130</v>
      </c>
      <c r="G185" t="s">
        <v>369</v>
      </c>
      <c r="I185" t="s">
        <v>29</v>
      </c>
      <c r="J185" s="15">
        <v>45450</v>
      </c>
      <c r="K185" t="s">
        <v>25</v>
      </c>
      <c r="L185" t="str">
        <f t="shared" si="10"/>
        <v>OK</v>
      </c>
      <c r="P185" t="s">
        <v>13</v>
      </c>
      <c r="Q185" t="s">
        <v>132</v>
      </c>
      <c r="R185" t="s">
        <v>133</v>
      </c>
      <c r="S185" t="s">
        <v>133</v>
      </c>
      <c r="T185" t="s">
        <v>133</v>
      </c>
      <c r="U185" t="s">
        <v>133</v>
      </c>
      <c r="V185" t="s">
        <v>132</v>
      </c>
      <c r="W185" t="s">
        <v>146</v>
      </c>
      <c r="X185" t="s">
        <v>147</v>
      </c>
    </row>
    <row r="186" spans="1:24" hidden="1" x14ac:dyDescent="0.3">
      <c r="A186" s="50" t="str">
        <f t="shared" si="9"/>
        <v>INSTRUMENT_INSTR_SNRTY_CLSS</v>
      </c>
      <c r="B186" t="s">
        <v>128</v>
      </c>
      <c r="C186" t="s">
        <v>380</v>
      </c>
      <c r="D186" t="s">
        <v>6</v>
      </c>
      <c r="E186" t="s">
        <v>38</v>
      </c>
      <c r="F186" t="s">
        <v>130</v>
      </c>
      <c r="G186" t="s">
        <v>131</v>
      </c>
      <c r="I186" t="s">
        <v>26</v>
      </c>
      <c r="J186" s="15">
        <v>45450</v>
      </c>
      <c r="K186" t="s">
        <v>38</v>
      </c>
      <c r="L186" t="str">
        <f t="shared" si="10"/>
        <v>OK</v>
      </c>
      <c r="P186" t="s">
        <v>30</v>
      </c>
      <c r="Q186" t="s">
        <v>132</v>
      </c>
      <c r="R186" t="s">
        <v>133</v>
      </c>
      <c r="S186" t="s">
        <v>133</v>
      </c>
      <c r="T186" t="s">
        <v>133</v>
      </c>
      <c r="U186" t="s">
        <v>133</v>
      </c>
      <c r="V186" t="s">
        <v>132</v>
      </c>
      <c r="W186" t="s">
        <v>5</v>
      </c>
      <c r="X186" t="s">
        <v>135</v>
      </c>
    </row>
    <row r="187" spans="1:24" hidden="1" x14ac:dyDescent="0.3">
      <c r="A187" s="50" t="str">
        <f t="shared" si="9"/>
        <v>INSTRUMENT_INSTRMNT_CLSS</v>
      </c>
      <c r="B187" t="s">
        <v>128</v>
      </c>
      <c r="C187" t="s">
        <v>381</v>
      </c>
      <c r="D187" t="s">
        <v>6</v>
      </c>
      <c r="E187" t="s">
        <v>38</v>
      </c>
      <c r="F187" t="s">
        <v>130</v>
      </c>
      <c r="G187" t="s">
        <v>131</v>
      </c>
      <c r="I187" t="s">
        <v>26</v>
      </c>
      <c r="J187" s="15">
        <v>45450</v>
      </c>
      <c r="K187" t="s">
        <v>38</v>
      </c>
      <c r="L187" t="str">
        <f t="shared" si="10"/>
        <v>OK</v>
      </c>
      <c r="P187" t="s">
        <v>30</v>
      </c>
      <c r="Q187" t="s">
        <v>132</v>
      </c>
      <c r="R187" t="s">
        <v>133</v>
      </c>
      <c r="S187" t="s">
        <v>133</v>
      </c>
      <c r="T187" t="s">
        <v>133</v>
      </c>
      <c r="U187" t="s">
        <v>133</v>
      </c>
      <c r="V187" t="s">
        <v>133</v>
      </c>
      <c r="W187" t="s">
        <v>5</v>
      </c>
      <c r="X187">
        <v>0</v>
      </c>
    </row>
    <row r="188" spans="1:24" hidden="1" x14ac:dyDescent="0.3">
      <c r="A188" s="50" t="str">
        <f t="shared" si="9"/>
        <v>INSTR_ENTITY_INSTRMNT_ID</v>
      </c>
      <c r="B188" t="s">
        <v>193</v>
      </c>
      <c r="C188" t="s">
        <v>382</v>
      </c>
      <c r="D188" t="s">
        <v>14</v>
      </c>
      <c r="E188" t="s">
        <v>38</v>
      </c>
      <c r="F188" t="s">
        <v>130</v>
      </c>
      <c r="G188" t="s">
        <v>131</v>
      </c>
      <c r="I188" t="s">
        <v>26</v>
      </c>
      <c r="J188" s="15">
        <v>45450</v>
      </c>
      <c r="K188" t="s">
        <v>38</v>
      </c>
      <c r="L188" t="str">
        <f t="shared" si="10"/>
        <v>OK</v>
      </c>
      <c r="P188" t="s">
        <v>30</v>
      </c>
      <c r="Q188" t="s">
        <v>132</v>
      </c>
      <c r="R188" t="s">
        <v>133</v>
      </c>
      <c r="S188" t="s">
        <v>132</v>
      </c>
      <c r="T188" t="s">
        <v>133</v>
      </c>
      <c r="U188" t="s">
        <v>133</v>
      </c>
      <c r="V188" t="s">
        <v>132</v>
      </c>
      <c r="W188" t="s">
        <v>5</v>
      </c>
      <c r="X188" t="s">
        <v>135</v>
      </c>
    </row>
    <row r="189" spans="1:24" hidden="1" x14ac:dyDescent="0.3">
      <c r="A189" s="50" t="str">
        <f t="shared" si="9"/>
        <v>INSTR_PROTECTION_INSTRMNT_ID</v>
      </c>
      <c r="B189" t="s">
        <v>194</v>
      </c>
      <c r="C189" t="s">
        <v>382</v>
      </c>
      <c r="D189" t="s">
        <v>14</v>
      </c>
      <c r="E189" t="s">
        <v>38</v>
      </c>
      <c r="F189" t="s">
        <v>130</v>
      </c>
      <c r="G189" t="s">
        <v>131</v>
      </c>
      <c r="I189" t="s">
        <v>26</v>
      </c>
      <c r="J189" s="15">
        <v>45450</v>
      </c>
      <c r="K189" t="s">
        <v>38</v>
      </c>
      <c r="L189" t="str">
        <f t="shared" ref="L189:L220" si="11">F189</f>
        <v>OK</v>
      </c>
      <c r="P189" t="s">
        <v>30</v>
      </c>
      <c r="Q189" t="s">
        <v>132</v>
      </c>
      <c r="R189" t="s">
        <v>132</v>
      </c>
      <c r="S189" t="s">
        <v>132</v>
      </c>
      <c r="T189" t="s">
        <v>133</v>
      </c>
      <c r="U189" t="s">
        <v>133</v>
      </c>
      <c r="V189" t="s">
        <v>133</v>
      </c>
      <c r="W189" t="s">
        <v>5</v>
      </c>
      <c r="X189">
        <v>0</v>
      </c>
    </row>
    <row r="190" spans="1:24" hidden="1" x14ac:dyDescent="0.3">
      <c r="A190" s="50" t="str">
        <f t="shared" si="9"/>
        <v>INSTRUMENT_INSTRMNT_ID</v>
      </c>
      <c r="B190" t="s">
        <v>128</v>
      </c>
      <c r="C190" t="s">
        <v>382</v>
      </c>
      <c r="D190" t="s">
        <v>14</v>
      </c>
      <c r="E190" t="s">
        <v>38</v>
      </c>
      <c r="F190" t="s">
        <v>130</v>
      </c>
      <c r="G190" t="s">
        <v>131</v>
      </c>
      <c r="I190" t="s">
        <v>26</v>
      </c>
      <c r="J190" s="15">
        <v>45450</v>
      </c>
      <c r="K190" t="s">
        <v>38</v>
      </c>
      <c r="L190" t="str">
        <f t="shared" si="11"/>
        <v>OK</v>
      </c>
      <c r="P190" t="s">
        <v>30</v>
      </c>
      <c r="Q190" t="s">
        <v>132</v>
      </c>
      <c r="R190" t="s">
        <v>132</v>
      </c>
      <c r="S190" t="s">
        <v>132</v>
      </c>
      <c r="T190" t="s">
        <v>133</v>
      </c>
      <c r="U190" t="s">
        <v>132</v>
      </c>
      <c r="V190" t="s">
        <v>132</v>
      </c>
      <c r="W190" t="s">
        <v>5</v>
      </c>
      <c r="X190" t="s">
        <v>135</v>
      </c>
    </row>
    <row r="191" spans="1:24" hidden="1" x14ac:dyDescent="0.3">
      <c r="A191" s="50" t="str">
        <f t="shared" si="9"/>
        <v>ENTITY_INTRNL_RTNG</v>
      </c>
      <c r="B191" t="s">
        <v>142</v>
      </c>
      <c r="C191" s="10" t="s">
        <v>383</v>
      </c>
      <c r="D191" t="s">
        <v>14</v>
      </c>
      <c r="E191" t="s">
        <v>33</v>
      </c>
      <c r="F191" t="s">
        <v>149</v>
      </c>
      <c r="G191" t="s">
        <v>384</v>
      </c>
      <c r="I191" t="s">
        <v>32</v>
      </c>
      <c r="J191" s="15">
        <v>45450</v>
      </c>
      <c r="K191" t="s">
        <v>33</v>
      </c>
      <c r="L191" t="str">
        <f t="shared" si="11"/>
        <v>NOK</v>
      </c>
      <c r="M191" t="s">
        <v>273</v>
      </c>
      <c r="N191" s="15">
        <v>45338</v>
      </c>
      <c r="O191" s="15">
        <v>45436</v>
      </c>
      <c r="P191" t="s">
        <v>24</v>
      </c>
      <c r="Q191" t="s">
        <v>132</v>
      </c>
      <c r="R191" t="s">
        <v>133</v>
      </c>
      <c r="S191" t="s">
        <v>133</v>
      </c>
      <c r="T191" t="s">
        <v>133</v>
      </c>
      <c r="U191" t="s">
        <v>133</v>
      </c>
      <c r="V191" t="s">
        <v>132</v>
      </c>
      <c r="W191" t="s">
        <v>138</v>
      </c>
      <c r="X191" t="s">
        <v>139</v>
      </c>
    </row>
    <row r="192" spans="1:24" hidden="1" x14ac:dyDescent="0.3">
      <c r="A192" s="50" t="str">
        <f t="shared" si="9"/>
        <v>INSTRUMENT_INTRNL_RTNG</v>
      </c>
      <c r="B192" t="s">
        <v>128</v>
      </c>
      <c r="C192" s="10" t="s">
        <v>383</v>
      </c>
      <c r="D192" t="s">
        <v>14</v>
      </c>
      <c r="E192" t="s">
        <v>33</v>
      </c>
      <c r="F192" t="s">
        <v>149</v>
      </c>
      <c r="G192" t="s">
        <v>384</v>
      </c>
      <c r="I192" t="s">
        <v>32</v>
      </c>
      <c r="J192" s="15">
        <v>45450</v>
      </c>
      <c r="K192" t="s">
        <v>33</v>
      </c>
      <c r="L192" t="str">
        <f t="shared" si="11"/>
        <v>NOK</v>
      </c>
      <c r="M192" t="s">
        <v>273</v>
      </c>
      <c r="N192" s="15">
        <v>45338</v>
      </c>
      <c r="O192" s="15">
        <v>45436</v>
      </c>
      <c r="P192" t="s">
        <v>24</v>
      </c>
      <c r="Q192" t="s">
        <v>132</v>
      </c>
      <c r="R192" t="s">
        <v>133</v>
      </c>
      <c r="S192" t="s">
        <v>133</v>
      </c>
      <c r="T192" t="s">
        <v>133</v>
      </c>
      <c r="U192" t="s">
        <v>133</v>
      </c>
      <c r="V192" t="s">
        <v>132</v>
      </c>
      <c r="W192" t="s">
        <v>138</v>
      </c>
      <c r="X192" t="s">
        <v>139</v>
      </c>
    </row>
    <row r="193" spans="1:24" hidden="1" x14ac:dyDescent="0.3">
      <c r="A193" s="50" t="str">
        <f t="shared" si="9"/>
        <v>INSTRUMENT_INTRNL_RTNG_INCPTN</v>
      </c>
      <c r="B193" t="s">
        <v>128</v>
      </c>
      <c r="C193" t="s">
        <v>385</v>
      </c>
      <c r="D193" t="s">
        <v>14</v>
      </c>
      <c r="E193" t="s">
        <v>35</v>
      </c>
      <c r="F193" t="s">
        <v>149</v>
      </c>
      <c r="G193" t="s">
        <v>386</v>
      </c>
      <c r="H193" t="s">
        <v>387</v>
      </c>
      <c r="I193" t="s">
        <v>29</v>
      </c>
      <c r="J193" s="15">
        <v>45450</v>
      </c>
      <c r="K193" t="s">
        <v>35</v>
      </c>
      <c r="L193" t="str">
        <f t="shared" si="11"/>
        <v>NOK</v>
      </c>
      <c r="P193" t="s">
        <v>13</v>
      </c>
      <c r="Q193" t="s">
        <v>132</v>
      </c>
      <c r="R193" t="s">
        <v>133</v>
      </c>
      <c r="S193" t="s">
        <v>133</v>
      </c>
      <c r="T193" t="s">
        <v>133</v>
      </c>
      <c r="U193" t="s">
        <v>133</v>
      </c>
      <c r="V193" t="s">
        <v>132</v>
      </c>
      <c r="W193" t="s">
        <v>138</v>
      </c>
      <c r="X193" t="s">
        <v>139</v>
      </c>
    </row>
    <row r="194" spans="1:24" hidden="1" x14ac:dyDescent="0.3">
      <c r="A194" s="50" t="str">
        <f t="shared" si="9"/>
        <v>ENTITY_INTRNL_RTNG_PRVS</v>
      </c>
      <c r="B194" t="s">
        <v>142</v>
      </c>
      <c r="C194" s="10" t="s">
        <v>388</v>
      </c>
      <c r="D194" t="s">
        <v>14</v>
      </c>
      <c r="E194" t="s">
        <v>33</v>
      </c>
      <c r="F194" t="s">
        <v>130</v>
      </c>
      <c r="G194" s="86" t="s">
        <v>274</v>
      </c>
      <c r="I194" t="s">
        <v>32</v>
      </c>
      <c r="J194" s="15">
        <v>45450</v>
      </c>
      <c r="K194" t="s">
        <v>33</v>
      </c>
      <c r="L194" t="str">
        <f t="shared" si="11"/>
        <v>OK</v>
      </c>
      <c r="M194" t="s">
        <v>273</v>
      </c>
      <c r="N194" s="15">
        <v>45338</v>
      </c>
      <c r="O194" s="15">
        <v>45436</v>
      </c>
      <c r="P194" t="s">
        <v>24</v>
      </c>
      <c r="Q194" t="s">
        <v>132</v>
      </c>
      <c r="R194" t="s">
        <v>133</v>
      </c>
      <c r="S194" t="s">
        <v>133</v>
      </c>
      <c r="T194" t="s">
        <v>133</v>
      </c>
      <c r="U194" t="s">
        <v>133</v>
      </c>
      <c r="V194" t="s">
        <v>132</v>
      </c>
      <c r="W194" t="s">
        <v>138</v>
      </c>
      <c r="X194" t="s">
        <v>139</v>
      </c>
    </row>
    <row r="195" spans="1:24" hidden="1" x14ac:dyDescent="0.3">
      <c r="A195" s="50" t="str">
        <f t="shared" si="9"/>
        <v>ENTITY_INTRNL_SGMNT</v>
      </c>
      <c r="B195" t="s">
        <v>142</v>
      </c>
      <c r="C195" t="s">
        <v>389</v>
      </c>
      <c r="D195" t="s">
        <v>14</v>
      </c>
      <c r="E195" t="s">
        <v>38</v>
      </c>
      <c r="F195" t="s">
        <v>130</v>
      </c>
      <c r="G195" t="s">
        <v>131</v>
      </c>
      <c r="I195" t="s">
        <v>26</v>
      </c>
      <c r="J195" s="15">
        <v>45450</v>
      </c>
      <c r="K195" t="s">
        <v>38</v>
      </c>
      <c r="L195" t="str">
        <f t="shared" si="11"/>
        <v>OK</v>
      </c>
      <c r="P195" t="s">
        <v>30</v>
      </c>
      <c r="Q195" t="s">
        <v>132</v>
      </c>
      <c r="R195" t="s">
        <v>133</v>
      </c>
      <c r="S195" t="s">
        <v>133</v>
      </c>
      <c r="T195" t="s">
        <v>133</v>
      </c>
      <c r="U195" t="s">
        <v>133</v>
      </c>
      <c r="V195" t="s">
        <v>132</v>
      </c>
      <c r="W195" t="s">
        <v>5</v>
      </c>
      <c r="X195" t="s">
        <v>135</v>
      </c>
    </row>
    <row r="196" spans="1:24" hidden="1" x14ac:dyDescent="0.3">
      <c r="A196" s="50" t="str">
        <f t="shared" si="9"/>
        <v>INSTRUMENT_INTRNL_SGMNT</v>
      </c>
      <c r="B196" t="s">
        <v>128</v>
      </c>
      <c r="C196" t="s">
        <v>389</v>
      </c>
      <c r="D196" t="s">
        <v>14</v>
      </c>
      <c r="E196" t="s">
        <v>38</v>
      </c>
      <c r="F196" t="s">
        <v>130</v>
      </c>
      <c r="G196" t="s">
        <v>131</v>
      </c>
      <c r="I196" t="s">
        <v>26</v>
      </c>
      <c r="J196" s="15">
        <v>45450</v>
      </c>
      <c r="K196" t="s">
        <v>38</v>
      </c>
      <c r="L196" t="str">
        <f t="shared" si="11"/>
        <v>OK</v>
      </c>
      <c r="P196" t="s">
        <v>30</v>
      </c>
      <c r="Q196" t="s">
        <v>132</v>
      </c>
      <c r="R196" t="s">
        <v>133</v>
      </c>
      <c r="S196" t="s">
        <v>133</v>
      </c>
      <c r="T196" t="s">
        <v>133</v>
      </c>
      <c r="U196" t="s">
        <v>132</v>
      </c>
      <c r="V196" t="s">
        <v>132</v>
      </c>
      <c r="W196" t="s">
        <v>5</v>
      </c>
      <c r="X196" t="s">
        <v>135</v>
      </c>
    </row>
    <row r="197" spans="1:24" hidden="1" x14ac:dyDescent="0.3">
      <c r="A197" s="50" t="str">
        <f t="shared" si="9"/>
        <v>INSTRUMENT_INTRNL_SGMNT_CAT_MSTA</v>
      </c>
      <c r="B197" t="s">
        <v>128</v>
      </c>
      <c r="C197" t="s">
        <v>390</v>
      </c>
      <c r="D197" t="s">
        <v>6</v>
      </c>
      <c r="E197" t="s">
        <v>38</v>
      </c>
      <c r="F197" t="s">
        <v>130</v>
      </c>
      <c r="G197" t="s">
        <v>131</v>
      </c>
      <c r="I197" t="s">
        <v>26</v>
      </c>
      <c r="J197" s="15">
        <v>45450</v>
      </c>
      <c r="K197" t="s">
        <v>38</v>
      </c>
      <c r="L197" t="str">
        <f t="shared" si="11"/>
        <v>OK</v>
      </c>
      <c r="P197" t="s">
        <v>30</v>
      </c>
      <c r="Q197" t="s">
        <v>132</v>
      </c>
      <c r="R197" t="s">
        <v>133</v>
      </c>
      <c r="S197" t="s">
        <v>133</v>
      </c>
      <c r="T197" t="s">
        <v>133</v>
      </c>
      <c r="U197" t="s">
        <v>132</v>
      </c>
      <c r="V197" t="s">
        <v>133</v>
      </c>
      <c r="W197" t="s">
        <v>5</v>
      </c>
      <c r="X197">
        <v>0</v>
      </c>
    </row>
    <row r="198" spans="1:24" hidden="1" x14ac:dyDescent="0.3">
      <c r="A198" s="50" t="str">
        <f t="shared" ref="A198:A261" si="12">B198&amp;"_"&amp;C198</f>
        <v>INSTRUMENT_INTRNL_SGMNT_CATGSUB</v>
      </c>
      <c r="B198" t="s">
        <v>128</v>
      </c>
      <c r="C198" t="s">
        <v>391</v>
      </c>
      <c r="D198" t="s">
        <v>6</v>
      </c>
      <c r="E198" t="s">
        <v>38</v>
      </c>
      <c r="F198" t="s">
        <v>130</v>
      </c>
      <c r="G198" t="s">
        <v>131</v>
      </c>
      <c r="I198" t="s">
        <v>26</v>
      </c>
      <c r="J198" s="15">
        <v>45450</v>
      </c>
      <c r="K198" t="s">
        <v>38</v>
      </c>
      <c r="L198" t="str">
        <f t="shared" si="11"/>
        <v>OK</v>
      </c>
      <c r="P198" t="s">
        <v>30</v>
      </c>
      <c r="Q198" t="s">
        <v>132</v>
      </c>
      <c r="R198" t="s">
        <v>133</v>
      </c>
      <c r="S198" t="s">
        <v>133</v>
      </c>
      <c r="T198" t="s">
        <v>133</v>
      </c>
      <c r="U198" t="s">
        <v>132</v>
      </c>
      <c r="V198" t="s">
        <v>133</v>
      </c>
      <c r="W198" t="s">
        <v>5</v>
      </c>
      <c r="X198">
        <v>0</v>
      </c>
    </row>
    <row r="199" spans="1:24" hidden="1" x14ac:dyDescent="0.3">
      <c r="A199" s="50" t="str">
        <f t="shared" si="12"/>
        <v>INSTRUMENT_INTRNL_SGMNT_IFRS9</v>
      </c>
      <c r="B199" t="s">
        <v>128</v>
      </c>
      <c r="C199" t="s">
        <v>392</v>
      </c>
      <c r="D199" t="s">
        <v>6</v>
      </c>
      <c r="E199" t="s">
        <v>38</v>
      </c>
      <c r="F199" t="s">
        <v>130</v>
      </c>
      <c r="G199" t="s">
        <v>131</v>
      </c>
      <c r="I199" t="s">
        <v>26</v>
      </c>
      <c r="J199" s="15">
        <v>45450</v>
      </c>
      <c r="K199" t="s">
        <v>38</v>
      </c>
      <c r="L199" t="str">
        <f t="shared" si="11"/>
        <v>OK</v>
      </c>
      <c r="M199" t="s">
        <v>371</v>
      </c>
      <c r="P199" t="s">
        <v>30</v>
      </c>
      <c r="Q199" t="s">
        <v>132</v>
      </c>
      <c r="R199" t="s">
        <v>133</v>
      </c>
      <c r="S199" t="s">
        <v>133</v>
      </c>
      <c r="T199" t="s">
        <v>133</v>
      </c>
      <c r="U199" t="s">
        <v>133</v>
      </c>
      <c r="V199" t="s">
        <v>133</v>
      </c>
      <c r="W199" t="s">
        <v>5</v>
      </c>
      <c r="X199">
        <v>0</v>
      </c>
    </row>
    <row r="200" spans="1:24" hidden="1" x14ac:dyDescent="0.3">
      <c r="A200" s="50" t="str">
        <f t="shared" si="12"/>
        <v>ENTITY_INTRNL_UNT</v>
      </c>
      <c r="B200" t="s">
        <v>142</v>
      </c>
      <c r="C200" t="s">
        <v>393</v>
      </c>
      <c r="D200" t="s">
        <v>14</v>
      </c>
      <c r="E200" t="s">
        <v>38</v>
      </c>
      <c r="F200" t="s">
        <v>130</v>
      </c>
      <c r="G200" t="s">
        <v>131</v>
      </c>
      <c r="I200" t="s">
        <v>26</v>
      </c>
      <c r="J200" s="15">
        <v>45450</v>
      </c>
      <c r="K200" t="s">
        <v>38</v>
      </c>
      <c r="L200" t="str">
        <f t="shared" si="11"/>
        <v>OK</v>
      </c>
      <c r="P200" t="s">
        <v>30</v>
      </c>
      <c r="Q200" t="s">
        <v>132</v>
      </c>
      <c r="R200" t="s">
        <v>133</v>
      </c>
      <c r="S200" t="s">
        <v>133</v>
      </c>
      <c r="T200" t="s">
        <v>133</v>
      </c>
      <c r="U200" t="s">
        <v>133</v>
      </c>
      <c r="V200" t="s">
        <v>132</v>
      </c>
      <c r="W200" t="s">
        <v>5</v>
      </c>
      <c r="X200" t="s">
        <v>135</v>
      </c>
    </row>
    <row r="201" spans="1:24" hidden="1" x14ac:dyDescent="0.3">
      <c r="A201" s="50" t="str">
        <f t="shared" si="12"/>
        <v>INSTRUMENT_INTRNL_UNT</v>
      </c>
      <c r="B201" t="s">
        <v>128</v>
      </c>
      <c r="C201" t="s">
        <v>393</v>
      </c>
      <c r="D201" t="s">
        <v>14</v>
      </c>
      <c r="E201" t="s">
        <v>38</v>
      </c>
      <c r="F201" t="s">
        <v>130</v>
      </c>
      <c r="G201" t="s">
        <v>131</v>
      </c>
      <c r="I201" t="s">
        <v>26</v>
      </c>
      <c r="J201" s="15">
        <v>45450</v>
      </c>
      <c r="K201" t="s">
        <v>38</v>
      </c>
      <c r="L201" t="str">
        <f t="shared" si="11"/>
        <v>OK</v>
      </c>
      <c r="P201" t="s">
        <v>30</v>
      </c>
      <c r="Q201" t="s">
        <v>132</v>
      </c>
      <c r="R201" t="s">
        <v>133</v>
      </c>
      <c r="S201" t="s">
        <v>133</v>
      </c>
      <c r="T201" t="s">
        <v>133</v>
      </c>
      <c r="U201" t="s">
        <v>133</v>
      </c>
      <c r="V201" t="s">
        <v>132</v>
      </c>
      <c r="W201" t="s">
        <v>5</v>
      </c>
      <c r="X201" t="s">
        <v>135</v>
      </c>
    </row>
    <row r="202" spans="1:24" hidden="1" x14ac:dyDescent="0.3">
      <c r="A202" s="50" t="str">
        <f t="shared" si="12"/>
        <v>INSTRUMENT_INTRST_RT_RST_FRQNCY</v>
      </c>
      <c r="B202" t="s">
        <v>128</v>
      </c>
      <c r="C202" t="s">
        <v>394</v>
      </c>
      <c r="D202" t="s">
        <v>14</v>
      </c>
      <c r="E202" t="s">
        <v>38</v>
      </c>
      <c r="F202" t="s">
        <v>130</v>
      </c>
      <c r="G202" t="s">
        <v>131</v>
      </c>
      <c r="I202" t="s">
        <v>26</v>
      </c>
      <c r="J202" s="15">
        <v>45450</v>
      </c>
      <c r="K202" t="s">
        <v>38</v>
      </c>
      <c r="L202" t="str">
        <f t="shared" si="11"/>
        <v>OK</v>
      </c>
      <c r="P202" t="s">
        <v>30</v>
      </c>
      <c r="Q202" t="s">
        <v>132</v>
      </c>
      <c r="R202" t="s">
        <v>133</v>
      </c>
      <c r="S202" t="s">
        <v>133</v>
      </c>
      <c r="T202" t="s">
        <v>133</v>
      </c>
      <c r="U202" t="s">
        <v>133</v>
      </c>
      <c r="V202" t="s">
        <v>133</v>
      </c>
      <c r="W202" t="s">
        <v>5</v>
      </c>
      <c r="X202">
        <v>0</v>
      </c>
    </row>
    <row r="203" spans="1:24" hidden="1" x14ac:dyDescent="0.3">
      <c r="A203" s="50" t="str">
        <f t="shared" si="12"/>
        <v>INSTRUMENT_ISIN</v>
      </c>
      <c r="B203" t="s">
        <v>128</v>
      </c>
      <c r="C203" t="s">
        <v>395</v>
      </c>
      <c r="D203" t="s">
        <v>6</v>
      </c>
      <c r="E203" t="s">
        <v>38</v>
      </c>
      <c r="F203" t="s">
        <v>130</v>
      </c>
      <c r="G203" t="s">
        <v>131</v>
      </c>
      <c r="I203" t="s">
        <v>26</v>
      </c>
      <c r="J203" s="15">
        <v>45450</v>
      </c>
      <c r="K203" t="s">
        <v>38</v>
      </c>
      <c r="L203" t="str">
        <f t="shared" si="11"/>
        <v>OK</v>
      </c>
      <c r="P203" t="s">
        <v>30</v>
      </c>
      <c r="Q203" t="s">
        <v>132</v>
      </c>
      <c r="R203" t="s">
        <v>133</v>
      </c>
      <c r="S203" t="s">
        <v>133</v>
      </c>
      <c r="T203" t="s">
        <v>133</v>
      </c>
      <c r="U203" t="s">
        <v>133</v>
      </c>
      <c r="V203" t="s">
        <v>133</v>
      </c>
      <c r="W203" t="s">
        <v>5</v>
      </c>
      <c r="X203">
        <v>0</v>
      </c>
    </row>
    <row r="204" spans="1:24" hidden="1" x14ac:dyDescent="0.3">
      <c r="A204" s="50" t="str">
        <f t="shared" si="12"/>
        <v>INSTRUMENT_ISIN_SCRTSTN</v>
      </c>
      <c r="B204" t="s">
        <v>128</v>
      </c>
      <c r="C204" t="s">
        <v>396</v>
      </c>
      <c r="D204" t="s">
        <v>6</v>
      </c>
      <c r="E204" t="s">
        <v>38</v>
      </c>
      <c r="F204" t="s">
        <v>130</v>
      </c>
      <c r="G204" t="s">
        <v>131</v>
      </c>
      <c r="I204" t="s">
        <v>26</v>
      </c>
      <c r="J204" s="15">
        <v>45450</v>
      </c>
      <c r="K204" t="s">
        <v>38</v>
      </c>
      <c r="L204" t="str">
        <f t="shared" si="11"/>
        <v>OK</v>
      </c>
      <c r="P204" t="s">
        <v>30</v>
      </c>
      <c r="Q204" t="s">
        <v>132</v>
      </c>
      <c r="R204" t="s">
        <v>133</v>
      </c>
      <c r="S204" t="s">
        <v>133</v>
      </c>
      <c r="T204" t="s">
        <v>133</v>
      </c>
      <c r="U204" t="s">
        <v>133</v>
      </c>
      <c r="V204" t="s">
        <v>133</v>
      </c>
      <c r="W204" t="s">
        <v>5</v>
      </c>
      <c r="X204">
        <v>0</v>
      </c>
    </row>
    <row r="205" spans="1:24" hidden="1" x14ac:dyDescent="0.3">
      <c r="A205" s="50" t="str">
        <f t="shared" si="12"/>
        <v>INSTRUMENT_ISSR_CNTRY</v>
      </c>
      <c r="B205" t="s">
        <v>128</v>
      </c>
      <c r="C205" t="s">
        <v>397</v>
      </c>
      <c r="D205" t="s">
        <v>6</v>
      </c>
      <c r="E205" t="s">
        <v>38</v>
      </c>
      <c r="F205" t="s">
        <v>130</v>
      </c>
      <c r="G205" t="s">
        <v>131</v>
      </c>
      <c r="I205" t="s">
        <v>26</v>
      </c>
      <c r="J205" s="15">
        <v>45450</v>
      </c>
      <c r="K205" t="s">
        <v>38</v>
      </c>
      <c r="L205" t="str">
        <f t="shared" si="11"/>
        <v>OK</v>
      </c>
      <c r="P205" t="s">
        <v>30</v>
      </c>
      <c r="Q205" t="s">
        <v>132</v>
      </c>
      <c r="R205" t="s">
        <v>133</v>
      </c>
      <c r="S205" t="s">
        <v>132</v>
      </c>
      <c r="T205" t="s">
        <v>133</v>
      </c>
      <c r="U205" t="s">
        <v>133</v>
      </c>
      <c r="V205" t="s">
        <v>133</v>
      </c>
      <c r="W205" t="s">
        <v>5</v>
      </c>
      <c r="X205">
        <v>0</v>
      </c>
    </row>
    <row r="206" spans="1:24" hidden="1" x14ac:dyDescent="0.3">
      <c r="A206" s="50" t="str">
        <f t="shared" si="12"/>
        <v>INSTRUMENT_ISSR_ESA_2010</v>
      </c>
      <c r="B206" t="s">
        <v>128</v>
      </c>
      <c r="C206" t="s">
        <v>398</v>
      </c>
      <c r="D206" t="s">
        <v>6</v>
      </c>
      <c r="E206" t="s">
        <v>36</v>
      </c>
      <c r="F206" t="s">
        <v>149</v>
      </c>
      <c r="G206" t="s">
        <v>163</v>
      </c>
      <c r="I206" t="s">
        <v>29</v>
      </c>
      <c r="J206" s="15">
        <v>45450</v>
      </c>
      <c r="K206" t="s">
        <v>36</v>
      </c>
      <c r="L206" t="str">
        <f t="shared" si="11"/>
        <v>NOK</v>
      </c>
      <c r="P206" t="s">
        <v>8</v>
      </c>
      <c r="Q206" t="s">
        <v>132</v>
      </c>
      <c r="R206" t="s">
        <v>133</v>
      </c>
      <c r="S206" t="s">
        <v>133</v>
      </c>
      <c r="T206" t="s">
        <v>133</v>
      </c>
      <c r="U206" t="s">
        <v>133</v>
      </c>
      <c r="V206" t="s">
        <v>133</v>
      </c>
      <c r="W206" t="s">
        <v>5</v>
      </c>
      <c r="X206">
        <v>0</v>
      </c>
    </row>
    <row r="207" spans="1:24" hidden="1" x14ac:dyDescent="0.3">
      <c r="A207" s="50" t="str">
        <f t="shared" si="12"/>
        <v>INSTRUMENT_ISSR_ID</v>
      </c>
      <c r="B207" t="s">
        <v>128</v>
      </c>
      <c r="C207" t="s">
        <v>399</v>
      </c>
      <c r="D207" t="s">
        <v>6</v>
      </c>
      <c r="E207" t="s">
        <v>38</v>
      </c>
      <c r="F207" t="s">
        <v>130</v>
      </c>
      <c r="G207" t="s">
        <v>131</v>
      </c>
      <c r="I207" t="s">
        <v>26</v>
      </c>
      <c r="J207" s="15">
        <v>45450</v>
      </c>
      <c r="K207" t="s">
        <v>38</v>
      </c>
      <c r="L207" t="str">
        <f t="shared" si="11"/>
        <v>OK</v>
      </c>
      <c r="P207" t="s">
        <v>30</v>
      </c>
      <c r="Q207" t="s">
        <v>132</v>
      </c>
      <c r="R207" t="s">
        <v>133</v>
      </c>
      <c r="S207" t="s">
        <v>133</v>
      </c>
      <c r="T207" t="s">
        <v>133</v>
      </c>
      <c r="U207" t="s">
        <v>133</v>
      </c>
      <c r="V207" t="s">
        <v>133</v>
      </c>
      <c r="W207" t="s">
        <v>5</v>
      </c>
      <c r="X207">
        <v>0</v>
      </c>
    </row>
    <row r="208" spans="1:24" hidden="1" x14ac:dyDescent="0.3">
      <c r="A208" s="50" t="str">
        <f t="shared" si="12"/>
        <v>INSTRUMENT_ISSR_ID_TYP</v>
      </c>
      <c r="B208" t="s">
        <v>128</v>
      </c>
      <c r="C208" t="s">
        <v>400</v>
      </c>
      <c r="D208" t="s">
        <v>6</v>
      </c>
      <c r="E208" t="s">
        <v>38</v>
      </c>
      <c r="F208" t="s">
        <v>130</v>
      </c>
      <c r="G208" t="s">
        <v>131</v>
      </c>
      <c r="I208" t="s">
        <v>26</v>
      </c>
      <c r="J208" s="15">
        <v>45450</v>
      </c>
      <c r="K208" t="s">
        <v>38</v>
      </c>
      <c r="L208" t="str">
        <f t="shared" si="11"/>
        <v>OK</v>
      </c>
      <c r="P208" t="s">
        <v>30</v>
      </c>
      <c r="Q208" t="s">
        <v>132</v>
      </c>
      <c r="R208" t="s">
        <v>133</v>
      </c>
      <c r="S208" t="s">
        <v>133</v>
      </c>
      <c r="T208" t="s">
        <v>133</v>
      </c>
      <c r="U208" t="s">
        <v>133</v>
      </c>
      <c r="V208" t="s">
        <v>133</v>
      </c>
      <c r="W208" t="s">
        <v>5</v>
      </c>
      <c r="X208">
        <v>0</v>
      </c>
    </row>
    <row r="209" spans="1:24" hidden="1" x14ac:dyDescent="0.3">
      <c r="A209" s="50" t="str">
        <f t="shared" si="12"/>
        <v>INSTRUMENT_ISSR_NACE_SCTR</v>
      </c>
      <c r="B209" t="s">
        <v>128</v>
      </c>
      <c r="C209" t="s">
        <v>401</v>
      </c>
      <c r="D209" t="s">
        <v>6</v>
      </c>
      <c r="E209" t="s">
        <v>38</v>
      </c>
      <c r="F209" t="s">
        <v>130</v>
      </c>
      <c r="G209" t="s">
        <v>131</v>
      </c>
      <c r="I209" t="s">
        <v>26</v>
      </c>
      <c r="J209" s="15">
        <v>45450</v>
      </c>
      <c r="K209" t="s">
        <v>38</v>
      </c>
      <c r="L209" t="str">
        <f t="shared" si="11"/>
        <v>OK</v>
      </c>
      <c r="P209" t="s">
        <v>30</v>
      </c>
      <c r="Q209" t="s">
        <v>132</v>
      </c>
      <c r="R209" t="s">
        <v>133</v>
      </c>
      <c r="S209" t="s">
        <v>132</v>
      </c>
      <c r="T209" t="s">
        <v>133</v>
      </c>
      <c r="U209" t="s">
        <v>133</v>
      </c>
      <c r="V209" t="s">
        <v>133</v>
      </c>
      <c r="W209" t="s">
        <v>5</v>
      </c>
      <c r="X209">
        <v>0</v>
      </c>
    </row>
    <row r="210" spans="1:24" hidden="1" x14ac:dyDescent="0.3">
      <c r="A210" s="50" t="str">
        <f t="shared" si="12"/>
        <v>INSTRUMENT_ISSR_RTNG</v>
      </c>
      <c r="B210" t="s">
        <v>128</v>
      </c>
      <c r="C210" t="s">
        <v>402</v>
      </c>
      <c r="D210" t="s">
        <v>6</v>
      </c>
      <c r="E210" t="s">
        <v>37</v>
      </c>
      <c r="F210" t="s">
        <v>130</v>
      </c>
      <c r="G210" t="s">
        <v>170</v>
      </c>
      <c r="I210" t="s">
        <v>26</v>
      </c>
      <c r="J210" s="15">
        <v>45450</v>
      </c>
      <c r="K210" t="s">
        <v>37</v>
      </c>
      <c r="L210" t="str">
        <f t="shared" si="11"/>
        <v>OK</v>
      </c>
      <c r="P210" t="s">
        <v>27</v>
      </c>
      <c r="Q210" t="s">
        <v>132</v>
      </c>
      <c r="R210" t="s">
        <v>133</v>
      </c>
      <c r="S210" t="s">
        <v>133</v>
      </c>
      <c r="T210" t="s">
        <v>133</v>
      </c>
      <c r="U210" t="s">
        <v>133</v>
      </c>
      <c r="V210" t="s">
        <v>133</v>
      </c>
      <c r="W210" t="s">
        <v>5</v>
      </c>
      <c r="X210">
        <v>0</v>
      </c>
    </row>
    <row r="211" spans="1:24" hidden="1" x14ac:dyDescent="0.3">
      <c r="A211" s="50" t="str">
        <f t="shared" si="12"/>
        <v>INSTRUMENT_ISSR_RTNG_SRC</v>
      </c>
      <c r="B211" t="s">
        <v>128</v>
      </c>
      <c r="C211" t="s">
        <v>403</v>
      </c>
      <c r="D211" t="s">
        <v>6</v>
      </c>
      <c r="E211" t="s">
        <v>37</v>
      </c>
      <c r="F211" t="s">
        <v>130</v>
      </c>
      <c r="G211" t="s">
        <v>170</v>
      </c>
      <c r="I211" t="s">
        <v>26</v>
      </c>
      <c r="J211" s="15">
        <v>45450</v>
      </c>
      <c r="K211" t="s">
        <v>37</v>
      </c>
      <c r="L211" t="str">
        <f t="shared" si="11"/>
        <v>OK</v>
      </c>
      <c r="P211" t="s">
        <v>27</v>
      </c>
      <c r="Q211" t="s">
        <v>132</v>
      </c>
      <c r="R211" t="s">
        <v>133</v>
      </c>
      <c r="S211" t="s">
        <v>133</v>
      </c>
      <c r="T211" t="s">
        <v>133</v>
      </c>
      <c r="U211" t="s">
        <v>133</v>
      </c>
      <c r="V211" t="s">
        <v>133</v>
      </c>
      <c r="W211" t="s">
        <v>5</v>
      </c>
      <c r="X211">
        <v>0</v>
      </c>
    </row>
    <row r="212" spans="1:24" hidden="1" x14ac:dyDescent="0.3">
      <c r="A212" s="50" t="str">
        <f t="shared" si="12"/>
        <v>INSTRUMENT_ISSR_TYP</v>
      </c>
      <c r="B212" t="s">
        <v>128</v>
      </c>
      <c r="C212" t="s">
        <v>404</v>
      </c>
      <c r="D212" t="s">
        <v>6</v>
      </c>
      <c r="E212" t="s">
        <v>38</v>
      </c>
      <c r="F212" t="s">
        <v>130</v>
      </c>
      <c r="G212" t="s">
        <v>131</v>
      </c>
      <c r="I212" t="s">
        <v>26</v>
      </c>
      <c r="J212" s="15">
        <v>45450</v>
      </c>
      <c r="K212" t="s">
        <v>38</v>
      </c>
      <c r="L212" t="str">
        <f t="shared" si="11"/>
        <v>OK</v>
      </c>
      <c r="P212" t="s">
        <v>30</v>
      </c>
      <c r="Q212" t="s">
        <v>132</v>
      </c>
      <c r="R212" t="s">
        <v>133</v>
      </c>
      <c r="S212" t="s">
        <v>133</v>
      </c>
      <c r="T212" t="s">
        <v>133</v>
      </c>
      <c r="U212" t="s">
        <v>133</v>
      </c>
      <c r="V212" t="s">
        <v>133</v>
      </c>
      <c r="W212" t="s">
        <v>5</v>
      </c>
      <c r="X212">
        <v>0</v>
      </c>
    </row>
    <row r="213" spans="1:24" hidden="1" x14ac:dyDescent="0.3">
      <c r="A213" s="50" t="str">
        <f t="shared" si="12"/>
        <v>INSTR_ENTITY_JNT_LBLTY_AMNT</v>
      </c>
      <c r="B213" t="s">
        <v>193</v>
      </c>
      <c r="C213" t="s">
        <v>405</v>
      </c>
      <c r="D213" t="s">
        <v>14</v>
      </c>
      <c r="E213" t="s">
        <v>38</v>
      </c>
      <c r="F213" t="s">
        <v>130</v>
      </c>
      <c r="G213" t="s">
        <v>131</v>
      </c>
      <c r="I213" t="s">
        <v>26</v>
      </c>
      <c r="J213" s="15">
        <v>45450</v>
      </c>
      <c r="K213" t="s">
        <v>38</v>
      </c>
      <c r="L213" t="str">
        <f t="shared" si="11"/>
        <v>OK</v>
      </c>
      <c r="P213" t="s">
        <v>30</v>
      </c>
      <c r="Q213" t="s">
        <v>132</v>
      </c>
      <c r="R213" t="s">
        <v>133</v>
      </c>
      <c r="S213" t="s">
        <v>133</v>
      </c>
      <c r="T213" t="s">
        <v>133</v>
      </c>
      <c r="U213" t="s">
        <v>133</v>
      </c>
      <c r="V213" t="s">
        <v>132</v>
      </c>
      <c r="W213" t="s">
        <v>5</v>
      </c>
      <c r="X213" t="s">
        <v>135</v>
      </c>
    </row>
    <row r="214" spans="1:24" hidden="1" x14ac:dyDescent="0.3">
      <c r="A214" s="50" t="str">
        <f t="shared" si="12"/>
        <v>INSTRUMENT_LCL_INSTMRNT_ID</v>
      </c>
      <c r="B214" t="s">
        <v>128</v>
      </c>
      <c r="C214" t="s">
        <v>406</v>
      </c>
      <c r="D214" t="s">
        <v>6</v>
      </c>
      <c r="E214" t="s">
        <v>36</v>
      </c>
      <c r="F214" t="s">
        <v>149</v>
      </c>
      <c r="G214" t="s">
        <v>163</v>
      </c>
      <c r="I214" t="s">
        <v>29</v>
      </c>
      <c r="J214" s="15">
        <v>45450</v>
      </c>
      <c r="K214" t="s">
        <v>36</v>
      </c>
      <c r="L214" t="str">
        <f t="shared" si="11"/>
        <v>NOK</v>
      </c>
      <c r="P214" t="s">
        <v>8</v>
      </c>
      <c r="Q214" t="s">
        <v>132</v>
      </c>
      <c r="R214" t="s">
        <v>132</v>
      </c>
      <c r="S214" t="s">
        <v>132</v>
      </c>
      <c r="T214" t="s">
        <v>133</v>
      </c>
      <c r="U214" t="s">
        <v>133</v>
      </c>
      <c r="V214" t="s">
        <v>133</v>
      </c>
      <c r="W214" t="s">
        <v>5</v>
      </c>
      <c r="X214">
        <v>0</v>
      </c>
    </row>
    <row r="215" spans="1:24" hidden="1" x14ac:dyDescent="0.3">
      <c r="A215" s="50" t="str">
        <f t="shared" si="12"/>
        <v>INSTRUMENT_LCR_BFFR_CTGRY</v>
      </c>
      <c r="B215" t="s">
        <v>128</v>
      </c>
      <c r="C215" t="s">
        <v>407</v>
      </c>
      <c r="D215" t="s">
        <v>6</v>
      </c>
      <c r="E215" t="s">
        <v>38</v>
      </c>
      <c r="F215" t="s">
        <v>130</v>
      </c>
      <c r="G215" t="s">
        <v>131</v>
      </c>
      <c r="I215" t="s">
        <v>26</v>
      </c>
      <c r="J215" s="15">
        <v>45450</v>
      </c>
      <c r="K215" t="s">
        <v>38</v>
      </c>
      <c r="L215" t="str">
        <f t="shared" si="11"/>
        <v>OK</v>
      </c>
      <c r="P215" t="s">
        <v>30</v>
      </c>
      <c r="Q215" t="s">
        <v>132</v>
      </c>
      <c r="R215" t="s">
        <v>133</v>
      </c>
      <c r="S215" t="s">
        <v>133</v>
      </c>
      <c r="T215" t="s">
        <v>133</v>
      </c>
      <c r="U215" t="s">
        <v>133</v>
      </c>
      <c r="V215" t="s">
        <v>133</v>
      </c>
      <c r="W215" t="s">
        <v>5</v>
      </c>
      <c r="X215">
        <v>0</v>
      </c>
    </row>
    <row r="216" spans="1:24" hidden="1" x14ac:dyDescent="0.3">
      <c r="A216" s="50" t="str">
        <f t="shared" si="12"/>
        <v>INSTRUMENT_LCRE</v>
      </c>
      <c r="B216" t="s">
        <v>128</v>
      </c>
      <c r="C216" s="11" t="s">
        <v>408</v>
      </c>
      <c r="D216" t="s">
        <v>14</v>
      </c>
      <c r="E216" t="s">
        <v>28</v>
      </c>
      <c r="F216" t="s">
        <v>130</v>
      </c>
      <c r="G216" t="s">
        <v>159</v>
      </c>
      <c r="H216" t="s">
        <v>409</v>
      </c>
      <c r="I216" t="s">
        <v>32</v>
      </c>
      <c r="J216" s="15">
        <v>45450</v>
      </c>
      <c r="K216" t="s">
        <v>28</v>
      </c>
      <c r="L216" t="str">
        <f t="shared" si="11"/>
        <v>OK</v>
      </c>
      <c r="P216" t="s">
        <v>39</v>
      </c>
      <c r="Q216" t="s">
        <v>132</v>
      </c>
      <c r="R216" t="s">
        <v>133</v>
      </c>
      <c r="S216" t="s">
        <v>133</v>
      </c>
      <c r="T216" t="s">
        <v>133</v>
      </c>
      <c r="U216" t="s">
        <v>133</v>
      </c>
      <c r="V216" t="s">
        <v>133</v>
      </c>
      <c r="W216" t="s">
        <v>5</v>
      </c>
      <c r="X216">
        <v>0</v>
      </c>
    </row>
    <row r="217" spans="1:24" hidden="1" x14ac:dyDescent="0.3">
      <c r="A217" s="50" t="str">
        <f t="shared" si="12"/>
        <v>ENTITY_LEI</v>
      </c>
      <c r="B217" t="s">
        <v>142</v>
      </c>
      <c r="C217" t="s">
        <v>410</v>
      </c>
      <c r="D217" t="s">
        <v>14</v>
      </c>
      <c r="E217" t="s">
        <v>38</v>
      </c>
      <c r="F217" t="s">
        <v>130</v>
      </c>
      <c r="G217" t="s">
        <v>131</v>
      </c>
      <c r="I217" t="s">
        <v>26</v>
      </c>
      <c r="J217" s="15">
        <v>45450</v>
      </c>
      <c r="K217" t="s">
        <v>38</v>
      </c>
      <c r="L217" t="str">
        <f t="shared" si="11"/>
        <v>OK</v>
      </c>
      <c r="P217" t="s">
        <v>30</v>
      </c>
      <c r="Q217" t="s">
        <v>132</v>
      </c>
      <c r="R217" t="s">
        <v>133</v>
      </c>
      <c r="S217" t="s">
        <v>132</v>
      </c>
      <c r="T217" t="s">
        <v>133</v>
      </c>
      <c r="U217" t="s">
        <v>133</v>
      </c>
      <c r="V217" t="s">
        <v>132</v>
      </c>
      <c r="W217" t="s">
        <v>5</v>
      </c>
      <c r="X217" t="s">
        <v>135</v>
      </c>
    </row>
    <row r="218" spans="1:24" hidden="1" x14ac:dyDescent="0.3">
      <c r="A218" s="50" t="str">
        <f t="shared" si="12"/>
        <v>INSTRUMENT_LGD</v>
      </c>
      <c r="B218" t="s">
        <v>128</v>
      </c>
      <c r="C218" t="s">
        <v>411</v>
      </c>
      <c r="D218" t="s">
        <v>14</v>
      </c>
      <c r="E218" t="s">
        <v>38</v>
      </c>
      <c r="F218" t="s">
        <v>130</v>
      </c>
      <c r="G218" t="s">
        <v>131</v>
      </c>
      <c r="I218" t="s">
        <v>26</v>
      </c>
      <c r="J218" s="15">
        <v>45450</v>
      </c>
      <c r="K218" t="s">
        <v>38</v>
      </c>
      <c r="L218" t="str">
        <f t="shared" si="11"/>
        <v>OK</v>
      </c>
      <c r="P218" t="s">
        <v>30</v>
      </c>
      <c r="Q218" t="s">
        <v>132</v>
      </c>
      <c r="R218" t="s">
        <v>133</v>
      </c>
      <c r="S218" t="s">
        <v>133</v>
      </c>
      <c r="T218" t="s">
        <v>133</v>
      </c>
      <c r="U218" t="s">
        <v>133</v>
      </c>
      <c r="V218" t="s">
        <v>132</v>
      </c>
      <c r="W218" t="s">
        <v>5</v>
      </c>
      <c r="X218" t="s">
        <v>135</v>
      </c>
    </row>
    <row r="219" spans="1:24" hidden="1" x14ac:dyDescent="0.3">
      <c r="A219" s="50" t="str">
        <f t="shared" si="12"/>
        <v>INSTRUMENT_LGL_PRCDNG_STTS</v>
      </c>
      <c r="B219" t="s">
        <v>128</v>
      </c>
      <c r="C219" t="s">
        <v>412</v>
      </c>
      <c r="D219" t="s">
        <v>14</v>
      </c>
      <c r="E219" t="s">
        <v>38</v>
      </c>
      <c r="F219" t="s">
        <v>130</v>
      </c>
      <c r="G219" t="s">
        <v>131</v>
      </c>
      <c r="I219" t="s">
        <v>26</v>
      </c>
      <c r="J219" s="15">
        <v>45450</v>
      </c>
      <c r="K219" t="s">
        <v>38</v>
      </c>
      <c r="L219" t="str">
        <f t="shared" si="11"/>
        <v>OK</v>
      </c>
      <c r="P219" t="s">
        <v>30</v>
      </c>
      <c r="Q219" t="s">
        <v>132</v>
      </c>
      <c r="R219" t="s">
        <v>133</v>
      </c>
      <c r="S219" t="s">
        <v>133</v>
      </c>
      <c r="T219" t="s">
        <v>133</v>
      </c>
      <c r="U219" t="s">
        <v>133</v>
      </c>
      <c r="V219" t="s">
        <v>133</v>
      </c>
      <c r="W219" t="s">
        <v>5</v>
      </c>
      <c r="X219">
        <v>0</v>
      </c>
    </row>
    <row r="220" spans="1:24" hidden="1" x14ac:dyDescent="0.3">
      <c r="A220" s="50" t="str">
        <f t="shared" si="12"/>
        <v>ENTITY_LGL_PRCDNG_STTS_LE</v>
      </c>
      <c r="B220" t="s">
        <v>142</v>
      </c>
      <c r="C220" t="s">
        <v>413</v>
      </c>
      <c r="D220" t="s">
        <v>14</v>
      </c>
      <c r="E220" t="s">
        <v>36</v>
      </c>
      <c r="F220" t="s">
        <v>149</v>
      </c>
      <c r="G220" t="s">
        <v>163</v>
      </c>
      <c r="I220" t="s">
        <v>29</v>
      </c>
      <c r="J220" s="15">
        <v>45450</v>
      </c>
      <c r="K220" t="s">
        <v>36</v>
      </c>
      <c r="L220" t="str">
        <f t="shared" si="11"/>
        <v>NOK</v>
      </c>
      <c r="P220" t="s">
        <v>8</v>
      </c>
      <c r="Q220" t="s">
        <v>132</v>
      </c>
      <c r="R220" t="s">
        <v>133</v>
      </c>
      <c r="S220" t="s">
        <v>133</v>
      </c>
      <c r="T220" t="s">
        <v>133</v>
      </c>
      <c r="U220" t="s">
        <v>133</v>
      </c>
      <c r="V220" t="s">
        <v>132</v>
      </c>
      <c r="W220" t="s">
        <v>138</v>
      </c>
      <c r="X220" t="s">
        <v>166</v>
      </c>
    </row>
    <row r="221" spans="1:24" hidden="1" x14ac:dyDescent="0.3">
      <c r="A221" s="50" t="str">
        <f t="shared" si="12"/>
        <v>INSTRUMENT_LND_DRGTN</v>
      </c>
      <c r="B221" t="s">
        <v>128</v>
      </c>
      <c r="C221" t="s">
        <v>414</v>
      </c>
      <c r="D221" t="s">
        <v>6</v>
      </c>
      <c r="E221" t="s">
        <v>38</v>
      </c>
      <c r="F221" t="s">
        <v>130</v>
      </c>
      <c r="G221" t="s">
        <v>131</v>
      </c>
      <c r="I221" t="s">
        <v>26</v>
      </c>
      <c r="J221" s="15">
        <v>45450</v>
      </c>
      <c r="K221" t="s">
        <v>38</v>
      </c>
      <c r="L221" t="str">
        <f t="shared" ref="L221:L245" si="13">F221</f>
        <v>OK</v>
      </c>
      <c r="P221" t="s">
        <v>30</v>
      </c>
      <c r="Q221" t="s">
        <v>132</v>
      </c>
      <c r="R221" t="s">
        <v>133</v>
      </c>
      <c r="S221" t="s">
        <v>133</v>
      </c>
      <c r="T221" t="s">
        <v>133</v>
      </c>
      <c r="U221" t="s">
        <v>133</v>
      </c>
      <c r="V221" t="s">
        <v>133</v>
      </c>
      <c r="W221" t="s">
        <v>5</v>
      </c>
      <c r="X221">
        <v>0</v>
      </c>
    </row>
    <row r="222" spans="1:24" hidden="1" x14ac:dyDescent="0.3">
      <c r="A222" s="50" t="str">
        <f t="shared" si="12"/>
        <v>INSTRUMENT_LSTI</v>
      </c>
      <c r="B222" t="s">
        <v>128</v>
      </c>
      <c r="C222" t="s">
        <v>415</v>
      </c>
      <c r="D222" t="s">
        <v>6</v>
      </c>
      <c r="E222" t="s">
        <v>20</v>
      </c>
      <c r="F222" t="s">
        <v>130</v>
      </c>
      <c r="G222" t="s">
        <v>236</v>
      </c>
      <c r="I222" t="s">
        <v>29</v>
      </c>
      <c r="J222" s="15">
        <v>45450</v>
      </c>
      <c r="K222" t="s">
        <v>20</v>
      </c>
      <c r="L222" t="str">
        <f t="shared" si="13"/>
        <v>OK</v>
      </c>
      <c r="P222" t="s">
        <v>19</v>
      </c>
      <c r="Q222" t="s">
        <v>132</v>
      </c>
      <c r="R222" t="s">
        <v>133</v>
      </c>
      <c r="S222" t="s">
        <v>133</v>
      </c>
      <c r="T222" t="s">
        <v>133</v>
      </c>
      <c r="U222" t="s">
        <v>133</v>
      </c>
      <c r="V222" t="s">
        <v>133</v>
      </c>
      <c r="W222" t="s">
        <v>5</v>
      </c>
      <c r="X222">
        <v>0</v>
      </c>
    </row>
    <row r="223" spans="1:24" hidden="1" x14ac:dyDescent="0.3">
      <c r="A223" s="50" t="str">
        <f t="shared" si="12"/>
        <v>ENTITY_LTI</v>
      </c>
      <c r="B223" t="s">
        <v>142</v>
      </c>
      <c r="C223" t="s">
        <v>416</v>
      </c>
      <c r="D223" t="s">
        <v>6</v>
      </c>
      <c r="E223" t="s">
        <v>20</v>
      </c>
      <c r="F223" t="s">
        <v>149</v>
      </c>
      <c r="G223" t="s">
        <v>378</v>
      </c>
      <c r="I223" t="s">
        <v>29</v>
      </c>
      <c r="J223" s="15">
        <v>45450</v>
      </c>
      <c r="K223" t="s">
        <v>20</v>
      </c>
      <c r="L223" t="str">
        <f t="shared" si="13"/>
        <v>NOK</v>
      </c>
      <c r="P223" t="s">
        <v>13</v>
      </c>
      <c r="Q223" t="s">
        <v>132</v>
      </c>
      <c r="R223" t="s">
        <v>133</v>
      </c>
      <c r="S223" t="s">
        <v>133</v>
      </c>
      <c r="T223" t="s">
        <v>133</v>
      </c>
      <c r="U223" t="s">
        <v>133</v>
      </c>
      <c r="V223" t="s">
        <v>133</v>
      </c>
      <c r="W223" t="s">
        <v>5</v>
      </c>
      <c r="X223">
        <v>0</v>
      </c>
    </row>
    <row r="224" spans="1:24" hidden="1" x14ac:dyDescent="0.3">
      <c r="A224" s="50" t="str">
        <f t="shared" si="12"/>
        <v>INSTRUMENT_LTI_INSTRMNT</v>
      </c>
      <c r="B224" t="s">
        <v>128</v>
      </c>
      <c r="C224" t="s">
        <v>417</v>
      </c>
      <c r="D224" t="s">
        <v>6</v>
      </c>
      <c r="E224" t="s">
        <v>20</v>
      </c>
      <c r="F224" t="s">
        <v>130</v>
      </c>
      <c r="G224" t="s">
        <v>236</v>
      </c>
      <c r="I224" t="s">
        <v>29</v>
      </c>
      <c r="J224" s="15">
        <v>45450</v>
      </c>
      <c r="K224" t="s">
        <v>20</v>
      </c>
      <c r="L224" t="str">
        <f t="shared" si="13"/>
        <v>OK</v>
      </c>
      <c r="P224" t="s">
        <v>19</v>
      </c>
      <c r="Q224" t="s">
        <v>132</v>
      </c>
      <c r="R224" t="s">
        <v>133</v>
      </c>
      <c r="S224" t="s">
        <v>133</v>
      </c>
      <c r="T224" t="s">
        <v>133</v>
      </c>
      <c r="U224" t="s">
        <v>133</v>
      </c>
      <c r="V224" t="s">
        <v>133</v>
      </c>
      <c r="W224" t="s">
        <v>5</v>
      </c>
      <c r="X224">
        <v>0</v>
      </c>
    </row>
    <row r="225" spans="1:24" hidden="1" x14ac:dyDescent="0.3">
      <c r="A225" s="50" t="str">
        <f t="shared" si="12"/>
        <v>INSTRUMENT_LTV</v>
      </c>
      <c r="B225" t="s">
        <v>128</v>
      </c>
      <c r="C225" t="s">
        <v>418</v>
      </c>
      <c r="D225" t="s">
        <v>14</v>
      </c>
      <c r="E225" t="s">
        <v>36</v>
      </c>
      <c r="F225" t="s">
        <v>149</v>
      </c>
      <c r="G225" t="s">
        <v>163</v>
      </c>
      <c r="I225" t="s">
        <v>29</v>
      </c>
      <c r="J225" s="15">
        <v>45450</v>
      </c>
      <c r="K225" t="s">
        <v>36</v>
      </c>
      <c r="L225" t="str">
        <f t="shared" si="13"/>
        <v>NOK</v>
      </c>
      <c r="P225" t="s">
        <v>8</v>
      </c>
      <c r="Q225" t="s">
        <v>132</v>
      </c>
      <c r="R225" t="s">
        <v>133</v>
      </c>
      <c r="S225" t="s">
        <v>132</v>
      </c>
      <c r="T225" t="s">
        <v>133</v>
      </c>
      <c r="U225" t="s">
        <v>133</v>
      </c>
      <c r="V225" t="s">
        <v>133</v>
      </c>
      <c r="W225" t="s">
        <v>5</v>
      </c>
      <c r="X225">
        <v>0</v>
      </c>
    </row>
    <row r="226" spans="1:24" hidden="1" x14ac:dyDescent="0.3">
      <c r="A226" s="50" t="str">
        <f t="shared" si="12"/>
        <v>INSTRUMENT_LTV_INCPTN</v>
      </c>
      <c r="B226" t="s">
        <v>128</v>
      </c>
      <c r="C226" t="s">
        <v>419</v>
      </c>
      <c r="D226" t="s">
        <v>14</v>
      </c>
      <c r="E226" t="s">
        <v>38</v>
      </c>
      <c r="F226" t="s">
        <v>130</v>
      </c>
      <c r="G226" t="s">
        <v>131</v>
      </c>
      <c r="I226" t="s">
        <v>26</v>
      </c>
      <c r="J226" s="15">
        <v>45450</v>
      </c>
      <c r="K226" t="s">
        <v>38</v>
      </c>
      <c r="L226" t="str">
        <f t="shared" si="13"/>
        <v>OK</v>
      </c>
      <c r="P226" t="s">
        <v>30</v>
      </c>
      <c r="Q226" t="s">
        <v>132</v>
      </c>
      <c r="R226" t="s">
        <v>133</v>
      </c>
      <c r="S226" t="s">
        <v>132</v>
      </c>
      <c r="T226" t="s">
        <v>133</v>
      </c>
      <c r="U226" t="s">
        <v>133</v>
      </c>
      <c r="V226" t="s">
        <v>133</v>
      </c>
      <c r="W226" t="s">
        <v>5</v>
      </c>
      <c r="X226">
        <v>0</v>
      </c>
    </row>
    <row r="227" spans="1:24" hidden="1" x14ac:dyDescent="0.3">
      <c r="A227" s="50" t="str">
        <f t="shared" si="12"/>
        <v>INSTRUMENT_LTV_NPE</v>
      </c>
      <c r="B227" t="s">
        <v>128</v>
      </c>
      <c r="C227" s="11" t="s">
        <v>420</v>
      </c>
      <c r="D227" t="s">
        <v>14</v>
      </c>
      <c r="E227" t="s">
        <v>33</v>
      </c>
      <c r="F227" t="s">
        <v>130</v>
      </c>
      <c r="G227" t="s">
        <v>233</v>
      </c>
      <c r="I227" t="s">
        <v>32</v>
      </c>
      <c r="J227" s="15">
        <v>45450</v>
      </c>
      <c r="K227" t="s">
        <v>33</v>
      </c>
      <c r="L227" t="str">
        <f t="shared" si="13"/>
        <v>OK</v>
      </c>
      <c r="N227" s="15">
        <v>44697</v>
      </c>
      <c r="O227" s="15">
        <v>44708</v>
      </c>
      <c r="P227" t="s">
        <v>39</v>
      </c>
      <c r="Q227" t="s">
        <v>132</v>
      </c>
      <c r="R227" t="s">
        <v>133</v>
      </c>
      <c r="S227" t="s">
        <v>133</v>
      </c>
      <c r="T227" t="s">
        <v>133</v>
      </c>
      <c r="U227" t="s">
        <v>133</v>
      </c>
      <c r="V227" t="s">
        <v>133</v>
      </c>
      <c r="W227" t="s">
        <v>5</v>
      </c>
      <c r="X227">
        <v>0</v>
      </c>
    </row>
    <row r="228" spans="1:24" hidden="1" x14ac:dyDescent="0.3">
      <c r="A228" s="50" t="str">
        <f t="shared" si="12"/>
        <v>ENTITY_LVRG</v>
      </c>
      <c r="B228" t="s">
        <v>142</v>
      </c>
      <c r="C228" t="s">
        <v>421</v>
      </c>
      <c r="D228" t="s">
        <v>14</v>
      </c>
      <c r="E228" t="s">
        <v>38</v>
      </c>
      <c r="F228" t="s">
        <v>130</v>
      </c>
      <c r="G228" t="s">
        <v>131</v>
      </c>
      <c r="I228" t="s">
        <v>26</v>
      </c>
      <c r="J228" s="15">
        <v>45450</v>
      </c>
      <c r="K228" t="s">
        <v>38</v>
      </c>
      <c r="L228" t="str">
        <f t="shared" si="13"/>
        <v>OK</v>
      </c>
      <c r="N228" s="15"/>
      <c r="O228" s="15"/>
      <c r="P228" t="s">
        <v>30</v>
      </c>
      <c r="Q228" t="s">
        <v>132</v>
      </c>
      <c r="R228" t="s">
        <v>133</v>
      </c>
      <c r="S228" t="s">
        <v>133</v>
      </c>
      <c r="T228" t="s">
        <v>133</v>
      </c>
      <c r="U228" t="s">
        <v>133</v>
      </c>
      <c r="V228" t="s">
        <v>132</v>
      </c>
      <c r="W228" t="s">
        <v>5</v>
      </c>
      <c r="X228" t="s">
        <v>135</v>
      </c>
    </row>
    <row r="229" spans="1:24" hidden="1" x14ac:dyDescent="0.3">
      <c r="A229" s="50" t="str">
        <f t="shared" si="12"/>
        <v>INSTRUMENT_LVRG_FNNC_FLG</v>
      </c>
      <c r="B229" t="s">
        <v>128</v>
      </c>
      <c r="C229" t="s">
        <v>422</v>
      </c>
      <c r="D229" t="s">
        <v>6</v>
      </c>
      <c r="E229" t="s">
        <v>38</v>
      </c>
      <c r="F229" t="s">
        <v>130</v>
      </c>
      <c r="G229" t="s">
        <v>131</v>
      </c>
      <c r="I229" t="s">
        <v>26</v>
      </c>
      <c r="J229" s="15">
        <v>45450</v>
      </c>
      <c r="K229" t="s">
        <v>38</v>
      </c>
      <c r="L229" t="str">
        <f t="shared" si="13"/>
        <v>OK</v>
      </c>
      <c r="N229" s="15"/>
      <c r="O229" s="15"/>
      <c r="P229" t="s">
        <v>30</v>
      </c>
      <c r="Q229" t="s">
        <v>132</v>
      </c>
      <c r="R229" t="s">
        <v>133</v>
      </c>
      <c r="S229" t="s">
        <v>133</v>
      </c>
      <c r="T229" t="s">
        <v>133</v>
      </c>
      <c r="U229" t="s">
        <v>133</v>
      </c>
      <c r="V229" t="s">
        <v>132</v>
      </c>
      <c r="W229" t="s">
        <v>146</v>
      </c>
      <c r="X229" t="s">
        <v>211</v>
      </c>
    </row>
    <row r="230" spans="1:24" hidden="1" x14ac:dyDescent="0.3">
      <c r="A230" s="50" t="str">
        <f t="shared" si="12"/>
        <v>ENTITY_LVRG_PRVS</v>
      </c>
      <c r="B230" t="s">
        <v>142</v>
      </c>
      <c r="C230" t="s">
        <v>423</v>
      </c>
      <c r="D230" t="s">
        <v>14</v>
      </c>
      <c r="E230" t="s">
        <v>38</v>
      </c>
      <c r="F230" t="s">
        <v>130</v>
      </c>
      <c r="G230" t="s">
        <v>131</v>
      </c>
      <c r="I230" t="s">
        <v>26</v>
      </c>
      <c r="J230" s="15">
        <v>45450</v>
      </c>
      <c r="K230" t="s">
        <v>38</v>
      </c>
      <c r="L230" t="str">
        <f t="shared" si="13"/>
        <v>OK</v>
      </c>
      <c r="N230" s="15"/>
      <c r="O230" s="15"/>
      <c r="P230" t="s">
        <v>30</v>
      </c>
      <c r="Q230" t="s">
        <v>132</v>
      </c>
      <c r="R230" t="s">
        <v>133</v>
      </c>
      <c r="S230" t="s">
        <v>133</v>
      </c>
      <c r="T230" t="s">
        <v>133</v>
      </c>
      <c r="U230" t="s">
        <v>133</v>
      </c>
      <c r="V230" t="s">
        <v>132</v>
      </c>
      <c r="W230" t="s">
        <v>5</v>
      </c>
      <c r="X230" t="s">
        <v>135</v>
      </c>
    </row>
    <row r="231" spans="1:24" hidden="1" x14ac:dyDescent="0.3">
      <c r="A231" s="50" t="str">
        <f t="shared" si="12"/>
        <v>INSTR_ENTITY_MN_ENTTY_ID</v>
      </c>
      <c r="B231" t="s">
        <v>193</v>
      </c>
      <c r="C231" s="11" t="s">
        <v>424</v>
      </c>
      <c r="D231" t="s">
        <v>14</v>
      </c>
      <c r="E231" t="s">
        <v>35</v>
      </c>
      <c r="F231" t="s">
        <v>130</v>
      </c>
      <c r="G231" s="86" t="s">
        <v>425</v>
      </c>
      <c r="H231" t="s">
        <v>426</v>
      </c>
      <c r="I231" t="s">
        <v>32</v>
      </c>
      <c r="J231" s="15">
        <v>45450</v>
      </c>
      <c r="K231" t="s">
        <v>35</v>
      </c>
      <c r="L231" t="str">
        <f t="shared" si="13"/>
        <v>OK</v>
      </c>
      <c r="N231" s="15">
        <v>45324</v>
      </c>
      <c r="O231" s="15">
        <v>45372</v>
      </c>
      <c r="P231" t="s">
        <v>39</v>
      </c>
      <c r="Q231" t="s">
        <v>132</v>
      </c>
      <c r="R231" t="s">
        <v>133</v>
      </c>
      <c r="S231" t="s">
        <v>132</v>
      </c>
      <c r="T231" t="s">
        <v>133</v>
      </c>
      <c r="U231" t="s">
        <v>133</v>
      </c>
      <c r="V231" t="s">
        <v>132</v>
      </c>
      <c r="W231" t="s">
        <v>138</v>
      </c>
      <c r="X231" t="s">
        <v>139</v>
      </c>
    </row>
    <row r="232" spans="1:24" hidden="1" x14ac:dyDescent="0.3">
      <c r="A232" s="50" t="str">
        <f t="shared" si="12"/>
        <v>PROTECTION_MN_PRPS</v>
      </c>
      <c r="B232" t="s">
        <v>161</v>
      </c>
      <c r="C232" t="s">
        <v>427</v>
      </c>
      <c r="D232" t="s">
        <v>6</v>
      </c>
      <c r="E232" t="s">
        <v>36</v>
      </c>
      <c r="F232" t="s">
        <v>149</v>
      </c>
      <c r="G232" t="s">
        <v>163</v>
      </c>
      <c r="I232" t="s">
        <v>29</v>
      </c>
      <c r="J232" s="15">
        <v>45450</v>
      </c>
      <c r="K232" t="s">
        <v>36</v>
      </c>
      <c r="L232" t="str">
        <f t="shared" si="13"/>
        <v>NOK</v>
      </c>
      <c r="N232" s="15"/>
      <c r="O232" s="15"/>
      <c r="P232" t="s">
        <v>8</v>
      </c>
      <c r="Q232" t="s">
        <v>132</v>
      </c>
      <c r="R232" t="s">
        <v>133</v>
      </c>
      <c r="S232" t="s">
        <v>133</v>
      </c>
      <c r="T232" t="s">
        <v>133</v>
      </c>
      <c r="U232" t="s">
        <v>133</v>
      </c>
      <c r="V232" t="s">
        <v>133</v>
      </c>
      <c r="W232" t="s">
        <v>5</v>
      </c>
      <c r="X232">
        <v>0</v>
      </c>
    </row>
    <row r="233" spans="1:24" hidden="1" x14ac:dyDescent="0.3">
      <c r="A233" s="50" t="str">
        <f t="shared" si="12"/>
        <v>ENTITY_MNTHL_INCM</v>
      </c>
      <c r="B233" t="s">
        <v>142</v>
      </c>
      <c r="C233" t="s">
        <v>428</v>
      </c>
      <c r="D233" t="s">
        <v>6</v>
      </c>
      <c r="E233" t="s">
        <v>20</v>
      </c>
      <c r="F233" t="s">
        <v>130</v>
      </c>
      <c r="G233" t="s">
        <v>378</v>
      </c>
      <c r="I233" t="s">
        <v>29</v>
      </c>
      <c r="J233" s="15">
        <v>45450</v>
      </c>
      <c r="K233" t="s">
        <v>20</v>
      </c>
      <c r="L233" t="str">
        <f t="shared" si="13"/>
        <v>OK</v>
      </c>
      <c r="N233" s="15"/>
      <c r="O233" s="15"/>
      <c r="P233" t="s">
        <v>13</v>
      </c>
      <c r="Q233" t="s">
        <v>132</v>
      </c>
      <c r="R233" t="s">
        <v>133</v>
      </c>
      <c r="S233" t="s">
        <v>133</v>
      </c>
      <c r="T233" t="s">
        <v>133</v>
      </c>
      <c r="U233" t="s">
        <v>133</v>
      </c>
      <c r="V233" t="s">
        <v>133</v>
      </c>
      <c r="W233" t="s">
        <v>5</v>
      </c>
      <c r="X233">
        <v>0</v>
      </c>
    </row>
    <row r="234" spans="1:24" hidden="1" x14ac:dyDescent="0.3">
      <c r="A234" s="50" t="str">
        <f t="shared" si="12"/>
        <v>ENTITY_MNTHL_INCM_SLR</v>
      </c>
      <c r="B234" t="s">
        <v>142</v>
      </c>
      <c r="C234" t="s">
        <v>429</v>
      </c>
      <c r="D234" t="s">
        <v>6</v>
      </c>
      <c r="E234" t="s">
        <v>20</v>
      </c>
      <c r="F234" t="s">
        <v>149</v>
      </c>
      <c r="G234" t="s">
        <v>378</v>
      </c>
      <c r="I234" t="s">
        <v>29</v>
      </c>
      <c r="J234" s="15">
        <v>45450</v>
      </c>
      <c r="K234" t="s">
        <v>20</v>
      </c>
      <c r="L234" t="str">
        <f t="shared" si="13"/>
        <v>NOK</v>
      </c>
      <c r="N234" s="15"/>
      <c r="O234" s="15"/>
      <c r="P234" t="s">
        <v>13</v>
      </c>
      <c r="Q234" t="s">
        <v>132</v>
      </c>
      <c r="R234" t="s">
        <v>133</v>
      </c>
      <c r="S234" t="s">
        <v>133</v>
      </c>
      <c r="T234" t="s">
        <v>133</v>
      </c>
      <c r="U234" t="s">
        <v>133</v>
      </c>
      <c r="V234" t="s">
        <v>133</v>
      </c>
      <c r="W234" t="s">
        <v>5</v>
      </c>
      <c r="X234">
        <v>0</v>
      </c>
    </row>
    <row r="235" spans="1:24" hidden="1" x14ac:dyDescent="0.3">
      <c r="A235" s="50" t="str">
        <f t="shared" si="12"/>
        <v>ENTITY_MNTHL_TRNVR</v>
      </c>
      <c r="B235" t="s">
        <v>142</v>
      </c>
      <c r="C235" t="s">
        <v>430</v>
      </c>
      <c r="D235" t="s">
        <v>6</v>
      </c>
      <c r="E235" t="s">
        <v>20</v>
      </c>
      <c r="F235" t="s">
        <v>130</v>
      </c>
      <c r="G235" t="s">
        <v>378</v>
      </c>
      <c r="I235" t="s">
        <v>29</v>
      </c>
      <c r="J235" s="15">
        <v>45450</v>
      </c>
      <c r="K235" t="s">
        <v>20</v>
      </c>
      <c r="L235" t="str">
        <f t="shared" si="13"/>
        <v>OK</v>
      </c>
      <c r="N235" s="15"/>
      <c r="O235" s="15"/>
      <c r="P235" t="s">
        <v>13</v>
      </c>
      <c r="Q235" t="s">
        <v>132</v>
      </c>
      <c r="R235" t="s">
        <v>133</v>
      </c>
      <c r="S235" t="s">
        <v>133</v>
      </c>
      <c r="T235" t="s">
        <v>133</v>
      </c>
      <c r="U235" t="s">
        <v>133</v>
      </c>
      <c r="V235" t="s">
        <v>133</v>
      </c>
      <c r="W235" t="s">
        <v>5</v>
      </c>
      <c r="X235">
        <v>0</v>
      </c>
    </row>
    <row r="236" spans="1:24" hidden="1" x14ac:dyDescent="0.3">
      <c r="A236" s="50" t="str">
        <f t="shared" si="12"/>
        <v>INSTRUMENT_MTRTY_LTST_FRBRNC_MSR_C19</v>
      </c>
      <c r="B236" t="s">
        <v>128</v>
      </c>
      <c r="C236" t="s">
        <v>431</v>
      </c>
      <c r="D236" t="s">
        <v>6</v>
      </c>
      <c r="E236" t="s">
        <v>38</v>
      </c>
      <c r="F236" t="s">
        <v>130</v>
      </c>
      <c r="G236" t="s">
        <v>131</v>
      </c>
      <c r="I236" t="s">
        <v>26</v>
      </c>
      <c r="J236" s="15">
        <v>45450</v>
      </c>
      <c r="K236" t="s">
        <v>38</v>
      </c>
      <c r="L236" t="str">
        <f t="shared" si="13"/>
        <v>OK</v>
      </c>
      <c r="N236" s="15"/>
      <c r="O236" s="15"/>
      <c r="P236" t="s">
        <v>30</v>
      </c>
      <c r="Q236" t="s">
        <v>132</v>
      </c>
      <c r="R236" t="s">
        <v>133</v>
      </c>
      <c r="S236" t="s">
        <v>133</v>
      </c>
      <c r="T236" t="s">
        <v>133</v>
      </c>
      <c r="U236" t="s">
        <v>133</v>
      </c>
      <c r="V236" t="s">
        <v>133</v>
      </c>
      <c r="W236" t="s">
        <v>5</v>
      </c>
      <c r="X236">
        <v>0</v>
      </c>
    </row>
    <row r="237" spans="1:24" hidden="1" x14ac:dyDescent="0.3">
      <c r="A237" s="50" t="str">
        <f t="shared" si="12"/>
        <v>INSTRUMENT_MTRTY_LTST_MRTR_C19</v>
      </c>
      <c r="B237" t="s">
        <v>128</v>
      </c>
      <c r="C237" t="s">
        <v>432</v>
      </c>
      <c r="D237" t="s">
        <v>6</v>
      </c>
      <c r="E237" t="s">
        <v>38</v>
      </c>
      <c r="F237" t="s">
        <v>130</v>
      </c>
      <c r="G237" t="s">
        <v>131</v>
      </c>
      <c r="I237" t="s">
        <v>26</v>
      </c>
      <c r="J237" s="15">
        <v>45450</v>
      </c>
      <c r="K237" t="s">
        <v>38</v>
      </c>
      <c r="L237" t="str">
        <f t="shared" si="13"/>
        <v>OK</v>
      </c>
      <c r="N237" s="15"/>
      <c r="O237" s="15"/>
      <c r="P237" t="s">
        <v>30</v>
      </c>
      <c r="Q237" t="s">
        <v>132</v>
      </c>
      <c r="R237" t="s">
        <v>133</v>
      </c>
      <c r="S237" t="s">
        <v>133</v>
      </c>
      <c r="T237" t="s">
        <v>133</v>
      </c>
      <c r="U237" t="s">
        <v>133</v>
      </c>
      <c r="V237" t="s">
        <v>133</v>
      </c>
      <c r="W237" t="s">
        <v>5</v>
      </c>
      <c r="X237">
        <v>0</v>
      </c>
    </row>
    <row r="238" spans="1:24" hidden="1" x14ac:dyDescent="0.3">
      <c r="A238" s="50" t="str">
        <f t="shared" si="12"/>
        <v>INSTRUMENT_NMBR_FRBRNC_MSRS</v>
      </c>
      <c r="B238" t="s">
        <v>128</v>
      </c>
      <c r="C238" t="s">
        <v>433</v>
      </c>
      <c r="D238" t="s">
        <v>14</v>
      </c>
      <c r="E238" t="s">
        <v>38</v>
      </c>
      <c r="F238" t="s">
        <v>130</v>
      </c>
      <c r="G238" t="s">
        <v>131</v>
      </c>
      <c r="I238" t="s">
        <v>26</v>
      </c>
      <c r="J238" s="15">
        <v>45450</v>
      </c>
      <c r="K238" t="s">
        <v>38</v>
      </c>
      <c r="L238" t="str">
        <f t="shared" si="13"/>
        <v>OK</v>
      </c>
      <c r="N238" s="15"/>
      <c r="O238" s="15"/>
      <c r="P238" t="s">
        <v>30</v>
      </c>
      <c r="Q238" t="s">
        <v>132</v>
      </c>
      <c r="R238" t="s">
        <v>133</v>
      </c>
      <c r="S238" t="s">
        <v>133</v>
      </c>
      <c r="T238" t="s">
        <v>133</v>
      </c>
      <c r="U238" t="s">
        <v>133</v>
      </c>
      <c r="V238" t="s">
        <v>132</v>
      </c>
      <c r="W238" t="s">
        <v>5</v>
      </c>
      <c r="X238" t="s">
        <v>135</v>
      </c>
    </row>
    <row r="239" spans="1:24" hidden="1" x14ac:dyDescent="0.3">
      <c r="A239" s="50" t="str">
        <f t="shared" si="12"/>
        <v>ENTITY_NT_INCM</v>
      </c>
      <c r="B239" t="s">
        <v>142</v>
      </c>
      <c r="C239" t="s">
        <v>434</v>
      </c>
      <c r="D239" t="s">
        <v>14</v>
      </c>
      <c r="E239" t="s">
        <v>25</v>
      </c>
      <c r="F239" t="s">
        <v>130</v>
      </c>
      <c r="G239" t="s">
        <v>144</v>
      </c>
      <c r="H239" t="s">
        <v>145</v>
      </c>
      <c r="I239" t="s">
        <v>29</v>
      </c>
      <c r="J239" s="15">
        <v>45450</v>
      </c>
      <c r="K239" t="s">
        <v>25</v>
      </c>
      <c r="L239" t="str">
        <f t="shared" si="13"/>
        <v>OK</v>
      </c>
      <c r="N239" s="15"/>
      <c r="O239" s="15"/>
      <c r="P239" t="s">
        <v>13</v>
      </c>
      <c r="Q239" t="s">
        <v>132</v>
      </c>
      <c r="R239" t="s">
        <v>133</v>
      </c>
      <c r="S239" t="s">
        <v>133</v>
      </c>
      <c r="T239" t="s">
        <v>133</v>
      </c>
      <c r="U239" t="s">
        <v>133</v>
      </c>
      <c r="V239" t="s">
        <v>132</v>
      </c>
      <c r="W239" t="s">
        <v>146</v>
      </c>
      <c r="X239" t="s">
        <v>147</v>
      </c>
    </row>
    <row r="240" spans="1:24" hidden="1" x14ac:dyDescent="0.3">
      <c r="A240" s="50" t="str">
        <f t="shared" si="12"/>
        <v>ENTITY_NT_INCM_PRVS</v>
      </c>
      <c r="B240" t="s">
        <v>142</v>
      </c>
      <c r="C240" t="s">
        <v>435</v>
      </c>
      <c r="D240" t="s">
        <v>14</v>
      </c>
      <c r="E240" t="s">
        <v>25</v>
      </c>
      <c r="F240" t="s">
        <v>130</v>
      </c>
      <c r="G240" t="s">
        <v>144</v>
      </c>
      <c r="H240" t="s">
        <v>145</v>
      </c>
      <c r="I240" t="s">
        <v>29</v>
      </c>
      <c r="J240" s="15">
        <v>45450</v>
      </c>
      <c r="K240" t="s">
        <v>25</v>
      </c>
      <c r="L240" t="str">
        <f t="shared" si="13"/>
        <v>OK</v>
      </c>
      <c r="N240" s="15"/>
      <c r="O240" s="15"/>
      <c r="P240" t="s">
        <v>13</v>
      </c>
      <c r="Q240" t="s">
        <v>132</v>
      </c>
      <c r="R240" t="s">
        <v>133</v>
      </c>
      <c r="S240" t="s">
        <v>133</v>
      </c>
      <c r="T240" t="s">
        <v>133</v>
      </c>
      <c r="U240" t="s">
        <v>133</v>
      </c>
      <c r="V240" t="s">
        <v>132</v>
      </c>
      <c r="W240" t="s">
        <v>146</v>
      </c>
      <c r="X240" t="s">
        <v>147</v>
      </c>
    </row>
    <row r="241" spans="1:24" hidden="1" x14ac:dyDescent="0.3">
      <c r="A241" s="50" t="str">
        <f t="shared" si="12"/>
        <v>INSTRUMENT_RWA_MTHD</v>
      </c>
      <c r="B241" t="s">
        <v>128</v>
      </c>
      <c r="C241" s="10" t="s">
        <v>436</v>
      </c>
      <c r="D241" t="s">
        <v>14</v>
      </c>
      <c r="E241" t="s">
        <v>33</v>
      </c>
      <c r="F241" t="s">
        <v>130</v>
      </c>
      <c r="G241" t="s">
        <v>274</v>
      </c>
      <c r="H241" t="s">
        <v>437</v>
      </c>
      <c r="I241" t="s">
        <v>26</v>
      </c>
      <c r="J241" s="15">
        <v>45463</v>
      </c>
      <c r="K241" t="s">
        <v>38</v>
      </c>
      <c r="L241" t="str">
        <f t="shared" si="13"/>
        <v>OK</v>
      </c>
      <c r="M241" t="s">
        <v>438</v>
      </c>
      <c r="N241" s="15"/>
      <c r="O241" s="15">
        <v>45463</v>
      </c>
      <c r="P241" t="s">
        <v>30</v>
      </c>
      <c r="Q241" t="s">
        <v>132</v>
      </c>
      <c r="R241" t="s">
        <v>133</v>
      </c>
      <c r="S241" t="s">
        <v>133</v>
      </c>
      <c r="T241" t="s">
        <v>133</v>
      </c>
      <c r="U241" t="s">
        <v>133</v>
      </c>
      <c r="V241" t="s">
        <v>132</v>
      </c>
      <c r="W241" t="s">
        <v>5</v>
      </c>
      <c r="X241" t="s">
        <v>135</v>
      </c>
    </row>
    <row r="242" spans="1:24" hidden="1" x14ac:dyDescent="0.3">
      <c r="A242" s="50" t="str">
        <f t="shared" si="12"/>
        <v>INSTRUMENT_OBSRVD_AGNT_ID</v>
      </c>
      <c r="B242" t="s">
        <v>128</v>
      </c>
      <c r="C242" t="s">
        <v>439</v>
      </c>
      <c r="D242" t="s">
        <v>14</v>
      </c>
      <c r="E242" t="s">
        <v>38</v>
      </c>
      <c r="F242" t="s">
        <v>130</v>
      </c>
      <c r="G242" t="s">
        <v>131</v>
      </c>
      <c r="I242" t="s">
        <v>26</v>
      </c>
      <c r="J242" s="15">
        <v>45450</v>
      </c>
      <c r="K242" t="s">
        <v>38</v>
      </c>
      <c r="L242" t="str">
        <f t="shared" si="13"/>
        <v>OK</v>
      </c>
      <c r="N242" s="15"/>
      <c r="O242" s="15"/>
      <c r="P242" t="s">
        <v>30</v>
      </c>
      <c r="Q242" t="s">
        <v>132</v>
      </c>
      <c r="R242" t="s">
        <v>133</v>
      </c>
      <c r="S242" t="s">
        <v>133</v>
      </c>
      <c r="T242" t="s">
        <v>133</v>
      </c>
      <c r="U242" t="s">
        <v>133</v>
      </c>
      <c r="V242" t="s">
        <v>132</v>
      </c>
      <c r="W242" t="s">
        <v>5</v>
      </c>
      <c r="X242" t="s">
        <v>135</v>
      </c>
    </row>
    <row r="243" spans="1:24" hidden="1" x14ac:dyDescent="0.3">
      <c r="A243" s="50" t="str">
        <f t="shared" si="12"/>
        <v>INSTRUMENT_OBSRVD_AGNT_NM</v>
      </c>
      <c r="B243" t="s">
        <v>128</v>
      </c>
      <c r="C243" t="s">
        <v>440</v>
      </c>
      <c r="D243" t="s">
        <v>14</v>
      </c>
      <c r="E243" t="s">
        <v>38</v>
      </c>
      <c r="F243" t="s">
        <v>130</v>
      </c>
      <c r="G243" t="s">
        <v>131</v>
      </c>
      <c r="I243" t="s">
        <v>26</v>
      </c>
      <c r="J243" s="15">
        <v>45450</v>
      </c>
      <c r="K243" t="s">
        <v>38</v>
      </c>
      <c r="L243" t="str">
        <f t="shared" si="13"/>
        <v>OK</v>
      </c>
      <c r="N243" s="15"/>
      <c r="O243" s="15"/>
      <c r="P243" t="s">
        <v>30</v>
      </c>
      <c r="Q243" t="s">
        <v>132</v>
      </c>
      <c r="R243" t="s">
        <v>133</v>
      </c>
      <c r="S243" t="s">
        <v>133</v>
      </c>
      <c r="T243" t="s">
        <v>133</v>
      </c>
      <c r="U243" t="s">
        <v>133</v>
      </c>
      <c r="V243" t="s">
        <v>132</v>
      </c>
      <c r="W243" t="s">
        <v>5</v>
      </c>
      <c r="X243" t="s">
        <v>135</v>
      </c>
    </row>
    <row r="244" spans="1:24" hidden="1" x14ac:dyDescent="0.3">
      <c r="A244" s="50" t="str">
        <f t="shared" si="12"/>
        <v>INSTRUMENT_OFF_BLNC_SHT_AMNT_INSTRMNT</v>
      </c>
      <c r="B244" t="s">
        <v>128</v>
      </c>
      <c r="C244" t="s">
        <v>441</v>
      </c>
      <c r="D244" t="s">
        <v>14</v>
      </c>
      <c r="E244" t="s">
        <v>36</v>
      </c>
      <c r="F244" t="s">
        <v>149</v>
      </c>
      <c r="G244" t="s">
        <v>163</v>
      </c>
      <c r="I244" t="s">
        <v>29</v>
      </c>
      <c r="J244" s="15">
        <v>45450</v>
      </c>
      <c r="K244" t="s">
        <v>36</v>
      </c>
      <c r="L244" t="str">
        <f t="shared" si="13"/>
        <v>NOK</v>
      </c>
      <c r="N244" s="15"/>
      <c r="O244" s="15"/>
      <c r="P244" t="s">
        <v>8</v>
      </c>
      <c r="Q244" t="s">
        <v>132</v>
      </c>
      <c r="R244" t="s">
        <v>132</v>
      </c>
      <c r="S244" t="s">
        <v>133</v>
      </c>
      <c r="T244" t="s">
        <v>133</v>
      </c>
      <c r="U244" t="s">
        <v>132</v>
      </c>
      <c r="V244" t="s">
        <v>132</v>
      </c>
      <c r="W244" t="s">
        <v>138</v>
      </c>
      <c r="X244" t="s">
        <v>166</v>
      </c>
    </row>
    <row r="245" spans="1:24" hidden="1" x14ac:dyDescent="0.3">
      <c r="A245" s="50" t="str">
        <f t="shared" si="12"/>
        <v>INSTRUMENT_OFF_BLNC_SHT_AMNT_INSTRMNT_PRVS</v>
      </c>
      <c r="B245" t="s">
        <v>128</v>
      </c>
      <c r="C245" s="10" t="s">
        <v>442</v>
      </c>
      <c r="D245" t="s">
        <v>14</v>
      </c>
      <c r="E245" t="s">
        <v>35</v>
      </c>
      <c r="F245" t="s">
        <v>130</v>
      </c>
      <c r="G245" t="s">
        <v>306</v>
      </c>
      <c r="H245" t="s">
        <v>443</v>
      </c>
      <c r="I245" t="s">
        <v>32</v>
      </c>
      <c r="J245" s="15">
        <v>45670</v>
      </c>
      <c r="K245" t="s">
        <v>33</v>
      </c>
      <c r="L245" t="str">
        <f t="shared" si="13"/>
        <v>OK</v>
      </c>
      <c r="M245" t="s">
        <v>444</v>
      </c>
      <c r="N245" s="15">
        <v>45471</v>
      </c>
      <c r="O245" s="15"/>
      <c r="P245" t="s">
        <v>24</v>
      </c>
      <c r="Q245" t="s">
        <v>132</v>
      </c>
      <c r="R245" t="s">
        <v>133</v>
      </c>
      <c r="S245" t="s">
        <v>133</v>
      </c>
      <c r="T245" t="s">
        <v>133</v>
      </c>
      <c r="U245" t="s">
        <v>133</v>
      </c>
      <c r="V245" t="s">
        <v>133</v>
      </c>
      <c r="W245" t="s">
        <v>5</v>
      </c>
      <c r="X245">
        <v>0</v>
      </c>
    </row>
    <row r="246" spans="1:24" hidden="1" x14ac:dyDescent="0.3">
      <c r="A246" s="50" t="str">
        <f t="shared" si="12"/>
        <v>PROTECTION_DT_ORGNL_PRTCTN_VL</v>
      </c>
      <c r="B246" t="s">
        <v>161</v>
      </c>
      <c r="C246" s="10" t="s">
        <v>43</v>
      </c>
      <c r="D246" t="s">
        <v>14</v>
      </c>
      <c r="E246" t="s">
        <v>35</v>
      </c>
      <c r="F246" t="s">
        <v>149</v>
      </c>
      <c r="G246" t="s">
        <v>186</v>
      </c>
      <c r="H246" t="s">
        <v>187</v>
      </c>
      <c r="I246" t="s">
        <v>26</v>
      </c>
      <c r="J246" s="15">
        <v>45670</v>
      </c>
      <c r="K246" t="s">
        <v>38</v>
      </c>
      <c r="L246" t="s">
        <v>130</v>
      </c>
      <c r="N246" s="15">
        <v>45555</v>
      </c>
      <c r="O246" s="15">
        <v>45646</v>
      </c>
      <c r="P246" t="s">
        <v>24</v>
      </c>
      <c r="Q246" t="s">
        <v>132</v>
      </c>
      <c r="R246" t="s">
        <v>133</v>
      </c>
      <c r="S246" t="s">
        <v>133</v>
      </c>
      <c r="T246" t="s">
        <v>133</v>
      </c>
      <c r="U246" t="s">
        <v>133</v>
      </c>
      <c r="V246" t="s">
        <v>133</v>
      </c>
      <c r="W246" t="s">
        <v>5</v>
      </c>
      <c r="X246">
        <v>0</v>
      </c>
    </row>
    <row r="247" spans="1:24" hidden="1" x14ac:dyDescent="0.3">
      <c r="A247" s="50" t="str">
        <f t="shared" si="12"/>
        <v>ENTITY_OSI_ID</v>
      </c>
      <c r="B247" t="s">
        <v>142</v>
      </c>
      <c r="C247" t="s">
        <v>445</v>
      </c>
      <c r="D247" t="s">
        <v>14</v>
      </c>
      <c r="E247" t="s">
        <v>38</v>
      </c>
      <c r="F247" t="s">
        <v>130</v>
      </c>
      <c r="G247" t="s">
        <v>131</v>
      </c>
      <c r="I247" t="s">
        <v>26</v>
      </c>
      <c r="J247" s="15">
        <v>45450</v>
      </c>
      <c r="K247" t="s">
        <v>38</v>
      </c>
      <c r="L247" t="str">
        <f t="shared" ref="L247:L273" si="14">F247</f>
        <v>OK</v>
      </c>
      <c r="N247" s="15"/>
      <c r="O247" s="15"/>
      <c r="P247" t="s">
        <v>30</v>
      </c>
      <c r="Q247" t="s">
        <v>132</v>
      </c>
      <c r="R247" t="s">
        <v>133</v>
      </c>
      <c r="S247" t="s">
        <v>133</v>
      </c>
      <c r="T247" t="s">
        <v>133</v>
      </c>
      <c r="U247" t="s">
        <v>133</v>
      </c>
      <c r="V247" t="s">
        <v>132</v>
      </c>
      <c r="W247" t="s">
        <v>5</v>
      </c>
      <c r="X247" t="s">
        <v>135</v>
      </c>
    </row>
    <row r="248" spans="1:24" hidden="1" x14ac:dyDescent="0.3">
      <c r="A248" s="50" t="str">
        <f t="shared" si="12"/>
        <v>INSTRUMENT_OTSTNDNG_NMNL_AMNT_INSTRMNT</v>
      </c>
      <c r="B248" t="s">
        <v>128</v>
      </c>
      <c r="C248" t="s">
        <v>446</v>
      </c>
      <c r="D248" t="s">
        <v>14</v>
      </c>
      <c r="E248" t="s">
        <v>36</v>
      </c>
      <c r="F248" t="s">
        <v>149</v>
      </c>
      <c r="G248" t="s">
        <v>163</v>
      </c>
      <c r="I248" t="s">
        <v>29</v>
      </c>
      <c r="J248" s="15">
        <v>45450</v>
      </c>
      <c r="K248" t="s">
        <v>36</v>
      </c>
      <c r="L248" t="str">
        <f t="shared" si="14"/>
        <v>NOK</v>
      </c>
      <c r="N248" s="15"/>
      <c r="O248" s="15"/>
      <c r="P248" t="s">
        <v>8</v>
      </c>
      <c r="Q248" t="s">
        <v>132</v>
      </c>
      <c r="R248" t="s">
        <v>133</v>
      </c>
      <c r="S248" t="s">
        <v>133</v>
      </c>
      <c r="T248" t="s">
        <v>133</v>
      </c>
      <c r="U248" t="s">
        <v>133</v>
      </c>
      <c r="V248" t="s">
        <v>132</v>
      </c>
      <c r="W248" t="s">
        <v>138</v>
      </c>
      <c r="X248" t="s">
        <v>166</v>
      </c>
    </row>
    <row r="249" spans="1:24" hidden="1" x14ac:dyDescent="0.3">
      <c r="A249" s="50" t="str">
        <f t="shared" si="12"/>
        <v>INSTRUMENT_DT_FRBRNC_STTS_PRVS</v>
      </c>
      <c r="B249" t="s">
        <v>128</v>
      </c>
      <c r="C249" t="s">
        <v>447</v>
      </c>
      <c r="D249" t="s">
        <v>14</v>
      </c>
      <c r="E249" t="s">
        <v>25</v>
      </c>
      <c r="F249" t="s">
        <v>149</v>
      </c>
      <c r="G249" t="s">
        <v>448</v>
      </c>
      <c r="H249" t="s">
        <v>327</v>
      </c>
      <c r="I249" t="s">
        <v>29</v>
      </c>
      <c r="J249" s="15">
        <v>45450</v>
      </c>
      <c r="K249" t="s">
        <v>25</v>
      </c>
      <c r="L249" t="str">
        <f t="shared" si="14"/>
        <v>NOK</v>
      </c>
      <c r="P249" t="s">
        <v>13</v>
      </c>
      <c r="Q249" t="s">
        <v>132</v>
      </c>
      <c r="R249" t="s">
        <v>133</v>
      </c>
      <c r="S249" t="s">
        <v>133</v>
      </c>
      <c r="T249" t="s">
        <v>133</v>
      </c>
      <c r="U249" t="s">
        <v>133</v>
      </c>
      <c r="V249" t="s">
        <v>133</v>
      </c>
      <c r="W249" t="s">
        <v>5</v>
      </c>
      <c r="X249">
        <v>0</v>
      </c>
    </row>
    <row r="250" spans="1:24" hidden="1" x14ac:dyDescent="0.3">
      <c r="A250" s="50" t="str">
        <f t="shared" si="12"/>
        <v>ENTITY_OWND_BY_SPNSR</v>
      </c>
      <c r="B250" t="s">
        <v>142</v>
      </c>
      <c r="C250" t="s">
        <v>449</v>
      </c>
      <c r="D250" t="s">
        <v>6</v>
      </c>
      <c r="E250" t="s">
        <v>38</v>
      </c>
      <c r="F250" t="s">
        <v>130</v>
      </c>
      <c r="G250" t="s">
        <v>131</v>
      </c>
      <c r="I250" t="s">
        <v>26</v>
      </c>
      <c r="J250" s="15">
        <v>45450</v>
      </c>
      <c r="K250" t="s">
        <v>38</v>
      </c>
      <c r="L250" t="str">
        <f t="shared" si="14"/>
        <v>OK</v>
      </c>
      <c r="N250" s="15"/>
      <c r="O250" s="15"/>
      <c r="P250" t="s">
        <v>30</v>
      </c>
      <c r="Q250" t="s">
        <v>132</v>
      </c>
      <c r="R250" t="s">
        <v>133</v>
      </c>
      <c r="S250" t="s">
        <v>133</v>
      </c>
      <c r="T250" t="s">
        <v>133</v>
      </c>
      <c r="U250" t="s">
        <v>133</v>
      </c>
      <c r="V250" t="s">
        <v>132</v>
      </c>
      <c r="W250" t="s">
        <v>146</v>
      </c>
      <c r="X250" t="s">
        <v>211</v>
      </c>
    </row>
    <row r="251" spans="1:24" hidden="1" x14ac:dyDescent="0.3">
      <c r="A251" s="50" t="str">
        <f t="shared" si="12"/>
        <v>INSTRUMENT_PBLC_GRNT_SCHM_C19_NM</v>
      </c>
      <c r="B251" t="s">
        <v>128</v>
      </c>
      <c r="C251" t="s">
        <v>450</v>
      </c>
      <c r="D251" t="s">
        <v>6</v>
      </c>
      <c r="E251" t="s">
        <v>38</v>
      </c>
      <c r="F251" t="s">
        <v>130</v>
      </c>
      <c r="G251" t="s">
        <v>131</v>
      </c>
      <c r="I251" t="s">
        <v>26</v>
      </c>
      <c r="J251" s="15">
        <v>45450</v>
      </c>
      <c r="K251" t="s">
        <v>38</v>
      </c>
      <c r="L251" t="str">
        <f t="shared" si="14"/>
        <v>OK</v>
      </c>
      <c r="N251" s="15"/>
      <c r="O251" s="15"/>
      <c r="P251" t="s">
        <v>30</v>
      </c>
      <c r="Q251" t="s">
        <v>132</v>
      </c>
      <c r="R251" t="s">
        <v>133</v>
      </c>
      <c r="S251" t="s">
        <v>133</v>
      </c>
      <c r="T251" t="s">
        <v>133</v>
      </c>
      <c r="U251" t="s">
        <v>133</v>
      </c>
      <c r="V251" t="s">
        <v>133</v>
      </c>
      <c r="W251" t="s">
        <v>5</v>
      </c>
      <c r="X251">
        <v>0</v>
      </c>
    </row>
    <row r="252" spans="1:24" hidden="1" x14ac:dyDescent="0.3">
      <c r="A252" s="50" t="str">
        <f t="shared" si="12"/>
        <v>INSTRUMENT_PD_CRR_INCPTN</v>
      </c>
      <c r="B252" t="s">
        <v>128</v>
      </c>
      <c r="C252" t="s">
        <v>451</v>
      </c>
      <c r="D252" t="s">
        <v>14</v>
      </c>
      <c r="E252" t="s">
        <v>35</v>
      </c>
      <c r="F252" t="s">
        <v>130</v>
      </c>
      <c r="G252" s="86" t="s">
        <v>306</v>
      </c>
      <c r="H252" t="s">
        <v>452</v>
      </c>
      <c r="I252" t="s">
        <v>29</v>
      </c>
      <c r="J252" s="15">
        <v>45450</v>
      </c>
      <c r="K252" t="s">
        <v>35</v>
      </c>
      <c r="L252" t="str">
        <f t="shared" si="14"/>
        <v>OK</v>
      </c>
      <c r="N252" s="15">
        <v>45338</v>
      </c>
      <c r="O252" s="15">
        <v>45439</v>
      </c>
      <c r="P252" t="s">
        <v>13</v>
      </c>
      <c r="Q252" t="s">
        <v>132</v>
      </c>
      <c r="R252" t="s">
        <v>133</v>
      </c>
      <c r="S252" t="s">
        <v>133</v>
      </c>
      <c r="T252" t="s">
        <v>133</v>
      </c>
      <c r="U252" t="s">
        <v>133</v>
      </c>
      <c r="V252" t="s">
        <v>132</v>
      </c>
      <c r="W252" t="s">
        <v>138</v>
      </c>
      <c r="X252" t="s">
        <v>139</v>
      </c>
    </row>
    <row r="253" spans="1:24" hidden="1" x14ac:dyDescent="0.3">
      <c r="A253" s="50" t="str">
        <f t="shared" si="12"/>
        <v>ENTITY_PD_CRR_RD</v>
      </c>
      <c r="B253" t="s">
        <v>142</v>
      </c>
      <c r="C253" t="s">
        <v>453</v>
      </c>
      <c r="D253" t="s">
        <v>14</v>
      </c>
      <c r="E253" t="s">
        <v>36</v>
      </c>
      <c r="F253" t="s">
        <v>149</v>
      </c>
      <c r="G253" t="s">
        <v>163</v>
      </c>
      <c r="I253" t="s">
        <v>29</v>
      </c>
      <c r="J253" s="15">
        <v>45450</v>
      </c>
      <c r="K253" t="s">
        <v>36</v>
      </c>
      <c r="L253" t="str">
        <f t="shared" si="14"/>
        <v>NOK</v>
      </c>
      <c r="N253" s="15"/>
      <c r="O253" s="15"/>
      <c r="P253" t="s">
        <v>8</v>
      </c>
      <c r="Q253" t="s">
        <v>132</v>
      </c>
      <c r="R253" t="s">
        <v>133</v>
      </c>
      <c r="S253" t="s">
        <v>133</v>
      </c>
      <c r="T253" t="s">
        <v>133</v>
      </c>
      <c r="U253" t="s">
        <v>133</v>
      </c>
      <c r="V253" t="s">
        <v>132</v>
      </c>
      <c r="W253" t="s">
        <v>138</v>
      </c>
      <c r="X253" t="s">
        <v>166</v>
      </c>
    </row>
    <row r="254" spans="1:24" hidden="1" x14ac:dyDescent="0.3">
      <c r="A254" s="50" t="str">
        <f t="shared" si="12"/>
        <v>INSTRUMENT_PD_CRR_RD</v>
      </c>
      <c r="B254" t="s">
        <v>128</v>
      </c>
      <c r="C254" t="s">
        <v>453</v>
      </c>
      <c r="D254" t="s">
        <v>14</v>
      </c>
      <c r="E254" t="s">
        <v>36</v>
      </c>
      <c r="F254" t="s">
        <v>149</v>
      </c>
      <c r="G254" t="s">
        <v>163</v>
      </c>
      <c r="I254" t="s">
        <v>29</v>
      </c>
      <c r="J254" s="15">
        <v>45450</v>
      </c>
      <c r="K254" t="s">
        <v>36</v>
      </c>
      <c r="L254" t="str">
        <f t="shared" si="14"/>
        <v>NOK</v>
      </c>
      <c r="N254" s="15"/>
      <c r="O254" s="15"/>
      <c r="P254" t="s">
        <v>8</v>
      </c>
      <c r="Q254" t="s">
        <v>132</v>
      </c>
      <c r="R254" t="s">
        <v>133</v>
      </c>
      <c r="S254" t="s">
        <v>133</v>
      </c>
      <c r="T254" t="s">
        <v>133</v>
      </c>
      <c r="U254" t="s">
        <v>133</v>
      </c>
      <c r="V254" t="s">
        <v>132</v>
      </c>
      <c r="W254" t="s">
        <v>138</v>
      </c>
      <c r="X254" t="s">
        <v>166</v>
      </c>
    </row>
    <row r="255" spans="1:24" hidden="1" x14ac:dyDescent="0.3">
      <c r="A255" s="50" t="str">
        <f t="shared" si="12"/>
        <v>ENTITY_PD_CRR_RD_T1</v>
      </c>
      <c r="B255" t="s">
        <v>142</v>
      </c>
      <c r="C255" s="11" t="s">
        <v>454</v>
      </c>
      <c r="D255" t="s">
        <v>6</v>
      </c>
      <c r="E255" t="s">
        <v>33</v>
      </c>
      <c r="F255" t="s">
        <v>149</v>
      </c>
      <c r="G255" t="s">
        <v>384</v>
      </c>
      <c r="I255" t="s">
        <v>32</v>
      </c>
      <c r="J255" s="15">
        <v>45450</v>
      </c>
      <c r="K255" t="s">
        <v>33</v>
      </c>
      <c r="L255" t="str">
        <f t="shared" si="14"/>
        <v>NOK</v>
      </c>
      <c r="N255" s="15">
        <v>44750</v>
      </c>
      <c r="O255" s="15">
        <v>45267</v>
      </c>
      <c r="P255" t="s">
        <v>24</v>
      </c>
      <c r="Q255" t="s">
        <v>132</v>
      </c>
      <c r="R255" t="s">
        <v>133</v>
      </c>
      <c r="S255" t="s">
        <v>133</v>
      </c>
      <c r="T255" t="s">
        <v>133</v>
      </c>
      <c r="U255" t="s">
        <v>133</v>
      </c>
      <c r="V255" t="s">
        <v>133</v>
      </c>
      <c r="W255" t="s">
        <v>5</v>
      </c>
      <c r="X255">
        <v>0</v>
      </c>
    </row>
    <row r="256" spans="1:24" hidden="1" x14ac:dyDescent="0.3">
      <c r="A256" s="50" t="str">
        <f t="shared" si="12"/>
        <v>INSTRUMENT_PD_CRR_RD_T1</v>
      </c>
      <c r="B256" t="s">
        <v>128</v>
      </c>
      <c r="C256" s="11" t="s">
        <v>454</v>
      </c>
      <c r="D256" t="s">
        <v>6</v>
      </c>
      <c r="E256" t="s">
        <v>33</v>
      </c>
      <c r="F256" t="s">
        <v>149</v>
      </c>
      <c r="G256" t="s">
        <v>384</v>
      </c>
      <c r="I256" t="s">
        <v>32</v>
      </c>
      <c r="J256" s="15">
        <v>45450</v>
      </c>
      <c r="K256" t="s">
        <v>33</v>
      </c>
      <c r="L256" t="str">
        <f t="shared" si="14"/>
        <v>NOK</v>
      </c>
      <c r="N256" s="15">
        <v>45281</v>
      </c>
      <c r="O256" s="15">
        <v>45330</v>
      </c>
      <c r="P256" t="s">
        <v>24</v>
      </c>
      <c r="Q256" t="s">
        <v>132</v>
      </c>
      <c r="R256" t="s">
        <v>133</v>
      </c>
      <c r="S256" t="s">
        <v>133</v>
      </c>
      <c r="T256" t="s">
        <v>133</v>
      </c>
      <c r="U256" t="s">
        <v>133</v>
      </c>
      <c r="V256" t="s">
        <v>133</v>
      </c>
      <c r="W256" t="s">
        <v>5</v>
      </c>
      <c r="X256">
        <v>0</v>
      </c>
    </row>
    <row r="257" spans="1:24" hidden="1" x14ac:dyDescent="0.3">
      <c r="A257" s="50" t="str">
        <f t="shared" si="12"/>
        <v>INSTRUMENT_PD_IFRS9_12M_INCPTN</v>
      </c>
      <c r="B257" t="s">
        <v>128</v>
      </c>
      <c r="C257" t="s">
        <v>455</v>
      </c>
      <c r="D257" t="s">
        <v>14</v>
      </c>
      <c r="E257" t="s">
        <v>38</v>
      </c>
      <c r="F257" t="s">
        <v>130</v>
      </c>
      <c r="G257" t="s">
        <v>131</v>
      </c>
      <c r="I257" t="s">
        <v>26</v>
      </c>
      <c r="J257" s="15">
        <v>45450</v>
      </c>
      <c r="K257" t="s">
        <v>38</v>
      </c>
      <c r="L257" t="str">
        <f t="shared" si="14"/>
        <v>OK</v>
      </c>
      <c r="M257" t="s">
        <v>371</v>
      </c>
      <c r="N257" s="15"/>
      <c r="O257" s="15"/>
      <c r="P257" t="s">
        <v>30</v>
      </c>
      <c r="Q257" t="s">
        <v>132</v>
      </c>
      <c r="R257" t="s">
        <v>133</v>
      </c>
      <c r="S257" t="s">
        <v>133</v>
      </c>
      <c r="T257" t="s">
        <v>133</v>
      </c>
      <c r="U257" t="s">
        <v>133</v>
      </c>
      <c r="V257" t="s">
        <v>132</v>
      </c>
      <c r="W257" t="s">
        <v>5</v>
      </c>
      <c r="X257" t="s">
        <v>135</v>
      </c>
    </row>
    <row r="258" spans="1:24" hidden="1" x14ac:dyDescent="0.3">
      <c r="A258" s="50" t="str">
        <f t="shared" si="12"/>
        <v>ENTITY_PD_IFRS9_12M_RD</v>
      </c>
      <c r="B258" t="s">
        <v>142</v>
      </c>
      <c r="C258" t="s">
        <v>456</v>
      </c>
      <c r="D258" t="s">
        <v>14</v>
      </c>
      <c r="E258" t="s">
        <v>28</v>
      </c>
      <c r="F258" t="s">
        <v>149</v>
      </c>
      <c r="G258" t="s">
        <v>457</v>
      </c>
      <c r="I258" t="s">
        <v>29</v>
      </c>
      <c r="J258" s="15">
        <v>45450</v>
      </c>
      <c r="K258" t="s">
        <v>28</v>
      </c>
      <c r="L258" t="str">
        <f t="shared" si="14"/>
        <v>NOK</v>
      </c>
      <c r="M258" t="s">
        <v>371</v>
      </c>
      <c r="N258" s="15"/>
      <c r="O258" s="15"/>
      <c r="P258" t="s">
        <v>8</v>
      </c>
      <c r="Q258" t="s">
        <v>132</v>
      </c>
      <c r="R258" t="s">
        <v>133</v>
      </c>
      <c r="S258" t="s">
        <v>133</v>
      </c>
      <c r="T258" t="s">
        <v>133</v>
      </c>
      <c r="U258" t="s">
        <v>133</v>
      </c>
      <c r="V258" t="s">
        <v>132</v>
      </c>
      <c r="W258" t="s">
        <v>138</v>
      </c>
      <c r="X258" t="s">
        <v>222</v>
      </c>
    </row>
    <row r="259" spans="1:24" hidden="1" x14ac:dyDescent="0.3">
      <c r="A259" s="50" t="str">
        <f t="shared" si="12"/>
        <v>INSTRUMENT_PD_IFRS9_12M_RD</v>
      </c>
      <c r="B259" t="s">
        <v>128</v>
      </c>
      <c r="C259" s="11" t="s">
        <v>456</v>
      </c>
      <c r="D259" t="s">
        <v>14</v>
      </c>
      <c r="E259" t="s">
        <v>36</v>
      </c>
      <c r="F259" t="s">
        <v>149</v>
      </c>
      <c r="I259" t="s">
        <v>32</v>
      </c>
      <c r="J259" s="15">
        <v>45450</v>
      </c>
      <c r="K259" t="s">
        <v>36</v>
      </c>
      <c r="L259" t="str">
        <f t="shared" si="14"/>
        <v>NOK</v>
      </c>
      <c r="M259" t="s">
        <v>371</v>
      </c>
      <c r="N259" s="15"/>
      <c r="O259" s="15"/>
      <c r="P259" t="s">
        <v>39</v>
      </c>
      <c r="Q259" t="s">
        <v>132</v>
      </c>
      <c r="R259" t="s">
        <v>133</v>
      </c>
      <c r="S259" t="s">
        <v>133</v>
      </c>
      <c r="T259" t="s">
        <v>133</v>
      </c>
      <c r="U259" t="s">
        <v>133</v>
      </c>
      <c r="V259" t="s">
        <v>132</v>
      </c>
      <c r="W259" t="s">
        <v>138</v>
      </c>
      <c r="X259" t="s">
        <v>166</v>
      </c>
    </row>
    <row r="260" spans="1:24" hidden="1" x14ac:dyDescent="0.3">
      <c r="A260" s="50" t="str">
        <f t="shared" si="12"/>
        <v>ENTITY_PD_IFRS9_12M_RD_T1</v>
      </c>
      <c r="B260" t="s">
        <v>142</v>
      </c>
      <c r="C260" t="s">
        <v>458</v>
      </c>
      <c r="D260" t="s">
        <v>6</v>
      </c>
      <c r="E260" t="s">
        <v>36</v>
      </c>
      <c r="F260" t="s">
        <v>149</v>
      </c>
      <c r="G260" t="s">
        <v>163</v>
      </c>
      <c r="I260" t="s">
        <v>29</v>
      </c>
      <c r="J260" s="15">
        <v>45450</v>
      </c>
      <c r="K260" t="s">
        <v>36</v>
      </c>
      <c r="L260" t="str">
        <f t="shared" si="14"/>
        <v>NOK</v>
      </c>
      <c r="M260" t="s">
        <v>371</v>
      </c>
      <c r="N260" s="15"/>
      <c r="O260" s="15"/>
      <c r="P260" t="s">
        <v>8</v>
      </c>
      <c r="Q260" t="s">
        <v>132</v>
      </c>
      <c r="R260" t="s">
        <v>133</v>
      </c>
      <c r="S260" t="s">
        <v>133</v>
      </c>
      <c r="T260" t="s">
        <v>133</v>
      </c>
      <c r="U260" t="s">
        <v>133</v>
      </c>
      <c r="V260" t="s">
        <v>133</v>
      </c>
      <c r="W260" t="s">
        <v>5</v>
      </c>
      <c r="X260">
        <v>0</v>
      </c>
    </row>
    <row r="261" spans="1:24" hidden="1" x14ac:dyDescent="0.3">
      <c r="A261" s="50" t="str">
        <f t="shared" si="12"/>
        <v>INSTRUMENT_PD_IFRS9_12M_RD_T1</v>
      </c>
      <c r="B261" t="s">
        <v>128</v>
      </c>
      <c r="C261" t="s">
        <v>458</v>
      </c>
      <c r="D261" t="s">
        <v>14</v>
      </c>
      <c r="E261" t="s">
        <v>36</v>
      </c>
      <c r="F261" t="s">
        <v>149</v>
      </c>
      <c r="G261" t="s">
        <v>163</v>
      </c>
      <c r="I261" t="s">
        <v>29</v>
      </c>
      <c r="J261" s="15">
        <v>45450</v>
      </c>
      <c r="K261" t="s">
        <v>36</v>
      </c>
      <c r="L261" t="str">
        <f t="shared" si="14"/>
        <v>NOK</v>
      </c>
      <c r="M261" t="s">
        <v>371</v>
      </c>
      <c r="N261" s="15"/>
      <c r="O261" s="15"/>
      <c r="P261" t="s">
        <v>8</v>
      </c>
      <c r="Q261" t="s">
        <v>132</v>
      </c>
      <c r="R261" t="s">
        <v>133</v>
      </c>
      <c r="S261" t="s">
        <v>133</v>
      </c>
      <c r="T261" t="s">
        <v>133</v>
      </c>
      <c r="U261" t="s">
        <v>133</v>
      </c>
      <c r="V261" t="s">
        <v>133</v>
      </c>
      <c r="W261" t="s">
        <v>5</v>
      </c>
      <c r="X261">
        <v>0</v>
      </c>
    </row>
    <row r="262" spans="1:24" hidden="1" x14ac:dyDescent="0.3">
      <c r="A262" s="50" t="str">
        <f t="shared" ref="A262:A324" si="15">B262&amp;"_"&amp;C262</f>
        <v>INSTRUMENT_PD_IFRS9_LFTM_INCPTN</v>
      </c>
      <c r="B262" t="s">
        <v>128</v>
      </c>
      <c r="C262" t="s">
        <v>459</v>
      </c>
      <c r="D262" t="s">
        <v>14</v>
      </c>
      <c r="E262" t="s">
        <v>38</v>
      </c>
      <c r="F262" t="s">
        <v>130</v>
      </c>
      <c r="G262" t="s">
        <v>131</v>
      </c>
      <c r="I262" t="s">
        <v>26</v>
      </c>
      <c r="J262" s="15">
        <v>45450</v>
      </c>
      <c r="K262" t="s">
        <v>38</v>
      </c>
      <c r="L262" t="str">
        <f t="shared" si="14"/>
        <v>OK</v>
      </c>
      <c r="M262" t="s">
        <v>371</v>
      </c>
      <c r="N262" s="15"/>
      <c r="O262" s="15"/>
      <c r="P262" t="s">
        <v>30</v>
      </c>
      <c r="Q262" t="s">
        <v>132</v>
      </c>
      <c r="R262" t="s">
        <v>133</v>
      </c>
      <c r="S262" t="s">
        <v>133</v>
      </c>
      <c r="T262" t="s">
        <v>133</v>
      </c>
      <c r="U262" t="s">
        <v>133</v>
      </c>
      <c r="V262" t="s">
        <v>132</v>
      </c>
      <c r="W262" t="s">
        <v>5</v>
      </c>
      <c r="X262" t="s">
        <v>135</v>
      </c>
    </row>
    <row r="263" spans="1:24" hidden="1" x14ac:dyDescent="0.3">
      <c r="A263" s="50" t="str">
        <f t="shared" si="15"/>
        <v>INSTRUMENT_PD_IFRS9_RMNNG_LFTM_INCPTN</v>
      </c>
      <c r="B263" t="s">
        <v>128</v>
      </c>
      <c r="C263" t="s">
        <v>460</v>
      </c>
      <c r="D263" t="s">
        <v>14</v>
      </c>
      <c r="E263" t="s">
        <v>38</v>
      </c>
      <c r="F263" t="s">
        <v>130</v>
      </c>
      <c r="G263" t="s">
        <v>131</v>
      </c>
      <c r="I263" t="s">
        <v>26</v>
      </c>
      <c r="J263" s="15">
        <v>45450</v>
      </c>
      <c r="K263" t="s">
        <v>38</v>
      </c>
      <c r="L263" t="str">
        <f t="shared" si="14"/>
        <v>OK</v>
      </c>
      <c r="M263" t="s">
        <v>371</v>
      </c>
      <c r="N263" s="15"/>
      <c r="O263" s="15"/>
      <c r="P263" t="s">
        <v>30</v>
      </c>
      <c r="Q263" t="s">
        <v>132</v>
      </c>
      <c r="R263" t="s">
        <v>133</v>
      </c>
      <c r="S263" t="s">
        <v>133</v>
      </c>
      <c r="T263" t="s">
        <v>133</v>
      </c>
      <c r="U263" t="s">
        <v>133</v>
      </c>
      <c r="V263" t="s">
        <v>132</v>
      </c>
      <c r="W263" t="s">
        <v>5</v>
      </c>
      <c r="X263" t="s">
        <v>135</v>
      </c>
    </row>
    <row r="264" spans="1:24" hidden="1" x14ac:dyDescent="0.3">
      <c r="A264" s="50" t="str">
        <f t="shared" si="15"/>
        <v>INSTRUMENT_PD_IFRS9_RMNNG_LFTM_RD</v>
      </c>
      <c r="B264" t="s">
        <v>128</v>
      </c>
      <c r="C264" t="s">
        <v>461</v>
      </c>
      <c r="D264" t="s">
        <v>14</v>
      </c>
      <c r="E264" t="s">
        <v>38</v>
      </c>
      <c r="F264" t="s">
        <v>130</v>
      </c>
      <c r="G264" t="s">
        <v>131</v>
      </c>
      <c r="I264" t="s">
        <v>26</v>
      </c>
      <c r="J264" s="15">
        <v>45450</v>
      </c>
      <c r="K264" t="s">
        <v>38</v>
      </c>
      <c r="L264" t="str">
        <f t="shared" si="14"/>
        <v>OK</v>
      </c>
      <c r="M264" t="s">
        <v>371</v>
      </c>
      <c r="N264" s="15"/>
      <c r="O264" s="15"/>
      <c r="P264" t="s">
        <v>30</v>
      </c>
      <c r="Q264" t="s">
        <v>132</v>
      </c>
      <c r="R264" t="s">
        <v>133</v>
      </c>
      <c r="S264" t="s">
        <v>133</v>
      </c>
      <c r="T264" t="s">
        <v>133</v>
      </c>
      <c r="U264" t="s">
        <v>133</v>
      </c>
      <c r="V264" t="s">
        <v>132</v>
      </c>
      <c r="W264" t="s">
        <v>5</v>
      </c>
      <c r="X264" t="s">
        <v>135</v>
      </c>
    </row>
    <row r="265" spans="1:24" hidden="1" x14ac:dyDescent="0.3">
      <c r="A265" s="50" t="str">
        <f t="shared" si="15"/>
        <v>INSTRUMENT_PMNT_PBLC_GRNT_SCHM_C19</v>
      </c>
      <c r="B265" t="s">
        <v>128</v>
      </c>
      <c r="C265" t="s">
        <v>462</v>
      </c>
      <c r="D265" t="s">
        <v>6</v>
      </c>
      <c r="E265" t="s">
        <v>38</v>
      </c>
      <c r="F265" t="s">
        <v>130</v>
      </c>
      <c r="G265" t="s">
        <v>131</v>
      </c>
      <c r="I265" t="s">
        <v>26</v>
      </c>
      <c r="J265" s="15">
        <v>45450</v>
      </c>
      <c r="K265" t="s">
        <v>38</v>
      </c>
      <c r="L265" t="str">
        <f t="shared" si="14"/>
        <v>OK</v>
      </c>
      <c r="N265" s="15"/>
      <c r="O265" s="15"/>
      <c r="P265" t="s">
        <v>30</v>
      </c>
      <c r="Q265" t="s">
        <v>132</v>
      </c>
      <c r="R265" t="s">
        <v>133</v>
      </c>
      <c r="S265" t="s">
        <v>133</v>
      </c>
      <c r="T265" t="s">
        <v>133</v>
      </c>
      <c r="U265" t="s">
        <v>133</v>
      </c>
      <c r="V265" t="s">
        <v>133</v>
      </c>
      <c r="W265" t="s">
        <v>5</v>
      </c>
      <c r="X265">
        <v>0</v>
      </c>
    </row>
    <row r="266" spans="1:24" hidden="1" x14ac:dyDescent="0.3">
      <c r="A266" s="50" t="str">
        <f t="shared" si="15"/>
        <v>INSTRUMENT_DT_FRBRNC_STTS</v>
      </c>
      <c r="B266" t="s">
        <v>128</v>
      </c>
      <c r="C266" t="s">
        <v>463</v>
      </c>
      <c r="D266" t="s">
        <v>14</v>
      </c>
      <c r="E266" t="s">
        <v>25</v>
      </c>
      <c r="F266" t="s">
        <v>149</v>
      </c>
      <c r="G266" t="s">
        <v>448</v>
      </c>
      <c r="H266" t="s">
        <v>327</v>
      </c>
      <c r="I266" t="s">
        <v>29</v>
      </c>
      <c r="J266" s="15">
        <v>45450</v>
      </c>
      <c r="K266" t="s">
        <v>25</v>
      </c>
      <c r="L266" t="str">
        <f t="shared" si="14"/>
        <v>NOK</v>
      </c>
      <c r="P266" t="s">
        <v>13</v>
      </c>
      <c r="Q266" t="s">
        <v>132</v>
      </c>
      <c r="R266" t="s">
        <v>133</v>
      </c>
      <c r="S266" t="s">
        <v>133</v>
      </c>
      <c r="T266" t="s">
        <v>133</v>
      </c>
      <c r="U266" t="s">
        <v>133</v>
      </c>
      <c r="V266" t="s">
        <v>132</v>
      </c>
      <c r="W266" t="s">
        <v>138</v>
      </c>
      <c r="X266" t="s">
        <v>153</v>
      </c>
    </row>
    <row r="267" spans="1:24" hidden="1" x14ac:dyDescent="0.3">
      <c r="A267" s="50" t="str">
        <f t="shared" si="15"/>
        <v>INSTRUMENT_PRCH_UNDR_RSL_AGR</v>
      </c>
      <c r="B267" t="s">
        <v>128</v>
      </c>
      <c r="C267" t="s">
        <v>464</v>
      </c>
      <c r="D267" t="s">
        <v>6</v>
      </c>
      <c r="E267" t="s">
        <v>38</v>
      </c>
      <c r="F267" t="s">
        <v>130</v>
      </c>
      <c r="G267" t="s">
        <v>131</v>
      </c>
      <c r="I267" t="s">
        <v>26</v>
      </c>
      <c r="J267" s="15">
        <v>45450</v>
      </c>
      <c r="K267" t="s">
        <v>38</v>
      </c>
      <c r="L267" t="str">
        <f t="shared" si="14"/>
        <v>OK</v>
      </c>
      <c r="N267" s="15"/>
      <c r="O267" s="15"/>
      <c r="P267" t="s">
        <v>30</v>
      </c>
      <c r="Q267" t="s">
        <v>132</v>
      </c>
      <c r="R267" t="s">
        <v>133</v>
      </c>
      <c r="S267" t="s">
        <v>133</v>
      </c>
      <c r="T267" t="s">
        <v>133</v>
      </c>
      <c r="U267" t="s">
        <v>133</v>
      </c>
      <c r="V267" t="s">
        <v>133</v>
      </c>
      <c r="W267" t="s">
        <v>5</v>
      </c>
      <c r="X267">
        <v>0</v>
      </c>
    </row>
    <row r="268" spans="1:24" hidden="1" x14ac:dyDescent="0.3">
      <c r="A268" s="50" t="str">
        <f t="shared" si="15"/>
        <v>INSTRUMENT_PRDCT</v>
      </c>
      <c r="B268" t="s">
        <v>128</v>
      </c>
      <c r="C268" t="s">
        <v>465</v>
      </c>
      <c r="D268" t="s">
        <v>14</v>
      </c>
      <c r="E268" t="s">
        <v>38</v>
      </c>
      <c r="F268" t="s">
        <v>130</v>
      </c>
      <c r="G268" t="s">
        <v>131</v>
      </c>
      <c r="I268" t="s">
        <v>26</v>
      </c>
      <c r="J268" s="15">
        <v>45450</v>
      </c>
      <c r="K268" t="s">
        <v>38</v>
      </c>
      <c r="L268" t="str">
        <f t="shared" si="14"/>
        <v>OK</v>
      </c>
      <c r="N268" s="15"/>
      <c r="O268" s="15"/>
      <c r="P268" t="s">
        <v>30</v>
      </c>
      <c r="Q268" t="s">
        <v>132</v>
      </c>
      <c r="R268" t="s">
        <v>133</v>
      </c>
      <c r="S268" t="s">
        <v>133</v>
      </c>
      <c r="T268" t="s">
        <v>132</v>
      </c>
      <c r="U268" t="s">
        <v>133</v>
      </c>
      <c r="V268" t="s">
        <v>133</v>
      </c>
      <c r="W268" t="s">
        <v>5</v>
      </c>
      <c r="X268">
        <v>0</v>
      </c>
    </row>
    <row r="269" spans="1:24" hidden="1" x14ac:dyDescent="0.3">
      <c r="A269" s="50" t="str">
        <f t="shared" si="15"/>
        <v>INSTRUMENT_PRDNTL_PRTFL</v>
      </c>
      <c r="B269" t="s">
        <v>128</v>
      </c>
      <c r="C269" t="s">
        <v>466</v>
      </c>
      <c r="D269" t="s">
        <v>6</v>
      </c>
      <c r="E269" t="s">
        <v>38</v>
      </c>
      <c r="F269" t="s">
        <v>130</v>
      </c>
      <c r="G269" t="s">
        <v>131</v>
      </c>
      <c r="I269" t="s">
        <v>26</v>
      </c>
      <c r="J269" s="15">
        <v>45450</v>
      </c>
      <c r="K269" t="s">
        <v>38</v>
      </c>
      <c r="L269" t="str">
        <f t="shared" si="14"/>
        <v>OK</v>
      </c>
      <c r="N269" s="15"/>
      <c r="O269" s="15"/>
      <c r="P269" t="s">
        <v>30</v>
      </c>
      <c r="Q269" t="s">
        <v>132</v>
      </c>
      <c r="R269" t="s">
        <v>133</v>
      </c>
      <c r="S269" t="s">
        <v>133</v>
      </c>
      <c r="T269" t="s">
        <v>133</v>
      </c>
      <c r="U269" t="s">
        <v>133</v>
      </c>
      <c r="V269" t="s">
        <v>132</v>
      </c>
      <c r="W269" t="s">
        <v>5</v>
      </c>
      <c r="X269" t="s">
        <v>135</v>
      </c>
    </row>
    <row r="270" spans="1:24" hidden="1" x14ac:dyDescent="0.3">
      <c r="A270" s="50" t="str">
        <f t="shared" si="15"/>
        <v>INSTRUMENT_PRFRMNG_STTS</v>
      </c>
      <c r="B270" t="s">
        <v>128</v>
      </c>
      <c r="C270" s="11" t="s">
        <v>45</v>
      </c>
      <c r="D270" t="s">
        <v>14</v>
      </c>
      <c r="E270" t="s">
        <v>28</v>
      </c>
      <c r="F270" t="s">
        <v>149</v>
      </c>
      <c r="G270" t="s">
        <v>159</v>
      </c>
      <c r="I270" t="s">
        <v>32</v>
      </c>
      <c r="J270" s="15">
        <v>45670</v>
      </c>
      <c r="K270" t="s">
        <v>33</v>
      </c>
      <c r="L270" t="str">
        <f t="shared" si="14"/>
        <v>NOK</v>
      </c>
      <c r="M270" t="s">
        <v>268</v>
      </c>
      <c r="N270" s="15">
        <v>45562</v>
      </c>
      <c r="O270" s="15"/>
      <c r="P270" t="s">
        <v>39</v>
      </c>
      <c r="Q270" t="s">
        <v>132</v>
      </c>
      <c r="R270" t="s">
        <v>132</v>
      </c>
      <c r="S270" t="s">
        <v>132</v>
      </c>
      <c r="T270" t="s">
        <v>133</v>
      </c>
      <c r="U270" t="s">
        <v>133</v>
      </c>
      <c r="V270" t="s">
        <v>132</v>
      </c>
      <c r="W270" t="s">
        <v>5</v>
      </c>
      <c r="X270" t="s">
        <v>269</v>
      </c>
    </row>
    <row r="271" spans="1:24" hidden="1" x14ac:dyDescent="0.3">
      <c r="A271" s="50" t="str">
        <f t="shared" si="15"/>
        <v>ENTITY_PRFRMNG_STTS_LE</v>
      </c>
      <c r="B271" t="s">
        <v>142</v>
      </c>
      <c r="C271" t="s">
        <v>467</v>
      </c>
      <c r="D271" t="s">
        <v>14</v>
      </c>
      <c r="E271" t="s">
        <v>38</v>
      </c>
      <c r="F271" t="s">
        <v>130</v>
      </c>
      <c r="G271" t="s">
        <v>131</v>
      </c>
      <c r="I271" t="s">
        <v>26</v>
      </c>
      <c r="J271" s="15">
        <v>45450</v>
      </c>
      <c r="K271" t="s">
        <v>38</v>
      </c>
      <c r="L271" t="str">
        <f t="shared" si="14"/>
        <v>OK</v>
      </c>
      <c r="N271" s="15"/>
      <c r="O271" s="15"/>
      <c r="P271" t="s">
        <v>30</v>
      </c>
      <c r="Q271" t="s">
        <v>132</v>
      </c>
      <c r="R271" t="s">
        <v>133</v>
      </c>
      <c r="S271" t="s">
        <v>133</v>
      </c>
      <c r="T271" t="s">
        <v>133</v>
      </c>
      <c r="U271" t="s">
        <v>133</v>
      </c>
      <c r="V271" t="s">
        <v>132</v>
      </c>
      <c r="W271" t="s">
        <v>5</v>
      </c>
      <c r="X271" t="s">
        <v>135</v>
      </c>
    </row>
    <row r="272" spans="1:24" hidden="1" x14ac:dyDescent="0.3">
      <c r="A272" s="50" t="str">
        <f t="shared" si="15"/>
        <v>INSTRUMENT_PRFRMNG_STTS_PRVS</v>
      </c>
      <c r="B272" t="s">
        <v>128</v>
      </c>
      <c r="C272" s="11" t="s">
        <v>47</v>
      </c>
      <c r="D272" t="s">
        <v>14</v>
      </c>
      <c r="E272" t="s">
        <v>33</v>
      </c>
      <c r="F272" t="s">
        <v>130</v>
      </c>
      <c r="G272" t="s">
        <v>233</v>
      </c>
      <c r="I272" t="s">
        <v>32</v>
      </c>
      <c r="J272" s="15">
        <v>45670</v>
      </c>
      <c r="K272" t="s">
        <v>33</v>
      </c>
      <c r="L272" t="str">
        <f t="shared" si="14"/>
        <v>OK</v>
      </c>
      <c r="M272" t="s">
        <v>268</v>
      </c>
      <c r="N272" s="15">
        <v>45562</v>
      </c>
      <c r="O272" s="15"/>
      <c r="P272" t="s">
        <v>39</v>
      </c>
      <c r="Q272" t="s">
        <v>132</v>
      </c>
      <c r="R272" t="s">
        <v>133</v>
      </c>
      <c r="S272" t="s">
        <v>133</v>
      </c>
      <c r="T272" t="s">
        <v>133</v>
      </c>
      <c r="U272" t="s">
        <v>133</v>
      </c>
      <c r="V272" t="s">
        <v>132</v>
      </c>
      <c r="W272" t="s">
        <v>5</v>
      </c>
      <c r="X272" t="s">
        <v>269</v>
      </c>
    </row>
    <row r="273" spans="1:24" hidden="1" x14ac:dyDescent="0.3">
      <c r="A273" s="50" t="str">
        <f t="shared" si="15"/>
        <v>INSTRUMENT_PRJCT_FNNC_LN</v>
      </c>
      <c r="B273" t="s">
        <v>128</v>
      </c>
      <c r="C273" t="s">
        <v>468</v>
      </c>
      <c r="D273" t="s">
        <v>14</v>
      </c>
      <c r="E273" t="s">
        <v>38</v>
      </c>
      <c r="F273" t="s">
        <v>130</v>
      </c>
      <c r="G273" t="s">
        <v>131</v>
      </c>
      <c r="I273" t="s">
        <v>26</v>
      </c>
      <c r="J273" s="15">
        <v>45450</v>
      </c>
      <c r="K273" t="s">
        <v>38</v>
      </c>
      <c r="L273" t="str">
        <f t="shared" si="14"/>
        <v>OK</v>
      </c>
      <c r="P273" t="s">
        <v>30</v>
      </c>
      <c r="Q273" t="s">
        <v>132</v>
      </c>
      <c r="R273" t="s">
        <v>133</v>
      </c>
      <c r="S273" t="s">
        <v>132</v>
      </c>
      <c r="T273" t="s">
        <v>133</v>
      </c>
      <c r="U273" t="s">
        <v>133</v>
      </c>
      <c r="V273" t="s">
        <v>133</v>
      </c>
      <c r="W273" t="s">
        <v>5</v>
      </c>
      <c r="X273">
        <v>0</v>
      </c>
    </row>
    <row r="274" spans="1:24" hidden="1" x14ac:dyDescent="0.3">
      <c r="A274" s="50" t="str">
        <f>B274&amp;"_"&amp;C274</f>
        <v>PROTECTION_PRM_LCTN</v>
      </c>
      <c r="B274" t="s">
        <v>161</v>
      </c>
      <c r="C274" s="10" t="s">
        <v>469</v>
      </c>
      <c r="D274" t="s">
        <v>6</v>
      </c>
      <c r="E274" t="s">
        <v>33</v>
      </c>
      <c r="F274" t="s">
        <v>149</v>
      </c>
      <c r="G274" t="s">
        <v>384</v>
      </c>
      <c r="I274" t="s">
        <v>26</v>
      </c>
      <c r="J274" s="15">
        <v>45670</v>
      </c>
      <c r="K274" t="s">
        <v>38</v>
      </c>
      <c r="L274" t="s">
        <v>130</v>
      </c>
      <c r="M274" t="s">
        <v>470</v>
      </c>
      <c r="N274" s="15">
        <v>45471</v>
      </c>
      <c r="O274" s="15">
        <v>45646</v>
      </c>
      <c r="P274" t="s">
        <v>24</v>
      </c>
      <c r="Q274" t="s">
        <v>132</v>
      </c>
      <c r="R274" t="s">
        <v>133</v>
      </c>
      <c r="S274" t="s">
        <v>133</v>
      </c>
      <c r="T274" t="s">
        <v>133</v>
      </c>
      <c r="U274" t="s">
        <v>133</v>
      </c>
      <c r="V274" t="s">
        <v>133</v>
      </c>
      <c r="W274" t="s">
        <v>5</v>
      </c>
      <c r="X274">
        <v>0</v>
      </c>
    </row>
    <row r="275" spans="1:24" hidden="1" x14ac:dyDescent="0.3">
      <c r="A275" s="50" t="str">
        <f t="shared" si="15"/>
        <v>INSTRUMENT_PRMRY_ASST_CLSSF</v>
      </c>
      <c r="B275" t="s">
        <v>128</v>
      </c>
      <c r="C275" t="s">
        <v>471</v>
      </c>
      <c r="D275" t="s">
        <v>6</v>
      </c>
      <c r="E275" t="s">
        <v>38</v>
      </c>
      <c r="F275" t="s">
        <v>130</v>
      </c>
      <c r="G275" t="s">
        <v>131</v>
      </c>
      <c r="I275" t="s">
        <v>26</v>
      </c>
      <c r="J275" s="15">
        <v>45450</v>
      </c>
      <c r="K275" t="s">
        <v>38</v>
      </c>
      <c r="L275" t="str">
        <f t="shared" ref="L275:L286" si="16">F275</f>
        <v>OK</v>
      </c>
      <c r="P275" t="s">
        <v>30</v>
      </c>
      <c r="Q275" t="s">
        <v>132</v>
      </c>
      <c r="R275" t="s">
        <v>133</v>
      </c>
      <c r="S275" t="s">
        <v>132</v>
      </c>
      <c r="T275" t="s">
        <v>133</v>
      </c>
      <c r="U275" t="s">
        <v>133</v>
      </c>
      <c r="V275" t="s">
        <v>133</v>
      </c>
      <c r="W275" t="s">
        <v>5</v>
      </c>
      <c r="X275">
        <v>0</v>
      </c>
    </row>
    <row r="276" spans="1:24" hidden="1" x14ac:dyDescent="0.3">
      <c r="A276" s="50" t="str">
        <f t="shared" si="15"/>
        <v>INSTRUMENT_PRPS</v>
      </c>
      <c r="B276" t="s">
        <v>128</v>
      </c>
      <c r="C276" t="s">
        <v>472</v>
      </c>
      <c r="D276" t="s">
        <v>14</v>
      </c>
      <c r="E276" t="s">
        <v>38</v>
      </c>
      <c r="F276" t="s">
        <v>130</v>
      </c>
      <c r="G276" t="s">
        <v>131</v>
      </c>
      <c r="I276" t="s">
        <v>26</v>
      </c>
      <c r="J276" s="15">
        <v>45450</v>
      </c>
      <c r="K276" t="s">
        <v>38</v>
      </c>
      <c r="L276" t="str">
        <f t="shared" si="16"/>
        <v>OK</v>
      </c>
      <c r="P276" t="s">
        <v>30</v>
      </c>
      <c r="Q276" t="s">
        <v>132</v>
      </c>
      <c r="R276" t="s">
        <v>133</v>
      </c>
      <c r="S276" t="s">
        <v>133</v>
      </c>
      <c r="T276" t="s">
        <v>133</v>
      </c>
      <c r="U276" t="s">
        <v>133</v>
      </c>
      <c r="V276" t="s">
        <v>132</v>
      </c>
      <c r="W276" t="s">
        <v>5</v>
      </c>
      <c r="X276" t="s">
        <v>135</v>
      </c>
    </row>
    <row r="277" spans="1:24" hidden="1" x14ac:dyDescent="0.3">
      <c r="A277" s="50" t="str">
        <f t="shared" si="15"/>
        <v>ENTITY_PRSN_TYP</v>
      </c>
      <c r="B277" t="s">
        <v>142</v>
      </c>
      <c r="C277" t="s">
        <v>473</v>
      </c>
      <c r="D277" t="s">
        <v>6</v>
      </c>
      <c r="E277" t="s">
        <v>31</v>
      </c>
      <c r="F277" t="s">
        <v>130</v>
      </c>
      <c r="G277" t="s">
        <v>175</v>
      </c>
      <c r="I277" t="s">
        <v>29</v>
      </c>
      <c r="J277" s="15">
        <v>45460</v>
      </c>
      <c r="K277" t="s">
        <v>33</v>
      </c>
      <c r="L277" t="str">
        <f t="shared" si="16"/>
        <v>OK</v>
      </c>
      <c r="N277" s="15">
        <v>45303</v>
      </c>
      <c r="O277" s="15">
        <v>45372</v>
      </c>
      <c r="P277" t="s">
        <v>19</v>
      </c>
      <c r="Q277" t="s">
        <v>132</v>
      </c>
      <c r="R277" t="s">
        <v>133</v>
      </c>
      <c r="S277" t="s">
        <v>133</v>
      </c>
      <c r="T277" t="s">
        <v>133</v>
      </c>
      <c r="U277" t="s">
        <v>133</v>
      </c>
      <c r="V277" t="s">
        <v>133</v>
      </c>
      <c r="W277" t="s">
        <v>5</v>
      </c>
      <c r="X277">
        <v>0</v>
      </c>
    </row>
    <row r="278" spans="1:24" hidden="1" x14ac:dyDescent="0.3">
      <c r="A278" s="50" t="str">
        <f t="shared" si="15"/>
        <v>INSTRUMENT_PRT_LCR_BFFR</v>
      </c>
      <c r="B278" t="s">
        <v>128</v>
      </c>
      <c r="C278" t="s">
        <v>474</v>
      </c>
      <c r="D278" t="s">
        <v>6</v>
      </c>
      <c r="E278" t="s">
        <v>38</v>
      </c>
      <c r="F278" t="s">
        <v>130</v>
      </c>
      <c r="G278" t="s">
        <v>131</v>
      </c>
      <c r="I278" t="s">
        <v>26</v>
      </c>
      <c r="J278" s="15">
        <v>45450</v>
      </c>
      <c r="K278" t="s">
        <v>38</v>
      </c>
      <c r="L278" t="str">
        <f t="shared" si="16"/>
        <v>OK</v>
      </c>
      <c r="P278" t="s">
        <v>30</v>
      </c>
      <c r="Q278" t="s">
        <v>132</v>
      </c>
      <c r="R278" t="s">
        <v>133</v>
      </c>
      <c r="S278" t="s">
        <v>133</v>
      </c>
      <c r="T278" t="s">
        <v>133</v>
      </c>
      <c r="U278" t="s">
        <v>133</v>
      </c>
      <c r="V278" t="s">
        <v>133</v>
      </c>
      <c r="W278" t="s">
        <v>5</v>
      </c>
      <c r="X278">
        <v>0</v>
      </c>
    </row>
    <row r="279" spans="1:24" hidden="1" x14ac:dyDescent="0.3">
      <c r="A279" s="50" t="str">
        <f t="shared" si="15"/>
        <v>INSTR_PROTECTION_PRTCTN_ALLCTD_VL</v>
      </c>
      <c r="B279" t="s">
        <v>194</v>
      </c>
      <c r="C279" t="s">
        <v>475</v>
      </c>
      <c r="D279" t="s">
        <v>14</v>
      </c>
      <c r="E279" t="s">
        <v>38</v>
      </c>
      <c r="F279" t="s">
        <v>130</v>
      </c>
      <c r="G279" t="s">
        <v>131</v>
      </c>
      <c r="I279" t="s">
        <v>26</v>
      </c>
      <c r="J279" s="15">
        <v>45450</v>
      </c>
      <c r="K279" t="s">
        <v>38</v>
      </c>
      <c r="L279" t="str">
        <f t="shared" si="16"/>
        <v>OK</v>
      </c>
      <c r="P279" t="s">
        <v>30</v>
      </c>
      <c r="Q279" t="s">
        <v>132</v>
      </c>
      <c r="R279" t="s">
        <v>133</v>
      </c>
      <c r="S279" t="s">
        <v>132</v>
      </c>
      <c r="T279" t="s">
        <v>133</v>
      </c>
      <c r="U279" t="s">
        <v>133</v>
      </c>
      <c r="V279" t="s">
        <v>133</v>
      </c>
      <c r="W279" t="s">
        <v>5</v>
      </c>
      <c r="X279">
        <v>0</v>
      </c>
    </row>
    <row r="280" spans="1:24" hidden="1" x14ac:dyDescent="0.3">
      <c r="A280" s="50" t="str">
        <f t="shared" si="15"/>
        <v>PROTECTION_PRTCTN_CLLD</v>
      </c>
      <c r="B280" t="s">
        <v>161</v>
      </c>
      <c r="C280" t="s">
        <v>476</v>
      </c>
      <c r="D280" t="s">
        <v>14</v>
      </c>
      <c r="E280" t="s">
        <v>36</v>
      </c>
      <c r="F280" t="s">
        <v>149</v>
      </c>
      <c r="G280" t="s">
        <v>163</v>
      </c>
      <c r="I280" t="s">
        <v>29</v>
      </c>
      <c r="J280" s="15">
        <v>45450</v>
      </c>
      <c r="K280" t="s">
        <v>36</v>
      </c>
      <c r="L280" t="str">
        <f t="shared" si="16"/>
        <v>NOK</v>
      </c>
      <c r="P280" t="s">
        <v>8</v>
      </c>
      <c r="Q280" t="s">
        <v>132</v>
      </c>
      <c r="R280" t="s">
        <v>133</v>
      </c>
      <c r="S280" t="s">
        <v>133</v>
      </c>
      <c r="T280" t="s">
        <v>133</v>
      </c>
      <c r="U280" t="s">
        <v>133</v>
      </c>
      <c r="V280" t="s">
        <v>133</v>
      </c>
      <c r="W280" t="s">
        <v>5</v>
      </c>
      <c r="X280">
        <v>0</v>
      </c>
    </row>
    <row r="281" spans="1:24" hidden="1" x14ac:dyDescent="0.3">
      <c r="A281" s="50" t="str">
        <f t="shared" si="15"/>
        <v>PROTECTION_PRTCTN_FRCD_SL_VL</v>
      </c>
      <c r="B281" t="s">
        <v>161</v>
      </c>
      <c r="C281" t="s">
        <v>477</v>
      </c>
      <c r="D281" t="s">
        <v>14</v>
      </c>
      <c r="E281" t="s">
        <v>38</v>
      </c>
      <c r="F281" t="s">
        <v>130</v>
      </c>
      <c r="G281" t="s">
        <v>131</v>
      </c>
      <c r="I281" t="s">
        <v>26</v>
      </c>
      <c r="J281" s="15">
        <v>45450</v>
      </c>
      <c r="K281" t="s">
        <v>38</v>
      </c>
      <c r="L281" t="str">
        <f t="shared" si="16"/>
        <v>OK</v>
      </c>
      <c r="P281" t="s">
        <v>30</v>
      </c>
      <c r="Q281" t="s">
        <v>132</v>
      </c>
      <c r="R281" t="s">
        <v>133</v>
      </c>
      <c r="S281" t="s">
        <v>133</v>
      </c>
      <c r="T281" t="s">
        <v>133</v>
      </c>
      <c r="U281" t="s">
        <v>133</v>
      </c>
      <c r="V281" t="s">
        <v>133</v>
      </c>
      <c r="W281" t="s">
        <v>5</v>
      </c>
      <c r="X281">
        <v>0</v>
      </c>
    </row>
    <row r="282" spans="1:24" hidden="1" x14ac:dyDescent="0.3">
      <c r="A282" s="50" t="str">
        <f t="shared" si="15"/>
        <v>INSTR_PROTECTION_PRTCTN_ID</v>
      </c>
      <c r="B282" t="s">
        <v>194</v>
      </c>
      <c r="C282" t="s">
        <v>478</v>
      </c>
      <c r="D282" t="s">
        <v>14</v>
      </c>
      <c r="E282" t="s">
        <v>36</v>
      </c>
      <c r="F282" t="s">
        <v>149</v>
      </c>
      <c r="G282" t="s">
        <v>163</v>
      </c>
      <c r="I282" t="s">
        <v>29</v>
      </c>
      <c r="J282" s="15">
        <v>45450</v>
      </c>
      <c r="K282" t="s">
        <v>36</v>
      </c>
      <c r="L282" t="str">
        <f t="shared" si="16"/>
        <v>NOK</v>
      </c>
      <c r="P282" t="s">
        <v>8</v>
      </c>
      <c r="Q282" t="s">
        <v>132</v>
      </c>
      <c r="R282" t="s">
        <v>132</v>
      </c>
      <c r="S282" t="s">
        <v>132</v>
      </c>
      <c r="T282" t="s">
        <v>133</v>
      </c>
      <c r="U282" t="s">
        <v>133</v>
      </c>
      <c r="V282" t="s">
        <v>133</v>
      </c>
      <c r="W282" t="s">
        <v>5</v>
      </c>
      <c r="X282">
        <v>0</v>
      </c>
    </row>
    <row r="283" spans="1:24" hidden="1" x14ac:dyDescent="0.3">
      <c r="A283" s="50" t="str">
        <f t="shared" si="15"/>
        <v>PROTECTION_PRTCTN_ID</v>
      </c>
      <c r="B283" t="s">
        <v>161</v>
      </c>
      <c r="C283" t="s">
        <v>478</v>
      </c>
      <c r="D283" t="s">
        <v>14</v>
      </c>
      <c r="E283" t="s">
        <v>36</v>
      </c>
      <c r="F283" t="s">
        <v>149</v>
      </c>
      <c r="G283" t="s">
        <v>163</v>
      </c>
      <c r="I283" t="s">
        <v>29</v>
      </c>
      <c r="J283" s="15">
        <v>45450</v>
      </c>
      <c r="K283" t="s">
        <v>36</v>
      </c>
      <c r="L283" t="str">
        <f t="shared" si="16"/>
        <v>NOK</v>
      </c>
      <c r="P283" t="s">
        <v>8</v>
      </c>
      <c r="Q283" t="s">
        <v>132</v>
      </c>
      <c r="R283" t="s">
        <v>132</v>
      </c>
      <c r="S283" t="s">
        <v>132</v>
      </c>
      <c r="T283" t="s">
        <v>133</v>
      </c>
      <c r="U283" t="s">
        <v>132</v>
      </c>
      <c r="V283" t="s">
        <v>133</v>
      </c>
      <c r="W283" t="s">
        <v>5</v>
      </c>
      <c r="X283">
        <v>0</v>
      </c>
    </row>
    <row r="284" spans="1:24" hidden="1" x14ac:dyDescent="0.3">
      <c r="A284" s="50" t="str">
        <f t="shared" si="15"/>
        <v>PROTECTION_PRTCTN_PRVDR_ID</v>
      </c>
      <c r="B284" t="s">
        <v>161</v>
      </c>
      <c r="C284" t="s">
        <v>479</v>
      </c>
      <c r="D284" t="s">
        <v>14</v>
      </c>
      <c r="E284" t="s">
        <v>36</v>
      </c>
      <c r="F284" t="s">
        <v>149</v>
      </c>
      <c r="G284" t="s">
        <v>163</v>
      </c>
      <c r="I284" t="s">
        <v>29</v>
      </c>
      <c r="J284" s="15">
        <v>45450</v>
      </c>
      <c r="K284" t="s">
        <v>36</v>
      </c>
      <c r="L284" t="str">
        <f t="shared" si="16"/>
        <v>NOK</v>
      </c>
      <c r="P284" t="s">
        <v>8</v>
      </c>
      <c r="Q284" t="s">
        <v>132</v>
      </c>
      <c r="R284" t="s">
        <v>133</v>
      </c>
      <c r="S284" t="s">
        <v>133</v>
      </c>
      <c r="T284" t="s">
        <v>133</v>
      </c>
      <c r="U284" t="s">
        <v>133</v>
      </c>
      <c r="V284" t="s">
        <v>133</v>
      </c>
      <c r="W284" t="s">
        <v>5</v>
      </c>
      <c r="X284">
        <v>0</v>
      </c>
    </row>
    <row r="285" spans="1:24" hidden="1" x14ac:dyDescent="0.3">
      <c r="A285" s="50" t="str">
        <f t="shared" si="15"/>
        <v>PROTECTION_PRTCTN_TYP_PBLC_GRNT_SCHM_C19</v>
      </c>
      <c r="B285" t="s">
        <v>161</v>
      </c>
      <c r="C285" t="s">
        <v>480</v>
      </c>
      <c r="D285" t="s">
        <v>6</v>
      </c>
      <c r="E285" t="s">
        <v>36</v>
      </c>
      <c r="F285" t="s">
        <v>149</v>
      </c>
      <c r="G285" t="s">
        <v>163</v>
      </c>
      <c r="I285" t="s">
        <v>29</v>
      </c>
      <c r="J285" s="15">
        <v>45450</v>
      </c>
      <c r="K285" t="s">
        <v>36</v>
      </c>
      <c r="L285" t="str">
        <f t="shared" si="16"/>
        <v>NOK</v>
      </c>
      <c r="P285" t="s">
        <v>8</v>
      </c>
      <c r="Q285" t="s">
        <v>132</v>
      </c>
      <c r="R285" t="s">
        <v>133</v>
      </c>
      <c r="S285" t="s">
        <v>133</v>
      </c>
      <c r="T285" t="s">
        <v>133</v>
      </c>
      <c r="U285" t="s">
        <v>133</v>
      </c>
      <c r="V285" t="s">
        <v>133</v>
      </c>
      <c r="W285" t="s">
        <v>5</v>
      </c>
      <c r="X285">
        <v>0</v>
      </c>
    </row>
    <row r="286" spans="1:24" hidden="1" x14ac:dyDescent="0.3">
      <c r="A286" s="50" t="str">
        <f t="shared" si="15"/>
        <v>ENTITY_DT_EXTRNL_RTNG</v>
      </c>
      <c r="B286" t="s">
        <v>142</v>
      </c>
      <c r="C286" s="10" t="s">
        <v>481</v>
      </c>
      <c r="D286" t="s">
        <v>14</v>
      </c>
      <c r="E286" t="s">
        <v>25</v>
      </c>
      <c r="F286" t="s">
        <v>130</v>
      </c>
      <c r="G286" t="s">
        <v>329</v>
      </c>
      <c r="H286" t="s">
        <v>330</v>
      </c>
      <c r="I286" t="s">
        <v>32</v>
      </c>
      <c r="J286" s="15">
        <v>45450</v>
      </c>
      <c r="K286" t="s">
        <v>25</v>
      </c>
      <c r="L286" t="str">
        <f t="shared" si="16"/>
        <v>OK</v>
      </c>
      <c r="P286" t="s">
        <v>34</v>
      </c>
      <c r="Q286" t="s">
        <v>132</v>
      </c>
      <c r="R286" t="s">
        <v>133</v>
      </c>
      <c r="S286" t="s">
        <v>133</v>
      </c>
      <c r="T286" t="s">
        <v>133</v>
      </c>
      <c r="U286" t="s">
        <v>133</v>
      </c>
      <c r="V286" t="s">
        <v>132</v>
      </c>
      <c r="W286" t="s">
        <v>138</v>
      </c>
      <c r="X286" t="s">
        <v>153</v>
      </c>
    </row>
    <row r="287" spans="1:24" hidden="1" x14ac:dyDescent="0.3">
      <c r="A287" s="50" t="str">
        <f t="shared" si="15"/>
        <v>PROTECTION_ORGNL_PRTCTN_VL</v>
      </c>
      <c r="B287" t="s">
        <v>161</v>
      </c>
      <c r="C287" s="10" t="s">
        <v>41</v>
      </c>
      <c r="D287" t="s">
        <v>14</v>
      </c>
      <c r="E287" t="s">
        <v>35</v>
      </c>
      <c r="F287" t="s">
        <v>130</v>
      </c>
      <c r="G287" t="s">
        <v>306</v>
      </c>
      <c r="H287" t="s">
        <v>482</v>
      </c>
      <c r="I287" t="s">
        <v>32</v>
      </c>
      <c r="J287" s="15">
        <v>45670</v>
      </c>
      <c r="K287" t="s">
        <v>33</v>
      </c>
      <c r="L287" t="s">
        <v>149</v>
      </c>
      <c r="M287" t="s">
        <v>483</v>
      </c>
      <c r="N287" s="15">
        <v>45555</v>
      </c>
      <c r="P287" t="s">
        <v>24</v>
      </c>
      <c r="Q287" t="s">
        <v>132</v>
      </c>
      <c r="R287" t="s">
        <v>133</v>
      </c>
      <c r="S287" t="s">
        <v>132</v>
      </c>
      <c r="T287" t="s">
        <v>133</v>
      </c>
      <c r="U287" t="s">
        <v>133</v>
      </c>
      <c r="V287" t="s">
        <v>133</v>
      </c>
      <c r="W287" t="s">
        <v>5</v>
      </c>
      <c r="X287">
        <v>0</v>
      </c>
    </row>
    <row r="288" spans="1:24" hidden="1" x14ac:dyDescent="0.3">
      <c r="A288" s="50" t="str">
        <f t="shared" si="15"/>
        <v>PROTECTION_PRTCTN_VL_PRVS</v>
      </c>
      <c r="B288" t="s">
        <v>161</v>
      </c>
      <c r="C288" t="s">
        <v>484</v>
      </c>
      <c r="D288" t="s">
        <v>14</v>
      </c>
      <c r="E288" t="s">
        <v>38</v>
      </c>
      <c r="F288" t="s">
        <v>130</v>
      </c>
      <c r="G288" t="s">
        <v>131</v>
      </c>
      <c r="I288" t="s">
        <v>26</v>
      </c>
      <c r="J288" s="15">
        <v>45450</v>
      </c>
      <c r="K288" t="s">
        <v>38</v>
      </c>
      <c r="L288" t="str">
        <f t="shared" ref="L288:L310" si="17">F288</f>
        <v>OK</v>
      </c>
      <c r="P288" t="s">
        <v>30</v>
      </c>
      <c r="Q288" t="s">
        <v>132</v>
      </c>
      <c r="R288" t="s">
        <v>133</v>
      </c>
      <c r="S288" t="s">
        <v>133</v>
      </c>
      <c r="T288" t="s">
        <v>133</v>
      </c>
      <c r="U288" t="s">
        <v>133</v>
      </c>
      <c r="V288" t="s">
        <v>133</v>
      </c>
      <c r="W288" t="s">
        <v>5</v>
      </c>
      <c r="X288">
        <v>0</v>
      </c>
    </row>
    <row r="289" spans="1:24" hidden="1" x14ac:dyDescent="0.3">
      <c r="A289" s="50" t="str">
        <f t="shared" si="15"/>
        <v>PROTECTION_PRTCTN_VLTN_APPRCH</v>
      </c>
      <c r="B289" t="s">
        <v>161</v>
      </c>
      <c r="C289" t="s">
        <v>485</v>
      </c>
      <c r="D289" t="s">
        <v>14</v>
      </c>
      <c r="E289" t="s">
        <v>36</v>
      </c>
      <c r="F289" t="s">
        <v>149</v>
      </c>
      <c r="G289" t="s">
        <v>163</v>
      </c>
      <c r="I289" t="s">
        <v>29</v>
      </c>
      <c r="J289" s="15">
        <v>45450</v>
      </c>
      <c r="K289" t="s">
        <v>36</v>
      </c>
      <c r="L289" t="str">
        <f t="shared" si="17"/>
        <v>NOK</v>
      </c>
      <c r="P289" t="s">
        <v>8</v>
      </c>
      <c r="Q289" t="s">
        <v>132</v>
      </c>
      <c r="R289" t="s">
        <v>133</v>
      </c>
      <c r="S289" t="s">
        <v>133</v>
      </c>
      <c r="T289" t="s">
        <v>133</v>
      </c>
      <c r="U289" t="s">
        <v>133</v>
      </c>
      <c r="V289" t="s">
        <v>133</v>
      </c>
      <c r="W289" t="s">
        <v>5</v>
      </c>
      <c r="X289">
        <v>0</v>
      </c>
    </row>
    <row r="290" spans="1:24" hidden="1" x14ac:dyDescent="0.3">
      <c r="A290" s="50" t="str">
        <f t="shared" si="15"/>
        <v>INSTRUMENT_PRVSNS_OFF_BLNC_SHT</v>
      </c>
      <c r="B290" t="s">
        <v>128</v>
      </c>
      <c r="C290" t="s">
        <v>486</v>
      </c>
      <c r="D290" t="s">
        <v>14</v>
      </c>
      <c r="E290" t="s">
        <v>38</v>
      </c>
      <c r="F290" t="s">
        <v>130</v>
      </c>
      <c r="G290" t="s">
        <v>131</v>
      </c>
      <c r="I290" t="s">
        <v>26</v>
      </c>
      <c r="J290" s="15">
        <v>45450</v>
      </c>
      <c r="K290" t="s">
        <v>38</v>
      </c>
      <c r="L290" t="str">
        <f t="shared" si="17"/>
        <v>OK</v>
      </c>
      <c r="P290" t="s">
        <v>30</v>
      </c>
      <c r="Q290" t="s">
        <v>132</v>
      </c>
      <c r="R290" t="s">
        <v>132</v>
      </c>
      <c r="S290" t="s">
        <v>133</v>
      </c>
      <c r="T290" t="s">
        <v>133</v>
      </c>
      <c r="U290" t="s">
        <v>133</v>
      </c>
      <c r="V290" t="s">
        <v>133</v>
      </c>
      <c r="W290" t="s">
        <v>5</v>
      </c>
      <c r="X290">
        <v>0</v>
      </c>
    </row>
    <row r="291" spans="1:24" hidden="1" x14ac:dyDescent="0.3">
      <c r="A291" s="50" t="str">
        <f t="shared" si="15"/>
        <v>INSTRUMENT_PYMNT_FRQNCY</v>
      </c>
      <c r="B291" t="s">
        <v>128</v>
      </c>
      <c r="C291" s="11" t="s">
        <v>487</v>
      </c>
      <c r="D291" t="s">
        <v>14</v>
      </c>
      <c r="E291" t="s">
        <v>35</v>
      </c>
      <c r="F291" t="s">
        <v>130</v>
      </c>
      <c r="G291" t="s">
        <v>488</v>
      </c>
      <c r="H291" t="s">
        <v>489</v>
      </c>
      <c r="I291" t="s">
        <v>32</v>
      </c>
      <c r="J291" s="15">
        <v>45450</v>
      </c>
      <c r="K291" t="s">
        <v>35</v>
      </c>
      <c r="L291" t="str">
        <f t="shared" si="17"/>
        <v>OK</v>
      </c>
      <c r="P291" t="s">
        <v>39</v>
      </c>
      <c r="Q291" t="s">
        <v>132</v>
      </c>
      <c r="R291" t="s">
        <v>133</v>
      </c>
      <c r="S291" t="s">
        <v>133</v>
      </c>
      <c r="T291" t="s">
        <v>133</v>
      </c>
      <c r="U291" t="s">
        <v>133</v>
      </c>
      <c r="V291" t="s">
        <v>133</v>
      </c>
      <c r="W291" t="s">
        <v>5</v>
      </c>
      <c r="X291">
        <v>0</v>
      </c>
    </row>
    <row r="292" spans="1:24" hidden="1" x14ac:dyDescent="0.3">
      <c r="A292" s="50" t="str">
        <f t="shared" si="15"/>
        <v>INSTRUMENT_PYMNT_INTRST_ONLY</v>
      </c>
      <c r="B292" t="s">
        <v>128</v>
      </c>
      <c r="C292" s="11" t="s">
        <v>490</v>
      </c>
      <c r="D292" t="s">
        <v>14</v>
      </c>
      <c r="E292" t="s">
        <v>28</v>
      </c>
      <c r="F292" t="s">
        <v>149</v>
      </c>
      <c r="G292" t="s">
        <v>159</v>
      </c>
      <c r="H292" t="s">
        <v>491</v>
      </c>
      <c r="I292" t="s">
        <v>32</v>
      </c>
      <c r="J292" s="15">
        <v>45450</v>
      </c>
      <c r="K292" t="s">
        <v>28</v>
      </c>
      <c r="L292" t="str">
        <f t="shared" si="17"/>
        <v>NOK</v>
      </c>
      <c r="P292" t="s">
        <v>39</v>
      </c>
      <c r="Q292" t="s">
        <v>132</v>
      </c>
      <c r="R292" t="s">
        <v>133</v>
      </c>
      <c r="S292" t="s">
        <v>133</v>
      </c>
      <c r="T292" t="s">
        <v>133</v>
      </c>
      <c r="U292" t="s">
        <v>133</v>
      </c>
      <c r="V292" t="s">
        <v>132</v>
      </c>
      <c r="W292" t="s">
        <v>138</v>
      </c>
      <c r="X292" t="s">
        <v>222</v>
      </c>
    </row>
    <row r="293" spans="1:24" hidden="1" x14ac:dyDescent="0.3">
      <c r="A293" s="50" t="str">
        <f t="shared" si="15"/>
        <v>INSTRUMENT_RCRS</v>
      </c>
      <c r="B293" t="s">
        <v>128</v>
      </c>
      <c r="C293" t="s">
        <v>492</v>
      </c>
      <c r="D293" t="s">
        <v>14</v>
      </c>
      <c r="E293" t="s">
        <v>38</v>
      </c>
      <c r="F293" t="s">
        <v>130</v>
      </c>
      <c r="G293" t="s">
        <v>131</v>
      </c>
      <c r="I293" t="s">
        <v>26</v>
      </c>
      <c r="J293" s="15">
        <v>45450</v>
      </c>
      <c r="K293" t="s">
        <v>38</v>
      </c>
      <c r="L293" t="str">
        <f t="shared" si="17"/>
        <v>OK</v>
      </c>
      <c r="P293" t="s">
        <v>30</v>
      </c>
      <c r="Q293" t="s">
        <v>132</v>
      </c>
      <c r="R293" t="s">
        <v>133</v>
      </c>
      <c r="S293" t="s">
        <v>133</v>
      </c>
      <c r="T293" t="s">
        <v>133</v>
      </c>
      <c r="U293" t="s">
        <v>133</v>
      </c>
      <c r="V293" t="s">
        <v>133</v>
      </c>
      <c r="W293" t="s">
        <v>5</v>
      </c>
      <c r="X293">
        <v>0</v>
      </c>
    </row>
    <row r="294" spans="1:24" hidden="1" x14ac:dyDescent="0.3">
      <c r="A294" s="50" t="str">
        <f t="shared" si="15"/>
        <v>INSTRUMENT_RCVD_AMRTSTN_12M</v>
      </c>
      <c r="B294" t="s">
        <v>128</v>
      </c>
      <c r="C294" t="s">
        <v>493</v>
      </c>
      <c r="D294" t="s">
        <v>14</v>
      </c>
      <c r="E294" t="s">
        <v>36</v>
      </c>
      <c r="F294" t="s">
        <v>149</v>
      </c>
      <c r="G294" t="s">
        <v>163</v>
      </c>
      <c r="I294" t="s">
        <v>29</v>
      </c>
      <c r="J294" s="15">
        <v>45450</v>
      </c>
      <c r="K294" t="s">
        <v>36</v>
      </c>
      <c r="L294" t="str">
        <f t="shared" si="17"/>
        <v>NOK</v>
      </c>
      <c r="P294" t="s">
        <v>8</v>
      </c>
      <c r="Q294" t="s">
        <v>132</v>
      </c>
      <c r="R294" t="s">
        <v>133</v>
      </c>
      <c r="S294" t="s">
        <v>133</v>
      </c>
      <c r="T294" t="s">
        <v>133</v>
      </c>
      <c r="U294" t="s">
        <v>133</v>
      </c>
      <c r="V294" t="s">
        <v>132</v>
      </c>
      <c r="W294" t="s">
        <v>138</v>
      </c>
      <c r="X294" t="s">
        <v>166</v>
      </c>
    </row>
    <row r="295" spans="1:24" hidden="1" x14ac:dyDescent="0.3">
      <c r="A295" s="50" t="str">
        <f t="shared" si="15"/>
        <v>INSTRUMENT_RCVD_AMRTSTN_24M</v>
      </c>
      <c r="B295" t="s">
        <v>128</v>
      </c>
      <c r="C295" t="s">
        <v>494</v>
      </c>
      <c r="D295" t="s">
        <v>14</v>
      </c>
      <c r="E295" t="s">
        <v>38</v>
      </c>
      <c r="F295" t="s">
        <v>130</v>
      </c>
      <c r="G295" t="s">
        <v>131</v>
      </c>
      <c r="I295" t="s">
        <v>26</v>
      </c>
      <c r="J295" s="15">
        <v>45450</v>
      </c>
      <c r="K295" t="s">
        <v>38</v>
      </c>
      <c r="L295" t="str">
        <f t="shared" si="17"/>
        <v>OK</v>
      </c>
      <c r="P295" t="s">
        <v>30</v>
      </c>
      <c r="Q295" t="s">
        <v>132</v>
      </c>
      <c r="R295" t="s">
        <v>133</v>
      </c>
      <c r="S295" t="s">
        <v>133</v>
      </c>
      <c r="T295" t="s">
        <v>133</v>
      </c>
      <c r="U295" t="s">
        <v>133</v>
      </c>
      <c r="V295" t="s">
        <v>132</v>
      </c>
      <c r="W295" t="s">
        <v>5</v>
      </c>
      <c r="X295" t="s">
        <v>135</v>
      </c>
    </row>
    <row r="296" spans="1:24" hidden="1" x14ac:dyDescent="0.3">
      <c r="A296" s="50" t="str">
        <f t="shared" si="15"/>
        <v>PROTECTION_DT_CNSTRCTN_STTS</v>
      </c>
      <c r="B296" t="s">
        <v>161</v>
      </c>
      <c r="C296" s="11" t="s">
        <v>67</v>
      </c>
      <c r="D296" t="s">
        <v>6</v>
      </c>
      <c r="E296" t="s">
        <v>25</v>
      </c>
      <c r="F296" t="s">
        <v>149</v>
      </c>
      <c r="G296" t="s">
        <v>257</v>
      </c>
      <c r="H296" t="s">
        <v>495</v>
      </c>
      <c r="I296" t="s">
        <v>32</v>
      </c>
      <c r="J296" s="15">
        <v>45568</v>
      </c>
      <c r="K296" t="s">
        <v>25</v>
      </c>
      <c r="L296" t="str">
        <f t="shared" si="17"/>
        <v>NOK</v>
      </c>
      <c r="P296" t="s">
        <v>24</v>
      </c>
      <c r="Q296" t="s">
        <v>132</v>
      </c>
      <c r="R296" t="s">
        <v>133</v>
      </c>
      <c r="S296" t="s">
        <v>133</v>
      </c>
      <c r="T296" t="s">
        <v>133</v>
      </c>
      <c r="U296" t="s">
        <v>133</v>
      </c>
      <c r="V296" t="s">
        <v>133</v>
      </c>
      <c r="W296" t="s">
        <v>5</v>
      </c>
      <c r="X296">
        <v>0</v>
      </c>
    </row>
    <row r="297" spans="1:24" hidden="1" x14ac:dyDescent="0.3">
      <c r="A297" s="50" t="str">
        <f t="shared" si="15"/>
        <v>INSTRUMENT_DFLT_STTS_INSTRMNT</v>
      </c>
      <c r="B297" t="s">
        <v>128</v>
      </c>
      <c r="C297" s="11" t="s">
        <v>496</v>
      </c>
      <c r="D297" t="s">
        <v>14</v>
      </c>
      <c r="E297" t="s">
        <v>25</v>
      </c>
      <c r="F297" t="s">
        <v>149</v>
      </c>
      <c r="G297" t="s">
        <v>497</v>
      </c>
      <c r="I297" t="s">
        <v>32</v>
      </c>
      <c r="J297" s="15">
        <v>45450</v>
      </c>
      <c r="K297" t="s">
        <v>25</v>
      </c>
      <c r="L297" t="str">
        <f t="shared" si="17"/>
        <v>NOK</v>
      </c>
      <c r="P297" t="s">
        <v>24</v>
      </c>
      <c r="Q297" t="s">
        <v>132</v>
      </c>
      <c r="R297" t="s">
        <v>132</v>
      </c>
      <c r="S297" t="s">
        <v>132</v>
      </c>
      <c r="T297" t="s">
        <v>133</v>
      </c>
      <c r="U297" t="s">
        <v>133</v>
      </c>
      <c r="V297" t="s">
        <v>132</v>
      </c>
      <c r="W297" t="s">
        <v>138</v>
      </c>
      <c r="X297" t="s">
        <v>153</v>
      </c>
    </row>
    <row r="298" spans="1:24" x14ac:dyDescent="0.3">
      <c r="A298" s="50" t="str">
        <f t="shared" si="15"/>
        <v>INSTRUMENT_CMMTMNT_INSTRMNT</v>
      </c>
      <c r="B298" t="s">
        <v>128</v>
      </c>
      <c r="C298" t="s">
        <v>498</v>
      </c>
      <c r="D298" t="s">
        <v>14</v>
      </c>
      <c r="E298" t="s">
        <v>25</v>
      </c>
      <c r="F298" t="s">
        <v>130</v>
      </c>
      <c r="G298" t="s">
        <v>499</v>
      </c>
      <c r="H298" t="s">
        <v>500</v>
      </c>
      <c r="I298" t="s">
        <v>29</v>
      </c>
      <c r="J298" s="15">
        <v>45450</v>
      </c>
      <c r="K298" t="s">
        <v>25</v>
      </c>
      <c r="L298" t="str">
        <f t="shared" si="17"/>
        <v>OK</v>
      </c>
      <c r="P298" t="s">
        <v>13</v>
      </c>
      <c r="Q298" t="s">
        <v>132</v>
      </c>
      <c r="R298" t="s">
        <v>133</v>
      </c>
      <c r="S298" t="s">
        <v>133</v>
      </c>
      <c r="T298" t="s">
        <v>133</v>
      </c>
      <c r="U298" t="s">
        <v>133</v>
      </c>
      <c r="V298" t="s">
        <v>133</v>
      </c>
      <c r="W298" t="s">
        <v>5</v>
      </c>
      <c r="X298">
        <v>0</v>
      </c>
    </row>
    <row r="299" spans="1:24" hidden="1" x14ac:dyDescent="0.3">
      <c r="A299" s="50" t="str">
        <f t="shared" si="15"/>
        <v>INSTRUMENT_RFRNC_RT</v>
      </c>
      <c r="B299" t="s">
        <v>128</v>
      </c>
      <c r="C299" t="s">
        <v>501</v>
      </c>
      <c r="D299" t="s">
        <v>6</v>
      </c>
      <c r="E299" t="s">
        <v>38</v>
      </c>
      <c r="F299" t="s">
        <v>130</v>
      </c>
      <c r="G299" t="s">
        <v>131</v>
      </c>
      <c r="I299" t="s">
        <v>26</v>
      </c>
      <c r="J299" s="15">
        <v>45450</v>
      </c>
      <c r="K299" t="s">
        <v>38</v>
      </c>
      <c r="L299" t="str">
        <f t="shared" si="17"/>
        <v>OK</v>
      </c>
      <c r="P299" t="s">
        <v>30</v>
      </c>
      <c r="Q299" t="s">
        <v>132</v>
      </c>
      <c r="R299" t="s">
        <v>133</v>
      </c>
      <c r="S299" t="s">
        <v>133</v>
      </c>
      <c r="T299" t="s">
        <v>133</v>
      </c>
      <c r="U299" t="s">
        <v>133</v>
      </c>
      <c r="V299" t="s">
        <v>133</v>
      </c>
      <c r="W299" t="s">
        <v>5</v>
      </c>
      <c r="X299">
        <v>0</v>
      </c>
    </row>
    <row r="300" spans="1:24" hidden="1" x14ac:dyDescent="0.3">
      <c r="A300" s="50" t="str">
        <f t="shared" si="15"/>
        <v>PROTECTION_RL_ESTT_ADDRSS</v>
      </c>
      <c r="B300" t="s">
        <v>161</v>
      </c>
      <c r="C300" t="s">
        <v>502</v>
      </c>
      <c r="D300" t="s">
        <v>6</v>
      </c>
      <c r="E300" t="s">
        <v>36</v>
      </c>
      <c r="F300" t="s">
        <v>149</v>
      </c>
      <c r="G300" t="s">
        <v>163</v>
      </c>
      <c r="I300" t="s">
        <v>29</v>
      </c>
      <c r="J300" s="15">
        <v>45450</v>
      </c>
      <c r="K300" t="s">
        <v>36</v>
      </c>
      <c r="L300" t="str">
        <f t="shared" si="17"/>
        <v>NOK</v>
      </c>
      <c r="P300" t="s">
        <v>8</v>
      </c>
      <c r="Q300" t="s">
        <v>132</v>
      </c>
      <c r="R300" t="s">
        <v>133</v>
      </c>
      <c r="S300" t="s">
        <v>133</v>
      </c>
      <c r="T300" t="s">
        <v>133</v>
      </c>
      <c r="U300" t="s">
        <v>132</v>
      </c>
      <c r="V300" t="s">
        <v>133</v>
      </c>
      <c r="W300" t="s">
        <v>5</v>
      </c>
      <c r="X300">
        <v>0</v>
      </c>
    </row>
    <row r="301" spans="1:24" hidden="1" x14ac:dyDescent="0.3">
      <c r="A301" s="50" t="str">
        <f t="shared" si="15"/>
        <v>INSTRUMENT_CMLTV_RCVRS_SNC_DFLT_INSTRMNT</v>
      </c>
      <c r="B301" t="s">
        <v>128</v>
      </c>
      <c r="C301" t="s">
        <v>503</v>
      </c>
      <c r="D301" t="s">
        <v>14</v>
      </c>
      <c r="E301" t="s">
        <v>25</v>
      </c>
      <c r="F301" t="s">
        <v>130</v>
      </c>
      <c r="G301" t="s">
        <v>170</v>
      </c>
      <c r="I301" t="s">
        <v>29</v>
      </c>
      <c r="J301" s="15">
        <v>45450</v>
      </c>
      <c r="K301" t="s">
        <v>25</v>
      </c>
      <c r="L301" t="str">
        <f t="shared" si="17"/>
        <v>OK</v>
      </c>
      <c r="P301" t="s">
        <v>27</v>
      </c>
      <c r="Q301" t="s">
        <v>132</v>
      </c>
      <c r="R301" t="s">
        <v>133</v>
      </c>
      <c r="S301" t="s">
        <v>133</v>
      </c>
      <c r="T301" t="s">
        <v>133</v>
      </c>
      <c r="U301" t="s">
        <v>133</v>
      </c>
      <c r="V301" t="s">
        <v>133</v>
      </c>
      <c r="W301" t="s">
        <v>5</v>
      </c>
      <c r="X301">
        <v>0</v>
      </c>
    </row>
    <row r="302" spans="1:24" hidden="1" x14ac:dyDescent="0.3">
      <c r="A302" s="50" t="str">
        <f t="shared" si="15"/>
        <v>PROTECTION_RL_ESTT_CLLTRL_LCTN_INT</v>
      </c>
      <c r="B302" t="s">
        <v>161</v>
      </c>
      <c r="C302" t="s">
        <v>504</v>
      </c>
      <c r="D302" t="s">
        <v>6</v>
      </c>
      <c r="E302" t="s">
        <v>36</v>
      </c>
      <c r="F302" t="s">
        <v>149</v>
      </c>
      <c r="G302" t="s">
        <v>163</v>
      </c>
      <c r="I302" t="s">
        <v>29</v>
      </c>
      <c r="J302" s="15">
        <v>45450</v>
      </c>
      <c r="K302" t="s">
        <v>36</v>
      </c>
      <c r="L302" t="str">
        <f t="shared" si="17"/>
        <v>NOK</v>
      </c>
      <c r="P302" t="s">
        <v>8</v>
      </c>
      <c r="Q302" t="s">
        <v>132</v>
      </c>
      <c r="R302" t="s">
        <v>133</v>
      </c>
      <c r="S302" t="s">
        <v>133</v>
      </c>
      <c r="T302" t="s">
        <v>133</v>
      </c>
      <c r="U302" t="s">
        <v>132</v>
      </c>
      <c r="V302" t="s">
        <v>133</v>
      </c>
      <c r="W302" t="s">
        <v>5</v>
      </c>
      <c r="X302">
        <v>0</v>
      </c>
    </row>
    <row r="303" spans="1:24" hidden="1" x14ac:dyDescent="0.3">
      <c r="A303" s="50" t="str">
        <f t="shared" si="15"/>
        <v>PROTECTION_RL_ESTT_CTY</v>
      </c>
      <c r="B303" t="s">
        <v>161</v>
      </c>
      <c r="C303" t="s">
        <v>505</v>
      </c>
      <c r="D303" t="s">
        <v>6</v>
      </c>
      <c r="E303" t="s">
        <v>36</v>
      </c>
      <c r="F303" t="s">
        <v>149</v>
      </c>
      <c r="G303" t="s">
        <v>163</v>
      </c>
      <c r="I303" t="s">
        <v>29</v>
      </c>
      <c r="J303" s="15">
        <v>45450</v>
      </c>
      <c r="K303" t="s">
        <v>36</v>
      </c>
      <c r="L303" t="str">
        <f t="shared" si="17"/>
        <v>NOK</v>
      </c>
      <c r="P303" t="s">
        <v>8</v>
      </c>
      <c r="Q303" t="s">
        <v>132</v>
      </c>
      <c r="R303" t="s">
        <v>133</v>
      </c>
      <c r="S303" t="s">
        <v>133</v>
      </c>
      <c r="T303" t="s">
        <v>133</v>
      </c>
      <c r="U303" t="s">
        <v>132</v>
      </c>
      <c r="V303" t="s">
        <v>133</v>
      </c>
      <c r="W303" t="s">
        <v>5</v>
      </c>
      <c r="X303">
        <v>0</v>
      </c>
    </row>
    <row r="304" spans="1:24" hidden="1" x14ac:dyDescent="0.3">
      <c r="A304" s="50" t="str">
        <f t="shared" si="15"/>
        <v>PROTECTION_RL_ESTT_PST_CD</v>
      </c>
      <c r="B304" t="s">
        <v>161</v>
      </c>
      <c r="C304" t="s">
        <v>506</v>
      </c>
      <c r="D304" t="s">
        <v>14</v>
      </c>
      <c r="E304" t="s">
        <v>36</v>
      </c>
      <c r="F304" t="s">
        <v>149</v>
      </c>
      <c r="G304" t="s">
        <v>163</v>
      </c>
      <c r="I304" t="s">
        <v>29</v>
      </c>
      <c r="J304" s="15">
        <v>45450</v>
      </c>
      <c r="K304" t="s">
        <v>36</v>
      </c>
      <c r="L304" t="str">
        <f t="shared" si="17"/>
        <v>NOK</v>
      </c>
      <c r="P304" t="s">
        <v>8</v>
      </c>
      <c r="Q304" t="s">
        <v>132</v>
      </c>
      <c r="R304" t="s">
        <v>133</v>
      </c>
      <c r="S304" t="s">
        <v>132</v>
      </c>
      <c r="T304" t="s">
        <v>133</v>
      </c>
      <c r="U304" t="s">
        <v>132</v>
      </c>
      <c r="V304" t="s">
        <v>133</v>
      </c>
      <c r="W304" t="s">
        <v>5</v>
      </c>
      <c r="X304">
        <v>0</v>
      </c>
    </row>
    <row r="305" spans="1:24" hidden="1" x14ac:dyDescent="0.3">
      <c r="A305" s="50" t="str">
        <f t="shared" si="15"/>
        <v>INSTRUMENT_RRE_FNRP18</v>
      </c>
      <c r="B305" t="s">
        <v>128</v>
      </c>
      <c r="C305" t="s">
        <v>507</v>
      </c>
      <c r="D305" t="s">
        <v>6</v>
      </c>
      <c r="E305" t="s">
        <v>38</v>
      </c>
      <c r="F305" t="s">
        <v>130</v>
      </c>
      <c r="G305" t="s">
        <v>131</v>
      </c>
      <c r="I305" t="s">
        <v>26</v>
      </c>
      <c r="J305" s="15">
        <v>45450</v>
      </c>
      <c r="K305" t="s">
        <v>38</v>
      </c>
      <c r="L305" t="str">
        <f t="shared" si="17"/>
        <v>OK</v>
      </c>
      <c r="P305" t="s">
        <v>30</v>
      </c>
      <c r="Q305" t="s">
        <v>132</v>
      </c>
      <c r="R305" t="s">
        <v>133</v>
      </c>
      <c r="S305" t="s">
        <v>133</v>
      </c>
      <c r="T305" t="s">
        <v>133</v>
      </c>
      <c r="U305" t="s">
        <v>133</v>
      </c>
      <c r="V305" t="s">
        <v>133</v>
      </c>
      <c r="W305" t="s">
        <v>5</v>
      </c>
      <c r="X305">
        <v>0</v>
      </c>
    </row>
    <row r="306" spans="1:24" hidden="1" x14ac:dyDescent="0.3">
      <c r="A306" s="50" t="str">
        <f t="shared" si="15"/>
        <v>ENTITY_RTNG_MTHD</v>
      </c>
      <c r="B306" t="s">
        <v>142</v>
      </c>
      <c r="C306" s="10" t="s">
        <v>508</v>
      </c>
      <c r="D306" t="s">
        <v>14</v>
      </c>
      <c r="E306" t="s">
        <v>33</v>
      </c>
      <c r="F306" t="s">
        <v>149</v>
      </c>
      <c r="G306" t="s">
        <v>274</v>
      </c>
      <c r="I306" t="s">
        <v>32</v>
      </c>
      <c r="J306" s="15">
        <v>45450</v>
      </c>
      <c r="K306" t="s">
        <v>33</v>
      </c>
      <c r="L306" t="str">
        <f t="shared" si="17"/>
        <v>NOK</v>
      </c>
      <c r="N306" s="15">
        <v>45338</v>
      </c>
      <c r="O306" s="15">
        <v>45372</v>
      </c>
      <c r="P306" t="s">
        <v>34</v>
      </c>
      <c r="Q306" t="s">
        <v>132</v>
      </c>
      <c r="R306" t="s">
        <v>133</v>
      </c>
      <c r="S306" t="s">
        <v>133</v>
      </c>
      <c r="T306" t="s">
        <v>133</v>
      </c>
      <c r="U306" t="s">
        <v>133</v>
      </c>
      <c r="V306" t="s">
        <v>132</v>
      </c>
      <c r="W306" t="s">
        <v>138</v>
      </c>
      <c r="X306" t="s">
        <v>139</v>
      </c>
    </row>
    <row r="307" spans="1:24" hidden="1" x14ac:dyDescent="0.3">
      <c r="A307" s="50" t="str">
        <f t="shared" si="15"/>
        <v>INSTRUMENT_RTNG_MTHD</v>
      </c>
      <c r="B307" t="s">
        <v>128</v>
      </c>
      <c r="C307" s="10" t="s">
        <v>508</v>
      </c>
      <c r="D307" t="s">
        <v>14</v>
      </c>
      <c r="E307" t="s">
        <v>33</v>
      </c>
      <c r="F307" t="s">
        <v>149</v>
      </c>
      <c r="G307" t="s">
        <v>274</v>
      </c>
      <c r="I307" t="s">
        <v>32</v>
      </c>
      <c r="J307" s="15">
        <v>45450</v>
      </c>
      <c r="K307" t="s">
        <v>33</v>
      </c>
      <c r="L307" t="str">
        <f t="shared" si="17"/>
        <v>NOK</v>
      </c>
      <c r="N307" s="15">
        <v>45338</v>
      </c>
      <c r="O307" s="15">
        <v>45372</v>
      </c>
      <c r="P307" t="s">
        <v>34</v>
      </c>
      <c r="Q307" t="s">
        <v>132</v>
      </c>
      <c r="R307" t="s">
        <v>133</v>
      </c>
      <c r="S307" t="s">
        <v>133</v>
      </c>
      <c r="T307" t="s">
        <v>133</v>
      </c>
      <c r="U307" t="s">
        <v>133</v>
      </c>
      <c r="V307" t="s">
        <v>132</v>
      </c>
      <c r="W307" t="s">
        <v>138</v>
      </c>
      <c r="X307" t="s">
        <v>139</v>
      </c>
    </row>
    <row r="308" spans="1:24" hidden="1" x14ac:dyDescent="0.3">
      <c r="A308" s="50" t="str">
        <f t="shared" si="15"/>
        <v>ENTITY_RTNG_SCL</v>
      </c>
      <c r="B308" t="s">
        <v>142</v>
      </c>
      <c r="C308" t="s">
        <v>509</v>
      </c>
      <c r="D308" t="s">
        <v>14</v>
      </c>
      <c r="E308" t="s">
        <v>38</v>
      </c>
      <c r="F308" t="s">
        <v>130</v>
      </c>
      <c r="G308" t="s">
        <v>131</v>
      </c>
      <c r="I308" t="s">
        <v>26</v>
      </c>
      <c r="J308" s="15">
        <v>45450</v>
      </c>
      <c r="K308" t="s">
        <v>38</v>
      </c>
      <c r="L308" t="str">
        <f t="shared" si="17"/>
        <v>OK</v>
      </c>
      <c r="P308" t="s">
        <v>30</v>
      </c>
      <c r="Q308" t="s">
        <v>132</v>
      </c>
      <c r="R308" t="s">
        <v>133</v>
      </c>
      <c r="S308" t="s">
        <v>133</v>
      </c>
      <c r="T308" t="s">
        <v>133</v>
      </c>
      <c r="U308" t="s">
        <v>133</v>
      </c>
      <c r="V308" t="s">
        <v>132</v>
      </c>
      <c r="W308" t="s">
        <v>5</v>
      </c>
      <c r="X308" t="s">
        <v>135</v>
      </c>
    </row>
    <row r="309" spans="1:24" hidden="1" x14ac:dyDescent="0.3">
      <c r="A309" s="50" t="str">
        <f t="shared" si="15"/>
        <v>INSTRUMENT_RTNG_SCL</v>
      </c>
      <c r="B309" t="s">
        <v>128</v>
      </c>
      <c r="C309" t="s">
        <v>509</v>
      </c>
      <c r="D309" t="s">
        <v>14</v>
      </c>
      <c r="E309" t="s">
        <v>38</v>
      </c>
      <c r="F309" t="s">
        <v>130</v>
      </c>
      <c r="G309" t="s">
        <v>131</v>
      </c>
      <c r="I309" t="s">
        <v>26</v>
      </c>
      <c r="J309" s="15">
        <v>45450</v>
      </c>
      <c r="K309" t="s">
        <v>38</v>
      </c>
      <c r="L309" t="str">
        <f t="shared" si="17"/>
        <v>OK</v>
      </c>
      <c r="P309" t="s">
        <v>30</v>
      </c>
      <c r="Q309" t="s">
        <v>132</v>
      </c>
      <c r="R309" t="s">
        <v>133</v>
      </c>
      <c r="S309" t="s">
        <v>133</v>
      </c>
      <c r="T309" t="s">
        <v>133</v>
      </c>
      <c r="U309" t="s">
        <v>133</v>
      </c>
      <c r="V309" t="s">
        <v>132</v>
      </c>
      <c r="W309" t="s">
        <v>5</v>
      </c>
      <c r="X309" t="s">
        <v>135</v>
      </c>
    </row>
    <row r="310" spans="1:24" hidden="1" x14ac:dyDescent="0.3">
      <c r="A310" s="50" t="str">
        <f t="shared" si="15"/>
        <v>INSTRUMENT_RTNTN_SHR</v>
      </c>
      <c r="B310" t="s">
        <v>128</v>
      </c>
      <c r="C310" t="s">
        <v>510</v>
      </c>
      <c r="D310" t="s">
        <v>6</v>
      </c>
      <c r="E310" t="s">
        <v>56</v>
      </c>
      <c r="F310" t="s">
        <v>130</v>
      </c>
      <c r="G310" t="s">
        <v>333</v>
      </c>
      <c r="H310" t="s">
        <v>334</v>
      </c>
      <c r="I310" t="s">
        <v>29</v>
      </c>
      <c r="J310" s="15">
        <v>45450</v>
      </c>
      <c r="K310" t="s">
        <v>56</v>
      </c>
      <c r="L310" t="str">
        <f t="shared" si="17"/>
        <v>OK</v>
      </c>
      <c r="P310" t="s">
        <v>13</v>
      </c>
      <c r="Q310" t="s">
        <v>132</v>
      </c>
      <c r="R310" t="s">
        <v>133</v>
      </c>
      <c r="S310" t="s">
        <v>133</v>
      </c>
      <c r="T310" t="s">
        <v>133</v>
      </c>
      <c r="U310" t="s">
        <v>133</v>
      </c>
      <c r="V310" t="s">
        <v>132</v>
      </c>
      <c r="W310" t="s">
        <v>138</v>
      </c>
      <c r="X310" t="s">
        <v>335</v>
      </c>
    </row>
    <row r="311" spans="1:24" hidden="1" x14ac:dyDescent="0.3">
      <c r="A311" s="50" t="str">
        <f t="shared" si="15"/>
        <v>INSTRUMENT_RWA</v>
      </c>
      <c r="B311" t="s">
        <v>128</v>
      </c>
      <c r="C311" s="10" t="s">
        <v>511</v>
      </c>
      <c r="D311" t="s">
        <v>14</v>
      </c>
      <c r="E311" t="s">
        <v>33</v>
      </c>
      <c r="F311" t="s">
        <v>130</v>
      </c>
      <c r="G311" t="s">
        <v>302</v>
      </c>
      <c r="I311" t="s">
        <v>32</v>
      </c>
      <c r="J311" s="15">
        <v>45463</v>
      </c>
      <c r="K311" t="s">
        <v>33</v>
      </c>
      <c r="L311" t="s">
        <v>149</v>
      </c>
      <c r="M311" t="s">
        <v>512</v>
      </c>
      <c r="N311" s="15">
        <v>45338</v>
      </c>
      <c r="O311" s="15">
        <v>45372</v>
      </c>
      <c r="P311" t="s">
        <v>24</v>
      </c>
      <c r="Q311" t="s">
        <v>132</v>
      </c>
      <c r="R311" t="s">
        <v>132</v>
      </c>
      <c r="S311" t="s">
        <v>133</v>
      </c>
      <c r="T311" t="s">
        <v>133</v>
      </c>
      <c r="U311" t="s">
        <v>133</v>
      </c>
      <c r="V311" t="s">
        <v>132</v>
      </c>
      <c r="W311" t="s">
        <v>138</v>
      </c>
      <c r="X311" t="s">
        <v>139</v>
      </c>
    </row>
    <row r="312" spans="1:24" hidden="1" x14ac:dyDescent="0.3">
      <c r="A312" s="50" t="str">
        <f t="shared" si="15"/>
        <v>INSTRUMENT_DT_LGL_FNL_MTRTY</v>
      </c>
      <c r="B312" t="s">
        <v>128</v>
      </c>
      <c r="C312" s="10" t="s">
        <v>513</v>
      </c>
      <c r="D312" t="s">
        <v>14</v>
      </c>
      <c r="E312" t="s">
        <v>35</v>
      </c>
      <c r="F312" t="s">
        <v>149</v>
      </c>
      <c r="G312" s="86" t="s">
        <v>514</v>
      </c>
      <c r="H312" t="s">
        <v>515</v>
      </c>
      <c r="I312" t="s">
        <v>32</v>
      </c>
      <c r="J312" s="15">
        <v>45450</v>
      </c>
      <c r="K312" t="s">
        <v>35</v>
      </c>
      <c r="L312" t="str">
        <f t="shared" ref="L312:L335" si="18">F312</f>
        <v>NOK</v>
      </c>
      <c r="N312" s="15"/>
      <c r="P312" t="s">
        <v>24</v>
      </c>
      <c r="Q312" t="s">
        <v>132</v>
      </c>
      <c r="R312" t="s">
        <v>133</v>
      </c>
      <c r="S312" t="s">
        <v>132</v>
      </c>
      <c r="T312" t="s">
        <v>133</v>
      </c>
      <c r="U312" t="s">
        <v>133</v>
      </c>
      <c r="V312" t="s">
        <v>132</v>
      </c>
      <c r="W312" t="s">
        <v>138</v>
      </c>
      <c r="X312" t="s">
        <v>139</v>
      </c>
    </row>
    <row r="313" spans="1:24" hidden="1" x14ac:dyDescent="0.3">
      <c r="A313" s="50" t="str">
        <f t="shared" si="15"/>
        <v>INSTRUMENT_SBJCT_PBLC_GRNT_SCHM_C19</v>
      </c>
      <c r="B313" t="s">
        <v>128</v>
      </c>
      <c r="C313" t="s">
        <v>516</v>
      </c>
      <c r="D313" t="s">
        <v>6</v>
      </c>
      <c r="E313" t="s">
        <v>38</v>
      </c>
      <c r="F313" t="s">
        <v>130</v>
      </c>
      <c r="G313" t="s">
        <v>131</v>
      </c>
      <c r="I313" t="s">
        <v>26</v>
      </c>
      <c r="J313" s="15">
        <v>45450</v>
      </c>
      <c r="K313" t="s">
        <v>38</v>
      </c>
      <c r="L313" t="str">
        <f t="shared" si="18"/>
        <v>OK</v>
      </c>
      <c r="P313" t="s">
        <v>30</v>
      </c>
      <c r="Q313" t="s">
        <v>132</v>
      </c>
      <c r="R313" t="s">
        <v>133</v>
      </c>
      <c r="S313" t="s">
        <v>133</v>
      </c>
      <c r="T313" t="s">
        <v>133</v>
      </c>
      <c r="U313" t="s">
        <v>133</v>
      </c>
      <c r="V313" t="s">
        <v>133</v>
      </c>
      <c r="W313" t="s">
        <v>5</v>
      </c>
      <c r="X313">
        <v>0</v>
      </c>
    </row>
    <row r="314" spans="1:24" hidden="1" x14ac:dyDescent="0.3">
      <c r="A314" s="50" t="str">
        <f t="shared" si="15"/>
        <v>INSTRUMENT_DT_NXT_INTRST_RT_RST</v>
      </c>
      <c r="B314" t="s">
        <v>128</v>
      </c>
      <c r="C314" s="10" t="s">
        <v>517</v>
      </c>
      <c r="D314" t="s">
        <v>14</v>
      </c>
      <c r="E314" t="s">
        <v>35</v>
      </c>
      <c r="F314" t="s">
        <v>149</v>
      </c>
      <c r="G314" t="s">
        <v>518</v>
      </c>
      <c r="H314" t="s">
        <v>519</v>
      </c>
      <c r="I314" t="s">
        <v>32</v>
      </c>
      <c r="J314" s="15">
        <v>45450</v>
      </c>
      <c r="K314" t="s">
        <v>35</v>
      </c>
      <c r="L314" t="str">
        <f t="shared" si="18"/>
        <v>NOK</v>
      </c>
      <c r="P314" t="s">
        <v>24</v>
      </c>
      <c r="Q314" t="s">
        <v>132</v>
      </c>
      <c r="R314" t="s">
        <v>133</v>
      </c>
      <c r="S314" t="s">
        <v>133</v>
      </c>
      <c r="T314" t="s">
        <v>133</v>
      </c>
      <c r="U314" t="s">
        <v>133</v>
      </c>
      <c r="V314" t="s">
        <v>133</v>
      </c>
      <c r="W314" t="s">
        <v>5</v>
      </c>
      <c r="X314">
        <v>0</v>
      </c>
    </row>
    <row r="315" spans="1:24" hidden="1" x14ac:dyDescent="0.3">
      <c r="A315" s="50" t="str">
        <f t="shared" si="15"/>
        <v>INSTRUMENT_SME_FNRP18</v>
      </c>
      <c r="B315" t="s">
        <v>128</v>
      </c>
      <c r="C315" t="s">
        <v>520</v>
      </c>
      <c r="D315" t="s">
        <v>14</v>
      </c>
      <c r="E315" t="s">
        <v>38</v>
      </c>
      <c r="F315" t="s">
        <v>130</v>
      </c>
      <c r="G315" t="s">
        <v>131</v>
      </c>
      <c r="I315" t="s">
        <v>26</v>
      </c>
      <c r="J315" s="15">
        <v>45450</v>
      </c>
      <c r="K315" t="s">
        <v>38</v>
      </c>
      <c r="L315" t="str">
        <f t="shared" si="18"/>
        <v>OK</v>
      </c>
      <c r="P315" t="s">
        <v>30</v>
      </c>
      <c r="Q315" t="s">
        <v>132</v>
      </c>
      <c r="R315" t="s">
        <v>133</v>
      </c>
      <c r="S315" t="s">
        <v>133</v>
      </c>
      <c r="T315" t="s">
        <v>133</v>
      </c>
      <c r="U315" t="s">
        <v>133</v>
      </c>
      <c r="V315" t="s">
        <v>133</v>
      </c>
      <c r="W315" t="s">
        <v>5</v>
      </c>
      <c r="X315">
        <v>0</v>
      </c>
    </row>
    <row r="316" spans="1:24" hidden="1" x14ac:dyDescent="0.3">
      <c r="A316" s="50" t="str">
        <f t="shared" si="15"/>
        <v>ENTITY_SNGL_PRPS_VHCL</v>
      </c>
      <c r="B316" t="s">
        <v>142</v>
      </c>
      <c r="C316" t="s">
        <v>521</v>
      </c>
      <c r="D316" t="s">
        <v>6</v>
      </c>
      <c r="E316" t="s">
        <v>38</v>
      </c>
      <c r="F316" t="s">
        <v>130</v>
      </c>
      <c r="G316" t="s">
        <v>131</v>
      </c>
      <c r="I316" t="s">
        <v>26</v>
      </c>
      <c r="J316" s="15">
        <v>45450</v>
      </c>
      <c r="K316" t="s">
        <v>38</v>
      </c>
      <c r="L316" t="str">
        <f t="shared" si="18"/>
        <v>OK</v>
      </c>
      <c r="P316" t="s">
        <v>30</v>
      </c>
      <c r="Q316" t="s">
        <v>132</v>
      </c>
      <c r="R316" t="s">
        <v>133</v>
      </c>
      <c r="S316" t="s">
        <v>133</v>
      </c>
      <c r="T316" t="s">
        <v>133</v>
      </c>
      <c r="U316" t="s">
        <v>133</v>
      </c>
      <c r="V316" t="s">
        <v>133</v>
      </c>
      <c r="W316" t="s">
        <v>5</v>
      </c>
      <c r="X316">
        <v>0</v>
      </c>
    </row>
    <row r="317" spans="1:24" hidden="1" x14ac:dyDescent="0.3">
      <c r="A317" s="50" t="str">
        <f t="shared" si="15"/>
        <v>INSTRUMENT_SPCLTV_LNDNG</v>
      </c>
      <c r="B317" t="s">
        <v>128</v>
      </c>
      <c r="C317" t="s">
        <v>522</v>
      </c>
      <c r="D317" t="s">
        <v>6</v>
      </c>
      <c r="E317" t="s">
        <v>36</v>
      </c>
      <c r="F317" t="s">
        <v>149</v>
      </c>
      <c r="G317" t="s">
        <v>163</v>
      </c>
      <c r="I317" t="s">
        <v>29</v>
      </c>
      <c r="J317" s="15">
        <v>45450</v>
      </c>
      <c r="K317" t="s">
        <v>36</v>
      </c>
      <c r="L317" t="str">
        <f t="shared" si="18"/>
        <v>NOK</v>
      </c>
      <c r="P317" t="s">
        <v>8</v>
      </c>
      <c r="Q317" t="s">
        <v>132</v>
      </c>
      <c r="R317" t="s">
        <v>133</v>
      </c>
      <c r="S317" t="s">
        <v>133</v>
      </c>
      <c r="T317" t="s">
        <v>133</v>
      </c>
      <c r="U317" t="s">
        <v>133</v>
      </c>
      <c r="V317" t="s">
        <v>133</v>
      </c>
      <c r="W317" t="s">
        <v>5</v>
      </c>
      <c r="X317">
        <v>0</v>
      </c>
    </row>
    <row r="318" spans="1:24" hidden="1" x14ac:dyDescent="0.3">
      <c r="A318" s="50" t="str">
        <f t="shared" si="15"/>
        <v>INSTRUMENT_SPNSR_NM</v>
      </c>
      <c r="B318" t="s">
        <v>128</v>
      </c>
      <c r="C318" t="s">
        <v>523</v>
      </c>
      <c r="D318" t="s">
        <v>6</v>
      </c>
      <c r="E318" t="s">
        <v>37</v>
      </c>
      <c r="F318" t="s">
        <v>130</v>
      </c>
      <c r="G318" t="s">
        <v>170</v>
      </c>
      <c r="I318" t="s">
        <v>26</v>
      </c>
      <c r="J318" s="15">
        <v>45450</v>
      </c>
      <c r="K318" t="s">
        <v>37</v>
      </c>
      <c r="L318" t="str">
        <f t="shared" si="18"/>
        <v>OK</v>
      </c>
      <c r="P318" t="s">
        <v>27</v>
      </c>
      <c r="Q318" t="s">
        <v>132</v>
      </c>
      <c r="R318" t="s">
        <v>133</v>
      </c>
      <c r="S318" t="s">
        <v>133</v>
      </c>
      <c r="T318" t="s">
        <v>133</v>
      </c>
      <c r="U318" t="s">
        <v>133</v>
      </c>
      <c r="V318" t="s">
        <v>132</v>
      </c>
      <c r="W318" t="s">
        <v>146</v>
      </c>
      <c r="X318" t="s">
        <v>211</v>
      </c>
    </row>
    <row r="319" spans="1:24" hidden="1" x14ac:dyDescent="0.3">
      <c r="A319" s="50" t="str">
        <f t="shared" si="15"/>
        <v>INSTRUMENT_SPRD</v>
      </c>
      <c r="B319" t="s">
        <v>128</v>
      </c>
      <c r="C319" t="s">
        <v>524</v>
      </c>
      <c r="D319" t="s">
        <v>6</v>
      </c>
      <c r="E319" t="s">
        <v>38</v>
      </c>
      <c r="F319" t="s">
        <v>130</v>
      </c>
      <c r="G319" t="s">
        <v>131</v>
      </c>
      <c r="I319" t="s">
        <v>26</v>
      </c>
      <c r="J319" s="15">
        <v>45450</v>
      </c>
      <c r="K319" t="s">
        <v>38</v>
      </c>
      <c r="L319" t="str">
        <f t="shared" si="18"/>
        <v>OK</v>
      </c>
      <c r="P319" t="s">
        <v>30</v>
      </c>
      <c r="Q319" t="s">
        <v>132</v>
      </c>
      <c r="R319" t="s">
        <v>133</v>
      </c>
      <c r="S319" t="s">
        <v>133</v>
      </c>
      <c r="T319" t="s">
        <v>133</v>
      </c>
      <c r="U319" t="s">
        <v>133</v>
      </c>
      <c r="V319" t="s">
        <v>133</v>
      </c>
      <c r="W319" t="s">
        <v>5</v>
      </c>
      <c r="X319">
        <v>0</v>
      </c>
    </row>
    <row r="320" spans="1:24" hidden="1" x14ac:dyDescent="0.3">
      <c r="A320" s="50" t="str">
        <f t="shared" si="15"/>
        <v>INSTRUMENT_SRCS_ENCMBRNC</v>
      </c>
      <c r="B320" t="s">
        <v>128</v>
      </c>
      <c r="C320" t="s">
        <v>525</v>
      </c>
      <c r="D320" t="s">
        <v>6</v>
      </c>
      <c r="E320" t="s">
        <v>38</v>
      </c>
      <c r="F320" t="s">
        <v>130</v>
      </c>
      <c r="G320" t="s">
        <v>131</v>
      </c>
      <c r="I320" t="s">
        <v>26</v>
      </c>
      <c r="J320" s="15">
        <v>45450</v>
      </c>
      <c r="K320" t="s">
        <v>38</v>
      </c>
      <c r="L320" t="str">
        <f t="shared" si="18"/>
        <v>OK</v>
      </c>
      <c r="P320" t="s">
        <v>30</v>
      </c>
      <c r="Q320" t="s">
        <v>132</v>
      </c>
      <c r="R320" t="s">
        <v>133</v>
      </c>
      <c r="S320" t="s">
        <v>133</v>
      </c>
      <c r="T320" t="s">
        <v>133</v>
      </c>
      <c r="U320" t="s">
        <v>133</v>
      </c>
      <c r="V320" t="s">
        <v>133</v>
      </c>
      <c r="W320" t="s">
        <v>5</v>
      </c>
      <c r="X320">
        <v>0</v>
      </c>
    </row>
    <row r="321" spans="1:24" hidden="1" x14ac:dyDescent="0.3">
      <c r="A321" s="50" t="str">
        <f t="shared" si="15"/>
        <v>INSTRUMENT_STTS_UNDRWRTTN_TRNSCTN</v>
      </c>
      <c r="B321" t="s">
        <v>128</v>
      </c>
      <c r="C321" t="s">
        <v>526</v>
      </c>
      <c r="D321" t="s">
        <v>6</v>
      </c>
      <c r="E321" t="s">
        <v>56</v>
      </c>
      <c r="F321" t="s">
        <v>130</v>
      </c>
      <c r="G321" t="s">
        <v>333</v>
      </c>
      <c r="H321" t="s">
        <v>334</v>
      </c>
      <c r="I321" t="s">
        <v>29</v>
      </c>
      <c r="J321" s="15">
        <v>45450</v>
      </c>
      <c r="K321" t="s">
        <v>56</v>
      </c>
      <c r="L321" t="str">
        <f t="shared" si="18"/>
        <v>OK</v>
      </c>
      <c r="P321" t="s">
        <v>13</v>
      </c>
      <c r="Q321" t="s">
        <v>132</v>
      </c>
      <c r="R321" t="s">
        <v>133</v>
      </c>
      <c r="S321" t="s">
        <v>133</v>
      </c>
      <c r="T321" t="s">
        <v>133</v>
      </c>
      <c r="U321" t="s">
        <v>133</v>
      </c>
      <c r="V321" t="s">
        <v>132</v>
      </c>
      <c r="W321" t="s">
        <v>138</v>
      </c>
      <c r="X321" t="s">
        <v>335</v>
      </c>
    </row>
    <row r="322" spans="1:24" hidden="1" x14ac:dyDescent="0.3">
      <c r="A322" s="50" t="str">
        <f t="shared" si="15"/>
        <v>INSTRUMENT_SUBPORTFOLIO_ID</v>
      </c>
      <c r="B322" t="s">
        <v>128</v>
      </c>
      <c r="C322" t="s">
        <v>527</v>
      </c>
      <c r="D322" t="s">
        <v>14</v>
      </c>
      <c r="E322" t="s">
        <v>38</v>
      </c>
      <c r="F322" t="s">
        <v>130</v>
      </c>
      <c r="G322" t="s">
        <v>131</v>
      </c>
      <c r="I322" t="s">
        <v>26</v>
      </c>
      <c r="J322" s="15">
        <v>45450</v>
      </c>
      <c r="K322" t="s">
        <v>38</v>
      </c>
      <c r="L322" t="str">
        <f t="shared" si="18"/>
        <v>OK</v>
      </c>
      <c r="P322" t="s">
        <v>30</v>
      </c>
      <c r="Q322" t="s">
        <v>132</v>
      </c>
      <c r="R322" t="s">
        <v>132</v>
      </c>
      <c r="S322" t="s">
        <v>132</v>
      </c>
      <c r="T322" t="s">
        <v>133</v>
      </c>
      <c r="U322" t="s">
        <v>132</v>
      </c>
      <c r="V322" t="s">
        <v>132</v>
      </c>
      <c r="W322" t="s">
        <v>5</v>
      </c>
      <c r="X322" t="s">
        <v>135</v>
      </c>
    </row>
    <row r="323" spans="1:24" hidden="1" x14ac:dyDescent="0.3">
      <c r="A323" s="50" t="str">
        <f t="shared" si="15"/>
        <v>INSTRUMENT_SYNDCT_RL</v>
      </c>
      <c r="B323" t="s">
        <v>128</v>
      </c>
      <c r="C323" t="s">
        <v>528</v>
      </c>
      <c r="D323" t="s">
        <v>6</v>
      </c>
      <c r="E323" t="s">
        <v>56</v>
      </c>
      <c r="F323" t="s">
        <v>130</v>
      </c>
      <c r="G323" t="s">
        <v>333</v>
      </c>
      <c r="H323" t="s">
        <v>334</v>
      </c>
      <c r="I323" t="s">
        <v>29</v>
      </c>
      <c r="J323" s="15">
        <v>45450</v>
      </c>
      <c r="K323" t="s">
        <v>56</v>
      </c>
      <c r="L323" t="str">
        <f t="shared" si="18"/>
        <v>OK</v>
      </c>
      <c r="P323" t="s">
        <v>13</v>
      </c>
      <c r="Q323" t="s">
        <v>132</v>
      </c>
      <c r="R323" t="s">
        <v>133</v>
      </c>
      <c r="S323" t="s">
        <v>133</v>
      </c>
      <c r="T323" t="s">
        <v>133</v>
      </c>
      <c r="U323" t="s">
        <v>133</v>
      </c>
      <c r="V323" t="s">
        <v>132</v>
      </c>
      <c r="W323" t="s">
        <v>138</v>
      </c>
      <c r="X323" t="s">
        <v>335</v>
      </c>
    </row>
    <row r="324" spans="1:24" hidden="1" x14ac:dyDescent="0.3">
      <c r="A324" s="50" t="str">
        <f t="shared" si="15"/>
        <v>INSTRUMENT_SYNDCTD_AGNT</v>
      </c>
      <c r="B324" t="s">
        <v>128</v>
      </c>
      <c r="C324" t="s">
        <v>529</v>
      </c>
      <c r="D324" t="s">
        <v>14</v>
      </c>
      <c r="E324" t="s">
        <v>56</v>
      </c>
      <c r="F324" t="s">
        <v>130</v>
      </c>
      <c r="G324" t="s">
        <v>333</v>
      </c>
      <c r="H324" t="s">
        <v>334</v>
      </c>
      <c r="I324" t="s">
        <v>29</v>
      </c>
      <c r="J324" s="15">
        <v>45450</v>
      </c>
      <c r="K324" t="s">
        <v>56</v>
      </c>
      <c r="L324" t="str">
        <f t="shared" si="18"/>
        <v>OK</v>
      </c>
      <c r="P324" t="s">
        <v>13</v>
      </c>
      <c r="Q324" t="s">
        <v>132</v>
      </c>
      <c r="R324" t="s">
        <v>133</v>
      </c>
      <c r="S324" t="s">
        <v>133</v>
      </c>
      <c r="T324" t="s">
        <v>133</v>
      </c>
      <c r="U324" t="s">
        <v>133</v>
      </c>
      <c r="V324" t="s">
        <v>132</v>
      </c>
      <c r="W324" t="s">
        <v>138</v>
      </c>
      <c r="X324" t="s">
        <v>335</v>
      </c>
    </row>
    <row r="325" spans="1:24" hidden="1" x14ac:dyDescent="0.3">
      <c r="A325" s="50" t="str">
        <f t="shared" ref="A325:A384" si="19">B325&amp;"_"&amp;C325</f>
        <v>INSTRUMENT_SYNDCTD_CNTRCT_ID</v>
      </c>
      <c r="B325" t="s">
        <v>128</v>
      </c>
      <c r="C325" t="s">
        <v>530</v>
      </c>
      <c r="D325" t="s">
        <v>14</v>
      </c>
      <c r="E325" t="s">
        <v>56</v>
      </c>
      <c r="F325" t="s">
        <v>130</v>
      </c>
      <c r="G325" t="s">
        <v>333</v>
      </c>
      <c r="H325" t="s">
        <v>334</v>
      </c>
      <c r="I325" t="s">
        <v>29</v>
      </c>
      <c r="J325" s="15">
        <v>45450</v>
      </c>
      <c r="K325" t="s">
        <v>56</v>
      </c>
      <c r="L325" t="str">
        <f t="shared" si="18"/>
        <v>OK</v>
      </c>
      <c r="P325" t="s">
        <v>13</v>
      </c>
      <c r="Q325" t="s">
        <v>132</v>
      </c>
      <c r="R325" t="s">
        <v>133</v>
      </c>
      <c r="S325" t="s">
        <v>133</v>
      </c>
      <c r="T325" t="s">
        <v>133</v>
      </c>
      <c r="U325" t="s">
        <v>133</v>
      </c>
      <c r="V325" t="s">
        <v>132</v>
      </c>
      <c r="W325" t="s">
        <v>138</v>
      </c>
      <c r="X325" t="s">
        <v>335</v>
      </c>
    </row>
    <row r="326" spans="1:24" hidden="1" x14ac:dyDescent="0.3">
      <c r="A326" s="50" t="str">
        <f t="shared" si="19"/>
        <v>INSTRUMENT_SYNDCTD_LNDRS</v>
      </c>
      <c r="B326" t="s">
        <v>128</v>
      </c>
      <c r="C326" t="s">
        <v>531</v>
      </c>
      <c r="D326" t="s">
        <v>14</v>
      </c>
      <c r="E326" t="s">
        <v>56</v>
      </c>
      <c r="F326" t="s">
        <v>130</v>
      </c>
      <c r="G326" t="s">
        <v>333</v>
      </c>
      <c r="H326" t="s">
        <v>334</v>
      </c>
      <c r="I326" t="s">
        <v>29</v>
      </c>
      <c r="J326" s="15">
        <v>45450</v>
      </c>
      <c r="K326" t="s">
        <v>56</v>
      </c>
      <c r="L326" t="str">
        <f t="shared" si="18"/>
        <v>OK</v>
      </c>
      <c r="P326" t="s">
        <v>13</v>
      </c>
      <c r="Q326" t="s">
        <v>132</v>
      </c>
      <c r="R326" t="s">
        <v>133</v>
      </c>
      <c r="S326" t="s">
        <v>133</v>
      </c>
      <c r="T326" t="s">
        <v>133</v>
      </c>
      <c r="U326" t="s">
        <v>133</v>
      </c>
      <c r="V326" t="s">
        <v>132</v>
      </c>
      <c r="W326" t="s">
        <v>138</v>
      </c>
      <c r="X326" t="s">
        <v>335</v>
      </c>
    </row>
    <row r="327" spans="1:24" hidden="1" x14ac:dyDescent="0.3">
      <c r="A327" s="50" t="str">
        <f t="shared" si="19"/>
        <v>INSTRUMENT_SYNDCTD_SHR</v>
      </c>
      <c r="B327" t="s">
        <v>128</v>
      </c>
      <c r="C327" t="s">
        <v>532</v>
      </c>
      <c r="D327" t="s">
        <v>14</v>
      </c>
      <c r="E327" t="s">
        <v>56</v>
      </c>
      <c r="F327" t="s">
        <v>130</v>
      </c>
      <c r="G327" t="s">
        <v>333</v>
      </c>
      <c r="H327" t="s">
        <v>334</v>
      </c>
      <c r="I327" t="s">
        <v>29</v>
      </c>
      <c r="J327" s="15">
        <v>45450</v>
      </c>
      <c r="K327" t="s">
        <v>56</v>
      </c>
      <c r="L327" t="str">
        <f t="shared" si="18"/>
        <v>OK</v>
      </c>
      <c r="P327" t="s">
        <v>13</v>
      </c>
      <c r="Q327" t="s">
        <v>132</v>
      </c>
      <c r="R327" t="s">
        <v>133</v>
      </c>
      <c r="S327" t="s">
        <v>133</v>
      </c>
      <c r="T327" t="s">
        <v>133</v>
      </c>
      <c r="U327" t="s">
        <v>133</v>
      </c>
      <c r="V327" t="s">
        <v>132</v>
      </c>
      <c r="W327" t="s">
        <v>138</v>
      </c>
      <c r="X327" t="s">
        <v>335</v>
      </c>
    </row>
    <row r="328" spans="1:24" hidden="1" x14ac:dyDescent="0.3">
      <c r="A328" s="50" t="str">
        <f t="shared" si="19"/>
        <v>INSTRUMENT_SYNDCTN_TYP</v>
      </c>
      <c r="B328" t="s">
        <v>128</v>
      </c>
      <c r="C328" t="s">
        <v>533</v>
      </c>
      <c r="D328" t="s">
        <v>6</v>
      </c>
      <c r="E328" t="s">
        <v>56</v>
      </c>
      <c r="F328" t="s">
        <v>130</v>
      </c>
      <c r="G328" t="s">
        <v>333</v>
      </c>
      <c r="H328" t="s">
        <v>334</v>
      </c>
      <c r="I328" t="s">
        <v>29</v>
      </c>
      <c r="J328" s="15">
        <v>45450</v>
      </c>
      <c r="K328" t="s">
        <v>56</v>
      </c>
      <c r="L328" t="str">
        <f t="shared" si="18"/>
        <v>OK</v>
      </c>
      <c r="P328" t="s">
        <v>13</v>
      </c>
      <c r="Q328" t="s">
        <v>132</v>
      </c>
      <c r="R328" t="s">
        <v>133</v>
      </c>
      <c r="S328" t="s">
        <v>133</v>
      </c>
      <c r="T328" t="s">
        <v>133</v>
      </c>
      <c r="U328" t="s">
        <v>133</v>
      </c>
      <c r="V328" t="s">
        <v>132</v>
      </c>
      <c r="W328" t="s">
        <v>138</v>
      </c>
      <c r="X328" t="s">
        <v>335</v>
      </c>
    </row>
    <row r="329" spans="1:24" hidden="1" x14ac:dyDescent="0.3">
      <c r="A329" s="50" t="str">
        <f t="shared" si="19"/>
        <v>ENTITY_TAX_ID</v>
      </c>
      <c r="B329" t="s">
        <v>142</v>
      </c>
      <c r="C329" t="s">
        <v>534</v>
      </c>
      <c r="D329" t="s">
        <v>6</v>
      </c>
      <c r="E329" t="s">
        <v>36</v>
      </c>
      <c r="F329" t="s">
        <v>149</v>
      </c>
      <c r="G329" t="s">
        <v>535</v>
      </c>
      <c r="I329" t="s">
        <v>29</v>
      </c>
      <c r="J329" s="15">
        <v>45450</v>
      </c>
      <c r="K329" t="s">
        <v>36</v>
      </c>
      <c r="L329" t="str">
        <f t="shared" si="18"/>
        <v>NOK</v>
      </c>
      <c r="P329" t="s">
        <v>8</v>
      </c>
      <c r="Q329" t="s">
        <v>132</v>
      </c>
      <c r="R329" t="s">
        <v>133</v>
      </c>
      <c r="S329" t="s">
        <v>133</v>
      </c>
      <c r="T329" t="s">
        <v>133</v>
      </c>
      <c r="U329" t="s">
        <v>133</v>
      </c>
      <c r="V329" t="s">
        <v>133</v>
      </c>
      <c r="W329" t="s">
        <v>5</v>
      </c>
      <c r="X329">
        <v>0</v>
      </c>
    </row>
    <row r="330" spans="1:24" hidden="1" x14ac:dyDescent="0.3">
      <c r="A330" s="50" t="str">
        <f t="shared" si="19"/>
        <v>PROTECTION_TAX_ID</v>
      </c>
      <c r="B330" t="s">
        <v>161</v>
      </c>
      <c r="C330" t="s">
        <v>534</v>
      </c>
      <c r="D330" t="s">
        <v>6</v>
      </c>
      <c r="E330" t="s">
        <v>36</v>
      </c>
      <c r="F330" t="s">
        <v>149</v>
      </c>
      <c r="G330" t="s">
        <v>536</v>
      </c>
      <c r="I330" t="s">
        <v>29</v>
      </c>
      <c r="J330" s="15">
        <v>45450</v>
      </c>
      <c r="K330" t="s">
        <v>36</v>
      </c>
      <c r="L330" t="str">
        <f t="shared" si="18"/>
        <v>NOK</v>
      </c>
      <c r="P330" t="s">
        <v>8</v>
      </c>
      <c r="Q330" t="s">
        <v>132</v>
      </c>
      <c r="R330" t="s">
        <v>133</v>
      </c>
      <c r="S330" t="s">
        <v>133</v>
      </c>
      <c r="T330" t="s">
        <v>133</v>
      </c>
      <c r="U330" t="s">
        <v>133</v>
      </c>
      <c r="V330" t="s">
        <v>133</v>
      </c>
      <c r="W330" t="s">
        <v>5</v>
      </c>
      <c r="X330">
        <v>0</v>
      </c>
    </row>
    <row r="331" spans="1:24" hidden="1" x14ac:dyDescent="0.3">
      <c r="A331" s="50" t="str">
        <f t="shared" si="19"/>
        <v>INSTR_PROTECTION_THRD_PRTY_PRRTY_CLMS</v>
      </c>
      <c r="B331" t="s">
        <v>194</v>
      </c>
      <c r="C331" t="s">
        <v>537</v>
      </c>
      <c r="D331" t="s">
        <v>14</v>
      </c>
      <c r="E331" t="s">
        <v>38</v>
      </c>
      <c r="F331" t="s">
        <v>130</v>
      </c>
      <c r="G331" t="s">
        <v>131</v>
      </c>
      <c r="I331" t="s">
        <v>26</v>
      </c>
      <c r="J331" s="15">
        <v>45450</v>
      </c>
      <c r="K331" t="s">
        <v>38</v>
      </c>
      <c r="L331" t="str">
        <f t="shared" si="18"/>
        <v>OK</v>
      </c>
      <c r="P331" t="s">
        <v>30</v>
      </c>
      <c r="Q331" t="s">
        <v>132</v>
      </c>
      <c r="R331" t="s">
        <v>133</v>
      </c>
      <c r="S331" t="s">
        <v>133</v>
      </c>
      <c r="T331" t="s">
        <v>133</v>
      </c>
      <c r="U331" t="s">
        <v>133</v>
      </c>
      <c r="V331" t="s">
        <v>133</v>
      </c>
      <c r="W331" t="s">
        <v>5</v>
      </c>
      <c r="X331">
        <v>0</v>
      </c>
    </row>
    <row r="332" spans="1:24" hidden="1" x14ac:dyDescent="0.3">
      <c r="A332" s="50" t="str">
        <f t="shared" si="19"/>
        <v>INSTRUMENT_TRNCH</v>
      </c>
      <c r="B332" t="s">
        <v>128</v>
      </c>
      <c r="C332" t="s">
        <v>538</v>
      </c>
      <c r="D332" t="s">
        <v>6</v>
      </c>
      <c r="E332" t="s">
        <v>56</v>
      </c>
      <c r="F332" t="s">
        <v>130</v>
      </c>
      <c r="G332" t="s">
        <v>333</v>
      </c>
      <c r="H332" t="s">
        <v>334</v>
      </c>
      <c r="I332" t="s">
        <v>29</v>
      </c>
      <c r="J332" s="15">
        <v>45450</v>
      </c>
      <c r="K332" t="s">
        <v>56</v>
      </c>
      <c r="L332" t="str">
        <f t="shared" si="18"/>
        <v>OK</v>
      </c>
      <c r="P332" t="s">
        <v>13</v>
      </c>
      <c r="Q332" t="s">
        <v>132</v>
      </c>
      <c r="R332" t="s">
        <v>133</v>
      </c>
      <c r="S332" t="s">
        <v>133</v>
      </c>
      <c r="T332" t="s">
        <v>133</v>
      </c>
      <c r="U332" t="s">
        <v>133</v>
      </c>
      <c r="V332" t="s">
        <v>132</v>
      </c>
      <c r="W332" t="s">
        <v>138</v>
      </c>
      <c r="X332" t="s">
        <v>335</v>
      </c>
    </row>
    <row r="333" spans="1:24" hidden="1" x14ac:dyDescent="0.3">
      <c r="A333" s="50" t="str">
        <f t="shared" si="19"/>
        <v>ENTITY_TTL_DBT</v>
      </c>
      <c r="B333" t="s">
        <v>142</v>
      </c>
      <c r="C333" t="s">
        <v>539</v>
      </c>
      <c r="D333" t="s">
        <v>14</v>
      </c>
      <c r="E333" t="s">
        <v>25</v>
      </c>
      <c r="F333" t="s">
        <v>130</v>
      </c>
      <c r="G333" t="s">
        <v>144</v>
      </c>
      <c r="H333" t="s">
        <v>145</v>
      </c>
      <c r="I333" t="s">
        <v>29</v>
      </c>
      <c r="J333" s="15">
        <v>45450</v>
      </c>
      <c r="K333" t="s">
        <v>25</v>
      </c>
      <c r="L333" t="str">
        <f t="shared" si="18"/>
        <v>OK</v>
      </c>
      <c r="P333" t="s">
        <v>13</v>
      </c>
      <c r="Q333" t="s">
        <v>132</v>
      </c>
      <c r="R333" t="s">
        <v>133</v>
      </c>
      <c r="S333" t="s">
        <v>132</v>
      </c>
      <c r="T333" t="s">
        <v>133</v>
      </c>
      <c r="U333" t="s">
        <v>133</v>
      </c>
      <c r="V333" t="s">
        <v>132</v>
      </c>
      <c r="W333" t="s">
        <v>146</v>
      </c>
      <c r="X333" t="s">
        <v>147</v>
      </c>
    </row>
    <row r="334" spans="1:24" hidden="1" x14ac:dyDescent="0.3">
      <c r="A334" s="50" t="str">
        <f t="shared" si="19"/>
        <v>ENTITY_TTL_DBT_PRVS</v>
      </c>
      <c r="B334" t="s">
        <v>142</v>
      </c>
      <c r="C334" t="s">
        <v>540</v>
      </c>
      <c r="D334" t="s">
        <v>14</v>
      </c>
      <c r="E334" t="s">
        <v>25</v>
      </c>
      <c r="F334" t="s">
        <v>130</v>
      </c>
      <c r="G334" t="s">
        <v>144</v>
      </c>
      <c r="H334" t="s">
        <v>145</v>
      </c>
      <c r="I334" t="s">
        <v>29</v>
      </c>
      <c r="J334" s="15">
        <v>45450</v>
      </c>
      <c r="K334" t="s">
        <v>25</v>
      </c>
      <c r="L334" t="str">
        <f t="shared" si="18"/>
        <v>OK</v>
      </c>
      <c r="P334" t="s">
        <v>13</v>
      </c>
      <c r="Q334" t="s">
        <v>132</v>
      </c>
      <c r="R334" t="s">
        <v>133</v>
      </c>
      <c r="S334" t="s">
        <v>133</v>
      </c>
      <c r="T334" t="s">
        <v>133</v>
      </c>
      <c r="U334" t="s">
        <v>133</v>
      </c>
      <c r="V334" t="s">
        <v>132</v>
      </c>
      <c r="W334" t="s">
        <v>146</v>
      </c>
      <c r="X334" t="s">
        <v>147</v>
      </c>
    </row>
    <row r="335" spans="1:24" hidden="1" x14ac:dyDescent="0.3">
      <c r="A335" s="50" t="str">
        <f t="shared" si="19"/>
        <v>INSTRUMENT_ACCRD_INTRST_INSTRMNT</v>
      </c>
      <c r="B335" t="s">
        <v>128</v>
      </c>
      <c r="C335" t="s">
        <v>541</v>
      </c>
      <c r="D335" t="s">
        <v>14</v>
      </c>
      <c r="E335" t="s">
        <v>25</v>
      </c>
      <c r="F335" t="s">
        <v>130</v>
      </c>
      <c r="G335" t="s">
        <v>499</v>
      </c>
      <c r="I335" t="s">
        <v>29</v>
      </c>
      <c r="J335" s="15">
        <v>45450</v>
      </c>
      <c r="K335" t="s">
        <v>25</v>
      </c>
      <c r="L335" t="str">
        <f t="shared" si="18"/>
        <v>OK</v>
      </c>
      <c r="P335" t="s">
        <v>13</v>
      </c>
      <c r="Q335" t="s">
        <v>132</v>
      </c>
      <c r="R335" t="s">
        <v>133</v>
      </c>
      <c r="S335" t="s">
        <v>133</v>
      </c>
      <c r="T335" t="s">
        <v>133</v>
      </c>
      <c r="U335" t="s">
        <v>133</v>
      </c>
      <c r="V335" t="s">
        <v>132</v>
      </c>
      <c r="W335" t="s">
        <v>138</v>
      </c>
      <c r="X335" t="s">
        <v>153</v>
      </c>
    </row>
    <row r="336" spans="1:24" hidden="1" x14ac:dyDescent="0.3">
      <c r="A336" s="50" t="str">
        <f t="shared" si="19"/>
        <v>ENTITY_TTL_LVRG_RT</v>
      </c>
      <c r="B336" t="s">
        <v>142</v>
      </c>
      <c r="C336" t="s">
        <v>542</v>
      </c>
      <c r="D336" t="s">
        <v>6</v>
      </c>
      <c r="E336" t="s">
        <v>38</v>
      </c>
      <c r="F336" t="s">
        <v>130</v>
      </c>
      <c r="G336" t="s">
        <v>131</v>
      </c>
      <c r="I336" t="s">
        <v>26</v>
      </c>
      <c r="J336" s="15">
        <v>45450</v>
      </c>
      <c r="K336" t="s">
        <v>38</v>
      </c>
      <c r="L336" t="str">
        <f t="shared" ref="L336:L342" si="20">F336</f>
        <v>OK</v>
      </c>
      <c r="P336" t="s">
        <v>30</v>
      </c>
      <c r="Q336" t="s">
        <v>132</v>
      </c>
      <c r="R336" t="s">
        <v>133</v>
      </c>
      <c r="S336" t="s">
        <v>133</v>
      </c>
      <c r="T336" t="s">
        <v>133</v>
      </c>
      <c r="U336" t="s">
        <v>133</v>
      </c>
      <c r="V336" t="s">
        <v>132</v>
      </c>
      <c r="W336" t="s">
        <v>5</v>
      </c>
      <c r="X336" t="s">
        <v>135</v>
      </c>
    </row>
    <row r="337" spans="1:24" hidden="1" x14ac:dyDescent="0.3">
      <c r="A337" s="50" t="str">
        <f t="shared" si="19"/>
        <v>ENTITY_TTL_LVRG_RT_PRVS</v>
      </c>
      <c r="B337" t="s">
        <v>142</v>
      </c>
      <c r="C337" t="s">
        <v>543</v>
      </c>
      <c r="D337" t="s">
        <v>6</v>
      </c>
      <c r="E337" t="s">
        <v>38</v>
      </c>
      <c r="F337" t="s">
        <v>130</v>
      </c>
      <c r="G337" t="s">
        <v>131</v>
      </c>
      <c r="I337" t="s">
        <v>26</v>
      </c>
      <c r="J337" s="15">
        <v>45450</v>
      </c>
      <c r="K337" t="s">
        <v>38</v>
      </c>
      <c r="L337" t="str">
        <f t="shared" si="20"/>
        <v>OK</v>
      </c>
      <c r="P337" t="s">
        <v>30</v>
      </c>
      <c r="Q337" t="s">
        <v>132</v>
      </c>
      <c r="R337" t="s">
        <v>133</v>
      </c>
      <c r="S337" t="s">
        <v>133</v>
      </c>
      <c r="T337" t="s">
        <v>133</v>
      </c>
      <c r="U337" t="s">
        <v>133</v>
      </c>
      <c r="V337" t="s">
        <v>132</v>
      </c>
      <c r="W337" t="s">
        <v>5</v>
      </c>
      <c r="X337" t="s">
        <v>135</v>
      </c>
    </row>
    <row r="338" spans="1:24" hidden="1" x14ac:dyDescent="0.3">
      <c r="A338" s="50" t="str">
        <f t="shared" si="19"/>
        <v>INSTRUMENT_TYP_AMRTSTN</v>
      </c>
      <c r="B338" t="s">
        <v>128</v>
      </c>
      <c r="C338" s="11" t="s">
        <v>544</v>
      </c>
      <c r="D338" t="s">
        <v>14</v>
      </c>
      <c r="E338" t="s">
        <v>28</v>
      </c>
      <c r="F338" t="s">
        <v>149</v>
      </c>
      <c r="G338" t="s">
        <v>159</v>
      </c>
      <c r="H338" t="s">
        <v>491</v>
      </c>
      <c r="I338" t="s">
        <v>32</v>
      </c>
      <c r="J338" s="15">
        <v>45450</v>
      </c>
      <c r="K338" t="s">
        <v>28</v>
      </c>
      <c r="L338" t="str">
        <f t="shared" si="20"/>
        <v>NOK</v>
      </c>
      <c r="P338" t="s">
        <v>39</v>
      </c>
      <c r="Q338" t="s">
        <v>132</v>
      </c>
      <c r="R338" t="s">
        <v>133</v>
      </c>
      <c r="S338" t="s">
        <v>133</v>
      </c>
      <c r="T338" t="s">
        <v>133</v>
      </c>
      <c r="U338" t="s">
        <v>133</v>
      </c>
      <c r="V338" t="s">
        <v>132</v>
      </c>
      <c r="W338" t="s">
        <v>138</v>
      </c>
      <c r="X338" t="s">
        <v>222</v>
      </c>
    </row>
    <row r="339" spans="1:24" hidden="1" x14ac:dyDescent="0.3">
      <c r="A339" s="50" t="str">
        <f t="shared" si="19"/>
        <v>INSTRUMENT_TYP_CMPLNT_MRTR_C19</v>
      </c>
      <c r="B339" t="s">
        <v>128</v>
      </c>
      <c r="C339" t="s">
        <v>545</v>
      </c>
      <c r="D339" t="s">
        <v>6</v>
      </c>
      <c r="E339" t="s">
        <v>38</v>
      </c>
      <c r="F339" t="s">
        <v>130</v>
      </c>
      <c r="G339" t="s">
        <v>131</v>
      </c>
      <c r="I339" t="s">
        <v>26</v>
      </c>
      <c r="J339" s="15">
        <v>45450</v>
      </c>
      <c r="K339" t="s">
        <v>38</v>
      </c>
      <c r="L339" t="str">
        <f t="shared" si="20"/>
        <v>OK</v>
      </c>
      <c r="P339" t="s">
        <v>30</v>
      </c>
      <c r="Q339" t="s">
        <v>132</v>
      </c>
      <c r="R339" t="s">
        <v>133</v>
      </c>
      <c r="S339" t="s">
        <v>133</v>
      </c>
      <c r="T339" t="s">
        <v>133</v>
      </c>
      <c r="U339" t="s">
        <v>133</v>
      </c>
      <c r="V339" t="s">
        <v>133</v>
      </c>
      <c r="W339" t="s">
        <v>5</v>
      </c>
      <c r="X339">
        <v>0</v>
      </c>
    </row>
    <row r="340" spans="1:24" hidden="1" x14ac:dyDescent="0.3">
      <c r="A340" s="50" t="str">
        <f t="shared" si="19"/>
        <v>INSTRUMENT_TYP_CRE_OPRTN</v>
      </c>
      <c r="B340" t="s">
        <v>128</v>
      </c>
      <c r="C340" t="s">
        <v>546</v>
      </c>
      <c r="D340" t="s">
        <v>6</v>
      </c>
      <c r="E340" t="s">
        <v>36</v>
      </c>
      <c r="F340" t="s">
        <v>149</v>
      </c>
      <c r="G340" t="s">
        <v>163</v>
      </c>
      <c r="I340" t="s">
        <v>29</v>
      </c>
      <c r="J340" s="15">
        <v>45450</v>
      </c>
      <c r="K340" t="s">
        <v>36</v>
      </c>
      <c r="L340" t="str">
        <f t="shared" si="20"/>
        <v>NOK</v>
      </c>
      <c r="P340" t="s">
        <v>8</v>
      </c>
      <c r="Q340" t="s">
        <v>132</v>
      </c>
      <c r="R340" t="s">
        <v>133</v>
      </c>
      <c r="S340" t="s">
        <v>133</v>
      </c>
      <c r="T340" t="s">
        <v>133</v>
      </c>
      <c r="U340" t="s">
        <v>133</v>
      </c>
      <c r="V340" t="s">
        <v>133</v>
      </c>
      <c r="W340" t="s">
        <v>5</v>
      </c>
      <c r="X340">
        <v>0</v>
      </c>
    </row>
    <row r="341" spans="1:24" hidden="1" x14ac:dyDescent="0.3">
      <c r="A341" s="50" t="str">
        <f t="shared" si="19"/>
        <v>INSTRUMENT_TYP_INSTRMNT</v>
      </c>
      <c r="B341" t="s">
        <v>128</v>
      </c>
      <c r="C341" t="s">
        <v>547</v>
      </c>
      <c r="D341" t="s">
        <v>14</v>
      </c>
      <c r="E341" t="s">
        <v>38</v>
      </c>
      <c r="F341" t="s">
        <v>130</v>
      </c>
      <c r="G341" t="s">
        <v>131</v>
      </c>
      <c r="I341" t="s">
        <v>26</v>
      </c>
      <c r="J341" s="15">
        <v>45450</v>
      </c>
      <c r="K341" t="s">
        <v>38</v>
      </c>
      <c r="L341" t="str">
        <f t="shared" si="20"/>
        <v>OK</v>
      </c>
      <c r="P341" t="s">
        <v>30</v>
      </c>
      <c r="Q341" t="s">
        <v>132</v>
      </c>
      <c r="R341" t="s">
        <v>132</v>
      </c>
      <c r="S341" t="s">
        <v>132</v>
      </c>
      <c r="T341" t="s">
        <v>133</v>
      </c>
      <c r="U341" t="s">
        <v>133</v>
      </c>
      <c r="V341" t="s">
        <v>132</v>
      </c>
      <c r="W341" t="s">
        <v>5</v>
      </c>
      <c r="X341" t="s">
        <v>135</v>
      </c>
    </row>
    <row r="342" spans="1:24" hidden="1" x14ac:dyDescent="0.3">
      <c r="A342" s="50" t="str">
        <f t="shared" si="19"/>
        <v>INSTRUMENT_TYP_INTRST_RT</v>
      </c>
      <c r="B342" t="s">
        <v>128</v>
      </c>
      <c r="C342" t="s">
        <v>548</v>
      </c>
      <c r="D342" t="s">
        <v>14</v>
      </c>
      <c r="E342" t="s">
        <v>38</v>
      </c>
      <c r="F342" t="s">
        <v>130</v>
      </c>
      <c r="G342" t="s">
        <v>131</v>
      </c>
      <c r="I342" t="s">
        <v>26</v>
      </c>
      <c r="J342" s="15">
        <v>45450</v>
      </c>
      <c r="K342" t="s">
        <v>38</v>
      </c>
      <c r="L342" t="str">
        <f t="shared" si="20"/>
        <v>OK</v>
      </c>
      <c r="P342" t="s">
        <v>30</v>
      </c>
      <c r="Q342" t="s">
        <v>132</v>
      </c>
      <c r="R342" t="s">
        <v>133</v>
      </c>
      <c r="S342" t="s">
        <v>133</v>
      </c>
      <c r="T342" t="s">
        <v>133</v>
      </c>
      <c r="U342" t="s">
        <v>133</v>
      </c>
      <c r="V342" t="s">
        <v>133</v>
      </c>
      <c r="W342" t="s">
        <v>5</v>
      </c>
      <c r="X342">
        <v>0</v>
      </c>
    </row>
    <row r="343" spans="1:24" hidden="1" x14ac:dyDescent="0.3">
      <c r="A343" s="50" t="str">
        <f t="shared" si="19"/>
        <v>PROTECTION_PRTCTN_VL</v>
      </c>
      <c r="B343" t="s">
        <v>161</v>
      </c>
      <c r="C343" s="10" t="s">
        <v>78</v>
      </c>
      <c r="D343" t="s">
        <v>14</v>
      </c>
      <c r="E343" t="s">
        <v>35</v>
      </c>
      <c r="F343" t="s">
        <v>130</v>
      </c>
      <c r="G343" t="s">
        <v>306</v>
      </c>
      <c r="H343" t="s">
        <v>549</v>
      </c>
      <c r="I343" t="s">
        <v>32</v>
      </c>
      <c r="J343" s="15">
        <v>45562</v>
      </c>
      <c r="K343" t="s">
        <v>35</v>
      </c>
      <c r="L343" t="s">
        <v>149</v>
      </c>
      <c r="M343" t="s">
        <v>550</v>
      </c>
      <c r="P343" t="s">
        <v>24</v>
      </c>
      <c r="Q343" t="s">
        <v>132</v>
      </c>
      <c r="R343" t="s">
        <v>132</v>
      </c>
      <c r="S343" t="s">
        <v>132</v>
      </c>
      <c r="T343" t="s">
        <v>133</v>
      </c>
      <c r="U343" t="s">
        <v>133</v>
      </c>
      <c r="V343" t="s">
        <v>133</v>
      </c>
      <c r="W343" t="s">
        <v>5</v>
      </c>
      <c r="X343">
        <v>0</v>
      </c>
    </row>
    <row r="344" spans="1:24" hidden="1" x14ac:dyDescent="0.3">
      <c r="A344" s="50" t="str">
        <f t="shared" si="19"/>
        <v>PROTECTION_PRTCTN_VL_NPE</v>
      </c>
      <c r="B344" t="s">
        <v>161</v>
      </c>
      <c r="C344" s="11" t="s">
        <v>551</v>
      </c>
      <c r="D344" t="s">
        <v>14</v>
      </c>
      <c r="E344" t="s">
        <v>33</v>
      </c>
      <c r="F344" t="s">
        <v>130</v>
      </c>
      <c r="G344" t="s">
        <v>552</v>
      </c>
      <c r="I344" t="s">
        <v>32</v>
      </c>
      <c r="J344" s="15">
        <v>45568</v>
      </c>
      <c r="K344" t="s">
        <v>33</v>
      </c>
      <c r="L344" t="str">
        <f>F344</f>
        <v>OK</v>
      </c>
      <c r="P344" t="s">
        <v>39</v>
      </c>
      <c r="Q344" t="s">
        <v>132</v>
      </c>
      <c r="R344" t="s">
        <v>133</v>
      </c>
      <c r="S344" t="s">
        <v>133</v>
      </c>
      <c r="T344" t="s">
        <v>133</v>
      </c>
      <c r="U344" t="s">
        <v>133</v>
      </c>
      <c r="V344" t="s">
        <v>133</v>
      </c>
      <c r="W344" t="s">
        <v>5</v>
      </c>
      <c r="X344">
        <v>0</v>
      </c>
    </row>
    <row r="345" spans="1:24" hidden="1" x14ac:dyDescent="0.3">
      <c r="A345" s="50" t="str">
        <f t="shared" si="19"/>
        <v>PROTECTION_TYP_PRTCTN_INTRNL</v>
      </c>
      <c r="B345" t="s">
        <v>161</v>
      </c>
      <c r="C345" t="s">
        <v>553</v>
      </c>
      <c r="D345" t="s">
        <v>14</v>
      </c>
      <c r="E345" t="s">
        <v>36</v>
      </c>
      <c r="F345" t="s">
        <v>149</v>
      </c>
      <c r="G345" t="s">
        <v>163</v>
      </c>
      <c r="I345" t="s">
        <v>29</v>
      </c>
      <c r="J345" s="15">
        <v>45450</v>
      </c>
      <c r="K345" t="s">
        <v>36</v>
      </c>
      <c r="L345" t="str">
        <f t="shared" ref="L345:L351" si="21">F345</f>
        <v>NOK</v>
      </c>
      <c r="P345" t="s">
        <v>8</v>
      </c>
      <c r="Q345" t="s">
        <v>132</v>
      </c>
      <c r="R345" t="s">
        <v>133</v>
      </c>
      <c r="S345" t="s">
        <v>133</v>
      </c>
      <c r="T345" t="s">
        <v>133</v>
      </c>
      <c r="U345" t="s">
        <v>133</v>
      </c>
      <c r="V345" t="s">
        <v>133</v>
      </c>
      <c r="W345" t="s">
        <v>5</v>
      </c>
      <c r="X345">
        <v>0</v>
      </c>
    </row>
    <row r="346" spans="1:24" hidden="1" x14ac:dyDescent="0.3">
      <c r="A346" s="50" t="str">
        <f t="shared" si="19"/>
        <v>PROTECTION_TYP_PRTCTN_VL</v>
      </c>
      <c r="B346" t="s">
        <v>161</v>
      </c>
      <c r="C346" t="s">
        <v>554</v>
      </c>
      <c r="D346" t="s">
        <v>14</v>
      </c>
      <c r="E346" t="s">
        <v>36</v>
      </c>
      <c r="F346" t="s">
        <v>149</v>
      </c>
      <c r="G346" t="s">
        <v>163</v>
      </c>
      <c r="I346" t="s">
        <v>29</v>
      </c>
      <c r="J346" s="15">
        <v>45450</v>
      </c>
      <c r="K346" t="s">
        <v>36</v>
      </c>
      <c r="L346" t="str">
        <f t="shared" si="21"/>
        <v>NOK</v>
      </c>
      <c r="P346" t="s">
        <v>8</v>
      </c>
      <c r="Q346" t="s">
        <v>132</v>
      </c>
      <c r="R346" t="s">
        <v>133</v>
      </c>
      <c r="S346" t="s">
        <v>133</v>
      </c>
      <c r="T346" t="s">
        <v>133</v>
      </c>
      <c r="U346" t="s">
        <v>133</v>
      </c>
      <c r="V346" t="s">
        <v>133</v>
      </c>
      <c r="W346" t="s">
        <v>5</v>
      </c>
      <c r="X346">
        <v>0</v>
      </c>
    </row>
    <row r="347" spans="1:24" hidden="1" x14ac:dyDescent="0.3">
      <c r="A347" s="50" t="str">
        <f t="shared" si="19"/>
        <v>INSTRUMENT_TYPE_OF_PLCMNT</v>
      </c>
      <c r="B347" t="s">
        <v>128</v>
      </c>
      <c r="C347" t="s">
        <v>555</v>
      </c>
      <c r="D347" t="s">
        <v>6</v>
      </c>
      <c r="E347" t="s">
        <v>38</v>
      </c>
      <c r="F347" t="s">
        <v>130</v>
      </c>
      <c r="G347" t="s">
        <v>131</v>
      </c>
      <c r="I347" t="s">
        <v>26</v>
      </c>
      <c r="J347" s="15">
        <v>45450</v>
      </c>
      <c r="K347" t="s">
        <v>38</v>
      </c>
      <c r="L347" t="str">
        <f t="shared" si="21"/>
        <v>OK</v>
      </c>
      <c r="P347" t="s">
        <v>30</v>
      </c>
      <c r="Q347" t="s">
        <v>132</v>
      </c>
      <c r="R347" t="s">
        <v>133</v>
      </c>
      <c r="S347" t="s">
        <v>133</v>
      </c>
      <c r="T347" t="s">
        <v>133</v>
      </c>
      <c r="U347" t="s">
        <v>133</v>
      </c>
      <c r="V347" t="s">
        <v>133</v>
      </c>
      <c r="W347" t="s">
        <v>5</v>
      </c>
      <c r="X347">
        <v>0</v>
      </c>
    </row>
    <row r="348" spans="1:24" hidden="1" x14ac:dyDescent="0.3">
      <c r="A348" s="50" t="str">
        <f t="shared" si="19"/>
        <v>INSTRUMENT_VLTN_CRRNCY</v>
      </c>
      <c r="B348" t="s">
        <v>128</v>
      </c>
      <c r="C348" t="s">
        <v>556</v>
      </c>
      <c r="D348" t="s">
        <v>6</v>
      </c>
      <c r="E348" t="s">
        <v>38</v>
      </c>
      <c r="F348" t="s">
        <v>130</v>
      </c>
      <c r="G348" t="s">
        <v>131</v>
      </c>
      <c r="I348" t="s">
        <v>26</v>
      </c>
      <c r="J348" s="15">
        <v>45450</v>
      </c>
      <c r="K348" t="s">
        <v>38</v>
      </c>
      <c r="L348" t="str">
        <f t="shared" si="21"/>
        <v>OK</v>
      </c>
      <c r="P348" t="s">
        <v>30</v>
      </c>
      <c r="Q348" t="s">
        <v>132</v>
      </c>
      <c r="R348" t="s">
        <v>133</v>
      </c>
      <c r="S348" t="s">
        <v>133</v>
      </c>
      <c r="T348" t="s">
        <v>133</v>
      </c>
      <c r="U348" t="s">
        <v>133</v>
      </c>
      <c r="V348" t="s">
        <v>133</v>
      </c>
      <c r="W348" t="s">
        <v>5</v>
      </c>
      <c r="X348">
        <v>0</v>
      </c>
    </row>
    <row r="349" spans="1:24" hidden="1" x14ac:dyDescent="0.3">
      <c r="A349" s="50" t="str">
        <f t="shared" si="19"/>
        <v>INSTRUMENT_VLTN_TYP</v>
      </c>
      <c r="B349" t="s">
        <v>128</v>
      </c>
      <c r="C349" t="s">
        <v>557</v>
      </c>
      <c r="D349" t="s">
        <v>6</v>
      </c>
      <c r="E349" t="s">
        <v>38</v>
      </c>
      <c r="F349" t="s">
        <v>130</v>
      </c>
      <c r="G349" t="s">
        <v>131</v>
      </c>
      <c r="I349" t="s">
        <v>26</v>
      </c>
      <c r="J349" s="15">
        <v>45450</v>
      </c>
      <c r="K349" t="s">
        <v>38</v>
      </c>
      <c r="L349" t="str">
        <f t="shared" si="21"/>
        <v>OK</v>
      </c>
      <c r="P349" t="s">
        <v>30</v>
      </c>
      <c r="Q349" t="s">
        <v>132</v>
      </c>
      <c r="R349" t="s">
        <v>133</v>
      </c>
      <c r="S349" t="s">
        <v>133</v>
      </c>
      <c r="T349" t="s">
        <v>133</v>
      </c>
      <c r="U349" t="s">
        <v>133</v>
      </c>
      <c r="V349" t="s">
        <v>133</v>
      </c>
      <c r="W349" t="s">
        <v>5</v>
      </c>
      <c r="X349">
        <v>0</v>
      </c>
    </row>
    <row r="350" spans="1:24" hidden="1" x14ac:dyDescent="0.3">
      <c r="A350" s="50" t="str">
        <f t="shared" si="19"/>
        <v>ENTITY_WTCH_LST</v>
      </c>
      <c r="B350" t="s">
        <v>142</v>
      </c>
      <c r="C350" t="s">
        <v>558</v>
      </c>
      <c r="D350" t="s">
        <v>14</v>
      </c>
      <c r="E350" t="s">
        <v>38</v>
      </c>
      <c r="F350" t="s">
        <v>130</v>
      </c>
      <c r="G350" t="s">
        <v>131</v>
      </c>
      <c r="I350" t="s">
        <v>26</v>
      </c>
      <c r="J350" s="15">
        <v>45450</v>
      </c>
      <c r="K350" t="s">
        <v>38</v>
      </c>
      <c r="L350" t="str">
        <f t="shared" si="21"/>
        <v>OK</v>
      </c>
      <c r="P350" t="s">
        <v>30</v>
      </c>
      <c r="Q350" t="s">
        <v>132</v>
      </c>
      <c r="R350" t="s">
        <v>133</v>
      </c>
      <c r="S350" t="s">
        <v>133</v>
      </c>
      <c r="T350" t="s">
        <v>133</v>
      </c>
      <c r="U350" t="s">
        <v>133</v>
      </c>
      <c r="V350" t="s">
        <v>132</v>
      </c>
      <c r="W350" t="s">
        <v>5</v>
      </c>
      <c r="X350" t="s">
        <v>135</v>
      </c>
    </row>
    <row r="351" spans="1:24" hidden="1" x14ac:dyDescent="0.3">
      <c r="A351" s="50" t="str">
        <f t="shared" si="19"/>
        <v>PROTECTION_YR_CNSTRCTN</v>
      </c>
      <c r="B351" t="s">
        <v>161</v>
      </c>
      <c r="C351" t="s">
        <v>559</v>
      </c>
      <c r="D351" t="s">
        <v>6</v>
      </c>
      <c r="E351" t="s">
        <v>20</v>
      </c>
      <c r="F351" t="s">
        <v>130</v>
      </c>
      <c r="G351" t="s">
        <v>236</v>
      </c>
      <c r="I351" t="s">
        <v>29</v>
      </c>
      <c r="J351" s="15">
        <v>45450</v>
      </c>
      <c r="K351" t="s">
        <v>20</v>
      </c>
      <c r="L351" t="str">
        <f t="shared" si="21"/>
        <v>OK</v>
      </c>
      <c r="P351" t="s">
        <v>19</v>
      </c>
      <c r="Q351" t="s">
        <v>132</v>
      </c>
      <c r="R351" t="s">
        <v>133</v>
      </c>
      <c r="S351" t="s">
        <v>132</v>
      </c>
      <c r="T351" t="s">
        <v>133</v>
      </c>
      <c r="U351" t="s">
        <v>132</v>
      </c>
      <c r="V351" t="s">
        <v>133</v>
      </c>
      <c r="W351" t="s">
        <v>5</v>
      </c>
      <c r="X351">
        <v>0</v>
      </c>
    </row>
    <row r="352" spans="1:24" hidden="1" x14ac:dyDescent="0.3">
      <c r="A352" s="50" t="str">
        <f t="shared" si="19"/>
        <v>ENTITY_ADDRSS_CTY</v>
      </c>
      <c r="B352" t="s">
        <v>142</v>
      </c>
      <c r="C352" t="s">
        <v>560</v>
      </c>
      <c r="D352" t="s">
        <v>6</v>
      </c>
      <c r="E352" t="s">
        <v>20</v>
      </c>
      <c r="I352" t="s">
        <v>29</v>
      </c>
      <c r="J352" s="15">
        <v>45667</v>
      </c>
      <c r="K352" t="s">
        <v>20</v>
      </c>
      <c r="Q352" t="s">
        <v>132</v>
      </c>
      <c r="R352" t="s">
        <v>133</v>
      </c>
      <c r="S352" t="s">
        <v>133</v>
      </c>
      <c r="T352" t="s">
        <v>133</v>
      </c>
      <c r="U352" t="s">
        <v>133</v>
      </c>
      <c r="V352" t="s">
        <v>133</v>
      </c>
      <c r="W352" t="s">
        <v>561</v>
      </c>
      <c r="X352">
        <v>0</v>
      </c>
    </row>
    <row r="353" spans="1:24" hidden="1" x14ac:dyDescent="0.3">
      <c r="A353" s="50" t="str">
        <f t="shared" si="19"/>
        <v>ENTITY_ADDRSS_STRT</v>
      </c>
      <c r="B353" t="s">
        <v>142</v>
      </c>
      <c r="C353" t="s">
        <v>562</v>
      </c>
      <c r="D353" t="s">
        <v>6</v>
      </c>
      <c r="E353" t="s">
        <v>20</v>
      </c>
      <c r="I353" t="s">
        <v>29</v>
      </c>
      <c r="J353" s="15">
        <v>45667</v>
      </c>
      <c r="K353" t="s">
        <v>20</v>
      </c>
      <c r="Q353" t="s">
        <v>132</v>
      </c>
      <c r="R353" t="s">
        <v>133</v>
      </c>
      <c r="S353" t="s">
        <v>133</v>
      </c>
      <c r="T353" t="s">
        <v>133</v>
      </c>
      <c r="U353" t="s">
        <v>133</v>
      </c>
      <c r="V353" t="s">
        <v>133</v>
      </c>
      <c r="W353" t="s">
        <v>561</v>
      </c>
      <c r="X353">
        <v>0</v>
      </c>
    </row>
    <row r="354" spans="1:24" hidden="1" x14ac:dyDescent="0.3">
      <c r="A354" s="50" t="str">
        <f t="shared" si="19"/>
        <v>ENTITY_DT_ENTRPRS_SZ</v>
      </c>
      <c r="B354" t="s">
        <v>142</v>
      </c>
      <c r="C354" t="s">
        <v>563</v>
      </c>
      <c r="D354" t="s">
        <v>6</v>
      </c>
      <c r="E354" t="s">
        <v>20</v>
      </c>
      <c r="I354" t="s">
        <v>29</v>
      </c>
      <c r="J354" s="15">
        <v>45667</v>
      </c>
      <c r="K354" t="s">
        <v>20</v>
      </c>
      <c r="Q354" t="s">
        <v>132</v>
      </c>
      <c r="R354" t="s">
        <v>133</v>
      </c>
      <c r="S354" t="s">
        <v>133</v>
      </c>
      <c r="T354" t="s">
        <v>133</v>
      </c>
      <c r="U354" t="s">
        <v>133</v>
      </c>
      <c r="V354" t="s">
        <v>133</v>
      </c>
      <c r="W354" t="s">
        <v>561</v>
      </c>
      <c r="X354">
        <v>0</v>
      </c>
    </row>
    <row r="355" spans="1:24" hidden="1" x14ac:dyDescent="0.3">
      <c r="A355" s="50" t="str">
        <f t="shared" si="19"/>
        <v>ENTITY_NMBR_EMPLYS</v>
      </c>
      <c r="B355" t="s">
        <v>142</v>
      </c>
      <c r="C355" t="s">
        <v>564</v>
      </c>
      <c r="D355" t="s">
        <v>6</v>
      </c>
      <c r="E355" t="s">
        <v>20</v>
      </c>
      <c r="I355" t="s">
        <v>29</v>
      </c>
      <c r="J355" s="15">
        <v>45667</v>
      </c>
      <c r="K355" t="s">
        <v>20</v>
      </c>
      <c r="Q355" t="s">
        <v>132</v>
      </c>
      <c r="R355" t="s">
        <v>133</v>
      </c>
      <c r="S355" t="s">
        <v>133</v>
      </c>
      <c r="T355" t="s">
        <v>133</v>
      </c>
      <c r="U355" t="s">
        <v>133</v>
      </c>
      <c r="V355" t="s">
        <v>133</v>
      </c>
      <c r="W355" t="s">
        <v>561</v>
      </c>
      <c r="X355">
        <v>0</v>
      </c>
    </row>
    <row r="356" spans="1:24" hidden="1" x14ac:dyDescent="0.3">
      <c r="A356" s="50" t="str">
        <f t="shared" si="19"/>
        <v>ENTITY_LGL_FRM</v>
      </c>
      <c r="B356" t="s">
        <v>142</v>
      </c>
      <c r="C356" t="s">
        <v>565</v>
      </c>
      <c r="D356" t="s">
        <v>6</v>
      </c>
      <c r="E356" t="s">
        <v>20</v>
      </c>
      <c r="I356" t="s">
        <v>29</v>
      </c>
      <c r="J356" s="15">
        <v>45667</v>
      </c>
      <c r="K356" t="s">
        <v>20</v>
      </c>
      <c r="Q356" t="s">
        <v>132</v>
      </c>
      <c r="R356" t="s">
        <v>133</v>
      </c>
      <c r="S356" t="s">
        <v>133</v>
      </c>
      <c r="T356" t="s">
        <v>133</v>
      </c>
      <c r="U356" t="s">
        <v>133</v>
      </c>
      <c r="V356" t="s">
        <v>133</v>
      </c>
      <c r="W356" t="s">
        <v>561</v>
      </c>
      <c r="X356">
        <v>0</v>
      </c>
    </row>
    <row r="357" spans="1:24" hidden="1" x14ac:dyDescent="0.3">
      <c r="A357" s="50" t="str">
        <f t="shared" si="19"/>
        <v>ENTITY_HD_OFFC_UNDRTKNG_ID</v>
      </c>
      <c r="B357" t="s">
        <v>142</v>
      </c>
      <c r="C357" t="s">
        <v>566</v>
      </c>
      <c r="D357" t="s">
        <v>6</v>
      </c>
      <c r="E357" t="s">
        <v>20</v>
      </c>
      <c r="I357" t="s">
        <v>29</v>
      </c>
      <c r="J357" s="15">
        <v>45667</v>
      </c>
      <c r="K357" t="s">
        <v>20</v>
      </c>
      <c r="Q357" t="s">
        <v>132</v>
      </c>
      <c r="R357" t="s">
        <v>133</v>
      </c>
      <c r="S357" t="s">
        <v>133</v>
      </c>
      <c r="T357" t="s">
        <v>133</v>
      </c>
      <c r="U357" t="s">
        <v>133</v>
      </c>
      <c r="V357" t="s">
        <v>133</v>
      </c>
      <c r="W357" t="s">
        <v>561</v>
      </c>
      <c r="X357">
        <v>0</v>
      </c>
    </row>
    <row r="358" spans="1:24" hidden="1" x14ac:dyDescent="0.3">
      <c r="A358" s="50" t="str">
        <f t="shared" si="19"/>
        <v>ENTITY_IMMDT_PRNT_UNDRTKNG_ID</v>
      </c>
      <c r="B358" t="s">
        <v>142</v>
      </c>
      <c r="C358" t="s">
        <v>567</v>
      </c>
      <c r="D358" t="s">
        <v>6</v>
      </c>
      <c r="E358" t="s">
        <v>20</v>
      </c>
      <c r="I358" t="s">
        <v>29</v>
      </c>
      <c r="J358" s="15">
        <v>45667</v>
      </c>
      <c r="K358" t="s">
        <v>20</v>
      </c>
      <c r="Q358" t="s">
        <v>132</v>
      </c>
      <c r="R358" t="s">
        <v>133</v>
      </c>
      <c r="S358" t="s">
        <v>133</v>
      </c>
      <c r="T358" t="s">
        <v>133</v>
      </c>
      <c r="U358" t="s">
        <v>133</v>
      </c>
      <c r="V358" t="s">
        <v>133</v>
      </c>
      <c r="W358" t="s">
        <v>561</v>
      </c>
      <c r="X358">
        <v>0</v>
      </c>
    </row>
    <row r="359" spans="1:24" hidden="1" x14ac:dyDescent="0.3">
      <c r="A359" s="50" t="str">
        <f t="shared" si="19"/>
        <v>ENTITY_ULTMT_PRNT_UNDRTKNG_ID</v>
      </c>
      <c r="B359" t="s">
        <v>142</v>
      </c>
      <c r="C359" t="s">
        <v>568</v>
      </c>
      <c r="D359" t="s">
        <v>6</v>
      </c>
      <c r="E359" t="s">
        <v>20</v>
      </c>
      <c r="I359" t="s">
        <v>29</v>
      </c>
      <c r="J359" s="15">
        <v>45667</v>
      </c>
      <c r="K359" t="s">
        <v>20</v>
      </c>
      <c r="Q359" t="s">
        <v>132</v>
      </c>
      <c r="R359" t="s">
        <v>133</v>
      </c>
      <c r="S359" t="s">
        <v>133</v>
      </c>
      <c r="T359" t="s">
        <v>133</v>
      </c>
      <c r="U359" t="s">
        <v>133</v>
      </c>
      <c r="V359" t="s">
        <v>133</v>
      </c>
      <c r="W359" t="s">
        <v>561</v>
      </c>
      <c r="X359">
        <v>0</v>
      </c>
    </row>
    <row r="360" spans="1:24" hidden="1" x14ac:dyDescent="0.3">
      <c r="A360" s="50" t="str">
        <f t="shared" si="19"/>
        <v>ENTITY_TTL_ASSTS</v>
      </c>
      <c r="B360" t="s">
        <v>142</v>
      </c>
      <c r="C360" t="s">
        <v>569</v>
      </c>
      <c r="D360" t="s">
        <v>6</v>
      </c>
      <c r="E360" t="s">
        <v>20</v>
      </c>
      <c r="I360" t="s">
        <v>29</v>
      </c>
      <c r="J360" s="15">
        <v>45667</v>
      </c>
      <c r="K360" t="s">
        <v>20</v>
      </c>
      <c r="Q360" t="s">
        <v>132</v>
      </c>
      <c r="R360" t="s">
        <v>133</v>
      </c>
      <c r="S360" t="s">
        <v>133</v>
      </c>
      <c r="T360" t="s">
        <v>133</v>
      </c>
      <c r="U360" t="s">
        <v>133</v>
      </c>
      <c r="V360" t="s">
        <v>133</v>
      </c>
      <c r="W360" t="s">
        <v>561</v>
      </c>
      <c r="X360">
        <v>0</v>
      </c>
    </row>
    <row r="361" spans="1:24" hidden="1" x14ac:dyDescent="0.3">
      <c r="A361" s="50" t="str">
        <f t="shared" si="19"/>
        <v>ENTITY_ENTTY_ID_BDR</v>
      </c>
      <c r="B361" t="s">
        <v>142</v>
      </c>
      <c r="C361" t="s">
        <v>570</v>
      </c>
      <c r="D361" t="s">
        <v>6</v>
      </c>
      <c r="E361" t="s">
        <v>20</v>
      </c>
      <c r="I361" t="s">
        <v>29</v>
      </c>
      <c r="J361" s="15">
        <v>45667</v>
      </c>
      <c r="K361" t="s">
        <v>20</v>
      </c>
      <c r="Q361" t="s">
        <v>132</v>
      </c>
      <c r="R361" t="s">
        <v>133</v>
      </c>
      <c r="S361" t="s">
        <v>133</v>
      </c>
      <c r="T361" t="s">
        <v>133</v>
      </c>
      <c r="U361" t="s">
        <v>133</v>
      </c>
      <c r="V361" t="s">
        <v>133</v>
      </c>
      <c r="W361" t="s">
        <v>561</v>
      </c>
      <c r="X361">
        <v>0</v>
      </c>
    </row>
    <row r="362" spans="1:24" hidden="1" x14ac:dyDescent="0.3">
      <c r="A362" s="50" t="str">
        <f t="shared" si="19"/>
        <v>INSTRUMENT_CPN_RT_FLTNG</v>
      </c>
      <c r="B362" t="s">
        <v>128</v>
      </c>
      <c r="C362" t="s">
        <v>571</v>
      </c>
      <c r="D362" t="s">
        <v>6</v>
      </c>
      <c r="E362" t="s">
        <v>20</v>
      </c>
      <c r="I362" t="s">
        <v>29</v>
      </c>
      <c r="J362" s="15">
        <v>45667</v>
      </c>
      <c r="K362" t="s">
        <v>20</v>
      </c>
      <c r="Q362" t="s">
        <v>132</v>
      </c>
      <c r="R362" t="s">
        <v>133</v>
      </c>
      <c r="S362" t="s">
        <v>133</v>
      </c>
      <c r="T362" t="s">
        <v>133</v>
      </c>
      <c r="U362" t="s">
        <v>133</v>
      </c>
      <c r="V362" t="s">
        <v>133</v>
      </c>
      <c r="W362" t="s">
        <v>561</v>
      </c>
      <c r="X362">
        <v>0</v>
      </c>
    </row>
    <row r="363" spans="1:24" hidden="1" x14ac:dyDescent="0.3">
      <c r="A363" s="50" t="str">
        <f t="shared" si="19"/>
        <v>INSTRUMENT_INTRST_RT_CP</v>
      </c>
      <c r="B363" t="s">
        <v>128</v>
      </c>
      <c r="C363" t="s">
        <v>572</v>
      </c>
      <c r="D363" t="s">
        <v>6</v>
      </c>
      <c r="E363" t="s">
        <v>20</v>
      </c>
      <c r="I363" t="s">
        <v>29</v>
      </c>
      <c r="J363" s="15">
        <v>45667</v>
      </c>
      <c r="K363" t="s">
        <v>20</v>
      </c>
      <c r="Q363" t="s">
        <v>132</v>
      </c>
      <c r="R363" t="s">
        <v>133</v>
      </c>
      <c r="S363" t="s">
        <v>133</v>
      </c>
      <c r="T363" t="s">
        <v>133</v>
      </c>
      <c r="U363" t="s">
        <v>133</v>
      </c>
      <c r="V363" t="s">
        <v>133</v>
      </c>
      <c r="W363" t="s">
        <v>561</v>
      </c>
      <c r="X363">
        <v>0</v>
      </c>
    </row>
    <row r="364" spans="1:24" hidden="1" x14ac:dyDescent="0.3">
      <c r="A364" s="50" t="str">
        <f t="shared" si="19"/>
        <v>INSTRUMENT_INTRST_RT_FLR</v>
      </c>
      <c r="B364" t="s">
        <v>128</v>
      </c>
      <c r="C364" t="s">
        <v>573</v>
      </c>
      <c r="D364" t="s">
        <v>6</v>
      </c>
      <c r="E364" t="s">
        <v>20</v>
      </c>
      <c r="I364" t="s">
        <v>29</v>
      </c>
      <c r="J364" s="15">
        <v>45667</v>
      </c>
      <c r="K364" t="s">
        <v>20</v>
      </c>
      <c r="Q364" t="s">
        <v>132</v>
      </c>
      <c r="R364" t="s">
        <v>133</v>
      </c>
      <c r="S364" t="s">
        <v>133</v>
      </c>
      <c r="T364" t="s">
        <v>133</v>
      </c>
      <c r="U364" t="s">
        <v>133</v>
      </c>
      <c r="V364" t="s">
        <v>133</v>
      </c>
      <c r="W364" t="s">
        <v>561</v>
      </c>
      <c r="X364">
        <v>0</v>
      </c>
    </row>
    <row r="365" spans="1:24" hidden="1" x14ac:dyDescent="0.3">
      <c r="A365" s="50" t="str">
        <f t="shared" si="19"/>
        <v>INSTRUMENT_NMNL_INTRST_RT_FEE</v>
      </c>
      <c r="B365" t="s">
        <v>128</v>
      </c>
      <c r="C365" t="s">
        <v>574</v>
      </c>
      <c r="D365" t="s">
        <v>6</v>
      </c>
      <c r="E365" t="s">
        <v>20</v>
      </c>
      <c r="I365" t="s">
        <v>29</v>
      </c>
      <c r="J365" s="15">
        <v>45667</v>
      </c>
      <c r="K365" t="s">
        <v>20</v>
      </c>
      <c r="Q365" t="s">
        <v>132</v>
      </c>
      <c r="R365" t="s">
        <v>133</v>
      </c>
      <c r="S365" t="s">
        <v>133</v>
      </c>
      <c r="T365" t="s">
        <v>133</v>
      </c>
      <c r="U365" t="s">
        <v>133</v>
      </c>
      <c r="V365" t="s">
        <v>133</v>
      </c>
      <c r="W365" t="s">
        <v>561</v>
      </c>
      <c r="X365">
        <v>0</v>
      </c>
    </row>
    <row r="366" spans="1:24" hidden="1" x14ac:dyDescent="0.3">
      <c r="A366" s="50" t="str">
        <f t="shared" si="19"/>
        <v>INSTRUMENT_DT_STTLMNT</v>
      </c>
      <c r="B366" t="s">
        <v>128</v>
      </c>
      <c r="C366" t="s">
        <v>575</v>
      </c>
      <c r="D366" t="s">
        <v>6</v>
      </c>
      <c r="E366" t="s">
        <v>20</v>
      </c>
      <c r="I366" t="s">
        <v>29</v>
      </c>
      <c r="J366" s="15">
        <v>45667</v>
      </c>
      <c r="K366" t="s">
        <v>20</v>
      </c>
      <c r="Q366" t="s">
        <v>132</v>
      </c>
      <c r="R366" t="s">
        <v>133</v>
      </c>
      <c r="S366" t="s">
        <v>133</v>
      </c>
      <c r="T366" t="s">
        <v>133</v>
      </c>
      <c r="U366" t="s">
        <v>133</v>
      </c>
      <c r="V366" t="s">
        <v>133</v>
      </c>
      <c r="W366" t="s">
        <v>561</v>
      </c>
      <c r="X366">
        <v>0</v>
      </c>
    </row>
    <row r="367" spans="1:24" hidden="1" x14ac:dyDescent="0.3">
      <c r="A367" s="50" t="str">
        <f t="shared" si="19"/>
        <v>INSTRUMENT_TRNSFRRD_AMNT</v>
      </c>
      <c r="B367" t="s">
        <v>128</v>
      </c>
      <c r="C367" t="s">
        <v>576</v>
      </c>
      <c r="D367" t="s">
        <v>6</v>
      </c>
      <c r="E367" t="s">
        <v>20</v>
      </c>
      <c r="I367" t="s">
        <v>29</v>
      </c>
      <c r="J367" s="15">
        <v>45667</v>
      </c>
      <c r="K367" t="s">
        <v>20</v>
      </c>
      <c r="Q367" t="s">
        <v>132</v>
      </c>
      <c r="R367" t="s">
        <v>133</v>
      </c>
      <c r="S367" t="s">
        <v>133</v>
      </c>
      <c r="T367" t="s">
        <v>133</v>
      </c>
      <c r="U367" t="s">
        <v>133</v>
      </c>
      <c r="V367" t="s">
        <v>133</v>
      </c>
      <c r="W367" t="s">
        <v>561</v>
      </c>
      <c r="X367">
        <v>0</v>
      </c>
    </row>
    <row r="368" spans="1:24" hidden="1" x14ac:dyDescent="0.3">
      <c r="A368" s="50" t="str">
        <f t="shared" si="19"/>
        <v>INSTRUMENT_TYP_SCRTZTN</v>
      </c>
      <c r="B368" t="s">
        <v>128</v>
      </c>
      <c r="C368" t="s">
        <v>577</v>
      </c>
      <c r="D368" t="s">
        <v>6</v>
      </c>
      <c r="E368" t="s">
        <v>20</v>
      </c>
      <c r="I368" t="s">
        <v>29</v>
      </c>
      <c r="J368" s="15">
        <v>45667</v>
      </c>
      <c r="K368" t="s">
        <v>20</v>
      </c>
      <c r="Q368" t="s">
        <v>132</v>
      </c>
      <c r="R368" t="s">
        <v>133</v>
      </c>
      <c r="S368" t="s">
        <v>133</v>
      </c>
      <c r="T368" t="s">
        <v>133</v>
      </c>
      <c r="U368" t="s">
        <v>133</v>
      </c>
      <c r="V368" t="s">
        <v>133</v>
      </c>
      <c r="W368" t="s">
        <v>561</v>
      </c>
      <c r="X368">
        <v>0</v>
      </c>
    </row>
    <row r="369" spans="1:24" hidden="1" x14ac:dyDescent="0.3">
      <c r="A369" s="50" t="str">
        <f t="shared" si="19"/>
        <v>INSTRUMENT_TYP_OFF_BLNC_PRDCT</v>
      </c>
      <c r="B369" t="s">
        <v>128</v>
      </c>
      <c r="C369" t="s">
        <v>578</v>
      </c>
      <c r="D369" t="s">
        <v>6</v>
      </c>
      <c r="E369" t="s">
        <v>20</v>
      </c>
      <c r="I369" t="s">
        <v>29</v>
      </c>
      <c r="J369" s="15">
        <v>45667</v>
      </c>
      <c r="K369" t="s">
        <v>20</v>
      </c>
      <c r="Q369" t="s">
        <v>132</v>
      </c>
      <c r="R369" t="s">
        <v>132</v>
      </c>
      <c r="S369" t="s">
        <v>132</v>
      </c>
      <c r="T369" t="s">
        <v>133</v>
      </c>
      <c r="U369" t="s">
        <v>133</v>
      </c>
      <c r="V369" t="s">
        <v>132</v>
      </c>
      <c r="W369" t="s">
        <v>138</v>
      </c>
      <c r="X369" t="s">
        <v>579</v>
      </c>
    </row>
    <row r="370" spans="1:24" hidden="1" x14ac:dyDescent="0.3">
      <c r="A370" s="50" t="str">
        <f t="shared" si="19"/>
        <v>INSTRUMENT_BLNC_SHT_RCGNTN</v>
      </c>
      <c r="B370" t="s">
        <v>128</v>
      </c>
      <c r="C370" t="s">
        <v>580</v>
      </c>
      <c r="D370" t="s">
        <v>6</v>
      </c>
      <c r="E370" t="s">
        <v>20</v>
      </c>
      <c r="I370" t="s">
        <v>29</v>
      </c>
      <c r="J370" s="15">
        <v>45667</v>
      </c>
      <c r="K370" t="s">
        <v>20</v>
      </c>
      <c r="Q370" t="s">
        <v>132</v>
      </c>
      <c r="R370" t="s">
        <v>133</v>
      </c>
      <c r="S370" t="s">
        <v>133</v>
      </c>
      <c r="T370" t="s">
        <v>133</v>
      </c>
      <c r="U370" t="s">
        <v>133</v>
      </c>
      <c r="V370" t="s">
        <v>133</v>
      </c>
      <c r="W370" t="s">
        <v>561</v>
      </c>
      <c r="X370">
        <v>0</v>
      </c>
    </row>
    <row r="371" spans="1:24" hidden="1" x14ac:dyDescent="0.3">
      <c r="A371" s="50" t="str">
        <f t="shared" si="19"/>
        <v>INSTRUMENT_FLG_DFLT</v>
      </c>
      <c r="B371" t="s">
        <v>128</v>
      </c>
      <c r="C371" t="s">
        <v>581</v>
      </c>
      <c r="D371" t="s">
        <v>6</v>
      </c>
      <c r="E371" t="s">
        <v>20</v>
      </c>
      <c r="I371" t="s">
        <v>29</v>
      </c>
      <c r="J371" s="15">
        <v>45667</v>
      </c>
      <c r="K371" t="s">
        <v>20</v>
      </c>
      <c r="Q371" t="s">
        <v>132</v>
      </c>
      <c r="R371" t="s">
        <v>133</v>
      </c>
      <c r="S371" t="s">
        <v>133</v>
      </c>
      <c r="T371" t="s">
        <v>133</v>
      </c>
      <c r="U371" t="s">
        <v>133</v>
      </c>
      <c r="V371" t="s">
        <v>133</v>
      </c>
      <c r="W371" t="s">
        <v>561</v>
      </c>
      <c r="X371">
        <v>0</v>
      </c>
    </row>
    <row r="372" spans="1:24" hidden="1" x14ac:dyDescent="0.3">
      <c r="A372" s="50" t="str">
        <f t="shared" si="19"/>
        <v>INSTRUMENT_FLG_HGH_RSK</v>
      </c>
      <c r="B372" t="s">
        <v>128</v>
      </c>
      <c r="C372" t="s">
        <v>582</v>
      </c>
      <c r="D372" t="s">
        <v>6</v>
      </c>
      <c r="E372" t="s">
        <v>20</v>
      </c>
      <c r="I372" t="s">
        <v>29</v>
      </c>
      <c r="J372" s="15">
        <v>45667</v>
      </c>
      <c r="K372" t="s">
        <v>20</v>
      </c>
      <c r="Q372" t="s">
        <v>132</v>
      </c>
      <c r="R372" t="s">
        <v>133</v>
      </c>
      <c r="S372" t="s">
        <v>133</v>
      </c>
      <c r="T372" t="s">
        <v>133</v>
      </c>
      <c r="U372" t="s">
        <v>133</v>
      </c>
      <c r="V372" t="s">
        <v>133</v>
      </c>
      <c r="W372" t="s">
        <v>561</v>
      </c>
      <c r="X372">
        <v>0</v>
      </c>
    </row>
    <row r="373" spans="1:24" hidden="1" x14ac:dyDescent="0.3">
      <c r="A373" s="50" t="str">
        <f t="shared" si="19"/>
        <v>INSTRUMENT_PRTNR</v>
      </c>
      <c r="B373" t="s">
        <v>128</v>
      </c>
      <c r="C373" t="s">
        <v>583</v>
      </c>
      <c r="D373" t="s">
        <v>6</v>
      </c>
      <c r="E373" t="s">
        <v>20</v>
      </c>
      <c r="I373" t="s">
        <v>29</v>
      </c>
      <c r="J373" s="15">
        <v>45667</v>
      </c>
      <c r="K373" t="s">
        <v>20</v>
      </c>
      <c r="Q373" t="s">
        <v>132</v>
      </c>
      <c r="R373" t="s">
        <v>133</v>
      </c>
      <c r="S373" t="s">
        <v>133</v>
      </c>
      <c r="T373" t="s">
        <v>132</v>
      </c>
      <c r="U373" t="s">
        <v>133</v>
      </c>
      <c r="V373" t="s">
        <v>133</v>
      </c>
      <c r="W373" t="s">
        <v>561</v>
      </c>
      <c r="X373">
        <v>0</v>
      </c>
    </row>
    <row r="374" spans="1:24" hidden="1" x14ac:dyDescent="0.3">
      <c r="A374" s="50" t="str">
        <f t="shared" si="19"/>
        <v>INSTRUMENT_INCNTVS</v>
      </c>
      <c r="B374" t="s">
        <v>128</v>
      </c>
      <c r="C374" t="s">
        <v>584</v>
      </c>
      <c r="D374" t="s">
        <v>6</v>
      </c>
      <c r="E374" t="s">
        <v>20</v>
      </c>
      <c r="I374" t="s">
        <v>29</v>
      </c>
      <c r="J374" s="15">
        <v>45667</v>
      </c>
      <c r="K374" t="s">
        <v>20</v>
      </c>
      <c r="Q374" t="s">
        <v>132</v>
      </c>
      <c r="R374" t="s">
        <v>133</v>
      </c>
      <c r="S374" t="s">
        <v>133</v>
      </c>
      <c r="T374" t="s">
        <v>132</v>
      </c>
      <c r="U374" t="s">
        <v>133</v>
      </c>
      <c r="V374" t="s">
        <v>133</v>
      </c>
      <c r="W374" t="s">
        <v>561</v>
      </c>
      <c r="X374">
        <v>0</v>
      </c>
    </row>
    <row r="375" spans="1:24" hidden="1" x14ac:dyDescent="0.3">
      <c r="A375" s="50" t="str">
        <f t="shared" si="19"/>
        <v>INSTRUMENT_OTHR_OPRTNG_INCM</v>
      </c>
      <c r="B375" t="s">
        <v>128</v>
      </c>
      <c r="C375" t="s">
        <v>585</v>
      </c>
      <c r="D375" t="s">
        <v>6</v>
      </c>
      <c r="E375" t="s">
        <v>20</v>
      </c>
      <c r="I375" t="s">
        <v>29</v>
      </c>
      <c r="J375" s="15">
        <v>45667</v>
      </c>
      <c r="K375" t="s">
        <v>20</v>
      </c>
      <c r="Q375" t="s">
        <v>132</v>
      </c>
      <c r="R375" t="s">
        <v>133</v>
      </c>
      <c r="S375" t="s">
        <v>133</v>
      </c>
      <c r="T375" t="s">
        <v>132</v>
      </c>
      <c r="U375" t="s">
        <v>133</v>
      </c>
      <c r="V375" t="s">
        <v>133</v>
      </c>
      <c r="W375" t="s">
        <v>561</v>
      </c>
      <c r="X375">
        <v>0</v>
      </c>
    </row>
    <row r="376" spans="1:24" hidden="1" x14ac:dyDescent="0.3">
      <c r="A376" s="50" t="str">
        <f t="shared" si="19"/>
        <v>INSTRUMENT_RFRRL_FS</v>
      </c>
      <c r="B376" t="s">
        <v>128</v>
      </c>
      <c r="C376" t="s">
        <v>586</v>
      </c>
      <c r="D376" t="s">
        <v>6</v>
      </c>
      <c r="E376" t="s">
        <v>20</v>
      </c>
      <c r="I376" t="s">
        <v>29</v>
      </c>
      <c r="J376" s="15">
        <v>45667</v>
      </c>
      <c r="K376" t="s">
        <v>20</v>
      </c>
      <c r="Q376" t="s">
        <v>132</v>
      </c>
      <c r="R376" t="s">
        <v>133</v>
      </c>
      <c r="S376" t="s">
        <v>133</v>
      </c>
      <c r="T376" t="s">
        <v>132</v>
      </c>
      <c r="U376" t="s">
        <v>133</v>
      </c>
      <c r="V376" t="s">
        <v>133</v>
      </c>
      <c r="W376" t="s">
        <v>561</v>
      </c>
      <c r="X376">
        <v>0</v>
      </c>
    </row>
    <row r="377" spans="1:24" hidden="1" x14ac:dyDescent="0.3">
      <c r="A377" s="50" t="str">
        <f t="shared" si="19"/>
        <v>INSTRUMENT_INSRNC_CMSSNS</v>
      </c>
      <c r="B377" t="s">
        <v>128</v>
      </c>
      <c r="C377" t="s">
        <v>587</v>
      </c>
      <c r="D377" t="s">
        <v>6</v>
      </c>
      <c r="E377" t="s">
        <v>20</v>
      </c>
      <c r="I377" t="s">
        <v>29</v>
      </c>
      <c r="J377" s="15">
        <v>45667</v>
      </c>
      <c r="K377" t="s">
        <v>20</v>
      </c>
      <c r="Q377" t="s">
        <v>132</v>
      </c>
      <c r="R377" t="s">
        <v>133</v>
      </c>
      <c r="S377" t="s">
        <v>133</v>
      </c>
      <c r="T377" t="s">
        <v>132</v>
      </c>
      <c r="U377" t="s">
        <v>133</v>
      </c>
      <c r="V377" t="s">
        <v>133</v>
      </c>
      <c r="W377" t="s">
        <v>561</v>
      </c>
      <c r="X377">
        <v>0</v>
      </c>
    </row>
    <row r="378" spans="1:24" hidden="1" x14ac:dyDescent="0.3">
      <c r="A378" s="50" t="str">
        <f t="shared" si="19"/>
        <v>INSTRUMENT_OTHR_INCM_AND_CHRGS</v>
      </c>
      <c r="B378" t="s">
        <v>128</v>
      </c>
      <c r="C378" t="s">
        <v>588</v>
      </c>
      <c r="D378" t="s">
        <v>6</v>
      </c>
      <c r="E378" t="s">
        <v>20</v>
      </c>
      <c r="I378" t="s">
        <v>29</v>
      </c>
      <c r="J378" s="15">
        <v>45667</v>
      </c>
      <c r="K378" t="s">
        <v>20</v>
      </c>
      <c r="Q378" t="s">
        <v>132</v>
      </c>
      <c r="R378" t="s">
        <v>133</v>
      </c>
      <c r="S378" t="s">
        <v>133</v>
      </c>
      <c r="T378" t="s">
        <v>132</v>
      </c>
      <c r="U378" t="s">
        <v>133</v>
      </c>
      <c r="V378" t="s">
        <v>133</v>
      </c>
      <c r="W378" t="s">
        <v>561</v>
      </c>
      <c r="X378">
        <v>0</v>
      </c>
    </row>
    <row r="379" spans="1:24" hidden="1" x14ac:dyDescent="0.3">
      <c r="A379" s="50" t="str">
        <f t="shared" si="19"/>
        <v>INSTRUMENT_TX_ON_PRFT</v>
      </c>
      <c r="B379" t="s">
        <v>128</v>
      </c>
      <c r="C379" t="s">
        <v>589</v>
      </c>
      <c r="D379" t="s">
        <v>6</v>
      </c>
      <c r="E379" t="s">
        <v>20</v>
      </c>
      <c r="I379" t="s">
        <v>29</v>
      </c>
      <c r="J379" s="15">
        <v>45667</v>
      </c>
      <c r="K379" t="s">
        <v>20</v>
      </c>
      <c r="Q379" t="s">
        <v>132</v>
      </c>
      <c r="R379" t="s">
        <v>133</v>
      </c>
      <c r="S379" t="s">
        <v>133</v>
      </c>
      <c r="T379" t="s">
        <v>132</v>
      </c>
      <c r="U379" t="s">
        <v>133</v>
      </c>
      <c r="V379" t="s">
        <v>133</v>
      </c>
      <c r="W379" t="s">
        <v>561</v>
      </c>
      <c r="X379">
        <v>0</v>
      </c>
    </row>
    <row r="380" spans="1:24" hidden="1" x14ac:dyDescent="0.3">
      <c r="A380" s="50" t="str">
        <f t="shared" si="19"/>
        <v>PROTECTION_LND_AR</v>
      </c>
      <c r="B380" t="s">
        <v>161</v>
      </c>
      <c r="C380" t="s">
        <v>590</v>
      </c>
      <c r="D380" t="s">
        <v>6</v>
      </c>
      <c r="E380" t="s">
        <v>20</v>
      </c>
      <c r="I380" t="s">
        <v>29</v>
      </c>
      <c r="J380" s="15">
        <v>45667</v>
      </c>
      <c r="K380" t="s">
        <v>20</v>
      </c>
      <c r="Q380" t="s">
        <v>132</v>
      </c>
      <c r="R380" t="s">
        <v>133</v>
      </c>
      <c r="S380" t="s">
        <v>133</v>
      </c>
      <c r="T380" t="s">
        <v>133</v>
      </c>
      <c r="U380" t="s">
        <v>133</v>
      </c>
      <c r="V380" t="s">
        <v>133</v>
      </c>
      <c r="W380" t="s">
        <v>561</v>
      </c>
      <c r="X380">
        <v>0</v>
      </c>
    </row>
    <row r="381" spans="1:24" hidden="1" x14ac:dyDescent="0.3">
      <c r="A381" s="50" t="str">
        <f t="shared" si="19"/>
        <v>PROTECTION_LN_PSTN</v>
      </c>
      <c r="B381" t="s">
        <v>161</v>
      </c>
      <c r="C381" t="s">
        <v>591</v>
      </c>
      <c r="D381" t="s">
        <v>6</v>
      </c>
      <c r="E381" t="s">
        <v>20</v>
      </c>
      <c r="I381" t="s">
        <v>29</v>
      </c>
      <c r="J381" s="15">
        <v>45667</v>
      </c>
      <c r="K381" t="s">
        <v>20</v>
      </c>
      <c r="Q381" t="s">
        <v>132</v>
      </c>
      <c r="R381" t="s">
        <v>133</v>
      </c>
      <c r="S381" t="s">
        <v>133</v>
      </c>
      <c r="T381" t="s">
        <v>133</v>
      </c>
      <c r="U381" t="s">
        <v>133</v>
      </c>
      <c r="V381" t="s">
        <v>133</v>
      </c>
      <c r="W381" t="s">
        <v>561</v>
      </c>
      <c r="X381">
        <v>0</v>
      </c>
    </row>
    <row r="382" spans="1:24" hidden="1" x14ac:dyDescent="0.3">
      <c r="A382" s="50" t="str">
        <f t="shared" si="19"/>
        <v>PROTECTION_RL_ESTT_LNGTD</v>
      </c>
      <c r="B382" t="s">
        <v>161</v>
      </c>
      <c r="C382" t="s">
        <v>592</v>
      </c>
      <c r="D382" t="s">
        <v>6</v>
      </c>
      <c r="E382" t="s">
        <v>20</v>
      </c>
      <c r="I382" t="s">
        <v>29</v>
      </c>
      <c r="J382" s="15">
        <v>45667</v>
      </c>
      <c r="K382" t="s">
        <v>20</v>
      </c>
      <c r="Q382" t="s">
        <v>132</v>
      </c>
      <c r="R382" t="s">
        <v>133</v>
      </c>
      <c r="S382" t="s">
        <v>133</v>
      </c>
      <c r="T382" t="s">
        <v>133</v>
      </c>
      <c r="U382" t="s">
        <v>133</v>
      </c>
      <c r="V382" t="s">
        <v>133</v>
      </c>
      <c r="W382" t="s">
        <v>561</v>
      </c>
      <c r="X382">
        <v>0</v>
      </c>
    </row>
    <row r="383" spans="1:24" hidden="1" x14ac:dyDescent="0.3">
      <c r="A383" s="50" t="str">
        <f t="shared" si="19"/>
        <v>PROTECTION_RL_ESTT_LTTD</v>
      </c>
      <c r="B383" t="s">
        <v>161</v>
      </c>
      <c r="C383" t="s">
        <v>593</v>
      </c>
      <c r="D383" t="s">
        <v>6</v>
      </c>
      <c r="E383" t="s">
        <v>20</v>
      </c>
      <c r="I383" t="s">
        <v>29</v>
      </c>
      <c r="J383" s="15">
        <v>45667</v>
      </c>
      <c r="K383" t="s">
        <v>20</v>
      </c>
      <c r="Q383" t="s">
        <v>132</v>
      </c>
      <c r="R383" t="s">
        <v>133</v>
      </c>
      <c r="S383" t="s">
        <v>133</v>
      </c>
      <c r="T383" t="s">
        <v>133</v>
      </c>
      <c r="U383" t="s">
        <v>133</v>
      </c>
      <c r="V383" t="s">
        <v>133</v>
      </c>
      <c r="W383" t="s">
        <v>561</v>
      </c>
      <c r="X383">
        <v>0</v>
      </c>
    </row>
    <row r="384" spans="1:24" hidden="1" x14ac:dyDescent="0.3">
      <c r="A384" s="50" t="str">
        <f t="shared" si="19"/>
        <v>INSTR_ACTIVITY_PRCNTG_ACTVTY</v>
      </c>
      <c r="B384" t="s">
        <v>594</v>
      </c>
      <c r="C384" t="s">
        <v>595</v>
      </c>
      <c r="D384" t="s">
        <v>6</v>
      </c>
      <c r="E384" t="s">
        <v>20</v>
      </c>
      <c r="I384" t="s">
        <v>29</v>
      </c>
      <c r="J384" s="15">
        <v>45667</v>
      </c>
      <c r="K384" t="s">
        <v>20</v>
      </c>
      <c r="Q384" t="s">
        <v>132</v>
      </c>
      <c r="R384" t="s">
        <v>132</v>
      </c>
      <c r="S384" t="s">
        <v>132</v>
      </c>
      <c r="T384" t="s">
        <v>133</v>
      </c>
      <c r="U384" t="s">
        <v>133</v>
      </c>
      <c r="V384" t="s">
        <v>133</v>
      </c>
      <c r="W384" t="s">
        <v>561</v>
      </c>
      <c r="X384">
        <v>0</v>
      </c>
    </row>
  </sheetData>
  <autoFilter ref="B5:X384" xr:uid="{00000000-0009-0000-0000-000004000000}">
    <filterColumn colId="1">
      <filters>
        <filter val="CMMTMNT_INCPTN_INSTRMNT"/>
        <filter val="CMMTMNT_INSTRMNT"/>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13"/>
  <sheetViews>
    <sheetView showGridLines="0" tabSelected="1" topLeftCell="C1" zoomScale="65" zoomScaleNormal="65" workbookViewId="0">
      <pane ySplit="1" topLeftCell="A228" activePane="bottomLeft" state="frozen"/>
      <selection activeCell="C1" sqref="C1"/>
      <selection pane="bottomLeft" activeCell="H288" sqref="H288"/>
    </sheetView>
  </sheetViews>
  <sheetFormatPr defaultRowHeight="14.4" x14ac:dyDescent="0.3"/>
  <cols>
    <col min="1" max="1" width="12.44140625" bestFit="1" customWidth="1"/>
    <col min="2" max="2" width="45" bestFit="1" customWidth="1"/>
    <col min="3" max="3" width="15.6640625" bestFit="1" customWidth="1"/>
    <col min="4" max="4" width="119.33203125" customWidth="1"/>
    <col min="5" max="5" width="15.33203125" bestFit="1" customWidth="1"/>
    <col min="6" max="6" width="15.33203125" customWidth="1"/>
    <col min="8" max="8" width="45.5546875" customWidth="1"/>
    <col min="9" max="9" width="15.109375" customWidth="1"/>
    <col min="10" max="10" width="42.77734375" customWidth="1"/>
    <col min="11" max="11" width="15.109375" customWidth="1"/>
    <col min="13" max="13" width="14.33203125" customWidth="1"/>
    <col min="14" max="14" width="9.77734375" bestFit="1" customWidth="1"/>
  </cols>
  <sheetData>
    <row r="1" spans="1:9" x14ac:dyDescent="0.3">
      <c r="A1" s="2" t="s">
        <v>596</v>
      </c>
      <c r="B1" s="2" t="s">
        <v>597</v>
      </c>
      <c r="C1" s="2" t="s">
        <v>598</v>
      </c>
      <c r="D1" s="2" t="s">
        <v>599</v>
      </c>
      <c r="E1" s="2" t="s">
        <v>600</v>
      </c>
      <c r="F1" s="2" t="s">
        <v>601</v>
      </c>
      <c r="G1" s="2" t="s">
        <v>110</v>
      </c>
      <c r="H1" s="2" t="s">
        <v>602</v>
      </c>
      <c r="I1" s="2" t="s">
        <v>603</v>
      </c>
    </row>
    <row r="2" spans="1:9" ht="13.95" customHeight="1" x14ac:dyDescent="0.3">
      <c r="A2" t="s">
        <v>604</v>
      </c>
      <c r="B2" t="s">
        <v>436</v>
      </c>
      <c r="C2" t="s">
        <v>605</v>
      </c>
      <c r="D2" t="s">
        <v>606</v>
      </c>
      <c r="E2" s="15">
        <v>45460</v>
      </c>
      <c r="F2" s="15">
        <v>45443</v>
      </c>
      <c r="G2" t="s">
        <v>130</v>
      </c>
      <c r="I2" t="s">
        <v>607</v>
      </c>
    </row>
    <row r="3" spans="1:9" ht="13.95" customHeight="1" x14ac:dyDescent="0.3">
      <c r="A3" t="s">
        <v>604</v>
      </c>
      <c r="B3" t="s">
        <v>436</v>
      </c>
      <c r="C3" t="s">
        <v>608</v>
      </c>
      <c r="D3" t="s">
        <v>609</v>
      </c>
      <c r="E3" s="15">
        <v>45460</v>
      </c>
      <c r="F3" s="15">
        <v>45443</v>
      </c>
      <c r="G3" t="s">
        <v>130</v>
      </c>
      <c r="I3" t="s">
        <v>610</v>
      </c>
    </row>
    <row r="4" spans="1:9" ht="13.95" customHeight="1" x14ac:dyDescent="0.3">
      <c r="A4" t="s">
        <v>604</v>
      </c>
      <c r="B4" t="s">
        <v>436</v>
      </c>
      <c r="C4" t="s">
        <v>608</v>
      </c>
      <c r="D4" t="s">
        <v>611</v>
      </c>
      <c r="E4" s="15">
        <v>45460</v>
      </c>
      <c r="F4" s="15">
        <v>45443</v>
      </c>
      <c r="G4" t="s">
        <v>130</v>
      </c>
      <c r="I4" t="s">
        <v>612</v>
      </c>
    </row>
    <row r="5" spans="1:9" ht="13.95" customHeight="1" x14ac:dyDescent="0.3">
      <c r="A5" t="s">
        <v>604</v>
      </c>
      <c r="B5" t="s">
        <v>436</v>
      </c>
      <c r="C5" t="s">
        <v>613</v>
      </c>
      <c r="D5" t="s">
        <v>614</v>
      </c>
      <c r="E5" s="15">
        <v>45460</v>
      </c>
      <c r="F5" s="15">
        <v>45443</v>
      </c>
      <c r="G5" t="s">
        <v>130</v>
      </c>
      <c r="I5" t="s">
        <v>615</v>
      </c>
    </row>
    <row r="6" spans="1:9" ht="13.95" customHeight="1" x14ac:dyDescent="0.3">
      <c r="A6" t="s">
        <v>604</v>
      </c>
      <c r="B6" t="s">
        <v>436</v>
      </c>
      <c r="C6" t="s">
        <v>613</v>
      </c>
      <c r="D6" t="s">
        <v>616</v>
      </c>
      <c r="E6" s="15">
        <v>45460</v>
      </c>
      <c r="F6" s="15">
        <v>45443</v>
      </c>
      <c r="G6" t="s">
        <v>130</v>
      </c>
      <c r="I6" t="s">
        <v>617</v>
      </c>
    </row>
    <row r="7" spans="1:9" ht="13.95" customHeight="1" x14ac:dyDescent="0.3">
      <c r="A7" t="s">
        <v>604</v>
      </c>
      <c r="B7" t="s">
        <v>436</v>
      </c>
      <c r="C7" t="s">
        <v>613</v>
      </c>
      <c r="D7" t="s">
        <v>618</v>
      </c>
      <c r="E7" s="15">
        <v>45460</v>
      </c>
      <c r="F7" s="15">
        <v>45443</v>
      </c>
      <c r="G7" t="s">
        <v>130</v>
      </c>
      <c r="I7" t="s">
        <v>610</v>
      </c>
    </row>
    <row r="8" spans="1:9" ht="13.95" customHeight="1" x14ac:dyDescent="0.3">
      <c r="A8" t="s">
        <v>604</v>
      </c>
      <c r="B8" t="s">
        <v>511</v>
      </c>
      <c r="C8" t="s">
        <v>605</v>
      </c>
      <c r="D8" t="s">
        <v>606</v>
      </c>
      <c r="E8" s="15">
        <v>45460</v>
      </c>
      <c r="F8" s="15">
        <v>45443</v>
      </c>
      <c r="G8" t="s">
        <v>130</v>
      </c>
      <c r="I8" t="s">
        <v>619</v>
      </c>
    </row>
    <row r="9" spans="1:9" ht="13.95" customHeight="1" x14ac:dyDescent="0.3">
      <c r="A9" t="s">
        <v>604</v>
      </c>
      <c r="B9" t="s">
        <v>511</v>
      </c>
      <c r="C9" t="s">
        <v>608</v>
      </c>
      <c r="D9" t="s">
        <v>611</v>
      </c>
      <c r="E9" s="15">
        <v>45460</v>
      </c>
      <c r="F9" s="15">
        <v>45443</v>
      </c>
      <c r="G9" t="s">
        <v>130</v>
      </c>
      <c r="I9" t="s">
        <v>612</v>
      </c>
    </row>
    <row r="10" spans="1:9" ht="13.95" customHeight="1" x14ac:dyDescent="0.3">
      <c r="A10" t="s">
        <v>604</v>
      </c>
      <c r="B10" t="s">
        <v>511</v>
      </c>
      <c r="C10" t="s">
        <v>613</v>
      </c>
      <c r="D10" t="s">
        <v>620</v>
      </c>
      <c r="E10" s="15">
        <v>45460</v>
      </c>
      <c r="F10" s="15">
        <v>45443</v>
      </c>
      <c r="G10" t="s">
        <v>130</v>
      </c>
      <c r="I10" t="s">
        <v>621</v>
      </c>
    </row>
    <row r="11" spans="1:9" ht="13.95" customHeight="1" x14ac:dyDescent="0.3">
      <c r="A11" t="s">
        <v>604</v>
      </c>
      <c r="B11" t="s">
        <v>511</v>
      </c>
      <c r="C11" t="s">
        <v>613</v>
      </c>
      <c r="D11" t="s">
        <v>622</v>
      </c>
      <c r="E11" s="15">
        <v>45460</v>
      </c>
      <c r="F11" s="15">
        <v>45443</v>
      </c>
      <c r="G11" t="s">
        <v>149</v>
      </c>
      <c r="H11" t="s">
        <v>623</v>
      </c>
      <c r="I11" t="s">
        <v>624</v>
      </c>
    </row>
    <row r="12" spans="1:9" ht="13.95" customHeight="1" x14ac:dyDescent="0.3">
      <c r="A12" t="s">
        <v>604</v>
      </c>
      <c r="B12" t="s">
        <v>511</v>
      </c>
      <c r="C12" t="s">
        <v>613</v>
      </c>
      <c r="D12" s="17" t="s">
        <v>625</v>
      </c>
      <c r="E12" s="15">
        <v>45462</v>
      </c>
      <c r="F12" s="15">
        <v>45443</v>
      </c>
      <c r="G12" t="s">
        <v>130</v>
      </c>
      <c r="H12" t="s">
        <v>626</v>
      </c>
      <c r="I12" t="s">
        <v>627</v>
      </c>
    </row>
    <row r="13" spans="1:9" ht="13.95" customHeight="1" x14ac:dyDescent="0.3">
      <c r="A13" t="s">
        <v>604</v>
      </c>
      <c r="B13" t="s">
        <v>511</v>
      </c>
      <c r="C13" t="s">
        <v>613</v>
      </c>
      <c r="D13" s="17" t="s">
        <v>628</v>
      </c>
      <c r="E13" s="15">
        <v>45462</v>
      </c>
      <c r="F13" s="15">
        <v>45443</v>
      </c>
      <c r="G13" t="s">
        <v>130</v>
      </c>
      <c r="I13" t="s">
        <v>629</v>
      </c>
    </row>
    <row r="14" spans="1:9" ht="13.95" customHeight="1" x14ac:dyDescent="0.3">
      <c r="A14" t="s">
        <v>604</v>
      </c>
      <c r="B14" t="s">
        <v>301</v>
      </c>
      <c r="C14" t="s">
        <v>605</v>
      </c>
      <c r="D14" t="s">
        <v>606</v>
      </c>
      <c r="E14" s="15">
        <v>45460</v>
      </c>
      <c r="F14" s="15">
        <v>45443</v>
      </c>
      <c r="G14" t="s">
        <v>130</v>
      </c>
      <c r="I14" t="s">
        <v>630</v>
      </c>
    </row>
    <row r="15" spans="1:9" ht="13.95" customHeight="1" x14ac:dyDescent="0.3">
      <c r="A15" t="s">
        <v>604</v>
      </c>
      <c r="B15" t="s">
        <v>301</v>
      </c>
      <c r="C15" t="s">
        <v>608</v>
      </c>
      <c r="D15" t="s">
        <v>611</v>
      </c>
      <c r="E15" s="15">
        <v>45460</v>
      </c>
      <c r="F15" s="15">
        <v>45443</v>
      </c>
      <c r="G15" t="s">
        <v>130</v>
      </c>
      <c r="I15" t="s">
        <v>612</v>
      </c>
    </row>
    <row r="16" spans="1:9" ht="13.95" customHeight="1" x14ac:dyDescent="0.3">
      <c r="A16" t="s">
        <v>604</v>
      </c>
      <c r="B16" t="s">
        <v>301</v>
      </c>
      <c r="C16" t="s">
        <v>613</v>
      </c>
      <c r="D16" t="s">
        <v>620</v>
      </c>
      <c r="E16" s="15">
        <v>45460</v>
      </c>
      <c r="F16" s="15">
        <v>45443</v>
      </c>
      <c r="G16" t="s">
        <v>130</v>
      </c>
      <c r="I16" t="s">
        <v>621</v>
      </c>
    </row>
    <row r="17" spans="1:9" ht="13.95" customHeight="1" x14ac:dyDescent="0.3">
      <c r="A17" t="s">
        <v>604</v>
      </c>
      <c r="B17" t="s">
        <v>301</v>
      </c>
      <c r="C17" t="s">
        <v>613</v>
      </c>
      <c r="D17" t="s">
        <v>622</v>
      </c>
      <c r="E17" s="15">
        <v>45460</v>
      </c>
      <c r="F17" s="15">
        <v>45443</v>
      </c>
      <c r="G17" t="s">
        <v>149</v>
      </c>
      <c r="H17" t="s">
        <v>623</v>
      </c>
      <c r="I17" t="s">
        <v>631</v>
      </c>
    </row>
    <row r="18" spans="1:9" ht="13.95" customHeight="1" x14ac:dyDescent="0.3">
      <c r="A18" t="s">
        <v>604</v>
      </c>
      <c r="B18" t="s">
        <v>301</v>
      </c>
      <c r="C18" t="s">
        <v>613</v>
      </c>
      <c r="D18" s="17" t="s">
        <v>625</v>
      </c>
      <c r="E18" s="15">
        <v>45462</v>
      </c>
      <c r="F18" s="15">
        <v>45443</v>
      </c>
      <c r="G18" t="s">
        <v>130</v>
      </c>
      <c r="H18" t="s">
        <v>626</v>
      </c>
      <c r="I18" t="s">
        <v>627</v>
      </c>
    </row>
    <row r="19" spans="1:9" ht="13.95" customHeight="1" x14ac:dyDescent="0.3">
      <c r="A19" t="s">
        <v>604</v>
      </c>
      <c r="B19" t="s">
        <v>301</v>
      </c>
      <c r="C19" t="s">
        <v>613</v>
      </c>
      <c r="D19" s="17" t="s">
        <v>628</v>
      </c>
      <c r="E19" s="15">
        <v>45462</v>
      </c>
      <c r="F19" s="15">
        <v>45443</v>
      </c>
      <c r="G19" t="s">
        <v>130</v>
      </c>
      <c r="I19" t="s">
        <v>629</v>
      </c>
    </row>
    <row r="20" spans="1:9" ht="13.95" customHeight="1" x14ac:dyDescent="0.3">
      <c r="A20" t="s">
        <v>632</v>
      </c>
      <c r="B20" t="s">
        <v>469</v>
      </c>
      <c r="C20" t="s">
        <v>633</v>
      </c>
      <c r="D20" t="s">
        <v>634</v>
      </c>
      <c r="E20" s="15">
        <v>45464</v>
      </c>
      <c r="F20" s="15">
        <v>45443</v>
      </c>
      <c r="G20" t="s">
        <v>149</v>
      </c>
      <c r="H20" t="s">
        <v>470</v>
      </c>
      <c r="I20" t="s">
        <v>635</v>
      </c>
    </row>
    <row r="21" spans="1:9" ht="13.95" customHeight="1" x14ac:dyDescent="0.3">
      <c r="A21" t="s">
        <v>632</v>
      </c>
      <c r="B21" t="s">
        <v>469</v>
      </c>
      <c r="C21" t="s">
        <v>608</v>
      </c>
      <c r="D21" t="s">
        <v>636</v>
      </c>
      <c r="E21" s="15">
        <v>45464</v>
      </c>
      <c r="F21" s="15">
        <v>45443</v>
      </c>
      <c r="G21" t="s">
        <v>149</v>
      </c>
      <c r="H21" t="s">
        <v>470</v>
      </c>
      <c r="I21" t="s">
        <v>637</v>
      </c>
    </row>
    <row r="22" spans="1:9" ht="13.95" customHeight="1" x14ac:dyDescent="0.3">
      <c r="A22" t="s">
        <v>632</v>
      </c>
      <c r="B22" t="s">
        <v>469</v>
      </c>
      <c r="C22" t="s">
        <v>613</v>
      </c>
      <c r="D22" t="s">
        <v>638</v>
      </c>
      <c r="E22" s="15">
        <v>45464</v>
      </c>
      <c r="F22" s="15">
        <v>45443</v>
      </c>
      <c r="G22" t="s">
        <v>130</v>
      </c>
      <c r="I22" t="s">
        <v>639</v>
      </c>
    </row>
    <row r="23" spans="1:9" ht="13.95" customHeight="1" x14ac:dyDescent="0.3">
      <c r="A23" t="s">
        <v>632</v>
      </c>
      <c r="B23" t="s">
        <v>469</v>
      </c>
      <c r="C23" t="s">
        <v>613</v>
      </c>
      <c r="D23" t="s">
        <v>640</v>
      </c>
      <c r="E23" s="15">
        <v>45468</v>
      </c>
      <c r="F23" s="15">
        <v>45443</v>
      </c>
      <c r="G23" t="s">
        <v>130</v>
      </c>
      <c r="H23" t="s">
        <v>641</v>
      </c>
      <c r="I23" t="s">
        <v>642</v>
      </c>
    </row>
    <row r="24" spans="1:9" ht="13.95" customHeight="1" x14ac:dyDescent="0.3">
      <c r="A24" t="s">
        <v>632</v>
      </c>
      <c r="B24" t="s">
        <v>469</v>
      </c>
      <c r="C24" t="s">
        <v>613</v>
      </c>
      <c r="D24" t="s">
        <v>643</v>
      </c>
      <c r="E24" s="15">
        <v>45468</v>
      </c>
      <c r="F24" s="15">
        <v>45443</v>
      </c>
      <c r="G24" t="s">
        <v>130</v>
      </c>
      <c r="I24" t="s">
        <v>644</v>
      </c>
    </row>
    <row r="25" spans="1:9" ht="13.95" customHeight="1" x14ac:dyDescent="0.3">
      <c r="A25" t="s">
        <v>604</v>
      </c>
      <c r="B25" t="s">
        <v>442</v>
      </c>
      <c r="C25" t="s">
        <v>608</v>
      </c>
      <c r="D25" t="s">
        <v>636</v>
      </c>
      <c r="E25" s="15">
        <v>45463</v>
      </c>
      <c r="F25" s="15">
        <v>45443</v>
      </c>
      <c r="G25" t="s">
        <v>149</v>
      </c>
      <c r="H25" t="s">
        <v>645</v>
      </c>
      <c r="I25" t="s">
        <v>646</v>
      </c>
    </row>
    <row r="26" spans="1:9" ht="13.95" customHeight="1" x14ac:dyDescent="0.3">
      <c r="A26" t="s">
        <v>604</v>
      </c>
      <c r="B26" t="s">
        <v>305</v>
      </c>
      <c r="C26" t="s">
        <v>608</v>
      </c>
      <c r="D26" t="s">
        <v>636</v>
      </c>
      <c r="E26" s="15">
        <v>45463</v>
      </c>
      <c r="F26" s="15">
        <v>45443</v>
      </c>
      <c r="G26" t="s">
        <v>149</v>
      </c>
      <c r="I26" s="18"/>
    </row>
    <row r="27" spans="1:9" ht="13.95" customHeight="1" x14ac:dyDescent="0.3">
      <c r="A27" t="s">
        <v>632</v>
      </c>
      <c r="B27" t="s">
        <v>279</v>
      </c>
      <c r="C27" t="s">
        <v>608</v>
      </c>
      <c r="D27" t="s">
        <v>636</v>
      </c>
      <c r="E27" s="15">
        <v>45468</v>
      </c>
      <c r="F27" s="15">
        <v>45443</v>
      </c>
      <c r="G27" t="s">
        <v>149</v>
      </c>
      <c r="H27" t="s">
        <v>280</v>
      </c>
      <c r="I27" t="s">
        <v>647</v>
      </c>
    </row>
    <row r="28" spans="1:9" ht="13.95" customHeight="1" x14ac:dyDescent="0.3">
      <c r="A28" t="s">
        <v>632</v>
      </c>
      <c r="B28" t="s">
        <v>279</v>
      </c>
      <c r="C28" t="s">
        <v>633</v>
      </c>
      <c r="D28" s="29" t="s">
        <v>634</v>
      </c>
      <c r="E28" s="15">
        <v>45467</v>
      </c>
      <c r="F28" s="15">
        <v>45443</v>
      </c>
      <c r="G28" t="s">
        <v>130</v>
      </c>
      <c r="I28" t="s">
        <v>648</v>
      </c>
    </row>
    <row r="29" spans="1:9" ht="13.95" customHeight="1" x14ac:dyDescent="0.3">
      <c r="A29" t="s">
        <v>632</v>
      </c>
      <c r="B29" t="s">
        <v>279</v>
      </c>
      <c r="C29" t="s">
        <v>613</v>
      </c>
      <c r="D29" t="s">
        <v>649</v>
      </c>
      <c r="E29" s="15">
        <v>45467</v>
      </c>
      <c r="F29" s="15">
        <v>45443</v>
      </c>
      <c r="G29" t="s">
        <v>130</v>
      </c>
      <c r="I29" t="s">
        <v>650</v>
      </c>
    </row>
    <row r="30" spans="1:9" ht="13.95" customHeight="1" x14ac:dyDescent="0.3">
      <c r="A30" t="s">
        <v>632</v>
      </c>
      <c r="B30" t="s">
        <v>279</v>
      </c>
      <c r="C30" t="s">
        <v>613</v>
      </c>
      <c r="D30" t="s">
        <v>651</v>
      </c>
      <c r="E30" s="15">
        <v>45467</v>
      </c>
      <c r="F30" s="15">
        <v>45443</v>
      </c>
      <c r="G30" t="s">
        <v>130</v>
      </c>
      <c r="I30" t="s">
        <v>652</v>
      </c>
    </row>
    <row r="31" spans="1:9" ht="13.95" customHeight="1" x14ac:dyDescent="0.3">
      <c r="A31" t="s">
        <v>632</v>
      </c>
      <c r="B31" t="s">
        <v>279</v>
      </c>
      <c r="C31" t="s">
        <v>613</v>
      </c>
      <c r="D31" t="s">
        <v>653</v>
      </c>
      <c r="E31" s="15">
        <v>45467</v>
      </c>
      <c r="F31" s="15">
        <v>45443</v>
      </c>
      <c r="G31" t="s">
        <v>130</v>
      </c>
      <c r="I31" t="s">
        <v>654</v>
      </c>
    </row>
    <row r="32" spans="1:9" ht="13.95" customHeight="1" x14ac:dyDescent="0.3">
      <c r="A32" t="s">
        <v>632</v>
      </c>
      <c r="B32" t="s">
        <v>279</v>
      </c>
      <c r="C32" t="s">
        <v>613</v>
      </c>
      <c r="D32" t="s">
        <v>655</v>
      </c>
      <c r="E32" s="15">
        <v>45471</v>
      </c>
      <c r="F32" s="15">
        <v>45443</v>
      </c>
    </row>
    <row r="33" spans="1:9" ht="13.95" customHeight="1" x14ac:dyDescent="0.3">
      <c r="A33" t="s">
        <v>604</v>
      </c>
      <c r="B33" t="s">
        <v>148</v>
      </c>
      <c r="C33" t="s">
        <v>608</v>
      </c>
      <c r="D33" t="s">
        <v>656</v>
      </c>
      <c r="E33" s="15">
        <v>45468</v>
      </c>
      <c r="F33" s="15">
        <v>45443</v>
      </c>
      <c r="G33" t="s">
        <v>149</v>
      </c>
      <c r="I33" t="s">
        <v>657</v>
      </c>
    </row>
    <row r="34" spans="1:9" ht="13.95" customHeight="1" x14ac:dyDescent="0.3">
      <c r="A34" t="s">
        <v>604</v>
      </c>
      <c r="B34" t="s">
        <v>148</v>
      </c>
      <c r="C34" t="s">
        <v>613</v>
      </c>
      <c r="D34" t="s">
        <v>658</v>
      </c>
      <c r="E34" s="15">
        <v>45468</v>
      </c>
      <c r="F34" s="15">
        <v>45443</v>
      </c>
      <c r="G34" t="s">
        <v>149</v>
      </c>
      <c r="H34" t="s">
        <v>659</v>
      </c>
      <c r="I34" t="s">
        <v>660</v>
      </c>
    </row>
    <row r="35" spans="1:9" ht="13.95" customHeight="1" x14ac:dyDescent="0.3">
      <c r="A35" t="s">
        <v>604</v>
      </c>
      <c r="B35" t="s">
        <v>148</v>
      </c>
      <c r="C35" t="s">
        <v>613</v>
      </c>
      <c r="D35" t="s">
        <v>661</v>
      </c>
      <c r="E35" s="15">
        <v>45468</v>
      </c>
      <c r="F35" s="15">
        <v>45443</v>
      </c>
      <c r="G35" t="s">
        <v>149</v>
      </c>
      <c r="H35" t="s">
        <v>662</v>
      </c>
      <c r="I35" t="s">
        <v>663</v>
      </c>
    </row>
    <row r="36" spans="1:9" ht="13.95" customHeight="1" x14ac:dyDescent="0.3">
      <c r="A36" t="s">
        <v>604</v>
      </c>
      <c r="B36" t="s">
        <v>148</v>
      </c>
      <c r="C36" t="s">
        <v>613</v>
      </c>
      <c r="D36" t="s">
        <v>664</v>
      </c>
      <c r="E36" s="15">
        <v>45468</v>
      </c>
      <c r="F36" s="15">
        <v>45443</v>
      </c>
      <c r="G36" t="s">
        <v>149</v>
      </c>
      <c r="H36" t="s">
        <v>662</v>
      </c>
      <c r="I36" t="s">
        <v>665</v>
      </c>
    </row>
    <row r="37" spans="1:9" ht="13.95" customHeight="1" x14ac:dyDescent="0.3">
      <c r="A37" t="s">
        <v>604</v>
      </c>
      <c r="B37" t="s">
        <v>148</v>
      </c>
      <c r="C37" t="s">
        <v>613</v>
      </c>
      <c r="D37" t="s">
        <v>664</v>
      </c>
      <c r="E37" s="15">
        <v>45469</v>
      </c>
      <c r="F37" s="15">
        <v>45443</v>
      </c>
      <c r="G37" t="s">
        <v>149</v>
      </c>
      <c r="H37" t="s">
        <v>659</v>
      </c>
      <c r="I37" t="s">
        <v>666</v>
      </c>
    </row>
    <row r="38" spans="1:9" ht="13.95" customHeight="1" x14ac:dyDescent="0.3">
      <c r="A38" t="s">
        <v>604</v>
      </c>
      <c r="B38" t="s">
        <v>282</v>
      </c>
      <c r="C38" t="s">
        <v>613</v>
      </c>
      <c r="D38" t="s">
        <v>667</v>
      </c>
      <c r="E38" s="15">
        <v>45468</v>
      </c>
      <c r="F38" s="15">
        <v>45443</v>
      </c>
      <c r="G38" t="s">
        <v>130</v>
      </c>
      <c r="I38" t="s">
        <v>668</v>
      </c>
    </row>
    <row r="39" spans="1:9" ht="13.95" customHeight="1" x14ac:dyDescent="0.3">
      <c r="A39" t="s">
        <v>604</v>
      </c>
      <c r="B39" t="s">
        <v>282</v>
      </c>
      <c r="C39" t="s">
        <v>613</v>
      </c>
      <c r="D39" t="s">
        <v>669</v>
      </c>
      <c r="E39" s="15">
        <v>45468</v>
      </c>
      <c r="F39" s="15">
        <v>45443</v>
      </c>
      <c r="G39" t="s">
        <v>130</v>
      </c>
      <c r="I39" t="s">
        <v>668</v>
      </c>
    </row>
    <row r="40" spans="1:9" ht="13.95" customHeight="1" x14ac:dyDescent="0.3">
      <c r="A40" t="s">
        <v>604</v>
      </c>
      <c r="B40" t="s">
        <v>282</v>
      </c>
      <c r="C40" t="s">
        <v>613</v>
      </c>
      <c r="D40" t="s">
        <v>670</v>
      </c>
      <c r="E40" s="15">
        <v>45468</v>
      </c>
      <c r="F40" s="15">
        <v>45443</v>
      </c>
      <c r="G40" t="s">
        <v>130</v>
      </c>
      <c r="I40" t="s">
        <v>668</v>
      </c>
    </row>
    <row r="41" spans="1:9" ht="13.95" customHeight="1" x14ac:dyDescent="0.3">
      <c r="A41" t="s">
        <v>632</v>
      </c>
      <c r="B41" t="s">
        <v>237</v>
      </c>
      <c r="C41" t="s">
        <v>608</v>
      </c>
      <c r="D41" t="s">
        <v>656</v>
      </c>
      <c r="E41" s="15">
        <v>45461</v>
      </c>
      <c r="F41" s="15">
        <v>45443</v>
      </c>
      <c r="G41" t="s">
        <v>130</v>
      </c>
      <c r="I41" t="s">
        <v>671</v>
      </c>
    </row>
    <row r="42" spans="1:9" ht="13.95" customHeight="1" x14ac:dyDescent="0.3">
      <c r="A42" t="s">
        <v>632</v>
      </c>
      <c r="B42" t="s">
        <v>237</v>
      </c>
      <c r="C42" t="s">
        <v>613</v>
      </c>
      <c r="D42" t="s">
        <v>672</v>
      </c>
      <c r="E42" s="15">
        <v>45470</v>
      </c>
      <c r="F42" s="15">
        <v>45443</v>
      </c>
      <c r="G42" t="s">
        <v>130</v>
      </c>
      <c r="I42" t="s">
        <v>673</v>
      </c>
    </row>
    <row r="43" spans="1:9" ht="13.95" customHeight="1" x14ac:dyDescent="0.3">
      <c r="A43" t="s">
        <v>632</v>
      </c>
      <c r="B43" t="s">
        <v>237</v>
      </c>
      <c r="C43" t="s">
        <v>613</v>
      </c>
      <c r="D43" t="s">
        <v>674</v>
      </c>
      <c r="E43" s="15">
        <v>45470</v>
      </c>
      <c r="F43" s="15">
        <v>45443</v>
      </c>
      <c r="G43" t="s">
        <v>130</v>
      </c>
      <c r="I43" t="s">
        <v>675</v>
      </c>
    </row>
    <row r="44" spans="1:9" ht="13.95" customHeight="1" x14ac:dyDescent="0.3">
      <c r="A44" t="s">
        <v>632</v>
      </c>
      <c r="B44" t="s">
        <v>237</v>
      </c>
      <c r="C44" t="s">
        <v>613</v>
      </c>
      <c r="D44" t="s">
        <v>676</v>
      </c>
      <c r="E44" s="15">
        <v>45470</v>
      </c>
      <c r="F44" s="15">
        <v>45443</v>
      </c>
      <c r="G44" t="s">
        <v>130</v>
      </c>
      <c r="H44" t="s">
        <v>677</v>
      </c>
      <c r="I44" t="s">
        <v>678</v>
      </c>
    </row>
    <row r="45" spans="1:9" ht="13.95" customHeight="1" x14ac:dyDescent="0.3">
      <c r="A45" t="s">
        <v>632</v>
      </c>
      <c r="B45" t="s">
        <v>237</v>
      </c>
      <c r="C45" t="s">
        <v>613</v>
      </c>
      <c r="D45" t="s">
        <v>679</v>
      </c>
      <c r="E45" s="15">
        <v>45470</v>
      </c>
      <c r="F45" s="15">
        <v>45443</v>
      </c>
      <c r="G45" t="s">
        <v>149</v>
      </c>
      <c r="H45" t="s">
        <v>680</v>
      </c>
      <c r="I45" t="s">
        <v>681</v>
      </c>
    </row>
    <row r="46" spans="1:9" ht="13.95" customHeight="1" x14ac:dyDescent="0.3">
      <c r="A46" t="s">
        <v>632</v>
      </c>
      <c r="B46" t="s">
        <v>237</v>
      </c>
      <c r="C46" t="s">
        <v>613</v>
      </c>
      <c r="D46" t="s">
        <v>682</v>
      </c>
      <c r="E46" s="15">
        <v>45470</v>
      </c>
      <c r="F46" s="15">
        <v>45443</v>
      </c>
      <c r="G46" t="s">
        <v>130</v>
      </c>
      <c r="H46" t="s">
        <v>683</v>
      </c>
      <c r="I46" t="s">
        <v>684</v>
      </c>
    </row>
    <row r="47" spans="1:9" ht="13.95" customHeight="1" x14ac:dyDescent="0.3">
      <c r="A47" t="s">
        <v>604</v>
      </c>
      <c r="B47" t="s">
        <v>282</v>
      </c>
      <c r="C47" t="s">
        <v>613</v>
      </c>
      <c r="D47" t="s">
        <v>636</v>
      </c>
      <c r="E47" s="15">
        <v>45468</v>
      </c>
      <c r="F47" s="15">
        <v>45443</v>
      </c>
      <c r="G47" t="s">
        <v>130</v>
      </c>
      <c r="I47" t="s">
        <v>668</v>
      </c>
    </row>
    <row r="48" spans="1:9" ht="13.95" customHeight="1" x14ac:dyDescent="0.3">
      <c r="A48" t="s">
        <v>632</v>
      </c>
      <c r="B48" t="s">
        <v>237</v>
      </c>
      <c r="C48" t="s">
        <v>613</v>
      </c>
      <c r="D48" t="s">
        <v>685</v>
      </c>
      <c r="E48" s="15">
        <v>45477</v>
      </c>
      <c r="F48" s="15">
        <v>45443</v>
      </c>
      <c r="G48" t="s">
        <v>130</v>
      </c>
      <c r="I48" t="s">
        <v>686</v>
      </c>
    </row>
    <row r="49" spans="1:9" ht="13.95" customHeight="1" x14ac:dyDescent="0.3">
      <c r="A49" t="s">
        <v>632</v>
      </c>
      <c r="B49" t="s">
        <v>185</v>
      </c>
      <c r="C49" t="s">
        <v>613</v>
      </c>
      <c r="D49" t="s">
        <v>687</v>
      </c>
      <c r="E49" s="15">
        <v>45478</v>
      </c>
      <c r="F49" s="15">
        <v>45443</v>
      </c>
      <c r="G49" t="s">
        <v>130</v>
      </c>
      <c r="I49" t="s">
        <v>688</v>
      </c>
    </row>
    <row r="50" spans="1:9" ht="13.95" customHeight="1" x14ac:dyDescent="0.3">
      <c r="A50" t="s">
        <v>632</v>
      </c>
      <c r="B50" t="s">
        <v>185</v>
      </c>
      <c r="C50" t="s">
        <v>613</v>
      </c>
      <c r="D50" t="s">
        <v>689</v>
      </c>
      <c r="E50" s="15">
        <v>45478</v>
      </c>
      <c r="F50" s="15">
        <v>45443</v>
      </c>
      <c r="G50" t="s">
        <v>149</v>
      </c>
      <c r="H50" t="s">
        <v>690</v>
      </c>
      <c r="I50" t="s">
        <v>691</v>
      </c>
    </row>
    <row r="51" spans="1:9" ht="13.95" customHeight="1" x14ac:dyDescent="0.3">
      <c r="A51" t="s">
        <v>632</v>
      </c>
      <c r="B51" t="s">
        <v>185</v>
      </c>
      <c r="C51" t="s">
        <v>613</v>
      </c>
      <c r="D51" t="s">
        <v>692</v>
      </c>
      <c r="E51" s="15">
        <v>45478</v>
      </c>
      <c r="F51" s="15">
        <v>45443</v>
      </c>
      <c r="G51" t="s">
        <v>130</v>
      </c>
      <c r="I51" t="s">
        <v>693</v>
      </c>
    </row>
    <row r="52" spans="1:9" ht="13.95" customHeight="1" x14ac:dyDescent="0.3">
      <c r="A52" t="s">
        <v>632</v>
      </c>
      <c r="B52" t="s">
        <v>185</v>
      </c>
      <c r="C52" t="s">
        <v>613</v>
      </c>
      <c r="D52" t="s">
        <v>694</v>
      </c>
      <c r="E52" s="15">
        <v>45478</v>
      </c>
      <c r="F52" s="15">
        <v>45443</v>
      </c>
      <c r="G52" t="s">
        <v>149</v>
      </c>
      <c r="H52" t="s">
        <v>695</v>
      </c>
      <c r="I52" t="s">
        <v>696</v>
      </c>
    </row>
    <row r="53" spans="1:9" ht="13.95" customHeight="1" x14ac:dyDescent="0.3">
      <c r="A53" t="s">
        <v>632</v>
      </c>
      <c r="B53" t="s">
        <v>185</v>
      </c>
      <c r="C53" t="s">
        <v>613</v>
      </c>
      <c r="D53" t="s">
        <v>697</v>
      </c>
      <c r="E53" s="15">
        <v>45478</v>
      </c>
      <c r="F53" s="15">
        <v>45443</v>
      </c>
      <c r="G53" t="s">
        <v>130</v>
      </c>
      <c r="I53" t="s">
        <v>698</v>
      </c>
    </row>
    <row r="54" spans="1:9" ht="13.95" customHeight="1" x14ac:dyDescent="0.3">
      <c r="A54" t="s">
        <v>632</v>
      </c>
      <c r="B54" t="s">
        <v>185</v>
      </c>
      <c r="C54" t="s">
        <v>613</v>
      </c>
      <c r="D54" t="s">
        <v>699</v>
      </c>
      <c r="E54" s="15">
        <v>45478</v>
      </c>
      <c r="F54" s="15">
        <v>45443</v>
      </c>
      <c r="G54" t="s">
        <v>130</v>
      </c>
      <c r="I54" t="s">
        <v>700</v>
      </c>
    </row>
    <row r="55" spans="1:9" ht="13.95" customHeight="1" x14ac:dyDescent="0.3">
      <c r="A55" t="s">
        <v>604</v>
      </c>
      <c r="B55" t="s">
        <v>44</v>
      </c>
      <c r="C55" t="s">
        <v>613</v>
      </c>
      <c r="D55" t="s">
        <v>701</v>
      </c>
      <c r="E55" s="15">
        <v>45481</v>
      </c>
      <c r="F55" s="15">
        <v>45443</v>
      </c>
      <c r="G55" t="s">
        <v>130</v>
      </c>
      <c r="I55" t="s">
        <v>702</v>
      </c>
    </row>
    <row r="56" spans="1:9" ht="13.95" customHeight="1" x14ac:dyDescent="0.3">
      <c r="A56" t="s">
        <v>604</v>
      </c>
      <c r="B56" t="s">
        <v>44</v>
      </c>
      <c r="C56" t="s">
        <v>613</v>
      </c>
      <c r="D56" t="s">
        <v>703</v>
      </c>
      <c r="E56" s="15">
        <v>45481</v>
      </c>
      <c r="F56" s="15">
        <v>45443</v>
      </c>
      <c r="G56" t="s">
        <v>130</v>
      </c>
      <c r="I56" t="s">
        <v>702</v>
      </c>
    </row>
    <row r="57" spans="1:9" ht="13.95" customHeight="1" x14ac:dyDescent="0.3">
      <c r="A57" t="s">
        <v>604</v>
      </c>
      <c r="B57" t="s">
        <v>44</v>
      </c>
      <c r="C57" t="s">
        <v>613</v>
      </c>
      <c r="D57" t="s">
        <v>704</v>
      </c>
      <c r="E57" s="15">
        <v>45481</v>
      </c>
      <c r="F57" s="15">
        <v>45443</v>
      </c>
      <c r="G57" t="s">
        <v>149</v>
      </c>
      <c r="H57" t="s">
        <v>705</v>
      </c>
      <c r="I57" t="s">
        <v>706</v>
      </c>
    </row>
    <row r="58" spans="1:9" ht="13.95" customHeight="1" x14ac:dyDescent="0.3">
      <c r="A58" t="s">
        <v>604</v>
      </c>
      <c r="B58" t="s">
        <v>44</v>
      </c>
      <c r="C58" t="s">
        <v>613</v>
      </c>
      <c r="D58" t="s">
        <v>707</v>
      </c>
      <c r="E58" s="15">
        <v>45481</v>
      </c>
      <c r="F58" s="15">
        <v>45443</v>
      </c>
      <c r="G58" t="s">
        <v>149</v>
      </c>
      <c r="H58" t="s">
        <v>708</v>
      </c>
      <c r="I58" t="s">
        <v>709</v>
      </c>
    </row>
    <row r="59" spans="1:9" ht="13.95" customHeight="1" x14ac:dyDescent="0.3">
      <c r="A59" t="s">
        <v>604</v>
      </c>
      <c r="B59" t="s">
        <v>44</v>
      </c>
      <c r="C59" t="s">
        <v>613</v>
      </c>
      <c r="D59" t="s">
        <v>710</v>
      </c>
      <c r="E59" s="15">
        <v>45481</v>
      </c>
      <c r="F59" s="15">
        <v>45443</v>
      </c>
      <c r="G59" t="s">
        <v>149</v>
      </c>
      <c r="H59" t="s">
        <v>711</v>
      </c>
      <c r="I59" t="s">
        <v>712</v>
      </c>
    </row>
    <row r="60" spans="1:9" ht="13.95" customHeight="1" x14ac:dyDescent="0.3">
      <c r="A60" t="s">
        <v>604</v>
      </c>
      <c r="B60" t="s">
        <v>44</v>
      </c>
      <c r="C60" t="s">
        <v>613</v>
      </c>
      <c r="D60" t="s">
        <v>713</v>
      </c>
      <c r="E60" s="15">
        <v>45481</v>
      </c>
      <c r="F60" s="15">
        <v>45443</v>
      </c>
      <c r="G60" t="s">
        <v>130</v>
      </c>
      <c r="I60" t="s">
        <v>714</v>
      </c>
    </row>
    <row r="61" spans="1:9" ht="13.95" customHeight="1" x14ac:dyDescent="0.3">
      <c r="A61" t="s">
        <v>632</v>
      </c>
      <c r="B61" t="s">
        <v>237</v>
      </c>
      <c r="C61" t="s">
        <v>613</v>
      </c>
      <c r="D61" t="s">
        <v>715</v>
      </c>
      <c r="E61" s="15">
        <v>45482</v>
      </c>
      <c r="F61" s="15">
        <v>45443</v>
      </c>
      <c r="G61" t="s">
        <v>130</v>
      </c>
      <c r="I61" t="s">
        <v>716</v>
      </c>
    </row>
    <row r="62" spans="1:9" ht="13.95" customHeight="1" x14ac:dyDescent="0.3">
      <c r="A62" t="s">
        <v>632</v>
      </c>
      <c r="B62" t="s">
        <v>237</v>
      </c>
      <c r="C62" t="s">
        <v>613</v>
      </c>
      <c r="D62" t="s">
        <v>717</v>
      </c>
      <c r="E62" s="15">
        <v>45482</v>
      </c>
      <c r="F62" s="15">
        <v>45443</v>
      </c>
      <c r="G62" t="s">
        <v>130</v>
      </c>
      <c r="H62" t="s">
        <v>718</v>
      </c>
      <c r="I62" t="s">
        <v>719</v>
      </c>
    </row>
    <row r="63" spans="1:9" ht="13.95" customHeight="1" x14ac:dyDescent="0.3">
      <c r="A63" t="s">
        <v>632</v>
      </c>
      <c r="B63" t="s">
        <v>237</v>
      </c>
      <c r="C63" t="s">
        <v>613</v>
      </c>
      <c r="D63" t="s">
        <v>720</v>
      </c>
      <c r="E63" s="15">
        <v>45482</v>
      </c>
      <c r="F63" s="15">
        <v>45443</v>
      </c>
      <c r="G63" t="s">
        <v>130</v>
      </c>
      <c r="I63" t="s">
        <v>721</v>
      </c>
    </row>
    <row r="64" spans="1:9" ht="13.95" customHeight="1" x14ac:dyDescent="0.3">
      <c r="A64" t="s">
        <v>632</v>
      </c>
      <c r="B64" t="s">
        <v>237</v>
      </c>
      <c r="C64" t="s">
        <v>613</v>
      </c>
      <c r="D64" t="s">
        <v>722</v>
      </c>
      <c r="E64" s="15">
        <v>45482</v>
      </c>
      <c r="F64" s="15">
        <v>45443</v>
      </c>
      <c r="G64" t="s">
        <v>130</v>
      </c>
      <c r="I64" t="s">
        <v>723</v>
      </c>
    </row>
    <row r="65" spans="1:9" ht="13.95" customHeight="1" x14ac:dyDescent="0.3">
      <c r="A65" t="s">
        <v>632</v>
      </c>
      <c r="B65" t="s">
        <v>237</v>
      </c>
      <c r="C65" t="s">
        <v>613</v>
      </c>
      <c r="D65" t="s">
        <v>724</v>
      </c>
      <c r="E65" s="15">
        <v>45482</v>
      </c>
      <c r="F65" s="15">
        <v>45443</v>
      </c>
      <c r="G65" t="s">
        <v>130</v>
      </c>
      <c r="I65" t="s">
        <v>725</v>
      </c>
    </row>
    <row r="66" spans="1:9" ht="13.95" customHeight="1" x14ac:dyDescent="0.3">
      <c r="A66" t="s">
        <v>632</v>
      </c>
      <c r="B66" t="s">
        <v>237</v>
      </c>
      <c r="C66" t="s">
        <v>613</v>
      </c>
      <c r="D66" t="s">
        <v>726</v>
      </c>
      <c r="E66" s="15">
        <v>45482</v>
      </c>
      <c r="F66" s="15">
        <v>45443</v>
      </c>
      <c r="G66" t="s">
        <v>130</v>
      </c>
      <c r="I66" t="s">
        <v>727</v>
      </c>
    </row>
    <row r="67" spans="1:9" ht="13.95" customHeight="1" x14ac:dyDescent="0.3">
      <c r="A67" t="s">
        <v>632</v>
      </c>
      <c r="B67" t="s">
        <v>237</v>
      </c>
      <c r="C67" t="s">
        <v>613</v>
      </c>
      <c r="D67" t="s">
        <v>728</v>
      </c>
      <c r="E67" s="15">
        <v>45482</v>
      </c>
      <c r="F67" s="15">
        <v>45443</v>
      </c>
      <c r="G67" t="s">
        <v>130</v>
      </c>
      <c r="I67" t="s">
        <v>729</v>
      </c>
    </row>
    <row r="68" spans="1:9" ht="13.95" customHeight="1" x14ac:dyDescent="0.3">
      <c r="A68" t="s">
        <v>632</v>
      </c>
      <c r="B68" t="s">
        <v>237</v>
      </c>
      <c r="C68" t="s">
        <v>613</v>
      </c>
      <c r="D68" t="s">
        <v>730</v>
      </c>
      <c r="E68" s="15">
        <v>45482</v>
      </c>
      <c r="F68" s="15">
        <v>45443</v>
      </c>
      <c r="H68" t="s">
        <v>731</v>
      </c>
    </row>
    <row r="69" spans="1:9" ht="13.95" customHeight="1" x14ac:dyDescent="0.3">
      <c r="A69" t="s">
        <v>632</v>
      </c>
      <c r="B69" t="s">
        <v>237</v>
      </c>
      <c r="C69" t="s">
        <v>613</v>
      </c>
      <c r="D69" t="s">
        <v>732</v>
      </c>
      <c r="E69" s="15">
        <v>45482</v>
      </c>
      <c r="F69" s="15">
        <v>45443</v>
      </c>
      <c r="H69" t="s">
        <v>733</v>
      </c>
    </row>
    <row r="70" spans="1:9" ht="13.95" customHeight="1" x14ac:dyDescent="0.3">
      <c r="A70" t="s">
        <v>632</v>
      </c>
      <c r="B70" t="s">
        <v>237</v>
      </c>
      <c r="C70" t="s">
        <v>613</v>
      </c>
      <c r="D70" t="s">
        <v>734</v>
      </c>
      <c r="E70" s="15">
        <v>45482</v>
      </c>
      <c r="F70" s="15">
        <v>45443</v>
      </c>
      <c r="H70" t="s">
        <v>735</v>
      </c>
    </row>
    <row r="71" spans="1:9" ht="13.95" customHeight="1" x14ac:dyDescent="0.3">
      <c r="A71" t="s">
        <v>632</v>
      </c>
      <c r="B71" t="s">
        <v>237</v>
      </c>
      <c r="C71" t="s">
        <v>613</v>
      </c>
      <c r="D71" t="s">
        <v>736</v>
      </c>
      <c r="E71" s="15">
        <v>45482</v>
      </c>
      <c r="F71" s="15">
        <v>45443</v>
      </c>
      <c r="H71" t="s">
        <v>737</v>
      </c>
    </row>
    <row r="72" spans="1:9" ht="13.95" customHeight="1" x14ac:dyDescent="0.3">
      <c r="A72" t="s">
        <v>632</v>
      </c>
      <c r="B72" t="s">
        <v>237</v>
      </c>
      <c r="C72" t="s">
        <v>613</v>
      </c>
      <c r="D72" t="s">
        <v>738</v>
      </c>
      <c r="E72" s="15">
        <v>45482</v>
      </c>
      <c r="F72" s="15">
        <v>45443</v>
      </c>
      <c r="H72" t="s">
        <v>737</v>
      </c>
    </row>
    <row r="73" spans="1:9" ht="13.95" customHeight="1" x14ac:dyDescent="0.3">
      <c r="A73" t="s">
        <v>632</v>
      </c>
      <c r="B73" t="s">
        <v>237</v>
      </c>
      <c r="C73" t="s">
        <v>613</v>
      </c>
      <c r="D73" t="s">
        <v>739</v>
      </c>
      <c r="E73" s="15">
        <v>45482</v>
      </c>
      <c r="F73" s="15">
        <v>45443</v>
      </c>
      <c r="H73" t="s">
        <v>737</v>
      </c>
    </row>
    <row r="74" spans="1:9" ht="13.95" customHeight="1" x14ac:dyDescent="0.3">
      <c r="A74" t="s">
        <v>632</v>
      </c>
      <c r="B74" t="s">
        <v>244</v>
      </c>
      <c r="C74" t="s">
        <v>608</v>
      </c>
      <c r="D74" t="s">
        <v>740</v>
      </c>
      <c r="E74" s="15">
        <v>45482</v>
      </c>
      <c r="F74" s="15">
        <v>45443</v>
      </c>
      <c r="G74" t="s">
        <v>130</v>
      </c>
      <c r="I74" t="s">
        <v>741</v>
      </c>
    </row>
    <row r="75" spans="1:9" ht="13.95" customHeight="1" x14ac:dyDescent="0.3">
      <c r="A75" t="s">
        <v>632</v>
      </c>
      <c r="B75" t="s">
        <v>244</v>
      </c>
      <c r="C75" t="s">
        <v>613</v>
      </c>
      <c r="D75" t="s">
        <v>742</v>
      </c>
      <c r="E75" s="15">
        <v>45482</v>
      </c>
      <c r="F75" s="15">
        <v>45443</v>
      </c>
      <c r="G75" t="s">
        <v>130</v>
      </c>
      <c r="I75" t="s">
        <v>743</v>
      </c>
    </row>
    <row r="76" spans="1:9" ht="13.95" customHeight="1" x14ac:dyDescent="0.3">
      <c r="A76" t="s">
        <v>632</v>
      </c>
      <c r="B76" t="s">
        <v>244</v>
      </c>
      <c r="C76" t="s">
        <v>613</v>
      </c>
      <c r="D76" t="s">
        <v>744</v>
      </c>
      <c r="E76" s="15">
        <v>45482</v>
      </c>
      <c r="F76" s="15">
        <v>45443</v>
      </c>
      <c r="G76" t="s">
        <v>130</v>
      </c>
      <c r="I76" t="s">
        <v>745</v>
      </c>
    </row>
    <row r="77" spans="1:9" ht="13.95" customHeight="1" x14ac:dyDescent="0.3">
      <c r="A77" t="s">
        <v>632</v>
      </c>
      <c r="B77" t="s">
        <v>244</v>
      </c>
      <c r="C77" t="s">
        <v>613</v>
      </c>
      <c r="D77" t="s">
        <v>746</v>
      </c>
      <c r="E77" s="15">
        <v>45482</v>
      </c>
      <c r="F77" s="15">
        <v>45443</v>
      </c>
      <c r="G77" t="s">
        <v>130</v>
      </c>
      <c r="H77" t="s">
        <v>747</v>
      </c>
      <c r="I77" t="s">
        <v>748</v>
      </c>
    </row>
    <row r="78" spans="1:9" ht="13.95" customHeight="1" x14ac:dyDescent="0.3">
      <c r="A78" t="s">
        <v>632</v>
      </c>
      <c r="B78" t="s">
        <v>244</v>
      </c>
      <c r="C78" t="s">
        <v>613</v>
      </c>
      <c r="D78" t="s">
        <v>749</v>
      </c>
      <c r="E78" s="15">
        <v>45482</v>
      </c>
      <c r="F78" s="15">
        <v>45443</v>
      </c>
      <c r="G78" t="s">
        <v>130</v>
      </c>
      <c r="I78" t="s">
        <v>750</v>
      </c>
    </row>
    <row r="79" spans="1:9" ht="13.95" customHeight="1" x14ac:dyDescent="0.3">
      <c r="A79" t="s">
        <v>632</v>
      </c>
      <c r="B79" t="s">
        <v>244</v>
      </c>
      <c r="C79" t="s">
        <v>613</v>
      </c>
      <c r="D79" t="s">
        <v>751</v>
      </c>
      <c r="E79" s="15">
        <v>45482</v>
      </c>
      <c r="F79" s="15">
        <v>45443</v>
      </c>
      <c r="G79" t="s">
        <v>130</v>
      </c>
      <c r="I79" t="s">
        <v>752</v>
      </c>
    </row>
    <row r="80" spans="1:9" ht="13.95" customHeight="1" x14ac:dyDescent="0.3">
      <c r="A80" t="s">
        <v>632</v>
      </c>
      <c r="B80" t="s">
        <v>244</v>
      </c>
      <c r="C80" t="s">
        <v>613</v>
      </c>
      <c r="D80" t="s">
        <v>753</v>
      </c>
      <c r="E80" s="15">
        <v>45482</v>
      </c>
      <c r="F80" s="15">
        <v>45443</v>
      </c>
      <c r="G80" t="s">
        <v>130</v>
      </c>
      <c r="I80" t="s">
        <v>754</v>
      </c>
    </row>
    <row r="81" spans="1:9" ht="13.95" customHeight="1" x14ac:dyDescent="0.3">
      <c r="A81" t="s">
        <v>632</v>
      </c>
      <c r="B81" t="s">
        <v>78</v>
      </c>
      <c r="C81" t="s">
        <v>608</v>
      </c>
      <c r="D81" t="s">
        <v>636</v>
      </c>
      <c r="E81" s="15">
        <v>45482</v>
      </c>
      <c r="F81" s="15">
        <v>45443</v>
      </c>
      <c r="G81" t="s">
        <v>130</v>
      </c>
      <c r="I81" t="s">
        <v>755</v>
      </c>
    </row>
    <row r="82" spans="1:9" x14ac:dyDescent="0.3">
      <c r="A82" t="s">
        <v>632</v>
      </c>
      <c r="B82" t="s">
        <v>78</v>
      </c>
      <c r="C82" t="s">
        <v>613</v>
      </c>
      <c r="D82" t="s">
        <v>756</v>
      </c>
      <c r="E82" s="15">
        <v>45483</v>
      </c>
      <c r="F82" s="15">
        <v>45443</v>
      </c>
      <c r="G82" t="s">
        <v>130</v>
      </c>
      <c r="I82" t="s">
        <v>757</v>
      </c>
    </row>
    <row r="83" spans="1:9" ht="13.95" customHeight="1" x14ac:dyDescent="0.3">
      <c r="A83" t="s">
        <v>632</v>
      </c>
      <c r="B83" t="s">
        <v>78</v>
      </c>
      <c r="C83" t="s">
        <v>613</v>
      </c>
      <c r="D83" t="s">
        <v>758</v>
      </c>
      <c r="E83" s="15">
        <v>45483</v>
      </c>
      <c r="F83" s="15">
        <v>45443</v>
      </c>
      <c r="G83" t="s">
        <v>130</v>
      </c>
      <c r="I83" t="s">
        <v>759</v>
      </c>
    </row>
    <row r="84" spans="1:9" ht="13.95" customHeight="1" x14ac:dyDescent="0.3">
      <c r="A84" t="s">
        <v>632</v>
      </c>
      <c r="B84" t="s">
        <v>78</v>
      </c>
      <c r="C84" t="s">
        <v>613</v>
      </c>
      <c r="D84" t="s">
        <v>760</v>
      </c>
      <c r="E84" s="15">
        <v>45483</v>
      </c>
      <c r="F84" s="15">
        <v>45443</v>
      </c>
      <c r="G84" t="s">
        <v>130</v>
      </c>
      <c r="I84" t="s">
        <v>761</v>
      </c>
    </row>
    <row r="85" spans="1:9" ht="13.95" customHeight="1" x14ac:dyDescent="0.3">
      <c r="A85" t="s">
        <v>632</v>
      </c>
      <c r="B85" t="s">
        <v>78</v>
      </c>
      <c r="C85" t="s">
        <v>613</v>
      </c>
      <c r="D85" t="s">
        <v>762</v>
      </c>
      <c r="E85" s="15">
        <v>45483</v>
      </c>
      <c r="F85" s="15">
        <v>45443</v>
      </c>
      <c r="G85" s="29" t="s">
        <v>149</v>
      </c>
      <c r="H85" t="s">
        <v>763</v>
      </c>
      <c r="I85" t="s">
        <v>764</v>
      </c>
    </row>
    <row r="86" spans="1:9" ht="13.95" customHeight="1" x14ac:dyDescent="0.3">
      <c r="A86" t="s">
        <v>632</v>
      </c>
      <c r="B86" t="s">
        <v>78</v>
      </c>
      <c r="C86" t="s">
        <v>613</v>
      </c>
      <c r="D86" t="s">
        <v>765</v>
      </c>
      <c r="E86" s="15">
        <v>45489</v>
      </c>
      <c r="F86" s="15">
        <v>45443</v>
      </c>
      <c r="G86" t="s">
        <v>130</v>
      </c>
      <c r="I86" t="s">
        <v>766</v>
      </c>
    </row>
    <row r="87" spans="1:9" ht="13.95" customHeight="1" x14ac:dyDescent="0.3">
      <c r="A87" t="s">
        <v>632</v>
      </c>
      <c r="B87" t="s">
        <v>78</v>
      </c>
      <c r="C87" t="s">
        <v>613</v>
      </c>
      <c r="D87" t="s">
        <v>767</v>
      </c>
      <c r="E87" s="15">
        <v>45483</v>
      </c>
      <c r="F87" s="15">
        <v>45443</v>
      </c>
      <c r="G87" t="s">
        <v>130</v>
      </c>
      <c r="I87" t="s">
        <v>768</v>
      </c>
    </row>
    <row r="88" spans="1:9" ht="13.95" customHeight="1" x14ac:dyDescent="0.3">
      <c r="A88" t="s">
        <v>632</v>
      </c>
      <c r="B88" t="s">
        <v>287</v>
      </c>
      <c r="C88" t="s">
        <v>608</v>
      </c>
      <c r="D88" t="s">
        <v>769</v>
      </c>
      <c r="E88" s="15">
        <v>45484</v>
      </c>
      <c r="F88" s="15">
        <v>45443</v>
      </c>
      <c r="G88" t="s">
        <v>149</v>
      </c>
      <c r="H88" t="s">
        <v>770</v>
      </c>
      <c r="I88" t="s">
        <v>771</v>
      </c>
    </row>
    <row r="89" spans="1:9" ht="13.95" customHeight="1" x14ac:dyDescent="0.3">
      <c r="A89" t="s">
        <v>604</v>
      </c>
      <c r="B89" t="s">
        <v>290</v>
      </c>
      <c r="C89" t="s">
        <v>613</v>
      </c>
      <c r="D89" t="s">
        <v>772</v>
      </c>
      <c r="E89" s="15">
        <v>45495</v>
      </c>
      <c r="F89" s="15">
        <v>45443</v>
      </c>
      <c r="G89" t="s">
        <v>130</v>
      </c>
      <c r="I89" t="s">
        <v>773</v>
      </c>
    </row>
    <row r="90" spans="1:9" ht="13.95" customHeight="1" x14ac:dyDescent="0.3">
      <c r="A90" t="s">
        <v>604</v>
      </c>
      <c r="B90" t="s">
        <v>290</v>
      </c>
      <c r="C90" t="s">
        <v>613</v>
      </c>
      <c r="D90" t="s">
        <v>774</v>
      </c>
      <c r="E90" s="15">
        <v>45495</v>
      </c>
      <c r="F90" s="15">
        <v>45443</v>
      </c>
      <c r="G90" t="s">
        <v>130</v>
      </c>
      <c r="H90" t="s">
        <v>775</v>
      </c>
      <c r="I90" t="s">
        <v>776</v>
      </c>
    </row>
    <row r="91" spans="1:9" ht="13.95" customHeight="1" x14ac:dyDescent="0.3">
      <c r="A91" t="s">
        <v>632</v>
      </c>
      <c r="B91" t="s">
        <v>287</v>
      </c>
      <c r="C91" t="s">
        <v>613</v>
      </c>
      <c r="D91" t="s">
        <v>777</v>
      </c>
      <c r="E91" s="15">
        <v>45502</v>
      </c>
      <c r="F91" s="15">
        <v>45443</v>
      </c>
      <c r="G91" t="s">
        <v>130</v>
      </c>
      <c r="H91" t="s">
        <v>778</v>
      </c>
      <c r="I91" t="s">
        <v>779</v>
      </c>
    </row>
    <row r="92" spans="1:9" ht="13.95" customHeight="1" x14ac:dyDescent="0.3">
      <c r="A92" t="s">
        <v>632</v>
      </c>
      <c r="B92" t="s">
        <v>287</v>
      </c>
      <c r="C92" t="s">
        <v>613</v>
      </c>
      <c r="D92" t="s">
        <v>780</v>
      </c>
      <c r="E92" s="15">
        <v>45502</v>
      </c>
      <c r="F92" s="15">
        <v>45443</v>
      </c>
      <c r="G92" t="s">
        <v>149</v>
      </c>
      <c r="H92" t="s">
        <v>781</v>
      </c>
      <c r="I92" t="s">
        <v>782</v>
      </c>
    </row>
    <row r="93" spans="1:9" ht="13.95" customHeight="1" x14ac:dyDescent="0.3">
      <c r="A93" t="s">
        <v>632</v>
      </c>
      <c r="B93" t="s">
        <v>287</v>
      </c>
      <c r="C93" t="s">
        <v>613</v>
      </c>
      <c r="D93" t="s">
        <v>783</v>
      </c>
      <c r="E93" s="15">
        <v>45502</v>
      </c>
      <c r="F93" s="15">
        <v>45443</v>
      </c>
      <c r="G93" t="s">
        <v>130</v>
      </c>
      <c r="H93" t="s">
        <v>778</v>
      </c>
      <c r="I93" t="s">
        <v>784</v>
      </c>
    </row>
    <row r="94" spans="1:9" ht="13.95" customHeight="1" x14ac:dyDescent="0.3">
      <c r="A94" t="s">
        <v>632</v>
      </c>
      <c r="B94" t="s">
        <v>287</v>
      </c>
      <c r="C94" t="s">
        <v>613</v>
      </c>
      <c r="D94" t="s">
        <v>785</v>
      </c>
      <c r="E94" s="15">
        <v>45502</v>
      </c>
      <c r="F94" s="15">
        <v>45443</v>
      </c>
      <c r="G94" t="s">
        <v>130</v>
      </c>
      <c r="H94" t="s">
        <v>778</v>
      </c>
      <c r="I94" t="s">
        <v>786</v>
      </c>
    </row>
    <row r="95" spans="1:9" ht="13.95" customHeight="1" x14ac:dyDescent="0.3">
      <c r="A95" t="s">
        <v>632</v>
      </c>
      <c r="B95" t="s">
        <v>287</v>
      </c>
      <c r="C95" t="s">
        <v>613</v>
      </c>
      <c r="D95" t="s">
        <v>787</v>
      </c>
      <c r="E95" s="15">
        <v>45502</v>
      </c>
      <c r="F95" s="15">
        <v>45443</v>
      </c>
      <c r="G95" t="s">
        <v>130</v>
      </c>
      <c r="H95" t="s">
        <v>778</v>
      </c>
      <c r="I95" t="s">
        <v>788</v>
      </c>
    </row>
    <row r="96" spans="1:9" ht="13.95" customHeight="1" x14ac:dyDescent="0.3">
      <c r="A96" t="s">
        <v>632</v>
      </c>
      <c r="B96" t="s">
        <v>256</v>
      </c>
      <c r="C96" t="s">
        <v>613</v>
      </c>
      <c r="D96" t="s">
        <v>789</v>
      </c>
      <c r="E96" s="15">
        <v>45509</v>
      </c>
      <c r="F96" s="15">
        <v>45443</v>
      </c>
      <c r="G96" t="s">
        <v>130</v>
      </c>
      <c r="I96" t="s">
        <v>790</v>
      </c>
    </row>
    <row r="97" spans="1:9" ht="13.95" customHeight="1" x14ac:dyDescent="0.3">
      <c r="A97" t="s">
        <v>632</v>
      </c>
      <c r="B97" t="s">
        <v>256</v>
      </c>
      <c r="C97" t="s">
        <v>613</v>
      </c>
      <c r="D97" t="s">
        <v>791</v>
      </c>
      <c r="E97" s="15">
        <v>45509</v>
      </c>
      <c r="F97" s="15">
        <v>45443</v>
      </c>
      <c r="G97" t="s">
        <v>130</v>
      </c>
      <c r="I97" t="s">
        <v>792</v>
      </c>
    </row>
    <row r="98" spans="1:9" ht="13.95" customHeight="1" x14ac:dyDescent="0.3">
      <c r="A98" t="s">
        <v>632</v>
      </c>
      <c r="B98" t="s">
        <v>256</v>
      </c>
      <c r="C98" t="s">
        <v>613</v>
      </c>
      <c r="D98" t="s">
        <v>793</v>
      </c>
      <c r="E98" s="15">
        <v>45509</v>
      </c>
      <c r="F98" s="15">
        <v>45443</v>
      </c>
      <c r="G98" t="s">
        <v>130</v>
      </c>
      <c r="I98" t="s">
        <v>794</v>
      </c>
    </row>
    <row r="99" spans="1:9" ht="13.95" customHeight="1" x14ac:dyDescent="0.3">
      <c r="A99" t="s">
        <v>632</v>
      </c>
      <c r="B99" t="s">
        <v>256</v>
      </c>
      <c r="C99" t="s">
        <v>613</v>
      </c>
      <c r="D99" t="s">
        <v>795</v>
      </c>
      <c r="E99" s="15">
        <v>45509</v>
      </c>
      <c r="F99" s="15">
        <v>45443</v>
      </c>
      <c r="G99" t="s">
        <v>130</v>
      </c>
      <c r="I99" t="s">
        <v>796</v>
      </c>
    </row>
    <row r="100" spans="1:9" ht="13.95" customHeight="1" x14ac:dyDescent="0.3">
      <c r="A100" t="s">
        <v>632</v>
      </c>
      <c r="B100" t="s">
        <v>256</v>
      </c>
      <c r="C100" t="s">
        <v>613</v>
      </c>
      <c r="D100" t="s">
        <v>797</v>
      </c>
      <c r="E100" s="15">
        <v>45509</v>
      </c>
      <c r="F100" s="15">
        <v>45443</v>
      </c>
      <c r="G100" t="s">
        <v>130</v>
      </c>
      <c r="I100" t="s">
        <v>798</v>
      </c>
    </row>
    <row r="101" spans="1:9" ht="13.95" customHeight="1" x14ac:dyDescent="0.3">
      <c r="A101" t="s">
        <v>632</v>
      </c>
      <c r="B101" t="s">
        <v>256</v>
      </c>
      <c r="C101" t="s">
        <v>613</v>
      </c>
      <c r="D101" t="s">
        <v>799</v>
      </c>
      <c r="E101" s="15">
        <v>45509</v>
      </c>
      <c r="F101" s="15">
        <v>45443</v>
      </c>
      <c r="G101" t="s">
        <v>130</v>
      </c>
      <c r="I101" t="s">
        <v>800</v>
      </c>
    </row>
    <row r="102" spans="1:9" ht="13.95" customHeight="1" x14ac:dyDescent="0.3">
      <c r="A102" t="s">
        <v>632</v>
      </c>
      <c r="B102" t="s">
        <v>256</v>
      </c>
      <c r="C102" t="s">
        <v>613</v>
      </c>
      <c r="D102" t="s">
        <v>801</v>
      </c>
      <c r="E102" s="15">
        <v>45509</v>
      </c>
      <c r="F102" s="15">
        <v>45443</v>
      </c>
      <c r="G102" t="s">
        <v>130</v>
      </c>
      <c r="H102" t="s">
        <v>802</v>
      </c>
      <c r="I102" t="s">
        <v>803</v>
      </c>
    </row>
    <row r="103" spans="1:9" ht="13.95" customHeight="1" x14ac:dyDescent="0.3">
      <c r="A103" t="s">
        <v>632</v>
      </c>
      <c r="B103" t="s">
        <v>256</v>
      </c>
      <c r="C103" t="s">
        <v>613</v>
      </c>
      <c r="D103" t="s">
        <v>804</v>
      </c>
      <c r="E103" s="15">
        <v>45509</v>
      </c>
      <c r="F103" s="15">
        <v>45443</v>
      </c>
      <c r="G103" t="s">
        <v>130</v>
      </c>
      <c r="I103" t="s">
        <v>805</v>
      </c>
    </row>
    <row r="104" spans="1:9" ht="13.95" customHeight="1" x14ac:dyDescent="0.3">
      <c r="A104" t="s">
        <v>632</v>
      </c>
      <c r="B104" t="s">
        <v>256</v>
      </c>
      <c r="C104" t="s">
        <v>613</v>
      </c>
      <c r="D104" t="s">
        <v>806</v>
      </c>
      <c r="H104" t="s">
        <v>807</v>
      </c>
    </row>
    <row r="105" spans="1:9" ht="13.95" customHeight="1" x14ac:dyDescent="0.3">
      <c r="A105" t="s">
        <v>632</v>
      </c>
      <c r="B105" t="s">
        <v>276</v>
      </c>
      <c r="C105" t="s">
        <v>613</v>
      </c>
      <c r="D105" t="s">
        <v>808</v>
      </c>
      <c r="E105" s="15">
        <v>45509</v>
      </c>
      <c r="F105" s="15">
        <v>45443</v>
      </c>
      <c r="G105" t="s">
        <v>130</v>
      </c>
      <c r="I105" t="s">
        <v>809</v>
      </c>
    </row>
    <row r="106" spans="1:9" ht="13.95" customHeight="1" x14ac:dyDescent="0.3">
      <c r="A106" t="s">
        <v>632</v>
      </c>
      <c r="B106" t="s">
        <v>276</v>
      </c>
      <c r="C106" t="s">
        <v>613</v>
      </c>
      <c r="D106" t="s">
        <v>810</v>
      </c>
      <c r="E106" s="15">
        <v>45509</v>
      </c>
      <c r="F106" s="15">
        <v>45443</v>
      </c>
      <c r="G106" t="s">
        <v>130</v>
      </c>
      <c r="I106" t="s">
        <v>811</v>
      </c>
    </row>
    <row r="107" spans="1:9" ht="13.95" customHeight="1" x14ac:dyDescent="0.3">
      <c r="A107" t="s">
        <v>632</v>
      </c>
      <c r="B107" t="s">
        <v>276</v>
      </c>
      <c r="C107" t="s">
        <v>613</v>
      </c>
      <c r="D107" t="s">
        <v>812</v>
      </c>
      <c r="E107" s="15">
        <v>45509</v>
      </c>
      <c r="F107" s="15">
        <v>45443</v>
      </c>
      <c r="G107" t="s">
        <v>130</v>
      </c>
      <c r="I107" t="s">
        <v>813</v>
      </c>
    </row>
    <row r="108" spans="1:9" ht="13.95" customHeight="1" x14ac:dyDescent="0.3">
      <c r="A108" t="s">
        <v>632</v>
      </c>
      <c r="B108" t="s">
        <v>43</v>
      </c>
      <c r="C108" t="s">
        <v>613</v>
      </c>
      <c r="D108" t="s">
        <v>814</v>
      </c>
      <c r="E108" s="15">
        <v>45541</v>
      </c>
      <c r="F108" s="15">
        <v>45443</v>
      </c>
      <c r="G108" t="s">
        <v>130</v>
      </c>
      <c r="I108" t="s">
        <v>815</v>
      </c>
    </row>
    <row r="109" spans="1:9" ht="13.95" customHeight="1" x14ac:dyDescent="0.3">
      <c r="A109" t="s">
        <v>632</v>
      </c>
      <c r="B109" t="s">
        <v>43</v>
      </c>
      <c r="C109" t="s">
        <v>613</v>
      </c>
      <c r="D109" t="s">
        <v>816</v>
      </c>
      <c r="E109" s="15">
        <v>45541</v>
      </c>
      <c r="F109" s="15">
        <v>45443</v>
      </c>
      <c r="G109" t="s">
        <v>130</v>
      </c>
      <c r="I109" t="s">
        <v>817</v>
      </c>
    </row>
    <row r="110" spans="1:9" ht="13.95" customHeight="1" x14ac:dyDescent="0.3">
      <c r="A110" t="s">
        <v>632</v>
      </c>
      <c r="B110" t="s">
        <v>43</v>
      </c>
      <c r="C110" t="s">
        <v>613</v>
      </c>
      <c r="D110" t="s">
        <v>818</v>
      </c>
      <c r="E110" s="15">
        <v>45541</v>
      </c>
      <c r="F110" s="15">
        <v>45443</v>
      </c>
      <c r="G110" t="s">
        <v>130</v>
      </c>
      <c r="H110" t="s">
        <v>819</v>
      </c>
      <c r="I110" t="s">
        <v>820</v>
      </c>
    </row>
    <row r="111" spans="1:9" ht="13.95" customHeight="1" x14ac:dyDescent="0.3">
      <c r="A111" t="s">
        <v>632</v>
      </c>
      <c r="B111" t="s">
        <v>43</v>
      </c>
      <c r="C111" t="s">
        <v>613</v>
      </c>
      <c r="D111" t="s">
        <v>821</v>
      </c>
      <c r="E111" s="15">
        <v>45541</v>
      </c>
      <c r="F111" s="15">
        <v>45443</v>
      </c>
      <c r="G111" t="s">
        <v>130</v>
      </c>
      <c r="I111" t="s">
        <v>822</v>
      </c>
    </row>
    <row r="112" spans="1:9" ht="13.95" customHeight="1" x14ac:dyDescent="0.3">
      <c r="A112" t="s">
        <v>632</v>
      </c>
      <c r="B112" t="s">
        <v>43</v>
      </c>
      <c r="C112" t="s">
        <v>613</v>
      </c>
      <c r="D112" t="s">
        <v>823</v>
      </c>
      <c r="E112" s="15">
        <v>45541</v>
      </c>
      <c r="F112" s="15">
        <v>45443</v>
      </c>
      <c r="G112" t="s">
        <v>130</v>
      </c>
      <c r="I112" t="s">
        <v>824</v>
      </c>
    </row>
    <row r="113" spans="1:12" ht="13.95" customHeight="1" x14ac:dyDescent="0.3">
      <c r="A113" t="s">
        <v>632</v>
      </c>
      <c r="B113" t="s">
        <v>43</v>
      </c>
      <c r="C113" t="s">
        <v>613</v>
      </c>
      <c r="D113" t="s">
        <v>825</v>
      </c>
      <c r="E113" s="15">
        <v>45541</v>
      </c>
      <c r="F113" s="15">
        <v>45443</v>
      </c>
      <c r="G113" t="s">
        <v>130</v>
      </c>
      <c r="H113" t="s">
        <v>819</v>
      </c>
      <c r="I113" t="s">
        <v>826</v>
      </c>
    </row>
    <row r="114" spans="1:12" x14ac:dyDescent="0.3">
      <c r="A114" t="s">
        <v>632</v>
      </c>
      <c r="B114" t="s">
        <v>41</v>
      </c>
      <c r="C114" t="s">
        <v>613</v>
      </c>
      <c r="D114" t="s">
        <v>827</v>
      </c>
      <c r="E114" s="15">
        <v>45544</v>
      </c>
      <c r="F114" s="15">
        <v>45443</v>
      </c>
      <c r="G114" t="s">
        <v>130</v>
      </c>
      <c r="I114" t="s">
        <v>828</v>
      </c>
    </row>
    <row r="115" spans="1:12" ht="13.95" customHeight="1" x14ac:dyDescent="0.3">
      <c r="A115" t="s">
        <v>632</v>
      </c>
      <c r="B115" t="s">
        <v>41</v>
      </c>
      <c r="C115" t="s">
        <v>613</v>
      </c>
      <c r="D115" t="s">
        <v>829</v>
      </c>
      <c r="E115" s="15">
        <v>45544</v>
      </c>
      <c r="F115" s="15">
        <v>45443</v>
      </c>
      <c r="G115" t="s">
        <v>130</v>
      </c>
      <c r="I115" t="s">
        <v>830</v>
      </c>
    </row>
    <row r="116" spans="1:12" ht="13.95" customHeight="1" x14ac:dyDescent="0.3">
      <c r="A116" t="s">
        <v>632</v>
      </c>
      <c r="B116" t="s">
        <v>41</v>
      </c>
      <c r="C116" t="s">
        <v>613</v>
      </c>
      <c r="D116" t="s">
        <v>831</v>
      </c>
      <c r="E116" s="15">
        <v>45544</v>
      </c>
      <c r="F116" s="15">
        <v>45443</v>
      </c>
      <c r="G116" t="s">
        <v>149</v>
      </c>
      <c r="H116" t="s">
        <v>483</v>
      </c>
      <c r="I116" t="s">
        <v>832</v>
      </c>
      <c r="L116" s="29"/>
    </row>
    <row r="117" spans="1:12" ht="13.95" customHeight="1" x14ac:dyDescent="0.3">
      <c r="A117" t="s">
        <v>632</v>
      </c>
      <c r="B117" t="s">
        <v>41</v>
      </c>
      <c r="C117" t="s">
        <v>613</v>
      </c>
      <c r="D117" t="s">
        <v>833</v>
      </c>
      <c r="E117" s="15">
        <v>45544</v>
      </c>
      <c r="F117" s="15">
        <v>45443</v>
      </c>
      <c r="G117" t="s">
        <v>130</v>
      </c>
      <c r="I117" t="s">
        <v>834</v>
      </c>
    </row>
    <row r="118" spans="1:12" ht="13.95" customHeight="1" x14ac:dyDescent="0.3">
      <c r="A118" t="s">
        <v>632</v>
      </c>
      <c r="B118" t="s">
        <v>41</v>
      </c>
      <c r="C118" t="s">
        <v>613</v>
      </c>
      <c r="D118" t="s">
        <v>835</v>
      </c>
      <c r="E118" s="15">
        <v>45544</v>
      </c>
      <c r="F118" s="15">
        <v>45443</v>
      </c>
      <c r="G118" t="s">
        <v>130</v>
      </c>
      <c r="I118" t="s">
        <v>836</v>
      </c>
    </row>
    <row r="119" spans="1:12" ht="13.95" customHeight="1" x14ac:dyDescent="0.3">
      <c r="A119" t="s">
        <v>632</v>
      </c>
      <c r="B119" t="s">
        <v>237</v>
      </c>
      <c r="C119" t="s">
        <v>608</v>
      </c>
      <c r="D119" t="s">
        <v>837</v>
      </c>
      <c r="E119" s="15">
        <v>45629</v>
      </c>
      <c r="F119" s="15">
        <v>45565</v>
      </c>
      <c r="G119" t="s">
        <v>130</v>
      </c>
      <c r="I119" t="s">
        <v>838</v>
      </c>
    </row>
    <row r="120" spans="1:12" ht="13.95" customHeight="1" x14ac:dyDescent="0.3">
      <c r="A120" t="s">
        <v>632</v>
      </c>
      <c r="B120" t="s">
        <v>237</v>
      </c>
      <c r="C120" t="s">
        <v>613</v>
      </c>
      <c r="D120" t="s">
        <v>672</v>
      </c>
      <c r="E120" s="15">
        <v>45629</v>
      </c>
      <c r="F120" s="15">
        <v>45565</v>
      </c>
      <c r="G120" t="s">
        <v>130</v>
      </c>
      <c r="I120" t="s">
        <v>839</v>
      </c>
    </row>
    <row r="121" spans="1:12" ht="13.95" customHeight="1" x14ac:dyDescent="0.3">
      <c r="A121" t="s">
        <v>632</v>
      </c>
      <c r="B121" t="s">
        <v>237</v>
      </c>
      <c r="C121" t="s">
        <v>613</v>
      </c>
      <c r="D121" t="s">
        <v>674</v>
      </c>
      <c r="E121" s="15">
        <v>45629</v>
      </c>
      <c r="F121" s="15">
        <v>45565</v>
      </c>
      <c r="G121" t="s">
        <v>130</v>
      </c>
      <c r="I121" t="s">
        <v>840</v>
      </c>
    </row>
    <row r="122" spans="1:12" ht="13.95" customHeight="1" x14ac:dyDescent="0.3">
      <c r="A122" t="s">
        <v>632</v>
      </c>
      <c r="B122" t="s">
        <v>237</v>
      </c>
      <c r="C122" t="s">
        <v>613</v>
      </c>
      <c r="D122" t="s">
        <v>676</v>
      </c>
      <c r="E122" s="15">
        <v>45629</v>
      </c>
      <c r="F122" s="15">
        <v>45565</v>
      </c>
      <c r="G122" t="s">
        <v>130</v>
      </c>
      <c r="I122" t="s">
        <v>841</v>
      </c>
    </row>
    <row r="123" spans="1:12" ht="13.95" customHeight="1" x14ac:dyDescent="0.3">
      <c r="A123" t="s">
        <v>632</v>
      </c>
      <c r="B123" t="s">
        <v>237</v>
      </c>
      <c r="C123" t="s">
        <v>613</v>
      </c>
      <c r="D123" t="s">
        <v>679</v>
      </c>
      <c r="E123" s="15">
        <v>45629</v>
      </c>
      <c r="F123" s="15">
        <v>45565</v>
      </c>
      <c r="G123" t="s">
        <v>149</v>
      </c>
      <c r="H123" t="s">
        <v>842</v>
      </c>
      <c r="I123" t="s">
        <v>843</v>
      </c>
    </row>
    <row r="124" spans="1:12" ht="13.95" customHeight="1" x14ac:dyDescent="0.3">
      <c r="A124" t="s">
        <v>632</v>
      </c>
      <c r="B124" t="s">
        <v>237</v>
      </c>
      <c r="C124" t="s">
        <v>613</v>
      </c>
      <c r="D124" t="s">
        <v>685</v>
      </c>
      <c r="E124" s="15">
        <v>45629</v>
      </c>
      <c r="F124" s="15">
        <v>45565</v>
      </c>
      <c r="G124" t="s">
        <v>130</v>
      </c>
      <c r="I124" t="s">
        <v>844</v>
      </c>
    </row>
    <row r="125" spans="1:12" ht="13.95" customHeight="1" x14ac:dyDescent="0.3">
      <c r="A125" t="s">
        <v>632</v>
      </c>
      <c r="B125" t="s">
        <v>237</v>
      </c>
      <c r="C125" t="s">
        <v>613</v>
      </c>
      <c r="D125" t="s">
        <v>715</v>
      </c>
      <c r="E125" s="15">
        <v>45629</v>
      </c>
      <c r="F125" s="15">
        <v>45565</v>
      </c>
      <c r="G125" t="s">
        <v>130</v>
      </c>
      <c r="I125" t="s">
        <v>845</v>
      </c>
    </row>
    <row r="126" spans="1:12" ht="13.95" customHeight="1" x14ac:dyDescent="0.3">
      <c r="A126" t="s">
        <v>632</v>
      </c>
      <c r="B126" t="s">
        <v>237</v>
      </c>
      <c r="C126" t="s">
        <v>613</v>
      </c>
      <c r="D126" t="s">
        <v>717</v>
      </c>
      <c r="E126" s="15">
        <v>45629</v>
      </c>
      <c r="F126" s="15">
        <v>45565</v>
      </c>
      <c r="G126" t="s">
        <v>130</v>
      </c>
      <c r="H126" t="s">
        <v>718</v>
      </c>
      <c r="I126" t="s">
        <v>846</v>
      </c>
    </row>
    <row r="127" spans="1:12" ht="13.95" customHeight="1" x14ac:dyDescent="0.3">
      <c r="A127" t="s">
        <v>632</v>
      </c>
      <c r="B127" t="s">
        <v>237</v>
      </c>
      <c r="C127" t="s">
        <v>613</v>
      </c>
      <c r="D127" t="s">
        <v>720</v>
      </c>
      <c r="E127" s="15">
        <v>45629</v>
      </c>
      <c r="F127" s="15">
        <v>45565</v>
      </c>
      <c r="G127" t="s">
        <v>130</v>
      </c>
      <c r="I127" t="s">
        <v>847</v>
      </c>
    </row>
    <row r="128" spans="1:12" ht="13.95" customHeight="1" x14ac:dyDescent="0.3">
      <c r="A128" t="s">
        <v>632</v>
      </c>
      <c r="B128" t="s">
        <v>237</v>
      </c>
      <c r="C128" t="s">
        <v>613</v>
      </c>
      <c r="D128" t="s">
        <v>722</v>
      </c>
      <c r="E128" s="15">
        <v>45629</v>
      </c>
      <c r="F128" s="15">
        <v>45565</v>
      </c>
      <c r="G128" t="s">
        <v>130</v>
      </c>
      <c r="I128" t="s">
        <v>848</v>
      </c>
    </row>
    <row r="129" spans="1:9" ht="13.95" customHeight="1" x14ac:dyDescent="0.3">
      <c r="A129" t="s">
        <v>632</v>
      </c>
      <c r="B129" t="s">
        <v>237</v>
      </c>
      <c r="C129" t="s">
        <v>613</v>
      </c>
      <c r="D129" t="s">
        <v>724</v>
      </c>
      <c r="E129" s="15">
        <v>45629</v>
      </c>
      <c r="F129" s="15">
        <v>45565</v>
      </c>
      <c r="G129" t="s">
        <v>130</v>
      </c>
      <c r="I129" t="s">
        <v>849</v>
      </c>
    </row>
    <row r="130" spans="1:9" ht="13.95" customHeight="1" x14ac:dyDescent="0.3">
      <c r="A130" t="s">
        <v>632</v>
      </c>
      <c r="B130" t="s">
        <v>237</v>
      </c>
      <c r="C130" t="s">
        <v>613</v>
      </c>
      <c r="D130" t="s">
        <v>726</v>
      </c>
      <c r="E130" s="15">
        <v>45629</v>
      </c>
      <c r="F130" s="15">
        <v>45565</v>
      </c>
      <c r="G130" t="s">
        <v>149</v>
      </c>
      <c r="H130" t="s">
        <v>850</v>
      </c>
      <c r="I130" t="s">
        <v>851</v>
      </c>
    </row>
    <row r="131" spans="1:9" ht="13.95" customHeight="1" x14ac:dyDescent="0.3">
      <c r="A131" t="s">
        <v>632</v>
      </c>
      <c r="B131" t="s">
        <v>237</v>
      </c>
      <c r="C131" t="s">
        <v>613</v>
      </c>
      <c r="D131" t="s">
        <v>728</v>
      </c>
      <c r="E131" s="15">
        <v>45629</v>
      </c>
      <c r="F131" s="15">
        <v>45565</v>
      </c>
      <c r="G131" t="s">
        <v>149</v>
      </c>
      <c r="H131" t="s">
        <v>852</v>
      </c>
      <c r="I131" t="s">
        <v>853</v>
      </c>
    </row>
    <row r="132" spans="1:9" ht="13.95" customHeight="1" x14ac:dyDescent="0.3">
      <c r="A132" t="s">
        <v>632</v>
      </c>
      <c r="B132" t="s">
        <v>237</v>
      </c>
      <c r="C132" t="s">
        <v>613</v>
      </c>
      <c r="D132" t="s">
        <v>854</v>
      </c>
      <c r="E132" s="15">
        <v>45629</v>
      </c>
      <c r="F132" s="15">
        <v>45565</v>
      </c>
      <c r="G132" t="s">
        <v>149</v>
      </c>
      <c r="H132" t="s">
        <v>855</v>
      </c>
      <c r="I132" t="s">
        <v>856</v>
      </c>
    </row>
    <row r="133" spans="1:9" ht="13.95" customHeight="1" x14ac:dyDescent="0.3">
      <c r="A133" t="s">
        <v>632</v>
      </c>
      <c r="B133" t="s">
        <v>237</v>
      </c>
      <c r="C133" t="s">
        <v>613</v>
      </c>
      <c r="D133" t="s">
        <v>730</v>
      </c>
      <c r="E133" s="15">
        <v>45629</v>
      </c>
      <c r="F133" s="15">
        <v>45565</v>
      </c>
      <c r="H133" t="s">
        <v>731</v>
      </c>
    </row>
    <row r="134" spans="1:9" ht="13.95" customHeight="1" x14ac:dyDescent="0.3">
      <c r="A134" t="s">
        <v>632</v>
      </c>
      <c r="B134" t="s">
        <v>237</v>
      </c>
      <c r="C134" t="s">
        <v>613</v>
      </c>
      <c r="D134" t="s">
        <v>732</v>
      </c>
      <c r="E134" s="15">
        <v>45629</v>
      </c>
      <c r="F134" s="15">
        <v>45565</v>
      </c>
      <c r="H134" t="s">
        <v>733</v>
      </c>
    </row>
    <row r="135" spans="1:9" ht="13.95" customHeight="1" x14ac:dyDescent="0.3">
      <c r="A135" t="s">
        <v>632</v>
      </c>
      <c r="B135" t="s">
        <v>237</v>
      </c>
      <c r="C135" t="s">
        <v>613</v>
      </c>
      <c r="D135" t="s">
        <v>734</v>
      </c>
      <c r="E135" s="15">
        <v>45629</v>
      </c>
      <c r="F135" s="15">
        <v>45565</v>
      </c>
      <c r="H135" t="s">
        <v>735</v>
      </c>
    </row>
    <row r="136" spans="1:9" ht="13.95" customHeight="1" x14ac:dyDescent="0.3">
      <c r="A136" t="s">
        <v>632</v>
      </c>
      <c r="B136" t="s">
        <v>237</v>
      </c>
      <c r="C136" t="s">
        <v>613</v>
      </c>
      <c r="D136" t="s">
        <v>734</v>
      </c>
      <c r="E136" s="15">
        <v>45629</v>
      </c>
      <c r="F136" s="15">
        <v>45565</v>
      </c>
      <c r="H136" t="s">
        <v>735</v>
      </c>
    </row>
    <row r="137" spans="1:9" ht="13.95" customHeight="1" x14ac:dyDescent="0.3">
      <c r="A137" t="s">
        <v>632</v>
      </c>
      <c r="B137" t="s">
        <v>237</v>
      </c>
      <c r="C137" t="s">
        <v>613</v>
      </c>
      <c r="D137" t="s">
        <v>736</v>
      </c>
      <c r="E137" s="15">
        <v>45629</v>
      </c>
      <c r="F137" s="15">
        <v>45565</v>
      </c>
      <c r="H137" t="s">
        <v>857</v>
      </c>
    </row>
    <row r="138" spans="1:9" ht="13.95" customHeight="1" x14ac:dyDescent="0.3">
      <c r="A138" t="s">
        <v>632</v>
      </c>
      <c r="B138" t="s">
        <v>237</v>
      </c>
      <c r="C138" t="s">
        <v>613</v>
      </c>
      <c r="D138" t="s">
        <v>738</v>
      </c>
      <c r="E138" s="15">
        <v>45629</v>
      </c>
      <c r="F138" s="15">
        <v>45565</v>
      </c>
      <c r="H138" t="s">
        <v>857</v>
      </c>
    </row>
    <row r="139" spans="1:9" ht="13.95" customHeight="1" x14ac:dyDescent="0.3">
      <c r="A139" t="s">
        <v>632</v>
      </c>
      <c r="B139" t="s">
        <v>237</v>
      </c>
      <c r="C139" t="s">
        <v>613</v>
      </c>
      <c r="D139" t="s">
        <v>739</v>
      </c>
      <c r="E139" s="15">
        <v>45629</v>
      </c>
      <c r="F139" s="15">
        <v>45565</v>
      </c>
      <c r="H139" t="s">
        <v>857</v>
      </c>
    </row>
    <row r="140" spans="1:9" ht="13.95" customHeight="1" x14ac:dyDescent="0.3">
      <c r="A140" t="s">
        <v>632</v>
      </c>
      <c r="B140" t="s">
        <v>287</v>
      </c>
      <c r="C140" t="s">
        <v>608</v>
      </c>
      <c r="D140" t="s">
        <v>837</v>
      </c>
      <c r="E140" s="15">
        <v>45629</v>
      </c>
      <c r="F140" s="15">
        <v>45565</v>
      </c>
      <c r="G140" t="s">
        <v>130</v>
      </c>
      <c r="H140" t="s">
        <v>778</v>
      </c>
      <c r="I140" t="s">
        <v>858</v>
      </c>
    </row>
    <row r="141" spans="1:9" ht="13.95" customHeight="1" x14ac:dyDescent="0.3">
      <c r="A141" t="s">
        <v>632</v>
      </c>
      <c r="B141" t="s">
        <v>287</v>
      </c>
      <c r="C141" t="s">
        <v>608</v>
      </c>
      <c r="D141" t="s">
        <v>769</v>
      </c>
      <c r="E141" s="15">
        <v>45629</v>
      </c>
      <c r="F141" s="15">
        <v>45565</v>
      </c>
      <c r="G141" t="s">
        <v>130</v>
      </c>
      <c r="H141" t="s">
        <v>859</v>
      </c>
      <c r="I141" t="s">
        <v>860</v>
      </c>
    </row>
    <row r="142" spans="1:9" ht="13.95" customHeight="1" x14ac:dyDescent="0.3">
      <c r="A142" t="s">
        <v>632</v>
      </c>
      <c r="B142" t="s">
        <v>287</v>
      </c>
      <c r="C142" t="s">
        <v>613</v>
      </c>
      <c r="D142" t="s">
        <v>777</v>
      </c>
      <c r="E142" s="15">
        <v>45629</v>
      </c>
      <c r="F142" s="15">
        <v>45565</v>
      </c>
      <c r="G142" t="s">
        <v>130</v>
      </c>
      <c r="H142" t="s">
        <v>778</v>
      </c>
      <c r="I142" t="s">
        <v>861</v>
      </c>
    </row>
    <row r="143" spans="1:9" ht="13.95" customHeight="1" x14ac:dyDescent="0.3">
      <c r="A143" t="s">
        <v>632</v>
      </c>
      <c r="B143" t="s">
        <v>287</v>
      </c>
      <c r="C143" t="s">
        <v>613</v>
      </c>
      <c r="D143" t="s">
        <v>780</v>
      </c>
      <c r="E143" s="15">
        <v>45629</v>
      </c>
      <c r="F143" s="15">
        <v>45565</v>
      </c>
      <c r="G143" t="s">
        <v>130</v>
      </c>
      <c r="H143" t="s">
        <v>862</v>
      </c>
      <c r="I143" t="s">
        <v>863</v>
      </c>
    </row>
    <row r="144" spans="1:9" ht="13.95" customHeight="1" x14ac:dyDescent="0.3">
      <c r="A144" t="s">
        <v>632</v>
      </c>
      <c r="B144" t="s">
        <v>287</v>
      </c>
      <c r="C144" t="s">
        <v>613</v>
      </c>
      <c r="D144" t="s">
        <v>783</v>
      </c>
      <c r="E144" s="15">
        <v>45629</v>
      </c>
      <c r="F144" s="15">
        <v>45565</v>
      </c>
      <c r="G144" t="s">
        <v>130</v>
      </c>
      <c r="H144" t="s">
        <v>778</v>
      </c>
      <c r="I144" t="s">
        <v>864</v>
      </c>
    </row>
    <row r="145" spans="1:9" ht="13.95" customHeight="1" x14ac:dyDescent="0.3">
      <c r="A145" t="s">
        <v>632</v>
      </c>
      <c r="B145" t="s">
        <v>287</v>
      </c>
      <c r="C145" t="s">
        <v>613</v>
      </c>
      <c r="D145" t="s">
        <v>785</v>
      </c>
      <c r="E145" s="15">
        <v>45629</v>
      </c>
      <c r="F145" s="15">
        <v>45565</v>
      </c>
      <c r="G145" t="s">
        <v>130</v>
      </c>
      <c r="H145" t="s">
        <v>778</v>
      </c>
      <c r="I145" t="s">
        <v>865</v>
      </c>
    </row>
    <row r="146" spans="1:9" ht="13.95" customHeight="1" x14ac:dyDescent="0.3">
      <c r="A146" t="s">
        <v>632</v>
      </c>
      <c r="B146" t="s">
        <v>287</v>
      </c>
      <c r="C146" t="s">
        <v>613</v>
      </c>
      <c r="D146" t="s">
        <v>787</v>
      </c>
      <c r="E146" s="15">
        <v>45629</v>
      </c>
      <c r="F146" s="15">
        <v>45565</v>
      </c>
      <c r="G146" t="s">
        <v>149</v>
      </c>
      <c r="H146" t="s">
        <v>866</v>
      </c>
      <c r="I146" t="s">
        <v>867</v>
      </c>
    </row>
    <row r="147" spans="1:9" ht="13.95" customHeight="1" x14ac:dyDescent="0.3">
      <c r="A147" t="s">
        <v>632</v>
      </c>
      <c r="B147" t="s">
        <v>43</v>
      </c>
      <c r="C147" t="s">
        <v>608</v>
      </c>
      <c r="D147" t="s">
        <v>636</v>
      </c>
      <c r="E147" s="15">
        <v>45629</v>
      </c>
      <c r="F147" s="15">
        <v>45565</v>
      </c>
      <c r="G147" t="s">
        <v>130</v>
      </c>
      <c r="I147" t="s">
        <v>868</v>
      </c>
    </row>
    <row r="148" spans="1:9" ht="13.95" customHeight="1" x14ac:dyDescent="0.3">
      <c r="A148" t="s">
        <v>632</v>
      </c>
      <c r="B148" t="s">
        <v>43</v>
      </c>
      <c r="C148" t="s">
        <v>613</v>
      </c>
      <c r="D148" t="s">
        <v>814</v>
      </c>
      <c r="E148" s="15">
        <v>45629</v>
      </c>
      <c r="F148" s="15">
        <v>45565</v>
      </c>
      <c r="G148" t="s">
        <v>130</v>
      </c>
      <c r="I148" t="s">
        <v>869</v>
      </c>
    </row>
    <row r="149" spans="1:9" ht="13.95" customHeight="1" x14ac:dyDescent="0.3">
      <c r="A149" t="s">
        <v>632</v>
      </c>
      <c r="B149" t="s">
        <v>43</v>
      </c>
      <c r="C149" t="s">
        <v>613</v>
      </c>
      <c r="D149" t="s">
        <v>816</v>
      </c>
      <c r="E149" s="15">
        <v>45629</v>
      </c>
      <c r="F149" s="15">
        <v>45565</v>
      </c>
      <c r="G149" t="s">
        <v>149</v>
      </c>
      <c r="H149" t="s">
        <v>870</v>
      </c>
      <c r="I149" t="s">
        <v>871</v>
      </c>
    </row>
    <row r="150" spans="1:9" ht="13.95" customHeight="1" x14ac:dyDescent="0.3">
      <c r="A150" t="s">
        <v>632</v>
      </c>
      <c r="B150" t="s">
        <v>43</v>
      </c>
      <c r="C150" t="s">
        <v>613</v>
      </c>
      <c r="D150" t="s">
        <v>818</v>
      </c>
      <c r="E150" s="15">
        <v>45629</v>
      </c>
      <c r="F150" s="15">
        <v>45565</v>
      </c>
      <c r="G150" t="s">
        <v>149</v>
      </c>
      <c r="H150" t="s">
        <v>872</v>
      </c>
      <c r="I150" t="s">
        <v>873</v>
      </c>
    </row>
    <row r="151" spans="1:9" ht="13.95" customHeight="1" x14ac:dyDescent="0.3">
      <c r="A151" t="s">
        <v>632</v>
      </c>
      <c r="B151" t="s">
        <v>43</v>
      </c>
      <c r="C151" t="s">
        <v>613</v>
      </c>
      <c r="D151" t="s">
        <v>821</v>
      </c>
      <c r="E151" s="15">
        <v>45629</v>
      </c>
      <c r="F151" s="15">
        <v>45565</v>
      </c>
      <c r="G151" t="s">
        <v>130</v>
      </c>
      <c r="I151" t="s">
        <v>874</v>
      </c>
    </row>
    <row r="152" spans="1:9" ht="13.95" customHeight="1" x14ac:dyDescent="0.3">
      <c r="A152" t="s">
        <v>632</v>
      </c>
      <c r="B152" t="s">
        <v>43</v>
      </c>
      <c r="C152" t="s">
        <v>613</v>
      </c>
      <c r="D152" t="s">
        <v>823</v>
      </c>
      <c r="E152" s="15">
        <v>45629</v>
      </c>
      <c r="F152" s="15">
        <v>45565</v>
      </c>
      <c r="G152" t="s">
        <v>130</v>
      </c>
      <c r="I152" t="s">
        <v>875</v>
      </c>
    </row>
    <row r="153" spans="1:9" ht="13.95" customHeight="1" x14ac:dyDescent="0.3">
      <c r="A153" t="s">
        <v>632</v>
      </c>
      <c r="B153" t="s">
        <v>43</v>
      </c>
      <c r="C153" t="s">
        <v>613</v>
      </c>
      <c r="D153" t="s">
        <v>825</v>
      </c>
      <c r="E153" s="15">
        <v>45629</v>
      </c>
      <c r="F153" s="15">
        <v>45565</v>
      </c>
      <c r="G153" t="s">
        <v>130</v>
      </c>
      <c r="I153" t="s">
        <v>876</v>
      </c>
    </row>
    <row r="154" spans="1:9" ht="13.95" customHeight="1" x14ac:dyDescent="0.3">
      <c r="A154" t="s">
        <v>632</v>
      </c>
      <c r="B154" t="s">
        <v>244</v>
      </c>
      <c r="C154" t="s">
        <v>608</v>
      </c>
      <c r="D154" t="s">
        <v>636</v>
      </c>
      <c r="E154" s="15">
        <v>45630</v>
      </c>
      <c r="F154" s="15">
        <v>45565</v>
      </c>
      <c r="G154" t="s">
        <v>130</v>
      </c>
      <c r="I154" t="s">
        <v>877</v>
      </c>
    </row>
    <row r="155" spans="1:9" ht="13.95" customHeight="1" x14ac:dyDescent="0.3">
      <c r="A155" t="s">
        <v>632</v>
      </c>
      <c r="B155" t="s">
        <v>244</v>
      </c>
      <c r="C155" t="s">
        <v>613</v>
      </c>
      <c r="D155" t="s">
        <v>742</v>
      </c>
      <c r="E155" s="15">
        <v>45630</v>
      </c>
      <c r="F155" s="15">
        <v>45565</v>
      </c>
      <c r="G155" t="s">
        <v>130</v>
      </c>
      <c r="I155" t="s">
        <v>878</v>
      </c>
    </row>
    <row r="156" spans="1:9" ht="13.95" customHeight="1" x14ac:dyDescent="0.3">
      <c r="A156" t="s">
        <v>632</v>
      </c>
      <c r="B156" t="s">
        <v>244</v>
      </c>
      <c r="C156" t="s">
        <v>613</v>
      </c>
      <c r="D156" t="s">
        <v>744</v>
      </c>
      <c r="E156" s="15">
        <v>45630</v>
      </c>
      <c r="F156" s="15">
        <v>45565</v>
      </c>
      <c r="G156" t="s">
        <v>149</v>
      </c>
      <c r="H156" t="s">
        <v>879</v>
      </c>
      <c r="I156" t="s">
        <v>880</v>
      </c>
    </row>
    <row r="157" spans="1:9" ht="13.95" customHeight="1" x14ac:dyDescent="0.3">
      <c r="A157" t="s">
        <v>632</v>
      </c>
      <c r="B157" t="s">
        <v>244</v>
      </c>
      <c r="C157" t="s">
        <v>613</v>
      </c>
      <c r="D157" t="s">
        <v>746</v>
      </c>
      <c r="E157" s="15">
        <v>45630</v>
      </c>
      <c r="F157" s="15">
        <v>45565</v>
      </c>
      <c r="G157" t="s">
        <v>130</v>
      </c>
      <c r="I157" t="s">
        <v>881</v>
      </c>
    </row>
    <row r="158" spans="1:9" ht="13.95" customHeight="1" x14ac:dyDescent="0.3">
      <c r="A158" t="s">
        <v>632</v>
      </c>
      <c r="B158" t="s">
        <v>244</v>
      </c>
      <c r="C158" t="s">
        <v>613</v>
      </c>
      <c r="D158" t="s">
        <v>749</v>
      </c>
      <c r="E158" s="15">
        <v>45630</v>
      </c>
      <c r="F158" s="15">
        <v>45565</v>
      </c>
      <c r="G158" t="s">
        <v>130</v>
      </c>
      <c r="I158" t="s">
        <v>882</v>
      </c>
    </row>
    <row r="159" spans="1:9" ht="13.95" customHeight="1" x14ac:dyDescent="0.3">
      <c r="A159" t="s">
        <v>632</v>
      </c>
      <c r="B159" t="s">
        <v>244</v>
      </c>
      <c r="C159" t="s">
        <v>613</v>
      </c>
      <c r="D159" t="s">
        <v>751</v>
      </c>
      <c r="E159" s="15">
        <v>45630</v>
      </c>
      <c r="F159" s="15">
        <v>45565</v>
      </c>
      <c r="G159" t="s">
        <v>130</v>
      </c>
      <c r="I159" t="s">
        <v>883</v>
      </c>
    </row>
    <row r="160" spans="1:9" ht="13.95" customHeight="1" x14ac:dyDescent="0.3">
      <c r="A160" t="s">
        <v>632</v>
      </c>
      <c r="B160" t="s">
        <v>244</v>
      </c>
      <c r="C160" t="s">
        <v>613</v>
      </c>
      <c r="D160" t="s">
        <v>753</v>
      </c>
      <c r="E160" s="15">
        <v>45630</v>
      </c>
      <c r="F160" s="15">
        <v>45565</v>
      </c>
      <c r="G160" t="s">
        <v>130</v>
      </c>
      <c r="I160" t="s">
        <v>884</v>
      </c>
    </row>
    <row r="161" spans="1:9" ht="13.95" customHeight="1" x14ac:dyDescent="0.3">
      <c r="A161" t="s">
        <v>632</v>
      </c>
      <c r="B161" t="s">
        <v>256</v>
      </c>
      <c r="C161" t="s">
        <v>608</v>
      </c>
      <c r="D161" t="s">
        <v>636</v>
      </c>
      <c r="E161" s="15">
        <v>45630</v>
      </c>
      <c r="F161" s="15">
        <v>45473</v>
      </c>
      <c r="G161" t="s">
        <v>130</v>
      </c>
      <c r="I161" t="s">
        <v>885</v>
      </c>
    </row>
    <row r="162" spans="1:9" ht="13.95" customHeight="1" x14ac:dyDescent="0.3">
      <c r="A162" t="s">
        <v>632</v>
      </c>
      <c r="B162" t="s">
        <v>256</v>
      </c>
      <c r="C162" t="s">
        <v>613</v>
      </c>
      <c r="D162" t="s">
        <v>789</v>
      </c>
      <c r="E162" s="15">
        <v>45630</v>
      </c>
      <c r="F162" s="15">
        <v>45473</v>
      </c>
      <c r="G162" t="s">
        <v>130</v>
      </c>
      <c r="I162" t="s">
        <v>886</v>
      </c>
    </row>
    <row r="163" spans="1:9" ht="13.95" customHeight="1" x14ac:dyDescent="0.3">
      <c r="A163" t="s">
        <v>632</v>
      </c>
      <c r="B163" t="s">
        <v>256</v>
      </c>
      <c r="C163" t="s">
        <v>613</v>
      </c>
      <c r="D163" t="s">
        <v>791</v>
      </c>
      <c r="E163" s="15">
        <v>45630</v>
      </c>
      <c r="F163" s="15">
        <v>45473</v>
      </c>
      <c r="G163" t="s">
        <v>130</v>
      </c>
      <c r="I163" t="s">
        <v>887</v>
      </c>
    </row>
    <row r="164" spans="1:9" ht="13.95" customHeight="1" x14ac:dyDescent="0.3">
      <c r="A164" t="s">
        <v>632</v>
      </c>
      <c r="B164" t="s">
        <v>256</v>
      </c>
      <c r="C164" t="s">
        <v>613</v>
      </c>
      <c r="D164" t="s">
        <v>793</v>
      </c>
      <c r="E164" s="15">
        <v>45630</v>
      </c>
      <c r="F164" s="15">
        <v>45473</v>
      </c>
      <c r="G164" t="s">
        <v>130</v>
      </c>
      <c r="I164" t="s">
        <v>887</v>
      </c>
    </row>
    <row r="165" spans="1:9" ht="13.95" customHeight="1" x14ac:dyDescent="0.3">
      <c r="A165" t="s">
        <v>632</v>
      </c>
      <c r="B165" t="s">
        <v>256</v>
      </c>
      <c r="C165" t="s">
        <v>613</v>
      </c>
      <c r="D165" t="s">
        <v>795</v>
      </c>
      <c r="E165" s="15">
        <v>45630</v>
      </c>
      <c r="F165" s="15">
        <v>45473</v>
      </c>
      <c r="G165" t="s">
        <v>130</v>
      </c>
      <c r="I165" t="s">
        <v>888</v>
      </c>
    </row>
    <row r="166" spans="1:9" ht="13.95" customHeight="1" x14ac:dyDescent="0.3">
      <c r="A166" t="s">
        <v>632</v>
      </c>
      <c r="B166" t="s">
        <v>256</v>
      </c>
      <c r="C166" t="s">
        <v>613</v>
      </c>
      <c r="D166" t="s">
        <v>797</v>
      </c>
      <c r="E166" s="15">
        <v>45630</v>
      </c>
      <c r="F166" s="15">
        <v>45473</v>
      </c>
      <c r="G166" t="s">
        <v>130</v>
      </c>
      <c r="I166" t="s">
        <v>889</v>
      </c>
    </row>
    <row r="167" spans="1:9" ht="13.95" customHeight="1" x14ac:dyDescent="0.3">
      <c r="A167" t="s">
        <v>632</v>
      </c>
      <c r="B167" t="s">
        <v>256</v>
      </c>
      <c r="C167" t="s">
        <v>613</v>
      </c>
      <c r="D167" t="s">
        <v>799</v>
      </c>
      <c r="E167" s="15">
        <v>45630</v>
      </c>
      <c r="F167" s="15">
        <v>45473</v>
      </c>
      <c r="G167" t="s">
        <v>130</v>
      </c>
      <c r="I167" t="s">
        <v>890</v>
      </c>
    </row>
    <row r="168" spans="1:9" ht="13.95" customHeight="1" x14ac:dyDescent="0.3">
      <c r="A168" t="s">
        <v>632</v>
      </c>
      <c r="B168" t="s">
        <v>256</v>
      </c>
      <c r="C168" t="s">
        <v>613</v>
      </c>
      <c r="D168" t="s">
        <v>801</v>
      </c>
      <c r="E168" s="15">
        <v>45630</v>
      </c>
      <c r="F168" s="15">
        <v>45473</v>
      </c>
      <c r="G168" t="s">
        <v>130</v>
      </c>
      <c r="I168" t="s">
        <v>891</v>
      </c>
    </row>
    <row r="169" spans="1:9" ht="13.95" customHeight="1" x14ac:dyDescent="0.3">
      <c r="A169" t="s">
        <v>632</v>
      </c>
      <c r="B169" t="s">
        <v>256</v>
      </c>
      <c r="C169" t="s">
        <v>613</v>
      </c>
      <c r="D169" t="s">
        <v>804</v>
      </c>
      <c r="E169" s="15">
        <v>45630</v>
      </c>
      <c r="F169" s="15">
        <v>45473</v>
      </c>
      <c r="G169" t="s">
        <v>130</v>
      </c>
      <c r="I169" t="s">
        <v>892</v>
      </c>
    </row>
    <row r="170" spans="1:9" ht="13.95" customHeight="1" x14ac:dyDescent="0.3">
      <c r="A170" t="s">
        <v>632</v>
      </c>
      <c r="B170" t="s">
        <v>256</v>
      </c>
      <c r="C170" t="s">
        <v>613</v>
      </c>
      <c r="D170" t="s">
        <v>806</v>
      </c>
      <c r="E170" s="15">
        <v>45630</v>
      </c>
      <c r="F170" s="15">
        <v>45473</v>
      </c>
      <c r="H170" t="s">
        <v>807</v>
      </c>
    </row>
    <row r="171" spans="1:9" ht="13.95" customHeight="1" x14ac:dyDescent="0.3">
      <c r="A171" t="s">
        <v>632</v>
      </c>
      <c r="B171" t="s">
        <v>276</v>
      </c>
      <c r="C171" t="s">
        <v>608</v>
      </c>
      <c r="D171" t="s">
        <v>636</v>
      </c>
      <c r="E171" s="15">
        <v>45630</v>
      </c>
      <c r="F171" s="15">
        <v>45473</v>
      </c>
      <c r="G171" t="s">
        <v>130</v>
      </c>
      <c r="I171" t="s">
        <v>893</v>
      </c>
    </row>
    <row r="172" spans="1:9" ht="13.95" customHeight="1" x14ac:dyDescent="0.3">
      <c r="A172" t="s">
        <v>632</v>
      </c>
      <c r="B172" t="s">
        <v>276</v>
      </c>
      <c r="C172" t="s">
        <v>613</v>
      </c>
      <c r="D172" t="s">
        <v>808</v>
      </c>
      <c r="E172" s="15">
        <v>45630</v>
      </c>
      <c r="F172" s="15">
        <v>45473</v>
      </c>
      <c r="G172" t="s">
        <v>130</v>
      </c>
      <c r="I172" t="s">
        <v>894</v>
      </c>
    </row>
    <row r="173" spans="1:9" ht="13.95" customHeight="1" x14ac:dyDescent="0.3">
      <c r="A173" t="s">
        <v>632</v>
      </c>
      <c r="B173" t="s">
        <v>276</v>
      </c>
      <c r="C173" t="s">
        <v>613</v>
      </c>
      <c r="D173" t="s">
        <v>810</v>
      </c>
      <c r="E173" s="15">
        <v>45630</v>
      </c>
      <c r="F173" s="15">
        <v>45473</v>
      </c>
      <c r="G173" t="s">
        <v>130</v>
      </c>
      <c r="I173" t="s">
        <v>895</v>
      </c>
    </row>
    <row r="174" spans="1:9" ht="13.95" customHeight="1" x14ac:dyDescent="0.3">
      <c r="A174" t="s">
        <v>632</v>
      </c>
      <c r="B174" t="s">
        <v>276</v>
      </c>
      <c r="C174" t="s">
        <v>613</v>
      </c>
      <c r="D174" t="s">
        <v>812</v>
      </c>
      <c r="E174" s="15">
        <v>45630</v>
      </c>
      <c r="F174" s="15">
        <v>45473</v>
      </c>
      <c r="G174" t="s">
        <v>130</v>
      </c>
      <c r="I174" t="s">
        <v>896</v>
      </c>
    </row>
    <row r="175" spans="1:9" ht="13.95" customHeight="1" x14ac:dyDescent="0.3">
      <c r="A175" t="s">
        <v>632</v>
      </c>
      <c r="B175" t="s">
        <v>469</v>
      </c>
      <c r="C175" t="s">
        <v>608</v>
      </c>
      <c r="D175" t="s">
        <v>636</v>
      </c>
      <c r="E175" s="15">
        <v>45630</v>
      </c>
      <c r="F175" s="15">
        <v>45565</v>
      </c>
      <c r="G175" t="s">
        <v>130</v>
      </c>
      <c r="I175" t="s">
        <v>897</v>
      </c>
    </row>
    <row r="176" spans="1:9" ht="13.95" customHeight="1" x14ac:dyDescent="0.3">
      <c r="A176" t="s">
        <v>632</v>
      </c>
      <c r="B176" t="s">
        <v>469</v>
      </c>
      <c r="C176" t="s">
        <v>633</v>
      </c>
      <c r="D176" t="s">
        <v>634</v>
      </c>
      <c r="E176" s="15">
        <v>45630</v>
      </c>
      <c r="F176" s="15">
        <v>45565</v>
      </c>
      <c r="G176" t="s">
        <v>130</v>
      </c>
      <c r="I176" t="s">
        <v>898</v>
      </c>
    </row>
    <row r="177" spans="1:9" ht="13.95" customHeight="1" x14ac:dyDescent="0.3">
      <c r="A177" t="s">
        <v>632</v>
      </c>
      <c r="B177" t="s">
        <v>469</v>
      </c>
      <c r="C177" t="s">
        <v>613</v>
      </c>
      <c r="D177" t="s">
        <v>899</v>
      </c>
      <c r="E177" s="15">
        <v>45630</v>
      </c>
      <c r="F177" s="15">
        <v>45565</v>
      </c>
      <c r="G177" t="s">
        <v>130</v>
      </c>
      <c r="I177" t="s">
        <v>900</v>
      </c>
    </row>
    <row r="178" spans="1:9" ht="13.95" customHeight="1" x14ac:dyDescent="0.3">
      <c r="A178" t="s">
        <v>632</v>
      </c>
      <c r="B178" t="s">
        <v>469</v>
      </c>
      <c r="C178" t="s">
        <v>613</v>
      </c>
      <c r="D178" t="s">
        <v>640</v>
      </c>
      <c r="E178" s="15">
        <v>45630</v>
      </c>
      <c r="F178" s="15">
        <v>45565</v>
      </c>
      <c r="G178" t="s">
        <v>149</v>
      </c>
      <c r="H178" t="s">
        <v>901</v>
      </c>
      <c r="I178" t="s">
        <v>902</v>
      </c>
    </row>
    <row r="179" spans="1:9" ht="13.95" customHeight="1" x14ac:dyDescent="0.3">
      <c r="A179" t="s">
        <v>632</v>
      </c>
      <c r="B179" t="s">
        <v>469</v>
      </c>
      <c r="C179" t="s">
        <v>613</v>
      </c>
      <c r="D179" t="s">
        <v>643</v>
      </c>
      <c r="E179" s="15">
        <v>45630</v>
      </c>
      <c r="F179" s="15">
        <v>45565</v>
      </c>
      <c r="G179" t="s">
        <v>130</v>
      </c>
      <c r="I179" t="s">
        <v>903</v>
      </c>
    </row>
    <row r="180" spans="1:9" ht="13.95" customHeight="1" x14ac:dyDescent="0.3">
      <c r="A180" t="s">
        <v>632</v>
      </c>
      <c r="B180" t="s">
        <v>279</v>
      </c>
      <c r="C180" t="s">
        <v>608</v>
      </c>
      <c r="D180" t="s">
        <v>636</v>
      </c>
      <c r="E180" s="15">
        <v>45630</v>
      </c>
      <c r="F180" s="15">
        <v>45565</v>
      </c>
      <c r="G180" t="s">
        <v>130</v>
      </c>
      <c r="I180" t="s">
        <v>904</v>
      </c>
    </row>
    <row r="181" spans="1:9" ht="13.95" customHeight="1" x14ac:dyDescent="0.3">
      <c r="A181" t="s">
        <v>632</v>
      </c>
      <c r="B181" t="s">
        <v>279</v>
      </c>
      <c r="C181" t="s">
        <v>613</v>
      </c>
      <c r="D181" t="s">
        <v>905</v>
      </c>
      <c r="E181" s="15">
        <v>45630</v>
      </c>
      <c r="F181" s="15">
        <v>45565</v>
      </c>
      <c r="G181" t="s">
        <v>130</v>
      </c>
      <c r="I181" t="s">
        <v>906</v>
      </c>
    </row>
    <row r="182" spans="1:9" ht="13.95" customHeight="1" x14ac:dyDescent="0.3">
      <c r="A182" t="s">
        <v>632</v>
      </c>
      <c r="B182" t="s">
        <v>279</v>
      </c>
      <c r="C182" t="s">
        <v>613</v>
      </c>
      <c r="D182" t="s">
        <v>907</v>
      </c>
      <c r="E182" s="15">
        <v>45630</v>
      </c>
      <c r="F182" s="15">
        <v>45565</v>
      </c>
      <c r="G182" t="s">
        <v>149</v>
      </c>
      <c r="H182" t="s">
        <v>908</v>
      </c>
      <c r="I182" t="s">
        <v>909</v>
      </c>
    </row>
    <row r="183" spans="1:9" ht="13.95" customHeight="1" x14ac:dyDescent="0.3">
      <c r="A183" t="s">
        <v>632</v>
      </c>
      <c r="B183" t="s">
        <v>279</v>
      </c>
      <c r="C183" t="s">
        <v>613</v>
      </c>
      <c r="D183" t="s">
        <v>910</v>
      </c>
      <c r="E183" s="15">
        <v>45630</v>
      </c>
      <c r="F183" s="15">
        <v>45565</v>
      </c>
      <c r="G183" t="s">
        <v>149</v>
      </c>
      <c r="H183" t="s">
        <v>908</v>
      </c>
      <c r="I183" t="s">
        <v>911</v>
      </c>
    </row>
    <row r="184" spans="1:9" ht="13.95" customHeight="1" x14ac:dyDescent="0.3">
      <c r="A184" t="s">
        <v>632</v>
      </c>
      <c r="B184" t="s">
        <v>279</v>
      </c>
      <c r="C184" t="s">
        <v>613</v>
      </c>
      <c r="D184" t="s">
        <v>653</v>
      </c>
      <c r="E184" s="15">
        <v>45630</v>
      </c>
      <c r="F184" s="15">
        <v>45565</v>
      </c>
      <c r="G184" t="s">
        <v>130</v>
      </c>
      <c r="I184" t="s">
        <v>912</v>
      </c>
    </row>
    <row r="185" spans="1:9" ht="13.95" customHeight="1" x14ac:dyDescent="0.3">
      <c r="A185" s="29" t="s">
        <v>632</v>
      </c>
      <c r="B185" s="29" t="s">
        <v>185</v>
      </c>
      <c r="C185" t="s">
        <v>608</v>
      </c>
      <c r="D185" t="s">
        <v>636</v>
      </c>
      <c r="E185" s="15">
        <v>45630</v>
      </c>
      <c r="F185" s="15">
        <v>45565</v>
      </c>
      <c r="G185" t="s">
        <v>130</v>
      </c>
      <c r="I185" t="s">
        <v>913</v>
      </c>
    </row>
    <row r="186" spans="1:9" ht="13.95" customHeight="1" x14ac:dyDescent="0.3">
      <c r="A186" s="29" t="s">
        <v>632</v>
      </c>
      <c r="B186" s="29" t="s">
        <v>185</v>
      </c>
      <c r="C186" t="s">
        <v>613</v>
      </c>
      <c r="D186" t="s">
        <v>687</v>
      </c>
      <c r="E186" s="15">
        <v>45630</v>
      </c>
      <c r="F186" s="15">
        <v>45565</v>
      </c>
      <c r="G186" t="s">
        <v>130</v>
      </c>
      <c r="I186" t="s">
        <v>914</v>
      </c>
    </row>
    <row r="187" spans="1:9" ht="13.95" customHeight="1" x14ac:dyDescent="0.3">
      <c r="A187" s="29" t="s">
        <v>632</v>
      </c>
      <c r="B187" s="29" t="s">
        <v>185</v>
      </c>
      <c r="C187" t="s">
        <v>613</v>
      </c>
      <c r="D187" t="s">
        <v>689</v>
      </c>
      <c r="E187" s="15">
        <v>45630</v>
      </c>
      <c r="F187" s="15">
        <v>45565</v>
      </c>
      <c r="G187" t="s">
        <v>130</v>
      </c>
      <c r="I187" t="s">
        <v>915</v>
      </c>
    </row>
    <row r="188" spans="1:9" ht="13.95" customHeight="1" x14ac:dyDescent="0.3">
      <c r="A188" s="29" t="s">
        <v>632</v>
      </c>
      <c r="B188" s="29" t="s">
        <v>185</v>
      </c>
      <c r="C188" t="s">
        <v>613</v>
      </c>
      <c r="D188" t="s">
        <v>692</v>
      </c>
      <c r="E188" s="15">
        <v>45630</v>
      </c>
      <c r="F188" s="15">
        <v>45565</v>
      </c>
      <c r="G188" t="s">
        <v>130</v>
      </c>
      <c r="I188" t="s">
        <v>916</v>
      </c>
    </row>
    <row r="189" spans="1:9" ht="13.95" customHeight="1" x14ac:dyDescent="0.3">
      <c r="A189" s="29" t="s">
        <v>632</v>
      </c>
      <c r="B189" s="29" t="s">
        <v>185</v>
      </c>
      <c r="C189" t="s">
        <v>613</v>
      </c>
      <c r="D189" t="s">
        <v>694</v>
      </c>
      <c r="E189" s="15">
        <v>45630</v>
      </c>
      <c r="F189" s="15">
        <v>45565</v>
      </c>
      <c r="G189" t="s">
        <v>130</v>
      </c>
      <c r="I189" t="s">
        <v>917</v>
      </c>
    </row>
    <row r="190" spans="1:9" ht="13.95" customHeight="1" x14ac:dyDescent="0.3">
      <c r="A190" s="29" t="s">
        <v>632</v>
      </c>
      <c r="B190" s="29" t="s">
        <v>185</v>
      </c>
      <c r="C190" t="s">
        <v>613</v>
      </c>
      <c r="D190" t="s">
        <v>697</v>
      </c>
      <c r="E190" s="15">
        <v>45630</v>
      </c>
      <c r="F190" s="15">
        <v>45565</v>
      </c>
      <c r="G190" t="s">
        <v>130</v>
      </c>
      <c r="I190" t="s">
        <v>918</v>
      </c>
    </row>
    <row r="191" spans="1:9" ht="13.95" customHeight="1" x14ac:dyDescent="0.3">
      <c r="A191" s="29" t="s">
        <v>632</v>
      </c>
      <c r="B191" s="29" t="s">
        <v>185</v>
      </c>
      <c r="C191" t="s">
        <v>613</v>
      </c>
      <c r="D191" t="s">
        <v>699</v>
      </c>
      <c r="E191" s="15">
        <v>45630</v>
      </c>
      <c r="F191" s="15">
        <v>45565</v>
      </c>
      <c r="G191" t="s">
        <v>130</v>
      </c>
      <c r="I191" t="s">
        <v>919</v>
      </c>
    </row>
    <row r="192" spans="1:9" ht="13.95" customHeight="1" x14ac:dyDescent="0.3">
      <c r="A192" t="s">
        <v>632</v>
      </c>
      <c r="B192" t="s">
        <v>41</v>
      </c>
      <c r="C192" t="s">
        <v>608</v>
      </c>
      <c r="D192" t="s">
        <v>636</v>
      </c>
      <c r="E192" s="15">
        <v>45643</v>
      </c>
      <c r="F192" s="15">
        <v>45565</v>
      </c>
      <c r="G192" t="s">
        <v>149</v>
      </c>
      <c r="I192" t="s">
        <v>920</v>
      </c>
    </row>
    <row r="193" spans="1:9" x14ac:dyDescent="0.3">
      <c r="A193" t="s">
        <v>632</v>
      </c>
      <c r="B193" t="s">
        <v>41</v>
      </c>
      <c r="C193" t="s">
        <v>613</v>
      </c>
      <c r="D193" t="s">
        <v>827</v>
      </c>
      <c r="E193" s="15">
        <v>45643</v>
      </c>
      <c r="F193" s="15">
        <v>45565</v>
      </c>
      <c r="G193" t="s">
        <v>149</v>
      </c>
      <c r="I193" t="s">
        <v>921</v>
      </c>
    </row>
    <row r="194" spans="1:9" ht="13.95" customHeight="1" x14ac:dyDescent="0.3">
      <c r="A194" t="s">
        <v>632</v>
      </c>
      <c r="B194" t="s">
        <v>41</v>
      </c>
      <c r="C194" t="s">
        <v>613</v>
      </c>
      <c r="D194" t="s">
        <v>829</v>
      </c>
      <c r="E194" s="15">
        <v>45643</v>
      </c>
      <c r="F194" s="15">
        <v>45565</v>
      </c>
      <c r="G194" t="s">
        <v>130</v>
      </c>
      <c r="I194" t="s">
        <v>922</v>
      </c>
    </row>
    <row r="195" spans="1:9" ht="13.95" customHeight="1" x14ac:dyDescent="0.3">
      <c r="A195" t="s">
        <v>632</v>
      </c>
      <c r="B195" t="s">
        <v>41</v>
      </c>
      <c r="C195" t="s">
        <v>613</v>
      </c>
      <c r="D195" t="s">
        <v>831</v>
      </c>
      <c r="E195" s="15">
        <v>45643</v>
      </c>
      <c r="F195" s="15">
        <v>45565</v>
      </c>
      <c r="G195" t="s">
        <v>149</v>
      </c>
      <c r="H195" t="s">
        <v>923</v>
      </c>
      <c r="I195" t="s">
        <v>924</v>
      </c>
    </row>
    <row r="196" spans="1:9" ht="13.95" customHeight="1" x14ac:dyDescent="0.3">
      <c r="A196" t="s">
        <v>632</v>
      </c>
      <c r="B196" t="s">
        <v>41</v>
      </c>
      <c r="C196" t="s">
        <v>613</v>
      </c>
      <c r="D196" t="s">
        <v>833</v>
      </c>
      <c r="E196" s="15">
        <v>45643</v>
      </c>
      <c r="F196" s="15">
        <v>45565</v>
      </c>
      <c r="G196" t="s">
        <v>130</v>
      </c>
      <c r="I196" t="s">
        <v>925</v>
      </c>
    </row>
    <row r="197" spans="1:9" ht="13.95" customHeight="1" x14ac:dyDescent="0.3">
      <c r="A197" t="s">
        <v>632</v>
      </c>
      <c r="B197" t="s">
        <v>41</v>
      </c>
      <c r="C197" t="s">
        <v>613</v>
      </c>
      <c r="D197" t="s">
        <v>835</v>
      </c>
      <c r="E197" s="15">
        <v>45643</v>
      </c>
      <c r="F197" s="15">
        <v>45565</v>
      </c>
      <c r="G197" t="s">
        <v>130</v>
      </c>
      <c r="I197" t="s">
        <v>926</v>
      </c>
    </row>
    <row r="198" spans="1:9" ht="13.95" customHeight="1" x14ac:dyDescent="0.3">
      <c r="A198" s="29" t="s">
        <v>604</v>
      </c>
      <c r="B198" t="s">
        <v>442</v>
      </c>
      <c r="C198" t="s">
        <v>608</v>
      </c>
      <c r="D198" t="s">
        <v>636</v>
      </c>
      <c r="E198" s="15">
        <v>45644</v>
      </c>
      <c r="F198" s="15">
        <v>45565</v>
      </c>
      <c r="G198" t="s">
        <v>130</v>
      </c>
      <c r="I198" t="s">
        <v>927</v>
      </c>
    </row>
    <row r="199" spans="1:9" x14ac:dyDescent="0.3">
      <c r="A199" s="29" t="s">
        <v>604</v>
      </c>
      <c r="B199" t="s">
        <v>442</v>
      </c>
      <c r="C199" t="s">
        <v>613</v>
      </c>
      <c r="D199" t="s">
        <v>928</v>
      </c>
      <c r="E199" s="15">
        <v>45644</v>
      </c>
      <c r="F199" s="15">
        <v>45565</v>
      </c>
      <c r="G199" t="s">
        <v>130</v>
      </c>
      <c r="I199" t="s">
        <v>929</v>
      </c>
    </row>
    <row r="200" spans="1:9" ht="13.95" customHeight="1" x14ac:dyDescent="0.3">
      <c r="A200" s="29" t="s">
        <v>604</v>
      </c>
      <c r="B200" t="s">
        <v>442</v>
      </c>
      <c r="C200" t="s">
        <v>613</v>
      </c>
      <c r="D200" t="s">
        <v>930</v>
      </c>
      <c r="E200" s="15">
        <v>45644</v>
      </c>
      <c r="F200" s="15">
        <v>45565</v>
      </c>
      <c r="G200" t="s">
        <v>130</v>
      </c>
      <c r="I200" t="s">
        <v>931</v>
      </c>
    </row>
    <row r="201" spans="1:9" ht="13.95" customHeight="1" x14ac:dyDescent="0.3">
      <c r="A201" s="29" t="s">
        <v>604</v>
      </c>
      <c r="B201" t="s">
        <v>442</v>
      </c>
      <c r="C201" t="s">
        <v>613</v>
      </c>
      <c r="D201" t="s">
        <v>932</v>
      </c>
      <c r="E201" s="15">
        <v>45644</v>
      </c>
      <c r="F201" s="15">
        <v>45565</v>
      </c>
      <c r="G201" t="s">
        <v>130</v>
      </c>
      <c r="I201" t="s">
        <v>933</v>
      </c>
    </row>
    <row r="202" spans="1:9" ht="13.95" customHeight="1" x14ac:dyDescent="0.3">
      <c r="A202" s="29" t="s">
        <v>604</v>
      </c>
      <c r="B202" t="s">
        <v>442</v>
      </c>
      <c r="C202" t="s">
        <v>613</v>
      </c>
      <c r="D202" t="s">
        <v>934</v>
      </c>
      <c r="E202" s="15">
        <v>45644</v>
      </c>
      <c r="F202" s="15">
        <v>45565</v>
      </c>
      <c r="G202" t="s">
        <v>149</v>
      </c>
      <c r="H202" t="s">
        <v>935</v>
      </c>
      <c r="I202" t="s">
        <v>936</v>
      </c>
    </row>
    <row r="203" spans="1:9" ht="13.95" customHeight="1" x14ac:dyDescent="0.3">
      <c r="A203" s="29" t="s">
        <v>604</v>
      </c>
      <c r="B203" t="s">
        <v>290</v>
      </c>
      <c r="C203" t="s">
        <v>608</v>
      </c>
      <c r="D203" t="s">
        <v>636</v>
      </c>
      <c r="E203" s="15">
        <v>45644</v>
      </c>
      <c r="F203" s="15">
        <v>45565</v>
      </c>
      <c r="G203" t="s">
        <v>130</v>
      </c>
      <c r="I203" t="s">
        <v>937</v>
      </c>
    </row>
    <row r="204" spans="1:9" ht="13.95" customHeight="1" x14ac:dyDescent="0.3">
      <c r="A204" s="29" t="s">
        <v>604</v>
      </c>
      <c r="B204" t="s">
        <v>290</v>
      </c>
      <c r="C204" t="s">
        <v>613</v>
      </c>
      <c r="D204" t="s">
        <v>772</v>
      </c>
      <c r="E204" s="15">
        <v>45644</v>
      </c>
      <c r="F204" s="15">
        <v>45565</v>
      </c>
      <c r="G204" t="s">
        <v>130</v>
      </c>
      <c r="I204" t="s">
        <v>938</v>
      </c>
    </row>
    <row r="205" spans="1:9" ht="13.95" customHeight="1" x14ac:dyDescent="0.3">
      <c r="A205" s="29" t="s">
        <v>604</v>
      </c>
      <c r="B205" t="s">
        <v>290</v>
      </c>
      <c r="C205" t="s">
        <v>613</v>
      </c>
      <c r="D205" t="s">
        <v>774</v>
      </c>
      <c r="E205" s="15">
        <v>45644</v>
      </c>
      <c r="F205" s="15">
        <v>45565</v>
      </c>
      <c r="G205" t="s">
        <v>130</v>
      </c>
      <c r="I205" t="s">
        <v>939</v>
      </c>
    </row>
    <row r="206" spans="1:9" ht="13.95" customHeight="1" x14ac:dyDescent="0.3">
      <c r="A206" t="s">
        <v>193</v>
      </c>
      <c r="B206" t="s">
        <v>424</v>
      </c>
      <c r="C206" t="s">
        <v>608</v>
      </c>
      <c r="D206" t="s">
        <v>636</v>
      </c>
      <c r="E206" s="15">
        <v>45361</v>
      </c>
      <c r="F206" s="15">
        <v>45657</v>
      </c>
      <c r="G206" t="s">
        <v>130</v>
      </c>
      <c r="I206" t="s">
        <v>940</v>
      </c>
    </row>
    <row r="207" spans="1:9" ht="13.95" customHeight="1" x14ac:dyDescent="0.3">
      <c r="A207" s="29" t="s">
        <v>604</v>
      </c>
      <c r="B207" t="s">
        <v>442</v>
      </c>
      <c r="C207" t="s">
        <v>608</v>
      </c>
      <c r="D207" t="s">
        <v>636</v>
      </c>
      <c r="E207" s="15">
        <v>45361</v>
      </c>
      <c r="F207" s="15">
        <v>45657</v>
      </c>
      <c r="G207" t="s">
        <v>149</v>
      </c>
      <c r="H207" t="s">
        <v>941</v>
      </c>
      <c r="I207" t="s">
        <v>942</v>
      </c>
    </row>
    <row r="208" spans="1:9" ht="13.95" customHeight="1" x14ac:dyDescent="0.3">
      <c r="A208" s="29" t="s">
        <v>604</v>
      </c>
      <c r="B208" t="s">
        <v>290</v>
      </c>
      <c r="C208" t="s">
        <v>608</v>
      </c>
      <c r="D208" t="s">
        <v>636</v>
      </c>
      <c r="E208" s="15">
        <v>45362</v>
      </c>
      <c r="F208" s="15">
        <v>45657</v>
      </c>
      <c r="G208" t="s">
        <v>130</v>
      </c>
      <c r="I208" t="s">
        <v>943</v>
      </c>
    </row>
    <row r="209" spans="1:9" ht="13.95" customHeight="1" x14ac:dyDescent="0.3">
      <c r="A209" t="s">
        <v>632</v>
      </c>
      <c r="B209" t="s">
        <v>41</v>
      </c>
      <c r="C209" t="s">
        <v>608</v>
      </c>
      <c r="D209" t="s">
        <v>636</v>
      </c>
      <c r="E209" s="15">
        <v>45362</v>
      </c>
      <c r="F209" s="15">
        <v>45657</v>
      </c>
      <c r="G209" t="s">
        <v>130</v>
      </c>
      <c r="I209" t="s">
        <v>944</v>
      </c>
    </row>
    <row r="210" spans="1:9" ht="13.95" customHeight="1" x14ac:dyDescent="0.3">
      <c r="A210" t="s">
        <v>193</v>
      </c>
      <c r="B210" t="s">
        <v>424</v>
      </c>
      <c r="C210" t="s">
        <v>608</v>
      </c>
      <c r="D210" t="s">
        <v>636</v>
      </c>
      <c r="E210" s="15">
        <v>45371</v>
      </c>
      <c r="F210" s="15">
        <v>45657</v>
      </c>
      <c r="G210" t="s">
        <v>130</v>
      </c>
      <c r="I210" t="s">
        <v>945</v>
      </c>
    </row>
    <row r="211" spans="1:9" ht="13.95" customHeight="1" x14ac:dyDescent="0.3">
      <c r="A211" t="s">
        <v>193</v>
      </c>
      <c r="B211" t="s">
        <v>424</v>
      </c>
      <c r="C211" t="s">
        <v>613</v>
      </c>
      <c r="D211" t="s">
        <v>946</v>
      </c>
      <c r="E211" s="15">
        <v>45371</v>
      </c>
      <c r="F211" s="15">
        <v>45657</v>
      </c>
      <c r="G211" t="s">
        <v>130</v>
      </c>
      <c r="I211" t="s">
        <v>947</v>
      </c>
    </row>
    <row r="212" spans="1:9" ht="13.95" customHeight="1" x14ac:dyDescent="0.3">
      <c r="A212" t="s">
        <v>193</v>
      </c>
      <c r="B212" t="s">
        <v>424</v>
      </c>
      <c r="C212" t="s">
        <v>613</v>
      </c>
      <c r="D212" t="s">
        <v>948</v>
      </c>
      <c r="E212" s="15">
        <v>45371</v>
      </c>
      <c r="F212" s="15">
        <v>45657</v>
      </c>
      <c r="G212" t="s">
        <v>130</v>
      </c>
      <c r="I212" t="s">
        <v>947</v>
      </c>
    </row>
    <row r="213" spans="1:9" ht="13.95" customHeight="1" x14ac:dyDescent="0.3">
      <c r="A213" s="29" t="s">
        <v>604</v>
      </c>
      <c r="B213" t="s">
        <v>290</v>
      </c>
      <c r="C213" t="s">
        <v>608</v>
      </c>
      <c r="D213" t="s">
        <v>636</v>
      </c>
      <c r="E213" s="15">
        <v>45371</v>
      </c>
      <c r="F213" s="15">
        <v>45657</v>
      </c>
      <c r="G213" t="s">
        <v>130</v>
      </c>
      <c r="I213" t="s">
        <v>949</v>
      </c>
    </row>
    <row r="214" spans="1:9" ht="13.95" customHeight="1" x14ac:dyDescent="0.3">
      <c r="A214" s="29" t="s">
        <v>604</v>
      </c>
      <c r="B214" t="s">
        <v>290</v>
      </c>
      <c r="C214" t="s">
        <v>613</v>
      </c>
      <c r="D214" t="s">
        <v>772</v>
      </c>
      <c r="E214" s="15">
        <v>45371</v>
      </c>
      <c r="F214" s="15">
        <v>45657</v>
      </c>
      <c r="G214" t="s">
        <v>130</v>
      </c>
      <c r="I214" t="s">
        <v>950</v>
      </c>
    </row>
    <row r="215" spans="1:9" ht="13.95" customHeight="1" x14ac:dyDescent="0.3">
      <c r="A215" s="29" t="s">
        <v>604</v>
      </c>
      <c r="B215" t="s">
        <v>290</v>
      </c>
      <c r="C215" t="s">
        <v>613</v>
      </c>
      <c r="D215" t="s">
        <v>774</v>
      </c>
      <c r="E215" s="15">
        <v>45371</v>
      </c>
      <c r="F215" s="15">
        <v>45657</v>
      </c>
      <c r="G215" t="s">
        <v>130</v>
      </c>
      <c r="I215" t="s">
        <v>951</v>
      </c>
    </row>
    <row r="216" spans="1:9" ht="13.95" customHeight="1" x14ac:dyDescent="0.3">
      <c r="A216" t="s">
        <v>632</v>
      </c>
      <c r="B216" t="s">
        <v>41</v>
      </c>
      <c r="C216" t="s">
        <v>608</v>
      </c>
      <c r="D216" t="s">
        <v>636</v>
      </c>
      <c r="E216" s="15">
        <v>45371</v>
      </c>
      <c r="F216" s="15">
        <v>45657</v>
      </c>
      <c r="G216" t="s">
        <v>130</v>
      </c>
      <c r="I216" t="s">
        <v>952</v>
      </c>
    </row>
    <row r="217" spans="1:9" x14ac:dyDescent="0.3">
      <c r="A217" t="s">
        <v>632</v>
      </c>
      <c r="B217" t="s">
        <v>41</v>
      </c>
      <c r="C217" t="s">
        <v>613</v>
      </c>
      <c r="D217" t="s">
        <v>827</v>
      </c>
      <c r="E217" s="15">
        <v>45371</v>
      </c>
      <c r="F217" s="15">
        <v>45657</v>
      </c>
      <c r="G217" t="s">
        <v>149</v>
      </c>
      <c r="H217" t="s">
        <v>953</v>
      </c>
      <c r="I217" t="s">
        <v>954</v>
      </c>
    </row>
    <row r="218" spans="1:9" ht="13.95" customHeight="1" x14ac:dyDescent="0.3">
      <c r="A218" t="s">
        <v>632</v>
      </c>
      <c r="B218" t="s">
        <v>41</v>
      </c>
      <c r="C218" t="s">
        <v>613</v>
      </c>
      <c r="D218" t="s">
        <v>829</v>
      </c>
      <c r="E218" s="15">
        <v>45371</v>
      </c>
      <c r="F218" s="15">
        <v>45657</v>
      </c>
      <c r="G218" t="s">
        <v>130</v>
      </c>
      <c r="I218" t="s">
        <v>955</v>
      </c>
    </row>
    <row r="219" spans="1:9" ht="13.95" customHeight="1" x14ac:dyDescent="0.3">
      <c r="A219" t="s">
        <v>632</v>
      </c>
      <c r="B219" t="s">
        <v>41</v>
      </c>
      <c r="C219" t="s">
        <v>613</v>
      </c>
      <c r="D219" t="s">
        <v>831</v>
      </c>
      <c r="E219" s="15">
        <v>45371</v>
      </c>
      <c r="F219" s="15">
        <v>45657</v>
      </c>
      <c r="G219" t="s">
        <v>149</v>
      </c>
      <c r="H219" t="s">
        <v>956</v>
      </c>
      <c r="I219" t="s">
        <v>957</v>
      </c>
    </row>
    <row r="220" spans="1:9" ht="13.95" customHeight="1" x14ac:dyDescent="0.3">
      <c r="A220" t="s">
        <v>632</v>
      </c>
      <c r="B220" t="s">
        <v>41</v>
      </c>
      <c r="C220" t="s">
        <v>613</v>
      </c>
      <c r="D220" t="s">
        <v>833</v>
      </c>
      <c r="E220" s="15">
        <v>45371</v>
      </c>
      <c r="F220" s="15">
        <v>45657</v>
      </c>
      <c r="G220" t="s">
        <v>130</v>
      </c>
      <c r="I220" t="s">
        <v>958</v>
      </c>
    </row>
    <row r="221" spans="1:9" ht="13.95" customHeight="1" x14ac:dyDescent="0.3">
      <c r="A221" t="s">
        <v>632</v>
      </c>
      <c r="B221" t="s">
        <v>41</v>
      </c>
      <c r="C221" t="s">
        <v>613</v>
      </c>
      <c r="D221" t="s">
        <v>835</v>
      </c>
      <c r="E221" s="15">
        <v>45371</v>
      </c>
      <c r="F221" s="15">
        <v>45657</v>
      </c>
      <c r="G221" t="s">
        <v>130</v>
      </c>
      <c r="I221" t="s">
        <v>959</v>
      </c>
    </row>
    <row r="222" spans="1:9" ht="13.95" customHeight="1" x14ac:dyDescent="0.3">
      <c r="A222" s="29" t="s">
        <v>604</v>
      </c>
      <c r="B222" t="s">
        <v>442</v>
      </c>
      <c r="C222" t="s">
        <v>608</v>
      </c>
      <c r="D222" t="s">
        <v>636</v>
      </c>
      <c r="E222" s="15">
        <v>45371</v>
      </c>
      <c r="F222" s="15">
        <v>45657</v>
      </c>
      <c r="G222" t="s">
        <v>130</v>
      </c>
      <c r="I222" t="s">
        <v>960</v>
      </c>
    </row>
    <row r="223" spans="1:9" x14ac:dyDescent="0.3">
      <c r="A223" s="29" t="s">
        <v>604</v>
      </c>
      <c r="B223" t="s">
        <v>442</v>
      </c>
      <c r="C223" t="s">
        <v>613</v>
      </c>
      <c r="D223" t="s">
        <v>928</v>
      </c>
      <c r="E223" s="15">
        <v>45371</v>
      </c>
      <c r="F223" s="15">
        <v>45657</v>
      </c>
      <c r="G223" t="s">
        <v>130</v>
      </c>
      <c r="I223" t="s">
        <v>961</v>
      </c>
    </row>
    <row r="224" spans="1:9" ht="13.95" customHeight="1" x14ac:dyDescent="0.3">
      <c r="A224" s="29" t="s">
        <v>604</v>
      </c>
      <c r="B224" t="s">
        <v>442</v>
      </c>
      <c r="C224" t="s">
        <v>613</v>
      </c>
      <c r="D224" t="s">
        <v>930</v>
      </c>
      <c r="E224" s="15">
        <v>45371</v>
      </c>
      <c r="F224" s="15">
        <v>45657</v>
      </c>
      <c r="G224" t="s">
        <v>130</v>
      </c>
      <c r="I224" t="s">
        <v>962</v>
      </c>
    </row>
    <row r="225" spans="1:10" ht="13.95" customHeight="1" x14ac:dyDescent="0.3">
      <c r="A225" s="29" t="s">
        <v>604</v>
      </c>
      <c r="B225" t="s">
        <v>442</v>
      </c>
      <c r="C225" t="s">
        <v>613</v>
      </c>
      <c r="D225" t="s">
        <v>932</v>
      </c>
      <c r="E225" s="15">
        <v>45371</v>
      </c>
      <c r="F225" s="15">
        <v>45657</v>
      </c>
      <c r="G225" t="s">
        <v>130</v>
      </c>
      <c r="I225" t="s">
        <v>963</v>
      </c>
    </row>
    <row r="226" spans="1:10" ht="13.95" customHeight="1" x14ac:dyDescent="0.3">
      <c r="A226" s="29" t="s">
        <v>604</v>
      </c>
      <c r="B226" t="s">
        <v>442</v>
      </c>
      <c r="C226" t="s">
        <v>613</v>
      </c>
      <c r="D226" t="s">
        <v>934</v>
      </c>
      <c r="E226" s="15">
        <v>45371</v>
      </c>
      <c r="F226" s="15">
        <v>45657</v>
      </c>
      <c r="G226" t="s">
        <v>130</v>
      </c>
      <c r="H226" t="s">
        <v>935</v>
      </c>
      <c r="I226" t="s">
        <v>964</v>
      </c>
    </row>
    <row r="227" spans="1:10" ht="13.95" customHeight="1" x14ac:dyDescent="0.3">
      <c r="A227" s="29" t="s">
        <v>604</v>
      </c>
      <c r="B227" t="s">
        <v>399</v>
      </c>
      <c r="C227" t="s">
        <v>608</v>
      </c>
      <c r="D227" t="s">
        <v>636</v>
      </c>
      <c r="E227" s="15">
        <v>45383</v>
      </c>
      <c r="F227" s="15">
        <v>45657</v>
      </c>
      <c r="G227" t="s">
        <v>130</v>
      </c>
      <c r="I227" t="s">
        <v>1131</v>
      </c>
    </row>
    <row r="228" spans="1:10" ht="13.95" customHeight="1" x14ac:dyDescent="0.3">
      <c r="A228" s="29" t="s">
        <v>604</v>
      </c>
      <c r="B228" t="s">
        <v>399</v>
      </c>
      <c r="C228" t="s">
        <v>613</v>
      </c>
      <c r="D228" t="s">
        <v>1133</v>
      </c>
      <c r="E228" s="15">
        <v>45383</v>
      </c>
      <c r="F228" s="15">
        <v>45657</v>
      </c>
      <c r="G228" t="s">
        <v>130</v>
      </c>
      <c r="I228" t="s">
        <v>1132</v>
      </c>
    </row>
    <row r="229" spans="1:10" ht="13.95" customHeight="1" x14ac:dyDescent="0.3">
      <c r="A229" s="29" t="s">
        <v>604</v>
      </c>
      <c r="B229" t="s">
        <v>400</v>
      </c>
      <c r="C229" t="s">
        <v>608</v>
      </c>
      <c r="D229" t="s">
        <v>636</v>
      </c>
      <c r="E229" s="15">
        <v>45383</v>
      </c>
      <c r="F229" s="15">
        <v>45657</v>
      </c>
      <c r="G229" t="s">
        <v>130</v>
      </c>
      <c r="I229" t="s">
        <v>1134</v>
      </c>
    </row>
    <row r="230" spans="1:10" ht="13.95" customHeight="1" x14ac:dyDescent="0.3">
      <c r="A230" s="29" t="s">
        <v>604</v>
      </c>
      <c r="B230" t="s">
        <v>400</v>
      </c>
      <c r="C230" t="s">
        <v>613</v>
      </c>
      <c r="D230" t="s">
        <v>1135</v>
      </c>
      <c r="E230" s="15">
        <v>45383</v>
      </c>
      <c r="F230" s="15">
        <v>45657</v>
      </c>
      <c r="G230" t="s">
        <v>130</v>
      </c>
      <c r="I230" t="s">
        <v>1136</v>
      </c>
    </row>
    <row r="231" spans="1:10" ht="13.95" customHeight="1" x14ac:dyDescent="0.3">
      <c r="A231" s="29" t="s">
        <v>604</v>
      </c>
      <c r="B231" s="138" t="s">
        <v>129</v>
      </c>
      <c r="C231" t="s">
        <v>608</v>
      </c>
      <c r="D231" t="s">
        <v>636</v>
      </c>
      <c r="E231" s="15">
        <v>45383</v>
      </c>
      <c r="F231" s="15">
        <v>45657</v>
      </c>
      <c r="G231" t="s">
        <v>130</v>
      </c>
      <c r="I231" t="s">
        <v>1137</v>
      </c>
    </row>
    <row r="232" spans="1:10" x14ac:dyDescent="0.3">
      <c r="A232" s="29" t="s">
        <v>604</v>
      </c>
      <c r="B232" s="138" t="s">
        <v>129</v>
      </c>
      <c r="C232" t="s">
        <v>613</v>
      </c>
      <c r="D232" t="s">
        <v>1138</v>
      </c>
      <c r="E232" s="15">
        <v>45383</v>
      </c>
      <c r="F232" s="15">
        <v>45657</v>
      </c>
      <c r="G232" t="s">
        <v>130</v>
      </c>
      <c r="I232" t="s">
        <v>1144</v>
      </c>
    </row>
    <row r="233" spans="1:10" ht="13.95" customHeight="1" x14ac:dyDescent="0.3">
      <c r="A233" s="29" t="s">
        <v>604</v>
      </c>
      <c r="B233" s="138" t="s">
        <v>129</v>
      </c>
      <c r="C233" t="s">
        <v>613</v>
      </c>
      <c r="D233" t="s">
        <v>1139</v>
      </c>
      <c r="E233" s="15">
        <v>45383</v>
      </c>
      <c r="F233" s="15">
        <v>45657</v>
      </c>
      <c r="G233" t="s">
        <v>130</v>
      </c>
      <c r="I233" t="s">
        <v>1145</v>
      </c>
    </row>
    <row r="234" spans="1:10" ht="13.95" customHeight="1" x14ac:dyDescent="0.3">
      <c r="A234" s="29" t="s">
        <v>604</v>
      </c>
      <c r="B234" s="138" t="s">
        <v>129</v>
      </c>
      <c r="C234" t="s">
        <v>613</v>
      </c>
      <c r="D234" t="s">
        <v>1140</v>
      </c>
      <c r="E234" s="15">
        <v>45383</v>
      </c>
      <c r="F234" s="15">
        <v>45657</v>
      </c>
      <c r="G234" t="s">
        <v>130</v>
      </c>
      <c r="I234" t="s">
        <v>1146</v>
      </c>
    </row>
    <row r="235" spans="1:10" ht="13.95" customHeight="1" x14ac:dyDescent="0.3">
      <c r="A235" s="29" t="s">
        <v>604</v>
      </c>
      <c r="B235" s="138" t="s">
        <v>129</v>
      </c>
      <c r="C235" t="s">
        <v>613</v>
      </c>
      <c r="D235" t="s">
        <v>1141</v>
      </c>
      <c r="E235" s="15"/>
      <c r="F235" s="15"/>
    </row>
    <row r="236" spans="1:10" ht="13.95" customHeight="1" x14ac:dyDescent="0.3">
      <c r="A236" s="29" t="s">
        <v>604</v>
      </c>
      <c r="B236" s="138" t="s">
        <v>129</v>
      </c>
      <c r="C236" t="s">
        <v>613</v>
      </c>
      <c r="D236" t="s">
        <v>1142</v>
      </c>
      <c r="E236" s="15"/>
      <c r="F236" s="15"/>
      <c r="H236" t="s">
        <v>1147</v>
      </c>
    </row>
    <row r="237" spans="1:10" ht="13.95" customHeight="1" x14ac:dyDescent="0.3">
      <c r="A237" s="29" t="s">
        <v>604</v>
      </c>
      <c r="B237" s="138" t="s">
        <v>129</v>
      </c>
      <c r="C237" t="s">
        <v>613</v>
      </c>
      <c r="D237" t="s">
        <v>1143</v>
      </c>
      <c r="E237" s="15">
        <v>45383</v>
      </c>
      <c r="F237" s="15">
        <v>45657</v>
      </c>
      <c r="G237" t="s">
        <v>130</v>
      </c>
      <c r="I237" t="s">
        <v>1148</v>
      </c>
    </row>
    <row r="238" spans="1:10" x14ac:dyDescent="0.3">
      <c r="A238" s="29"/>
    </row>
    <row r="240" spans="1:10" x14ac:dyDescent="0.3">
      <c r="A240" s="173" t="s">
        <v>604</v>
      </c>
      <c r="B240" s="68" t="s">
        <v>136</v>
      </c>
      <c r="C240" s="68" t="s">
        <v>608</v>
      </c>
      <c r="D240" s="68" t="s">
        <v>636</v>
      </c>
      <c r="E240" s="174">
        <v>45866</v>
      </c>
      <c r="F240" s="174">
        <v>45838</v>
      </c>
      <c r="G240" s="68" t="s">
        <v>130</v>
      </c>
      <c r="H240" s="68"/>
      <c r="I240" s="69" t="s">
        <v>1385</v>
      </c>
      <c r="J240" t="s">
        <v>1374</v>
      </c>
    </row>
    <row r="241" spans="1:20" x14ac:dyDescent="0.3">
      <c r="A241" s="175" t="s">
        <v>604</v>
      </c>
      <c r="B241" t="s">
        <v>136</v>
      </c>
      <c r="C241" t="s">
        <v>613</v>
      </c>
      <c r="D241" t="s">
        <v>1381</v>
      </c>
      <c r="E241" s="15">
        <v>45866</v>
      </c>
      <c r="F241" s="15">
        <v>45838</v>
      </c>
      <c r="G241" t="s">
        <v>130</v>
      </c>
      <c r="I241" s="71" t="s">
        <v>1386</v>
      </c>
      <c r="J241" t="s">
        <v>1374</v>
      </c>
    </row>
    <row r="242" spans="1:20" x14ac:dyDescent="0.3">
      <c r="A242" s="175" t="s">
        <v>604</v>
      </c>
      <c r="B242" t="s">
        <v>136</v>
      </c>
      <c r="C242" t="s">
        <v>613</v>
      </c>
      <c r="D242" t="s">
        <v>1382</v>
      </c>
      <c r="E242" s="15">
        <v>45866</v>
      </c>
      <c r="F242" s="15">
        <v>45838</v>
      </c>
      <c r="G242" t="s">
        <v>130</v>
      </c>
      <c r="I242" s="71" t="s">
        <v>1387</v>
      </c>
      <c r="J242" s="208" t="s">
        <v>1412</v>
      </c>
      <c r="K242" s="208"/>
    </row>
    <row r="243" spans="1:20" x14ac:dyDescent="0.3">
      <c r="A243" s="175" t="s">
        <v>604</v>
      </c>
      <c r="B243" t="s">
        <v>136</v>
      </c>
      <c r="C243" t="s">
        <v>613</v>
      </c>
      <c r="D243" t="s">
        <v>1383</v>
      </c>
      <c r="E243" s="15">
        <v>45866</v>
      </c>
      <c r="F243" s="15">
        <v>45838</v>
      </c>
      <c r="G243" t="s">
        <v>130</v>
      </c>
      <c r="I243" s="71" t="s">
        <v>1388</v>
      </c>
      <c r="J243" t="s">
        <v>1374</v>
      </c>
    </row>
    <row r="244" spans="1:20" x14ac:dyDescent="0.3">
      <c r="A244" s="176" t="s">
        <v>604</v>
      </c>
      <c r="B244" s="84" t="s">
        <v>136</v>
      </c>
      <c r="C244" s="84" t="s">
        <v>613</v>
      </c>
      <c r="D244" s="84" t="s">
        <v>1384</v>
      </c>
      <c r="E244" s="177">
        <v>45866</v>
      </c>
      <c r="F244" s="177">
        <v>45838</v>
      </c>
      <c r="G244" s="84" t="s">
        <v>130</v>
      </c>
      <c r="H244" s="84"/>
      <c r="I244" s="85" t="s">
        <v>1389</v>
      </c>
      <c r="J244" s="186">
        <v>45874</v>
      </c>
      <c r="K244" s="186">
        <v>45875</v>
      </c>
    </row>
    <row r="245" spans="1:20" x14ac:dyDescent="0.3">
      <c r="A245" s="175" t="s">
        <v>604</v>
      </c>
      <c r="B245" t="s">
        <v>446</v>
      </c>
      <c r="C245" t="s">
        <v>608</v>
      </c>
      <c r="D245" t="s">
        <v>636</v>
      </c>
      <c r="E245" s="15">
        <v>45866</v>
      </c>
      <c r="F245" s="15">
        <v>45838</v>
      </c>
      <c r="G245" t="s">
        <v>130</v>
      </c>
      <c r="I245" t="s">
        <v>1405</v>
      </c>
      <c r="J245" s="164" t="s">
        <v>130</v>
      </c>
      <c r="K245" s="164" t="s">
        <v>130</v>
      </c>
      <c r="Q245" t="s">
        <v>1374</v>
      </c>
    </row>
    <row r="246" spans="1:20" x14ac:dyDescent="0.3">
      <c r="A246" s="175" t="s">
        <v>604</v>
      </c>
      <c r="B246" t="s">
        <v>446</v>
      </c>
      <c r="C246" t="s">
        <v>613</v>
      </c>
      <c r="D246" t="s">
        <v>1390</v>
      </c>
      <c r="E246" s="15">
        <v>45866</v>
      </c>
      <c r="F246" s="15">
        <v>45838</v>
      </c>
      <c r="G246" t="s">
        <v>130</v>
      </c>
      <c r="I246" t="s">
        <v>1406</v>
      </c>
      <c r="J246" s="164" t="s">
        <v>130</v>
      </c>
      <c r="K246" s="164" t="s">
        <v>130</v>
      </c>
    </row>
    <row r="247" spans="1:20" x14ac:dyDescent="0.3">
      <c r="A247" s="175" t="s">
        <v>604</v>
      </c>
      <c r="B247" t="s">
        <v>446</v>
      </c>
      <c r="C247" t="s">
        <v>613</v>
      </c>
      <c r="D247" t="s">
        <v>1391</v>
      </c>
      <c r="E247" s="15">
        <v>45866</v>
      </c>
      <c r="F247" s="15">
        <v>45838</v>
      </c>
      <c r="G247" t="s">
        <v>130</v>
      </c>
      <c r="I247" t="s">
        <v>1407</v>
      </c>
      <c r="J247" s="164" t="s">
        <v>130</v>
      </c>
      <c r="K247" s="164" t="s">
        <v>130</v>
      </c>
    </row>
    <row r="248" spans="1:20" x14ac:dyDescent="0.3">
      <c r="A248" s="175" t="s">
        <v>604</v>
      </c>
      <c r="B248" t="s">
        <v>446</v>
      </c>
      <c r="C248" t="s">
        <v>613</v>
      </c>
      <c r="D248" t="s">
        <v>1392</v>
      </c>
      <c r="E248" s="15">
        <v>45867</v>
      </c>
      <c r="F248" s="15">
        <v>45838</v>
      </c>
      <c r="G248" t="s">
        <v>130</v>
      </c>
      <c r="I248" t="s">
        <v>1408</v>
      </c>
      <c r="J248" s="164" t="s">
        <v>130</v>
      </c>
      <c r="K248" s="164" t="s">
        <v>130</v>
      </c>
    </row>
    <row r="249" spans="1:20" x14ac:dyDescent="0.3">
      <c r="A249" s="175" t="s">
        <v>604</v>
      </c>
      <c r="B249" t="s">
        <v>446</v>
      </c>
      <c r="C249" t="s">
        <v>613</v>
      </c>
      <c r="D249" t="s">
        <v>1393</v>
      </c>
      <c r="E249" s="15">
        <v>45867</v>
      </c>
      <c r="F249" s="15">
        <v>45838</v>
      </c>
      <c r="G249" t="s">
        <v>149</v>
      </c>
      <c r="I249" t="s">
        <v>1409</v>
      </c>
      <c r="J249" s="187" t="s">
        <v>149</v>
      </c>
      <c r="K249" s="164" t="s">
        <v>149</v>
      </c>
    </row>
    <row r="250" spans="1:20" x14ac:dyDescent="0.3">
      <c r="A250" s="175" t="s">
        <v>604</v>
      </c>
      <c r="B250" t="s">
        <v>446</v>
      </c>
      <c r="C250" t="s">
        <v>613</v>
      </c>
      <c r="D250" t="s">
        <v>1394</v>
      </c>
      <c r="E250" s="15">
        <v>45867</v>
      </c>
      <c r="F250" s="15">
        <v>45838</v>
      </c>
      <c r="G250" t="s">
        <v>149</v>
      </c>
      <c r="I250" t="s">
        <v>1410</v>
      </c>
      <c r="J250" s="187" t="s">
        <v>130</v>
      </c>
      <c r="K250" s="164" t="s">
        <v>149</v>
      </c>
    </row>
    <row r="251" spans="1:20" x14ac:dyDescent="0.3">
      <c r="A251" s="175" t="s">
        <v>604</v>
      </c>
      <c r="B251" t="s">
        <v>446</v>
      </c>
      <c r="C251" t="s">
        <v>613</v>
      </c>
      <c r="D251" t="s">
        <v>1395</v>
      </c>
      <c r="E251" s="15">
        <v>45867</v>
      </c>
      <c r="F251" s="15">
        <v>45838</v>
      </c>
      <c r="I251" t="s">
        <v>1411</v>
      </c>
      <c r="J251" s="187" t="s">
        <v>130</v>
      </c>
      <c r="K251" s="164" t="s">
        <v>149</v>
      </c>
      <c r="Q251" t="s">
        <v>1374</v>
      </c>
    </row>
    <row r="252" spans="1:20" x14ac:dyDescent="0.3">
      <c r="A252" s="176" t="s">
        <v>604</v>
      </c>
      <c r="B252" s="84" t="s">
        <v>446</v>
      </c>
      <c r="C252" s="84" t="s">
        <v>613</v>
      </c>
      <c r="D252" s="84" t="s">
        <v>1396</v>
      </c>
      <c r="E252" s="177">
        <v>45867</v>
      </c>
      <c r="F252" s="177">
        <v>45838</v>
      </c>
      <c r="G252" s="84"/>
      <c r="H252" s="84" t="s">
        <v>1413</v>
      </c>
      <c r="I252" s="84" t="s">
        <v>285</v>
      </c>
      <c r="J252" s="187" t="s">
        <v>285</v>
      </c>
      <c r="K252" s="180" t="s">
        <v>285</v>
      </c>
    </row>
    <row r="253" spans="1:20" x14ac:dyDescent="0.3">
      <c r="A253" s="175" t="s">
        <v>604</v>
      </c>
      <c r="B253" t="s">
        <v>305</v>
      </c>
      <c r="C253" s="178" t="s">
        <v>608</v>
      </c>
      <c r="D253" s="178" t="s">
        <v>636</v>
      </c>
      <c r="E253" s="183">
        <v>45867</v>
      </c>
      <c r="F253" s="183">
        <v>45838</v>
      </c>
      <c r="G253" s="178" t="s">
        <v>149</v>
      </c>
      <c r="H253" s="178"/>
      <c r="I253" s="178" t="s">
        <v>1400</v>
      </c>
      <c r="J253" s="187">
        <v>10</v>
      </c>
      <c r="K253" s="181" t="s">
        <v>130</v>
      </c>
      <c r="O253" s="178"/>
    </row>
    <row r="254" spans="1:20" x14ac:dyDescent="0.3">
      <c r="A254" s="175" t="s">
        <v>604</v>
      </c>
      <c r="B254" t="s">
        <v>305</v>
      </c>
      <c r="C254" t="s">
        <v>613</v>
      </c>
      <c r="D254" t="s">
        <v>1399</v>
      </c>
      <c r="E254" s="15">
        <v>45867</v>
      </c>
      <c r="F254" s="15">
        <v>45838</v>
      </c>
      <c r="G254" t="s">
        <v>130</v>
      </c>
      <c r="I254" t="s">
        <v>1414</v>
      </c>
      <c r="J254" s="187" t="s">
        <v>130</v>
      </c>
      <c r="K254" s="181" t="s">
        <v>130</v>
      </c>
      <c r="T254" t="s">
        <v>1374</v>
      </c>
    </row>
    <row r="255" spans="1:20" x14ac:dyDescent="0.3">
      <c r="A255" s="175" t="s">
        <v>604</v>
      </c>
      <c r="B255" t="s">
        <v>305</v>
      </c>
      <c r="C255" t="s">
        <v>613</v>
      </c>
      <c r="D255" t="s">
        <v>1397</v>
      </c>
      <c r="E255" s="15">
        <v>45867</v>
      </c>
      <c r="F255" s="15">
        <v>45838</v>
      </c>
      <c r="G255" t="s">
        <v>130</v>
      </c>
      <c r="I255" t="s">
        <v>1415</v>
      </c>
      <c r="J255" s="187" t="s">
        <v>130</v>
      </c>
      <c r="K255" s="181" t="s">
        <v>130</v>
      </c>
    </row>
    <row r="256" spans="1:20" x14ac:dyDescent="0.3">
      <c r="A256" s="176" t="s">
        <v>604</v>
      </c>
      <c r="B256" s="84" t="s">
        <v>305</v>
      </c>
      <c r="C256" s="84" t="s">
        <v>613</v>
      </c>
      <c r="D256" s="84" t="s">
        <v>1398</v>
      </c>
      <c r="E256" s="177">
        <v>45867</v>
      </c>
      <c r="F256" s="177">
        <v>45838</v>
      </c>
      <c r="G256" s="84" t="s">
        <v>130</v>
      </c>
      <c r="H256" s="84"/>
      <c r="I256" s="84" t="s">
        <v>1416</v>
      </c>
      <c r="J256" s="187" t="s">
        <v>130</v>
      </c>
      <c r="K256" s="181" t="s">
        <v>130</v>
      </c>
    </row>
    <row r="259" spans="1:11" x14ac:dyDescent="0.3">
      <c r="A259" s="188" t="s">
        <v>1417</v>
      </c>
      <c r="B259" s="188"/>
    </row>
    <row r="260" spans="1:11" x14ac:dyDescent="0.3">
      <c r="A260" s="175" t="s">
        <v>604</v>
      </c>
      <c r="B260" s="184" t="s">
        <v>446</v>
      </c>
      <c r="C260" s="184" t="s">
        <v>613</v>
      </c>
      <c r="D260" s="184" t="s">
        <v>1403</v>
      </c>
      <c r="E260" s="172">
        <v>45877</v>
      </c>
      <c r="F260" s="172">
        <v>45838</v>
      </c>
      <c r="G260" s="164" t="s">
        <v>149</v>
      </c>
      <c r="H260" s="164" t="s">
        <v>1418</v>
      </c>
      <c r="I260" s="164" t="s">
        <v>1404</v>
      </c>
      <c r="J260" t="s">
        <v>1374</v>
      </c>
    </row>
    <row r="261" spans="1:11" x14ac:dyDescent="0.3">
      <c r="A261" s="185" t="s">
        <v>604</v>
      </c>
      <c r="B261" s="164" t="s">
        <v>446</v>
      </c>
      <c r="C261" s="164" t="s">
        <v>613</v>
      </c>
      <c r="D261" s="164" t="s">
        <v>1394</v>
      </c>
      <c r="E261" s="182">
        <v>45877</v>
      </c>
      <c r="F261" s="182">
        <v>45838</v>
      </c>
      <c r="G261" s="164" t="s">
        <v>149</v>
      </c>
      <c r="H261" s="164" t="s">
        <v>1420</v>
      </c>
      <c r="I261" s="164" t="s">
        <v>1419</v>
      </c>
      <c r="J261" t="s">
        <v>1374</v>
      </c>
    </row>
    <row r="262" spans="1:11" x14ac:dyDescent="0.3">
      <c r="A262" s="164" t="s">
        <v>1431</v>
      </c>
      <c r="B262" s="164" t="s">
        <v>416</v>
      </c>
      <c r="C262" s="164" t="s">
        <v>608</v>
      </c>
      <c r="D262" s="189" t="s">
        <v>636</v>
      </c>
      <c r="E262" s="182">
        <v>45877</v>
      </c>
      <c r="F262" s="182">
        <v>45838</v>
      </c>
      <c r="G262" s="164" t="s">
        <v>149</v>
      </c>
      <c r="H262" s="164" t="s">
        <v>1428</v>
      </c>
      <c r="I262" s="164" t="s">
        <v>1429</v>
      </c>
      <c r="J262" t="s">
        <v>1430</v>
      </c>
      <c r="K262" t="s">
        <v>1374</v>
      </c>
    </row>
    <row r="263" spans="1:11" x14ac:dyDescent="0.3">
      <c r="A263" s="164" t="s">
        <v>1431</v>
      </c>
      <c r="B263" s="164" t="s">
        <v>1402</v>
      </c>
      <c r="C263" s="164" t="s">
        <v>608</v>
      </c>
      <c r="D263" s="189" t="s">
        <v>636</v>
      </c>
      <c r="E263" s="182">
        <v>45877</v>
      </c>
      <c r="F263" s="182">
        <v>45838</v>
      </c>
      <c r="G263" s="164" t="s">
        <v>149</v>
      </c>
      <c r="H263" s="164" t="s">
        <v>1433</v>
      </c>
      <c r="I263" s="164" t="s">
        <v>1432</v>
      </c>
      <c r="J263" t="s">
        <v>1374</v>
      </c>
    </row>
    <row r="266" spans="1:11" x14ac:dyDescent="0.3">
      <c r="A266" s="188" t="s">
        <v>1434</v>
      </c>
      <c r="B266" s="188"/>
    </row>
    <row r="267" spans="1:11" x14ac:dyDescent="0.3">
      <c r="A267" s="185" t="s">
        <v>604</v>
      </c>
      <c r="B267" s="164" t="s">
        <v>1435</v>
      </c>
      <c r="C267" s="164" t="s">
        <v>608</v>
      </c>
      <c r="D267" s="189" t="s">
        <v>636</v>
      </c>
      <c r="E267" s="182">
        <v>45887</v>
      </c>
      <c r="F267" s="182">
        <v>45838</v>
      </c>
      <c r="G267" s="164" t="s">
        <v>130</v>
      </c>
      <c r="H267" s="164"/>
      <c r="I267" s="164" t="s">
        <v>1436</v>
      </c>
      <c r="J267" t="s">
        <v>1374</v>
      </c>
    </row>
    <row r="268" spans="1:11" x14ac:dyDescent="0.3">
      <c r="A268" s="185" t="s">
        <v>604</v>
      </c>
      <c r="B268" s="164" t="s">
        <v>1435</v>
      </c>
      <c r="C268" s="164" t="s">
        <v>613</v>
      </c>
      <c r="D268" s="164" t="s">
        <v>1315</v>
      </c>
      <c r="E268" s="182">
        <v>45887</v>
      </c>
      <c r="F268" s="182">
        <v>45838</v>
      </c>
      <c r="G268" s="164" t="s">
        <v>130</v>
      </c>
      <c r="H268" s="164"/>
      <c r="I268" s="164" t="s">
        <v>1437</v>
      </c>
      <c r="J268" t="s">
        <v>1374</v>
      </c>
    </row>
    <row r="269" spans="1:11" x14ac:dyDescent="0.3">
      <c r="A269" s="185" t="s">
        <v>1018</v>
      </c>
      <c r="B269" s="164" t="s">
        <v>198</v>
      </c>
      <c r="C269" s="164" t="s">
        <v>608</v>
      </c>
      <c r="D269" s="189" t="s">
        <v>636</v>
      </c>
      <c r="E269" s="182">
        <v>45887</v>
      </c>
      <c r="F269" s="182">
        <v>45838</v>
      </c>
      <c r="G269" s="164" t="s">
        <v>130</v>
      </c>
      <c r="H269" s="164"/>
      <c r="I269" s="164" t="s">
        <v>1438</v>
      </c>
      <c r="J269" t="s">
        <v>1374</v>
      </c>
    </row>
    <row r="270" spans="1:11" x14ac:dyDescent="0.3">
      <c r="A270" s="185" t="s">
        <v>1018</v>
      </c>
      <c r="B270" s="164" t="s">
        <v>198</v>
      </c>
      <c r="C270" s="164" t="s">
        <v>613</v>
      </c>
      <c r="D270" s="164" t="s">
        <v>1439</v>
      </c>
      <c r="E270" s="182">
        <v>45887</v>
      </c>
      <c r="F270" s="182">
        <v>45838</v>
      </c>
      <c r="G270" s="164" t="s">
        <v>130</v>
      </c>
      <c r="H270" s="164"/>
      <c r="I270" s="164" t="s">
        <v>1442</v>
      </c>
      <c r="J270" t="s">
        <v>1374</v>
      </c>
    </row>
    <row r="271" spans="1:11" x14ac:dyDescent="0.3">
      <c r="A271" s="185" t="s">
        <v>1018</v>
      </c>
      <c r="B271" s="164" t="s">
        <v>198</v>
      </c>
      <c r="C271" s="164" t="s">
        <v>613</v>
      </c>
      <c r="D271" s="164" t="s">
        <v>1440</v>
      </c>
      <c r="E271" s="182">
        <v>45887</v>
      </c>
      <c r="F271" s="182">
        <v>45838</v>
      </c>
      <c r="G271" s="164" t="s">
        <v>130</v>
      </c>
      <c r="H271" s="164" t="s">
        <v>1444</v>
      </c>
      <c r="I271" s="164" t="s">
        <v>1443</v>
      </c>
      <c r="J271" t="s">
        <v>1374</v>
      </c>
    </row>
    <row r="272" spans="1:11" x14ac:dyDescent="0.3">
      <c r="A272" s="185" t="s">
        <v>1018</v>
      </c>
      <c r="B272" s="164" t="s">
        <v>198</v>
      </c>
      <c r="C272" s="164" t="s">
        <v>613</v>
      </c>
      <c r="D272" s="164" t="s">
        <v>1441</v>
      </c>
      <c r="E272" s="182">
        <v>45887</v>
      </c>
      <c r="F272" s="182">
        <v>45838</v>
      </c>
      <c r="G272" s="164" t="s">
        <v>130</v>
      </c>
      <c r="H272" s="164"/>
      <c r="I272" s="65" t="s">
        <v>1445</v>
      </c>
      <c r="J272" t="s">
        <v>1374</v>
      </c>
    </row>
    <row r="273" spans="1:11" x14ac:dyDescent="0.3">
      <c r="A273" s="185" t="s">
        <v>1018</v>
      </c>
      <c r="B273" s="164" t="s">
        <v>416</v>
      </c>
      <c r="C273" s="164" t="s">
        <v>608</v>
      </c>
      <c r="D273" s="189" t="s">
        <v>636</v>
      </c>
      <c r="E273" s="182">
        <v>45888</v>
      </c>
      <c r="F273" s="182">
        <v>45838</v>
      </c>
      <c r="G273" s="164" t="s">
        <v>130</v>
      </c>
      <c r="H273" s="164"/>
      <c r="I273" s="164" t="s">
        <v>1446</v>
      </c>
      <c r="J273" t="s">
        <v>1374</v>
      </c>
    </row>
    <row r="274" spans="1:11" x14ac:dyDescent="0.3">
      <c r="A274" s="185" t="s">
        <v>1018</v>
      </c>
      <c r="B274" s="164" t="s">
        <v>416</v>
      </c>
      <c r="C274" s="164" t="s">
        <v>613</v>
      </c>
      <c r="D274" s="164" t="s">
        <v>1447</v>
      </c>
      <c r="E274" s="182">
        <v>45888</v>
      </c>
      <c r="F274" s="182">
        <v>45838</v>
      </c>
      <c r="G274" s="164" t="s">
        <v>130</v>
      </c>
      <c r="H274" s="164"/>
      <c r="I274" s="164" t="s">
        <v>1452</v>
      </c>
      <c r="J274" t="s">
        <v>1374</v>
      </c>
    </row>
    <row r="275" spans="1:11" x14ac:dyDescent="0.3">
      <c r="A275" s="185" t="s">
        <v>1018</v>
      </c>
      <c r="B275" s="164" t="s">
        <v>416</v>
      </c>
      <c r="C275" s="164" t="s">
        <v>613</v>
      </c>
      <c r="D275" s="164" t="s">
        <v>1448</v>
      </c>
      <c r="E275" s="182">
        <v>45888</v>
      </c>
      <c r="F275" s="182">
        <v>45838</v>
      </c>
      <c r="G275" s="164" t="s">
        <v>130</v>
      </c>
      <c r="H275" s="164"/>
      <c r="I275" s="164" t="s">
        <v>1450</v>
      </c>
      <c r="J275" t="s">
        <v>1374</v>
      </c>
    </row>
    <row r="276" spans="1:11" x14ac:dyDescent="0.3">
      <c r="A276" s="185" t="s">
        <v>1018</v>
      </c>
      <c r="B276" s="164" t="s">
        <v>416</v>
      </c>
      <c r="C276" s="164" t="s">
        <v>613</v>
      </c>
      <c r="D276" s="164" t="s">
        <v>1449</v>
      </c>
      <c r="E276" s="182">
        <v>45888</v>
      </c>
      <c r="F276" s="182">
        <v>45838</v>
      </c>
      <c r="G276" s="164" t="s">
        <v>130</v>
      </c>
      <c r="H276" s="164"/>
      <c r="I276" s="164" t="s">
        <v>1451</v>
      </c>
      <c r="J276" t="s">
        <v>1374</v>
      </c>
    </row>
    <row r="277" spans="1:11" x14ac:dyDescent="0.3">
      <c r="A277" s="185" t="s">
        <v>1018</v>
      </c>
      <c r="B277" s="164" t="s">
        <v>430</v>
      </c>
      <c r="C277" s="164" t="s">
        <v>608</v>
      </c>
      <c r="D277" s="189" t="s">
        <v>636</v>
      </c>
      <c r="E277" s="15">
        <v>45891</v>
      </c>
      <c r="F277" s="182">
        <v>45838</v>
      </c>
      <c r="G277" s="164" t="s">
        <v>130</v>
      </c>
      <c r="H277" s="164"/>
      <c r="I277" s="164" t="s">
        <v>1454</v>
      </c>
      <c r="J277" t="s">
        <v>1374</v>
      </c>
    </row>
    <row r="278" spans="1:11" x14ac:dyDescent="0.3">
      <c r="A278" s="185" t="s">
        <v>1018</v>
      </c>
      <c r="B278" s="164" t="s">
        <v>430</v>
      </c>
      <c r="C278" s="164" t="s">
        <v>613</v>
      </c>
      <c r="D278" t="s">
        <v>1453</v>
      </c>
      <c r="E278" s="15">
        <v>45891</v>
      </c>
      <c r="F278" s="182">
        <v>45838</v>
      </c>
      <c r="G278" s="164" t="s">
        <v>130</v>
      </c>
      <c r="H278" s="164"/>
      <c r="I278" s="164" t="s">
        <v>1455</v>
      </c>
    </row>
    <row r="280" spans="1:11" x14ac:dyDescent="0.3">
      <c r="A280" s="188" t="s">
        <v>1458</v>
      </c>
      <c r="B280" s="188"/>
    </row>
    <row r="281" spans="1:11" x14ac:dyDescent="0.3">
      <c r="A281" s="185" t="s">
        <v>604</v>
      </c>
      <c r="B281" s="164" t="s">
        <v>447</v>
      </c>
      <c r="C281" s="187" t="s">
        <v>613</v>
      </c>
      <c r="D281" s="164" t="s">
        <v>1483</v>
      </c>
      <c r="E281" s="193">
        <v>45919</v>
      </c>
      <c r="F281" s="182">
        <v>45838</v>
      </c>
      <c r="G281" s="164" t="s">
        <v>149</v>
      </c>
      <c r="H281" s="164" t="s">
        <v>1501</v>
      </c>
      <c r="I281" s="164" t="s">
        <v>1499</v>
      </c>
      <c r="J281" t="s">
        <v>1374</v>
      </c>
    </row>
    <row r="282" spans="1:11" x14ac:dyDescent="0.3">
      <c r="A282" s="185" t="s">
        <v>604</v>
      </c>
      <c r="B282" s="164" t="s">
        <v>447</v>
      </c>
      <c r="C282" s="187" t="s">
        <v>613</v>
      </c>
      <c r="D282" s="164" t="s">
        <v>1459</v>
      </c>
      <c r="E282" s="193">
        <v>45918</v>
      </c>
      <c r="F282" s="182">
        <v>45838</v>
      </c>
      <c r="G282" s="201" t="s">
        <v>149</v>
      </c>
      <c r="H282" s="201" t="s">
        <v>1506</v>
      </c>
      <c r="I282" s="164" t="s">
        <v>1478</v>
      </c>
      <c r="J282" s="190" t="s">
        <v>1374</v>
      </c>
    </row>
    <row r="283" spans="1:11" ht="36.450000000000003" customHeight="1" x14ac:dyDescent="0.3">
      <c r="A283" s="185" t="s">
        <v>604</v>
      </c>
      <c r="B283" s="164" t="s">
        <v>447</v>
      </c>
      <c r="C283" s="192" t="s">
        <v>613</v>
      </c>
      <c r="D283" s="164" t="s">
        <v>1461</v>
      </c>
      <c r="E283" s="193">
        <v>45918</v>
      </c>
      <c r="F283" s="182">
        <v>45838</v>
      </c>
      <c r="G283" s="164" t="s">
        <v>149</v>
      </c>
      <c r="H283" s="204" t="s">
        <v>1502</v>
      </c>
      <c r="I283" s="205" t="s">
        <v>1460</v>
      </c>
      <c r="J283" t="s">
        <v>1374</v>
      </c>
    </row>
    <row r="284" spans="1:11" ht="34.5" customHeight="1" x14ac:dyDescent="0.3">
      <c r="A284" s="185" t="s">
        <v>1018</v>
      </c>
      <c r="B284" s="164" t="s">
        <v>241</v>
      </c>
      <c r="C284" s="187" t="s">
        <v>613</v>
      </c>
      <c r="D284" s="164" t="s">
        <v>1484</v>
      </c>
      <c r="E284" s="193">
        <v>45918</v>
      </c>
      <c r="F284" s="182">
        <v>45838</v>
      </c>
      <c r="G284" s="164" t="s">
        <v>149</v>
      </c>
      <c r="H284" s="203" t="s">
        <v>1504</v>
      </c>
      <c r="I284" s="164" t="s">
        <v>1488</v>
      </c>
      <c r="J284" t="s">
        <v>1374</v>
      </c>
      <c r="K284" t="s">
        <v>1374</v>
      </c>
    </row>
    <row r="285" spans="1:11" x14ac:dyDescent="0.3">
      <c r="A285" s="185" t="s">
        <v>1018</v>
      </c>
      <c r="B285" s="164" t="s">
        <v>241</v>
      </c>
      <c r="C285" s="187" t="s">
        <v>613</v>
      </c>
      <c r="D285" s="164" t="s">
        <v>1463</v>
      </c>
      <c r="E285" s="193">
        <v>45918</v>
      </c>
      <c r="F285" s="182">
        <v>45838</v>
      </c>
      <c r="G285" s="164" t="s">
        <v>130</v>
      </c>
      <c r="H285" s="164"/>
      <c r="I285" s="164" t="s">
        <v>1464</v>
      </c>
      <c r="J285" s="190" t="s">
        <v>1374</v>
      </c>
    </row>
    <row r="286" spans="1:11" x14ac:dyDescent="0.3">
      <c r="A286" s="185" t="s">
        <v>604</v>
      </c>
      <c r="B286" s="164" t="s">
        <v>232</v>
      </c>
      <c r="C286" s="192" t="s">
        <v>613</v>
      </c>
      <c r="D286" s="164" t="s">
        <v>1465</v>
      </c>
      <c r="E286" s="194">
        <v>45918</v>
      </c>
      <c r="F286" s="182">
        <v>45838</v>
      </c>
      <c r="G286" s="164" t="s">
        <v>130</v>
      </c>
      <c r="H286" s="164"/>
      <c r="I286" s="164" t="s">
        <v>1467</v>
      </c>
      <c r="J286" s="190" t="s">
        <v>1374</v>
      </c>
    </row>
    <row r="287" spans="1:11" x14ac:dyDescent="0.3">
      <c r="A287" s="185" t="s">
        <v>604</v>
      </c>
      <c r="B287" s="164" t="s">
        <v>232</v>
      </c>
      <c r="C287" s="187" t="s">
        <v>613</v>
      </c>
      <c r="D287" s="164" t="s">
        <v>1466</v>
      </c>
      <c r="E287" s="193">
        <v>45918</v>
      </c>
      <c r="F287" s="182">
        <v>45838</v>
      </c>
      <c r="G287" s="164" t="s">
        <v>130</v>
      </c>
      <c r="H287" s="164"/>
      <c r="I287" s="164" t="s">
        <v>1479</v>
      </c>
      <c r="J287" s="190" t="s">
        <v>1374</v>
      </c>
    </row>
    <row r="288" spans="1:11" x14ac:dyDescent="0.3">
      <c r="A288" s="185" t="s">
        <v>604</v>
      </c>
      <c r="B288" s="164" t="s">
        <v>234</v>
      </c>
      <c r="C288" s="187" t="s">
        <v>613</v>
      </c>
      <c r="D288" s="164" t="s">
        <v>1468</v>
      </c>
      <c r="E288" s="193">
        <v>45918</v>
      </c>
      <c r="F288" s="182">
        <v>45838</v>
      </c>
      <c r="G288" s="184" t="s">
        <v>149</v>
      </c>
      <c r="H288" s="184" t="s">
        <v>1508</v>
      </c>
      <c r="I288" t="s">
        <v>1480</v>
      </c>
      <c r="J288" s="190" t="s">
        <v>1374</v>
      </c>
    </row>
    <row r="289" spans="1:10" x14ac:dyDescent="0.3">
      <c r="A289" s="185" t="s">
        <v>604</v>
      </c>
      <c r="B289" s="164" t="s">
        <v>228</v>
      </c>
      <c r="C289" s="187" t="s">
        <v>613</v>
      </c>
      <c r="D289" s="164" t="s">
        <v>1469</v>
      </c>
      <c r="E289" s="193">
        <v>45918</v>
      </c>
      <c r="F289" s="182">
        <v>45838</v>
      </c>
      <c r="G289" s="164" t="s">
        <v>149</v>
      </c>
      <c r="H289" s="184" t="s">
        <v>1509</v>
      </c>
      <c r="I289" s="164" t="s">
        <v>1481</v>
      </c>
      <c r="J289" s="190"/>
    </row>
    <row r="290" spans="1:10" x14ac:dyDescent="0.3">
      <c r="A290" s="185" t="s">
        <v>604</v>
      </c>
      <c r="B290" s="164" t="s">
        <v>463</v>
      </c>
      <c r="C290" s="187" t="s">
        <v>613</v>
      </c>
      <c r="D290" s="164" t="s">
        <v>1470</v>
      </c>
      <c r="E290" s="193">
        <v>45918</v>
      </c>
      <c r="F290" s="182">
        <v>45838</v>
      </c>
      <c r="G290" s="164" t="s">
        <v>149</v>
      </c>
      <c r="H290" s="164" t="s">
        <v>1505</v>
      </c>
      <c r="I290" s="164" t="s">
        <v>1473</v>
      </c>
      <c r="J290" s="190" t="s">
        <v>1374</v>
      </c>
    </row>
    <row r="291" spans="1:10" ht="28.8" x14ac:dyDescent="0.3">
      <c r="A291" s="185" t="s">
        <v>604</v>
      </c>
      <c r="B291" s="164" t="s">
        <v>463</v>
      </c>
      <c r="C291" s="187" t="s">
        <v>613</v>
      </c>
      <c r="D291" s="164" t="s">
        <v>1471</v>
      </c>
      <c r="E291" s="193">
        <v>45918</v>
      </c>
      <c r="F291" s="182">
        <v>45838</v>
      </c>
      <c r="G291" s="164" t="s">
        <v>149</v>
      </c>
      <c r="H291" s="204" t="s">
        <v>1502</v>
      </c>
      <c r="I291" s="205" t="s">
        <v>1474</v>
      </c>
      <c r="J291" s="190" t="s">
        <v>1374</v>
      </c>
    </row>
    <row r="292" spans="1:10" x14ac:dyDescent="0.3">
      <c r="A292" s="185" t="s">
        <v>604</v>
      </c>
      <c r="B292" s="164" t="s">
        <v>463</v>
      </c>
      <c r="C292" s="187" t="s">
        <v>613</v>
      </c>
      <c r="D292" s="164" t="s">
        <v>1472</v>
      </c>
      <c r="E292" s="193">
        <v>45918</v>
      </c>
      <c r="F292" s="191">
        <v>45838</v>
      </c>
      <c r="G292" s="164" t="s">
        <v>130</v>
      </c>
      <c r="H292" s="164"/>
      <c r="I292" s="164" t="s">
        <v>1475</v>
      </c>
      <c r="J292" s="190" t="s">
        <v>1374</v>
      </c>
    </row>
    <row r="293" spans="1:10" x14ac:dyDescent="0.3">
      <c r="A293" s="185" t="s">
        <v>604</v>
      </c>
      <c r="B293" s="164" t="s">
        <v>463</v>
      </c>
      <c r="C293" s="187" t="s">
        <v>613</v>
      </c>
      <c r="D293" s="164" t="s">
        <v>1482</v>
      </c>
      <c r="E293" s="193">
        <v>45918</v>
      </c>
      <c r="F293" s="191">
        <v>45838</v>
      </c>
      <c r="G293" s="164" t="s">
        <v>130</v>
      </c>
      <c r="H293" s="164"/>
      <c r="I293" s="164" t="s">
        <v>1500</v>
      </c>
      <c r="J293" s="190" t="s">
        <v>1374</v>
      </c>
    </row>
    <row r="294" spans="1:10" ht="12.45" customHeight="1" x14ac:dyDescent="0.3">
      <c r="A294" s="185" t="s">
        <v>604</v>
      </c>
      <c r="B294" s="164" t="s">
        <v>227</v>
      </c>
      <c r="C294" s="187" t="s">
        <v>613</v>
      </c>
      <c r="D294" s="164" t="s">
        <v>1476</v>
      </c>
      <c r="E294" s="193">
        <v>45919</v>
      </c>
      <c r="F294" s="182">
        <v>45838</v>
      </c>
      <c r="G294" s="164" t="s">
        <v>149</v>
      </c>
      <c r="H294" s="164"/>
      <c r="I294" s="164" t="s">
        <v>1477</v>
      </c>
      <c r="J294" s="190" t="s">
        <v>1462</v>
      </c>
    </row>
    <row r="295" spans="1:10" x14ac:dyDescent="0.3">
      <c r="B295" s="164" t="s">
        <v>213</v>
      </c>
      <c r="C295" s="187" t="s">
        <v>613</v>
      </c>
      <c r="D295" s="164" t="s">
        <v>1485</v>
      </c>
      <c r="E295" s="193">
        <v>45919</v>
      </c>
      <c r="F295" s="182">
        <v>45838</v>
      </c>
      <c r="G295" s="164" t="s">
        <v>149</v>
      </c>
      <c r="H295" s="164"/>
      <c r="I295" s="164" t="s">
        <v>1507</v>
      </c>
      <c r="J295" s="190" t="s">
        <v>1462</v>
      </c>
    </row>
    <row r="298" spans="1:10" x14ac:dyDescent="0.3">
      <c r="B298" t="s">
        <v>1486</v>
      </c>
    </row>
    <row r="299" spans="1:10" x14ac:dyDescent="0.3">
      <c r="B299" t="s">
        <v>1487</v>
      </c>
      <c r="D299" s="202" t="s">
        <v>1503</v>
      </c>
    </row>
    <row r="300" spans="1:10" x14ac:dyDescent="0.3">
      <c r="D300" s="164" t="s">
        <v>1490</v>
      </c>
      <c r="E300" s="164" t="s">
        <v>1489</v>
      </c>
    </row>
    <row r="301" spans="1:10" x14ac:dyDescent="0.3">
      <c r="D301" s="195" t="s">
        <v>1492</v>
      </c>
      <c r="E301" s="182">
        <v>39444</v>
      </c>
    </row>
    <row r="302" spans="1:10" x14ac:dyDescent="0.3">
      <c r="D302" s="200" t="s">
        <v>1493</v>
      </c>
      <c r="E302" s="198">
        <v>41437</v>
      </c>
    </row>
    <row r="303" spans="1:10" x14ac:dyDescent="0.3">
      <c r="D303" s="197" t="s">
        <v>1494</v>
      </c>
      <c r="E303" s="198">
        <v>41924</v>
      </c>
    </row>
    <row r="304" spans="1:10" x14ac:dyDescent="0.3">
      <c r="D304" s="196" t="s">
        <v>1495</v>
      </c>
      <c r="E304" s="182">
        <v>40693</v>
      </c>
    </row>
    <row r="305" spans="4:5" x14ac:dyDescent="0.3">
      <c r="D305" s="199" t="s">
        <v>1491</v>
      </c>
      <c r="E305" s="198">
        <v>41696</v>
      </c>
    </row>
    <row r="306" spans="4:5" x14ac:dyDescent="0.3">
      <c r="D306" s="197" t="s">
        <v>1496</v>
      </c>
      <c r="E306" s="198">
        <v>41939</v>
      </c>
    </row>
    <row r="307" spans="4:5" x14ac:dyDescent="0.3">
      <c r="D307" s="138"/>
      <c r="E307" s="15"/>
    </row>
    <row r="308" spans="4:5" x14ac:dyDescent="0.3">
      <c r="D308" s="202" t="s">
        <v>1498</v>
      </c>
    </row>
    <row r="309" spans="4:5" x14ac:dyDescent="0.3">
      <c r="D309" s="164" t="s">
        <v>1490</v>
      </c>
      <c r="E309" s="164" t="s">
        <v>1497</v>
      </c>
    </row>
    <row r="310" spans="4:5" x14ac:dyDescent="0.3">
      <c r="D310" s="197" t="s">
        <v>1494</v>
      </c>
      <c r="E310" s="198">
        <v>41924</v>
      </c>
    </row>
    <row r="311" spans="4:5" x14ac:dyDescent="0.3">
      <c r="D311" s="199" t="s">
        <v>1491</v>
      </c>
      <c r="E311" s="198">
        <v>41696</v>
      </c>
    </row>
    <row r="312" spans="4:5" x14ac:dyDescent="0.3">
      <c r="D312" s="197" t="s">
        <v>1496</v>
      </c>
      <c r="E312" s="198">
        <v>41939</v>
      </c>
    </row>
    <row r="313" spans="4:5" x14ac:dyDescent="0.3">
      <c r="D313" s="197" t="s">
        <v>1493</v>
      </c>
      <c r="E313" s="198">
        <v>41437</v>
      </c>
    </row>
  </sheetData>
  <mergeCells count="1">
    <mergeCell ref="J242:K24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49"/>
  <sheetViews>
    <sheetView showGridLines="0" topLeftCell="A14" zoomScale="55" zoomScaleNormal="40" workbookViewId="0">
      <selection activeCell="B23" sqref="B23"/>
    </sheetView>
  </sheetViews>
  <sheetFormatPr defaultColWidth="8.88671875" defaultRowHeight="18" outlineLevelCol="1" x14ac:dyDescent="0.3"/>
  <cols>
    <col min="1" max="1" width="3.6640625" style="146" customWidth="1"/>
    <col min="2" max="2" width="54" style="145" bestFit="1" customWidth="1"/>
    <col min="3" max="3" width="32.109375" style="145" customWidth="1"/>
    <col min="4" max="4" width="15.77734375" style="145" customWidth="1"/>
    <col min="5" max="5" width="36.5546875" style="145" customWidth="1" outlineLevel="1"/>
    <col min="6" max="6" width="39.6640625" style="145" bestFit="1" customWidth="1" outlineLevel="1"/>
    <col min="7" max="7" width="37.88671875" style="145" bestFit="1" customWidth="1"/>
    <col min="8" max="8" width="130.21875" style="145" bestFit="1" customWidth="1"/>
    <col min="9" max="9" width="70.109375" style="145" bestFit="1" customWidth="1"/>
    <col min="10" max="10" width="53.44140625" style="145" bestFit="1" customWidth="1"/>
    <col min="11" max="11" width="26.6640625" style="145" bestFit="1" customWidth="1"/>
    <col min="12" max="12" width="28.6640625" style="145" bestFit="1" customWidth="1"/>
    <col min="13" max="13" width="35.44140625" style="145" bestFit="1" customWidth="1"/>
    <col min="14" max="14" width="13.109375" style="145" bestFit="1" customWidth="1"/>
    <col min="15" max="15" width="12.6640625" style="145" customWidth="1"/>
    <col min="16" max="16" width="22.6640625" style="145" customWidth="1"/>
    <col min="17" max="17" width="32.33203125" style="145" customWidth="1"/>
    <col min="18" max="16384" width="8.88671875" style="145"/>
  </cols>
  <sheetData>
    <row r="1" spans="1:44" ht="48" customHeight="1" thickBot="1" x14ac:dyDescent="0.35">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row>
    <row r="2" spans="1:44" ht="18.600000000000001" thickTop="1" x14ac:dyDescent="0.3">
      <c r="A2" s="145"/>
    </row>
    <row r="3" spans="1:44" s="146" customFormat="1" x14ac:dyDescent="0.3">
      <c r="B3" s="142" t="s">
        <v>1153</v>
      </c>
      <c r="C3" s="141">
        <f ca="1">TODAY()</f>
        <v>45972</v>
      </c>
      <c r="J3" s="145"/>
    </row>
    <row r="4" spans="1:44" s="146" customFormat="1" x14ac:dyDescent="0.3">
      <c r="E4" s="146" t="s">
        <v>1374</v>
      </c>
      <c r="J4" s="145"/>
    </row>
    <row r="5" spans="1:44" s="146" customFormat="1" x14ac:dyDescent="0.3">
      <c r="B5" s="209" t="s">
        <v>1159</v>
      </c>
      <c r="C5" s="210"/>
      <c r="D5" s="211"/>
      <c r="J5" s="145"/>
    </row>
    <row r="6" spans="1:44" s="146" customFormat="1" x14ac:dyDescent="0.3">
      <c r="B6" s="143" t="s">
        <v>112</v>
      </c>
      <c r="C6" s="156" t="s">
        <v>22</v>
      </c>
      <c r="D6" s="156" t="s">
        <v>23</v>
      </c>
      <c r="J6" s="145"/>
    </row>
    <row r="7" spans="1:44" s="146" customFormat="1" x14ac:dyDescent="0.3">
      <c r="B7" s="157" t="s">
        <v>1456</v>
      </c>
      <c r="C7" s="140">
        <v>8</v>
      </c>
      <c r="D7" s="155">
        <f>C7/C10</f>
        <v>0.53333333333333333</v>
      </c>
      <c r="J7" s="145"/>
    </row>
    <row r="8" spans="1:44" s="146" customFormat="1" x14ac:dyDescent="0.3">
      <c r="B8" s="157" t="s">
        <v>1457</v>
      </c>
      <c r="C8" s="140">
        <v>2</v>
      </c>
      <c r="D8" s="155">
        <f>C8/C10</f>
        <v>0.13333333333333333</v>
      </c>
      <c r="J8" s="145"/>
    </row>
    <row r="9" spans="1:44" s="146" customFormat="1" x14ac:dyDescent="0.3">
      <c r="B9" s="157" t="s">
        <v>1152</v>
      </c>
      <c r="C9" s="140">
        <v>5</v>
      </c>
      <c r="D9" s="155">
        <f>C9/C10</f>
        <v>0.33333333333333331</v>
      </c>
      <c r="J9" s="145"/>
    </row>
    <row r="10" spans="1:44" x14ac:dyDescent="0.3">
      <c r="A10" s="145"/>
      <c r="B10" s="143" t="s">
        <v>1158</v>
      </c>
      <c r="C10" s="158">
        <v>15</v>
      </c>
      <c r="D10" s="156">
        <f>SUM(D7:D9)</f>
        <v>1</v>
      </c>
    </row>
    <row r="11" spans="1:44" x14ac:dyDescent="0.3">
      <c r="A11" s="145"/>
      <c r="B11" s="147"/>
      <c r="C11" s="147"/>
      <c r="D11" s="147"/>
    </row>
    <row r="12" spans="1:44" x14ac:dyDescent="0.3">
      <c r="B12" s="142" t="s">
        <v>1166</v>
      </c>
      <c r="C12" s="141">
        <v>45891</v>
      </c>
    </row>
    <row r="13" spans="1:44" x14ac:dyDescent="0.3">
      <c r="E13" s="212" t="s">
        <v>1156</v>
      </c>
      <c r="F13" s="213"/>
    </row>
    <row r="14" spans="1:44" x14ac:dyDescent="0.3">
      <c r="B14" s="148" t="s">
        <v>597</v>
      </c>
      <c r="C14" s="139"/>
      <c r="D14" s="139"/>
      <c r="E14" s="139" t="s">
        <v>1104</v>
      </c>
      <c r="F14" s="139" t="s">
        <v>1105</v>
      </c>
      <c r="G14" s="139" t="s">
        <v>1174</v>
      </c>
      <c r="H14" s="148" t="s">
        <v>1151</v>
      </c>
      <c r="I14" s="148" t="s">
        <v>1173</v>
      </c>
    </row>
    <row r="15" spans="1:44" ht="36" x14ac:dyDescent="0.3">
      <c r="B15" s="164" t="s">
        <v>1363</v>
      </c>
      <c r="C15" s="150"/>
      <c r="D15" s="161"/>
      <c r="E15" s="161" t="s">
        <v>149</v>
      </c>
      <c r="F15" s="161" t="s">
        <v>149</v>
      </c>
      <c r="G15" s="151" t="s">
        <v>1379</v>
      </c>
      <c r="H15" s="179" t="s">
        <v>1421</v>
      </c>
      <c r="I15" s="151" t="s">
        <v>1376</v>
      </c>
    </row>
    <row r="16" spans="1:44" x14ac:dyDescent="0.3">
      <c r="B16" s="164" t="s">
        <v>1364</v>
      </c>
      <c r="C16" s="150" t="s">
        <v>1374</v>
      </c>
      <c r="D16" s="161"/>
      <c r="E16" s="161" t="s">
        <v>149</v>
      </c>
      <c r="F16" s="161" t="s">
        <v>130</v>
      </c>
      <c r="G16" s="151" t="s">
        <v>1379</v>
      </c>
      <c r="H16" s="179" t="s">
        <v>1427</v>
      </c>
      <c r="I16" s="151" t="s">
        <v>1422</v>
      </c>
    </row>
    <row r="17" spans="2:9" x14ac:dyDescent="0.3">
      <c r="B17" s="164" t="s">
        <v>1365</v>
      </c>
      <c r="D17" s="161"/>
      <c r="E17" s="161" t="s">
        <v>130</v>
      </c>
      <c r="F17" s="161" t="s">
        <v>130</v>
      </c>
      <c r="G17" s="152" t="s">
        <v>1113</v>
      </c>
      <c r="H17" s="179"/>
      <c r="I17" s="151"/>
    </row>
    <row r="18" spans="2:9" x14ac:dyDescent="0.3">
      <c r="B18" s="164" t="s">
        <v>1366</v>
      </c>
      <c r="C18" s="150"/>
      <c r="D18" s="161"/>
      <c r="E18" s="161" t="s">
        <v>149</v>
      </c>
      <c r="F18" s="161" t="s">
        <v>130</v>
      </c>
      <c r="G18" s="151" t="s">
        <v>1379</v>
      </c>
      <c r="H18" s="179" t="s">
        <v>1423</v>
      </c>
      <c r="I18" s="151" t="s">
        <v>1367</v>
      </c>
    </row>
    <row r="19" spans="2:9" ht="36" x14ac:dyDescent="0.3">
      <c r="B19" s="164" t="s">
        <v>1368</v>
      </c>
      <c r="C19" s="150"/>
      <c r="D19" s="161"/>
      <c r="E19" s="161" t="s">
        <v>149</v>
      </c>
      <c r="F19" s="161" t="s">
        <v>149</v>
      </c>
      <c r="G19" s="151" t="s">
        <v>1379</v>
      </c>
      <c r="H19" s="179" t="s">
        <v>1424</v>
      </c>
      <c r="I19" s="151" t="s">
        <v>1369</v>
      </c>
    </row>
    <row r="20" spans="2:9" ht="17.399999999999999" customHeight="1" x14ac:dyDescent="0.3">
      <c r="B20" s="164" t="s">
        <v>1370</v>
      </c>
      <c r="C20" s="150"/>
      <c r="D20" s="161"/>
      <c r="E20" s="161" t="s">
        <v>149</v>
      </c>
      <c r="F20" s="161" t="s">
        <v>130</v>
      </c>
      <c r="G20" s="151" t="s">
        <v>1379</v>
      </c>
      <c r="H20" s="179" t="s">
        <v>1425</v>
      </c>
      <c r="I20" s="151" t="s">
        <v>1367</v>
      </c>
    </row>
    <row r="21" spans="2:9" x14ac:dyDescent="0.3">
      <c r="B21" s="164" t="s">
        <v>1371</v>
      </c>
      <c r="C21" s="151"/>
      <c r="D21" s="151"/>
      <c r="E21" s="161" t="s">
        <v>149</v>
      </c>
      <c r="F21" s="161" t="s">
        <v>130</v>
      </c>
      <c r="G21" s="151" t="s">
        <v>1379</v>
      </c>
      <c r="H21" s="179" t="s">
        <v>1373</v>
      </c>
      <c r="I21" s="151" t="s">
        <v>1367</v>
      </c>
    </row>
    <row r="22" spans="2:9" x14ac:dyDescent="0.3">
      <c r="B22" s="164" t="s">
        <v>1372</v>
      </c>
      <c r="C22" s="151"/>
      <c r="D22" s="151"/>
      <c r="E22" s="161" t="s">
        <v>149</v>
      </c>
      <c r="F22" s="161" t="s">
        <v>130</v>
      </c>
      <c r="G22" s="151" t="s">
        <v>1379</v>
      </c>
      <c r="H22" s="179"/>
      <c r="I22" s="151" t="s">
        <v>1375</v>
      </c>
    </row>
    <row r="23" spans="2:9" x14ac:dyDescent="0.3">
      <c r="B23" s="164" t="s">
        <v>1401</v>
      </c>
      <c r="C23" s="151"/>
      <c r="D23" s="151"/>
      <c r="E23" s="161" t="s">
        <v>149</v>
      </c>
      <c r="F23" s="161" t="s">
        <v>130</v>
      </c>
      <c r="G23" s="151" t="s">
        <v>1379</v>
      </c>
      <c r="H23" s="179" t="s">
        <v>1426</v>
      </c>
      <c r="I23" s="151" t="s">
        <v>1367</v>
      </c>
    </row>
    <row r="24" spans="2:9" x14ac:dyDescent="0.3">
      <c r="B24" s="164" t="s">
        <v>198</v>
      </c>
      <c r="C24" s="151"/>
      <c r="D24" s="151"/>
      <c r="E24" s="161" t="s">
        <v>130</v>
      </c>
      <c r="F24" s="161" t="s">
        <v>130</v>
      </c>
      <c r="G24" s="152" t="s">
        <v>1113</v>
      </c>
      <c r="H24" s="179"/>
      <c r="I24" s="151"/>
    </row>
    <row r="25" spans="2:9" x14ac:dyDescent="0.3">
      <c r="B25" s="164" t="s">
        <v>416</v>
      </c>
      <c r="C25" s="151"/>
      <c r="D25" s="151"/>
      <c r="E25" s="161" t="s">
        <v>130</v>
      </c>
      <c r="F25" s="161" t="s">
        <v>130</v>
      </c>
      <c r="G25" s="152" t="s">
        <v>1113</v>
      </c>
      <c r="H25" s="179"/>
      <c r="I25" s="151"/>
    </row>
    <row r="26" spans="2:9" x14ac:dyDescent="0.3">
      <c r="B26" s="164" t="s">
        <v>430</v>
      </c>
      <c r="C26" s="151"/>
      <c r="D26" s="151"/>
      <c r="E26" s="161" t="s">
        <v>130</v>
      </c>
      <c r="F26" s="161" t="s">
        <v>130</v>
      </c>
      <c r="G26" s="152" t="s">
        <v>1113</v>
      </c>
      <c r="H26" s="179"/>
      <c r="I26" s="151"/>
    </row>
    <row r="27" spans="2:9" x14ac:dyDescent="0.3">
      <c r="B27" s="164" t="s">
        <v>454</v>
      </c>
      <c r="C27" s="151"/>
      <c r="D27" s="151"/>
      <c r="E27" s="161"/>
      <c r="F27" s="161"/>
      <c r="G27" s="151"/>
      <c r="H27" s="179"/>
      <c r="I27" s="151"/>
    </row>
    <row r="28" spans="2:9" x14ac:dyDescent="0.3">
      <c r="B28" s="164" t="s">
        <v>458</v>
      </c>
      <c r="C28" s="151"/>
      <c r="D28" s="151"/>
      <c r="E28" s="161"/>
      <c r="F28" s="161"/>
      <c r="G28" s="151"/>
      <c r="H28" s="179"/>
      <c r="I28" s="151"/>
    </row>
    <row r="29" spans="2:9" x14ac:dyDescent="0.3">
      <c r="B29" s="164" t="s">
        <v>467</v>
      </c>
      <c r="C29" s="151"/>
      <c r="D29" s="151"/>
      <c r="E29" s="161" t="s">
        <v>130</v>
      </c>
      <c r="F29" s="161" t="s">
        <v>130</v>
      </c>
      <c r="G29" s="152" t="s">
        <v>1113</v>
      </c>
      <c r="H29" s="179"/>
      <c r="I29" s="151"/>
    </row>
    <row r="30" spans="2:9" x14ac:dyDescent="0.3">
      <c r="B30"/>
      <c r="E30" s="154"/>
      <c r="F30" s="154"/>
    </row>
    <row r="31" spans="2:9" x14ac:dyDescent="0.3">
      <c r="B31"/>
      <c r="E31" s="154"/>
      <c r="F31" s="154"/>
    </row>
    <row r="32" spans="2:9" x14ac:dyDescent="0.3">
      <c r="B32"/>
      <c r="E32" s="154"/>
      <c r="F32" s="154"/>
    </row>
    <row r="33" spans="2:44" x14ac:dyDescent="0.3">
      <c r="B33"/>
      <c r="E33" s="154"/>
      <c r="F33" s="154"/>
    </row>
    <row r="36" spans="2:44" x14ac:dyDescent="0.3">
      <c r="B36" s="139" t="s">
        <v>1377</v>
      </c>
      <c r="C36" s="139" t="s">
        <v>1104</v>
      </c>
      <c r="D36" s="139" t="s">
        <v>1105</v>
      </c>
    </row>
    <row r="37" spans="2:44" x14ac:dyDescent="0.3">
      <c r="B37" s="151" t="s">
        <v>1113</v>
      </c>
      <c r="C37" s="151" t="s">
        <v>130</v>
      </c>
      <c r="D37" s="151" t="s">
        <v>130</v>
      </c>
    </row>
    <row r="38" spans="2:44" x14ac:dyDescent="0.3">
      <c r="B38" s="151" t="s">
        <v>1378</v>
      </c>
      <c r="C38" s="151" t="s">
        <v>130</v>
      </c>
      <c r="D38" s="151" t="s">
        <v>149</v>
      </c>
    </row>
    <row r="39" spans="2:44" x14ac:dyDescent="0.3">
      <c r="B39" s="151" t="s">
        <v>1379</v>
      </c>
      <c r="C39" s="151" t="s">
        <v>149</v>
      </c>
      <c r="D39" s="171" t="s">
        <v>1380</v>
      </c>
    </row>
    <row r="48" spans="2:44" s="146" customFormat="1" ht="14.4" customHeight="1" x14ac:dyDescent="0.3">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row>
    <row r="49" spans="2:44" s="146" customFormat="1" ht="15.6" customHeight="1" x14ac:dyDescent="0.3">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row>
  </sheetData>
  <autoFilter ref="B14:I14" xr:uid="{00000000-0009-0000-0000-000006000000}">
    <sortState xmlns:xlrd2="http://schemas.microsoft.com/office/spreadsheetml/2017/richdata2" ref="B15:I28">
      <sortCondition descending="1" ref="G14"/>
    </sortState>
  </autoFilter>
  <mergeCells count="2">
    <mergeCell ref="B5:D5"/>
    <mergeCell ref="E13:F13"/>
  </mergeCells>
  <conditionalFormatting sqref="B36:C36">
    <cfRule type="cellIs" dxfId="72" priority="53" operator="equal">
      <formula>"NOK"</formula>
    </cfRule>
  </conditionalFormatting>
  <conditionalFormatting sqref="B36:D36">
    <cfRule type="cellIs" dxfId="71" priority="54" operator="equal">
      <formula>"OK"</formula>
    </cfRule>
  </conditionalFormatting>
  <conditionalFormatting sqref="D36">
    <cfRule type="cellIs" dxfId="70" priority="55" operator="equal">
      <formula>"NOK"</formula>
    </cfRule>
  </conditionalFormatting>
  <conditionalFormatting sqref="E13">
    <cfRule type="cellIs" dxfId="69" priority="114" operator="equal">
      <formula>"OK"</formula>
    </cfRule>
  </conditionalFormatting>
  <conditionalFormatting sqref="E13:E26">
    <cfRule type="cellIs" dxfId="68" priority="5" operator="equal">
      <formula>"NOK"</formula>
    </cfRule>
  </conditionalFormatting>
  <conditionalFormatting sqref="E16">
    <cfRule type="cellIs" dxfId="67" priority="76" operator="equal">
      <formula>"NOK"</formula>
    </cfRule>
  </conditionalFormatting>
  <conditionalFormatting sqref="E18:E23">
    <cfRule type="cellIs" dxfId="66" priority="24" operator="equal">
      <formula>"NOK"</formula>
    </cfRule>
  </conditionalFormatting>
  <conditionalFormatting sqref="E29">
    <cfRule type="cellIs" dxfId="65" priority="18" operator="equal">
      <formula>"NOK"</formula>
    </cfRule>
  </conditionalFormatting>
  <conditionalFormatting sqref="E14:F33">
    <cfRule type="cellIs" dxfId="64" priority="1" operator="equal">
      <formula>"OK"</formula>
    </cfRule>
  </conditionalFormatting>
  <conditionalFormatting sqref="E15:F15">
    <cfRule type="cellIs" dxfId="63" priority="110" operator="equal">
      <formula>"NOK"</formula>
    </cfRule>
  </conditionalFormatting>
  <conditionalFormatting sqref="E27:F28 E30:F33 F1 F39:F1048576">
    <cfRule type="cellIs" dxfId="62" priority="138" operator="equal">
      <formula>"NOK"</formula>
    </cfRule>
  </conditionalFormatting>
  <conditionalFormatting sqref="E27:F33">
    <cfRule type="cellIs" dxfId="61" priority="14" operator="equal">
      <formula>"NOK"</formula>
    </cfRule>
  </conditionalFormatting>
  <conditionalFormatting sqref="E29:F29">
    <cfRule type="cellIs" dxfId="60" priority="15" operator="equal">
      <formula>"NOK"</formula>
    </cfRule>
  </conditionalFormatting>
  <conditionalFormatting sqref="F12">
    <cfRule type="cellIs" dxfId="59" priority="130" operator="equal">
      <formula>"NOK"</formula>
    </cfRule>
  </conditionalFormatting>
  <conditionalFormatting sqref="F14:F18">
    <cfRule type="cellIs" dxfId="58" priority="125" operator="equal">
      <formula>"NOK"</formula>
    </cfRule>
  </conditionalFormatting>
  <conditionalFormatting sqref="F15">
    <cfRule type="cellIs" dxfId="57" priority="109" operator="equal">
      <formula>"NOK"</formula>
    </cfRule>
    <cfRule type="cellIs" dxfId="56" priority="111" operator="equal">
      <formula>"NOK"</formula>
    </cfRule>
  </conditionalFormatting>
  <conditionalFormatting sqref="F17:F18">
    <cfRule type="cellIs" dxfId="55" priority="132" operator="equal">
      <formula>"NOK"</formula>
    </cfRule>
  </conditionalFormatting>
  <conditionalFormatting sqref="F19:F23">
    <cfRule type="cellIs" dxfId="54" priority="28" operator="equal">
      <formula>"NOK"</formula>
    </cfRule>
    <cfRule type="cellIs" dxfId="53" priority="31" operator="equal">
      <formula>"NOK"</formula>
    </cfRule>
  </conditionalFormatting>
  <conditionalFormatting sqref="F19:F26">
    <cfRule type="cellIs" dxfId="52" priority="2" operator="equal">
      <formula>"NOK"</formula>
    </cfRule>
  </conditionalFormatting>
  <conditionalFormatting sqref="F24:F26">
    <cfRule type="cellIs" dxfId="51" priority="3" operator="equal">
      <formula>"NOK"</formula>
    </cfRule>
  </conditionalFormatting>
  <conditionalFormatting sqref="F27:F33">
    <cfRule type="cellIs" dxfId="50" priority="23" operator="equal">
      <formula>"NOK"</formula>
    </cfRule>
  </conditionalFormatting>
  <conditionalFormatting sqref="F1:G1 F12:G12 F39:G1048576">
    <cfRule type="cellIs" dxfId="49" priority="136" operator="equal">
      <formula>"OK"</formula>
    </cfRule>
  </conditionalFormatting>
  <conditionalFormatting sqref="G1 G12:G13 G39:G1048576">
    <cfRule type="cellIs" dxfId="48" priority="137" operator="equal">
      <formula>"NOK"</formula>
    </cfRule>
  </conditionalFormatting>
  <conditionalFormatting sqref="G13">
    <cfRule type="cellIs" dxfId="47" priority="115" operator="equal">
      <formula>"OK"</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9"/>
  <sheetViews>
    <sheetView showGridLines="0" zoomScale="80" zoomScaleNormal="80" workbookViewId="0">
      <selection activeCell="D18" sqref="D18"/>
    </sheetView>
  </sheetViews>
  <sheetFormatPr defaultColWidth="8.88671875" defaultRowHeight="16.2" x14ac:dyDescent="0.4"/>
  <cols>
    <col min="1" max="1" width="9.5546875" style="32" bestFit="1" customWidth="1"/>
    <col min="2" max="3" width="31.44140625" style="24" customWidth="1"/>
    <col min="4" max="4" width="46.33203125" style="24" bestFit="1" customWidth="1"/>
    <col min="5" max="5" width="50.6640625" style="32" bestFit="1" customWidth="1"/>
    <col min="6" max="6" width="13.6640625" style="32" customWidth="1"/>
    <col min="7" max="7" width="15.109375" style="32" customWidth="1"/>
    <col min="8" max="8" width="31.5546875" style="32" bestFit="1" customWidth="1"/>
    <col min="9" max="9" width="23.6640625" style="24" bestFit="1" customWidth="1"/>
    <col min="10" max="16384" width="8.88671875" style="24"/>
  </cols>
  <sheetData>
    <row r="1" spans="1:9" x14ac:dyDescent="0.4">
      <c r="A1" s="30" t="s">
        <v>596</v>
      </c>
      <c r="B1" s="28" t="s">
        <v>597</v>
      </c>
      <c r="C1" s="28" t="s">
        <v>112</v>
      </c>
      <c r="D1" s="28" t="s">
        <v>965</v>
      </c>
      <c r="E1" s="30" t="s">
        <v>966</v>
      </c>
      <c r="F1" s="30" t="s">
        <v>967</v>
      </c>
      <c r="G1" s="30" t="s">
        <v>968</v>
      </c>
      <c r="H1" s="30" t="s">
        <v>969</v>
      </c>
      <c r="I1" s="30" t="s">
        <v>970</v>
      </c>
    </row>
    <row r="2" spans="1:9" x14ac:dyDescent="0.4">
      <c r="A2" s="31" t="s">
        <v>604</v>
      </c>
      <c r="B2" s="25" t="s">
        <v>44</v>
      </c>
      <c r="C2" s="25" t="s">
        <v>971</v>
      </c>
      <c r="D2" s="25" t="s">
        <v>972</v>
      </c>
      <c r="E2" s="25" t="s">
        <v>973</v>
      </c>
      <c r="F2" s="31" t="s">
        <v>32</v>
      </c>
      <c r="G2" s="31" t="s">
        <v>32</v>
      </c>
      <c r="H2" s="31" t="s">
        <v>974</v>
      </c>
      <c r="I2" s="31" t="s">
        <v>975</v>
      </c>
    </row>
    <row r="3" spans="1:9" x14ac:dyDescent="0.4">
      <c r="A3" s="31" t="s">
        <v>604</v>
      </c>
      <c r="B3" s="25" t="s">
        <v>45</v>
      </c>
      <c r="C3" s="25" t="s">
        <v>976</v>
      </c>
      <c r="D3" s="25" t="s">
        <v>972</v>
      </c>
      <c r="E3" s="25" t="s">
        <v>973</v>
      </c>
      <c r="F3" s="31" t="s">
        <v>32</v>
      </c>
      <c r="G3" s="31" t="s">
        <v>32</v>
      </c>
      <c r="H3" s="31" t="s">
        <v>974</v>
      </c>
      <c r="I3" s="31" t="s">
        <v>975</v>
      </c>
    </row>
    <row r="4" spans="1:9" x14ac:dyDescent="0.4">
      <c r="A4" s="31" t="s">
        <v>604</v>
      </c>
      <c r="B4" s="25" t="s">
        <v>46</v>
      </c>
      <c r="C4" s="25" t="s">
        <v>977</v>
      </c>
      <c r="D4" s="25" t="s">
        <v>972</v>
      </c>
      <c r="E4" s="25" t="s">
        <v>973</v>
      </c>
      <c r="F4" s="31" t="s">
        <v>32</v>
      </c>
      <c r="G4" s="31" t="s">
        <v>32</v>
      </c>
      <c r="H4" s="31" t="s">
        <v>974</v>
      </c>
      <c r="I4" s="31" t="s">
        <v>975</v>
      </c>
    </row>
    <row r="5" spans="1:9" ht="32.4" x14ac:dyDescent="0.4">
      <c r="A5" s="31" t="s">
        <v>604</v>
      </c>
      <c r="B5" s="25" t="s">
        <v>299</v>
      </c>
      <c r="C5" s="25" t="s">
        <v>978</v>
      </c>
      <c r="D5" s="25" t="s">
        <v>979</v>
      </c>
      <c r="E5" s="25" t="s">
        <v>980</v>
      </c>
      <c r="F5" s="31" t="s">
        <v>32</v>
      </c>
      <c r="G5" s="31" t="s">
        <v>32</v>
      </c>
      <c r="H5" s="31" t="s">
        <v>974</v>
      </c>
      <c r="I5" s="31" t="s">
        <v>975</v>
      </c>
    </row>
    <row r="6" spans="1:9" x14ac:dyDescent="0.4">
      <c r="A6" s="31" t="s">
        <v>604</v>
      </c>
      <c r="B6" s="25" t="s">
        <v>47</v>
      </c>
      <c r="C6" s="25" t="s">
        <v>977</v>
      </c>
      <c r="D6" s="25" t="s">
        <v>972</v>
      </c>
      <c r="E6" s="25" t="s">
        <v>973</v>
      </c>
      <c r="F6" s="31" t="s">
        <v>32</v>
      </c>
      <c r="G6" s="31" t="s">
        <v>32</v>
      </c>
      <c r="H6" s="31" t="s">
        <v>974</v>
      </c>
      <c r="I6" s="31" t="s">
        <v>975</v>
      </c>
    </row>
    <row r="7" spans="1:9" ht="64.8" x14ac:dyDescent="0.4">
      <c r="A7" s="31" t="s">
        <v>604</v>
      </c>
      <c r="B7" s="25" t="s">
        <v>48</v>
      </c>
      <c r="C7" s="25" t="s">
        <v>981</v>
      </c>
      <c r="D7" s="25" t="s">
        <v>982</v>
      </c>
      <c r="E7" s="25" t="s">
        <v>983</v>
      </c>
      <c r="F7" s="31" t="s">
        <v>32</v>
      </c>
      <c r="G7" s="31" t="s">
        <v>32</v>
      </c>
      <c r="H7" s="31" t="s">
        <v>974</v>
      </c>
      <c r="I7" s="31" t="s">
        <v>975</v>
      </c>
    </row>
    <row r="8" spans="1:9" ht="64.8" x14ac:dyDescent="0.4">
      <c r="A8" s="31" t="s">
        <v>604</v>
      </c>
      <c r="B8" s="25" t="s">
        <v>49</v>
      </c>
      <c r="C8" s="25" t="s">
        <v>984</v>
      </c>
      <c r="D8" s="25" t="s">
        <v>982</v>
      </c>
      <c r="E8" s="25" t="s">
        <v>983</v>
      </c>
      <c r="F8" s="31" t="s">
        <v>32</v>
      </c>
      <c r="G8" s="31" t="s">
        <v>32</v>
      </c>
      <c r="H8" s="31" t="s">
        <v>974</v>
      </c>
      <c r="I8" s="31" t="s">
        <v>975</v>
      </c>
    </row>
    <row r="9" spans="1:9" ht="64.8" x14ac:dyDescent="0.4">
      <c r="A9" s="31" t="s">
        <v>604</v>
      </c>
      <c r="B9" s="25" t="s">
        <v>50</v>
      </c>
      <c r="C9" s="25" t="s">
        <v>985</v>
      </c>
      <c r="D9" s="25" t="s">
        <v>982</v>
      </c>
      <c r="E9" s="25" t="s">
        <v>983</v>
      </c>
      <c r="F9" s="31" t="s">
        <v>32</v>
      </c>
      <c r="G9" s="31" t="s">
        <v>32</v>
      </c>
      <c r="H9" s="31" t="s">
        <v>974</v>
      </c>
      <c r="I9" s="31" t="s">
        <v>975</v>
      </c>
    </row>
    <row r="10" spans="1:9" x14ac:dyDescent="0.4">
      <c r="A10" s="31" t="s">
        <v>604</v>
      </c>
      <c r="B10" s="25" t="s">
        <v>51</v>
      </c>
      <c r="C10" s="25" t="s">
        <v>986</v>
      </c>
      <c r="D10" s="25" t="s">
        <v>972</v>
      </c>
      <c r="E10" s="25" t="s">
        <v>973</v>
      </c>
      <c r="F10" s="31" t="s">
        <v>32</v>
      </c>
      <c r="G10" s="31" t="s">
        <v>32</v>
      </c>
      <c r="H10" s="31" t="s">
        <v>974</v>
      </c>
      <c r="I10" s="31" t="s">
        <v>975</v>
      </c>
    </row>
    <row r="11" spans="1:9" x14ac:dyDescent="0.4">
      <c r="A11" s="31" t="s">
        <v>604</v>
      </c>
      <c r="B11" s="25" t="s">
        <v>52</v>
      </c>
      <c r="C11" s="25" t="s">
        <v>987</v>
      </c>
      <c r="D11" s="25" t="s">
        <v>972</v>
      </c>
      <c r="E11" s="25" t="s">
        <v>973</v>
      </c>
      <c r="F11" s="31" t="s">
        <v>32</v>
      </c>
      <c r="G11" s="31" t="s">
        <v>32</v>
      </c>
      <c r="H11" s="31" t="s">
        <v>974</v>
      </c>
      <c r="I11" s="31" t="s">
        <v>975</v>
      </c>
    </row>
    <row r="12" spans="1:9" x14ac:dyDescent="0.4">
      <c r="A12" s="31" t="s">
        <v>604</v>
      </c>
      <c r="B12" s="25" t="s">
        <v>53</v>
      </c>
      <c r="C12" s="25" t="s">
        <v>988</v>
      </c>
      <c r="D12" s="25" t="s">
        <v>972</v>
      </c>
      <c r="E12" s="25" t="s">
        <v>973</v>
      </c>
      <c r="F12" s="31" t="s">
        <v>32</v>
      </c>
      <c r="G12" s="31" t="s">
        <v>32</v>
      </c>
      <c r="H12" s="31" t="s">
        <v>974</v>
      </c>
      <c r="I12" s="31" t="s">
        <v>975</v>
      </c>
    </row>
    <row r="13" spans="1:9" x14ac:dyDescent="0.4">
      <c r="A13" s="31" t="s">
        <v>604</v>
      </c>
      <c r="B13" s="25" t="s">
        <v>54</v>
      </c>
      <c r="C13" s="25" t="s">
        <v>989</v>
      </c>
      <c r="D13" s="25" t="s">
        <v>972</v>
      </c>
      <c r="E13" s="25" t="s">
        <v>973</v>
      </c>
      <c r="F13" s="31" t="s">
        <v>32</v>
      </c>
      <c r="G13" s="31" t="s">
        <v>32</v>
      </c>
      <c r="H13" s="31" t="s">
        <v>974</v>
      </c>
      <c r="I13" s="31" t="s">
        <v>975</v>
      </c>
    </row>
    <row r="14" spans="1:9" x14ac:dyDescent="0.4">
      <c r="A14" s="31" t="s">
        <v>604</v>
      </c>
      <c r="B14" s="25" t="s">
        <v>314</v>
      </c>
      <c r="C14" s="25"/>
      <c r="D14" s="25" t="s">
        <v>990</v>
      </c>
      <c r="E14" s="25" t="s">
        <v>991</v>
      </c>
      <c r="F14" s="31" t="s">
        <v>32</v>
      </c>
      <c r="G14" s="31" t="s">
        <v>29</v>
      </c>
      <c r="H14" s="31"/>
      <c r="I14" s="31"/>
    </row>
    <row r="15" spans="1:9" ht="48.6" x14ac:dyDescent="0.4">
      <c r="A15" s="31" t="s">
        <v>604</v>
      </c>
      <c r="B15" s="25" t="s">
        <v>315</v>
      </c>
      <c r="C15" s="25"/>
      <c r="D15" s="25" t="s">
        <v>992</v>
      </c>
      <c r="E15" s="25" t="s">
        <v>993</v>
      </c>
      <c r="F15" s="31" t="s">
        <v>32</v>
      </c>
      <c r="G15" s="31" t="s">
        <v>29</v>
      </c>
      <c r="H15" s="31"/>
      <c r="I15" s="31"/>
    </row>
    <row r="16" spans="1:9" x14ac:dyDescent="0.4">
      <c r="A16" s="31" t="s">
        <v>604</v>
      </c>
      <c r="B16" s="25" t="s">
        <v>370</v>
      </c>
      <c r="C16" s="25"/>
      <c r="D16" s="25" t="s">
        <v>990</v>
      </c>
      <c r="E16" s="25" t="s">
        <v>994</v>
      </c>
      <c r="F16" s="31" t="s">
        <v>32</v>
      </c>
      <c r="G16" s="31" t="s">
        <v>29</v>
      </c>
      <c r="H16" s="31"/>
      <c r="I16" s="31"/>
    </row>
    <row r="17" spans="1:9" x14ac:dyDescent="0.4">
      <c r="A17" s="31" t="s">
        <v>604</v>
      </c>
      <c r="B17" s="25" t="s">
        <v>372</v>
      </c>
      <c r="C17" s="25"/>
      <c r="D17" s="25" t="s">
        <v>995</v>
      </c>
      <c r="E17" s="25" t="s">
        <v>996</v>
      </c>
      <c r="F17" s="31" t="s">
        <v>32</v>
      </c>
      <c r="G17" s="31" t="s">
        <v>29</v>
      </c>
      <c r="H17" s="31"/>
      <c r="I17" s="31"/>
    </row>
    <row r="18" spans="1:9" x14ac:dyDescent="0.4">
      <c r="A18" s="31" t="s">
        <v>604</v>
      </c>
      <c r="B18" s="25" t="s">
        <v>373</v>
      </c>
      <c r="C18" s="25"/>
      <c r="D18" s="25" t="s">
        <v>990</v>
      </c>
      <c r="E18" s="25" t="s">
        <v>997</v>
      </c>
      <c r="F18" s="31" t="s">
        <v>32</v>
      </c>
      <c r="G18" s="31" t="s">
        <v>29</v>
      </c>
      <c r="H18" s="31"/>
      <c r="I18" s="31"/>
    </row>
    <row r="19" spans="1:9" x14ac:dyDescent="0.4">
      <c r="A19" s="31" t="s">
        <v>604</v>
      </c>
      <c r="B19" s="25" t="s">
        <v>374</v>
      </c>
      <c r="C19" s="25"/>
      <c r="D19" s="25" t="s">
        <v>998</v>
      </c>
      <c r="E19" s="25" t="s">
        <v>999</v>
      </c>
      <c r="F19" s="31" t="s">
        <v>32</v>
      </c>
      <c r="G19" s="31" t="s">
        <v>29</v>
      </c>
      <c r="H19" s="31"/>
      <c r="I19" s="31"/>
    </row>
    <row r="20" spans="1:9" ht="81" x14ac:dyDescent="0.4">
      <c r="A20" s="31" t="s">
        <v>604</v>
      </c>
      <c r="B20" s="25" t="s">
        <v>375</v>
      </c>
      <c r="C20" s="25"/>
      <c r="D20" s="25" t="s">
        <v>1000</v>
      </c>
      <c r="E20" s="25" t="s">
        <v>1001</v>
      </c>
      <c r="F20" s="31" t="s">
        <v>32</v>
      </c>
      <c r="G20" s="31" t="s">
        <v>29</v>
      </c>
      <c r="H20" s="31"/>
      <c r="I20" s="31"/>
    </row>
    <row r="21" spans="1:9" ht="32.4" x14ac:dyDescent="0.4">
      <c r="A21" s="31" t="s">
        <v>604</v>
      </c>
      <c r="B21" s="26" t="s">
        <v>392</v>
      </c>
      <c r="C21" s="26"/>
      <c r="D21" s="26" t="s">
        <v>1002</v>
      </c>
      <c r="E21" s="26" t="s">
        <v>1003</v>
      </c>
      <c r="F21" s="31" t="s">
        <v>32</v>
      </c>
      <c r="G21" s="31" t="s">
        <v>29</v>
      </c>
      <c r="H21" s="31"/>
      <c r="I21" s="31"/>
    </row>
    <row r="22" spans="1:9" ht="32.4" x14ac:dyDescent="0.4">
      <c r="A22" s="31" t="s">
        <v>604</v>
      </c>
      <c r="B22" s="25" t="s">
        <v>408</v>
      </c>
      <c r="C22" s="25" t="s">
        <v>1004</v>
      </c>
      <c r="D22" s="25" t="s">
        <v>1005</v>
      </c>
      <c r="E22" s="25" t="s">
        <v>1006</v>
      </c>
      <c r="F22" s="31" t="s">
        <v>32</v>
      </c>
      <c r="G22" s="31" t="s">
        <v>32</v>
      </c>
      <c r="H22" s="31" t="s">
        <v>1007</v>
      </c>
      <c r="I22" s="31"/>
    </row>
    <row r="23" spans="1:9" x14ac:dyDescent="0.4">
      <c r="A23" s="31" t="s">
        <v>604</v>
      </c>
      <c r="B23" s="25" t="s">
        <v>455</v>
      </c>
      <c r="C23" s="25"/>
      <c r="D23" s="25" t="s">
        <v>990</v>
      </c>
      <c r="E23" s="25" t="s">
        <v>1008</v>
      </c>
      <c r="F23" s="31" t="s">
        <v>32</v>
      </c>
      <c r="G23" s="31" t="s">
        <v>29</v>
      </c>
      <c r="H23" s="31"/>
      <c r="I23" s="31"/>
    </row>
    <row r="24" spans="1:9" ht="32.4" x14ac:dyDescent="0.4">
      <c r="A24" s="31" t="s">
        <v>604</v>
      </c>
      <c r="B24" s="25" t="s">
        <v>456</v>
      </c>
      <c r="C24" s="25"/>
      <c r="D24" s="25" t="s">
        <v>1009</v>
      </c>
      <c r="E24" s="25" t="s">
        <v>1010</v>
      </c>
      <c r="F24" s="31" t="s">
        <v>32</v>
      </c>
      <c r="G24" s="31" t="s">
        <v>29</v>
      </c>
      <c r="H24" s="31"/>
      <c r="I24" s="31"/>
    </row>
    <row r="25" spans="1:9" ht="48.6" x14ac:dyDescent="0.4">
      <c r="A25" s="31" t="s">
        <v>604</v>
      </c>
      <c r="B25" s="25" t="s">
        <v>458</v>
      </c>
      <c r="C25" s="25"/>
      <c r="D25" s="25" t="s">
        <v>1011</v>
      </c>
      <c r="E25" s="25" t="s">
        <v>1012</v>
      </c>
      <c r="F25" s="31" t="s">
        <v>32</v>
      </c>
      <c r="G25" s="31" t="s">
        <v>29</v>
      </c>
      <c r="H25" s="31"/>
      <c r="I25" s="31"/>
    </row>
    <row r="26" spans="1:9" ht="48.6" x14ac:dyDescent="0.4">
      <c r="A26" s="31" t="s">
        <v>604</v>
      </c>
      <c r="B26" s="25" t="s">
        <v>459</v>
      </c>
      <c r="C26" s="25"/>
      <c r="D26" s="25" t="s">
        <v>1013</v>
      </c>
      <c r="E26" s="25" t="s">
        <v>1014</v>
      </c>
      <c r="F26" s="31" t="s">
        <v>32</v>
      </c>
      <c r="G26" s="31" t="s">
        <v>29</v>
      </c>
      <c r="H26" s="31"/>
      <c r="I26" s="31"/>
    </row>
    <row r="27" spans="1:9" x14ac:dyDescent="0.4">
      <c r="A27" s="31" t="s">
        <v>604</v>
      </c>
      <c r="B27" s="25" t="s">
        <v>460</v>
      </c>
      <c r="C27" s="25"/>
      <c r="D27" s="25" t="s">
        <v>990</v>
      </c>
      <c r="E27" s="25" t="s">
        <v>1015</v>
      </c>
      <c r="F27" s="31" t="s">
        <v>32</v>
      </c>
      <c r="G27" s="31" t="s">
        <v>29</v>
      </c>
      <c r="H27" s="31"/>
      <c r="I27" s="31"/>
    </row>
    <row r="28" spans="1:9" ht="32.4" x14ac:dyDescent="0.4">
      <c r="A28" s="31" t="s">
        <v>604</v>
      </c>
      <c r="B28" s="25" t="s">
        <v>461</v>
      </c>
      <c r="C28" s="25"/>
      <c r="D28" s="25" t="s">
        <v>1009</v>
      </c>
      <c r="E28" s="25" t="s">
        <v>1016</v>
      </c>
      <c r="F28" s="31" t="s">
        <v>32</v>
      </c>
      <c r="G28" s="31" t="s">
        <v>29</v>
      </c>
      <c r="H28" s="31"/>
      <c r="I28" s="31"/>
    </row>
    <row r="29" spans="1:9" x14ac:dyDescent="0.4">
      <c r="A29" s="31" t="s">
        <v>604</v>
      </c>
      <c r="B29" s="25" t="s">
        <v>282</v>
      </c>
      <c r="C29" s="25"/>
      <c r="D29" s="25" t="s">
        <v>1005</v>
      </c>
      <c r="E29" s="25" t="s">
        <v>1017</v>
      </c>
      <c r="F29" s="31" t="s">
        <v>32</v>
      </c>
      <c r="G29" s="31" t="s">
        <v>29</v>
      </c>
      <c r="H29" s="31"/>
      <c r="I29" s="31"/>
    </row>
    <row r="30" spans="1:9" ht="32.4" x14ac:dyDescent="0.4">
      <c r="A30" s="31" t="s">
        <v>1018</v>
      </c>
      <c r="B30" s="27" t="s">
        <v>456</v>
      </c>
      <c r="C30" s="27"/>
      <c r="D30" s="27" t="s">
        <v>1019</v>
      </c>
      <c r="E30" s="27" t="s">
        <v>1020</v>
      </c>
      <c r="F30" s="31" t="s">
        <v>32</v>
      </c>
      <c r="G30" s="31" t="s">
        <v>29</v>
      </c>
      <c r="H30" s="31"/>
      <c r="I30" s="31"/>
    </row>
    <row r="31" spans="1:9" ht="32.4" x14ac:dyDescent="0.4">
      <c r="A31" s="31" t="s">
        <v>1018</v>
      </c>
      <c r="B31" s="27" t="s">
        <v>458</v>
      </c>
      <c r="C31" s="27"/>
      <c r="D31" s="27" t="s">
        <v>1021</v>
      </c>
      <c r="E31" s="27" t="s">
        <v>1022</v>
      </c>
      <c r="F31" s="31" t="s">
        <v>32</v>
      </c>
      <c r="G31" s="31" t="s">
        <v>29</v>
      </c>
      <c r="H31" s="31"/>
      <c r="I31" s="31"/>
    </row>
    <row r="32" spans="1:9" ht="48.6" x14ac:dyDescent="0.4">
      <c r="A32" s="31" t="s">
        <v>632</v>
      </c>
      <c r="B32" s="25" t="s">
        <v>365</v>
      </c>
      <c r="C32" s="25"/>
      <c r="D32" s="25" t="s">
        <v>1023</v>
      </c>
      <c r="E32" s="25" t="s">
        <v>1024</v>
      </c>
      <c r="F32" s="31" t="s">
        <v>32</v>
      </c>
      <c r="G32" s="31" t="s">
        <v>29</v>
      </c>
      <c r="H32" s="31"/>
      <c r="I32" s="31"/>
    </row>
    <row r="33" spans="1:9" ht="32.4" x14ac:dyDescent="0.4">
      <c r="A33" s="31" t="s">
        <v>128</v>
      </c>
      <c r="B33" s="25" t="s">
        <v>129</v>
      </c>
      <c r="C33" s="116" t="s">
        <v>1025</v>
      </c>
      <c r="D33" s="25" t="s">
        <v>1005</v>
      </c>
      <c r="E33" s="25" t="s">
        <v>1026</v>
      </c>
      <c r="F33" s="31" t="s">
        <v>29</v>
      </c>
      <c r="G33" s="31" t="s">
        <v>32</v>
      </c>
      <c r="H33" s="31" t="s">
        <v>1027</v>
      </c>
      <c r="I33" s="31" t="s">
        <v>968</v>
      </c>
    </row>
    <row r="34" spans="1:9" ht="32.4" x14ac:dyDescent="0.4">
      <c r="A34" s="31" t="s">
        <v>128</v>
      </c>
      <c r="B34" s="25" t="s">
        <v>134</v>
      </c>
      <c r="C34" s="25" t="s">
        <v>1028</v>
      </c>
      <c r="D34" s="25" t="s">
        <v>1029</v>
      </c>
      <c r="E34" s="25" t="s">
        <v>1030</v>
      </c>
      <c r="F34" s="31" t="s">
        <v>29</v>
      </c>
      <c r="G34" s="31" t="s">
        <v>32</v>
      </c>
      <c r="H34" s="31" t="s">
        <v>1027</v>
      </c>
      <c r="I34" s="31" t="s">
        <v>968</v>
      </c>
    </row>
    <row r="35" spans="1:9" ht="32.4" x14ac:dyDescent="0.4">
      <c r="A35" s="31" t="s">
        <v>128</v>
      </c>
      <c r="B35" s="25" t="s">
        <v>136</v>
      </c>
      <c r="C35" s="25" t="s">
        <v>1031</v>
      </c>
      <c r="D35" s="25" t="s">
        <v>1029</v>
      </c>
      <c r="E35" s="25" t="s">
        <v>1030</v>
      </c>
      <c r="F35" s="31" t="s">
        <v>29</v>
      </c>
      <c r="G35" s="31" t="s">
        <v>32</v>
      </c>
      <c r="H35" s="31" t="s">
        <v>1027</v>
      </c>
      <c r="I35" s="31" t="s">
        <v>968</v>
      </c>
    </row>
    <row r="36" spans="1:9" ht="32.4" x14ac:dyDescent="0.4">
      <c r="A36" s="31" t="s">
        <v>128</v>
      </c>
      <c r="B36" s="25" t="s">
        <v>140</v>
      </c>
      <c r="C36" s="25" t="s">
        <v>1032</v>
      </c>
      <c r="D36" s="25" t="s">
        <v>1029</v>
      </c>
      <c r="E36" s="25" t="s">
        <v>1030</v>
      </c>
      <c r="F36" s="31" t="s">
        <v>29</v>
      </c>
      <c r="G36" s="31" t="s">
        <v>32</v>
      </c>
      <c r="H36" s="31" t="s">
        <v>1027</v>
      </c>
      <c r="I36" s="31" t="s">
        <v>968</v>
      </c>
    </row>
    <row r="37" spans="1:9" ht="32.4" x14ac:dyDescent="0.4">
      <c r="A37" s="31" t="s">
        <v>128</v>
      </c>
      <c r="B37" s="25" t="s">
        <v>141</v>
      </c>
      <c r="C37" s="25" t="s">
        <v>1033</v>
      </c>
      <c r="D37" s="25" t="s">
        <v>1029</v>
      </c>
      <c r="E37" s="25" t="s">
        <v>1030</v>
      </c>
      <c r="F37" s="31" t="s">
        <v>29</v>
      </c>
      <c r="G37" s="31" t="s">
        <v>32</v>
      </c>
      <c r="H37" s="31" t="s">
        <v>1027</v>
      </c>
      <c r="I37" s="31" t="s">
        <v>968</v>
      </c>
    </row>
    <row r="38" spans="1:9" ht="32.4" x14ac:dyDescent="0.4">
      <c r="A38" s="31" t="s">
        <v>128</v>
      </c>
      <c r="B38" s="25" t="s">
        <v>541</v>
      </c>
      <c r="C38" s="25" t="s">
        <v>1034</v>
      </c>
      <c r="D38" s="25" t="s">
        <v>1029</v>
      </c>
      <c r="E38" s="25" t="s">
        <v>1030</v>
      </c>
      <c r="F38" s="31" t="s">
        <v>29</v>
      </c>
      <c r="G38" s="31" t="s">
        <v>32</v>
      </c>
      <c r="H38" s="31" t="s">
        <v>1027</v>
      </c>
      <c r="I38" s="31" t="s">
        <v>968</v>
      </c>
    </row>
    <row r="39" spans="1:9" ht="48.6" x14ac:dyDescent="0.4">
      <c r="A39" s="31" t="s">
        <v>128</v>
      </c>
      <c r="B39" s="25" t="s">
        <v>165</v>
      </c>
      <c r="C39" s="25" t="s">
        <v>1035</v>
      </c>
      <c r="D39" s="25" t="s">
        <v>1036</v>
      </c>
      <c r="E39" s="25" t="s">
        <v>1037</v>
      </c>
      <c r="F39" s="31" t="s">
        <v>29</v>
      </c>
      <c r="G39" s="31" t="s">
        <v>32</v>
      </c>
      <c r="H39" s="31" t="s">
        <v>1027</v>
      </c>
      <c r="I39" s="31" t="s">
        <v>968</v>
      </c>
    </row>
    <row r="40" spans="1:9" ht="48.6" x14ac:dyDescent="0.4">
      <c r="A40" s="31" t="s">
        <v>128</v>
      </c>
      <c r="B40" s="25" t="s">
        <v>167</v>
      </c>
      <c r="C40" s="25" t="s">
        <v>1038</v>
      </c>
      <c r="D40" s="25" t="s">
        <v>1036</v>
      </c>
      <c r="E40" s="25" t="s">
        <v>1037</v>
      </c>
      <c r="F40" s="31" t="s">
        <v>29</v>
      </c>
      <c r="G40" s="31" t="s">
        <v>32</v>
      </c>
      <c r="H40" s="31" t="s">
        <v>1027</v>
      </c>
      <c r="I40" s="31" t="s">
        <v>968</v>
      </c>
    </row>
    <row r="42" spans="1:9" x14ac:dyDescent="0.4">
      <c r="A42" s="31" t="s">
        <v>128</v>
      </c>
      <c r="B42" s="25" t="s">
        <v>205</v>
      </c>
      <c r="C42" s="25" t="s">
        <v>1039</v>
      </c>
      <c r="D42" s="25" t="s">
        <v>972</v>
      </c>
      <c r="E42" s="25" t="s">
        <v>1040</v>
      </c>
      <c r="F42" s="31" t="s">
        <v>29</v>
      </c>
      <c r="G42" s="31" t="s">
        <v>32</v>
      </c>
      <c r="H42" s="31" t="s">
        <v>1027</v>
      </c>
      <c r="I42" s="31" t="s">
        <v>968</v>
      </c>
    </row>
    <row r="43" spans="1:9" ht="32.4" x14ac:dyDescent="0.4">
      <c r="A43" s="31" t="s">
        <v>128</v>
      </c>
      <c r="B43" s="25" t="s">
        <v>206</v>
      </c>
      <c r="C43" s="25" t="s">
        <v>1041</v>
      </c>
      <c r="D43" s="25" t="s">
        <v>1029</v>
      </c>
      <c r="E43" s="25" t="s">
        <v>1030</v>
      </c>
      <c r="F43" s="31" t="s">
        <v>29</v>
      </c>
      <c r="G43" s="31" t="s">
        <v>32</v>
      </c>
      <c r="H43" s="31" t="s">
        <v>1027</v>
      </c>
      <c r="I43" s="31" t="s">
        <v>968</v>
      </c>
    </row>
    <row r="44" spans="1:9" ht="48.6" x14ac:dyDescent="0.4">
      <c r="A44" s="31" t="s">
        <v>128</v>
      </c>
      <c r="B44" s="25" t="s">
        <v>227</v>
      </c>
      <c r="C44" s="25" t="s">
        <v>1042</v>
      </c>
      <c r="D44" s="25" t="s">
        <v>1043</v>
      </c>
      <c r="E44" s="25" t="s">
        <v>1044</v>
      </c>
      <c r="F44" s="31" t="s">
        <v>29</v>
      </c>
      <c r="G44" s="31" t="s">
        <v>32</v>
      </c>
      <c r="H44" s="31" t="s">
        <v>1027</v>
      </c>
      <c r="I44" s="31" t="s">
        <v>968</v>
      </c>
    </row>
    <row r="45" spans="1:9" ht="64.8" x14ac:dyDescent="0.4">
      <c r="A45" s="31" t="s">
        <v>128</v>
      </c>
      <c r="B45" s="25" t="s">
        <v>228</v>
      </c>
      <c r="C45" s="25" t="s">
        <v>1045</v>
      </c>
      <c r="D45" s="25" t="s">
        <v>1043</v>
      </c>
      <c r="E45" s="25" t="s">
        <v>1046</v>
      </c>
      <c r="F45" s="31" t="s">
        <v>29</v>
      </c>
      <c r="G45" s="31" t="s">
        <v>32</v>
      </c>
      <c r="H45" s="31" t="s">
        <v>1027</v>
      </c>
      <c r="I45" s="31" t="s">
        <v>968</v>
      </c>
    </row>
    <row r="46" spans="1:9" ht="64.8" x14ac:dyDescent="0.4">
      <c r="A46" s="31" t="s">
        <v>128</v>
      </c>
      <c r="B46" s="25" t="s">
        <v>232</v>
      </c>
      <c r="C46" s="25" t="s">
        <v>1047</v>
      </c>
      <c r="D46" s="25" t="s">
        <v>1043</v>
      </c>
      <c r="E46" s="25" t="s">
        <v>1046</v>
      </c>
      <c r="F46" s="31" t="s">
        <v>29</v>
      </c>
      <c r="G46" s="31" t="s">
        <v>32</v>
      </c>
      <c r="H46" s="31" t="s">
        <v>1027</v>
      </c>
      <c r="I46" s="31" t="s">
        <v>968</v>
      </c>
    </row>
    <row r="47" spans="1:9" ht="64.8" x14ac:dyDescent="0.4">
      <c r="A47" s="31" t="s">
        <v>128</v>
      </c>
      <c r="B47" s="25" t="s">
        <v>234</v>
      </c>
      <c r="C47" s="25" t="s">
        <v>1048</v>
      </c>
      <c r="D47" s="25" t="s">
        <v>1043</v>
      </c>
      <c r="E47" s="25" t="s">
        <v>1046</v>
      </c>
      <c r="F47" s="31" t="s">
        <v>29</v>
      </c>
      <c r="G47" s="31" t="s">
        <v>32</v>
      </c>
      <c r="H47" s="31" t="s">
        <v>1027</v>
      </c>
      <c r="I47" s="31" t="s">
        <v>968</v>
      </c>
    </row>
    <row r="48" spans="1:9" ht="48.6" x14ac:dyDescent="0.4">
      <c r="A48" s="31" t="s">
        <v>128</v>
      </c>
      <c r="B48" s="25" t="s">
        <v>294</v>
      </c>
      <c r="C48" s="25" t="s">
        <v>1049</v>
      </c>
      <c r="D48" s="25" t="s">
        <v>1036</v>
      </c>
      <c r="E48" s="25" t="s">
        <v>1050</v>
      </c>
      <c r="F48" s="31" t="s">
        <v>29</v>
      </c>
      <c r="G48" s="31" t="s">
        <v>32</v>
      </c>
      <c r="H48" s="31" t="s">
        <v>1027</v>
      </c>
      <c r="I48" s="31" t="s">
        <v>968</v>
      </c>
    </row>
    <row r="49" spans="1:9" ht="32.4" x14ac:dyDescent="0.4">
      <c r="A49" s="31" t="s">
        <v>128</v>
      </c>
      <c r="B49" s="25" t="s">
        <v>296</v>
      </c>
      <c r="C49" s="25" t="s">
        <v>1051</v>
      </c>
      <c r="D49" s="25" t="s">
        <v>1052</v>
      </c>
      <c r="E49" s="25" t="s">
        <v>1053</v>
      </c>
      <c r="F49" s="31" t="s">
        <v>29</v>
      </c>
      <c r="G49" s="31" t="s">
        <v>29</v>
      </c>
      <c r="H49" s="31"/>
      <c r="I49" s="31"/>
    </row>
    <row r="50" spans="1:9" ht="32.4" x14ac:dyDescent="0.4">
      <c r="A50" s="31" t="s">
        <v>128</v>
      </c>
      <c r="B50" s="25" t="s">
        <v>297</v>
      </c>
      <c r="C50" s="116" t="s">
        <v>1054</v>
      </c>
      <c r="D50" s="25" t="s">
        <v>1052</v>
      </c>
      <c r="E50" s="25" t="s">
        <v>1053</v>
      </c>
      <c r="F50" s="31" t="s">
        <v>29</v>
      </c>
      <c r="G50" s="31" t="s">
        <v>29</v>
      </c>
      <c r="H50" s="31"/>
      <c r="I50" s="31"/>
    </row>
    <row r="51" spans="1:9" x14ac:dyDescent="0.4">
      <c r="A51" s="31" t="s">
        <v>128</v>
      </c>
      <c r="B51" s="25" t="s">
        <v>363</v>
      </c>
      <c r="C51" s="25" t="s">
        <v>1055</v>
      </c>
      <c r="D51" s="25" t="s">
        <v>1056</v>
      </c>
      <c r="E51" s="25" t="s">
        <v>1057</v>
      </c>
      <c r="F51" s="31" t="s">
        <v>29</v>
      </c>
      <c r="G51" s="31" t="s">
        <v>32</v>
      </c>
      <c r="H51" s="31" t="s">
        <v>1027</v>
      </c>
      <c r="I51" s="31" t="s">
        <v>968</v>
      </c>
    </row>
    <row r="52" spans="1:9" x14ac:dyDescent="0.4">
      <c r="A52" s="31" t="s">
        <v>128</v>
      </c>
      <c r="B52" s="25" t="s">
        <v>389</v>
      </c>
      <c r="C52" s="25" t="s">
        <v>1058</v>
      </c>
      <c r="D52" s="25" t="s">
        <v>972</v>
      </c>
      <c r="E52" s="25" t="s">
        <v>1059</v>
      </c>
      <c r="F52" s="31" t="s">
        <v>29</v>
      </c>
      <c r="G52" s="31" t="s">
        <v>32</v>
      </c>
      <c r="H52" s="31" t="s">
        <v>1027</v>
      </c>
      <c r="I52" s="31" t="s">
        <v>968</v>
      </c>
    </row>
    <row r="53" spans="1:9" ht="32.4" x14ac:dyDescent="0.4">
      <c r="A53" s="31" t="s">
        <v>128</v>
      </c>
      <c r="B53" s="25" t="s">
        <v>418</v>
      </c>
      <c r="C53" s="25" t="s">
        <v>1060</v>
      </c>
      <c r="D53" s="25" t="s">
        <v>1061</v>
      </c>
      <c r="E53" s="25" t="s">
        <v>1062</v>
      </c>
      <c r="F53" s="31" t="s">
        <v>29</v>
      </c>
      <c r="G53" s="31" t="s">
        <v>32</v>
      </c>
      <c r="H53" s="31" t="s">
        <v>1027</v>
      </c>
      <c r="I53" s="31" t="s">
        <v>968</v>
      </c>
    </row>
    <row r="54" spans="1:9" x14ac:dyDescent="0.4">
      <c r="A54" s="31" t="s">
        <v>128</v>
      </c>
      <c r="B54" s="25" t="s">
        <v>419</v>
      </c>
      <c r="C54" s="33" t="s">
        <v>1063</v>
      </c>
      <c r="D54" s="25" t="s">
        <v>1061</v>
      </c>
      <c r="E54" s="25" t="s">
        <v>1064</v>
      </c>
      <c r="F54" s="31" t="s">
        <v>29</v>
      </c>
      <c r="G54" s="31" t="s">
        <v>32</v>
      </c>
      <c r="H54" s="31" t="s">
        <v>1027</v>
      </c>
      <c r="I54" s="31" t="s">
        <v>968</v>
      </c>
    </row>
    <row r="55" spans="1:9" ht="48.6" x14ac:dyDescent="0.4">
      <c r="A55" s="31" t="s">
        <v>128</v>
      </c>
      <c r="B55" s="25" t="s">
        <v>420</v>
      </c>
      <c r="C55" s="116" t="s">
        <v>1065</v>
      </c>
      <c r="D55" s="25" t="s">
        <v>1066</v>
      </c>
      <c r="E55" s="25" t="s">
        <v>1067</v>
      </c>
      <c r="F55" s="31" t="s">
        <v>29</v>
      </c>
      <c r="G55" s="31" t="s">
        <v>32</v>
      </c>
      <c r="H55" s="31" t="s">
        <v>1027</v>
      </c>
      <c r="I55" s="31" t="s">
        <v>968</v>
      </c>
    </row>
    <row r="56" spans="1:9" ht="32.4" x14ac:dyDescent="0.4">
      <c r="A56" s="31" t="s">
        <v>128</v>
      </c>
      <c r="B56" s="25" t="s">
        <v>441</v>
      </c>
      <c r="C56" s="25" t="s">
        <v>1068</v>
      </c>
      <c r="D56" s="25" t="s">
        <v>1029</v>
      </c>
      <c r="E56" s="25" t="s">
        <v>1030</v>
      </c>
      <c r="F56" s="31" t="s">
        <v>29</v>
      </c>
      <c r="G56" s="31" t="s">
        <v>32</v>
      </c>
      <c r="H56" s="31" t="s">
        <v>1027</v>
      </c>
      <c r="I56" s="31" t="s">
        <v>968</v>
      </c>
    </row>
    <row r="57" spans="1:9" ht="32.4" x14ac:dyDescent="0.4">
      <c r="A57" s="31" t="s">
        <v>128</v>
      </c>
      <c r="B57" s="25" t="s">
        <v>442</v>
      </c>
      <c r="C57" s="25" t="s">
        <v>1068</v>
      </c>
      <c r="D57" s="25" t="s">
        <v>1029</v>
      </c>
      <c r="E57" s="25" t="s">
        <v>1030</v>
      </c>
      <c r="F57" s="31" t="s">
        <v>29</v>
      </c>
      <c r="G57" s="31" t="s">
        <v>32</v>
      </c>
      <c r="H57" s="31" t="s">
        <v>1027</v>
      </c>
      <c r="I57" s="31" t="s">
        <v>968</v>
      </c>
    </row>
    <row r="58" spans="1:9" ht="32.4" x14ac:dyDescent="0.4">
      <c r="A58" s="31" t="s">
        <v>128</v>
      </c>
      <c r="B58" s="25" t="s">
        <v>446</v>
      </c>
      <c r="C58" s="25" t="s">
        <v>1069</v>
      </c>
      <c r="D58" s="25" t="s">
        <v>1029</v>
      </c>
      <c r="E58" s="25" t="s">
        <v>1030</v>
      </c>
      <c r="F58" s="31" t="s">
        <v>29</v>
      </c>
      <c r="G58" s="31" t="s">
        <v>32</v>
      </c>
      <c r="H58" s="31" t="s">
        <v>1027</v>
      </c>
      <c r="I58" s="31" t="s">
        <v>968</v>
      </c>
    </row>
    <row r="59" spans="1:9" ht="32.4" x14ac:dyDescent="0.4">
      <c r="A59" s="31" t="s">
        <v>128</v>
      </c>
      <c r="B59" s="25" t="s">
        <v>305</v>
      </c>
      <c r="C59" s="25" t="s">
        <v>1070</v>
      </c>
      <c r="D59" s="25" t="s">
        <v>1029</v>
      </c>
      <c r="E59" s="25" t="s">
        <v>1030</v>
      </c>
      <c r="F59" s="31" t="s">
        <v>29</v>
      </c>
      <c r="G59" s="31" t="s">
        <v>32</v>
      </c>
      <c r="H59" s="31" t="s">
        <v>1027</v>
      </c>
      <c r="I59" s="31" t="s">
        <v>968</v>
      </c>
    </row>
    <row r="60" spans="1:9" ht="32.4" x14ac:dyDescent="0.4">
      <c r="A60" s="31" t="s">
        <v>128</v>
      </c>
      <c r="B60" s="25" t="s">
        <v>486</v>
      </c>
      <c r="C60" s="25" t="s">
        <v>1071</v>
      </c>
      <c r="D60" s="25" t="s">
        <v>1029</v>
      </c>
      <c r="E60" s="25" t="s">
        <v>1030</v>
      </c>
      <c r="F60" s="31" t="s">
        <v>29</v>
      </c>
      <c r="G60" s="31" t="s">
        <v>32</v>
      </c>
      <c r="H60" s="31" t="s">
        <v>1027</v>
      </c>
      <c r="I60" s="31" t="s">
        <v>968</v>
      </c>
    </row>
    <row r="61" spans="1:9" x14ac:dyDescent="0.4">
      <c r="A61" s="117" t="s">
        <v>128</v>
      </c>
      <c r="B61" s="34" t="s">
        <v>545</v>
      </c>
      <c r="C61" s="34" t="s">
        <v>1072</v>
      </c>
      <c r="D61" s="34" t="s">
        <v>1073</v>
      </c>
      <c r="E61" s="34" t="s">
        <v>1074</v>
      </c>
      <c r="F61" s="117" t="s">
        <v>29</v>
      </c>
      <c r="G61" s="117" t="s">
        <v>32</v>
      </c>
      <c r="H61" s="31" t="s">
        <v>1027</v>
      </c>
      <c r="I61" s="31" t="s">
        <v>968</v>
      </c>
    </row>
    <row r="62" spans="1:9" ht="32.4" x14ac:dyDescent="0.4">
      <c r="A62" s="117" t="s">
        <v>128</v>
      </c>
      <c r="B62" s="34" t="s">
        <v>183</v>
      </c>
      <c r="C62" s="34" t="s">
        <v>1075</v>
      </c>
      <c r="D62" s="34" t="s">
        <v>1005</v>
      </c>
      <c r="E62" s="34" t="s">
        <v>1076</v>
      </c>
      <c r="F62" s="117" t="s">
        <v>29</v>
      </c>
      <c r="G62" s="117" t="s">
        <v>32</v>
      </c>
      <c r="H62" s="31" t="s">
        <v>1027</v>
      </c>
      <c r="I62" s="31" t="s">
        <v>968</v>
      </c>
    </row>
    <row r="63" spans="1:9" ht="32.4" x14ac:dyDescent="0.4">
      <c r="A63" s="117" t="s">
        <v>128</v>
      </c>
      <c r="B63" s="34" t="s">
        <v>242</v>
      </c>
      <c r="C63" s="34" t="s">
        <v>1077</v>
      </c>
      <c r="D63" s="34" t="s">
        <v>1073</v>
      </c>
      <c r="E63" s="34" t="s">
        <v>1078</v>
      </c>
      <c r="F63" s="117" t="s">
        <v>29</v>
      </c>
      <c r="G63" s="117" t="s">
        <v>32</v>
      </c>
      <c r="H63" s="31" t="s">
        <v>1027</v>
      </c>
      <c r="I63" s="31" t="s">
        <v>968</v>
      </c>
    </row>
    <row r="64" spans="1:9" ht="32.4" x14ac:dyDescent="0.4">
      <c r="A64" s="117" t="s">
        <v>128</v>
      </c>
      <c r="B64" s="34" t="s">
        <v>243</v>
      </c>
      <c r="C64" s="34" t="s">
        <v>1079</v>
      </c>
      <c r="D64" s="34" t="s">
        <v>1073</v>
      </c>
      <c r="E64" s="34" t="s">
        <v>1078</v>
      </c>
      <c r="F64" s="117" t="s">
        <v>29</v>
      </c>
      <c r="G64" s="117" t="s">
        <v>32</v>
      </c>
      <c r="H64" s="31" t="s">
        <v>1027</v>
      </c>
      <c r="I64" s="31" t="s">
        <v>968</v>
      </c>
    </row>
    <row r="65" spans="1:9" ht="32.4" x14ac:dyDescent="0.4">
      <c r="A65" s="117" t="s">
        <v>128</v>
      </c>
      <c r="B65" s="34" t="s">
        <v>253</v>
      </c>
      <c r="C65" s="34" t="s">
        <v>1080</v>
      </c>
      <c r="D65" s="34" t="s">
        <v>1073</v>
      </c>
      <c r="E65" s="34" t="s">
        <v>1081</v>
      </c>
      <c r="F65" s="117" t="s">
        <v>29</v>
      </c>
      <c r="G65" s="117" t="s">
        <v>32</v>
      </c>
      <c r="H65" s="31" t="s">
        <v>1027</v>
      </c>
      <c r="I65" s="31" t="s">
        <v>968</v>
      </c>
    </row>
    <row r="66" spans="1:9" ht="32.4" x14ac:dyDescent="0.4">
      <c r="A66" s="117" t="s">
        <v>128</v>
      </c>
      <c r="B66" s="34" t="s">
        <v>255</v>
      </c>
      <c r="C66" s="34" t="s">
        <v>1082</v>
      </c>
      <c r="D66" s="34" t="s">
        <v>1073</v>
      </c>
      <c r="E66" s="34" t="s">
        <v>1081</v>
      </c>
      <c r="F66" s="117" t="s">
        <v>29</v>
      </c>
      <c r="G66" s="117" t="s">
        <v>32</v>
      </c>
      <c r="H66" s="31" t="s">
        <v>1027</v>
      </c>
      <c r="I66" s="31" t="s">
        <v>968</v>
      </c>
    </row>
    <row r="67" spans="1:9" ht="64.8" x14ac:dyDescent="0.4">
      <c r="A67" s="117" t="s">
        <v>128</v>
      </c>
      <c r="B67" s="34" t="s">
        <v>304</v>
      </c>
      <c r="C67" s="34" t="s">
        <v>1083</v>
      </c>
      <c r="D67" s="34" t="s">
        <v>1084</v>
      </c>
      <c r="E67" s="34" t="s">
        <v>1085</v>
      </c>
      <c r="F67" s="117" t="s">
        <v>29</v>
      </c>
      <c r="G67" s="117" t="s">
        <v>32</v>
      </c>
      <c r="H67" s="31" t="s">
        <v>1027</v>
      </c>
      <c r="I67" s="31" t="s">
        <v>968</v>
      </c>
    </row>
    <row r="68" spans="1:9" x14ac:dyDescent="0.4">
      <c r="A68" s="117" t="s">
        <v>128</v>
      </c>
      <c r="B68" s="34" t="s">
        <v>356</v>
      </c>
      <c r="C68" s="34" t="s">
        <v>1086</v>
      </c>
      <c r="D68" s="34" t="s">
        <v>1073</v>
      </c>
      <c r="E68" s="34" t="s">
        <v>1087</v>
      </c>
      <c r="F68" s="117" t="s">
        <v>29</v>
      </c>
      <c r="G68" s="117" t="s">
        <v>32</v>
      </c>
      <c r="H68" s="31" t="s">
        <v>1027</v>
      </c>
      <c r="I68" s="31" t="s">
        <v>968</v>
      </c>
    </row>
    <row r="69" spans="1:9" ht="32.4" x14ac:dyDescent="0.4">
      <c r="A69" s="117" t="s">
        <v>128</v>
      </c>
      <c r="B69" s="34" t="s">
        <v>432</v>
      </c>
      <c r="C69" s="34" t="s">
        <v>1088</v>
      </c>
      <c r="D69" s="34" t="s">
        <v>1073</v>
      </c>
      <c r="E69" s="34" t="s">
        <v>1081</v>
      </c>
      <c r="F69" s="117" t="s">
        <v>29</v>
      </c>
      <c r="G69" s="117" t="s">
        <v>32</v>
      </c>
      <c r="H69" s="31" t="s">
        <v>1027</v>
      </c>
      <c r="I69" s="31" t="s">
        <v>968</v>
      </c>
    </row>
  </sheetData>
  <autoFilter ref="A1:J69"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U103"/>
  <sheetViews>
    <sheetView showGridLines="0" topLeftCell="A6" zoomScale="48" zoomScaleNormal="60" workbookViewId="0">
      <selection activeCell="H40" sqref="H40"/>
    </sheetView>
  </sheetViews>
  <sheetFormatPr defaultColWidth="8.88671875" defaultRowHeight="15.6" x14ac:dyDescent="0.3"/>
  <cols>
    <col min="1" max="1" width="3.6640625" style="106" customWidth="1"/>
    <col min="2" max="2" width="18.44140625" style="87" customWidth="1"/>
    <col min="3" max="3" width="38.33203125" style="87" bestFit="1" customWidth="1"/>
    <col min="4" max="4" width="18.6640625" style="87" customWidth="1"/>
    <col min="5" max="5" width="15.6640625" style="87" customWidth="1"/>
    <col min="6" max="6" width="28" style="87" customWidth="1"/>
    <col min="7" max="7" width="29.33203125" style="87" customWidth="1"/>
    <col min="8" max="8" width="42.6640625" style="87" customWidth="1"/>
    <col min="9" max="9" width="12.6640625" style="87" customWidth="1"/>
    <col min="10" max="11" width="21.6640625" style="87" customWidth="1"/>
    <col min="12" max="12" width="30.33203125" style="87" customWidth="1"/>
    <col min="13" max="13" width="33.44140625" style="87" customWidth="1"/>
    <col min="14" max="14" width="21.6640625" style="87" customWidth="1"/>
    <col min="15" max="18" width="12.6640625" style="87" customWidth="1"/>
    <col min="19" max="19" width="16.33203125" style="87" bestFit="1" customWidth="1"/>
    <col min="20" max="20" width="12.6640625" style="87" customWidth="1"/>
    <col min="21" max="16384" width="8.88671875" style="87"/>
  </cols>
  <sheetData>
    <row r="1" spans="1:47" ht="51.6" customHeight="1" thickBot="1" x14ac:dyDescent="0.5">
      <c r="A1" s="111"/>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row>
    <row r="2" spans="1:47" ht="16.2" thickTop="1" x14ac:dyDescent="0.3"/>
    <row r="7" spans="1:47" x14ac:dyDescent="0.3">
      <c r="D7" s="100" t="s">
        <v>1089</v>
      </c>
      <c r="E7" s="99"/>
      <c r="G7" s="113" t="s">
        <v>1090</v>
      </c>
      <c r="H7" s="113" t="s">
        <v>1091</v>
      </c>
      <c r="J7" s="100" t="s">
        <v>1170</v>
      </c>
      <c r="K7" s="99"/>
      <c r="M7" s="113" t="s">
        <v>1090</v>
      </c>
      <c r="N7" s="113" t="s">
        <v>1091</v>
      </c>
      <c r="P7" s="100" t="s">
        <v>1092</v>
      </c>
      <c r="Q7" s="99"/>
      <c r="S7" s="113" t="s">
        <v>1090</v>
      </c>
      <c r="T7" s="113" t="s">
        <v>1091</v>
      </c>
    </row>
    <row r="8" spans="1:47" x14ac:dyDescent="0.3">
      <c r="B8" s="104"/>
      <c r="D8" s="105"/>
      <c r="E8" s="99"/>
      <c r="G8" s="103" t="s">
        <v>285</v>
      </c>
      <c r="H8" s="103">
        <v>45744</v>
      </c>
      <c r="J8" s="105"/>
      <c r="K8" s="99"/>
      <c r="M8" s="103">
        <v>45747</v>
      </c>
      <c r="N8" s="103" t="s">
        <v>285</v>
      </c>
      <c r="P8" s="105"/>
      <c r="Q8" s="99"/>
      <c r="S8" s="102" t="s">
        <v>285</v>
      </c>
      <c r="T8" s="103" t="s">
        <v>285</v>
      </c>
    </row>
    <row r="9" spans="1:47" x14ac:dyDescent="0.3">
      <c r="B9" s="101" t="s">
        <v>1093</v>
      </c>
      <c r="D9" s="88"/>
      <c r="J9" s="88"/>
      <c r="P9" s="88"/>
    </row>
    <row r="10" spans="1:47" x14ac:dyDescent="0.3">
      <c r="B10" s="221" t="s">
        <v>1094</v>
      </c>
      <c r="D10" s="125" t="s">
        <v>5</v>
      </c>
      <c r="E10" s="126"/>
      <c r="F10" s="126"/>
      <c r="G10" s="126"/>
      <c r="H10" s="127"/>
      <c r="J10" s="108" t="s">
        <v>5</v>
      </c>
      <c r="K10" s="89"/>
      <c r="L10" s="89"/>
      <c r="M10" s="89"/>
      <c r="N10" s="90"/>
      <c r="P10" s="108" t="s">
        <v>5</v>
      </c>
      <c r="Q10" s="89"/>
      <c r="R10" s="89"/>
      <c r="S10" s="89"/>
      <c r="T10" s="90"/>
    </row>
    <row r="11" spans="1:47" ht="22.95" customHeight="1" x14ac:dyDescent="0.3">
      <c r="B11" s="221"/>
      <c r="D11" s="215" t="s">
        <v>1130</v>
      </c>
      <c r="E11" s="216"/>
      <c r="F11" s="216"/>
      <c r="G11" s="216"/>
      <c r="H11" s="217"/>
      <c r="J11" s="225" t="s">
        <v>1150</v>
      </c>
      <c r="K11" s="226"/>
      <c r="L11" s="226"/>
      <c r="M11" s="226"/>
      <c r="N11" s="227"/>
      <c r="P11" s="110"/>
      <c r="Q11" s="92"/>
      <c r="R11" s="92"/>
      <c r="S11" s="92"/>
      <c r="T11" s="93"/>
      <c r="Y11" s="1"/>
    </row>
    <row r="12" spans="1:47" x14ac:dyDescent="0.3">
      <c r="B12" s="221"/>
      <c r="D12" s="215"/>
      <c r="E12" s="216"/>
      <c r="F12" s="216"/>
      <c r="G12" s="216"/>
      <c r="H12" s="217"/>
      <c r="J12" s="225"/>
      <c r="K12" s="226"/>
      <c r="L12" s="226"/>
      <c r="M12" s="226"/>
      <c r="N12" s="227"/>
      <c r="P12" s="109"/>
      <c r="Q12" s="92"/>
      <c r="R12" s="92"/>
      <c r="S12" s="92"/>
      <c r="T12" s="93"/>
      <c r="Y12" s="1"/>
    </row>
    <row r="13" spans="1:47" x14ac:dyDescent="0.3">
      <c r="B13" s="221"/>
      <c r="D13" s="215"/>
      <c r="E13" s="216"/>
      <c r="F13" s="216"/>
      <c r="G13" s="216"/>
      <c r="H13" s="217"/>
      <c r="J13" s="225"/>
      <c r="K13" s="226"/>
      <c r="L13" s="226"/>
      <c r="M13" s="226"/>
      <c r="N13" s="227"/>
      <c r="P13" s="109"/>
      <c r="Q13" s="92"/>
      <c r="R13" s="92"/>
      <c r="S13" s="92"/>
      <c r="T13" s="93"/>
      <c r="Y13" s="1"/>
    </row>
    <row r="14" spans="1:47" ht="13.95" customHeight="1" x14ac:dyDescent="0.3">
      <c r="B14" s="221"/>
      <c r="D14" s="215"/>
      <c r="E14" s="216"/>
      <c r="F14" s="216"/>
      <c r="G14" s="216"/>
      <c r="H14" s="217"/>
      <c r="J14" s="225"/>
      <c r="K14" s="226"/>
      <c r="L14" s="226"/>
      <c r="M14" s="226"/>
      <c r="N14" s="227"/>
      <c r="P14" s="109"/>
      <c r="Q14" s="92"/>
      <c r="R14" s="92"/>
      <c r="S14" s="92"/>
      <c r="T14" s="93"/>
      <c r="Y14" s="1"/>
    </row>
    <row r="15" spans="1:47" x14ac:dyDescent="0.3">
      <c r="B15" s="221"/>
      <c r="D15" s="128" t="s">
        <v>138</v>
      </c>
      <c r="E15" s="35"/>
      <c r="F15" s="35"/>
      <c r="G15" s="35"/>
      <c r="H15" s="129"/>
      <c r="J15" s="110" t="s">
        <v>138</v>
      </c>
      <c r="K15" s="92"/>
      <c r="L15" s="92"/>
      <c r="M15" s="92"/>
      <c r="N15" s="93"/>
      <c r="P15" s="110" t="s">
        <v>138</v>
      </c>
      <c r="Q15" s="92"/>
      <c r="R15" s="92"/>
      <c r="S15" s="92"/>
      <c r="T15" s="93"/>
      <c r="Y15" s="1"/>
    </row>
    <row r="16" spans="1:47" x14ac:dyDescent="0.3">
      <c r="B16" s="221"/>
      <c r="D16" s="218" t="s">
        <v>1127</v>
      </c>
      <c r="E16" s="219"/>
      <c r="F16" s="219"/>
      <c r="G16" s="219"/>
      <c r="H16" s="220"/>
      <c r="J16" s="109"/>
      <c r="K16" s="92"/>
      <c r="L16" s="92"/>
      <c r="M16" s="92"/>
      <c r="N16" s="93"/>
      <c r="P16" s="109"/>
      <c r="Q16" s="92"/>
      <c r="R16" s="92"/>
      <c r="S16" s="92"/>
      <c r="T16" s="93"/>
      <c r="Y16" s="1"/>
    </row>
    <row r="17" spans="2:25" x14ac:dyDescent="0.3">
      <c r="B17" s="221"/>
      <c r="D17" s="218"/>
      <c r="E17" s="219"/>
      <c r="F17" s="219"/>
      <c r="G17" s="219"/>
      <c r="H17" s="220"/>
      <c r="J17" s="109"/>
      <c r="K17" s="92"/>
      <c r="L17" s="92"/>
      <c r="M17" s="92"/>
      <c r="N17" s="93"/>
      <c r="P17" s="109"/>
      <c r="Q17" s="92"/>
      <c r="R17" s="92"/>
      <c r="S17" s="92"/>
      <c r="T17" s="93"/>
      <c r="Y17" s="1"/>
    </row>
    <row r="18" spans="2:25" x14ac:dyDescent="0.3">
      <c r="B18" s="221"/>
      <c r="D18" s="130"/>
      <c r="E18" s="35"/>
      <c r="F18" s="35"/>
      <c r="G18" s="35"/>
      <c r="H18" s="129"/>
      <c r="J18" s="109"/>
      <c r="K18" s="92"/>
      <c r="L18" s="92"/>
      <c r="M18" s="92"/>
      <c r="N18" s="93"/>
      <c r="P18" s="109"/>
      <c r="Q18" s="92"/>
      <c r="R18" s="92"/>
      <c r="S18" s="92"/>
      <c r="T18" s="93"/>
      <c r="Y18" s="1"/>
    </row>
    <row r="19" spans="2:25" x14ac:dyDescent="0.3">
      <c r="B19" s="221"/>
      <c r="D19" s="128" t="s">
        <v>1095</v>
      </c>
      <c r="E19" s="35"/>
      <c r="F19" s="35"/>
      <c r="G19" s="35"/>
      <c r="H19" s="129"/>
      <c r="J19" s="110" t="s">
        <v>1095</v>
      </c>
      <c r="K19" s="92"/>
      <c r="L19" s="92"/>
      <c r="M19" s="92"/>
      <c r="N19" s="93"/>
      <c r="P19" s="110" t="s">
        <v>1095</v>
      </c>
      <c r="Q19" s="92"/>
      <c r="R19" s="92"/>
      <c r="S19" s="92"/>
      <c r="T19" s="93"/>
      <c r="Y19" s="1"/>
    </row>
    <row r="20" spans="2:25" ht="55.95" customHeight="1" x14ac:dyDescent="0.3">
      <c r="B20" s="221"/>
      <c r="D20" s="218" t="s">
        <v>1129</v>
      </c>
      <c r="E20" s="219"/>
      <c r="F20" s="219"/>
      <c r="G20" s="219"/>
      <c r="H20" s="220"/>
      <c r="J20" s="109"/>
      <c r="K20" s="92"/>
      <c r="L20" s="92"/>
      <c r="M20" s="92"/>
      <c r="N20" s="93"/>
      <c r="P20" s="109"/>
      <c r="Q20" s="92"/>
      <c r="R20" s="92"/>
      <c r="S20" s="92"/>
      <c r="T20" s="93"/>
      <c r="Y20" s="1"/>
    </row>
    <row r="21" spans="2:25" ht="77.400000000000006" customHeight="1" x14ac:dyDescent="0.3">
      <c r="B21" s="221"/>
      <c r="D21" s="218"/>
      <c r="E21" s="219"/>
      <c r="F21" s="219"/>
      <c r="G21" s="219"/>
      <c r="H21" s="220"/>
      <c r="J21" s="109"/>
      <c r="K21" s="92"/>
      <c r="L21" s="92"/>
      <c r="M21" s="92"/>
      <c r="N21" s="93"/>
      <c r="P21" s="109"/>
      <c r="Q21" s="92"/>
      <c r="R21" s="92"/>
      <c r="S21" s="92"/>
      <c r="T21" s="93"/>
      <c r="Y21" s="1"/>
    </row>
    <row r="22" spans="2:25" x14ac:dyDescent="0.3">
      <c r="B22" s="221"/>
      <c r="D22" s="130"/>
      <c r="E22" s="35"/>
      <c r="F22" s="35"/>
      <c r="G22" s="35"/>
      <c r="H22" s="129"/>
      <c r="J22" s="109"/>
      <c r="K22" s="92"/>
      <c r="L22" s="92"/>
      <c r="M22" s="92"/>
      <c r="N22" s="93"/>
      <c r="P22" s="109"/>
      <c r="Q22" s="92"/>
      <c r="R22" s="92"/>
      <c r="S22" s="92"/>
      <c r="T22" s="93"/>
      <c r="Y22" s="1"/>
    </row>
    <row r="23" spans="2:25" x14ac:dyDescent="0.3">
      <c r="B23" s="221"/>
      <c r="D23" s="128" t="s">
        <v>1096</v>
      </c>
      <c r="E23" s="35"/>
      <c r="F23" s="35"/>
      <c r="G23" s="35"/>
      <c r="H23" s="129"/>
      <c r="J23" s="110" t="s">
        <v>1096</v>
      </c>
      <c r="K23" s="92"/>
      <c r="L23" s="92"/>
      <c r="M23" s="92"/>
      <c r="N23" s="93"/>
      <c r="P23" s="110" t="s">
        <v>1096</v>
      </c>
      <c r="Q23" s="92"/>
      <c r="R23" s="92"/>
      <c r="S23" s="92"/>
      <c r="T23" s="93"/>
      <c r="Y23" s="1"/>
    </row>
    <row r="24" spans="2:25" ht="17.399999999999999" customHeight="1" x14ac:dyDescent="0.3">
      <c r="B24" s="221"/>
      <c r="D24" s="137" t="s">
        <v>1128</v>
      </c>
      <c r="E24" s="135"/>
      <c r="F24" s="135"/>
      <c r="G24" s="135"/>
      <c r="H24" s="136"/>
      <c r="J24" s="109"/>
      <c r="K24" s="92"/>
      <c r="L24" s="92"/>
      <c r="M24" s="92"/>
      <c r="N24" s="93"/>
      <c r="P24" s="109"/>
      <c r="Q24" s="92"/>
      <c r="R24" s="92"/>
      <c r="S24" s="92"/>
      <c r="T24" s="93"/>
      <c r="Y24" s="1"/>
    </row>
    <row r="25" spans="2:25" x14ac:dyDescent="0.3">
      <c r="B25" s="221"/>
      <c r="D25" s="131"/>
      <c r="E25" s="35"/>
      <c r="F25" s="35"/>
      <c r="G25" s="35"/>
      <c r="H25" s="129"/>
      <c r="J25" s="109"/>
      <c r="K25" s="92"/>
      <c r="L25" s="92"/>
      <c r="M25" s="92"/>
      <c r="N25" s="93"/>
      <c r="P25" s="109"/>
      <c r="Q25" s="92"/>
      <c r="R25" s="92"/>
      <c r="S25" s="92"/>
      <c r="T25" s="93"/>
      <c r="Y25" s="1"/>
    </row>
    <row r="26" spans="2:25" x14ac:dyDescent="0.3">
      <c r="B26" s="221"/>
      <c r="D26" s="128" t="s">
        <v>1097</v>
      </c>
      <c r="E26" s="35"/>
      <c r="F26" s="35"/>
      <c r="G26" s="35"/>
      <c r="H26" s="129"/>
      <c r="J26" s="110" t="s">
        <v>1097</v>
      </c>
      <c r="K26" s="92"/>
      <c r="L26" s="92"/>
      <c r="M26" s="92"/>
      <c r="N26" s="93"/>
      <c r="P26" s="110" t="s">
        <v>1097</v>
      </c>
      <c r="Q26" s="92"/>
      <c r="R26" s="92"/>
      <c r="S26" s="92"/>
      <c r="T26" s="93"/>
      <c r="Y26" s="1"/>
    </row>
    <row r="27" spans="2:25" x14ac:dyDescent="0.3">
      <c r="B27" s="221"/>
      <c r="D27" s="131" t="s">
        <v>285</v>
      </c>
      <c r="E27" s="35"/>
      <c r="F27" s="35"/>
      <c r="G27" s="35"/>
      <c r="H27" s="129"/>
      <c r="J27" s="91"/>
      <c r="K27" s="92"/>
      <c r="L27" s="92"/>
      <c r="M27" s="92"/>
      <c r="N27" s="93"/>
      <c r="P27" s="91"/>
      <c r="Q27" s="92"/>
      <c r="R27" s="92"/>
      <c r="S27" s="92"/>
      <c r="T27" s="93"/>
      <c r="Y27" s="1"/>
    </row>
    <row r="28" spans="2:25" x14ac:dyDescent="0.3">
      <c r="B28" s="221"/>
      <c r="D28" s="131"/>
      <c r="E28" s="35"/>
      <c r="F28" s="35"/>
      <c r="G28" s="35"/>
      <c r="H28" s="129"/>
      <c r="J28" s="91"/>
      <c r="K28" s="92"/>
      <c r="L28" s="92"/>
      <c r="M28" s="92"/>
      <c r="N28" s="93"/>
      <c r="P28" s="91"/>
      <c r="Q28" s="92"/>
      <c r="R28" s="92"/>
      <c r="S28" s="92"/>
      <c r="T28" s="93"/>
      <c r="Y28" s="1"/>
    </row>
    <row r="29" spans="2:25" x14ac:dyDescent="0.3">
      <c r="B29" s="221"/>
      <c r="D29" s="131"/>
      <c r="E29" s="35"/>
      <c r="F29" s="35"/>
      <c r="G29" s="35"/>
      <c r="H29" s="129"/>
      <c r="J29" s="91"/>
      <c r="K29" s="92"/>
      <c r="L29" s="92"/>
      <c r="M29" s="92"/>
      <c r="N29" s="93"/>
      <c r="P29" s="91"/>
      <c r="Q29" s="92"/>
      <c r="R29" s="92"/>
      <c r="S29" s="92"/>
      <c r="T29" s="93"/>
      <c r="Y29" s="1"/>
    </row>
    <row r="30" spans="2:25" x14ac:dyDescent="0.3">
      <c r="B30" s="221"/>
      <c r="D30" s="132"/>
      <c r="E30" s="133"/>
      <c r="F30" s="133"/>
      <c r="G30" s="133"/>
      <c r="H30" s="134"/>
      <c r="J30" s="94"/>
      <c r="K30" s="95"/>
      <c r="L30" s="95"/>
      <c r="M30" s="95"/>
      <c r="N30" s="96"/>
      <c r="P30" s="94"/>
      <c r="Q30" s="95"/>
      <c r="R30" s="95"/>
      <c r="S30" s="95"/>
      <c r="T30" s="96"/>
      <c r="Y30" s="1"/>
    </row>
    <row r="31" spans="2:25" x14ac:dyDescent="0.3">
      <c r="Y31" s="1"/>
    </row>
    <row r="32" spans="2:25" x14ac:dyDescent="0.3">
      <c r="Y32" s="1"/>
    </row>
    <row r="33" spans="2:25" x14ac:dyDescent="0.3">
      <c r="Y33" s="1"/>
    </row>
    <row r="34" spans="2:25" x14ac:dyDescent="0.3">
      <c r="D34" s="100" t="s">
        <v>1098</v>
      </c>
      <c r="E34" s="99"/>
      <c r="G34" s="113" t="s">
        <v>1090</v>
      </c>
      <c r="H34" s="113" t="s">
        <v>1091</v>
      </c>
      <c r="J34" s="100" t="s">
        <v>1089</v>
      </c>
      <c r="K34" s="99"/>
      <c r="M34" s="113" t="s">
        <v>1090</v>
      </c>
      <c r="N34" s="113" t="s">
        <v>1091</v>
      </c>
      <c r="O34" s="107"/>
      <c r="P34" s="100" t="s">
        <v>1092</v>
      </c>
      <c r="Q34" s="99"/>
      <c r="S34" s="113" t="s">
        <v>1090</v>
      </c>
      <c r="T34" s="113" t="s">
        <v>1091</v>
      </c>
      <c r="Y34" s="1"/>
    </row>
    <row r="35" spans="2:25" x14ac:dyDescent="0.3">
      <c r="D35" s="105"/>
      <c r="E35" s="99"/>
      <c r="G35" s="103">
        <v>45721</v>
      </c>
      <c r="H35" s="103">
        <v>45744</v>
      </c>
      <c r="J35" s="105"/>
      <c r="K35" s="99"/>
      <c r="M35" s="103">
        <v>45747</v>
      </c>
      <c r="N35" s="103" t="s">
        <v>285</v>
      </c>
      <c r="P35" s="105"/>
      <c r="Q35" s="99"/>
      <c r="S35" s="103" t="s">
        <v>285</v>
      </c>
      <c r="T35" s="103" t="s">
        <v>285</v>
      </c>
      <c r="Y35" s="1"/>
    </row>
    <row r="36" spans="2:25" ht="14.4" customHeight="1" x14ac:dyDescent="0.3">
      <c r="B36" s="101" t="s">
        <v>1093</v>
      </c>
      <c r="D36" s="88"/>
      <c r="J36" s="88"/>
      <c r="P36" s="88"/>
      <c r="Y36" s="1"/>
    </row>
    <row r="37" spans="2:25" x14ac:dyDescent="0.3">
      <c r="B37" s="222" t="s">
        <v>1099</v>
      </c>
      <c r="D37" s="108" t="s">
        <v>5</v>
      </c>
      <c r="E37" s="89"/>
      <c r="F37" s="89"/>
      <c r="G37" s="89"/>
      <c r="H37" s="90"/>
      <c r="J37" s="125" t="s">
        <v>5</v>
      </c>
      <c r="K37" s="126"/>
      <c r="L37" s="126"/>
      <c r="M37" s="126"/>
      <c r="N37" s="127"/>
      <c r="P37" s="108" t="s">
        <v>5</v>
      </c>
      <c r="Q37" s="89"/>
      <c r="R37" s="89"/>
      <c r="S37" s="89"/>
      <c r="T37" s="90"/>
      <c r="Y37" s="1"/>
    </row>
    <row r="38" spans="2:25" x14ac:dyDescent="0.3">
      <c r="B38" s="223"/>
      <c r="D38" s="110"/>
      <c r="E38" s="92"/>
      <c r="F38" s="92"/>
      <c r="G38" s="92"/>
      <c r="H38" s="93"/>
      <c r="J38" s="215" t="s">
        <v>1130</v>
      </c>
      <c r="K38" s="216"/>
      <c r="L38" s="216"/>
      <c r="M38" s="216"/>
      <c r="N38" s="217"/>
      <c r="P38" s="109"/>
      <c r="Q38" s="92"/>
      <c r="R38" s="92"/>
      <c r="S38" s="92"/>
      <c r="T38" s="93"/>
      <c r="Y38" s="1"/>
    </row>
    <row r="39" spans="2:25" x14ac:dyDescent="0.3">
      <c r="B39" s="223"/>
      <c r="D39" s="109"/>
      <c r="E39" s="92"/>
      <c r="F39" s="92"/>
      <c r="G39" s="92"/>
      <c r="H39" s="93"/>
      <c r="J39" s="215"/>
      <c r="K39" s="216"/>
      <c r="L39" s="216"/>
      <c r="M39" s="216"/>
      <c r="N39" s="217"/>
      <c r="P39" s="109"/>
      <c r="Q39" s="92"/>
      <c r="R39" s="92"/>
      <c r="S39" s="92"/>
      <c r="T39" s="93"/>
      <c r="Y39" s="1"/>
    </row>
    <row r="40" spans="2:25" x14ac:dyDescent="0.3">
      <c r="B40" s="223"/>
      <c r="D40" s="109"/>
      <c r="E40" s="92"/>
      <c r="F40" s="92"/>
      <c r="G40" s="92"/>
      <c r="H40" s="93"/>
      <c r="J40" s="215"/>
      <c r="K40" s="216"/>
      <c r="L40" s="216"/>
      <c r="M40" s="216"/>
      <c r="N40" s="217"/>
      <c r="P40" s="109"/>
      <c r="Q40" s="92"/>
      <c r="R40" s="92"/>
      <c r="S40" s="92"/>
      <c r="T40" s="93"/>
      <c r="Y40" s="1"/>
    </row>
    <row r="41" spans="2:25" x14ac:dyDescent="0.3">
      <c r="B41" s="223"/>
      <c r="D41" s="109"/>
      <c r="E41" s="92"/>
      <c r="F41" s="92"/>
      <c r="G41" s="92"/>
      <c r="H41" s="93"/>
      <c r="J41" s="215"/>
      <c r="K41" s="216"/>
      <c r="L41" s="216"/>
      <c r="M41" s="216"/>
      <c r="N41" s="217"/>
      <c r="P41" s="110" t="s">
        <v>138</v>
      </c>
      <c r="Q41" s="92"/>
      <c r="R41" s="92"/>
      <c r="S41" s="92"/>
      <c r="T41" s="93"/>
      <c r="Y41" s="1"/>
    </row>
    <row r="42" spans="2:25" x14ac:dyDescent="0.3">
      <c r="B42" s="223"/>
      <c r="D42" s="110" t="s">
        <v>138</v>
      </c>
      <c r="E42" s="92"/>
      <c r="F42" s="92"/>
      <c r="G42" s="92"/>
      <c r="H42" s="93"/>
      <c r="J42" s="128" t="s">
        <v>138</v>
      </c>
      <c r="K42" s="35"/>
      <c r="L42" s="35"/>
      <c r="M42" s="35"/>
      <c r="N42" s="129"/>
      <c r="P42" s="110"/>
      <c r="Q42" s="92"/>
      <c r="R42" s="92"/>
      <c r="S42" s="92"/>
      <c r="T42" s="93"/>
      <c r="Y42" s="1"/>
    </row>
    <row r="43" spans="2:25" x14ac:dyDescent="0.3">
      <c r="B43" s="223"/>
      <c r="D43" s="109"/>
      <c r="E43" s="92"/>
      <c r="F43" s="92"/>
      <c r="G43" s="92"/>
      <c r="H43" s="93"/>
      <c r="J43" s="218" t="s">
        <v>1127</v>
      </c>
      <c r="K43" s="219"/>
      <c r="L43" s="219"/>
      <c r="M43" s="219"/>
      <c r="N43" s="220"/>
      <c r="P43" s="109"/>
      <c r="Q43" s="92"/>
      <c r="R43" s="92"/>
      <c r="S43" s="92"/>
      <c r="T43" s="93"/>
      <c r="Y43" s="1"/>
    </row>
    <row r="44" spans="2:25" x14ac:dyDescent="0.3">
      <c r="B44" s="223"/>
      <c r="D44" s="109"/>
      <c r="E44" s="92"/>
      <c r="F44" s="92"/>
      <c r="G44" s="92"/>
      <c r="H44" s="93"/>
      <c r="J44" s="218"/>
      <c r="K44" s="219"/>
      <c r="L44" s="219"/>
      <c r="M44" s="219"/>
      <c r="N44" s="220"/>
      <c r="P44" s="109"/>
      <c r="Q44" s="92"/>
      <c r="R44" s="92"/>
      <c r="S44" s="92"/>
      <c r="T44" s="93"/>
      <c r="Y44" s="1"/>
    </row>
    <row r="45" spans="2:25" x14ac:dyDescent="0.3">
      <c r="B45" s="223"/>
      <c r="D45" s="109"/>
      <c r="E45" s="92"/>
      <c r="F45" s="92"/>
      <c r="G45" s="92"/>
      <c r="H45" s="93"/>
      <c r="J45" s="130"/>
      <c r="K45" s="35"/>
      <c r="L45" s="35"/>
      <c r="M45" s="35"/>
      <c r="N45" s="129"/>
      <c r="P45" s="110" t="s">
        <v>1095</v>
      </c>
      <c r="Q45" s="92"/>
      <c r="R45" s="92"/>
      <c r="S45" s="92"/>
      <c r="T45" s="93"/>
      <c r="Y45" s="1"/>
    </row>
    <row r="46" spans="2:25" x14ac:dyDescent="0.3">
      <c r="B46" s="223"/>
      <c r="D46" s="110" t="s">
        <v>1095</v>
      </c>
      <c r="E46" s="92"/>
      <c r="F46" s="92"/>
      <c r="G46" s="92"/>
      <c r="H46" s="93"/>
      <c r="J46" s="128" t="s">
        <v>1095</v>
      </c>
      <c r="K46" s="35"/>
      <c r="L46" s="35"/>
      <c r="M46" s="35"/>
      <c r="N46" s="129"/>
      <c r="P46" s="109"/>
      <c r="Q46" s="92"/>
      <c r="R46" s="92"/>
      <c r="S46" s="92"/>
      <c r="T46" s="93"/>
      <c r="Y46" s="1"/>
    </row>
    <row r="47" spans="2:25" x14ac:dyDescent="0.3">
      <c r="B47" s="223"/>
      <c r="D47" s="109"/>
      <c r="E47" s="92"/>
      <c r="F47" s="92"/>
      <c r="G47" s="92"/>
      <c r="H47" s="93"/>
      <c r="J47" s="218" t="s">
        <v>1129</v>
      </c>
      <c r="K47" s="219"/>
      <c r="L47" s="219"/>
      <c r="M47" s="219"/>
      <c r="N47" s="220"/>
      <c r="P47" s="109"/>
      <c r="Q47" s="92"/>
      <c r="R47" s="92"/>
      <c r="S47" s="92"/>
      <c r="T47" s="93"/>
      <c r="Y47" s="1"/>
    </row>
    <row r="48" spans="2:25" ht="131.4" customHeight="1" x14ac:dyDescent="0.3">
      <c r="B48" s="223"/>
      <c r="D48" s="109"/>
      <c r="E48" s="92"/>
      <c r="F48" s="92"/>
      <c r="G48" s="92"/>
      <c r="H48" s="93"/>
      <c r="J48" s="218"/>
      <c r="K48" s="219"/>
      <c r="L48" s="219"/>
      <c r="M48" s="219"/>
      <c r="N48" s="220"/>
      <c r="P48" s="109"/>
      <c r="Q48" s="92"/>
      <c r="R48" s="92"/>
      <c r="S48" s="92"/>
      <c r="T48" s="93"/>
      <c r="Y48" s="1"/>
    </row>
    <row r="49" spans="2:25" x14ac:dyDescent="0.3">
      <c r="B49" s="223"/>
      <c r="D49" s="109"/>
      <c r="E49" s="92"/>
      <c r="F49" s="92"/>
      <c r="G49" s="92"/>
      <c r="H49" s="93"/>
      <c r="J49" s="130"/>
      <c r="K49" s="35"/>
      <c r="L49" s="35"/>
      <c r="M49" s="35"/>
      <c r="N49" s="129"/>
      <c r="P49" s="110" t="s">
        <v>1096</v>
      </c>
      <c r="Q49" s="92"/>
      <c r="R49" s="92"/>
      <c r="S49" s="92"/>
      <c r="T49" s="93"/>
      <c r="Y49" s="1"/>
    </row>
    <row r="50" spans="2:25" x14ac:dyDescent="0.3">
      <c r="B50" s="223"/>
      <c r="D50" s="110" t="s">
        <v>1096</v>
      </c>
      <c r="E50" s="92"/>
      <c r="F50" s="92"/>
      <c r="G50" s="92"/>
      <c r="H50" s="93"/>
      <c r="J50" s="128" t="s">
        <v>1096</v>
      </c>
      <c r="K50" s="35"/>
      <c r="L50" s="35"/>
      <c r="M50" s="35"/>
      <c r="N50" s="129"/>
      <c r="P50" s="109"/>
      <c r="Q50" s="92"/>
      <c r="R50" s="92"/>
      <c r="S50" s="92"/>
      <c r="T50" s="93"/>
      <c r="Y50" s="1"/>
    </row>
    <row r="51" spans="2:25" ht="23.4" customHeight="1" x14ac:dyDescent="0.3">
      <c r="B51" s="223"/>
      <c r="D51" s="91"/>
      <c r="E51" s="92"/>
      <c r="F51" s="92"/>
      <c r="G51" s="92"/>
      <c r="H51" s="93"/>
      <c r="J51" s="137" t="s">
        <v>1128</v>
      </c>
      <c r="K51" s="135"/>
      <c r="L51" s="135"/>
      <c r="M51" s="135"/>
      <c r="N51" s="136"/>
      <c r="P51" s="91"/>
      <c r="Q51" s="92"/>
      <c r="R51" s="92"/>
      <c r="S51" s="92"/>
      <c r="T51" s="93"/>
      <c r="Y51" s="1"/>
    </row>
    <row r="52" spans="2:25" x14ac:dyDescent="0.3">
      <c r="B52" s="223"/>
      <c r="D52" s="91"/>
      <c r="E52" s="92"/>
      <c r="F52" s="92"/>
      <c r="G52" s="92"/>
      <c r="H52" s="93"/>
      <c r="J52" s="131"/>
      <c r="K52" s="35"/>
      <c r="L52" s="35"/>
      <c r="M52" s="35"/>
      <c r="N52" s="129"/>
      <c r="P52" s="91"/>
      <c r="Q52" s="92"/>
      <c r="R52" s="92"/>
      <c r="S52" s="92"/>
      <c r="T52" s="93"/>
      <c r="Y52" s="1"/>
    </row>
    <row r="53" spans="2:25" x14ac:dyDescent="0.3">
      <c r="B53" s="223"/>
      <c r="D53" s="91"/>
      <c r="E53" s="92"/>
      <c r="F53" s="92"/>
      <c r="G53" s="92"/>
      <c r="H53" s="93"/>
      <c r="J53" s="128" t="s">
        <v>1097</v>
      </c>
      <c r="K53" s="35"/>
      <c r="L53" s="35"/>
      <c r="M53" s="35"/>
      <c r="N53" s="129"/>
      <c r="P53" s="91"/>
      <c r="Q53" s="92"/>
      <c r="R53" s="92"/>
      <c r="S53" s="92"/>
      <c r="T53" s="93"/>
      <c r="Y53" s="1"/>
    </row>
    <row r="54" spans="2:25" x14ac:dyDescent="0.3">
      <c r="B54" s="223"/>
      <c r="D54" s="110" t="s">
        <v>1097</v>
      </c>
      <c r="E54" s="92"/>
      <c r="F54" s="92"/>
      <c r="G54" s="92"/>
      <c r="H54" s="93"/>
      <c r="J54" s="131" t="s">
        <v>285</v>
      </c>
      <c r="K54" s="35"/>
      <c r="L54" s="35"/>
      <c r="M54" s="35"/>
      <c r="N54" s="129"/>
      <c r="P54" s="110" t="s">
        <v>1097</v>
      </c>
      <c r="Q54" s="92"/>
      <c r="R54" s="92"/>
      <c r="S54" s="92"/>
      <c r="T54" s="93"/>
      <c r="Y54" s="1"/>
    </row>
    <row r="55" spans="2:25" x14ac:dyDescent="0.3">
      <c r="B55" s="223"/>
      <c r="D55" s="91"/>
      <c r="E55" s="92"/>
      <c r="F55" s="92"/>
      <c r="G55" s="92"/>
      <c r="H55" s="93"/>
      <c r="J55" s="131"/>
      <c r="K55" s="35"/>
      <c r="L55" s="35"/>
      <c r="M55" s="35"/>
      <c r="N55" s="129"/>
      <c r="P55" s="91"/>
      <c r="Q55" s="92"/>
      <c r="R55" s="92"/>
      <c r="S55" s="92"/>
      <c r="T55" s="93"/>
      <c r="Y55" s="1"/>
    </row>
    <row r="56" spans="2:25" x14ac:dyDescent="0.3">
      <c r="B56" s="223"/>
      <c r="D56" s="91"/>
      <c r="E56" s="92"/>
      <c r="F56" s="92"/>
      <c r="G56" s="92"/>
      <c r="H56" s="93"/>
      <c r="J56" s="131"/>
      <c r="K56" s="35"/>
      <c r="L56" s="35"/>
      <c r="M56" s="35"/>
      <c r="N56" s="129"/>
      <c r="P56" s="91"/>
      <c r="Q56" s="92"/>
      <c r="R56" s="92"/>
      <c r="S56" s="92"/>
      <c r="T56" s="93"/>
      <c r="Y56" s="1"/>
    </row>
    <row r="57" spans="2:25" x14ac:dyDescent="0.3">
      <c r="B57" s="223"/>
      <c r="D57" s="91"/>
      <c r="E57" s="92"/>
      <c r="F57" s="92"/>
      <c r="G57" s="92"/>
      <c r="H57" s="93"/>
      <c r="J57" s="132"/>
      <c r="K57" s="133"/>
      <c r="L57" s="133"/>
      <c r="M57" s="133"/>
      <c r="N57" s="134"/>
      <c r="P57" s="91"/>
      <c r="Q57" s="92"/>
      <c r="R57" s="92"/>
      <c r="S57" s="92"/>
      <c r="T57" s="93"/>
      <c r="Y57" s="1"/>
    </row>
    <row r="58" spans="2:25" x14ac:dyDescent="0.3">
      <c r="B58" s="224"/>
      <c r="D58" s="94"/>
      <c r="E58" s="95"/>
      <c r="F58" s="95"/>
      <c r="G58" s="95"/>
      <c r="H58" s="96"/>
      <c r="J58" s="94"/>
      <c r="K58" s="95"/>
      <c r="L58" s="95"/>
      <c r="M58" s="95"/>
      <c r="N58" s="96"/>
      <c r="P58" s="94"/>
      <c r="Q58" s="95"/>
      <c r="R58" s="95"/>
      <c r="S58" s="95"/>
      <c r="T58" s="96"/>
      <c r="Y58" s="1"/>
    </row>
    <row r="59" spans="2:25" x14ac:dyDescent="0.3">
      <c r="Y59" s="1"/>
    </row>
    <row r="60" spans="2:25" x14ac:dyDescent="0.3">
      <c r="Y60" s="1"/>
    </row>
    <row r="61" spans="2:25" x14ac:dyDescent="0.3">
      <c r="Y61" s="1"/>
    </row>
    <row r="62" spans="2:25" x14ac:dyDescent="0.3">
      <c r="Y62" s="1"/>
    </row>
    <row r="63" spans="2:25" x14ac:dyDescent="0.3">
      <c r="Y63" s="1"/>
    </row>
    <row r="64" spans="2:25" x14ac:dyDescent="0.3">
      <c r="Y64" s="1"/>
    </row>
    <row r="65" spans="2:25" x14ac:dyDescent="0.3">
      <c r="Y65" s="1"/>
    </row>
    <row r="66" spans="2:25" x14ac:dyDescent="0.3">
      <c r="Y66" s="1"/>
    </row>
    <row r="67" spans="2:25" x14ac:dyDescent="0.3">
      <c r="Y67" s="1"/>
    </row>
    <row r="68" spans="2:25" x14ac:dyDescent="0.3">
      <c r="Y68" s="1"/>
    </row>
    <row r="69" spans="2:25" x14ac:dyDescent="0.3">
      <c r="Y69" s="1"/>
    </row>
    <row r="70" spans="2:25" x14ac:dyDescent="0.3">
      <c r="Y70" s="1"/>
    </row>
    <row r="75" spans="2:25" x14ac:dyDescent="0.3">
      <c r="B75" s="97" t="s">
        <v>1100</v>
      </c>
      <c r="C75" s="98"/>
      <c r="D75" s="115">
        <v>45721</v>
      </c>
    </row>
    <row r="76" spans="2:25" x14ac:dyDescent="0.3">
      <c r="F76" s="214" t="s">
        <v>1101</v>
      </c>
      <c r="G76" s="214"/>
      <c r="H76" s="214"/>
    </row>
    <row r="77" spans="2:25" x14ac:dyDescent="0.3">
      <c r="B77" s="118" t="s">
        <v>1102</v>
      </c>
      <c r="C77" s="119" t="s">
        <v>597</v>
      </c>
      <c r="D77" s="118" t="s">
        <v>1103</v>
      </c>
      <c r="E77" s="118" t="s">
        <v>969</v>
      </c>
      <c r="F77" s="118" t="s">
        <v>1104</v>
      </c>
      <c r="G77" s="118" t="s">
        <v>1105</v>
      </c>
      <c r="H77" s="118" t="s">
        <v>1106</v>
      </c>
    </row>
    <row r="78" spans="2:25" hidden="1" x14ac:dyDescent="0.3">
      <c r="B78" s="120">
        <v>1</v>
      </c>
      <c r="C78" s="114" t="s">
        <v>1112</v>
      </c>
      <c r="D78" s="121" t="s">
        <v>1108</v>
      </c>
      <c r="E78" s="122" t="s">
        <v>5</v>
      </c>
      <c r="F78" s="122" t="s">
        <v>130</v>
      </c>
      <c r="G78" s="122" t="s">
        <v>130</v>
      </c>
      <c r="H78" s="124" t="s">
        <v>1113</v>
      </c>
    </row>
    <row r="79" spans="2:25" hidden="1" x14ac:dyDescent="0.3">
      <c r="B79" s="120">
        <v>1</v>
      </c>
      <c r="C79" s="114" t="s">
        <v>1114</v>
      </c>
      <c r="D79" s="121" t="s">
        <v>1108</v>
      </c>
      <c r="E79" s="122" t="s">
        <v>5</v>
      </c>
      <c r="F79" s="122" t="s">
        <v>130</v>
      </c>
      <c r="G79" s="122" t="s">
        <v>130</v>
      </c>
      <c r="H79" s="124" t="s">
        <v>1113</v>
      </c>
    </row>
    <row r="80" spans="2:25" hidden="1" x14ac:dyDescent="0.3">
      <c r="B80" s="120">
        <v>1</v>
      </c>
      <c r="C80" s="114" t="s">
        <v>1107</v>
      </c>
      <c r="D80" s="121" t="s">
        <v>1108</v>
      </c>
      <c r="E80" s="122" t="s">
        <v>5</v>
      </c>
      <c r="F80" s="122" t="s">
        <v>130</v>
      </c>
      <c r="G80" s="122" t="s">
        <v>149</v>
      </c>
      <c r="H80" s="122" t="s">
        <v>1109</v>
      </c>
    </row>
    <row r="81" spans="2:8" hidden="1" x14ac:dyDescent="0.3">
      <c r="B81" s="120">
        <v>1</v>
      </c>
      <c r="C81" s="114" t="s">
        <v>1115</v>
      </c>
      <c r="D81" s="121" t="s">
        <v>1108</v>
      </c>
      <c r="E81" s="122" t="s">
        <v>5</v>
      </c>
      <c r="F81" s="122" t="s">
        <v>130</v>
      </c>
      <c r="G81" s="122" t="s">
        <v>149</v>
      </c>
      <c r="H81" s="122" t="s">
        <v>1109</v>
      </c>
    </row>
    <row r="82" spans="2:8" hidden="1" x14ac:dyDescent="0.3">
      <c r="B82" s="120">
        <v>1</v>
      </c>
      <c r="C82" s="114" t="s">
        <v>1120</v>
      </c>
      <c r="D82" s="121" t="s">
        <v>1108</v>
      </c>
      <c r="E82" s="122" t="s">
        <v>5</v>
      </c>
      <c r="F82" s="122" t="s">
        <v>130</v>
      </c>
      <c r="G82" s="122" t="s">
        <v>149</v>
      </c>
      <c r="H82" s="122" t="s">
        <v>1109</v>
      </c>
    </row>
    <row r="83" spans="2:8" hidden="1" x14ac:dyDescent="0.3">
      <c r="B83" s="120">
        <v>1</v>
      </c>
      <c r="C83" s="114" t="s">
        <v>1117</v>
      </c>
      <c r="D83" s="121" t="s">
        <v>1108</v>
      </c>
      <c r="E83" s="122" t="s">
        <v>5</v>
      </c>
      <c r="F83" s="122" t="s">
        <v>149</v>
      </c>
      <c r="G83" s="122" t="s">
        <v>130</v>
      </c>
      <c r="H83" s="122" t="s">
        <v>1118</v>
      </c>
    </row>
    <row r="84" spans="2:8" hidden="1" x14ac:dyDescent="0.3">
      <c r="B84" s="120">
        <v>1</v>
      </c>
      <c r="C84" s="114" t="s">
        <v>1119</v>
      </c>
      <c r="D84" s="121" t="s">
        <v>1108</v>
      </c>
      <c r="E84" s="122" t="s">
        <v>5</v>
      </c>
      <c r="F84" s="122" t="s">
        <v>149</v>
      </c>
      <c r="G84" s="122" t="s">
        <v>130</v>
      </c>
      <c r="H84" s="122" t="s">
        <v>1118</v>
      </c>
    </row>
    <row r="85" spans="2:8" hidden="1" x14ac:dyDescent="0.3">
      <c r="B85" s="120">
        <v>1</v>
      </c>
      <c r="C85" s="114" t="s">
        <v>1123</v>
      </c>
      <c r="D85" s="121" t="s">
        <v>1108</v>
      </c>
      <c r="E85" s="122" t="s">
        <v>5</v>
      </c>
      <c r="F85" s="122" t="s">
        <v>149</v>
      </c>
      <c r="G85" s="122" t="s">
        <v>130</v>
      </c>
      <c r="H85" s="122" t="s">
        <v>1118</v>
      </c>
    </row>
    <row r="86" spans="2:8" hidden="1" x14ac:dyDescent="0.3">
      <c r="B86" s="120">
        <v>1</v>
      </c>
      <c r="C86" s="114" t="s">
        <v>1124</v>
      </c>
      <c r="D86" s="121" t="s">
        <v>1108</v>
      </c>
      <c r="E86" s="122" t="s">
        <v>5</v>
      </c>
      <c r="F86" s="122" t="s">
        <v>149</v>
      </c>
      <c r="G86" s="122" t="s">
        <v>130</v>
      </c>
      <c r="H86" s="122" t="s">
        <v>1125</v>
      </c>
    </row>
    <row r="87" spans="2:8" ht="31.2" hidden="1" x14ac:dyDescent="0.3">
      <c r="B87" s="120">
        <v>1</v>
      </c>
      <c r="C87" s="114" t="s">
        <v>1110</v>
      </c>
      <c r="D87" s="121" t="s">
        <v>1108</v>
      </c>
      <c r="E87" s="122" t="s">
        <v>5</v>
      </c>
      <c r="F87" s="122" t="s">
        <v>149</v>
      </c>
      <c r="G87" s="122" t="s">
        <v>149</v>
      </c>
      <c r="H87" s="123" t="s">
        <v>1126</v>
      </c>
    </row>
    <row r="88" spans="2:8" ht="31.2" hidden="1" x14ac:dyDescent="0.3">
      <c r="B88" s="120">
        <v>1</v>
      </c>
      <c r="C88" s="114" t="s">
        <v>1111</v>
      </c>
      <c r="D88" s="121" t="s">
        <v>1108</v>
      </c>
      <c r="E88" s="122" t="s">
        <v>5</v>
      </c>
      <c r="F88" s="122" t="s">
        <v>149</v>
      </c>
      <c r="G88" s="122" t="s">
        <v>149</v>
      </c>
      <c r="H88" s="123" t="s">
        <v>1126</v>
      </c>
    </row>
    <row r="89" spans="2:8" ht="31.2" hidden="1" x14ac:dyDescent="0.3">
      <c r="B89" s="120">
        <v>1</v>
      </c>
      <c r="C89" s="114" t="s">
        <v>1116</v>
      </c>
      <c r="D89" s="121" t="s">
        <v>1108</v>
      </c>
      <c r="E89" s="122" t="s">
        <v>5</v>
      </c>
      <c r="F89" s="122" t="s">
        <v>149</v>
      </c>
      <c r="G89" s="122" t="s">
        <v>149</v>
      </c>
      <c r="H89" s="123" t="s">
        <v>1126</v>
      </c>
    </row>
    <row r="90" spans="2:8" ht="31.2" hidden="1" x14ac:dyDescent="0.3">
      <c r="B90" s="120">
        <v>1</v>
      </c>
      <c r="C90" s="114" t="s">
        <v>1121</v>
      </c>
      <c r="D90" s="121" t="s">
        <v>1108</v>
      </c>
      <c r="E90" s="122" t="s">
        <v>5</v>
      </c>
      <c r="F90" s="122" t="s">
        <v>149</v>
      </c>
      <c r="G90" s="122" t="s">
        <v>149</v>
      </c>
      <c r="H90" s="123" t="s">
        <v>1126</v>
      </c>
    </row>
    <row r="91" spans="2:8" ht="31.2" hidden="1" x14ac:dyDescent="0.3">
      <c r="B91" s="120">
        <v>1</v>
      </c>
      <c r="C91" s="114" t="s">
        <v>1122</v>
      </c>
      <c r="D91" s="121" t="s">
        <v>1108</v>
      </c>
      <c r="E91" s="122" t="s">
        <v>5</v>
      </c>
      <c r="F91" s="122" t="s">
        <v>149</v>
      </c>
      <c r="G91" s="122" t="s">
        <v>149</v>
      </c>
      <c r="H91" s="123" t="s">
        <v>1126</v>
      </c>
    </row>
    <row r="92" spans="2:8" x14ac:dyDescent="0.3">
      <c r="B92" s="120">
        <v>2</v>
      </c>
      <c r="C92" s="114" t="s">
        <v>1107</v>
      </c>
      <c r="D92" s="121" t="s">
        <v>1108</v>
      </c>
      <c r="E92" s="122" t="s">
        <v>5</v>
      </c>
      <c r="F92" s="122" t="s">
        <v>130</v>
      </c>
      <c r="G92" s="122" t="s">
        <v>149</v>
      </c>
      <c r="H92" s="122" t="s">
        <v>1109</v>
      </c>
    </row>
    <row r="93" spans="2:8" x14ac:dyDescent="0.3">
      <c r="B93" s="120">
        <v>2</v>
      </c>
      <c r="C93" s="114" t="s">
        <v>1115</v>
      </c>
      <c r="D93" s="121" t="s">
        <v>1108</v>
      </c>
      <c r="E93" s="122" t="s">
        <v>5</v>
      </c>
      <c r="F93" s="122" t="s">
        <v>130</v>
      </c>
      <c r="G93" s="122" t="s">
        <v>149</v>
      </c>
      <c r="H93" s="122" t="s">
        <v>1109</v>
      </c>
    </row>
    <row r="94" spans="2:8" x14ac:dyDescent="0.3">
      <c r="B94" s="120">
        <v>2</v>
      </c>
      <c r="C94" s="114" t="s">
        <v>1120</v>
      </c>
      <c r="D94" s="121" t="s">
        <v>1108</v>
      </c>
      <c r="E94" s="122" t="s">
        <v>5</v>
      </c>
      <c r="F94" s="122" t="s">
        <v>130</v>
      </c>
      <c r="G94" s="122" t="s">
        <v>149</v>
      </c>
      <c r="H94" s="122" t="s">
        <v>1109</v>
      </c>
    </row>
    <row r="95" spans="2:8" x14ac:dyDescent="0.3">
      <c r="B95" s="120">
        <v>2</v>
      </c>
      <c r="C95" s="114" t="s">
        <v>1117</v>
      </c>
      <c r="D95" s="121" t="s">
        <v>1108</v>
      </c>
      <c r="E95" s="122" t="s">
        <v>5</v>
      </c>
      <c r="F95" s="122" t="s">
        <v>130</v>
      </c>
      <c r="G95" s="122" t="s">
        <v>130</v>
      </c>
      <c r="H95" s="122" t="s">
        <v>1113</v>
      </c>
    </row>
    <row r="96" spans="2:8" x14ac:dyDescent="0.3">
      <c r="B96" s="120">
        <v>2</v>
      </c>
      <c r="C96" s="114" t="s">
        <v>1119</v>
      </c>
      <c r="D96" s="121" t="s">
        <v>1108</v>
      </c>
      <c r="E96" s="122" t="s">
        <v>5</v>
      </c>
      <c r="F96" s="122" t="s">
        <v>130</v>
      </c>
      <c r="G96" s="122" t="s">
        <v>130</v>
      </c>
      <c r="H96" s="122" t="s">
        <v>1113</v>
      </c>
    </row>
    <row r="97" spans="2:8" x14ac:dyDescent="0.3">
      <c r="B97" s="120">
        <v>2</v>
      </c>
      <c r="C97" s="114" t="s">
        <v>1123</v>
      </c>
      <c r="D97" s="121" t="s">
        <v>1108</v>
      </c>
      <c r="E97" s="122" t="s">
        <v>5</v>
      </c>
      <c r="F97" s="122" t="s">
        <v>130</v>
      </c>
      <c r="G97" s="122" t="s">
        <v>149</v>
      </c>
      <c r="H97" s="122" t="s">
        <v>1109</v>
      </c>
    </row>
    <row r="98" spans="2:8" x14ac:dyDescent="0.3">
      <c r="B98" s="120">
        <v>2</v>
      </c>
      <c r="C98" s="114" t="s">
        <v>1124</v>
      </c>
      <c r="D98" s="121" t="s">
        <v>1108</v>
      </c>
      <c r="E98" s="122" t="s">
        <v>5</v>
      </c>
      <c r="F98" s="122" t="s">
        <v>149</v>
      </c>
      <c r="G98" s="122" t="s">
        <v>130</v>
      </c>
      <c r="H98" s="122" t="s">
        <v>1125</v>
      </c>
    </row>
    <row r="99" spans="2:8" x14ac:dyDescent="0.3">
      <c r="B99" s="120">
        <v>2</v>
      </c>
      <c r="C99" s="114" t="s">
        <v>1110</v>
      </c>
      <c r="D99" s="121" t="s">
        <v>1108</v>
      </c>
      <c r="E99" s="122" t="s">
        <v>5</v>
      </c>
      <c r="F99" s="122" t="s">
        <v>130</v>
      </c>
      <c r="G99" s="122" t="s">
        <v>130</v>
      </c>
      <c r="H99" s="124" t="s">
        <v>1113</v>
      </c>
    </row>
    <row r="100" spans="2:8" x14ac:dyDescent="0.3">
      <c r="B100" s="120">
        <v>2</v>
      </c>
      <c r="C100" s="114" t="s">
        <v>1111</v>
      </c>
      <c r="D100" s="121" t="s">
        <v>1108</v>
      </c>
      <c r="E100" s="122" t="s">
        <v>5</v>
      </c>
      <c r="F100" s="122" t="s">
        <v>130</v>
      </c>
      <c r="G100" s="122" t="s">
        <v>130</v>
      </c>
      <c r="H100" s="124" t="s">
        <v>1113</v>
      </c>
    </row>
    <row r="101" spans="2:8" ht="31.2" x14ac:dyDescent="0.3">
      <c r="B101" s="120">
        <v>2</v>
      </c>
      <c r="C101" s="114" t="s">
        <v>1116</v>
      </c>
      <c r="D101" s="121" t="s">
        <v>1108</v>
      </c>
      <c r="E101" s="122" t="s">
        <v>5</v>
      </c>
      <c r="F101" s="122" t="s">
        <v>130</v>
      </c>
      <c r="G101" s="122" t="s">
        <v>149</v>
      </c>
      <c r="H101" s="123" t="s">
        <v>1126</v>
      </c>
    </row>
    <row r="102" spans="2:8" ht="31.2" x14ac:dyDescent="0.3">
      <c r="B102" s="120">
        <v>2</v>
      </c>
      <c r="C102" s="114" t="s">
        <v>1121</v>
      </c>
      <c r="D102" s="121" t="s">
        <v>1108</v>
      </c>
      <c r="E102" s="122" t="s">
        <v>5</v>
      </c>
      <c r="F102" s="122" t="s">
        <v>130</v>
      </c>
      <c r="G102" s="122" t="s">
        <v>149</v>
      </c>
      <c r="H102" s="123" t="s">
        <v>1126</v>
      </c>
    </row>
    <row r="103" spans="2:8" ht="31.2" x14ac:dyDescent="0.3">
      <c r="B103" s="120">
        <v>2</v>
      </c>
      <c r="C103" s="114" t="s">
        <v>1122</v>
      </c>
      <c r="D103" s="121" t="s">
        <v>1108</v>
      </c>
      <c r="E103" s="122" t="s">
        <v>5</v>
      </c>
      <c r="F103" s="122" t="s">
        <v>130</v>
      </c>
      <c r="G103" s="122" t="s">
        <v>149</v>
      </c>
      <c r="H103" s="123" t="s">
        <v>1126</v>
      </c>
    </row>
  </sheetData>
  <autoFilter ref="B77:H103" xr:uid="{00000000-0009-0000-0000-000008000000}">
    <filterColumn colId="0">
      <filters>
        <filter val="2"/>
      </filters>
    </filterColumn>
  </autoFilter>
  <mergeCells count="10">
    <mergeCell ref="F76:H76"/>
    <mergeCell ref="J38:N41"/>
    <mergeCell ref="J43:N44"/>
    <mergeCell ref="J47:N48"/>
    <mergeCell ref="B10:B30"/>
    <mergeCell ref="B37:B58"/>
    <mergeCell ref="D11:H14"/>
    <mergeCell ref="D16:H17"/>
    <mergeCell ref="D20:H21"/>
    <mergeCell ref="J11:N14"/>
  </mergeCells>
  <conditionalFormatting sqref="F75:F86 F89:F103">
    <cfRule type="cellIs" dxfId="46" priority="20" operator="equal">
      <formula>"NOK"</formula>
    </cfRule>
  </conditionalFormatting>
  <conditionalFormatting sqref="F101:F103">
    <cfRule type="cellIs" dxfId="45" priority="8" operator="equal">
      <formula>"NOK"</formula>
    </cfRule>
  </conditionalFormatting>
  <conditionalFormatting sqref="F75:G103">
    <cfRule type="cellIs" dxfId="44" priority="7" operator="equal">
      <formula>"OK"</formula>
    </cfRule>
  </conditionalFormatting>
  <conditionalFormatting sqref="F99:G100">
    <cfRule type="cellIs" dxfId="43" priority="6" operator="equal">
      <formula>"NOK"</formula>
    </cfRule>
  </conditionalFormatting>
  <conditionalFormatting sqref="G75:G86 F87:G88 G100:G103">
    <cfRule type="cellIs" dxfId="42" priority="19" operator="equal">
      <formula>"NOK"</formula>
    </cfRule>
  </conditionalFormatting>
  <conditionalFormatting sqref="G80">
    <cfRule type="cellIs" dxfId="41" priority="17" operator="equal">
      <formula>"NOK"</formula>
    </cfRule>
  </conditionalFormatting>
  <conditionalFormatting sqref="G82:G86">
    <cfRule type="cellIs" dxfId="40" priority="14" operator="equal">
      <formula>"NOK"</formula>
    </cfRule>
    <cfRule type="cellIs" dxfId="39" priority="15" operator="equal">
      <formula>"NOK"</formula>
    </cfRule>
  </conditionalFormatting>
  <conditionalFormatting sqref="G85:G86">
    <cfRule type="cellIs" dxfId="38" priority="13" operator="equal">
      <formula>"NOK"</formula>
    </cfRule>
  </conditionalFormatting>
  <conditionalFormatting sqref="G88:G98">
    <cfRule type="cellIs" dxfId="37" priority="16" operator="equal">
      <formula>"NOK"</formula>
    </cfRule>
  </conditionalFormatting>
  <conditionalFormatting sqref="G92">
    <cfRule type="cellIs" dxfId="36" priority="12" operator="equal">
      <formula>"NOK"</formula>
    </cfRule>
  </conditionalFormatting>
  <conditionalFormatting sqref="G94:G98">
    <cfRule type="cellIs" dxfId="35" priority="10" operator="equal">
      <formula>"NOK"</formula>
    </cfRule>
    <cfRule type="cellIs" dxfId="34" priority="11" operator="equal">
      <formula>"NOK"</formula>
    </cfRule>
  </conditionalFormatting>
  <conditionalFormatting sqref="G97:G100">
    <cfRule type="cellIs" dxfId="33" priority="5" operator="equal">
      <formula>"NOK"</formula>
    </cfRule>
  </conditionalFormatting>
  <conditionalFormatting sqref="H95:H96">
    <cfRule type="cellIs" dxfId="32" priority="1" operator="equal">
      <formula>"NOK"</formula>
    </cfRule>
    <cfRule type="cellIs" dxfId="31" priority="2" operator="equal">
      <formula>"NOK"</formula>
    </cfRule>
    <cfRule type="cellIs" dxfId="30" priority="3" operator="equal">
      <formula>"OK"</formula>
    </cfRule>
    <cfRule type="cellIs" dxfId="29" priority="4" operator="equal">
      <formula>"NOK"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59"/>
  <sheetViews>
    <sheetView showGridLines="0" topLeftCell="A10" zoomScale="55" zoomScaleNormal="40" workbookViewId="0">
      <selection activeCell="H40" sqref="H40"/>
    </sheetView>
  </sheetViews>
  <sheetFormatPr defaultColWidth="8.88671875" defaultRowHeight="18" outlineLevelCol="1" x14ac:dyDescent="0.3"/>
  <cols>
    <col min="1" max="1" width="3.6640625" style="146" customWidth="1"/>
    <col min="2" max="2" width="54" style="145" bestFit="1" customWidth="1"/>
    <col min="3" max="3" width="27.5546875" style="145" customWidth="1"/>
    <col min="4" max="4" width="15.77734375" style="145" customWidth="1"/>
    <col min="5" max="5" width="38" style="145" bestFit="1" customWidth="1"/>
    <col min="6" max="6" width="30.6640625" style="145" customWidth="1"/>
    <col min="7" max="7" width="26.6640625" style="145" hidden="1" customWidth="1" outlineLevel="1"/>
    <col min="8" max="8" width="26" style="145" hidden="1" customWidth="1" outlineLevel="1"/>
    <col min="9" max="9" width="28.6640625" style="145" bestFit="1" customWidth="1" collapsed="1"/>
    <col min="10" max="10" width="28.6640625" style="145" customWidth="1"/>
    <col min="11" max="11" width="88.5546875" style="145" customWidth="1"/>
    <col min="12" max="12" width="49.6640625" style="145" customWidth="1"/>
    <col min="13" max="13" width="53.44140625" style="145" bestFit="1" customWidth="1"/>
    <col min="14" max="14" width="26.6640625" style="145" bestFit="1" customWidth="1"/>
    <col min="15" max="15" width="28.6640625" style="145" bestFit="1" customWidth="1"/>
    <col min="16" max="16" width="35.44140625" style="145" bestFit="1" customWidth="1"/>
    <col min="17" max="17" width="13.109375" style="145" bestFit="1" customWidth="1"/>
    <col min="18" max="18" width="12.6640625" style="145" customWidth="1"/>
    <col min="19" max="19" width="22.6640625" style="145" customWidth="1"/>
    <col min="20" max="20" width="32.33203125" style="145" customWidth="1"/>
    <col min="21" max="16384" width="8.88671875" style="145"/>
  </cols>
  <sheetData>
    <row r="1" spans="1:47" ht="48" customHeight="1" thickBot="1" x14ac:dyDescent="0.35">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row>
    <row r="2" spans="1:47" ht="18.600000000000001" thickTop="1" x14ac:dyDescent="0.3">
      <c r="A2" s="145"/>
    </row>
    <row r="3" spans="1:47" s="146" customFormat="1" x14ac:dyDescent="0.3">
      <c r="B3" s="142" t="s">
        <v>1153</v>
      </c>
      <c r="C3" s="141">
        <f ca="1">TODAY()</f>
        <v>45972</v>
      </c>
      <c r="M3" s="145"/>
    </row>
    <row r="4" spans="1:47" s="146" customFormat="1" x14ac:dyDescent="0.3">
      <c r="M4" s="145"/>
    </row>
    <row r="5" spans="1:47" s="146" customFormat="1" x14ac:dyDescent="0.3">
      <c r="B5" s="209" t="s">
        <v>1159</v>
      </c>
      <c r="C5" s="210"/>
      <c r="D5" s="211"/>
      <c r="M5" s="145"/>
    </row>
    <row r="6" spans="1:47" s="146" customFormat="1" x14ac:dyDescent="0.3">
      <c r="B6" s="143" t="s">
        <v>112</v>
      </c>
      <c r="C6" s="156" t="s">
        <v>22</v>
      </c>
      <c r="D6" s="156" t="s">
        <v>23</v>
      </c>
      <c r="M6" s="145"/>
    </row>
    <row r="7" spans="1:47" s="146" customFormat="1" x14ac:dyDescent="0.3">
      <c r="B7" s="157" t="s">
        <v>1154</v>
      </c>
      <c r="C7" s="140">
        <f>COUNTIFS(E16:E29,"NOK")</f>
        <v>1</v>
      </c>
      <c r="D7" s="155">
        <f>C7/$C$10</f>
        <v>7.1428571428571425E-2</v>
      </c>
      <c r="M7" s="145"/>
    </row>
    <row r="8" spans="1:47" s="146" customFormat="1" x14ac:dyDescent="0.3">
      <c r="B8" s="157" t="s">
        <v>1157</v>
      </c>
      <c r="C8" s="140">
        <f>COUNTIFS(E15:E28,"OK",F15:F28,"NOK")</f>
        <v>6</v>
      </c>
      <c r="D8" s="155">
        <f>C8/$C$10</f>
        <v>0.42857142857142855</v>
      </c>
      <c r="M8" s="145"/>
    </row>
    <row r="9" spans="1:47" s="146" customFormat="1" x14ac:dyDescent="0.3">
      <c r="B9" s="157" t="s">
        <v>1152</v>
      </c>
      <c r="C9" s="140">
        <f>COUNTIFS(E15:E28,"OK",F15:F28,"OK")</f>
        <v>7</v>
      </c>
      <c r="D9" s="155">
        <f>C9/$C$10</f>
        <v>0.5</v>
      </c>
      <c r="M9" s="145"/>
    </row>
    <row r="10" spans="1:47" x14ac:dyDescent="0.3">
      <c r="A10" s="145"/>
      <c r="B10" s="143" t="s">
        <v>1158</v>
      </c>
      <c r="C10" s="158">
        <f>COUNTA(B15:B28)</f>
        <v>14</v>
      </c>
      <c r="D10" s="156">
        <f>C10/$C$10</f>
        <v>1</v>
      </c>
    </row>
    <row r="11" spans="1:47" x14ac:dyDescent="0.3">
      <c r="A11" s="145"/>
      <c r="B11" s="147"/>
      <c r="C11" s="147"/>
      <c r="D11" s="147"/>
      <c r="E11" s="147"/>
    </row>
    <row r="12" spans="1:47" x14ac:dyDescent="0.3">
      <c r="B12" s="142" t="s">
        <v>1166</v>
      </c>
      <c r="C12" s="141">
        <v>45747</v>
      </c>
    </row>
    <row r="13" spans="1:47" x14ac:dyDescent="0.3">
      <c r="E13" s="212" t="s">
        <v>1155</v>
      </c>
      <c r="F13" s="213"/>
      <c r="G13" s="212" t="s">
        <v>1156</v>
      </c>
      <c r="H13" s="213"/>
    </row>
    <row r="14" spans="1:47" x14ac:dyDescent="0.3">
      <c r="B14" s="148" t="s">
        <v>597</v>
      </c>
      <c r="C14" s="139" t="s">
        <v>1103</v>
      </c>
      <c r="D14" s="139" t="s">
        <v>969</v>
      </c>
      <c r="E14" s="148" t="s">
        <v>1104</v>
      </c>
      <c r="F14" s="148" t="s">
        <v>1105</v>
      </c>
      <c r="G14" s="139" t="s">
        <v>1104</v>
      </c>
      <c r="H14" s="139" t="s">
        <v>1105</v>
      </c>
      <c r="I14" s="139" t="s">
        <v>1174</v>
      </c>
      <c r="J14" s="148" t="s">
        <v>1357</v>
      </c>
      <c r="K14" s="148" t="s">
        <v>1151</v>
      </c>
      <c r="L14" s="148" t="s">
        <v>1173</v>
      </c>
    </row>
    <row r="15" spans="1:47" x14ac:dyDescent="0.3">
      <c r="B15" s="149" t="s">
        <v>1112</v>
      </c>
      <c r="C15" s="150" t="s">
        <v>1108</v>
      </c>
      <c r="D15" s="161" t="s">
        <v>5</v>
      </c>
      <c r="E15" s="161" t="s">
        <v>130</v>
      </c>
      <c r="F15" s="161" t="s">
        <v>130</v>
      </c>
      <c r="G15" s="161" t="s">
        <v>130</v>
      </c>
      <c r="H15" s="161" t="s">
        <v>130</v>
      </c>
      <c r="I15" s="152" t="s">
        <v>1113</v>
      </c>
      <c r="J15" s="153" t="s">
        <v>1358</v>
      </c>
      <c r="K15" s="151" t="s">
        <v>285</v>
      </c>
      <c r="L15" s="151" t="s">
        <v>285</v>
      </c>
    </row>
    <row r="16" spans="1:47" x14ac:dyDescent="0.3">
      <c r="B16" s="149" t="s">
        <v>1114</v>
      </c>
      <c r="C16" s="150" t="s">
        <v>1108</v>
      </c>
      <c r="D16" s="161" t="s">
        <v>5</v>
      </c>
      <c r="E16" s="161" t="s">
        <v>130</v>
      </c>
      <c r="F16" s="161" t="s">
        <v>130</v>
      </c>
      <c r="G16" s="161" t="s">
        <v>130</v>
      </c>
      <c r="H16" s="161" t="s">
        <v>130</v>
      </c>
      <c r="I16" s="152" t="s">
        <v>1113</v>
      </c>
      <c r="J16" s="153" t="s">
        <v>1358</v>
      </c>
      <c r="K16" s="151" t="s">
        <v>285</v>
      </c>
      <c r="L16" s="151" t="s">
        <v>285</v>
      </c>
    </row>
    <row r="17" spans="2:12" x14ac:dyDescent="0.3">
      <c r="B17" s="149" t="s">
        <v>1111</v>
      </c>
      <c r="C17" s="150" t="s">
        <v>1108</v>
      </c>
      <c r="D17" s="161" t="s">
        <v>5</v>
      </c>
      <c r="E17" s="161" t="s">
        <v>130</v>
      </c>
      <c r="F17" s="161" t="s">
        <v>130</v>
      </c>
      <c r="G17" s="161" t="s">
        <v>130</v>
      </c>
      <c r="H17" s="161" t="s">
        <v>130</v>
      </c>
      <c r="I17" s="152" t="s">
        <v>1113</v>
      </c>
      <c r="J17" s="153" t="s">
        <v>1358</v>
      </c>
      <c r="K17" s="151" t="s">
        <v>1168</v>
      </c>
      <c r="L17" s="151" t="s">
        <v>285</v>
      </c>
    </row>
    <row r="18" spans="2:12" x14ac:dyDescent="0.3">
      <c r="B18" s="149" t="s">
        <v>1110</v>
      </c>
      <c r="C18" s="150" t="s">
        <v>1108</v>
      </c>
      <c r="D18" s="161" t="s">
        <v>5</v>
      </c>
      <c r="E18" s="161" t="s">
        <v>130</v>
      </c>
      <c r="F18" s="161" t="s">
        <v>130</v>
      </c>
      <c r="G18" s="161" t="s">
        <v>130</v>
      </c>
      <c r="H18" s="161" t="s">
        <v>130</v>
      </c>
      <c r="I18" s="152" t="s">
        <v>1113</v>
      </c>
      <c r="J18" s="153" t="s">
        <v>1358</v>
      </c>
      <c r="K18" s="151" t="s">
        <v>1168</v>
      </c>
      <c r="L18" s="151" t="s">
        <v>285</v>
      </c>
    </row>
    <row r="19" spans="2:12" x14ac:dyDescent="0.3">
      <c r="B19" s="149" t="s">
        <v>1124</v>
      </c>
      <c r="C19" s="150" t="s">
        <v>1108</v>
      </c>
      <c r="D19" s="161" t="s">
        <v>5</v>
      </c>
      <c r="E19" s="161" t="s">
        <v>149</v>
      </c>
      <c r="F19" s="161" t="s">
        <v>149</v>
      </c>
      <c r="G19" s="161" t="s">
        <v>149</v>
      </c>
      <c r="H19" s="161" t="s">
        <v>149</v>
      </c>
      <c r="I19" s="153" t="s">
        <v>1353</v>
      </c>
      <c r="J19" s="153"/>
      <c r="K19" s="151" t="s">
        <v>1169</v>
      </c>
      <c r="L19" s="151" t="s">
        <v>1349</v>
      </c>
    </row>
    <row r="20" spans="2:12" ht="54" x14ac:dyDescent="0.3">
      <c r="B20" s="149" t="s">
        <v>1123</v>
      </c>
      <c r="C20" s="150" t="s">
        <v>1108</v>
      </c>
      <c r="D20" s="161" t="s">
        <v>5</v>
      </c>
      <c r="E20" s="161" t="s">
        <v>130</v>
      </c>
      <c r="F20" s="161" t="s">
        <v>130</v>
      </c>
      <c r="G20" s="161" t="s">
        <v>130</v>
      </c>
      <c r="H20" s="161" t="s">
        <v>149</v>
      </c>
      <c r="I20" s="153" t="s">
        <v>1355</v>
      </c>
      <c r="J20" s="153"/>
      <c r="K20" s="160" t="s">
        <v>1356</v>
      </c>
      <c r="L20" s="170" t="s">
        <v>1352</v>
      </c>
    </row>
    <row r="21" spans="2:12" ht="36" x14ac:dyDescent="0.3">
      <c r="B21" s="149" t="s">
        <v>1107</v>
      </c>
      <c r="C21" s="150" t="s">
        <v>1108</v>
      </c>
      <c r="D21" s="161" t="s">
        <v>5</v>
      </c>
      <c r="E21" s="161" t="s">
        <v>130</v>
      </c>
      <c r="F21" s="161" t="s">
        <v>149</v>
      </c>
      <c r="G21" s="161" t="s">
        <v>130</v>
      </c>
      <c r="H21" s="161" t="s">
        <v>149</v>
      </c>
      <c r="I21" s="153" t="s">
        <v>1109</v>
      </c>
      <c r="J21" s="153"/>
      <c r="K21" s="160" t="s">
        <v>1177</v>
      </c>
      <c r="L21" s="160" t="s">
        <v>1175</v>
      </c>
    </row>
    <row r="22" spans="2:12" ht="36" x14ac:dyDescent="0.3">
      <c r="B22" s="149" t="s">
        <v>1121</v>
      </c>
      <c r="C22" s="150" t="s">
        <v>1108</v>
      </c>
      <c r="D22" s="161" t="s">
        <v>5</v>
      </c>
      <c r="E22" s="161" t="s">
        <v>130</v>
      </c>
      <c r="F22" s="161" t="s">
        <v>149</v>
      </c>
      <c r="G22" s="161" t="s">
        <v>130</v>
      </c>
      <c r="H22" s="161" t="s">
        <v>149</v>
      </c>
      <c r="I22" s="153" t="s">
        <v>1353</v>
      </c>
      <c r="J22" s="153"/>
      <c r="K22" s="160" t="s">
        <v>1172</v>
      </c>
      <c r="L22" s="160" t="s">
        <v>1346</v>
      </c>
    </row>
    <row r="23" spans="2:12" ht="36" x14ac:dyDescent="0.3">
      <c r="B23" s="149" t="s">
        <v>1122</v>
      </c>
      <c r="C23" s="150" t="s">
        <v>1108</v>
      </c>
      <c r="D23" s="161" t="s">
        <v>5</v>
      </c>
      <c r="E23" s="161" t="s">
        <v>130</v>
      </c>
      <c r="F23" s="161" t="s">
        <v>149</v>
      </c>
      <c r="G23" s="161" t="s">
        <v>130</v>
      </c>
      <c r="H23" s="161" t="s">
        <v>149</v>
      </c>
      <c r="I23" s="153" t="s">
        <v>1353</v>
      </c>
      <c r="J23" s="153"/>
      <c r="K23" s="160" t="s">
        <v>1172</v>
      </c>
      <c r="L23" s="160" t="s">
        <v>1346</v>
      </c>
    </row>
    <row r="24" spans="2:12" ht="31.2" customHeight="1" x14ac:dyDescent="0.3">
      <c r="B24" s="149" t="s">
        <v>1115</v>
      </c>
      <c r="C24" s="150" t="s">
        <v>1108</v>
      </c>
      <c r="D24" s="161" t="s">
        <v>5</v>
      </c>
      <c r="E24" s="161" t="s">
        <v>130</v>
      </c>
      <c r="F24" s="161" t="s">
        <v>149</v>
      </c>
      <c r="G24" s="161" t="s">
        <v>130</v>
      </c>
      <c r="H24" s="161" t="s">
        <v>149</v>
      </c>
      <c r="I24" s="153" t="s">
        <v>1109</v>
      </c>
      <c r="J24" s="153"/>
      <c r="K24" s="151" t="s">
        <v>1167</v>
      </c>
      <c r="L24" s="151" t="s">
        <v>1176</v>
      </c>
    </row>
    <row r="25" spans="2:12" ht="54" x14ac:dyDescent="0.3">
      <c r="B25" s="149" t="s">
        <v>1120</v>
      </c>
      <c r="C25" s="150" t="s">
        <v>1108</v>
      </c>
      <c r="D25" s="161" t="s">
        <v>5</v>
      </c>
      <c r="E25" s="161" t="s">
        <v>130</v>
      </c>
      <c r="F25" s="161" t="s">
        <v>149</v>
      </c>
      <c r="G25" s="161" t="s">
        <v>130</v>
      </c>
      <c r="H25" s="161" t="s">
        <v>149</v>
      </c>
      <c r="I25" s="153" t="s">
        <v>1109</v>
      </c>
      <c r="J25" s="153"/>
      <c r="K25" s="160" t="s">
        <v>1178</v>
      </c>
      <c r="L25" s="151" t="s">
        <v>1171</v>
      </c>
    </row>
    <row r="26" spans="2:12" ht="36" x14ac:dyDescent="0.3">
      <c r="B26" s="149" t="s">
        <v>1117</v>
      </c>
      <c r="C26" s="150" t="s">
        <v>1108</v>
      </c>
      <c r="D26" s="161" t="s">
        <v>5</v>
      </c>
      <c r="E26" s="161" t="s">
        <v>130</v>
      </c>
      <c r="F26" s="161" t="s">
        <v>130</v>
      </c>
      <c r="G26" s="161" t="s">
        <v>130</v>
      </c>
      <c r="H26" s="161" t="s">
        <v>130</v>
      </c>
      <c r="I26" s="153" t="s">
        <v>1353</v>
      </c>
      <c r="J26" s="153"/>
      <c r="K26" s="160" t="s">
        <v>1351</v>
      </c>
      <c r="L26" s="151" t="s">
        <v>1350</v>
      </c>
    </row>
    <row r="27" spans="2:12" ht="36" x14ac:dyDescent="0.3">
      <c r="B27" s="149" t="s">
        <v>1119</v>
      </c>
      <c r="C27" s="150" t="s">
        <v>1108</v>
      </c>
      <c r="D27" s="161" t="s">
        <v>5</v>
      </c>
      <c r="E27" s="161" t="s">
        <v>130</v>
      </c>
      <c r="F27" s="161" t="s">
        <v>130</v>
      </c>
      <c r="G27" s="161" t="s">
        <v>130</v>
      </c>
      <c r="H27" s="161" t="s">
        <v>130</v>
      </c>
      <c r="I27" s="153" t="s">
        <v>1353</v>
      </c>
      <c r="J27" s="153"/>
      <c r="K27" s="160" t="s">
        <v>1351</v>
      </c>
      <c r="L27" s="151" t="s">
        <v>1350</v>
      </c>
    </row>
    <row r="28" spans="2:12" ht="36" x14ac:dyDescent="0.3">
      <c r="B28" s="149" t="s">
        <v>1116</v>
      </c>
      <c r="C28" s="150" t="s">
        <v>1108</v>
      </c>
      <c r="D28" s="161" t="s">
        <v>5</v>
      </c>
      <c r="E28" s="161" t="s">
        <v>130</v>
      </c>
      <c r="F28" s="161" t="s">
        <v>149</v>
      </c>
      <c r="G28" s="161" t="s">
        <v>130</v>
      </c>
      <c r="H28" s="161" t="s">
        <v>130</v>
      </c>
      <c r="I28" s="153" t="s">
        <v>1353</v>
      </c>
      <c r="J28" s="153"/>
      <c r="K28" s="160" t="s">
        <v>1351</v>
      </c>
      <c r="L28" s="151" t="s">
        <v>1350</v>
      </c>
    </row>
    <row r="29" spans="2:12" ht="17.399999999999999" customHeight="1" x14ac:dyDescent="0.3">
      <c r="B29" s="154"/>
      <c r="C29" s="162"/>
      <c r="F29" s="154"/>
      <c r="G29" s="154"/>
      <c r="H29" s="154"/>
      <c r="I29" s="154"/>
      <c r="J29" s="154"/>
    </row>
    <row r="30" spans="2:12" ht="34.799999999999997" customHeight="1" x14ac:dyDescent="0.3">
      <c r="B30" s="229" t="s">
        <v>1162</v>
      </c>
      <c r="C30" s="229"/>
      <c r="D30" s="229"/>
      <c r="E30" s="159" t="s">
        <v>1354</v>
      </c>
      <c r="F30" s="139" t="s">
        <v>1164</v>
      </c>
    </row>
    <row r="31" spans="2:12" ht="36" customHeight="1" x14ac:dyDescent="0.3">
      <c r="B31" s="228" t="s">
        <v>1160</v>
      </c>
      <c r="C31" s="228"/>
      <c r="D31" s="228"/>
      <c r="E31" s="150" t="s">
        <v>32</v>
      </c>
      <c r="F31" s="151" t="s">
        <v>130</v>
      </c>
    </row>
    <row r="32" spans="2:12" ht="54" customHeight="1" x14ac:dyDescent="0.3">
      <c r="B32" s="228" t="s">
        <v>1161</v>
      </c>
      <c r="C32" s="228"/>
      <c r="D32" s="228"/>
      <c r="E32" s="150" t="s">
        <v>29</v>
      </c>
      <c r="F32" s="150"/>
    </row>
    <row r="33" spans="2:6" ht="54" customHeight="1" x14ac:dyDescent="0.3">
      <c r="B33" s="228" t="s">
        <v>1165</v>
      </c>
      <c r="C33" s="228"/>
      <c r="D33" s="228"/>
      <c r="E33" s="150" t="s">
        <v>32</v>
      </c>
      <c r="F33" s="151" t="s">
        <v>130</v>
      </c>
    </row>
    <row r="34" spans="2:6" ht="54" customHeight="1" x14ac:dyDescent="0.3">
      <c r="B34" s="228" t="s">
        <v>1163</v>
      </c>
      <c r="C34" s="228"/>
      <c r="D34" s="228"/>
      <c r="E34" s="150" t="s">
        <v>29</v>
      </c>
      <c r="F34" s="150"/>
    </row>
    <row r="35" spans="2:6" ht="72" customHeight="1" x14ac:dyDescent="0.3">
      <c r="B35" s="228" t="s">
        <v>1362</v>
      </c>
      <c r="C35" s="228"/>
      <c r="D35" s="228"/>
      <c r="E35" s="150" t="s">
        <v>29</v>
      </c>
      <c r="F35" s="150"/>
    </row>
    <row r="36" spans="2:6" ht="90" customHeight="1" x14ac:dyDescent="0.3">
      <c r="B36" s="228" t="s">
        <v>1359</v>
      </c>
      <c r="C36" s="228"/>
      <c r="D36" s="228"/>
      <c r="E36" s="150" t="s">
        <v>29</v>
      </c>
      <c r="F36" s="150"/>
    </row>
    <row r="37" spans="2:6" ht="54" customHeight="1" x14ac:dyDescent="0.3">
      <c r="B37" s="228" t="s">
        <v>1360</v>
      </c>
      <c r="C37" s="228"/>
      <c r="D37" s="228"/>
      <c r="E37" s="150" t="s">
        <v>29</v>
      </c>
      <c r="F37" s="150"/>
    </row>
    <row r="38" spans="2:6" ht="72" customHeight="1" x14ac:dyDescent="0.3">
      <c r="B38" s="228" t="s">
        <v>1361</v>
      </c>
      <c r="C38" s="228"/>
      <c r="D38" s="228"/>
      <c r="E38" s="150" t="s">
        <v>29</v>
      </c>
      <c r="F38" s="150"/>
    </row>
    <row r="43" spans="2:6" ht="64.2" customHeight="1" x14ac:dyDescent="0.3"/>
    <row r="58" ht="14.4" customHeight="1" x14ac:dyDescent="0.3"/>
    <row r="59" ht="15.6" customHeight="1" x14ac:dyDescent="0.3"/>
  </sheetData>
  <autoFilter ref="B14:L14" xr:uid="{00000000-0009-0000-0000-000009000000}">
    <sortState xmlns:xlrd2="http://schemas.microsoft.com/office/spreadsheetml/2017/richdata2" ref="B15:L28">
      <sortCondition descending="1" ref="I14"/>
    </sortState>
  </autoFilter>
  <mergeCells count="12">
    <mergeCell ref="B5:D5"/>
    <mergeCell ref="E13:F13"/>
    <mergeCell ref="B37:D37"/>
    <mergeCell ref="B38:D38"/>
    <mergeCell ref="G13:H13"/>
    <mergeCell ref="B30:D30"/>
    <mergeCell ref="B31:D31"/>
    <mergeCell ref="B35:D35"/>
    <mergeCell ref="B36:D36"/>
    <mergeCell ref="B32:D32"/>
    <mergeCell ref="B33:D33"/>
    <mergeCell ref="B34:D34"/>
  </mergeCells>
  <conditionalFormatting sqref="E13 E14:H28 F29:J29">
    <cfRule type="cellIs" dxfId="28" priority="29" operator="equal">
      <formula>"OK"</formula>
    </cfRule>
  </conditionalFormatting>
  <conditionalFormatting sqref="E20:E25 G21:G25 E27 G27">
    <cfRule type="cellIs" dxfId="27" priority="16" operator="equal">
      <formula>"NOK"</formula>
    </cfRule>
  </conditionalFormatting>
  <conditionalFormatting sqref="E22:E23 G22:G23 E27 G27">
    <cfRule type="cellIs" dxfId="26" priority="15" operator="equal">
      <formula>"NOK"</formula>
    </cfRule>
  </conditionalFormatting>
  <conditionalFormatting sqref="E19:F20 E28:H28 F29:J29">
    <cfRule type="cellIs" dxfId="25" priority="19" operator="equal">
      <formula>"NOK"</formula>
    </cfRule>
  </conditionalFormatting>
  <conditionalFormatting sqref="E30:F38">
    <cfRule type="cellIs" dxfId="24" priority="1" operator="equal">
      <formula>"NOK"</formula>
    </cfRule>
    <cfRule type="cellIs" dxfId="23" priority="2" operator="equal">
      <formula>"OK"</formula>
    </cfRule>
  </conditionalFormatting>
  <conditionalFormatting sqref="E22:G22 E23:H23 E26:E27 G26:G27 H14:H22 F24:F27 H24:H27">
    <cfRule type="cellIs" dxfId="22" priority="18" operator="equal">
      <formula>"NOK"</formula>
    </cfRule>
  </conditionalFormatting>
  <conditionalFormatting sqref="E26:H26 R31:S31 H19 F20:H20 E19:F20 H1 H49:H1048576">
    <cfRule type="cellIs" dxfId="21" priority="83" operator="equal">
      <formula>"NOK"</formula>
    </cfRule>
  </conditionalFormatting>
  <conditionalFormatting sqref="E26:H26 S31">
    <cfRule type="cellIs" dxfId="20" priority="71" operator="equal">
      <formula>"NOK"</formula>
    </cfRule>
    <cfRule type="cellIs" dxfId="19" priority="72" operator="equal">
      <formula>"NOK"</formula>
    </cfRule>
  </conditionalFormatting>
  <conditionalFormatting sqref="F14:F18">
    <cfRule type="cellIs" dxfId="18" priority="27" operator="equal">
      <formula>"NOK"</formula>
    </cfRule>
  </conditionalFormatting>
  <conditionalFormatting sqref="F17:F21">
    <cfRule type="cellIs" dxfId="17" priority="9" operator="equal">
      <formula>"NOK"</formula>
    </cfRule>
  </conditionalFormatting>
  <conditionalFormatting sqref="F17:F22">
    <cfRule type="cellIs" dxfId="16" priority="20" operator="equal">
      <formula>"NOK"</formula>
    </cfRule>
  </conditionalFormatting>
  <conditionalFormatting sqref="F20:F21">
    <cfRule type="cellIs" dxfId="15" priority="5" operator="equal">
      <formula>"NOK"</formula>
    </cfRule>
    <cfRule type="cellIs" dxfId="14" priority="6" operator="equal">
      <formula>"NOK"</formula>
    </cfRule>
  </conditionalFormatting>
  <conditionalFormatting sqref="F25">
    <cfRule type="cellIs" dxfId="13" priority="22" operator="equal">
      <formula>"NOK"</formula>
    </cfRule>
  </conditionalFormatting>
  <conditionalFormatting sqref="F31">
    <cfRule type="cellIs" dxfId="12" priority="12" operator="equal">
      <formula>"OK"</formula>
    </cfRule>
    <cfRule type="cellIs" dxfId="11" priority="13" operator="equal">
      <formula>"NOK"</formula>
    </cfRule>
  </conditionalFormatting>
  <conditionalFormatting sqref="F33">
    <cfRule type="cellIs" dxfId="10" priority="10" operator="equal">
      <formula>"OK"</formula>
    </cfRule>
    <cfRule type="cellIs" dxfId="9" priority="11" operator="equal">
      <formula>"NOK"</formula>
    </cfRule>
  </conditionalFormatting>
  <conditionalFormatting sqref="G13">
    <cfRule type="cellIs" dxfId="8" priority="3" operator="equal">
      <formula>"OK"</formula>
    </cfRule>
  </conditionalFormatting>
  <conditionalFormatting sqref="H12 E13:E18 G13:G19">
    <cfRule type="cellIs" dxfId="7" priority="28" operator="equal">
      <formula>"NOK"</formula>
    </cfRule>
  </conditionalFormatting>
  <conditionalFormatting sqref="H17:H22">
    <cfRule type="cellIs" dxfId="6" priority="50" operator="equal">
      <formula>"NOK"</formula>
    </cfRule>
  </conditionalFormatting>
  <conditionalFormatting sqref="H25">
    <cfRule type="cellIs" dxfId="5" priority="55" operator="equal">
      <formula>"NOK"</formula>
    </cfRule>
  </conditionalFormatting>
  <conditionalFormatting sqref="H1:J1 H12:J12 R31:S31 H49:J1048576">
    <cfRule type="cellIs" dxfId="4" priority="76" operator="equal">
      <formula>"OK"</formula>
    </cfRule>
  </conditionalFormatting>
  <conditionalFormatting sqref="I13:J13">
    <cfRule type="cellIs" dxfId="3" priority="4" operator="equal">
      <formula>"OK"</formula>
    </cfRule>
  </conditionalFormatting>
  <conditionalFormatting sqref="S31 G19:H20 I1:J1 I12:J13 I49:J1048576">
    <cfRule type="cellIs" dxfId="2" priority="77" operator="equal">
      <formula>"NOK"</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108"/>
  <sheetViews>
    <sheetView topLeftCell="C15" workbookViewId="0">
      <selection activeCell="H40" sqref="H40"/>
    </sheetView>
  </sheetViews>
  <sheetFormatPr defaultRowHeight="14.4" x14ac:dyDescent="0.3"/>
  <cols>
    <col min="2" max="2" width="19.44140625" bestFit="1" customWidth="1"/>
    <col min="4" max="4" width="16.21875" bestFit="1" customWidth="1"/>
    <col min="5" max="5" width="22.88671875" style="2" bestFit="1" customWidth="1"/>
    <col min="6" max="6" width="19.109375" bestFit="1" customWidth="1"/>
    <col min="7" max="7" width="15.6640625" bestFit="1" customWidth="1"/>
    <col min="8" max="8" width="24.21875" bestFit="1" customWidth="1"/>
    <col min="9" max="9" width="16.109375" bestFit="1" customWidth="1"/>
    <col min="10" max="10" width="16.44140625" bestFit="1" customWidth="1"/>
    <col min="11" max="11" width="11.44140625" bestFit="1" customWidth="1"/>
    <col min="12" max="12" width="18.77734375" style="1" customWidth="1"/>
  </cols>
  <sheetData>
    <row r="2" spans="2:12" x14ac:dyDescent="0.3">
      <c r="B2" s="167" t="s">
        <v>1179</v>
      </c>
      <c r="C2" s="167" t="s">
        <v>1180</v>
      </c>
      <c r="D2" s="167" t="s">
        <v>1181</v>
      </c>
      <c r="E2" s="167" t="s">
        <v>1182</v>
      </c>
      <c r="F2" s="167" t="s">
        <v>1183</v>
      </c>
      <c r="G2" s="167" t="s">
        <v>1184</v>
      </c>
      <c r="H2" s="167" t="s">
        <v>1185</v>
      </c>
      <c r="I2" s="168" t="s">
        <v>1186</v>
      </c>
      <c r="J2" s="168" t="s">
        <v>1187</v>
      </c>
      <c r="K2" s="167" t="s">
        <v>1188</v>
      </c>
      <c r="L2" s="169" t="s">
        <v>1343</v>
      </c>
    </row>
    <row r="3" spans="2:12" x14ac:dyDescent="0.3">
      <c r="B3" s="164" t="s">
        <v>1189</v>
      </c>
      <c r="C3" s="164" t="s">
        <v>1190</v>
      </c>
      <c r="D3" s="164" t="s">
        <v>128</v>
      </c>
      <c r="E3" s="166" t="s">
        <v>48</v>
      </c>
      <c r="F3" s="164" t="s">
        <v>1191</v>
      </c>
      <c r="G3" s="164" t="s">
        <v>1192</v>
      </c>
      <c r="H3" s="164" t="s">
        <v>130</v>
      </c>
      <c r="I3" s="165">
        <v>2110767</v>
      </c>
      <c r="J3" s="165">
        <v>0</v>
      </c>
      <c r="K3" s="164">
        <v>0</v>
      </c>
      <c r="L3" s="231"/>
    </row>
    <row r="4" spans="2:12" x14ac:dyDescent="0.3">
      <c r="B4" s="164" t="s">
        <v>1193</v>
      </c>
      <c r="C4" s="164" t="s">
        <v>1194</v>
      </c>
      <c r="D4" s="164" t="s">
        <v>128</v>
      </c>
      <c r="E4" s="166" t="s">
        <v>48</v>
      </c>
      <c r="F4" s="164" t="s">
        <v>1195</v>
      </c>
      <c r="G4" s="164" t="s">
        <v>1196</v>
      </c>
      <c r="H4" s="164" t="s">
        <v>130</v>
      </c>
      <c r="I4" s="165">
        <v>2110020</v>
      </c>
      <c r="J4" s="165">
        <v>0</v>
      </c>
      <c r="K4" s="164">
        <v>0</v>
      </c>
      <c r="L4" s="232"/>
    </row>
    <row r="5" spans="2:12" x14ac:dyDescent="0.3">
      <c r="B5" s="164" t="s">
        <v>1197</v>
      </c>
      <c r="C5" s="164" t="s">
        <v>1198</v>
      </c>
      <c r="D5" s="164" t="s">
        <v>1199</v>
      </c>
      <c r="E5" s="166" t="s">
        <v>48</v>
      </c>
      <c r="F5" s="164" t="s">
        <v>1200</v>
      </c>
      <c r="G5" s="164" t="s">
        <v>1201</v>
      </c>
      <c r="H5" s="164" t="s">
        <v>130</v>
      </c>
      <c r="I5" s="165">
        <v>1080662</v>
      </c>
      <c r="J5" s="165">
        <v>0</v>
      </c>
      <c r="K5" s="164">
        <v>0</v>
      </c>
      <c r="L5" s="232"/>
    </row>
    <row r="6" spans="2:12" x14ac:dyDescent="0.3">
      <c r="B6" s="164" t="s">
        <v>1202</v>
      </c>
      <c r="C6" s="164" t="s">
        <v>1203</v>
      </c>
      <c r="D6" s="164" t="s">
        <v>1199</v>
      </c>
      <c r="E6" s="166" t="s">
        <v>48</v>
      </c>
      <c r="F6" s="164" t="s">
        <v>1200</v>
      </c>
      <c r="G6" s="164" t="s">
        <v>1201</v>
      </c>
      <c r="H6" s="164" t="s">
        <v>130</v>
      </c>
      <c r="I6" s="165">
        <v>1115493</v>
      </c>
      <c r="J6" s="165">
        <v>0</v>
      </c>
      <c r="K6" s="164">
        <v>0</v>
      </c>
      <c r="L6" s="232"/>
    </row>
    <row r="7" spans="2:12" x14ac:dyDescent="0.3">
      <c r="B7" s="164" t="s">
        <v>1204</v>
      </c>
      <c r="C7" s="164" t="s">
        <v>1205</v>
      </c>
      <c r="D7" s="164" t="s">
        <v>1199</v>
      </c>
      <c r="E7" s="166" t="s">
        <v>48</v>
      </c>
      <c r="F7" s="164" t="s">
        <v>1200</v>
      </c>
      <c r="G7" s="164" t="s">
        <v>1201</v>
      </c>
      <c r="H7" s="164" t="s">
        <v>130</v>
      </c>
      <c r="I7" s="165">
        <v>1115493</v>
      </c>
      <c r="J7" s="165">
        <v>0</v>
      </c>
      <c r="K7" s="164">
        <v>0</v>
      </c>
      <c r="L7" s="232"/>
    </row>
    <row r="8" spans="2:12" x14ac:dyDescent="0.3">
      <c r="B8" s="164" t="s">
        <v>1206</v>
      </c>
      <c r="C8" s="164" t="s">
        <v>1207</v>
      </c>
      <c r="D8" s="164" t="s">
        <v>1199</v>
      </c>
      <c r="E8" s="166" t="s">
        <v>48</v>
      </c>
      <c r="F8" s="164" t="s">
        <v>1200</v>
      </c>
      <c r="G8" s="164" t="s">
        <v>1201</v>
      </c>
      <c r="H8" s="164" t="s">
        <v>1208</v>
      </c>
      <c r="I8" s="165">
        <v>1010074</v>
      </c>
      <c r="J8" s="165">
        <v>15634</v>
      </c>
      <c r="K8" s="164">
        <v>1.5478000000000001</v>
      </c>
      <c r="L8" s="233"/>
    </row>
    <row r="9" spans="2:12" x14ac:dyDescent="0.3">
      <c r="I9" s="163"/>
      <c r="J9" s="163"/>
    </row>
    <row r="10" spans="2:12" x14ac:dyDescent="0.3">
      <c r="I10" s="163"/>
      <c r="J10" s="163"/>
    </row>
    <row r="11" spans="2:12" x14ac:dyDescent="0.3">
      <c r="B11" s="167" t="s">
        <v>1179</v>
      </c>
      <c r="C11" s="167" t="s">
        <v>1180</v>
      </c>
      <c r="D11" s="167" t="s">
        <v>1181</v>
      </c>
      <c r="E11" s="167" t="s">
        <v>1182</v>
      </c>
      <c r="F11" s="167" t="s">
        <v>1183</v>
      </c>
      <c r="G11" s="167" t="s">
        <v>1184</v>
      </c>
      <c r="H11" s="167" t="s">
        <v>1185</v>
      </c>
      <c r="I11" s="168" t="s">
        <v>1186</v>
      </c>
      <c r="J11" s="168" t="s">
        <v>1187</v>
      </c>
      <c r="K11" s="167" t="s">
        <v>1188</v>
      </c>
      <c r="L11" s="169" t="s">
        <v>1343</v>
      </c>
    </row>
    <row r="12" spans="2:12" x14ac:dyDescent="0.3">
      <c r="B12" s="164" t="s">
        <v>1209</v>
      </c>
      <c r="C12" s="164" t="s">
        <v>1210</v>
      </c>
      <c r="D12" s="164" t="s">
        <v>128</v>
      </c>
      <c r="E12" s="166" t="s">
        <v>49</v>
      </c>
      <c r="F12" s="164" t="s">
        <v>1191</v>
      </c>
      <c r="G12" s="164" t="s">
        <v>1192</v>
      </c>
      <c r="H12" s="164" t="s">
        <v>130</v>
      </c>
      <c r="I12" s="165">
        <v>2110767</v>
      </c>
      <c r="J12" s="165">
        <v>0</v>
      </c>
      <c r="K12" s="164">
        <v>0</v>
      </c>
      <c r="L12" s="231" t="s">
        <v>26</v>
      </c>
    </row>
    <row r="13" spans="2:12" x14ac:dyDescent="0.3">
      <c r="B13" s="164" t="s">
        <v>1211</v>
      </c>
      <c r="C13" s="164" t="s">
        <v>1212</v>
      </c>
      <c r="D13" s="164" t="s">
        <v>128</v>
      </c>
      <c r="E13" s="166" t="s">
        <v>49</v>
      </c>
      <c r="F13" s="164" t="s">
        <v>1195</v>
      </c>
      <c r="G13" s="164" t="s">
        <v>1196</v>
      </c>
      <c r="H13" s="164" t="s">
        <v>130</v>
      </c>
      <c r="I13" s="165">
        <v>2110020</v>
      </c>
      <c r="J13" s="165">
        <v>0</v>
      </c>
      <c r="K13" s="164">
        <v>0</v>
      </c>
      <c r="L13" s="232"/>
    </row>
    <row r="14" spans="2:12" x14ac:dyDescent="0.3">
      <c r="B14" s="164" t="s">
        <v>1213</v>
      </c>
      <c r="C14" s="164" t="s">
        <v>1214</v>
      </c>
      <c r="D14" s="164" t="s">
        <v>1199</v>
      </c>
      <c r="E14" s="166" t="s">
        <v>49</v>
      </c>
      <c r="F14" s="164" t="s">
        <v>1200</v>
      </c>
      <c r="G14" s="164" t="s">
        <v>1201</v>
      </c>
      <c r="H14" s="164" t="s">
        <v>130</v>
      </c>
      <c r="I14" s="165">
        <v>1115493</v>
      </c>
      <c r="J14" s="165">
        <v>0</v>
      </c>
      <c r="K14" s="164">
        <v>0</v>
      </c>
      <c r="L14" s="232"/>
    </row>
    <row r="15" spans="2:12" x14ac:dyDescent="0.3">
      <c r="B15" s="164" t="s">
        <v>1215</v>
      </c>
      <c r="C15" s="164" t="s">
        <v>1216</v>
      </c>
      <c r="D15" s="164" t="s">
        <v>1199</v>
      </c>
      <c r="E15" s="166" t="s">
        <v>49</v>
      </c>
      <c r="F15" s="164" t="s">
        <v>1200</v>
      </c>
      <c r="G15" s="164" t="s">
        <v>1201</v>
      </c>
      <c r="H15" s="164" t="s">
        <v>130</v>
      </c>
      <c r="I15" s="165">
        <v>994440</v>
      </c>
      <c r="J15" s="165">
        <v>0</v>
      </c>
      <c r="K15" s="164">
        <v>0</v>
      </c>
      <c r="L15" s="233"/>
    </row>
    <row r="16" spans="2:12" x14ac:dyDescent="0.3">
      <c r="I16" s="163"/>
      <c r="J16" s="163"/>
    </row>
    <row r="17" spans="2:12" x14ac:dyDescent="0.3">
      <c r="I17" s="163"/>
      <c r="J17" s="163"/>
    </row>
    <row r="18" spans="2:12" x14ac:dyDescent="0.3">
      <c r="B18" s="167" t="s">
        <v>1179</v>
      </c>
      <c r="C18" s="167" t="s">
        <v>1180</v>
      </c>
      <c r="D18" s="167" t="s">
        <v>1181</v>
      </c>
      <c r="E18" s="167" t="s">
        <v>1182</v>
      </c>
      <c r="F18" s="167" t="s">
        <v>1183</v>
      </c>
      <c r="G18" s="167" t="s">
        <v>1184</v>
      </c>
      <c r="H18" s="167" t="s">
        <v>1185</v>
      </c>
      <c r="I18" s="168" t="s">
        <v>1186</v>
      </c>
      <c r="J18" s="168" t="s">
        <v>1187</v>
      </c>
      <c r="K18" s="167" t="s">
        <v>1188</v>
      </c>
      <c r="L18" s="169" t="s">
        <v>1343</v>
      </c>
    </row>
    <row r="19" spans="2:12" x14ac:dyDescent="0.3">
      <c r="B19" s="164" t="s">
        <v>1217</v>
      </c>
      <c r="C19" s="164" t="s">
        <v>1218</v>
      </c>
      <c r="D19" s="164" t="s">
        <v>128</v>
      </c>
      <c r="E19" s="166" t="s">
        <v>50</v>
      </c>
      <c r="F19" s="164" t="s">
        <v>1191</v>
      </c>
      <c r="G19" s="164" t="s">
        <v>1192</v>
      </c>
      <c r="H19" s="164" t="s">
        <v>130</v>
      </c>
      <c r="I19" s="165">
        <v>2110767</v>
      </c>
      <c r="J19" s="165">
        <v>0</v>
      </c>
      <c r="K19" s="164">
        <v>0</v>
      </c>
      <c r="L19" s="231" t="s">
        <v>26</v>
      </c>
    </row>
    <row r="20" spans="2:12" x14ac:dyDescent="0.3">
      <c r="B20" s="164" t="s">
        <v>1219</v>
      </c>
      <c r="C20" s="164" t="s">
        <v>1220</v>
      </c>
      <c r="D20" s="164" t="s">
        <v>128</v>
      </c>
      <c r="E20" s="166" t="s">
        <v>50</v>
      </c>
      <c r="F20" s="164" t="s">
        <v>1195</v>
      </c>
      <c r="G20" s="164" t="s">
        <v>1196</v>
      </c>
      <c r="H20" s="164" t="s">
        <v>130</v>
      </c>
      <c r="I20" s="165">
        <v>2110020</v>
      </c>
      <c r="J20" s="165">
        <v>0</v>
      </c>
      <c r="K20" s="164">
        <v>0</v>
      </c>
      <c r="L20" s="233"/>
    </row>
    <row r="21" spans="2:12" x14ac:dyDescent="0.3">
      <c r="I21" s="163"/>
      <c r="J21" s="163"/>
    </row>
    <row r="22" spans="2:12" x14ac:dyDescent="0.3">
      <c r="I22" s="163"/>
      <c r="J22" s="163"/>
    </row>
    <row r="23" spans="2:12" x14ac:dyDescent="0.3">
      <c r="B23" s="167" t="s">
        <v>1179</v>
      </c>
      <c r="C23" s="167" t="s">
        <v>1180</v>
      </c>
      <c r="D23" s="167" t="s">
        <v>1181</v>
      </c>
      <c r="E23" s="167" t="s">
        <v>1182</v>
      </c>
      <c r="F23" s="167" t="s">
        <v>1183</v>
      </c>
      <c r="G23" s="167" t="s">
        <v>1184</v>
      </c>
      <c r="H23" s="167" t="s">
        <v>1185</v>
      </c>
      <c r="I23" s="168" t="s">
        <v>1186</v>
      </c>
      <c r="J23" s="168" t="s">
        <v>1187</v>
      </c>
      <c r="K23" s="167" t="s">
        <v>1188</v>
      </c>
      <c r="L23" s="169" t="s">
        <v>1343</v>
      </c>
    </row>
    <row r="24" spans="2:12" x14ac:dyDescent="0.3">
      <c r="B24" s="164" t="s">
        <v>1221</v>
      </c>
      <c r="C24" s="164" t="s">
        <v>1222</v>
      </c>
      <c r="D24" s="164" t="s">
        <v>128</v>
      </c>
      <c r="E24" s="166" t="s">
        <v>51</v>
      </c>
      <c r="F24" s="164" t="s">
        <v>1223</v>
      </c>
      <c r="G24" s="164" t="s">
        <v>1192</v>
      </c>
      <c r="H24" s="164" t="s">
        <v>130</v>
      </c>
      <c r="I24" s="165">
        <v>2110767</v>
      </c>
      <c r="J24" s="165">
        <v>0</v>
      </c>
      <c r="K24" s="164">
        <v>0</v>
      </c>
      <c r="L24" s="231" t="s">
        <v>26</v>
      </c>
    </row>
    <row r="25" spans="2:12" x14ac:dyDescent="0.3">
      <c r="B25" s="164" t="s">
        <v>1224</v>
      </c>
      <c r="C25" s="164" t="s">
        <v>1225</v>
      </c>
      <c r="D25" s="164" t="s">
        <v>128</v>
      </c>
      <c r="E25" s="166" t="s">
        <v>51</v>
      </c>
      <c r="F25" s="164" t="s">
        <v>1226</v>
      </c>
      <c r="G25" s="164" t="s">
        <v>1196</v>
      </c>
      <c r="H25" s="164" t="s">
        <v>1208</v>
      </c>
      <c r="I25" s="165">
        <v>2110020</v>
      </c>
      <c r="J25" s="165">
        <v>29</v>
      </c>
      <c r="K25" s="164">
        <v>1.4E-3</v>
      </c>
      <c r="L25" s="232"/>
    </row>
    <row r="26" spans="2:12" x14ac:dyDescent="0.3">
      <c r="B26" s="164" t="s">
        <v>1227</v>
      </c>
      <c r="C26" s="164" t="s">
        <v>1228</v>
      </c>
      <c r="D26" s="164" t="s">
        <v>1199</v>
      </c>
      <c r="E26" s="166" t="s">
        <v>51</v>
      </c>
      <c r="F26" s="164" t="s">
        <v>1200</v>
      </c>
      <c r="G26" s="164" t="s">
        <v>1201</v>
      </c>
      <c r="H26" s="164" t="s">
        <v>130</v>
      </c>
      <c r="I26" s="165">
        <v>2055239</v>
      </c>
      <c r="J26" s="165">
        <v>0</v>
      </c>
      <c r="K26" s="164">
        <v>0</v>
      </c>
      <c r="L26" s="232"/>
    </row>
    <row r="27" spans="2:12" x14ac:dyDescent="0.3">
      <c r="B27" s="164" t="s">
        <v>1229</v>
      </c>
      <c r="C27" s="164" t="s">
        <v>1230</v>
      </c>
      <c r="D27" s="164" t="s">
        <v>1199</v>
      </c>
      <c r="E27" s="166" t="s">
        <v>51</v>
      </c>
      <c r="F27" s="164" t="s">
        <v>1200</v>
      </c>
      <c r="G27" s="164" t="s">
        <v>1201</v>
      </c>
      <c r="H27" s="164" t="s">
        <v>130</v>
      </c>
      <c r="I27" s="165">
        <v>2110020</v>
      </c>
      <c r="J27" s="165">
        <v>0</v>
      </c>
      <c r="K27" s="164">
        <v>0</v>
      </c>
      <c r="L27" s="233"/>
    </row>
    <row r="28" spans="2:12" ht="15" customHeight="1" x14ac:dyDescent="0.3">
      <c r="I28" s="163"/>
      <c r="J28" s="163"/>
    </row>
    <row r="29" spans="2:12" ht="15" customHeight="1" x14ac:dyDescent="0.3">
      <c r="I29" s="163"/>
      <c r="J29" s="163"/>
    </row>
    <row r="30" spans="2:12" x14ac:dyDescent="0.3">
      <c r="B30" s="167" t="s">
        <v>1179</v>
      </c>
      <c r="C30" s="167" t="s">
        <v>1180</v>
      </c>
      <c r="D30" s="167" t="s">
        <v>1181</v>
      </c>
      <c r="E30" s="167" t="s">
        <v>1182</v>
      </c>
      <c r="F30" s="167" t="s">
        <v>1183</v>
      </c>
      <c r="G30" s="167" t="s">
        <v>1184</v>
      </c>
      <c r="H30" s="167" t="s">
        <v>1185</v>
      </c>
      <c r="I30" s="168" t="s">
        <v>1186</v>
      </c>
      <c r="J30" s="168" t="s">
        <v>1187</v>
      </c>
      <c r="K30" s="167" t="s">
        <v>1188</v>
      </c>
      <c r="L30" s="169" t="s">
        <v>1343</v>
      </c>
    </row>
    <row r="31" spans="2:12" x14ac:dyDescent="0.3">
      <c r="B31" s="164" t="s">
        <v>1231</v>
      </c>
      <c r="C31" s="164" t="s">
        <v>1232</v>
      </c>
      <c r="D31" s="164" t="s">
        <v>128</v>
      </c>
      <c r="E31" s="166" t="s">
        <v>52</v>
      </c>
      <c r="F31" s="164" t="s">
        <v>1223</v>
      </c>
      <c r="G31" s="164" t="s">
        <v>1192</v>
      </c>
      <c r="H31" s="164" t="s">
        <v>130</v>
      </c>
      <c r="I31" s="165">
        <v>2110767</v>
      </c>
      <c r="J31" s="165">
        <v>0</v>
      </c>
      <c r="K31" s="164">
        <v>0</v>
      </c>
      <c r="L31" s="230" t="s">
        <v>26</v>
      </c>
    </row>
    <row r="32" spans="2:12" x14ac:dyDescent="0.3">
      <c r="B32" s="164" t="s">
        <v>1233</v>
      </c>
      <c r="C32" s="164" t="s">
        <v>1234</v>
      </c>
      <c r="D32" s="164" t="s">
        <v>128</v>
      </c>
      <c r="E32" s="166" t="s">
        <v>52</v>
      </c>
      <c r="F32" s="164" t="s">
        <v>1226</v>
      </c>
      <c r="G32" s="164" t="s">
        <v>1196</v>
      </c>
      <c r="H32" s="164" t="s">
        <v>1208</v>
      </c>
      <c r="I32" s="165">
        <v>2110020</v>
      </c>
      <c r="J32" s="165">
        <v>29</v>
      </c>
      <c r="K32" s="164">
        <v>1.4E-3</v>
      </c>
      <c r="L32" s="230"/>
    </row>
    <row r="33" spans="2:12" x14ac:dyDescent="0.3">
      <c r="B33" s="164" t="s">
        <v>1235</v>
      </c>
      <c r="C33" s="164" t="s">
        <v>1236</v>
      </c>
      <c r="D33" s="164" t="s">
        <v>1199</v>
      </c>
      <c r="E33" s="166" t="s">
        <v>52</v>
      </c>
      <c r="F33" s="164" t="s">
        <v>1200</v>
      </c>
      <c r="G33" s="164" t="s">
        <v>1201</v>
      </c>
      <c r="H33" s="164" t="s">
        <v>130</v>
      </c>
      <c r="I33" s="165">
        <v>2110020</v>
      </c>
      <c r="J33" s="165">
        <v>0</v>
      </c>
      <c r="K33" s="164">
        <v>0</v>
      </c>
      <c r="L33" s="230"/>
    </row>
    <row r="34" spans="2:12" x14ac:dyDescent="0.3">
      <c r="B34" s="164" t="s">
        <v>1237</v>
      </c>
      <c r="C34" s="164" t="s">
        <v>1238</v>
      </c>
      <c r="D34" s="164" t="s">
        <v>1199</v>
      </c>
      <c r="E34" s="166" t="s">
        <v>52</v>
      </c>
      <c r="F34" s="164" t="s">
        <v>1200</v>
      </c>
      <c r="G34" s="164" t="s">
        <v>1201</v>
      </c>
      <c r="H34" s="164" t="s">
        <v>130</v>
      </c>
      <c r="I34" s="165">
        <v>2055239</v>
      </c>
      <c r="J34" s="165">
        <v>0</v>
      </c>
      <c r="K34" s="164">
        <v>0</v>
      </c>
      <c r="L34" s="230"/>
    </row>
    <row r="35" spans="2:12" x14ac:dyDescent="0.3">
      <c r="B35" s="164" t="s">
        <v>1239</v>
      </c>
      <c r="C35" s="164" t="s">
        <v>1240</v>
      </c>
      <c r="D35" s="164" t="s">
        <v>1199</v>
      </c>
      <c r="E35" s="166" t="s">
        <v>52</v>
      </c>
      <c r="F35" s="164" t="s">
        <v>1200</v>
      </c>
      <c r="G35" s="164" t="s">
        <v>1201</v>
      </c>
      <c r="H35" s="164" t="s">
        <v>130</v>
      </c>
      <c r="I35" s="165">
        <v>0</v>
      </c>
      <c r="J35" s="165">
        <v>0</v>
      </c>
      <c r="K35" s="164">
        <v>0</v>
      </c>
      <c r="L35" s="230"/>
    </row>
    <row r="36" spans="2:12" x14ac:dyDescent="0.3">
      <c r="I36" s="163"/>
      <c r="J36" s="163"/>
    </row>
    <row r="37" spans="2:12" x14ac:dyDescent="0.3">
      <c r="I37" s="163"/>
      <c r="J37" s="163"/>
    </row>
    <row r="38" spans="2:12" x14ac:dyDescent="0.3">
      <c r="B38" s="167" t="s">
        <v>1179</v>
      </c>
      <c r="C38" s="167" t="s">
        <v>1180</v>
      </c>
      <c r="D38" s="167" t="s">
        <v>1181</v>
      </c>
      <c r="E38" s="167" t="s">
        <v>1182</v>
      </c>
      <c r="F38" s="167" t="s">
        <v>1183</v>
      </c>
      <c r="G38" s="167" t="s">
        <v>1184</v>
      </c>
      <c r="H38" s="167" t="s">
        <v>1185</v>
      </c>
      <c r="I38" s="168" t="s">
        <v>1186</v>
      </c>
      <c r="J38" s="168" t="s">
        <v>1187</v>
      </c>
      <c r="K38" s="167" t="s">
        <v>1188</v>
      </c>
      <c r="L38" s="169" t="s">
        <v>1343</v>
      </c>
    </row>
    <row r="39" spans="2:12" x14ac:dyDescent="0.3">
      <c r="B39" s="164" t="s">
        <v>1241</v>
      </c>
      <c r="C39" s="164" t="s">
        <v>1242</v>
      </c>
      <c r="D39" s="164" t="s">
        <v>1243</v>
      </c>
      <c r="E39" s="166" t="s">
        <v>53</v>
      </c>
      <c r="F39" s="164" t="s">
        <v>1244</v>
      </c>
      <c r="G39" s="164" t="s">
        <v>1245</v>
      </c>
      <c r="H39" s="164" t="s">
        <v>130</v>
      </c>
      <c r="I39" s="165">
        <v>2110020</v>
      </c>
      <c r="J39" s="165">
        <v>0</v>
      </c>
      <c r="K39" s="164">
        <v>0</v>
      </c>
      <c r="L39" s="234" t="s">
        <v>1344</v>
      </c>
    </row>
    <row r="40" spans="2:12" x14ac:dyDescent="0.3">
      <c r="B40" s="164" t="s">
        <v>1246</v>
      </c>
      <c r="C40" s="164" t="s">
        <v>1247</v>
      </c>
      <c r="D40" s="164" t="s">
        <v>128</v>
      </c>
      <c r="E40" s="166" t="s">
        <v>53</v>
      </c>
      <c r="F40" s="164" t="s">
        <v>1223</v>
      </c>
      <c r="G40" s="164" t="s">
        <v>1192</v>
      </c>
      <c r="H40" s="164" t="s">
        <v>130</v>
      </c>
      <c r="I40" s="165">
        <v>2110767</v>
      </c>
      <c r="J40" s="165">
        <v>0</v>
      </c>
      <c r="K40" s="164">
        <v>0</v>
      </c>
      <c r="L40" s="234"/>
    </row>
    <row r="41" spans="2:12" x14ac:dyDescent="0.3">
      <c r="B41" s="164" t="s">
        <v>1248</v>
      </c>
      <c r="C41" s="164" t="s">
        <v>1249</v>
      </c>
      <c r="D41" s="164" t="s">
        <v>128</v>
      </c>
      <c r="E41" s="166" t="s">
        <v>53</v>
      </c>
      <c r="F41" s="164" t="s">
        <v>1226</v>
      </c>
      <c r="G41" s="164" t="s">
        <v>1196</v>
      </c>
      <c r="H41" s="164" t="s">
        <v>130</v>
      </c>
      <c r="I41" s="165">
        <v>2110020</v>
      </c>
      <c r="J41" s="165">
        <v>0</v>
      </c>
      <c r="K41" s="164">
        <v>0</v>
      </c>
      <c r="L41" s="234"/>
    </row>
    <row r="42" spans="2:12" x14ac:dyDescent="0.3">
      <c r="B42" s="164" t="s">
        <v>1250</v>
      </c>
      <c r="C42" s="164" t="s">
        <v>1251</v>
      </c>
      <c r="D42" s="164" t="s">
        <v>1199</v>
      </c>
      <c r="E42" s="166" t="s">
        <v>53</v>
      </c>
      <c r="F42" s="164" t="s">
        <v>1200</v>
      </c>
      <c r="G42" s="164" t="s">
        <v>1201</v>
      </c>
      <c r="H42" s="164" t="s">
        <v>130</v>
      </c>
      <c r="I42" s="165">
        <v>2110020</v>
      </c>
      <c r="J42" s="165">
        <v>0</v>
      </c>
      <c r="K42" s="164">
        <v>0</v>
      </c>
      <c r="L42" s="234"/>
    </row>
    <row r="43" spans="2:12" x14ac:dyDescent="0.3">
      <c r="B43" s="164" t="s">
        <v>1252</v>
      </c>
      <c r="C43" s="164" t="s">
        <v>1253</v>
      </c>
      <c r="D43" s="164" t="s">
        <v>1199</v>
      </c>
      <c r="E43" s="166" t="s">
        <v>53</v>
      </c>
      <c r="F43" s="164" t="s">
        <v>1200</v>
      </c>
      <c r="G43" s="164" t="s">
        <v>1201</v>
      </c>
      <c r="H43" s="164" t="s">
        <v>130</v>
      </c>
      <c r="I43" s="165">
        <v>2110020</v>
      </c>
      <c r="J43" s="165">
        <v>0</v>
      </c>
      <c r="K43" s="164">
        <v>0</v>
      </c>
      <c r="L43" s="234"/>
    </row>
    <row r="44" spans="2:12" x14ac:dyDescent="0.3">
      <c r="B44" s="164" t="s">
        <v>1254</v>
      </c>
      <c r="C44" s="164" t="s">
        <v>1255</v>
      </c>
      <c r="D44" s="164" t="s">
        <v>1256</v>
      </c>
      <c r="E44" s="166" t="s">
        <v>53</v>
      </c>
      <c r="F44" s="164" t="s">
        <v>1200</v>
      </c>
      <c r="G44" s="164" t="s">
        <v>1201</v>
      </c>
      <c r="H44" s="164" t="s">
        <v>1208</v>
      </c>
      <c r="I44" s="165">
        <v>78447</v>
      </c>
      <c r="J44" s="165">
        <v>54</v>
      </c>
      <c r="K44" s="164">
        <v>6.88E-2</v>
      </c>
      <c r="L44" s="234"/>
    </row>
    <row r="45" spans="2:12" x14ac:dyDescent="0.3">
      <c r="I45" s="163"/>
      <c r="J45" s="163"/>
    </row>
    <row r="46" spans="2:12" x14ac:dyDescent="0.3">
      <c r="I46" s="163"/>
      <c r="J46" s="163"/>
    </row>
    <row r="47" spans="2:12" x14ac:dyDescent="0.3">
      <c r="B47" s="167" t="s">
        <v>1179</v>
      </c>
      <c r="C47" s="167" t="s">
        <v>1180</v>
      </c>
      <c r="D47" s="167" t="s">
        <v>1181</v>
      </c>
      <c r="E47" s="167" t="s">
        <v>1182</v>
      </c>
      <c r="F47" s="167" t="s">
        <v>1183</v>
      </c>
      <c r="G47" s="167" t="s">
        <v>1184</v>
      </c>
      <c r="H47" s="167" t="s">
        <v>1185</v>
      </c>
      <c r="I47" s="168" t="s">
        <v>1186</v>
      </c>
      <c r="J47" s="168" t="s">
        <v>1187</v>
      </c>
      <c r="K47" s="167" t="s">
        <v>1188</v>
      </c>
      <c r="L47" s="169" t="s">
        <v>1343</v>
      </c>
    </row>
    <row r="48" spans="2:12" x14ac:dyDescent="0.3">
      <c r="B48" s="164" t="s">
        <v>1257</v>
      </c>
      <c r="C48" s="164" t="s">
        <v>1258</v>
      </c>
      <c r="D48" s="164" t="s">
        <v>128</v>
      </c>
      <c r="E48" s="166" t="s">
        <v>54</v>
      </c>
      <c r="F48" s="164" t="s">
        <v>1223</v>
      </c>
      <c r="G48" s="164" t="s">
        <v>1192</v>
      </c>
      <c r="H48" s="164" t="s">
        <v>130</v>
      </c>
      <c r="I48" s="165">
        <v>2110767</v>
      </c>
      <c r="J48" s="165">
        <v>0</v>
      </c>
      <c r="K48" s="164">
        <v>0</v>
      </c>
      <c r="L48" s="234" t="s">
        <v>1344</v>
      </c>
    </row>
    <row r="49" spans="2:12" x14ac:dyDescent="0.3">
      <c r="B49" s="164" t="s">
        <v>1259</v>
      </c>
      <c r="C49" s="164" t="s">
        <v>1260</v>
      </c>
      <c r="D49" s="164" t="s">
        <v>1256</v>
      </c>
      <c r="E49" s="166" t="s">
        <v>54</v>
      </c>
      <c r="F49" s="164" t="s">
        <v>1200</v>
      </c>
      <c r="G49" s="164" t="s">
        <v>1201</v>
      </c>
      <c r="H49" s="164" t="s">
        <v>130</v>
      </c>
      <c r="I49" s="165">
        <v>78447</v>
      </c>
      <c r="J49" s="165">
        <v>0</v>
      </c>
      <c r="K49" s="164">
        <v>0</v>
      </c>
      <c r="L49" s="234"/>
    </row>
    <row r="50" spans="2:12" x14ac:dyDescent="0.3">
      <c r="B50" s="164" t="s">
        <v>1261</v>
      </c>
      <c r="C50" s="164" t="s">
        <v>1262</v>
      </c>
      <c r="D50" s="164" t="s">
        <v>1199</v>
      </c>
      <c r="E50" s="166" t="s">
        <v>54</v>
      </c>
      <c r="F50" s="164" t="s">
        <v>1200</v>
      </c>
      <c r="G50" s="164" t="s">
        <v>1201</v>
      </c>
      <c r="H50" s="164" t="s">
        <v>130</v>
      </c>
      <c r="I50" s="165">
        <v>2110020</v>
      </c>
      <c r="J50" s="165">
        <v>0</v>
      </c>
      <c r="K50" s="164">
        <v>0</v>
      </c>
      <c r="L50" s="234"/>
    </row>
    <row r="51" spans="2:12" x14ac:dyDescent="0.3">
      <c r="B51" s="164" t="s">
        <v>1263</v>
      </c>
      <c r="C51" s="164" t="s">
        <v>1264</v>
      </c>
      <c r="D51" s="164" t="s">
        <v>1199</v>
      </c>
      <c r="E51" s="166" t="s">
        <v>54</v>
      </c>
      <c r="F51" s="164" t="s">
        <v>1200</v>
      </c>
      <c r="G51" s="164" t="s">
        <v>1201</v>
      </c>
      <c r="H51" s="164" t="s">
        <v>130</v>
      </c>
      <c r="I51" s="165">
        <v>0</v>
      </c>
      <c r="J51" s="165">
        <v>0</v>
      </c>
      <c r="K51" s="164">
        <v>0</v>
      </c>
      <c r="L51" s="234"/>
    </row>
    <row r="52" spans="2:12" x14ac:dyDescent="0.3">
      <c r="B52" s="164" t="s">
        <v>1265</v>
      </c>
      <c r="C52" s="164" t="s">
        <v>1266</v>
      </c>
      <c r="D52" s="164" t="s">
        <v>128</v>
      </c>
      <c r="E52" s="166" t="s">
        <v>54</v>
      </c>
      <c r="F52" s="164" t="s">
        <v>1226</v>
      </c>
      <c r="G52" s="164" t="s">
        <v>1196</v>
      </c>
      <c r="H52" s="164" t="s">
        <v>1208</v>
      </c>
      <c r="I52" s="165">
        <v>2110020</v>
      </c>
      <c r="J52" s="165">
        <v>36</v>
      </c>
      <c r="K52" s="164">
        <v>1.6999999999999999E-3</v>
      </c>
      <c r="L52" s="234"/>
    </row>
    <row r="53" spans="2:12" x14ac:dyDescent="0.3">
      <c r="B53" s="164" t="s">
        <v>1267</v>
      </c>
      <c r="C53" s="164" t="s">
        <v>1268</v>
      </c>
      <c r="D53" s="164" t="s">
        <v>1199</v>
      </c>
      <c r="E53" s="166" t="s">
        <v>54</v>
      </c>
      <c r="F53" s="164" t="s">
        <v>1200</v>
      </c>
      <c r="G53" s="164" t="s">
        <v>1201</v>
      </c>
      <c r="H53" s="164" t="s">
        <v>1208</v>
      </c>
      <c r="I53" s="165">
        <v>2110020</v>
      </c>
      <c r="J53" s="165">
        <v>152</v>
      </c>
      <c r="K53" s="164">
        <v>7.1999999999999998E-3</v>
      </c>
      <c r="L53" s="234"/>
    </row>
    <row r="54" spans="2:12" x14ac:dyDescent="0.3">
      <c r="I54" s="163"/>
      <c r="J54" s="163"/>
    </row>
    <row r="55" spans="2:12" x14ac:dyDescent="0.3">
      <c r="I55" s="163"/>
      <c r="J55" s="163"/>
    </row>
    <row r="56" spans="2:12" x14ac:dyDescent="0.3">
      <c r="B56" s="167" t="s">
        <v>1179</v>
      </c>
      <c r="C56" s="167" t="s">
        <v>1180</v>
      </c>
      <c r="D56" s="167" t="s">
        <v>1181</v>
      </c>
      <c r="E56" s="167" t="s">
        <v>1182</v>
      </c>
      <c r="F56" s="167" t="s">
        <v>1183</v>
      </c>
      <c r="G56" s="167" t="s">
        <v>1184</v>
      </c>
      <c r="H56" s="167" t="s">
        <v>1185</v>
      </c>
      <c r="I56" s="168" t="s">
        <v>1186</v>
      </c>
      <c r="J56" s="168" t="s">
        <v>1187</v>
      </c>
      <c r="K56" s="167" t="s">
        <v>1188</v>
      </c>
      <c r="L56" s="169" t="s">
        <v>1343</v>
      </c>
    </row>
    <row r="57" spans="2:12" x14ac:dyDescent="0.3">
      <c r="B57" s="164" t="s">
        <v>1269</v>
      </c>
      <c r="C57" s="164" t="s">
        <v>772</v>
      </c>
      <c r="D57" s="164" t="s">
        <v>128</v>
      </c>
      <c r="E57" s="166" t="s">
        <v>290</v>
      </c>
      <c r="F57" s="164" t="s">
        <v>1191</v>
      </c>
      <c r="G57" s="164" t="s">
        <v>1192</v>
      </c>
      <c r="H57" s="164" t="s">
        <v>130</v>
      </c>
      <c r="I57" s="165">
        <v>2110767</v>
      </c>
      <c r="J57" s="165">
        <v>0</v>
      </c>
      <c r="K57" s="164">
        <v>0</v>
      </c>
      <c r="L57" s="231" t="s">
        <v>26</v>
      </c>
    </row>
    <row r="58" spans="2:12" x14ac:dyDescent="0.3">
      <c r="B58" s="164" t="s">
        <v>1270</v>
      </c>
      <c r="C58" s="164" t="s">
        <v>774</v>
      </c>
      <c r="D58" s="164" t="s">
        <v>128</v>
      </c>
      <c r="E58" s="166" t="s">
        <v>290</v>
      </c>
      <c r="F58" s="164" t="s">
        <v>1195</v>
      </c>
      <c r="G58" s="164" t="s">
        <v>1196</v>
      </c>
      <c r="H58" s="164" t="s">
        <v>130</v>
      </c>
      <c r="I58" s="165">
        <v>2110020</v>
      </c>
      <c r="J58" s="165">
        <v>0</v>
      </c>
      <c r="K58" s="164">
        <v>0</v>
      </c>
      <c r="L58" s="233"/>
    </row>
    <row r="59" spans="2:12" x14ac:dyDescent="0.3">
      <c r="I59" s="163"/>
      <c r="J59" s="163"/>
    </row>
    <row r="60" spans="2:12" x14ac:dyDescent="0.3">
      <c r="I60" s="163"/>
      <c r="J60" s="163"/>
    </row>
    <row r="61" spans="2:12" x14ac:dyDescent="0.3">
      <c r="B61" s="167" t="s">
        <v>1179</v>
      </c>
      <c r="C61" s="167" t="s">
        <v>1180</v>
      </c>
      <c r="D61" s="167" t="s">
        <v>1181</v>
      </c>
      <c r="E61" s="167" t="s">
        <v>1182</v>
      </c>
      <c r="F61" s="167" t="s">
        <v>1183</v>
      </c>
      <c r="G61" s="167" t="s">
        <v>1184</v>
      </c>
      <c r="H61" s="167" t="s">
        <v>1185</v>
      </c>
      <c r="I61" s="168" t="s">
        <v>1186</v>
      </c>
      <c r="J61" s="168" t="s">
        <v>1187</v>
      </c>
      <c r="K61" s="167" t="s">
        <v>1188</v>
      </c>
      <c r="L61" s="169" t="s">
        <v>1343</v>
      </c>
    </row>
    <row r="62" spans="2:12" x14ac:dyDescent="0.3">
      <c r="B62" s="164" t="s">
        <v>1271</v>
      </c>
      <c r="C62" s="164" t="s">
        <v>701</v>
      </c>
      <c r="D62" s="164" t="s">
        <v>128</v>
      </c>
      <c r="E62" s="166" t="s">
        <v>44</v>
      </c>
      <c r="F62" s="164" t="s">
        <v>1272</v>
      </c>
      <c r="G62" s="164" t="s">
        <v>1192</v>
      </c>
      <c r="H62" s="164" t="s">
        <v>130</v>
      </c>
      <c r="I62" s="165">
        <v>2110767</v>
      </c>
      <c r="J62" s="165">
        <v>0</v>
      </c>
      <c r="K62" s="164">
        <v>0</v>
      </c>
      <c r="L62" s="235" t="s">
        <v>1175</v>
      </c>
    </row>
    <row r="63" spans="2:12" x14ac:dyDescent="0.3">
      <c r="B63" s="164" t="s">
        <v>1273</v>
      </c>
      <c r="C63" s="164" t="s">
        <v>703</v>
      </c>
      <c r="D63" s="164" t="s">
        <v>1243</v>
      </c>
      <c r="E63" s="166" t="s">
        <v>44</v>
      </c>
      <c r="F63" s="164" t="s">
        <v>1272</v>
      </c>
      <c r="G63" s="164" t="s">
        <v>1274</v>
      </c>
      <c r="H63" s="164" t="s">
        <v>130</v>
      </c>
      <c r="I63" s="165">
        <v>2110020</v>
      </c>
      <c r="J63" s="165">
        <v>0</v>
      </c>
      <c r="K63" s="164">
        <v>0</v>
      </c>
      <c r="L63" s="236"/>
    </row>
    <row r="64" spans="2:12" x14ac:dyDescent="0.3">
      <c r="B64" s="164" t="s">
        <v>1275</v>
      </c>
      <c r="C64" s="164" t="s">
        <v>1276</v>
      </c>
      <c r="D64" s="164" t="s">
        <v>1199</v>
      </c>
      <c r="E64" s="166" t="s">
        <v>44</v>
      </c>
      <c r="F64" s="164" t="s">
        <v>1200</v>
      </c>
      <c r="G64" s="164" t="s">
        <v>1201</v>
      </c>
      <c r="H64" s="164" t="s">
        <v>1208</v>
      </c>
      <c r="I64" s="165">
        <v>114237</v>
      </c>
      <c r="J64" s="165">
        <v>82</v>
      </c>
      <c r="K64" s="164">
        <v>7.1800000000000003E-2</v>
      </c>
      <c r="L64" s="236"/>
    </row>
    <row r="65" spans="2:12" x14ac:dyDescent="0.3">
      <c r="B65" s="164" t="s">
        <v>1277</v>
      </c>
      <c r="C65" s="164" t="s">
        <v>704</v>
      </c>
      <c r="D65" s="164" t="s">
        <v>1199</v>
      </c>
      <c r="E65" s="166" t="s">
        <v>44</v>
      </c>
      <c r="F65" s="164" t="s">
        <v>1200</v>
      </c>
      <c r="G65" s="164" t="s">
        <v>1201</v>
      </c>
      <c r="H65" s="164" t="s">
        <v>130</v>
      </c>
      <c r="I65" s="165">
        <v>9676</v>
      </c>
      <c r="J65" s="165">
        <v>0</v>
      </c>
      <c r="K65" s="164">
        <v>0</v>
      </c>
      <c r="L65" s="236"/>
    </row>
    <row r="66" spans="2:12" x14ac:dyDescent="0.3">
      <c r="B66" s="164" t="s">
        <v>1278</v>
      </c>
      <c r="C66" s="164" t="s">
        <v>1279</v>
      </c>
      <c r="D66" s="164" t="s">
        <v>1199</v>
      </c>
      <c r="E66" s="166" t="s">
        <v>44</v>
      </c>
      <c r="F66" s="164" t="s">
        <v>1200</v>
      </c>
      <c r="G66" s="164" t="s">
        <v>1201</v>
      </c>
      <c r="H66" s="164" t="s">
        <v>1208</v>
      </c>
      <c r="I66" s="165">
        <v>1880234</v>
      </c>
      <c r="J66" s="165">
        <v>29</v>
      </c>
      <c r="K66" s="164">
        <v>1.5E-3</v>
      </c>
      <c r="L66" s="236"/>
    </row>
    <row r="67" spans="2:12" x14ac:dyDescent="0.3">
      <c r="B67" s="164" t="s">
        <v>1280</v>
      </c>
      <c r="C67" s="164" t="s">
        <v>1281</v>
      </c>
      <c r="D67" s="164" t="s">
        <v>1256</v>
      </c>
      <c r="E67" s="166" t="s">
        <v>44</v>
      </c>
      <c r="F67" s="164" t="s">
        <v>1200</v>
      </c>
      <c r="G67" s="164" t="s">
        <v>1201</v>
      </c>
      <c r="H67" s="164" t="s">
        <v>1208</v>
      </c>
      <c r="I67" s="165">
        <v>17066</v>
      </c>
      <c r="J67" s="165">
        <v>2055</v>
      </c>
      <c r="K67" s="164">
        <v>12.041499999999999</v>
      </c>
      <c r="L67" s="236"/>
    </row>
    <row r="68" spans="2:12" x14ac:dyDescent="0.3">
      <c r="B68" s="164" t="s">
        <v>1282</v>
      </c>
      <c r="C68" s="164" t="s">
        <v>713</v>
      </c>
      <c r="D68" s="164" t="s">
        <v>1199</v>
      </c>
      <c r="E68" s="166" t="s">
        <v>44</v>
      </c>
      <c r="F68" s="164" t="s">
        <v>1200</v>
      </c>
      <c r="G68" s="164" t="s">
        <v>1201</v>
      </c>
      <c r="H68" s="164" t="s">
        <v>130</v>
      </c>
      <c r="I68" s="165">
        <v>1991285</v>
      </c>
      <c r="J68" s="165">
        <v>0</v>
      </c>
      <c r="K68" s="164">
        <v>0</v>
      </c>
      <c r="L68" s="236"/>
    </row>
    <row r="69" spans="2:12" x14ac:dyDescent="0.3">
      <c r="B69" s="164" t="s">
        <v>1283</v>
      </c>
      <c r="C69" s="164" t="s">
        <v>1284</v>
      </c>
      <c r="D69" s="164" t="s">
        <v>1285</v>
      </c>
      <c r="E69" s="166" t="s">
        <v>44</v>
      </c>
      <c r="F69" s="164" t="s">
        <v>1200</v>
      </c>
      <c r="G69" s="164" t="s">
        <v>1201</v>
      </c>
      <c r="H69" s="164" t="s">
        <v>130</v>
      </c>
      <c r="I69" s="165">
        <v>1846326</v>
      </c>
      <c r="J69" s="165">
        <v>0</v>
      </c>
      <c r="K69" s="164">
        <v>0</v>
      </c>
      <c r="L69" s="236"/>
    </row>
    <row r="70" spans="2:12" x14ac:dyDescent="0.3">
      <c r="B70" s="164" t="s">
        <v>1286</v>
      </c>
      <c r="C70" s="164" t="s">
        <v>1287</v>
      </c>
      <c r="D70" s="164" t="s">
        <v>1285</v>
      </c>
      <c r="E70" s="166" t="s">
        <v>44</v>
      </c>
      <c r="F70" s="164" t="s">
        <v>1200</v>
      </c>
      <c r="G70" s="164" t="s">
        <v>1201</v>
      </c>
      <c r="H70" s="164" t="s">
        <v>130</v>
      </c>
      <c r="I70" s="165">
        <v>1633131</v>
      </c>
      <c r="J70" s="165">
        <v>0</v>
      </c>
      <c r="K70" s="164">
        <v>0</v>
      </c>
      <c r="L70" s="236"/>
    </row>
    <row r="71" spans="2:12" x14ac:dyDescent="0.3">
      <c r="B71" s="164" t="s">
        <v>1288</v>
      </c>
      <c r="C71" s="164" t="s">
        <v>1289</v>
      </c>
      <c r="D71" s="164" t="s">
        <v>1285</v>
      </c>
      <c r="E71" s="166" t="s">
        <v>44</v>
      </c>
      <c r="F71" s="164" t="s">
        <v>1200</v>
      </c>
      <c r="G71" s="164" t="s">
        <v>1201</v>
      </c>
      <c r="H71" s="164" t="s">
        <v>130</v>
      </c>
      <c r="I71" s="165">
        <v>358154</v>
      </c>
      <c r="J71" s="165">
        <v>0</v>
      </c>
      <c r="K71" s="164">
        <v>0</v>
      </c>
      <c r="L71" s="236"/>
    </row>
    <row r="72" spans="2:12" x14ac:dyDescent="0.3">
      <c r="B72" s="164" t="s">
        <v>1290</v>
      </c>
      <c r="C72" s="164" t="s">
        <v>1291</v>
      </c>
      <c r="D72" s="164" t="s">
        <v>1285</v>
      </c>
      <c r="E72" s="166" t="s">
        <v>44</v>
      </c>
      <c r="F72" s="164" t="s">
        <v>1200</v>
      </c>
      <c r="G72" s="164" t="s">
        <v>1201</v>
      </c>
      <c r="H72" s="164" t="s">
        <v>130</v>
      </c>
      <c r="I72" s="165">
        <v>118735</v>
      </c>
      <c r="J72" s="165">
        <v>0</v>
      </c>
      <c r="K72" s="164">
        <v>0</v>
      </c>
      <c r="L72" s="237"/>
    </row>
    <row r="73" spans="2:12" x14ac:dyDescent="0.3">
      <c r="I73" s="163"/>
      <c r="J73" s="163"/>
    </row>
    <row r="74" spans="2:12" x14ac:dyDescent="0.3">
      <c r="I74" s="163"/>
      <c r="J74" s="163"/>
    </row>
    <row r="75" spans="2:12" x14ac:dyDescent="0.3">
      <c r="B75" s="167" t="s">
        <v>1179</v>
      </c>
      <c r="C75" s="167" t="s">
        <v>1180</v>
      </c>
      <c r="D75" s="167" t="s">
        <v>1181</v>
      </c>
      <c r="E75" s="167" t="s">
        <v>1182</v>
      </c>
      <c r="F75" s="167" t="s">
        <v>1183</v>
      </c>
      <c r="G75" s="167" t="s">
        <v>1184</v>
      </c>
      <c r="H75" s="167" t="s">
        <v>1185</v>
      </c>
      <c r="I75" s="168" t="s">
        <v>1186</v>
      </c>
      <c r="J75" s="168" t="s">
        <v>1187</v>
      </c>
      <c r="K75" s="167" t="s">
        <v>1188</v>
      </c>
      <c r="L75" s="169" t="s">
        <v>1343</v>
      </c>
    </row>
    <row r="76" spans="2:12" x14ac:dyDescent="0.3">
      <c r="B76" s="164" t="s">
        <v>1292</v>
      </c>
      <c r="C76" s="164" t="s">
        <v>1293</v>
      </c>
      <c r="D76" s="164" t="s">
        <v>128</v>
      </c>
      <c r="E76" s="166" t="s">
        <v>46</v>
      </c>
      <c r="F76" s="164" t="s">
        <v>1272</v>
      </c>
      <c r="G76" s="164" t="s">
        <v>1192</v>
      </c>
      <c r="H76" s="164" t="s">
        <v>130</v>
      </c>
      <c r="I76" s="165">
        <v>2110767</v>
      </c>
      <c r="J76" s="165">
        <v>0</v>
      </c>
      <c r="K76" s="164">
        <v>0</v>
      </c>
      <c r="L76" s="230" t="s">
        <v>26</v>
      </c>
    </row>
    <row r="77" spans="2:12" x14ac:dyDescent="0.3">
      <c r="B77" s="164" t="s">
        <v>1294</v>
      </c>
      <c r="C77" s="164" t="s">
        <v>1295</v>
      </c>
      <c r="D77" s="164" t="s">
        <v>1243</v>
      </c>
      <c r="E77" s="166" t="s">
        <v>46</v>
      </c>
      <c r="F77" s="164" t="s">
        <v>1272</v>
      </c>
      <c r="G77" s="164" t="s">
        <v>1274</v>
      </c>
      <c r="H77" s="164" t="s">
        <v>130</v>
      </c>
      <c r="I77" s="165">
        <v>2110020</v>
      </c>
      <c r="J77" s="165">
        <v>0</v>
      </c>
      <c r="K77" s="164">
        <v>0</v>
      </c>
      <c r="L77" s="230"/>
    </row>
    <row r="78" spans="2:12" x14ac:dyDescent="0.3">
      <c r="B78" s="164" t="s">
        <v>1296</v>
      </c>
      <c r="C78" s="164" t="s">
        <v>1297</v>
      </c>
      <c r="D78" s="164" t="s">
        <v>1285</v>
      </c>
      <c r="E78" s="166" t="s">
        <v>46</v>
      </c>
      <c r="F78" s="164" t="s">
        <v>1200</v>
      </c>
      <c r="G78" s="164" t="s">
        <v>1201</v>
      </c>
      <c r="H78" s="164" t="s">
        <v>130</v>
      </c>
      <c r="I78" s="165">
        <v>0</v>
      </c>
      <c r="J78" s="165">
        <v>0</v>
      </c>
      <c r="K78" s="164">
        <v>0</v>
      </c>
      <c r="L78" s="230"/>
    </row>
    <row r="79" spans="2:12" x14ac:dyDescent="0.3">
      <c r="B79" s="164" t="s">
        <v>1298</v>
      </c>
      <c r="C79" s="164" t="s">
        <v>1299</v>
      </c>
      <c r="D79" s="164" t="s">
        <v>1285</v>
      </c>
      <c r="E79" s="166" t="s">
        <v>46</v>
      </c>
      <c r="F79" s="164" t="s">
        <v>1200</v>
      </c>
      <c r="G79" s="164" t="s">
        <v>1201</v>
      </c>
      <c r="H79" s="164" t="s">
        <v>130</v>
      </c>
      <c r="I79" s="165">
        <v>1846326</v>
      </c>
      <c r="J79" s="165">
        <v>0</v>
      </c>
      <c r="K79" s="164">
        <v>0</v>
      </c>
      <c r="L79" s="230"/>
    </row>
    <row r="80" spans="2:12" x14ac:dyDescent="0.3">
      <c r="I80" s="163"/>
      <c r="J80" s="163"/>
    </row>
    <row r="81" spans="2:12" x14ac:dyDescent="0.3">
      <c r="I81" s="163"/>
      <c r="J81" s="163"/>
    </row>
    <row r="82" spans="2:12" x14ac:dyDescent="0.3">
      <c r="B82" s="167" t="s">
        <v>1179</v>
      </c>
      <c r="C82" s="167" t="s">
        <v>1180</v>
      </c>
      <c r="D82" s="167" t="s">
        <v>1181</v>
      </c>
      <c r="E82" s="167" t="s">
        <v>1182</v>
      </c>
      <c r="F82" s="167" t="s">
        <v>1183</v>
      </c>
      <c r="G82" s="167" t="s">
        <v>1184</v>
      </c>
      <c r="H82" s="167" t="s">
        <v>1185</v>
      </c>
      <c r="I82" s="168" t="s">
        <v>1186</v>
      </c>
      <c r="J82" s="168" t="s">
        <v>1187</v>
      </c>
      <c r="K82" s="167" t="s">
        <v>1188</v>
      </c>
      <c r="L82" s="169" t="s">
        <v>1343</v>
      </c>
    </row>
    <row r="83" spans="2:12" x14ac:dyDescent="0.3">
      <c r="B83" s="164" t="s">
        <v>1300</v>
      </c>
      <c r="C83" s="164" t="s">
        <v>827</v>
      </c>
      <c r="D83" s="164" t="s">
        <v>161</v>
      </c>
      <c r="E83" s="166" t="s">
        <v>41</v>
      </c>
      <c r="F83" s="164" t="s">
        <v>1191</v>
      </c>
      <c r="G83" s="164" t="s">
        <v>1301</v>
      </c>
      <c r="H83" s="164" t="s">
        <v>130</v>
      </c>
      <c r="I83" s="165">
        <v>442325</v>
      </c>
      <c r="J83" s="165">
        <v>0</v>
      </c>
      <c r="K83" s="164">
        <v>0</v>
      </c>
      <c r="L83" s="231" t="s">
        <v>1345</v>
      </c>
    </row>
    <row r="84" spans="2:12" x14ac:dyDescent="0.3">
      <c r="B84" s="164" t="s">
        <v>1302</v>
      </c>
      <c r="C84" s="164" t="s">
        <v>829</v>
      </c>
      <c r="D84" s="164" t="s">
        <v>161</v>
      </c>
      <c r="E84" s="166" t="s">
        <v>41</v>
      </c>
      <c r="F84" s="164" t="s">
        <v>1303</v>
      </c>
      <c r="G84" s="164" t="s">
        <v>1304</v>
      </c>
      <c r="H84" s="164" t="s">
        <v>130</v>
      </c>
      <c r="I84" s="165">
        <v>442325</v>
      </c>
      <c r="J84" s="165">
        <v>0</v>
      </c>
      <c r="K84" s="164">
        <v>0</v>
      </c>
      <c r="L84" s="232"/>
    </row>
    <row r="85" spans="2:12" x14ac:dyDescent="0.3">
      <c r="B85" s="164" t="s">
        <v>1305</v>
      </c>
      <c r="C85" s="164" t="s">
        <v>831</v>
      </c>
      <c r="D85" s="164" t="s">
        <v>1306</v>
      </c>
      <c r="E85" s="166" t="s">
        <v>41</v>
      </c>
      <c r="F85" s="164" t="s">
        <v>1200</v>
      </c>
      <c r="G85" s="164" t="s">
        <v>1307</v>
      </c>
      <c r="H85" s="164" t="s">
        <v>1208</v>
      </c>
      <c r="I85" s="165">
        <v>277613</v>
      </c>
      <c r="J85" s="165">
        <v>126</v>
      </c>
      <c r="K85" s="164">
        <v>4.5400000000000003E-2</v>
      </c>
      <c r="L85" s="232"/>
    </row>
    <row r="86" spans="2:12" x14ac:dyDescent="0.3">
      <c r="B86" s="164" t="s">
        <v>1308</v>
      </c>
      <c r="C86" s="164" t="s">
        <v>833</v>
      </c>
      <c r="D86" s="164" t="s">
        <v>1306</v>
      </c>
      <c r="E86" s="166" t="s">
        <v>41</v>
      </c>
      <c r="F86" s="164" t="s">
        <v>1200</v>
      </c>
      <c r="G86" s="164" t="s">
        <v>1307</v>
      </c>
      <c r="H86" s="164" t="s">
        <v>130</v>
      </c>
      <c r="I86" s="165">
        <v>164712</v>
      </c>
      <c r="J86" s="165">
        <v>0</v>
      </c>
      <c r="K86" s="164">
        <v>0</v>
      </c>
      <c r="L86" s="232"/>
    </row>
    <row r="87" spans="2:12" x14ac:dyDescent="0.3">
      <c r="B87" s="164" t="s">
        <v>1309</v>
      </c>
      <c r="C87" s="164" t="s">
        <v>1310</v>
      </c>
      <c r="D87" s="164" t="s">
        <v>1306</v>
      </c>
      <c r="E87" s="166" t="s">
        <v>41</v>
      </c>
      <c r="F87" s="164" t="s">
        <v>1200</v>
      </c>
      <c r="G87" s="164" t="s">
        <v>1307</v>
      </c>
      <c r="H87" s="164" t="s">
        <v>130</v>
      </c>
      <c r="I87" s="165">
        <v>164303</v>
      </c>
      <c r="J87" s="165">
        <v>0</v>
      </c>
      <c r="K87" s="164">
        <v>0</v>
      </c>
      <c r="L87" s="233"/>
    </row>
    <row r="88" spans="2:12" x14ac:dyDescent="0.3">
      <c r="I88" s="163"/>
      <c r="J88" s="163"/>
    </row>
    <row r="89" spans="2:12" x14ac:dyDescent="0.3">
      <c r="I89" s="163"/>
      <c r="J89" s="163"/>
    </row>
    <row r="90" spans="2:12" x14ac:dyDescent="0.3">
      <c r="B90" s="167" t="s">
        <v>1179</v>
      </c>
      <c r="C90" s="167" t="s">
        <v>1180</v>
      </c>
      <c r="D90" s="167" t="s">
        <v>1181</v>
      </c>
      <c r="E90" s="167" t="s">
        <v>1182</v>
      </c>
      <c r="F90" s="167" t="s">
        <v>1183</v>
      </c>
      <c r="G90" s="167" t="s">
        <v>1184</v>
      </c>
      <c r="H90" s="167" t="s">
        <v>1185</v>
      </c>
      <c r="I90" s="168" t="s">
        <v>1186</v>
      </c>
      <c r="J90" s="168" t="s">
        <v>1187</v>
      </c>
      <c r="K90" s="167" t="s">
        <v>1188</v>
      </c>
      <c r="L90" s="169" t="s">
        <v>1343</v>
      </c>
    </row>
    <row r="91" spans="2:12" x14ac:dyDescent="0.3">
      <c r="B91" s="164" t="s">
        <v>1311</v>
      </c>
      <c r="C91" s="164" t="s">
        <v>1312</v>
      </c>
      <c r="D91" s="164" t="s">
        <v>128</v>
      </c>
      <c r="E91" s="166" t="s">
        <v>45</v>
      </c>
      <c r="F91" s="164" t="s">
        <v>1313</v>
      </c>
      <c r="G91" s="164" t="s">
        <v>1245</v>
      </c>
      <c r="H91" s="164" t="s">
        <v>130</v>
      </c>
      <c r="I91" s="165">
        <v>2110020</v>
      </c>
      <c r="J91" s="165">
        <v>0</v>
      </c>
      <c r="K91" s="164">
        <v>0</v>
      </c>
      <c r="L91" s="230"/>
    </row>
    <row r="92" spans="2:12" x14ac:dyDescent="0.3">
      <c r="B92" s="164" t="s">
        <v>1314</v>
      </c>
      <c r="C92" s="164" t="s">
        <v>1315</v>
      </c>
      <c r="D92" s="164" t="s">
        <v>128</v>
      </c>
      <c r="E92" s="166" t="s">
        <v>45</v>
      </c>
      <c r="F92" s="164" t="s">
        <v>1272</v>
      </c>
      <c r="G92" s="164" t="s">
        <v>1192</v>
      </c>
      <c r="H92" s="164" t="s">
        <v>130</v>
      </c>
      <c r="I92" s="165">
        <v>2110767</v>
      </c>
      <c r="J92" s="165">
        <v>0</v>
      </c>
      <c r="K92" s="164">
        <v>0</v>
      </c>
      <c r="L92" s="230"/>
    </row>
    <row r="93" spans="2:12" x14ac:dyDescent="0.3">
      <c r="B93" s="164" t="s">
        <v>1316</v>
      </c>
      <c r="C93" s="164" t="s">
        <v>1317</v>
      </c>
      <c r="D93" s="164" t="s">
        <v>1199</v>
      </c>
      <c r="E93" s="166" t="s">
        <v>45</v>
      </c>
      <c r="F93" s="164" t="s">
        <v>1200</v>
      </c>
      <c r="G93" s="164" t="s">
        <v>1201</v>
      </c>
      <c r="H93" s="164" t="s">
        <v>1208</v>
      </c>
      <c r="I93" s="165">
        <v>114237</v>
      </c>
      <c r="J93" s="165">
        <v>82</v>
      </c>
      <c r="K93" s="164">
        <v>7.1800000000000003E-2</v>
      </c>
      <c r="L93" s="230"/>
    </row>
    <row r="94" spans="2:12" x14ac:dyDescent="0.3">
      <c r="B94" s="164" t="s">
        <v>1318</v>
      </c>
      <c r="C94" s="164" t="s">
        <v>1319</v>
      </c>
      <c r="D94" s="164" t="s">
        <v>1320</v>
      </c>
      <c r="E94" s="166" t="s">
        <v>45</v>
      </c>
      <c r="F94" s="164" t="s">
        <v>1200</v>
      </c>
      <c r="G94" s="164" t="s">
        <v>1201</v>
      </c>
      <c r="H94" s="164" t="s">
        <v>1208</v>
      </c>
      <c r="I94" s="165">
        <v>107</v>
      </c>
      <c r="J94" s="165">
        <v>11</v>
      </c>
      <c r="K94" s="164">
        <v>10.2804</v>
      </c>
      <c r="L94" s="230"/>
    </row>
    <row r="95" spans="2:12" x14ac:dyDescent="0.3">
      <c r="B95" s="164" t="s">
        <v>1321</v>
      </c>
      <c r="C95" s="164" t="s">
        <v>1322</v>
      </c>
      <c r="D95" s="164" t="s">
        <v>1256</v>
      </c>
      <c r="E95" s="166" t="s">
        <v>45</v>
      </c>
      <c r="F95" s="164" t="s">
        <v>1200</v>
      </c>
      <c r="G95" s="164" t="s">
        <v>1201</v>
      </c>
      <c r="H95" s="164" t="s">
        <v>1208</v>
      </c>
      <c r="I95" s="165">
        <v>129659</v>
      </c>
      <c r="J95" s="165">
        <v>10927</v>
      </c>
      <c r="K95" s="164">
        <v>8.4275000000000002</v>
      </c>
      <c r="L95" s="230"/>
    </row>
    <row r="96" spans="2:12" x14ac:dyDescent="0.3">
      <c r="B96" s="164" t="s">
        <v>1323</v>
      </c>
      <c r="C96" s="164" t="s">
        <v>1324</v>
      </c>
      <c r="D96" s="164" t="s">
        <v>1199</v>
      </c>
      <c r="E96" s="166" t="s">
        <v>45</v>
      </c>
      <c r="F96" s="164" t="s">
        <v>1200</v>
      </c>
      <c r="G96" s="164" t="s">
        <v>1201</v>
      </c>
      <c r="H96" s="164" t="s">
        <v>130</v>
      </c>
      <c r="I96" s="165">
        <v>2110020</v>
      </c>
      <c r="J96" s="165">
        <v>0</v>
      </c>
      <c r="K96" s="164">
        <v>0</v>
      </c>
      <c r="L96" s="230"/>
    </row>
    <row r="97" spans="2:13" x14ac:dyDescent="0.3">
      <c r="B97" s="164" t="s">
        <v>1325</v>
      </c>
      <c r="C97" s="164" t="s">
        <v>1326</v>
      </c>
      <c r="D97" s="164" t="s">
        <v>1199</v>
      </c>
      <c r="E97" s="166" t="s">
        <v>45</v>
      </c>
      <c r="F97" s="164" t="s">
        <v>1200</v>
      </c>
      <c r="G97" s="164" t="s">
        <v>1201</v>
      </c>
      <c r="H97" s="164" t="s">
        <v>130</v>
      </c>
      <c r="I97" s="165">
        <v>1553145</v>
      </c>
      <c r="J97" s="165">
        <v>0</v>
      </c>
      <c r="K97" s="164">
        <v>0</v>
      </c>
      <c r="L97" s="230"/>
    </row>
    <row r="98" spans="2:13" x14ac:dyDescent="0.3">
      <c r="B98" s="164" t="s">
        <v>1327</v>
      </c>
      <c r="C98" s="164" t="s">
        <v>1328</v>
      </c>
      <c r="D98" s="164" t="s">
        <v>1285</v>
      </c>
      <c r="E98" s="166" t="s">
        <v>45</v>
      </c>
      <c r="F98" s="164" t="s">
        <v>1200</v>
      </c>
      <c r="G98" s="164" t="s">
        <v>1201</v>
      </c>
      <c r="H98" s="164" t="s">
        <v>130</v>
      </c>
      <c r="I98" s="165">
        <v>1991285</v>
      </c>
      <c r="J98" s="165">
        <v>0</v>
      </c>
      <c r="K98" s="164">
        <v>0</v>
      </c>
      <c r="L98" s="230"/>
    </row>
    <row r="99" spans="2:13" x14ac:dyDescent="0.3">
      <c r="B99" s="164" t="s">
        <v>1329</v>
      </c>
      <c r="C99" s="164" t="s">
        <v>1330</v>
      </c>
      <c r="D99" s="164" t="s">
        <v>1285</v>
      </c>
      <c r="E99" s="166" t="s">
        <v>45</v>
      </c>
      <c r="F99" s="164" t="s">
        <v>1200</v>
      </c>
      <c r="G99" s="164" t="s">
        <v>1201</v>
      </c>
      <c r="H99" s="164" t="s">
        <v>130</v>
      </c>
      <c r="I99" s="165">
        <v>118735</v>
      </c>
      <c r="J99" s="165">
        <v>0</v>
      </c>
      <c r="K99" s="164">
        <v>0</v>
      </c>
      <c r="L99" s="230"/>
    </row>
    <row r="100" spans="2:13" x14ac:dyDescent="0.3">
      <c r="B100" s="164" t="s">
        <v>1331</v>
      </c>
      <c r="C100" s="164" t="s">
        <v>1332</v>
      </c>
      <c r="D100" s="164" t="s">
        <v>1320</v>
      </c>
      <c r="E100" s="166" t="s">
        <v>45</v>
      </c>
      <c r="F100" s="164" t="s">
        <v>1200</v>
      </c>
      <c r="G100" s="164" t="s">
        <v>1201</v>
      </c>
      <c r="H100" s="164" t="s">
        <v>130</v>
      </c>
      <c r="I100" s="165">
        <v>11745</v>
      </c>
      <c r="J100" s="165">
        <v>0</v>
      </c>
      <c r="K100" s="164">
        <v>0</v>
      </c>
      <c r="L100" s="230"/>
    </row>
    <row r="101" spans="2:13" x14ac:dyDescent="0.3">
      <c r="B101" s="164" t="s">
        <v>1333</v>
      </c>
      <c r="C101" s="164" t="s">
        <v>1334</v>
      </c>
      <c r="D101" s="164" t="s">
        <v>1199</v>
      </c>
      <c r="E101" s="166" t="s">
        <v>45</v>
      </c>
      <c r="F101" s="164" t="s">
        <v>1200</v>
      </c>
      <c r="G101" s="164" t="s">
        <v>1201</v>
      </c>
      <c r="H101" s="164" t="s">
        <v>130</v>
      </c>
      <c r="I101" s="165">
        <v>118735</v>
      </c>
      <c r="J101" s="165">
        <v>0</v>
      </c>
      <c r="K101" s="164">
        <v>0</v>
      </c>
      <c r="L101" s="230"/>
    </row>
    <row r="102" spans="2:13" x14ac:dyDescent="0.3">
      <c r="I102" s="163"/>
      <c r="J102" s="163"/>
    </row>
    <row r="103" spans="2:13" x14ac:dyDescent="0.3">
      <c r="I103" s="163"/>
      <c r="J103" s="163"/>
    </row>
    <row r="104" spans="2:13" x14ac:dyDescent="0.3">
      <c r="B104" s="167" t="s">
        <v>1179</v>
      </c>
      <c r="C104" s="167" t="s">
        <v>1180</v>
      </c>
      <c r="D104" s="167" t="s">
        <v>1181</v>
      </c>
      <c r="E104" s="167" t="s">
        <v>1182</v>
      </c>
      <c r="F104" s="167" t="s">
        <v>1183</v>
      </c>
      <c r="G104" s="167" t="s">
        <v>1184</v>
      </c>
      <c r="H104" s="167" t="s">
        <v>1185</v>
      </c>
      <c r="I104" s="168" t="s">
        <v>1186</v>
      </c>
      <c r="J104" s="168" t="s">
        <v>1187</v>
      </c>
      <c r="K104" s="167" t="s">
        <v>1188</v>
      </c>
      <c r="L104" s="169" t="s">
        <v>1343</v>
      </c>
    </row>
    <row r="105" spans="2:13" x14ac:dyDescent="0.3">
      <c r="B105" s="164" t="s">
        <v>1335</v>
      </c>
      <c r="C105" s="164" t="s">
        <v>1336</v>
      </c>
      <c r="D105" s="164" t="s">
        <v>128</v>
      </c>
      <c r="E105" s="166" t="s">
        <v>47</v>
      </c>
      <c r="F105" s="164" t="s">
        <v>1272</v>
      </c>
      <c r="G105" s="164" t="s">
        <v>1192</v>
      </c>
      <c r="H105" s="164" t="s">
        <v>130</v>
      </c>
      <c r="I105" s="165">
        <v>2110767</v>
      </c>
      <c r="J105" s="165">
        <v>0</v>
      </c>
      <c r="K105" s="164">
        <v>0</v>
      </c>
      <c r="L105" s="230" t="s">
        <v>1347</v>
      </c>
    </row>
    <row r="106" spans="2:13" x14ac:dyDescent="0.3">
      <c r="B106" s="164" t="s">
        <v>1337</v>
      </c>
      <c r="C106" s="164" t="s">
        <v>1338</v>
      </c>
      <c r="D106" s="164" t="s">
        <v>1199</v>
      </c>
      <c r="E106" s="166" t="s">
        <v>47</v>
      </c>
      <c r="F106" s="164" t="s">
        <v>1200</v>
      </c>
      <c r="G106" s="164" t="s">
        <v>1201</v>
      </c>
      <c r="H106" s="164" t="s">
        <v>130</v>
      </c>
      <c r="I106" s="165">
        <v>51141</v>
      </c>
      <c r="J106" s="165">
        <v>0</v>
      </c>
      <c r="K106" s="164">
        <v>0</v>
      </c>
      <c r="L106" s="230"/>
      <c r="M106" t="s">
        <v>1348</v>
      </c>
    </row>
    <row r="107" spans="2:13" x14ac:dyDescent="0.3">
      <c r="B107" s="164" t="s">
        <v>1339</v>
      </c>
      <c r="C107" s="164" t="s">
        <v>1340</v>
      </c>
      <c r="D107" s="164" t="s">
        <v>1199</v>
      </c>
      <c r="E107" s="166" t="s">
        <v>47</v>
      </c>
      <c r="F107" s="164" t="s">
        <v>1200</v>
      </c>
      <c r="G107" s="164" t="s">
        <v>1201</v>
      </c>
      <c r="H107" s="164" t="s">
        <v>130</v>
      </c>
      <c r="I107" s="165">
        <v>0</v>
      </c>
      <c r="J107" s="165">
        <v>0</v>
      </c>
      <c r="K107" s="164">
        <v>0</v>
      </c>
      <c r="L107" s="230"/>
    </row>
    <row r="108" spans="2:13" x14ac:dyDescent="0.3">
      <c r="B108" s="164" t="s">
        <v>1341</v>
      </c>
      <c r="C108" s="164" t="s">
        <v>1342</v>
      </c>
      <c r="D108" s="164" t="s">
        <v>1199</v>
      </c>
      <c r="E108" s="166" t="s">
        <v>47</v>
      </c>
      <c r="F108" s="164" t="s">
        <v>1200</v>
      </c>
      <c r="G108" s="164" t="s">
        <v>1201</v>
      </c>
      <c r="H108" s="164" t="s">
        <v>130</v>
      </c>
      <c r="I108" s="165">
        <v>0</v>
      </c>
      <c r="J108" s="165">
        <v>0</v>
      </c>
      <c r="K108" s="164">
        <v>0</v>
      </c>
      <c r="L108" s="230"/>
    </row>
  </sheetData>
  <mergeCells count="13">
    <mergeCell ref="L3:L8"/>
    <mergeCell ref="L39:L44"/>
    <mergeCell ref="L48:L53"/>
    <mergeCell ref="L57:L58"/>
    <mergeCell ref="L62:L72"/>
    <mergeCell ref="L105:L108"/>
    <mergeCell ref="L76:L79"/>
    <mergeCell ref="L83:L87"/>
    <mergeCell ref="L91:L101"/>
    <mergeCell ref="L12:L15"/>
    <mergeCell ref="L19:L20"/>
    <mergeCell ref="L24:L27"/>
    <mergeCell ref="L31:L35"/>
  </mergeCells>
  <conditionalFormatting sqref="H1:H1048576">
    <cfRule type="cellIs" dxfId="1" priority="1" operator="equal">
      <formula>"KO"</formula>
    </cfRule>
    <cfRule type="cellIs" dxfId="0" priority="2" operator="equal">
      <formula>"OK"</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434b52fc5b014f91874dcdb5ac7e02b6">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01ab76691a39df134d926fa71d8b9473"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A9D5AD-5A66-43CE-BB4D-0F048F16D84B}">
  <ds:schemaRefs>
    <ds:schemaRef ds:uri="http://schemas.microsoft.com/sharepoint/v3/contenttype/forms"/>
  </ds:schemaRefs>
</ds:datastoreItem>
</file>

<file path=customXml/itemProps2.xml><?xml version="1.0" encoding="utf-8"?>
<ds:datastoreItem xmlns:ds="http://schemas.openxmlformats.org/officeDocument/2006/customXml" ds:itemID="{BD08B9EA-78A1-402B-9A17-848E2AB9FB5A}">
  <ds:schemaRefs>
    <ds:schemaRef ds:uri="http://purl.org/dc/elements/1.1/"/>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dcmitype/"/>
    <ds:schemaRef ds:uri="http://schemas.microsoft.com/sharepoint/v3"/>
    <ds:schemaRef ds:uri="7b1ec8e5-5652-48eb-8550-a56a35f5f817"/>
    <ds:schemaRef ds:uri="a9b50dc7-8f72-473c-8b7e-4a8c46ecad32"/>
    <ds:schemaRef ds:uri="http://schemas.microsoft.com/office/2006/metadata/properties"/>
  </ds:schemaRefs>
</ds:datastoreItem>
</file>

<file path=customXml/itemProps3.xml><?xml version="1.0" encoding="utf-8"?>
<ds:datastoreItem xmlns:ds="http://schemas.openxmlformats.org/officeDocument/2006/customXml" ds:itemID="{71DA6F53-1CA7-45AA-BBE2-21055912F6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40</vt:i4>
      </vt:variant>
    </vt:vector>
  </HeadingPairs>
  <TitlesOfParts>
    <vt:vector size="51" baseType="lpstr">
      <vt:lpstr>Status</vt:lpstr>
      <vt:lpstr>PDS (old)</vt:lpstr>
      <vt:lpstr>Aux.</vt:lpstr>
      <vt:lpstr>PDS</vt:lpstr>
      <vt:lpstr>Detalhe</vt:lpstr>
      <vt:lpstr>Caderno Testes</vt:lpstr>
      <vt:lpstr>WJ</vt:lpstr>
      <vt:lpstr>Campos IMP vs CNT</vt:lpstr>
      <vt:lpstr>Planeamento</vt:lpstr>
      <vt:lpstr>Status PM</vt:lpstr>
      <vt:lpstr>Controlos Corporativos</vt:lpstr>
      <vt:lpstr>'Campos IMP vs CNT'!_Hlk71900621</vt:lpstr>
      <vt:lpstr>'Campos IMP vs CNT'!_Toc164082158</vt:lpstr>
      <vt:lpstr>'Campos IMP vs CNT'!_Toc164082286</vt:lpstr>
      <vt:lpstr>'Campos IMP vs CNT'!_Toc164082298</vt:lpstr>
      <vt:lpstr>'Campos IMP vs CNT'!_Toc164082299</vt:lpstr>
      <vt:lpstr>'Campos IMP vs CNT'!_Toc164082302</vt:lpstr>
      <vt:lpstr>'Campos IMP vs CNT'!_Toc164082303</vt:lpstr>
      <vt:lpstr>'Campos IMP vs CNT'!_Toc164082304</vt:lpstr>
      <vt:lpstr>'Campos IMP vs CNT'!_Toc164082314</vt:lpstr>
      <vt:lpstr>'Campos IMP vs CNT'!_Toc164082315</vt:lpstr>
      <vt:lpstr>'Campos IMP vs CNT'!_Toc164082316</vt:lpstr>
      <vt:lpstr>'Campos IMP vs CNT'!_Toc164082319</vt:lpstr>
      <vt:lpstr>'Campos IMP vs CNT'!_Toc164082330</vt:lpstr>
      <vt:lpstr>'Campos IMP vs CNT'!_Toc164082331</vt:lpstr>
      <vt:lpstr>'Campos IMP vs CNT'!_Toc164082332</vt:lpstr>
      <vt:lpstr>'Campos IMP vs CNT'!_Toc164082333</vt:lpstr>
      <vt:lpstr>'Campos IMP vs CNT'!_Toc164082334</vt:lpstr>
      <vt:lpstr>'Campos IMP vs CNT'!_Toc164082339</vt:lpstr>
      <vt:lpstr>'Campos IMP vs CNT'!_Toc164082348</vt:lpstr>
      <vt:lpstr>'Campos IMP vs CNT'!_Toc164082349</vt:lpstr>
      <vt:lpstr>'Campos IMP vs CNT'!_Toc164082351</vt:lpstr>
      <vt:lpstr>'Campos IMP vs CNT'!_Toc164082352</vt:lpstr>
      <vt:lpstr>'Campos IMP vs CNT'!_Toc164082353</vt:lpstr>
      <vt:lpstr>'Campos IMP vs CNT'!_Toc164082359</vt:lpstr>
      <vt:lpstr>'Campos IMP vs CNT'!_Toc164082360</vt:lpstr>
      <vt:lpstr>'Campos IMP vs CNT'!_Toc164082361</vt:lpstr>
      <vt:lpstr>'Campos IMP vs CNT'!_Toc164082362</vt:lpstr>
      <vt:lpstr>'Campos IMP vs CNT'!_Toc164082363</vt:lpstr>
      <vt:lpstr>'Campos IMP vs CNT'!_Toc164082366</vt:lpstr>
      <vt:lpstr>'Campos IMP vs CNT'!_Toc164082367</vt:lpstr>
      <vt:lpstr>'Campos IMP vs CNT'!_Toc164082368</vt:lpstr>
      <vt:lpstr>'Campos IMP vs CNT'!_Toc164082369</vt:lpstr>
      <vt:lpstr>'Campos IMP vs CNT'!_Toc164082370</vt:lpstr>
      <vt:lpstr>'Campos IMP vs CNT'!_Toc164082371</vt:lpstr>
      <vt:lpstr>'Campos IMP vs CNT'!_Toc164082372</vt:lpstr>
      <vt:lpstr>'Campos IMP vs CNT'!_Toc164082373</vt:lpstr>
      <vt:lpstr>'Campos IMP vs CNT'!_Toc164082374</vt:lpstr>
      <vt:lpstr>'Campos IMP vs CNT'!_Toc164082375</vt:lpstr>
      <vt:lpstr>'Campos IMP vs CNT'!_Toc164082382</vt:lpstr>
      <vt:lpstr>'Campos IMP vs CNT'!_Toc164082383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Gonçalo Mendes Baptista Filipe</cp:lastModifiedBy>
  <cp:revision/>
  <dcterms:created xsi:type="dcterms:W3CDTF">2024-05-23T09:46:15Z</dcterms:created>
  <dcterms:modified xsi:type="dcterms:W3CDTF">2025-11-11T16:58:45Z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